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@매출등록\구글\2월\"/>
    </mc:Choice>
  </mc:AlternateContent>
  <bookViews>
    <workbookView xWindow="0" yWindow="0" windowWidth="28800" windowHeight="11835"/>
  </bookViews>
  <sheets>
    <sheet name="GoogleSalesTransactionReport" sheetId="1" r:id="rId1"/>
  </sheets>
  <externalReferences>
    <externalReference r:id="rId2"/>
  </externalReferences>
  <calcPr calcId="162913"/>
</workbook>
</file>

<file path=xl/calcChain.xml><?xml version="1.0" encoding="utf-8"?>
<calcChain xmlns="http://schemas.openxmlformats.org/spreadsheetml/2006/main">
  <c r="W6660" i="1" l="1"/>
  <c r="X6660" i="1" s="1"/>
  <c r="V6660" i="1"/>
  <c r="X6659" i="1"/>
  <c r="W6659" i="1"/>
  <c r="V6659" i="1"/>
  <c r="W6658" i="1"/>
  <c r="X6658" i="1" s="1"/>
  <c r="V6658" i="1"/>
  <c r="W6657" i="1"/>
  <c r="X6657" i="1" s="1"/>
  <c r="V6657" i="1"/>
  <c r="W6656" i="1"/>
  <c r="X6656" i="1" s="1"/>
  <c r="V6656" i="1"/>
  <c r="W6655" i="1"/>
  <c r="X6655" i="1" s="1"/>
  <c r="V6655" i="1"/>
  <c r="W6654" i="1"/>
  <c r="X6654" i="1" s="1"/>
  <c r="V6654" i="1"/>
  <c r="W6653" i="1"/>
  <c r="X6653" i="1" s="1"/>
  <c r="V6653" i="1"/>
  <c r="W6652" i="1"/>
  <c r="X6652" i="1" s="1"/>
  <c r="V6652" i="1"/>
  <c r="W6651" i="1"/>
  <c r="X6651" i="1" s="1"/>
  <c r="V6651" i="1"/>
  <c r="X6650" i="1"/>
  <c r="W6650" i="1"/>
  <c r="V6650" i="1"/>
  <c r="W6649" i="1"/>
  <c r="X6649" i="1" s="1"/>
  <c r="V6649" i="1"/>
  <c r="W6648" i="1"/>
  <c r="X6648" i="1" s="1"/>
  <c r="V6648" i="1"/>
  <c r="W6647" i="1"/>
  <c r="X6647" i="1" s="1"/>
  <c r="V6647" i="1"/>
  <c r="W6646" i="1"/>
  <c r="X6646" i="1" s="1"/>
  <c r="V6646" i="1"/>
  <c r="X6645" i="1"/>
  <c r="W6645" i="1"/>
  <c r="V6645" i="1"/>
  <c r="X6644" i="1"/>
  <c r="W6644" i="1"/>
  <c r="V6644" i="1"/>
  <c r="W6643" i="1"/>
  <c r="X6643" i="1" s="1"/>
  <c r="V6643" i="1"/>
  <c r="X6642" i="1"/>
  <c r="W6642" i="1"/>
  <c r="V6642" i="1"/>
  <c r="W6641" i="1"/>
  <c r="X6641" i="1" s="1"/>
  <c r="V6641" i="1"/>
  <c r="W6640" i="1"/>
  <c r="X6640" i="1" s="1"/>
  <c r="V6640" i="1"/>
  <c r="W6639" i="1"/>
  <c r="X6639" i="1" s="1"/>
  <c r="V6639" i="1"/>
  <c r="W6638" i="1"/>
  <c r="X6638" i="1" s="1"/>
  <c r="V6638" i="1"/>
  <c r="X6637" i="1"/>
  <c r="W6637" i="1"/>
  <c r="V6637" i="1"/>
  <c r="X6636" i="1"/>
  <c r="W6636" i="1"/>
  <c r="V6636" i="1"/>
  <c r="W6635" i="1"/>
  <c r="X6635" i="1" s="1"/>
  <c r="V6635" i="1"/>
  <c r="X6634" i="1"/>
  <c r="W6634" i="1"/>
  <c r="V6634" i="1"/>
  <c r="W6633" i="1"/>
  <c r="X6633" i="1" s="1"/>
  <c r="V6633" i="1"/>
  <c r="W6632" i="1"/>
  <c r="X6632" i="1" s="1"/>
  <c r="V6632" i="1"/>
  <c r="W6631" i="1"/>
  <c r="X6631" i="1" s="1"/>
  <c r="V6631" i="1"/>
  <c r="W6630" i="1"/>
  <c r="X6630" i="1" s="1"/>
  <c r="V6630" i="1"/>
  <c r="X6629" i="1"/>
  <c r="W6629" i="1"/>
  <c r="V6629" i="1"/>
  <c r="X6628" i="1"/>
  <c r="W6628" i="1"/>
  <c r="V6628" i="1"/>
  <c r="W6627" i="1"/>
  <c r="X6627" i="1" s="1"/>
  <c r="V6627" i="1"/>
  <c r="X6626" i="1"/>
  <c r="W6626" i="1"/>
  <c r="V6626" i="1"/>
  <c r="W6625" i="1"/>
  <c r="X6625" i="1" s="1"/>
  <c r="V6625" i="1"/>
  <c r="W6624" i="1"/>
  <c r="X6624" i="1" s="1"/>
  <c r="V6624" i="1"/>
  <c r="W6623" i="1"/>
  <c r="X6623" i="1" s="1"/>
  <c r="V6623" i="1"/>
  <c r="W6622" i="1"/>
  <c r="X6622" i="1" s="1"/>
  <c r="V6622" i="1"/>
  <c r="X6621" i="1"/>
  <c r="W6621" i="1"/>
  <c r="V6621" i="1"/>
  <c r="X6620" i="1"/>
  <c r="W6620" i="1"/>
  <c r="V6620" i="1"/>
  <c r="W6619" i="1"/>
  <c r="X6619" i="1" s="1"/>
  <c r="V6619" i="1"/>
  <c r="X6618" i="1"/>
  <c r="W6618" i="1"/>
  <c r="V6618" i="1"/>
  <c r="W6617" i="1"/>
  <c r="X6617" i="1" s="1"/>
  <c r="V6617" i="1"/>
  <c r="W6616" i="1"/>
  <c r="X6616" i="1" s="1"/>
  <c r="V6616" i="1"/>
  <c r="W6615" i="1"/>
  <c r="X6615" i="1" s="1"/>
  <c r="V6615" i="1"/>
  <c r="W6614" i="1"/>
  <c r="X6614" i="1" s="1"/>
  <c r="V6614" i="1"/>
  <c r="X6613" i="1"/>
  <c r="W6613" i="1"/>
  <c r="V6613" i="1"/>
  <c r="X6612" i="1"/>
  <c r="W6612" i="1"/>
  <c r="V6612" i="1"/>
  <c r="X6611" i="1"/>
  <c r="W6611" i="1"/>
  <c r="V6611" i="1"/>
  <c r="X6610" i="1"/>
  <c r="W6610" i="1"/>
  <c r="V6610" i="1"/>
  <c r="W6609" i="1"/>
  <c r="X6609" i="1" s="1"/>
  <c r="V6609" i="1"/>
  <c r="W6608" i="1"/>
  <c r="X6608" i="1" s="1"/>
  <c r="V6608" i="1"/>
  <c r="W6607" i="1"/>
  <c r="X6607" i="1" s="1"/>
  <c r="V6607" i="1"/>
  <c r="W6606" i="1"/>
  <c r="X6606" i="1" s="1"/>
  <c r="V6606" i="1"/>
  <c r="X6605" i="1"/>
  <c r="W6605" i="1"/>
  <c r="V6605" i="1"/>
  <c r="X6604" i="1"/>
  <c r="W6604" i="1"/>
  <c r="V6604" i="1"/>
  <c r="W6603" i="1"/>
  <c r="X6603" i="1" s="1"/>
  <c r="V6603" i="1"/>
  <c r="W6602" i="1"/>
  <c r="X6602" i="1" s="1"/>
  <c r="V6602" i="1"/>
  <c r="W6601" i="1"/>
  <c r="X6601" i="1" s="1"/>
  <c r="V6601" i="1"/>
  <c r="W6600" i="1"/>
  <c r="X6600" i="1" s="1"/>
  <c r="V6600" i="1"/>
  <c r="W6599" i="1"/>
  <c r="X6599" i="1" s="1"/>
  <c r="V6599" i="1"/>
  <c r="W6598" i="1"/>
  <c r="X6598" i="1" s="1"/>
  <c r="V6598" i="1"/>
  <c r="X6597" i="1"/>
  <c r="W6597" i="1"/>
  <c r="V6597" i="1"/>
  <c r="X6596" i="1"/>
  <c r="W6596" i="1"/>
  <c r="V6596" i="1"/>
  <c r="X6595" i="1"/>
  <c r="W6595" i="1"/>
  <c r="V6595" i="1"/>
  <c r="W6594" i="1"/>
  <c r="X6594" i="1" s="1"/>
  <c r="V6594" i="1"/>
  <c r="W6593" i="1"/>
  <c r="X6593" i="1" s="1"/>
  <c r="V6593" i="1"/>
  <c r="W6592" i="1"/>
  <c r="X6592" i="1" s="1"/>
  <c r="V6592" i="1"/>
  <c r="W6591" i="1"/>
  <c r="X6591" i="1" s="1"/>
  <c r="V6591" i="1"/>
  <c r="W6590" i="1"/>
  <c r="X6590" i="1" s="1"/>
  <c r="V6590" i="1"/>
  <c r="X6589" i="1"/>
  <c r="W6589" i="1"/>
  <c r="V6589" i="1"/>
  <c r="X6588" i="1"/>
  <c r="W6588" i="1"/>
  <c r="V6588" i="1"/>
  <c r="X6587" i="1"/>
  <c r="W6587" i="1"/>
  <c r="V6587" i="1"/>
  <c r="W6586" i="1"/>
  <c r="X6586" i="1" s="1"/>
  <c r="V6586" i="1"/>
  <c r="W6585" i="1"/>
  <c r="X6585" i="1" s="1"/>
  <c r="V6585" i="1"/>
  <c r="W6584" i="1"/>
  <c r="X6584" i="1" s="1"/>
  <c r="V6584" i="1"/>
  <c r="W6583" i="1"/>
  <c r="X6583" i="1" s="1"/>
  <c r="V6583" i="1"/>
  <c r="W6582" i="1"/>
  <c r="X6582" i="1" s="1"/>
  <c r="V6582" i="1"/>
  <c r="X6581" i="1"/>
  <c r="W6581" i="1"/>
  <c r="V6581" i="1"/>
  <c r="X6580" i="1"/>
  <c r="W6580" i="1"/>
  <c r="V6580" i="1"/>
  <c r="X6579" i="1"/>
  <c r="W6579" i="1"/>
  <c r="V6579" i="1"/>
  <c r="W6578" i="1"/>
  <c r="X6578" i="1" s="1"/>
  <c r="V6578" i="1"/>
  <c r="W6577" i="1"/>
  <c r="X6577" i="1" s="1"/>
  <c r="V6577" i="1"/>
  <c r="W6576" i="1"/>
  <c r="X6576" i="1" s="1"/>
  <c r="V6576" i="1"/>
  <c r="W6575" i="1"/>
  <c r="X6575" i="1" s="1"/>
  <c r="V6575" i="1"/>
  <c r="W6574" i="1"/>
  <c r="X6574" i="1" s="1"/>
  <c r="V6574" i="1"/>
  <c r="X6573" i="1"/>
  <c r="W6573" i="1"/>
  <c r="V6573" i="1"/>
  <c r="X6572" i="1"/>
  <c r="W6572" i="1"/>
  <c r="V6572" i="1"/>
  <c r="X6571" i="1"/>
  <c r="W6571" i="1"/>
  <c r="V6571" i="1"/>
  <c r="W6570" i="1"/>
  <c r="X6570" i="1" s="1"/>
  <c r="V6570" i="1"/>
  <c r="W6569" i="1"/>
  <c r="X6569" i="1" s="1"/>
  <c r="V6569" i="1"/>
  <c r="W6568" i="1"/>
  <c r="X6568" i="1" s="1"/>
  <c r="V6568" i="1"/>
  <c r="W6567" i="1"/>
  <c r="X6567" i="1" s="1"/>
  <c r="V6567" i="1"/>
  <c r="W6566" i="1"/>
  <c r="X6566" i="1" s="1"/>
  <c r="V6566" i="1"/>
  <c r="X6565" i="1"/>
  <c r="W6565" i="1"/>
  <c r="V6565" i="1"/>
  <c r="X6564" i="1"/>
  <c r="W6564" i="1"/>
  <c r="V6564" i="1"/>
  <c r="X6563" i="1"/>
  <c r="W6563" i="1"/>
  <c r="V6563" i="1"/>
  <c r="W6562" i="1"/>
  <c r="X6562" i="1" s="1"/>
  <c r="V6562" i="1"/>
  <c r="W6561" i="1"/>
  <c r="X6561" i="1" s="1"/>
  <c r="V6561" i="1"/>
  <c r="W6560" i="1"/>
  <c r="X6560" i="1" s="1"/>
  <c r="V6560" i="1"/>
  <c r="W6559" i="1"/>
  <c r="X6559" i="1" s="1"/>
  <c r="V6559" i="1"/>
  <c r="W6558" i="1"/>
  <c r="X6558" i="1" s="1"/>
  <c r="V6558" i="1"/>
  <c r="X6557" i="1"/>
  <c r="W6557" i="1"/>
  <c r="V6557" i="1"/>
  <c r="X6556" i="1"/>
  <c r="W6556" i="1"/>
  <c r="V6556" i="1"/>
  <c r="X6555" i="1"/>
  <c r="W6555" i="1"/>
  <c r="V6555" i="1"/>
  <c r="W6554" i="1"/>
  <c r="X6554" i="1" s="1"/>
  <c r="V6554" i="1"/>
  <c r="W6553" i="1"/>
  <c r="X6553" i="1" s="1"/>
  <c r="V6553" i="1"/>
  <c r="W6552" i="1"/>
  <c r="X6552" i="1" s="1"/>
  <c r="V6552" i="1"/>
  <c r="W6551" i="1"/>
  <c r="X6551" i="1" s="1"/>
  <c r="V6551" i="1"/>
  <c r="W6550" i="1"/>
  <c r="X6550" i="1" s="1"/>
  <c r="V6550" i="1"/>
  <c r="X6549" i="1"/>
  <c r="W6549" i="1"/>
  <c r="V6549" i="1"/>
  <c r="X6548" i="1"/>
  <c r="W6548" i="1"/>
  <c r="V6548" i="1"/>
  <c r="X6547" i="1"/>
  <c r="W6547" i="1"/>
  <c r="V6547" i="1"/>
  <c r="W6546" i="1"/>
  <c r="X6546" i="1" s="1"/>
  <c r="V6546" i="1"/>
  <c r="W6545" i="1"/>
  <c r="X6545" i="1" s="1"/>
  <c r="V6545" i="1"/>
  <c r="W6544" i="1"/>
  <c r="X6544" i="1" s="1"/>
  <c r="V6544" i="1"/>
  <c r="W6543" i="1"/>
  <c r="X6543" i="1" s="1"/>
  <c r="V6543" i="1"/>
  <c r="W6542" i="1"/>
  <c r="X6542" i="1" s="1"/>
  <c r="V6542" i="1"/>
  <c r="X6541" i="1"/>
  <c r="W6541" i="1"/>
  <c r="V6541" i="1"/>
  <c r="X6540" i="1"/>
  <c r="W6540" i="1"/>
  <c r="V6540" i="1"/>
  <c r="X6539" i="1"/>
  <c r="W6539" i="1"/>
  <c r="V6539" i="1"/>
  <c r="W6538" i="1"/>
  <c r="X6538" i="1" s="1"/>
  <c r="V6538" i="1"/>
  <c r="W6537" i="1"/>
  <c r="X6537" i="1" s="1"/>
  <c r="V6537" i="1"/>
  <c r="W6536" i="1"/>
  <c r="X6536" i="1" s="1"/>
  <c r="V6536" i="1"/>
  <c r="W6535" i="1"/>
  <c r="X6535" i="1" s="1"/>
  <c r="V6535" i="1"/>
  <c r="W6534" i="1"/>
  <c r="X6534" i="1" s="1"/>
  <c r="V6534" i="1"/>
  <c r="X6533" i="1"/>
  <c r="W6533" i="1"/>
  <c r="V6533" i="1"/>
  <c r="X6532" i="1"/>
  <c r="W6532" i="1"/>
  <c r="V6532" i="1"/>
  <c r="X6531" i="1"/>
  <c r="W6531" i="1"/>
  <c r="V6531" i="1"/>
  <c r="W6530" i="1"/>
  <c r="X6530" i="1" s="1"/>
  <c r="V6530" i="1"/>
  <c r="W6529" i="1"/>
  <c r="X6529" i="1" s="1"/>
  <c r="V6529" i="1"/>
  <c r="W6528" i="1"/>
  <c r="X6528" i="1" s="1"/>
  <c r="V6528" i="1"/>
  <c r="W6527" i="1"/>
  <c r="X6527" i="1" s="1"/>
  <c r="V6527" i="1"/>
  <c r="W6526" i="1"/>
  <c r="X6526" i="1" s="1"/>
  <c r="V6526" i="1"/>
  <c r="X6525" i="1"/>
  <c r="W6525" i="1"/>
  <c r="V6525" i="1"/>
  <c r="X6524" i="1"/>
  <c r="W6524" i="1"/>
  <c r="V6524" i="1"/>
  <c r="X6523" i="1"/>
  <c r="W6523" i="1"/>
  <c r="V6523" i="1"/>
  <c r="W6522" i="1"/>
  <c r="X6522" i="1" s="1"/>
  <c r="V6522" i="1"/>
  <c r="W6521" i="1"/>
  <c r="X6521" i="1" s="1"/>
  <c r="V6521" i="1"/>
  <c r="W6520" i="1"/>
  <c r="X6520" i="1" s="1"/>
  <c r="V6520" i="1"/>
  <c r="W6519" i="1"/>
  <c r="X6519" i="1" s="1"/>
  <c r="V6519" i="1"/>
  <c r="W6518" i="1"/>
  <c r="X6518" i="1" s="1"/>
  <c r="V6518" i="1"/>
  <c r="X6517" i="1"/>
  <c r="W6517" i="1"/>
  <c r="V6517" i="1"/>
  <c r="X6516" i="1"/>
  <c r="W6516" i="1"/>
  <c r="V6516" i="1"/>
  <c r="X6515" i="1"/>
  <c r="W6515" i="1"/>
  <c r="V6515" i="1"/>
  <c r="W6514" i="1"/>
  <c r="X6514" i="1" s="1"/>
  <c r="V6514" i="1"/>
  <c r="W6513" i="1"/>
  <c r="X6513" i="1" s="1"/>
  <c r="V6513" i="1"/>
  <c r="W6512" i="1"/>
  <c r="X6512" i="1" s="1"/>
  <c r="V6512" i="1"/>
  <c r="W6511" i="1"/>
  <c r="X6511" i="1" s="1"/>
  <c r="V6511" i="1"/>
  <c r="W6510" i="1"/>
  <c r="X6510" i="1" s="1"/>
  <c r="V6510" i="1"/>
  <c r="X6509" i="1"/>
  <c r="W6509" i="1"/>
  <c r="V6509" i="1"/>
  <c r="X6508" i="1"/>
  <c r="W6508" i="1"/>
  <c r="V6508" i="1"/>
  <c r="X6507" i="1"/>
  <c r="W6507" i="1"/>
  <c r="V6507" i="1"/>
  <c r="W6506" i="1"/>
  <c r="X6506" i="1" s="1"/>
  <c r="V6506" i="1"/>
  <c r="W6505" i="1"/>
  <c r="X6505" i="1" s="1"/>
  <c r="V6505" i="1"/>
  <c r="W6504" i="1"/>
  <c r="X6504" i="1" s="1"/>
  <c r="V6504" i="1"/>
  <c r="W6503" i="1"/>
  <c r="X6503" i="1" s="1"/>
  <c r="V6503" i="1"/>
  <c r="W6502" i="1"/>
  <c r="X6502" i="1" s="1"/>
  <c r="V6502" i="1"/>
  <c r="X6501" i="1"/>
  <c r="W6501" i="1"/>
  <c r="V6501" i="1"/>
  <c r="X6500" i="1"/>
  <c r="W6500" i="1"/>
  <c r="V6500" i="1"/>
  <c r="X6499" i="1"/>
  <c r="W6499" i="1"/>
  <c r="V6499" i="1"/>
  <c r="W6498" i="1"/>
  <c r="X6498" i="1" s="1"/>
  <c r="V6498" i="1"/>
  <c r="W6497" i="1"/>
  <c r="X6497" i="1" s="1"/>
  <c r="V6497" i="1"/>
  <c r="W6496" i="1"/>
  <c r="X6496" i="1" s="1"/>
  <c r="V6496" i="1"/>
  <c r="W6495" i="1"/>
  <c r="X6495" i="1" s="1"/>
  <c r="V6495" i="1"/>
  <c r="W6494" i="1"/>
  <c r="X6494" i="1" s="1"/>
  <c r="V6494" i="1"/>
  <c r="X6493" i="1"/>
  <c r="W6493" i="1"/>
  <c r="V6493" i="1"/>
  <c r="X6492" i="1"/>
  <c r="W6492" i="1"/>
  <c r="V6492" i="1"/>
  <c r="X6491" i="1"/>
  <c r="W6491" i="1"/>
  <c r="V6491" i="1"/>
  <c r="W6490" i="1"/>
  <c r="X6490" i="1" s="1"/>
  <c r="V6490" i="1"/>
  <c r="W6489" i="1"/>
  <c r="X6489" i="1" s="1"/>
  <c r="V6489" i="1"/>
  <c r="W6488" i="1"/>
  <c r="X6488" i="1" s="1"/>
  <c r="V6488" i="1"/>
  <c r="W6487" i="1"/>
  <c r="X6487" i="1" s="1"/>
  <c r="V6487" i="1"/>
  <c r="W6486" i="1"/>
  <c r="X6486" i="1" s="1"/>
  <c r="V6486" i="1"/>
  <c r="X6485" i="1"/>
  <c r="W6485" i="1"/>
  <c r="V6485" i="1"/>
  <c r="X6484" i="1"/>
  <c r="W6484" i="1"/>
  <c r="V6484" i="1"/>
  <c r="X6483" i="1"/>
  <c r="W6483" i="1"/>
  <c r="V6483" i="1"/>
  <c r="W6482" i="1"/>
  <c r="X6482" i="1" s="1"/>
  <c r="V6482" i="1"/>
  <c r="W6481" i="1"/>
  <c r="X6481" i="1" s="1"/>
  <c r="V6481" i="1"/>
  <c r="W6480" i="1"/>
  <c r="X6480" i="1" s="1"/>
  <c r="V6480" i="1"/>
  <c r="W6479" i="1"/>
  <c r="X6479" i="1" s="1"/>
  <c r="V6479" i="1"/>
  <c r="W6478" i="1"/>
  <c r="X6478" i="1" s="1"/>
  <c r="V6478" i="1"/>
  <c r="X6477" i="1"/>
  <c r="W6477" i="1"/>
  <c r="V6477" i="1"/>
  <c r="X6476" i="1"/>
  <c r="W6476" i="1"/>
  <c r="V6476" i="1"/>
  <c r="X6475" i="1"/>
  <c r="W6475" i="1"/>
  <c r="V6475" i="1"/>
  <c r="W6474" i="1"/>
  <c r="X6474" i="1" s="1"/>
  <c r="V6474" i="1"/>
  <c r="W6473" i="1"/>
  <c r="X6473" i="1" s="1"/>
  <c r="V6473" i="1"/>
  <c r="W6472" i="1"/>
  <c r="X6472" i="1" s="1"/>
  <c r="V6472" i="1"/>
  <c r="W6471" i="1"/>
  <c r="X6471" i="1" s="1"/>
  <c r="V6471" i="1"/>
  <c r="W6470" i="1"/>
  <c r="X6470" i="1" s="1"/>
  <c r="V6470" i="1"/>
  <c r="X6469" i="1"/>
  <c r="W6469" i="1"/>
  <c r="V6469" i="1"/>
  <c r="X6468" i="1"/>
  <c r="W6468" i="1"/>
  <c r="V6468" i="1"/>
  <c r="X6467" i="1"/>
  <c r="W6467" i="1"/>
  <c r="V6467" i="1"/>
  <c r="W6466" i="1"/>
  <c r="X6466" i="1" s="1"/>
  <c r="V6466" i="1"/>
  <c r="W6465" i="1"/>
  <c r="X6465" i="1" s="1"/>
  <c r="V6465" i="1"/>
  <c r="W6464" i="1"/>
  <c r="X6464" i="1" s="1"/>
  <c r="V6464" i="1"/>
  <c r="W6463" i="1"/>
  <c r="X6463" i="1" s="1"/>
  <c r="V6463" i="1"/>
  <c r="W6462" i="1"/>
  <c r="X6462" i="1" s="1"/>
  <c r="V6462" i="1"/>
  <c r="X6461" i="1"/>
  <c r="W6461" i="1"/>
  <c r="V6461" i="1"/>
  <c r="X6460" i="1"/>
  <c r="W6460" i="1"/>
  <c r="V6460" i="1"/>
  <c r="X6459" i="1"/>
  <c r="W6459" i="1"/>
  <c r="V6459" i="1"/>
  <c r="W6458" i="1"/>
  <c r="X6458" i="1" s="1"/>
  <c r="V6458" i="1"/>
  <c r="W6457" i="1"/>
  <c r="X6457" i="1" s="1"/>
  <c r="V6457" i="1"/>
  <c r="W6456" i="1"/>
  <c r="X6456" i="1" s="1"/>
  <c r="V6456" i="1"/>
  <c r="W6455" i="1"/>
  <c r="X6455" i="1" s="1"/>
  <c r="V6455" i="1"/>
  <c r="W6454" i="1"/>
  <c r="X6454" i="1" s="1"/>
  <c r="V6454" i="1"/>
  <c r="X6453" i="1"/>
  <c r="W6453" i="1"/>
  <c r="V6453" i="1"/>
  <c r="X6452" i="1"/>
  <c r="W6452" i="1"/>
  <c r="V6452" i="1"/>
  <c r="X6451" i="1"/>
  <c r="W6451" i="1"/>
  <c r="V6451" i="1"/>
  <c r="W6450" i="1"/>
  <c r="X6450" i="1" s="1"/>
  <c r="V6450" i="1"/>
  <c r="W6449" i="1"/>
  <c r="X6449" i="1" s="1"/>
  <c r="V6449" i="1"/>
  <c r="W6448" i="1"/>
  <c r="X6448" i="1" s="1"/>
  <c r="V6448" i="1"/>
  <c r="W6447" i="1"/>
  <c r="X6447" i="1" s="1"/>
  <c r="V6447" i="1"/>
  <c r="W6446" i="1"/>
  <c r="X6446" i="1" s="1"/>
  <c r="V6446" i="1"/>
  <c r="X6445" i="1"/>
  <c r="W6445" i="1"/>
  <c r="V6445" i="1"/>
  <c r="X6444" i="1"/>
  <c r="W6444" i="1"/>
  <c r="V6444" i="1"/>
  <c r="X6443" i="1"/>
  <c r="W6443" i="1"/>
  <c r="V6443" i="1"/>
  <c r="W6442" i="1"/>
  <c r="X6442" i="1" s="1"/>
  <c r="V6442" i="1"/>
  <c r="W6441" i="1"/>
  <c r="X6441" i="1" s="1"/>
  <c r="V6441" i="1"/>
  <c r="W6440" i="1"/>
  <c r="X6440" i="1" s="1"/>
  <c r="V6440" i="1"/>
  <c r="W6439" i="1"/>
  <c r="X6439" i="1" s="1"/>
  <c r="V6439" i="1"/>
  <c r="W6438" i="1"/>
  <c r="X6438" i="1" s="1"/>
  <c r="V6438" i="1"/>
  <c r="X6437" i="1"/>
  <c r="W6437" i="1"/>
  <c r="V6437" i="1"/>
  <c r="X6436" i="1"/>
  <c r="W6436" i="1"/>
  <c r="V6436" i="1"/>
  <c r="X6435" i="1"/>
  <c r="W6435" i="1"/>
  <c r="V6435" i="1"/>
  <c r="W6434" i="1"/>
  <c r="X6434" i="1" s="1"/>
  <c r="V6434" i="1"/>
  <c r="W6433" i="1"/>
  <c r="X6433" i="1" s="1"/>
  <c r="V6433" i="1"/>
  <c r="W6432" i="1"/>
  <c r="X6432" i="1" s="1"/>
  <c r="V6432" i="1"/>
  <c r="W6431" i="1"/>
  <c r="X6431" i="1" s="1"/>
  <c r="V6431" i="1"/>
  <c r="W6430" i="1"/>
  <c r="X6430" i="1" s="1"/>
  <c r="V6430" i="1"/>
  <c r="X6429" i="1"/>
  <c r="W6429" i="1"/>
  <c r="V6429" i="1"/>
  <c r="X6428" i="1"/>
  <c r="W6428" i="1"/>
  <c r="V6428" i="1"/>
  <c r="X6427" i="1"/>
  <c r="W6427" i="1"/>
  <c r="V6427" i="1"/>
  <c r="W6426" i="1"/>
  <c r="X6426" i="1" s="1"/>
  <c r="V6426" i="1"/>
  <c r="W6425" i="1"/>
  <c r="X6425" i="1" s="1"/>
  <c r="V6425" i="1"/>
  <c r="W6424" i="1"/>
  <c r="X6424" i="1" s="1"/>
  <c r="V6424" i="1"/>
  <c r="W6423" i="1"/>
  <c r="X6423" i="1" s="1"/>
  <c r="V6423" i="1"/>
  <c r="W6422" i="1"/>
  <c r="X6422" i="1" s="1"/>
  <c r="V6422" i="1"/>
  <c r="X6421" i="1"/>
  <c r="W6421" i="1"/>
  <c r="V6421" i="1"/>
  <c r="X6420" i="1"/>
  <c r="W6420" i="1"/>
  <c r="V6420" i="1"/>
  <c r="X6419" i="1"/>
  <c r="W6419" i="1"/>
  <c r="V6419" i="1"/>
  <c r="W6418" i="1"/>
  <c r="X6418" i="1" s="1"/>
  <c r="V6418" i="1"/>
  <c r="W6417" i="1"/>
  <c r="X6417" i="1" s="1"/>
  <c r="V6417" i="1"/>
  <c r="W6416" i="1"/>
  <c r="X6416" i="1" s="1"/>
  <c r="V6416" i="1"/>
  <c r="W6415" i="1"/>
  <c r="X6415" i="1" s="1"/>
  <c r="V6415" i="1"/>
  <c r="W6414" i="1"/>
  <c r="X6414" i="1" s="1"/>
  <c r="V6414" i="1"/>
  <c r="X6413" i="1"/>
  <c r="W6413" i="1"/>
  <c r="V6413" i="1"/>
  <c r="X6412" i="1"/>
  <c r="W6412" i="1"/>
  <c r="V6412" i="1"/>
  <c r="X6411" i="1"/>
  <c r="W6411" i="1"/>
  <c r="V6411" i="1"/>
  <c r="W6410" i="1"/>
  <c r="X6410" i="1" s="1"/>
  <c r="V6410" i="1"/>
  <c r="W6409" i="1"/>
  <c r="X6409" i="1" s="1"/>
  <c r="V6409" i="1"/>
  <c r="W6408" i="1"/>
  <c r="X6408" i="1" s="1"/>
  <c r="V6408" i="1"/>
  <c r="W6407" i="1"/>
  <c r="X6407" i="1" s="1"/>
  <c r="V6407" i="1"/>
  <c r="W6406" i="1"/>
  <c r="X6406" i="1" s="1"/>
  <c r="V6406" i="1"/>
  <c r="X6405" i="1"/>
  <c r="W6405" i="1"/>
  <c r="V6405" i="1"/>
  <c r="X6404" i="1"/>
  <c r="W6404" i="1"/>
  <c r="V6404" i="1"/>
  <c r="X6403" i="1"/>
  <c r="W6403" i="1"/>
  <c r="V6403" i="1"/>
  <c r="W6402" i="1"/>
  <c r="X6402" i="1" s="1"/>
  <c r="V6402" i="1"/>
  <c r="W6401" i="1"/>
  <c r="X6401" i="1" s="1"/>
  <c r="V6401" i="1"/>
  <c r="W6400" i="1"/>
  <c r="X6400" i="1" s="1"/>
  <c r="V6400" i="1"/>
  <c r="W6399" i="1"/>
  <c r="X6399" i="1" s="1"/>
  <c r="V6399" i="1"/>
  <c r="W6398" i="1"/>
  <c r="X6398" i="1" s="1"/>
  <c r="V6398" i="1"/>
  <c r="X6397" i="1"/>
  <c r="W6397" i="1"/>
  <c r="V6397" i="1"/>
  <c r="X6396" i="1"/>
  <c r="W6396" i="1"/>
  <c r="V6396" i="1"/>
  <c r="X6395" i="1"/>
  <c r="W6395" i="1"/>
  <c r="V6395" i="1"/>
  <c r="W6394" i="1"/>
  <c r="X6394" i="1" s="1"/>
  <c r="V6394" i="1"/>
  <c r="W6393" i="1"/>
  <c r="X6393" i="1" s="1"/>
  <c r="V6393" i="1"/>
  <c r="W6392" i="1"/>
  <c r="X6392" i="1" s="1"/>
  <c r="V6392" i="1"/>
  <c r="W6391" i="1"/>
  <c r="X6391" i="1" s="1"/>
  <c r="V6391" i="1"/>
  <c r="W6390" i="1"/>
  <c r="X6390" i="1" s="1"/>
  <c r="V6390" i="1"/>
  <c r="X6389" i="1"/>
  <c r="W6389" i="1"/>
  <c r="V6389" i="1"/>
  <c r="X6388" i="1"/>
  <c r="W6388" i="1"/>
  <c r="V6388" i="1"/>
  <c r="X6387" i="1"/>
  <c r="W6387" i="1"/>
  <c r="V6387" i="1"/>
  <c r="W6386" i="1"/>
  <c r="X6386" i="1" s="1"/>
  <c r="V6386" i="1"/>
  <c r="W6385" i="1"/>
  <c r="X6385" i="1" s="1"/>
  <c r="V6385" i="1"/>
  <c r="W6384" i="1"/>
  <c r="X6384" i="1" s="1"/>
  <c r="V6384" i="1"/>
  <c r="W6383" i="1"/>
  <c r="X6383" i="1" s="1"/>
  <c r="V6383" i="1"/>
  <c r="W6382" i="1"/>
  <c r="X6382" i="1" s="1"/>
  <c r="V6382" i="1"/>
  <c r="X6381" i="1"/>
  <c r="W6381" i="1"/>
  <c r="V6381" i="1"/>
  <c r="X6380" i="1"/>
  <c r="W6380" i="1"/>
  <c r="V6380" i="1"/>
  <c r="X6379" i="1"/>
  <c r="W6379" i="1"/>
  <c r="V6379" i="1"/>
  <c r="W6378" i="1"/>
  <c r="X6378" i="1" s="1"/>
  <c r="V6378" i="1"/>
  <c r="W6377" i="1"/>
  <c r="X6377" i="1" s="1"/>
  <c r="V6377" i="1"/>
  <c r="W6376" i="1"/>
  <c r="X6376" i="1" s="1"/>
  <c r="V6376" i="1"/>
  <c r="W6375" i="1"/>
  <c r="X6375" i="1" s="1"/>
  <c r="V6375" i="1"/>
  <c r="W6374" i="1"/>
  <c r="X6374" i="1" s="1"/>
  <c r="V6374" i="1"/>
  <c r="X6373" i="1"/>
  <c r="W6373" i="1"/>
  <c r="V6373" i="1"/>
  <c r="W6372" i="1"/>
  <c r="X6372" i="1" s="1"/>
  <c r="V6372" i="1"/>
  <c r="X6371" i="1"/>
  <c r="W6371" i="1"/>
  <c r="V6371" i="1"/>
  <c r="W6370" i="1"/>
  <c r="X6370" i="1" s="1"/>
  <c r="V6370" i="1"/>
  <c r="W6369" i="1"/>
  <c r="X6369" i="1" s="1"/>
  <c r="V6369" i="1"/>
  <c r="W6368" i="1"/>
  <c r="X6368" i="1" s="1"/>
  <c r="V6368" i="1"/>
  <c r="W6367" i="1"/>
  <c r="X6367" i="1" s="1"/>
  <c r="V6367" i="1"/>
  <c r="W6366" i="1"/>
  <c r="X6366" i="1" s="1"/>
  <c r="V6366" i="1"/>
  <c r="X6365" i="1"/>
  <c r="W6365" i="1"/>
  <c r="V6365" i="1"/>
  <c r="X6364" i="1"/>
  <c r="W6364" i="1"/>
  <c r="V6364" i="1"/>
  <c r="X6363" i="1"/>
  <c r="W6363" i="1"/>
  <c r="V6363" i="1"/>
  <c r="W6362" i="1"/>
  <c r="X6362" i="1" s="1"/>
  <c r="V6362" i="1"/>
  <c r="W6361" i="1"/>
  <c r="X6361" i="1" s="1"/>
  <c r="V6361" i="1"/>
  <c r="W6360" i="1"/>
  <c r="X6360" i="1" s="1"/>
  <c r="V6360" i="1"/>
  <c r="W6359" i="1"/>
  <c r="X6359" i="1" s="1"/>
  <c r="V6359" i="1"/>
  <c r="W6358" i="1"/>
  <c r="X6358" i="1" s="1"/>
  <c r="V6358" i="1"/>
  <c r="X6357" i="1"/>
  <c r="W6357" i="1"/>
  <c r="V6357" i="1"/>
  <c r="X6356" i="1"/>
  <c r="W6356" i="1"/>
  <c r="V6356" i="1"/>
  <c r="X6355" i="1"/>
  <c r="W6355" i="1"/>
  <c r="V6355" i="1"/>
  <c r="W6354" i="1"/>
  <c r="X6354" i="1" s="1"/>
  <c r="V6354" i="1"/>
  <c r="W6353" i="1"/>
  <c r="X6353" i="1" s="1"/>
  <c r="V6353" i="1"/>
  <c r="W6352" i="1"/>
  <c r="X6352" i="1" s="1"/>
  <c r="V6352" i="1"/>
  <c r="W6351" i="1"/>
  <c r="X6351" i="1" s="1"/>
  <c r="V6351" i="1"/>
  <c r="W6350" i="1"/>
  <c r="X6350" i="1" s="1"/>
  <c r="V6350" i="1"/>
  <c r="X6349" i="1"/>
  <c r="W6349" i="1"/>
  <c r="V6349" i="1"/>
  <c r="X6348" i="1"/>
  <c r="W6348" i="1"/>
  <c r="V6348" i="1"/>
  <c r="X6347" i="1"/>
  <c r="W6347" i="1"/>
  <c r="V6347" i="1"/>
  <c r="W6346" i="1"/>
  <c r="X6346" i="1" s="1"/>
  <c r="V6346" i="1"/>
  <c r="W6345" i="1"/>
  <c r="X6345" i="1" s="1"/>
  <c r="V6345" i="1"/>
  <c r="W6344" i="1"/>
  <c r="X6344" i="1" s="1"/>
  <c r="V6344" i="1"/>
  <c r="W6343" i="1"/>
  <c r="X6343" i="1" s="1"/>
  <c r="V6343" i="1"/>
  <c r="W6342" i="1"/>
  <c r="X6342" i="1" s="1"/>
  <c r="V6342" i="1"/>
  <c r="X6341" i="1"/>
  <c r="W6341" i="1"/>
  <c r="V6341" i="1"/>
  <c r="X6340" i="1"/>
  <c r="W6340" i="1"/>
  <c r="V6340" i="1"/>
  <c r="X6339" i="1"/>
  <c r="W6339" i="1"/>
  <c r="V6339" i="1"/>
  <c r="W6338" i="1"/>
  <c r="X6338" i="1" s="1"/>
  <c r="V6338" i="1"/>
  <c r="W6337" i="1"/>
  <c r="X6337" i="1" s="1"/>
  <c r="V6337" i="1"/>
  <c r="W6336" i="1"/>
  <c r="X6336" i="1" s="1"/>
  <c r="V6336" i="1"/>
  <c r="W6335" i="1"/>
  <c r="X6335" i="1" s="1"/>
  <c r="V6335" i="1"/>
  <c r="W6334" i="1"/>
  <c r="X6334" i="1" s="1"/>
  <c r="V6334" i="1"/>
  <c r="X6333" i="1"/>
  <c r="W6333" i="1"/>
  <c r="V6333" i="1"/>
  <c r="X6332" i="1"/>
  <c r="W6332" i="1"/>
  <c r="V6332" i="1"/>
  <c r="X6331" i="1"/>
  <c r="W6331" i="1"/>
  <c r="V6331" i="1"/>
  <c r="W6330" i="1"/>
  <c r="X6330" i="1" s="1"/>
  <c r="V6330" i="1"/>
  <c r="W6329" i="1"/>
  <c r="X6329" i="1" s="1"/>
  <c r="V6329" i="1"/>
  <c r="W6328" i="1"/>
  <c r="X6328" i="1" s="1"/>
  <c r="V6328" i="1"/>
  <c r="W6327" i="1"/>
  <c r="X6327" i="1" s="1"/>
  <c r="V6327" i="1"/>
  <c r="W6326" i="1"/>
  <c r="X6326" i="1" s="1"/>
  <c r="V6326" i="1"/>
  <c r="X6325" i="1"/>
  <c r="W6325" i="1"/>
  <c r="V6325" i="1"/>
  <c r="W6324" i="1"/>
  <c r="X6324" i="1" s="1"/>
  <c r="V6324" i="1"/>
  <c r="X6323" i="1"/>
  <c r="W6323" i="1"/>
  <c r="V6323" i="1"/>
  <c r="W6322" i="1"/>
  <c r="X6322" i="1" s="1"/>
  <c r="V6322" i="1"/>
  <c r="W6321" i="1"/>
  <c r="X6321" i="1" s="1"/>
  <c r="V6321" i="1"/>
  <c r="W6320" i="1"/>
  <c r="X6320" i="1" s="1"/>
  <c r="V6320" i="1"/>
  <c r="W6319" i="1"/>
  <c r="X6319" i="1" s="1"/>
  <c r="V6319" i="1"/>
  <c r="W6318" i="1"/>
  <c r="X6318" i="1" s="1"/>
  <c r="V6318" i="1"/>
  <c r="X6317" i="1"/>
  <c r="W6317" i="1"/>
  <c r="V6317" i="1"/>
  <c r="W6316" i="1"/>
  <c r="X6316" i="1" s="1"/>
  <c r="V6316" i="1"/>
  <c r="X6315" i="1"/>
  <c r="W6315" i="1"/>
  <c r="V6315" i="1"/>
  <c r="W6314" i="1"/>
  <c r="X6314" i="1" s="1"/>
  <c r="V6314" i="1"/>
  <c r="W6313" i="1"/>
  <c r="X6313" i="1" s="1"/>
  <c r="V6313" i="1"/>
  <c r="W6312" i="1"/>
  <c r="X6312" i="1" s="1"/>
  <c r="V6312" i="1"/>
  <c r="W6311" i="1"/>
  <c r="X6311" i="1" s="1"/>
  <c r="V6311" i="1"/>
  <c r="W6310" i="1"/>
  <c r="X6310" i="1" s="1"/>
  <c r="V6310" i="1"/>
  <c r="X6309" i="1"/>
  <c r="W6309" i="1"/>
  <c r="V6309" i="1"/>
  <c r="W6308" i="1"/>
  <c r="X6308" i="1" s="1"/>
  <c r="V6308" i="1"/>
  <c r="X6307" i="1"/>
  <c r="W6307" i="1"/>
  <c r="V6307" i="1"/>
  <c r="W6306" i="1"/>
  <c r="X6306" i="1" s="1"/>
  <c r="V6306" i="1"/>
  <c r="W6305" i="1"/>
  <c r="X6305" i="1" s="1"/>
  <c r="V6305" i="1"/>
  <c r="W6304" i="1"/>
  <c r="X6304" i="1" s="1"/>
  <c r="V6304" i="1"/>
  <c r="W6303" i="1"/>
  <c r="X6303" i="1" s="1"/>
  <c r="V6303" i="1"/>
  <c r="W6302" i="1"/>
  <c r="X6302" i="1" s="1"/>
  <c r="V6302" i="1"/>
  <c r="X6301" i="1"/>
  <c r="W6301" i="1"/>
  <c r="V6301" i="1"/>
  <c r="W6300" i="1"/>
  <c r="X6300" i="1" s="1"/>
  <c r="V6300" i="1"/>
  <c r="X6299" i="1"/>
  <c r="W6299" i="1"/>
  <c r="V6299" i="1"/>
  <c r="W6298" i="1"/>
  <c r="X6298" i="1" s="1"/>
  <c r="V6298" i="1"/>
  <c r="W6297" i="1"/>
  <c r="X6297" i="1" s="1"/>
  <c r="V6297" i="1"/>
  <c r="W6296" i="1"/>
  <c r="X6296" i="1" s="1"/>
  <c r="V6296" i="1"/>
  <c r="W6295" i="1"/>
  <c r="X6295" i="1" s="1"/>
  <c r="V6295" i="1"/>
  <c r="W6294" i="1"/>
  <c r="X6294" i="1" s="1"/>
  <c r="V6294" i="1"/>
  <c r="X6293" i="1"/>
  <c r="W6293" i="1"/>
  <c r="V6293" i="1"/>
  <c r="W6292" i="1"/>
  <c r="X6292" i="1" s="1"/>
  <c r="V6292" i="1"/>
  <c r="X6291" i="1"/>
  <c r="W6291" i="1"/>
  <c r="V6291" i="1"/>
  <c r="W6290" i="1"/>
  <c r="X6290" i="1" s="1"/>
  <c r="V6290" i="1"/>
  <c r="W6289" i="1"/>
  <c r="X6289" i="1" s="1"/>
  <c r="V6289" i="1"/>
  <c r="W6288" i="1"/>
  <c r="X6288" i="1" s="1"/>
  <c r="V6288" i="1"/>
  <c r="W6287" i="1"/>
  <c r="X6287" i="1" s="1"/>
  <c r="V6287" i="1"/>
  <c r="W6286" i="1"/>
  <c r="X6286" i="1" s="1"/>
  <c r="V6286" i="1"/>
  <c r="X6285" i="1"/>
  <c r="W6285" i="1"/>
  <c r="V6285" i="1"/>
  <c r="W6284" i="1"/>
  <c r="X6284" i="1" s="1"/>
  <c r="V6284" i="1"/>
  <c r="X6283" i="1"/>
  <c r="W6283" i="1"/>
  <c r="V6283" i="1"/>
  <c r="W6282" i="1"/>
  <c r="X6282" i="1" s="1"/>
  <c r="V6282" i="1"/>
  <c r="W6281" i="1"/>
  <c r="X6281" i="1" s="1"/>
  <c r="V6281" i="1"/>
  <c r="W6280" i="1"/>
  <c r="X6280" i="1" s="1"/>
  <c r="V6280" i="1"/>
  <c r="W6279" i="1"/>
  <c r="X6279" i="1" s="1"/>
  <c r="V6279" i="1"/>
  <c r="W6278" i="1"/>
  <c r="X6278" i="1" s="1"/>
  <c r="V6278" i="1"/>
  <c r="X6277" i="1"/>
  <c r="W6277" i="1"/>
  <c r="V6277" i="1"/>
  <c r="W6276" i="1"/>
  <c r="X6276" i="1" s="1"/>
  <c r="V6276" i="1"/>
  <c r="X6275" i="1"/>
  <c r="W6275" i="1"/>
  <c r="V6275" i="1"/>
  <c r="W6274" i="1"/>
  <c r="X6274" i="1" s="1"/>
  <c r="V6274" i="1"/>
  <c r="W6273" i="1"/>
  <c r="X6273" i="1" s="1"/>
  <c r="V6273" i="1"/>
  <c r="W6272" i="1"/>
  <c r="X6272" i="1" s="1"/>
  <c r="V6272" i="1"/>
  <c r="W6271" i="1"/>
  <c r="X6271" i="1" s="1"/>
  <c r="V6271" i="1"/>
  <c r="W6270" i="1"/>
  <c r="X6270" i="1" s="1"/>
  <c r="V6270" i="1"/>
  <c r="X6269" i="1"/>
  <c r="W6269" i="1"/>
  <c r="V6269" i="1"/>
  <c r="W6268" i="1"/>
  <c r="X6268" i="1" s="1"/>
  <c r="V6268" i="1"/>
  <c r="X6267" i="1"/>
  <c r="W6267" i="1"/>
  <c r="V6267" i="1"/>
  <c r="W6266" i="1"/>
  <c r="X6266" i="1" s="1"/>
  <c r="V6266" i="1"/>
  <c r="W6265" i="1"/>
  <c r="X6265" i="1" s="1"/>
  <c r="V6265" i="1"/>
  <c r="W6264" i="1"/>
  <c r="X6264" i="1" s="1"/>
  <c r="V6264" i="1"/>
  <c r="W6263" i="1"/>
  <c r="X6263" i="1" s="1"/>
  <c r="V6263" i="1"/>
  <c r="W6262" i="1"/>
  <c r="X6262" i="1" s="1"/>
  <c r="V6262" i="1"/>
  <c r="X6261" i="1"/>
  <c r="W6261" i="1"/>
  <c r="V6261" i="1"/>
  <c r="W6260" i="1"/>
  <c r="X6260" i="1" s="1"/>
  <c r="V6260" i="1"/>
  <c r="X6259" i="1"/>
  <c r="W6259" i="1"/>
  <c r="V6259" i="1"/>
  <c r="W6258" i="1"/>
  <c r="X6258" i="1" s="1"/>
  <c r="V6258" i="1"/>
  <c r="W6257" i="1"/>
  <c r="X6257" i="1" s="1"/>
  <c r="V6257" i="1"/>
  <c r="W6256" i="1"/>
  <c r="X6256" i="1" s="1"/>
  <c r="V6256" i="1"/>
  <c r="W6255" i="1"/>
  <c r="X6255" i="1" s="1"/>
  <c r="V6255" i="1"/>
  <c r="W6254" i="1"/>
  <c r="X6254" i="1" s="1"/>
  <c r="V6254" i="1"/>
  <c r="X6253" i="1"/>
  <c r="W6253" i="1"/>
  <c r="V6253" i="1"/>
  <c r="W6252" i="1"/>
  <c r="X6252" i="1" s="1"/>
  <c r="V6252" i="1"/>
  <c r="X6251" i="1"/>
  <c r="W6251" i="1"/>
  <c r="V6251" i="1"/>
  <c r="W6250" i="1"/>
  <c r="X6250" i="1" s="1"/>
  <c r="V6250" i="1"/>
  <c r="W6249" i="1"/>
  <c r="X6249" i="1" s="1"/>
  <c r="V6249" i="1"/>
  <c r="W6248" i="1"/>
  <c r="X6248" i="1" s="1"/>
  <c r="V6248" i="1"/>
  <c r="W6247" i="1"/>
  <c r="X6247" i="1" s="1"/>
  <c r="V6247" i="1"/>
  <c r="W6246" i="1"/>
  <c r="X6246" i="1" s="1"/>
  <c r="V6246" i="1"/>
  <c r="X6245" i="1"/>
  <c r="W6245" i="1"/>
  <c r="V6245" i="1"/>
  <c r="W6244" i="1"/>
  <c r="X6244" i="1" s="1"/>
  <c r="V6244" i="1"/>
  <c r="X6243" i="1"/>
  <c r="W6243" i="1"/>
  <c r="V6243" i="1"/>
  <c r="W6242" i="1"/>
  <c r="X6242" i="1" s="1"/>
  <c r="V6242" i="1"/>
  <c r="W6241" i="1"/>
  <c r="X6241" i="1" s="1"/>
  <c r="V6241" i="1"/>
  <c r="W6240" i="1"/>
  <c r="X6240" i="1" s="1"/>
  <c r="V6240" i="1"/>
  <c r="W6239" i="1"/>
  <c r="X6239" i="1" s="1"/>
  <c r="V6239" i="1"/>
  <c r="W6238" i="1"/>
  <c r="X6238" i="1" s="1"/>
  <c r="V6238" i="1"/>
  <c r="X6237" i="1"/>
  <c r="W6237" i="1"/>
  <c r="V6237" i="1"/>
  <c r="X6236" i="1"/>
  <c r="W6236" i="1"/>
  <c r="V6236" i="1"/>
  <c r="X6235" i="1"/>
  <c r="W6235" i="1"/>
  <c r="V6235" i="1"/>
  <c r="W6234" i="1"/>
  <c r="X6234" i="1" s="1"/>
  <c r="V6234" i="1"/>
  <c r="W6233" i="1"/>
  <c r="X6233" i="1" s="1"/>
  <c r="V6233" i="1"/>
  <c r="W6232" i="1"/>
  <c r="X6232" i="1" s="1"/>
  <c r="V6232" i="1"/>
  <c r="W6231" i="1"/>
  <c r="X6231" i="1" s="1"/>
  <c r="V6231" i="1"/>
  <c r="W6230" i="1"/>
  <c r="X6230" i="1" s="1"/>
  <c r="V6230" i="1"/>
  <c r="X6229" i="1"/>
  <c r="W6229" i="1"/>
  <c r="V6229" i="1"/>
  <c r="W6228" i="1"/>
  <c r="X6228" i="1" s="1"/>
  <c r="V6228" i="1"/>
  <c r="X6227" i="1"/>
  <c r="W6227" i="1"/>
  <c r="V6227" i="1"/>
  <c r="W6226" i="1"/>
  <c r="X6226" i="1" s="1"/>
  <c r="V6226" i="1"/>
  <c r="W6225" i="1"/>
  <c r="X6225" i="1" s="1"/>
  <c r="V6225" i="1"/>
  <c r="W6224" i="1"/>
  <c r="X6224" i="1" s="1"/>
  <c r="V6224" i="1"/>
  <c r="W6223" i="1"/>
  <c r="X6223" i="1" s="1"/>
  <c r="V6223" i="1"/>
  <c r="W6222" i="1"/>
  <c r="X6222" i="1" s="1"/>
  <c r="V6222" i="1"/>
  <c r="X6221" i="1"/>
  <c r="W6221" i="1"/>
  <c r="V6221" i="1"/>
  <c r="W6220" i="1"/>
  <c r="X6220" i="1" s="1"/>
  <c r="V6220" i="1"/>
  <c r="X6219" i="1"/>
  <c r="W6219" i="1"/>
  <c r="V6219" i="1"/>
  <c r="W6218" i="1"/>
  <c r="X6218" i="1" s="1"/>
  <c r="V6218" i="1"/>
  <c r="W6217" i="1"/>
  <c r="X6217" i="1" s="1"/>
  <c r="V6217" i="1"/>
  <c r="W6216" i="1"/>
  <c r="X6216" i="1" s="1"/>
  <c r="V6216" i="1"/>
  <c r="W6215" i="1"/>
  <c r="X6215" i="1" s="1"/>
  <c r="V6215" i="1"/>
  <c r="W6214" i="1"/>
  <c r="X6214" i="1" s="1"/>
  <c r="V6214" i="1"/>
  <c r="X6213" i="1"/>
  <c r="W6213" i="1"/>
  <c r="V6213" i="1"/>
  <c r="X6212" i="1"/>
  <c r="W6212" i="1"/>
  <c r="V6212" i="1"/>
  <c r="X6211" i="1"/>
  <c r="W6211" i="1"/>
  <c r="V6211" i="1"/>
  <c r="W6210" i="1"/>
  <c r="X6210" i="1" s="1"/>
  <c r="V6210" i="1"/>
  <c r="W6209" i="1"/>
  <c r="X6209" i="1" s="1"/>
  <c r="V6209" i="1"/>
  <c r="W6208" i="1"/>
  <c r="X6208" i="1" s="1"/>
  <c r="V6208" i="1"/>
  <c r="W6207" i="1"/>
  <c r="X6207" i="1" s="1"/>
  <c r="V6207" i="1"/>
  <c r="W6206" i="1"/>
  <c r="X6206" i="1" s="1"/>
  <c r="V6206" i="1"/>
  <c r="X6205" i="1"/>
  <c r="W6205" i="1"/>
  <c r="V6205" i="1"/>
  <c r="X6204" i="1"/>
  <c r="W6204" i="1"/>
  <c r="V6204" i="1"/>
  <c r="X6203" i="1"/>
  <c r="W6203" i="1"/>
  <c r="V6203" i="1"/>
  <c r="W6202" i="1"/>
  <c r="X6202" i="1" s="1"/>
  <c r="V6202" i="1"/>
  <c r="W6201" i="1"/>
  <c r="X6201" i="1" s="1"/>
  <c r="V6201" i="1"/>
  <c r="W6200" i="1"/>
  <c r="X6200" i="1" s="1"/>
  <c r="V6200" i="1"/>
  <c r="W6199" i="1"/>
  <c r="X6199" i="1" s="1"/>
  <c r="V6199" i="1"/>
  <c r="W6198" i="1"/>
  <c r="X6198" i="1" s="1"/>
  <c r="V6198" i="1"/>
  <c r="X6197" i="1"/>
  <c r="W6197" i="1"/>
  <c r="V6197" i="1"/>
  <c r="X6196" i="1"/>
  <c r="W6196" i="1"/>
  <c r="V6196" i="1"/>
  <c r="X6195" i="1"/>
  <c r="W6195" i="1"/>
  <c r="V6195" i="1"/>
  <c r="W6194" i="1"/>
  <c r="X6194" i="1" s="1"/>
  <c r="V6194" i="1"/>
  <c r="W6193" i="1"/>
  <c r="X6193" i="1" s="1"/>
  <c r="V6193" i="1"/>
  <c r="W6192" i="1"/>
  <c r="X6192" i="1" s="1"/>
  <c r="V6192" i="1"/>
  <c r="W6191" i="1"/>
  <c r="X6191" i="1" s="1"/>
  <c r="V6191" i="1"/>
  <c r="W6190" i="1"/>
  <c r="X6190" i="1" s="1"/>
  <c r="V6190" i="1"/>
  <c r="X6189" i="1"/>
  <c r="W6189" i="1"/>
  <c r="V6189" i="1"/>
  <c r="W6188" i="1"/>
  <c r="X6188" i="1" s="1"/>
  <c r="V6188" i="1"/>
  <c r="X6187" i="1"/>
  <c r="W6187" i="1"/>
  <c r="V6187" i="1"/>
  <c r="W6186" i="1"/>
  <c r="X6186" i="1" s="1"/>
  <c r="V6186" i="1"/>
  <c r="W6185" i="1"/>
  <c r="X6185" i="1" s="1"/>
  <c r="V6185" i="1"/>
  <c r="W6184" i="1"/>
  <c r="X6184" i="1" s="1"/>
  <c r="V6184" i="1"/>
  <c r="W6183" i="1"/>
  <c r="X6183" i="1" s="1"/>
  <c r="V6183" i="1"/>
  <c r="W6182" i="1"/>
  <c r="X6182" i="1" s="1"/>
  <c r="V6182" i="1"/>
  <c r="X6181" i="1"/>
  <c r="W6181" i="1"/>
  <c r="V6181" i="1"/>
  <c r="X6180" i="1"/>
  <c r="W6180" i="1"/>
  <c r="V6180" i="1"/>
  <c r="X6179" i="1"/>
  <c r="W6179" i="1"/>
  <c r="V6179" i="1"/>
  <c r="W6178" i="1"/>
  <c r="X6178" i="1" s="1"/>
  <c r="V6178" i="1"/>
  <c r="W6177" i="1"/>
  <c r="X6177" i="1" s="1"/>
  <c r="V6177" i="1"/>
  <c r="W6176" i="1"/>
  <c r="X6176" i="1" s="1"/>
  <c r="V6176" i="1"/>
  <c r="W6175" i="1"/>
  <c r="X6175" i="1" s="1"/>
  <c r="V6175" i="1"/>
  <c r="W6174" i="1"/>
  <c r="X6174" i="1" s="1"/>
  <c r="V6174" i="1"/>
  <c r="X6173" i="1"/>
  <c r="W6173" i="1"/>
  <c r="V6173" i="1"/>
  <c r="X6172" i="1"/>
  <c r="W6172" i="1"/>
  <c r="V6172" i="1"/>
  <c r="X6171" i="1"/>
  <c r="W6171" i="1"/>
  <c r="V6171" i="1"/>
  <c r="W6170" i="1"/>
  <c r="X6170" i="1" s="1"/>
  <c r="V6170" i="1"/>
  <c r="W6169" i="1"/>
  <c r="X6169" i="1" s="1"/>
  <c r="V6169" i="1"/>
  <c r="W6168" i="1"/>
  <c r="X6168" i="1" s="1"/>
  <c r="V6168" i="1"/>
  <c r="W6167" i="1"/>
  <c r="X6167" i="1" s="1"/>
  <c r="V6167" i="1"/>
  <c r="W6166" i="1"/>
  <c r="X6166" i="1" s="1"/>
  <c r="V6166" i="1"/>
  <c r="X6165" i="1"/>
  <c r="W6165" i="1"/>
  <c r="V6165" i="1"/>
  <c r="X6164" i="1"/>
  <c r="W6164" i="1"/>
  <c r="V6164" i="1"/>
  <c r="X6163" i="1"/>
  <c r="W6163" i="1"/>
  <c r="V6163" i="1"/>
  <c r="W6162" i="1"/>
  <c r="X6162" i="1" s="1"/>
  <c r="V6162" i="1"/>
  <c r="W6161" i="1"/>
  <c r="X6161" i="1" s="1"/>
  <c r="V6161" i="1"/>
  <c r="W6160" i="1"/>
  <c r="X6160" i="1" s="1"/>
  <c r="V6160" i="1"/>
  <c r="W6159" i="1"/>
  <c r="X6159" i="1" s="1"/>
  <c r="V6159" i="1"/>
  <c r="W6158" i="1"/>
  <c r="X6158" i="1" s="1"/>
  <c r="V6158" i="1"/>
  <c r="X6157" i="1"/>
  <c r="W6157" i="1"/>
  <c r="V6157" i="1"/>
  <c r="X6156" i="1"/>
  <c r="W6156" i="1"/>
  <c r="V6156" i="1"/>
  <c r="X6155" i="1"/>
  <c r="W6155" i="1"/>
  <c r="V6155" i="1"/>
  <c r="W6154" i="1"/>
  <c r="X6154" i="1" s="1"/>
  <c r="V6154" i="1"/>
  <c r="W6153" i="1"/>
  <c r="X6153" i="1" s="1"/>
  <c r="V6153" i="1"/>
  <c r="W6152" i="1"/>
  <c r="X6152" i="1" s="1"/>
  <c r="V6152" i="1"/>
  <c r="W6151" i="1"/>
  <c r="X6151" i="1" s="1"/>
  <c r="V6151" i="1"/>
  <c r="W6150" i="1"/>
  <c r="X6150" i="1" s="1"/>
  <c r="V6150" i="1"/>
  <c r="X6149" i="1"/>
  <c r="W6149" i="1"/>
  <c r="V6149" i="1"/>
  <c r="X6148" i="1"/>
  <c r="W6148" i="1"/>
  <c r="V6148" i="1"/>
  <c r="X6147" i="1"/>
  <c r="W6147" i="1"/>
  <c r="V6147" i="1"/>
  <c r="W6146" i="1"/>
  <c r="X6146" i="1" s="1"/>
  <c r="V6146" i="1"/>
  <c r="W6145" i="1"/>
  <c r="X6145" i="1" s="1"/>
  <c r="V6145" i="1"/>
  <c r="W6144" i="1"/>
  <c r="X6144" i="1" s="1"/>
  <c r="V6144" i="1"/>
  <c r="W6143" i="1"/>
  <c r="X6143" i="1" s="1"/>
  <c r="V6143" i="1"/>
  <c r="W6142" i="1"/>
  <c r="X6142" i="1" s="1"/>
  <c r="V6142" i="1"/>
  <c r="X6141" i="1"/>
  <c r="W6141" i="1"/>
  <c r="V6141" i="1"/>
  <c r="X6140" i="1"/>
  <c r="W6140" i="1"/>
  <c r="V6140" i="1"/>
  <c r="X6139" i="1"/>
  <c r="W6139" i="1"/>
  <c r="V6139" i="1"/>
  <c r="W6138" i="1"/>
  <c r="X6138" i="1" s="1"/>
  <c r="V6138" i="1"/>
  <c r="W6137" i="1"/>
  <c r="X6137" i="1" s="1"/>
  <c r="V6137" i="1"/>
  <c r="W6136" i="1"/>
  <c r="X6136" i="1" s="1"/>
  <c r="V6136" i="1"/>
  <c r="W6135" i="1"/>
  <c r="X6135" i="1" s="1"/>
  <c r="V6135" i="1"/>
  <c r="W6134" i="1"/>
  <c r="X6134" i="1" s="1"/>
  <c r="V6134" i="1"/>
  <c r="X6133" i="1"/>
  <c r="W6133" i="1"/>
  <c r="V6133" i="1"/>
  <c r="X6132" i="1"/>
  <c r="W6132" i="1"/>
  <c r="V6132" i="1"/>
  <c r="X6131" i="1"/>
  <c r="W6131" i="1"/>
  <c r="V6131" i="1"/>
  <c r="W6130" i="1"/>
  <c r="X6130" i="1" s="1"/>
  <c r="V6130" i="1"/>
  <c r="W6129" i="1"/>
  <c r="X6129" i="1" s="1"/>
  <c r="V6129" i="1"/>
  <c r="W6128" i="1"/>
  <c r="X6128" i="1" s="1"/>
  <c r="V6128" i="1"/>
  <c r="W6127" i="1"/>
  <c r="X6127" i="1" s="1"/>
  <c r="V6127" i="1"/>
  <c r="W6126" i="1"/>
  <c r="X6126" i="1" s="1"/>
  <c r="V6126" i="1"/>
  <c r="X6125" i="1"/>
  <c r="W6125" i="1"/>
  <c r="V6125" i="1"/>
  <c r="X6124" i="1"/>
  <c r="W6124" i="1"/>
  <c r="V6124" i="1"/>
  <c r="X6123" i="1"/>
  <c r="W6123" i="1"/>
  <c r="V6123" i="1"/>
  <c r="W6122" i="1"/>
  <c r="X6122" i="1" s="1"/>
  <c r="V6122" i="1"/>
  <c r="W6121" i="1"/>
  <c r="X6121" i="1" s="1"/>
  <c r="V6121" i="1"/>
  <c r="W6120" i="1"/>
  <c r="X6120" i="1" s="1"/>
  <c r="V6120" i="1"/>
  <c r="W6119" i="1"/>
  <c r="X6119" i="1" s="1"/>
  <c r="V6119" i="1"/>
  <c r="W6118" i="1"/>
  <c r="X6118" i="1" s="1"/>
  <c r="V6118" i="1"/>
  <c r="X6117" i="1"/>
  <c r="W6117" i="1"/>
  <c r="V6117" i="1"/>
  <c r="X6116" i="1"/>
  <c r="W6116" i="1"/>
  <c r="V6116" i="1"/>
  <c r="X6115" i="1"/>
  <c r="W6115" i="1"/>
  <c r="V6115" i="1"/>
  <c r="W6114" i="1"/>
  <c r="X6114" i="1" s="1"/>
  <c r="V6114" i="1"/>
  <c r="W6113" i="1"/>
  <c r="X6113" i="1" s="1"/>
  <c r="V6113" i="1"/>
  <c r="W6112" i="1"/>
  <c r="X6112" i="1" s="1"/>
  <c r="V6112" i="1"/>
  <c r="W6111" i="1"/>
  <c r="X6111" i="1" s="1"/>
  <c r="V6111" i="1"/>
  <c r="W6110" i="1"/>
  <c r="X6110" i="1" s="1"/>
  <c r="V6110" i="1"/>
  <c r="X6109" i="1"/>
  <c r="W6109" i="1"/>
  <c r="V6109" i="1"/>
  <c r="X6108" i="1"/>
  <c r="W6108" i="1"/>
  <c r="V6108" i="1"/>
  <c r="X6107" i="1"/>
  <c r="W6107" i="1"/>
  <c r="V6107" i="1"/>
  <c r="W6106" i="1"/>
  <c r="X6106" i="1" s="1"/>
  <c r="V6106" i="1"/>
  <c r="W6105" i="1"/>
  <c r="X6105" i="1" s="1"/>
  <c r="V6105" i="1"/>
  <c r="W6104" i="1"/>
  <c r="X6104" i="1" s="1"/>
  <c r="V6104" i="1"/>
  <c r="W6103" i="1"/>
  <c r="X6103" i="1" s="1"/>
  <c r="V6103" i="1"/>
  <c r="W6102" i="1"/>
  <c r="X6102" i="1" s="1"/>
  <c r="V6102" i="1"/>
  <c r="X6101" i="1"/>
  <c r="W6101" i="1"/>
  <c r="V6101" i="1"/>
  <c r="X6100" i="1"/>
  <c r="W6100" i="1"/>
  <c r="V6100" i="1"/>
  <c r="X6099" i="1"/>
  <c r="W6099" i="1"/>
  <c r="V6099" i="1"/>
  <c r="W6098" i="1"/>
  <c r="X6098" i="1" s="1"/>
  <c r="V6098" i="1"/>
  <c r="W6097" i="1"/>
  <c r="X6097" i="1" s="1"/>
  <c r="V6097" i="1"/>
  <c r="W6096" i="1"/>
  <c r="X6096" i="1" s="1"/>
  <c r="V6096" i="1"/>
  <c r="W6095" i="1"/>
  <c r="X6095" i="1" s="1"/>
  <c r="V6095" i="1"/>
  <c r="W6094" i="1"/>
  <c r="X6094" i="1" s="1"/>
  <c r="V6094" i="1"/>
  <c r="X6093" i="1"/>
  <c r="W6093" i="1"/>
  <c r="V6093" i="1"/>
  <c r="X6092" i="1"/>
  <c r="W6092" i="1"/>
  <c r="V6092" i="1"/>
  <c r="X6091" i="1"/>
  <c r="W6091" i="1"/>
  <c r="V6091" i="1"/>
  <c r="W6090" i="1"/>
  <c r="X6090" i="1" s="1"/>
  <c r="V6090" i="1"/>
  <c r="W6089" i="1"/>
  <c r="X6089" i="1" s="1"/>
  <c r="V6089" i="1"/>
  <c r="W6088" i="1"/>
  <c r="X6088" i="1" s="1"/>
  <c r="V6088" i="1"/>
  <c r="W6087" i="1"/>
  <c r="X6087" i="1" s="1"/>
  <c r="V6087" i="1"/>
  <c r="W6086" i="1"/>
  <c r="X6086" i="1" s="1"/>
  <c r="V6086" i="1"/>
  <c r="X6085" i="1"/>
  <c r="W6085" i="1"/>
  <c r="V6085" i="1"/>
  <c r="X6084" i="1"/>
  <c r="W6084" i="1"/>
  <c r="V6084" i="1"/>
  <c r="X6083" i="1"/>
  <c r="W6083" i="1"/>
  <c r="V6083" i="1"/>
  <c r="W6082" i="1"/>
  <c r="X6082" i="1" s="1"/>
  <c r="V6082" i="1"/>
  <c r="W6081" i="1"/>
  <c r="X6081" i="1" s="1"/>
  <c r="V6081" i="1"/>
  <c r="W6080" i="1"/>
  <c r="X6080" i="1" s="1"/>
  <c r="V6080" i="1"/>
  <c r="W6079" i="1"/>
  <c r="X6079" i="1" s="1"/>
  <c r="V6079" i="1"/>
  <c r="W6078" i="1"/>
  <c r="X6078" i="1" s="1"/>
  <c r="V6078" i="1"/>
  <c r="X6077" i="1"/>
  <c r="W6077" i="1"/>
  <c r="V6077" i="1"/>
  <c r="X6076" i="1"/>
  <c r="W6076" i="1"/>
  <c r="V6076" i="1"/>
  <c r="X6075" i="1"/>
  <c r="W6075" i="1"/>
  <c r="V6075" i="1"/>
  <c r="W6074" i="1"/>
  <c r="X6074" i="1" s="1"/>
  <c r="V6074" i="1"/>
  <c r="W6073" i="1"/>
  <c r="X6073" i="1" s="1"/>
  <c r="V6073" i="1"/>
  <c r="W6072" i="1"/>
  <c r="X6072" i="1" s="1"/>
  <c r="V6072" i="1"/>
  <c r="W6071" i="1"/>
  <c r="X6071" i="1" s="1"/>
  <c r="V6071" i="1"/>
  <c r="W6070" i="1"/>
  <c r="X6070" i="1" s="1"/>
  <c r="V6070" i="1"/>
  <c r="X6069" i="1"/>
  <c r="W6069" i="1"/>
  <c r="V6069" i="1"/>
  <c r="X6068" i="1"/>
  <c r="W6068" i="1"/>
  <c r="V6068" i="1"/>
  <c r="X6067" i="1"/>
  <c r="W6067" i="1"/>
  <c r="V6067" i="1"/>
  <c r="W6066" i="1"/>
  <c r="X6066" i="1" s="1"/>
  <c r="V6066" i="1"/>
  <c r="W6065" i="1"/>
  <c r="X6065" i="1" s="1"/>
  <c r="V6065" i="1"/>
  <c r="W6064" i="1"/>
  <c r="X6064" i="1" s="1"/>
  <c r="V6064" i="1"/>
  <c r="W6063" i="1"/>
  <c r="X6063" i="1" s="1"/>
  <c r="V6063" i="1"/>
  <c r="W6062" i="1"/>
  <c r="X6062" i="1" s="1"/>
  <c r="V6062" i="1"/>
  <c r="X6061" i="1"/>
  <c r="W6061" i="1"/>
  <c r="V6061" i="1"/>
  <c r="X6060" i="1"/>
  <c r="W6060" i="1"/>
  <c r="V6060" i="1"/>
  <c r="X6059" i="1"/>
  <c r="W6059" i="1"/>
  <c r="V6059" i="1"/>
  <c r="W6058" i="1"/>
  <c r="X6058" i="1" s="1"/>
  <c r="V6058" i="1"/>
  <c r="W6057" i="1"/>
  <c r="X6057" i="1" s="1"/>
  <c r="V6057" i="1"/>
  <c r="W6056" i="1"/>
  <c r="X6056" i="1" s="1"/>
  <c r="V6056" i="1"/>
  <c r="W6055" i="1"/>
  <c r="X6055" i="1" s="1"/>
  <c r="V6055" i="1"/>
  <c r="W6054" i="1"/>
  <c r="X6054" i="1" s="1"/>
  <c r="V6054" i="1"/>
  <c r="X6053" i="1"/>
  <c r="W6053" i="1"/>
  <c r="V6053" i="1"/>
  <c r="W6052" i="1"/>
  <c r="X6052" i="1" s="1"/>
  <c r="V6052" i="1"/>
  <c r="X6051" i="1"/>
  <c r="W6051" i="1"/>
  <c r="V6051" i="1"/>
  <c r="W6050" i="1"/>
  <c r="X6050" i="1" s="1"/>
  <c r="V6050" i="1"/>
  <c r="W6049" i="1"/>
  <c r="X6049" i="1" s="1"/>
  <c r="V6049" i="1"/>
  <c r="W6048" i="1"/>
  <c r="X6048" i="1" s="1"/>
  <c r="V6048" i="1"/>
  <c r="W6047" i="1"/>
  <c r="X6047" i="1" s="1"/>
  <c r="V6047" i="1"/>
  <c r="W6046" i="1"/>
  <c r="X6046" i="1" s="1"/>
  <c r="V6046" i="1"/>
  <c r="X6045" i="1"/>
  <c r="W6045" i="1"/>
  <c r="V6045" i="1"/>
  <c r="W6044" i="1"/>
  <c r="X6044" i="1" s="1"/>
  <c r="V6044" i="1"/>
  <c r="X6043" i="1"/>
  <c r="W6043" i="1"/>
  <c r="V6043" i="1"/>
  <c r="W6042" i="1"/>
  <c r="X6042" i="1" s="1"/>
  <c r="V6042" i="1"/>
  <c r="W6041" i="1"/>
  <c r="X6041" i="1" s="1"/>
  <c r="V6041" i="1"/>
  <c r="W6040" i="1"/>
  <c r="X6040" i="1" s="1"/>
  <c r="V6040" i="1"/>
  <c r="W6039" i="1"/>
  <c r="X6039" i="1" s="1"/>
  <c r="V6039" i="1"/>
  <c r="W6038" i="1"/>
  <c r="X6038" i="1" s="1"/>
  <c r="V6038" i="1"/>
  <c r="X6037" i="1"/>
  <c r="W6037" i="1"/>
  <c r="V6037" i="1"/>
  <c r="W6036" i="1"/>
  <c r="X6036" i="1" s="1"/>
  <c r="V6036" i="1"/>
  <c r="X6035" i="1"/>
  <c r="W6035" i="1"/>
  <c r="V6035" i="1"/>
  <c r="W6034" i="1"/>
  <c r="X6034" i="1" s="1"/>
  <c r="V6034" i="1"/>
  <c r="W6033" i="1"/>
  <c r="X6033" i="1" s="1"/>
  <c r="V6033" i="1"/>
  <c r="W6032" i="1"/>
  <c r="X6032" i="1" s="1"/>
  <c r="V6032" i="1"/>
  <c r="W6031" i="1"/>
  <c r="X6031" i="1" s="1"/>
  <c r="V6031" i="1"/>
  <c r="W6030" i="1"/>
  <c r="X6030" i="1" s="1"/>
  <c r="V6030" i="1"/>
  <c r="X6029" i="1"/>
  <c r="W6029" i="1"/>
  <c r="V6029" i="1"/>
  <c r="W6028" i="1"/>
  <c r="X6028" i="1" s="1"/>
  <c r="V6028" i="1"/>
  <c r="X6027" i="1"/>
  <c r="W6027" i="1"/>
  <c r="V6027" i="1"/>
  <c r="W6026" i="1"/>
  <c r="X6026" i="1" s="1"/>
  <c r="V6026" i="1"/>
  <c r="W6025" i="1"/>
  <c r="X6025" i="1" s="1"/>
  <c r="V6025" i="1"/>
  <c r="W6024" i="1"/>
  <c r="X6024" i="1" s="1"/>
  <c r="V6024" i="1"/>
  <c r="W6023" i="1"/>
  <c r="X6023" i="1" s="1"/>
  <c r="V6023" i="1"/>
  <c r="W6022" i="1"/>
  <c r="X6022" i="1" s="1"/>
  <c r="V6022" i="1"/>
  <c r="X6021" i="1"/>
  <c r="W6021" i="1"/>
  <c r="V6021" i="1"/>
  <c r="W6020" i="1"/>
  <c r="X6020" i="1" s="1"/>
  <c r="V6020" i="1"/>
  <c r="X6019" i="1"/>
  <c r="W6019" i="1"/>
  <c r="V6019" i="1"/>
  <c r="W6018" i="1"/>
  <c r="X6018" i="1" s="1"/>
  <c r="V6018" i="1"/>
  <c r="W6017" i="1"/>
  <c r="X6017" i="1" s="1"/>
  <c r="V6017" i="1"/>
  <c r="W6016" i="1"/>
  <c r="X6016" i="1" s="1"/>
  <c r="V6016" i="1"/>
  <c r="W6015" i="1"/>
  <c r="X6015" i="1" s="1"/>
  <c r="V6015" i="1"/>
  <c r="W6014" i="1"/>
  <c r="X6014" i="1" s="1"/>
  <c r="V6014" i="1"/>
  <c r="X6013" i="1"/>
  <c r="W6013" i="1"/>
  <c r="V6013" i="1"/>
  <c r="W6012" i="1"/>
  <c r="X6012" i="1" s="1"/>
  <c r="V6012" i="1"/>
  <c r="X6011" i="1"/>
  <c r="W6011" i="1"/>
  <c r="V6011" i="1"/>
  <c r="W6010" i="1"/>
  <c r="X6010" i="1" s="1"/>
  <c r="V6010" i="1"/>
  <c r="W6009" i="1"/>
  <c r="X6009" i="1" s="1"/>
  <c r="V6009" i="1"/>
  <c r="W6008" i="1"/>
  <c r="X6008" i="1" s="1"/>
  <c r="V6008" i="1"/>
  <c r="W6007" i="1"/>
  <c r="X6007" i="1" s="1"/>
  <c r="V6007" i="1"/>
  <c r="W6006" i="1"/>
  <c r="X6006" i="1" s="1"/>
  <c r="V6006" i="1"/>
  <c r="X6005" i="1"/>
  <c r="W6005" i="1"/>
  <c r="V6005" i="1"/>
  <c r="W6004" i="1"/>
  <c r="X6004" i="1" s="1"/>
  <c r="V6004" i="1"/>
  <c r="X6003" i="1"/>
  <c r="W6003" i="1"/>
  <c r="V6003" i="1"/>
  <c r="W6002" i="1"/>
  <c r="X6002" i="1" s="1"/>
  <c r="V6002" i="1"/>
  <c r="W6001" i="1"/>
  <c r="X6001" i="1" s="1"/>
  <c r="V6001" i="1"/>
  <c r="W6000" i="1"/>
  <c r="X6000" i="1" s="1"/>
  <c r="V6000" i="1"/>
  <c r="X5999" i="1"/>
  <c r="W5999" i="1"/>
  <c r="V5999" i="1"/>
  <c r="W5998" i="1"/>
  <c r="X5998" i="1" s="1"/>
  <c r="V5998" i="1"/>
  <c r="X5997" i="1"/>
  <c r="W5997" i="1"/>
  <c r="V5997" i="1"/>
  <c r="W5996" i="1"/>
  <c r="X5996" i="1" s="1"/>
  <c r="V5996" i="1"/>
  <c r="X5995" i="1"/>
  <c r="W5995" i="1"/>
  <c r="V5995" i="1"/>
  <c r="W5994" i="1"/>
  <c r="X5994" i="1" s="1"/>
  <c r="V5994" i="1"/>
  <c r="W5993" i="1"/>
  <c r="X5993" i="1" s="1"/>
  <c r="V5993" i="1"/>
  <c r="W5992" i="1"/>
  <c r="X5992" i="1" s="1"/>
  <c r="V5992" i="1"/>
  <c r="X5991" i="1"/>
  <c r="W5991" i="1"/>
  <c r="V5991" i="1"/>
  <c r="X5990" i="1"/>
  <c r="W5990" i="1"/>
  <c r="V5990" i="1"/>
  <c r="X5989" i="1"/>
  <c r="W5989" i="1"/>
  <c r="V5989" i="1"/>
  <c r="X5988" i="1"/>
  <c r="W5988" i="1"/>
  <c r="V5988" i="1"/>
  <c r="X5987" i="1"/>
  <c r="W5987" i="1"/>
  <c r="V5987" i="1"/>
  <c r="W5986" i="1"/>
  <c r="X5986" i="1" s="1"/>
  <c r="V5986" i="1"/>
  <c r="X5985" i="1"/>
  <c r="W5985" i="1"/>
  <c r="V5985" i="1"/>
  <c r="W5984" i="1"/>
  <c r="X5984" i="1" s="1"/>
  <c r="V5984" i="1"/>
  <c r="X5983" i="1"/>
  <c r="W5983" i="1"/>
  <c r="V5983" i="1"/>
  <c r="X5982" i="1"/>
  <c r="W5982" i="1"/>
  <c r="V5982" i="1"/>
  <c r="X5981" i="1"/>
  <c r="W5981" i="1"/>
  <c r="V5981" i="1"/>
  <c r="X5980" i="1"/>
  <c r="W5980" i="1"/>
  <c r="V5980" i="1"/>
  <c r="X5979" i="1"/>
  <c r="W5979" i="1"/>
  <c r="V5979" i="1"/>
  <c r="X5978" i="1"/>
  <c r="W5978" i="1"/>
  <c r="V5978" i="1"/>
  <c r="X5977" i="1"/>
  <c r="W5977" i="1"/>
  <c r="V5977" i="1"/>
  <c r="X5976" i="1"/>
  <c r="W5976" i="1"/>
  <c r="V5976" i="1"/>
  <c r="X5975" i="1"/>
  <c r="W5975" i="1"/>
  <c r="V5975" i="1"/>
  <c r="X5974" i="1"/>
  <c r="W5974" i="1"/>
  <c r="V5974" i="1"/>
  <c r="X5973" i="1"/>
  <c r="W5973" i="1"/>
  <c r="V5973" i="1"/>
  <c r="X5972" i="1"/>
  <c r="W5972" i="1"/>
  <c r="V5972" i="1"/>
  <c r="X5971" i="1"/>
  <c r="W5971" i="1"/>
  <c r="V5971" i="1"/>
  <c r="X5970" i="1"/>
  <c r="W5970" i="1"/>
  <c r="V5970" i="1"/>
  <c r="X5969" i="1"/>
  <c r="W5969" i="1"/>
  <c r="V5969" i="1"/>
  <c r="X5968" i="1"/>
  <c r="W5968" i="1"/>
  <c r="V5968" i="1"/>
  <c r="X5967" i="1"/>
  <c r="W5967" i="1"/>
  <c r="V5967" i="1"/>
  <c r="X5966" i="1"/>
  <c r="W5966" i="1"/>
  <c r="V5966" i="1"/>
  <c r="X5965" i="1"/>
  <c r="W5965" i="1"/>
  <c r="V5965" i="1"/>
  <c r="X5964" i="1"/>
  <c r="W5964" i="1"/>
  <c r="V5964" i="1"/>
  <c r="X5963" i="1"/>
  <c r="W5963" i="1"/>
  <c r="V5963" i="1"/>
  <c r="X5962" i="1"/>
  <c r="W5962" i="1"/>
  <c r="V5962" i="1"/>
  <c r="X5961" i="1"/>
  <c r="W5961" i="1"/>
  <c r="V5961" i="1"/>
  <c r="X5960" i="1"/>
  <c r="W5960" i="1"/>
  <c r="V5960" i="1"/>
  <c r="X5959" i="1"/>
  <c r="W5959" i="1"/>
  <c r="V5959" i="1"/>
  <c r="X5958" i="1"/>
  <c r="W5958" i="1"/>
  <c r="V5958" i="1"/>
  <c r="X5957" i="1"/>
  <c r="W5957" i="1"/>
  <c r="V5957" i="1"/>
  <c r="X5956" i="1"/>
  <c r="W5956" i="1"/>
  <c r="V5956" i="1"/>
  <c r="X5955" i="1"/>
  <c r="W5955" i="1"/>
  <c r="V5955" i="1"/>
  <c r="X5954" i="1"/>
  <c r="W5954" i="1"/>
  <c r="V5954" i="1"/>
  <c r="X5953" i="1"/>
  <c r="W5953" i="1"/>
  <c r="V5953" i="1"/>
  <c r="X5952" i="1"/>
  <c r="W5952" i="1"/>
  <c r="V5952" i="1"/>
  <c r="X5951" i="1"/>
  <c r="W5951" i="1"/>
  <c r="V5951" i="1"/>
  <c r="X5950" i="1"/>
  <c r="W5950" i="1"/>
  <c r="V5950" i="1"/>
  <c r="X5949" i="1"/>
  <c r="W5949" i="1"/>
  <c r="V5949" i="1"/>
  <c r="X5948" i="1"/>
  <c r="W5948" i="1"/>
  <c r="V5948" i="1"/>
  <c r="X5947" i="1"/>
  <c r="W5947" i="1"/>
  <c r="V5947" i="1"/>
  <c r="X5946" i="1"/>
  <c r="W5946" i="1"/>
  <c r="V5946" i="1"/>
  <c r="X5945" i="1"/>
  <c r="W5945" i="1"/>
  <c r="V5945" i="1"/>
  <c r="X5944" i="1"/>
  <c r="W5944" i="1"/>
  <c r="V5944" i="1"/>
  <c r="X5943" i="1"/>
  <c r="W5943" i="1"/>
  <c r="V5943" i="1"/>
  <c r="X5942" i="1"/>
  <c r="W5942" i="1"/>
  <c r="V5942" i="1"/>
  <c r="X5941" i="1"/>
  <c r="W5941" i="1"/>
  <c r="V5941" i="1"/>
  <c r="X5940" i="1"/>
  <c r="W5940" i="1"/>
  <c r="V5940" i="1"/>
  <c r="X5939" i="1"/>
  <c r="W5939" i="1"/>
  <c r="V5939" i="1"/>
  <c r="X5938" i="1"/>
  <c r="W5938" i="1"/>
  <c r="V5938" i="1"/>
  <c r="X5937" i="1"/>
  <c r="W5937" i="1"/>
  <c r="V5937" i="1"/>
  <c r="X5936" i="1"/>
  <c r="W5936" i="1"/>
  <c r="V5936" i="1"/>
  <c r="X5935" i="1"/>
  <c r="W5935" i="1"/>
  <c r="V5935" i="1"/>
  <c r="X5934" i="1"/>
  <c r="W5934" i="1"/>
  <c r="V5934" i="1"/>
  <c r="X5933" i="1"/>
  <c r="W5933" i="1"/>
  <c r="V5933" i="1"/>
  <c r="X5932" i="1"/>
  <c r="W5932" i="1"/>
  <c r="V5932" i="1"/>
  <c r="X5931" i="1"/>
  <c r="W5931" i="1"/>
  <c r="V5931" i="1"/>
  <c r="X5930" i="1"/>
  <c r="W5930" i="1"/>
  <c r="V5930" i="1"/>
  <c r="X5929" i="1"/>
  <c r="W5929" i="1"/>
  <c r="V5929" i="1"/>
  <c r="X5928" i="1"/>
  <c r="W5928" i="1"/>
  <c r="V5928" i="1"/>
  <c r="X5927" i="1"/>
  <c r="W5927" i="1"/>
  <c r="V5927" i="1"/>
  <c r="X5926" i="1"/>
  <c r="W5926" i="1"/>
  <c r="V5926" i="1"/>
  <c r="X5925" i="1"/>
  <c r="W5925" i="1"/>
  <c r="V5925" i="1"/>
  <c r="X5924" i="1"/>
  <c r="W5924" i="1"/>
  <c r="V5924" i="1"/>
  <c r="X5923" i="1"/>
  <c r="W5923" i="1"/>
  <c r="V5923" i="1"/>
  <c r="X5922" i="1"/>
  <c r="W5922" i="1"/>
  <c r="V5922" i="1"/>
  <c r="X5921" i="1"/>
  <c r="W5921" i="1"/>
  <c r="V5921" i="1"/>
  <c r="X5920" i="1"/>
  <c r="W5920" i="1"/>
  <c r="V5920" i="1"/>
  <c r="X5919" i="1"/>
  <c r="W5919" i="1"/>
  <c r="V5919" i="1"/>
  <c r="X5918" i="1"/>
  <c r="W5918" i="1"/>
  <c r="V5918" i="1"/>
  <c r="X5917" i="1"/>
  <c r="W5917" i="1"/>
  <c r="V5917" i="1"/>
  <c r="X5916" i="1"/>
  <c r="W5916" i="1"/>
  <c r="V5916" i="1"/>
  <c r="X5915" i="1"/>
  <c r="W5915" i="1"/>
  <c r="V5915" i="1"/>
  <c r="X5914" i="1"/>
  <c r="W5914" i="1"/>
  <c r="V5914" i="1"/>
  <c r="X5913" i="1"/>
  <c r="W5913" i="1"/>
  <c r="V5913" i="1"/>
  <c r="X5912" i="1"/>
  <c r="W5912" i="1"/>
  <c r="V5912" i="1"/>
  <c r="X5911" i="1"/>
  <c r="W5911" i="1"/>
  <c r="V5911" i="1"/>
  <c r="X5910" i="1"/>
  <c r="W5910" i="1"/>
  <c r="V5910" i="1"/>
  <c r="X5909" i="1"/>
  <c r="W5909" i="1"/>
  <c r="V5909" i="1"/>
  <c r="X5908" i="1"/>
  <c r="W5908" i="1"/>
  <c r="V5908" i="1"/>
  <c r="X5907" i="1"/>
  <c r="W5907" i="1"/>
  <c r="V5907" i="1"/>
  <c r="X5906" i="1"/>
  <c r="W5906" i="1"/>
  <c r="V5906" i="1"/>
  <c r="X5905" i="1"/>
  <c r="W5905" i="1"/>
  <c r="V5905" i="1"/>
  <c r="X5904" i="1"/>
  <c r="W5904" i="1"/>
  <c r="V5904" i="1"/>
  <c r="X5903" i="1"/>
  <c r="W5903" i="1"/>
  <c r="V5903" i="1"/>
  <c r="X5902" i="1"/>
  <c r="W5902" i="1"/>
  <c r="V5902" i="1"/>
  <c r="X5901" i="1"/>
  <c r="W5901" i="1"/>
  <c r="V5901" i="1"/>
  <c r="X5900" i="1"/>
  <c r="W5900" i="1"/>
  <c r="V5900" i="1"/>
  <c r="X5899" i="1"/>
  <c r="W5899" i="1"/>
  <c r="V5899" i="1"/>
  <c r="X5898" i="1"/>
  <c r="W5898" i="1"/>
  <c r="V5898" i="1"/>
  <c r="X5897" i="1"/>
  <c r="W5897" i="1"/>
  <c r="V5897" i="1"/>
  <c r="X5896" i="1"/>
  <c r="W5896" i="1"/>
  <c r="V5896" i="1"/>
  <c r="X5895" i="1"/>
  <c r="W5895" i="1"/>
  <c r="V5895" i="1"/>
  <c r="X5894" i="1"/>
  <c r="W5894" i="1"/>
  <c r="V5894" i="1"/>
  <c r="X5893" i="1"/>
  <c r="W5893" i="1"/>
  <c r="V5893" i="1"/>
  <c r="X5892" i="1"/>
  <c r="W5892" i="1"/>
  <c r="V5892" i="1"/>
  <c r="X5891" i="1"/>
  <c r="W5891" i="1"/>
  <c r="V5891" i="1"/>
  <c r="X5890" i="1"/>
  <c r="W5890" i="1"/>
  <c r="V5890" i="1"/>
  <c r="X5889" i="1"/>
  <c r="W5889" i="1"/>
  <c r="V5889" i="1"/>
  <c r="X5888" i="1"/>
  <c r="W5888" i="1"/>
  <c r="V5888" i="1"/>
  <c r="X5887" i="1"/>
  <c r="W5887" i="1"/>
  <c r="V5887" i="1"/>
  <c r="X5886" i="1"/>
  <c r="W5886" i="1"/>
  <c r="V5886" i="1"/>
  <c r="X5885" i="1"/>
  <c r="W5885" i="1"/>
  <c r="V5885" i="1"/>
  <c r="X5884" i="1"/>
  <c r="W5884" i="1"/>
  <c r="V5884" i="1"/>
  <c r="X5883" i="1"/>
  <c r="W5883" i="1"/>
  <c r="V5883" i="1"/>
  <c r="X5882" i="1"/>
  <c r="W5882" i="1"/>
  <c r="V5882" i="1"/>
  <c r="X5881" i="1"/>
  <c r="W5881" i="1"/>
  <c r="V5881" i="1"/>
  <c r="X5880" i="1"/>
  <c r="W5880" i="1"/>
  <c r="V5880" i="1"/>
  <c r="X5879" i="1"/>
  <c r="W5879" i="1"/>
  <c r="V5879" i="1"/>
  <c r="X5878" i="1"/>
  <c r="W5878" i="1"/>
  <c r="V5878" i="1"/>
  <c r="X5877" i="1"/>
  <c r="W5877" i="1"/>
  <c r="V5877" i="1"/>
  <c r="X5876" i="1"/>
  <c r="W5876" i="1"/>
  <c r="V5876" i="1"/>
  <c r="X5875" i="1"/>
  <c r="W5875" i="1"/>
  <c r="V5875" i="1"/>
  <c r="X5874" i="1"/>
  <c r="W5874" i="1"/>
  <c r="V5874" i="1"/>
  <c r="X5873" i="1"/>
  <c r="W5873" i="1"/>
  <c r="V5873" i="1"/>
  <c r="X5872" i="1"/>
  <c r="W5872" i="1"/>
  <c r="V5872" i="1"/>
  <c r="X5871" i="1"/>
  <c r="W5871" i="1"/>
  <c r="V5871" i="1"/>
  <c r="X5870" i="1"/>
  <c r="W5870" i="1"/>
  <c r="V5870" i="1"/>
  <c r="X5869" i="1"/>
  <c r="W5869" i="1"/>
  <c r="V5869" i="1"/>
  <c r="X5868" i="1"/>
  <c r="W5868" i="1"/>
  <c r="V5868" i="1"/>
  <c r="X5867" i="1"/>
  <c r="W5867" i="1"/>
  <c r="V5867" i="1"/>
  <c r="X5866" i="1"/>
  <c r="W5866" i="1"/>
  <c r="V5866" i="1"/>
  <c r="X5865" i="1"/>
  <c r="W5865" i="1"/>
  <c r="V5865" i="1"/>
  <c r="X5864" i="1"/>
  <c r="W5864" i="1"/>
  <c r="V5864" i="1"/>
  <c r="X5863" i="1"/>
  <c r="W5863" i="1"/>
  <c r="V5863" i="1"/>
  <c r="X5862" i="1"/>
  <c r="W5862" i="1"/>
  <c r="V5862" i="1"/>
  <c r="X5861" i="1"/>
  <c r="W5861" i="1"/>
  <c r="V5861" i="1"/>
  <c r="X5860" i="1"/>
  <c r="W5860" i="1"/>
  <c r="V5860" i="1"/>
  <c r="X5859" i="1"/>
  <c r="W5859" i="1"/>
  <c r="V5859" i="1"/>
  <c r="X5858" i="1"/>
  <c r="W5858" i="1"/>
  <c r="V5858" i="1"/>
  <c r="X5857" i="1"/>
  <c r="W5857" i="1"/>
  <c r="V5857" i="1"/>
  <c r="X5856" i="1"/>
  <c r="W5856" i="1"/>
  <c r="V5856" i="1"/>
  <c r="X5855" i="1"/>
  <c r="W5855" i="1"/>
  <c r="V5855" i="1"/>
  <c r="X5854" i="1"/>
  <c r="W5854" i="1"/>
  <c r="V5854" i="1"/>
  <c r="X5853" i="1"/>
  <c r="W5853" i="1"/>
  <c r="V5853" i="1"/>
  <c r="X5852" i="1"/>
  <c r="W5852" i="1"/>
  <c r="V5852" i="1"/>
  <c r="X5851" i="1"/>
  <c r="W5851" i="1"/>
  <c r="V5851" i="1"/>
  <c r="X5850" i="1"/>
  <c r="W5850" i="1"/>
  <c r="V5850" i="1"/>
  <c r="X5849" i="1"/>
  <c r="W5849" i="1"/>
  <c r="V5849" i="1"/>
  <c r="X5848" i="1"/>
  <c r="W5848" i="1"/>
  <c r="V5848" i="1"/>
  <c r="X5847" i="1"/>
  <c r="W5847" i="1"/>
  <c r="V5847" i="1"/>
  <c r="X5846" i="1"/>
  <c r="W5846" i="1"/>
  <c r="V5846" i="1"/>
  <c r="X5845" i="1"/>
  <c r="W5845" i="1"/>
  <c r="V5845" i="1"/>
  <c r="X5844" i="1"/>
  <c r="W5844" i="1"/>
  <c r="V5844" i="1"/>
  <c r="X5843" i="1"/>
  <c r="W5843" i="1"/>
  <c r="V5843" i="1"/>
  <c r="X5842" i="1"/>
  <c r="W5842" i="1"/>
  <c r="V5842" i="1"/>
  <c r="X5841" i="1"/>
  <c r="W5841" i="1"/>
  <c r="V5841" i="1"/>
  <c r="X5840" i="1"/>
  <c r="W5840" i="1"/>
  <c r="V5840" i="1"/>
  <c r="X5839" i="1"/>
  <c r="W5839" i="1"/>
  <c r="V5839" i="1"/>
  <c r="X5838" i="1"/>
  <c r="W5838" i="1"/>
  <c r="V5838" i="1"/>
  <c r="X5837" i="1"/>
  <c r="W5837" i="1"/>
  <c r="V5837" i="1"/>
  <c r="X5836" i="1"/>
  <c r="W5836" i="1"/>
  <c r="V5836" i="1"/>
  <c r="X5835" i="1"/>
  <c r="W5835" i="1"/>
  <c r="V5835" i="1"/>
  <c r="X5834" i="1"/>
  <c r="W5834" i="1"/>
  <c r="V5834" i="1"/>
  <c r="X5833" i="1"/>
  <c r="W5833" i="1"/>
  <c r="V5833" i="1"/>
  <c r="X5832" i="1"/>
  <c r="W5832" i="1"/>
  <c r="V5832" i="1"/>
  <c r="X5831" i="1"/>
  <c r="W5831" i="1"/>
  <c r="V5831" i="1"/>
  <c r="X5830" i="1"/>
  <c r="W5830" i="1"/>
  <c r="V5830" i="1"/>
  <c r="X5829" i="1"/>
  <c r="W5829" i="1"/>
  <c r="V5829" i="1"/>
  <c r="X5828" i="1"/>
  <c r="W5828" i="1"/>
  <c r="V5828" i="1"/>
  <c r="X5827" i="1"/>
  <c r="W5827" i="1"/>
  <c r="V5827" i="1"/>
  <c r="X5826" i="1"/>
  <c r="W5826" i="1"/>
  <c r="V5826" i="1"/>
  <c r="X5825" i="1"/>
  <c r="W5825" i="1"/>
  <c r="V5825" i="1"/>
  <c r="X5824" i="1"/>
  <c r="W5824" i="1"/>
  <c r="V5824" i="1"/>
  <c r="X5823" i="1"/>
  <c r="W5823" i="1"/>
  <c r="V5823" i="1"/>
  <c r="X5822" i="1"/>
  <c r="W5822" i="1"/>
  <c r="V5822" i="1"/>
  <c r="X5821" i="1"/>
  <c r="W5821" i="1"/>
  <c r="V5821" i="1"/>
  <c r="X5820" i="1"/>
  <c r="W5820" i="1"/>
  <c r="V5820" i="1"/>
  <c r="X5819" i="1"/>
  <c r="W5819" i="1"/>
  <c r="V5819" i="1"/>
  <c r="X5818" i="1"/>
  <c r="W5818" i="1"/>
  <c r="V5818" i="1"/>
  <c r="X5817" i="1"/>
  <c r="W5817" i="1"/>
  <c r="V5817" i="1"/>
  <c r="X5816" i="1"/>
  <c r="W5816" i="1"/>
  <c r="V5816" i="1"/>
  <c r="X5815" i="1"/>
  <c r="W5815" i="1"/>
  <c r="V5815" i="1"/>
  <c r="X5814" i="1"/>
  <c r="W5814" i="1"/>
  <c r="V5814" i="1"/>
  <c r="X5813" i="1"/>
  <c r="W5813" i="1"/>
  <c r="V5813" i="1"/>
  <c r="X5812" i="1"/>
  <c r="W5812" i="1"/>
  <c r="V5812" i="1"/>
  <c r="X5811" i="1"/>
  <c r="W5811" i="1"/>
  <c r="V5811" i="1"/>
  <c r="X5810" i="1"/>
  <c r="W5810" i="1"/>
  <c r="V5810" i="1"/>
  <c r="X5809" i="1"/>
  <c r="W5809" i="1"/>
  <c r="V5809" i="1"/>
  <c r="X5808" i="1"/>
  <c r="W5808" i="1"/>
  <c r="V5808" i="1"/>
  <c r="X5807" i="1"/>
  <c r="W5807" i="1"/>
  <c r="V5807" i="1"/>
  <c r="X5806" i="1"/>
  <c r="W5806" i="1"/>
  <c r="V5806" i="1"/>
  <c r="X5805" i="1"/>
  <c r="W5805" i="1"/>
  <c r="V5805" i="1"/>
  <c r="X5804" i="1"/>
  <c r="W5804" i="1"/>
  <c r="V5804" i="1"/>
  <c r="X5803" i="1"/>
  <c r="W5803" i="1"/>
  <c r="V5803" i="1"/>
  <c r="X5802" i="1"/>
  <c r="W5802" i="1"/>
  <c r="V5802" i="1"/>
  <c r="X5801" i="1"/>
  <c r="W5801" i="1"/>
  <c r="V5801" i="1"/>
  <c r="X5800" i="1"/>
  <c r="W5800" i="1"/>
  <c r="V5800" i="1"/>
  <c r="X5799" i="1"/>
  <c r="W5799" i="1"/>
  <c r="V5799" i="1"/>
  <c r="X5798" i="1"/>
  <c r="W5798" i="1"/>
  <c r="V5798" i="1"/>
  <c r="X5797" i="1"/>
  <c r="W5797" i="1"/>
  <c r="V5797" i="1"/>
  <c r="X5796" i="1"/>
  <c r="W5796" i="1"/>
  <c r="V5796" i="1"/>
  <c r="X5795" i="1"/>
  <c r="W5795" i="1"/>
  <c r="V5795" i="1"/>
  <c r="X5794" i="1"/>
  <c r="W5794" i="1"/>
  <c r="V5794" i="1"/>
  <c r="X5793" i="1"/>
  <c r="W5793" i="1"/>
  <c r="V5793" i="1"/>
  <c r="X5792" i="1"/>
  <c r="W5792" i="1"/>
  <c r="V5792" i="1"/>
  <c r="X5791" i="1"/>
  <c r="W5791" i="1"/>
  <c r="V5791" i="1"/>
  <c r="X5790" i="1"/>
  <c r="W5790" i="1"/>
  <c r="V5790" i="1"/>
  <c r="X5789" i="1"/>
  <c r="W5789" i="1"/>
  <c r="V5789" i="1"/>
  <c r="X5788" i="1"/>
  <c r="W5788" i="1"/>
  <c r="V5788" i="1"/>
  <c r="X5787" i="1"/>
  <c r="W5787" i="1"/>
  <c r="V5787" i="1"/>
  <c r="X5786" i="1"/>
  <c r="W5786" i="1"/>
  <c r="V5786" i="1"/>
  <c r="X5785" i="1"/>
  <c r="W5785" i="1"/>
  <c r="V5785" i="1"/>
  <c r="X5784" i="1"/>
  <c r="W5784" i="1"/>
  <c r="V5784" i="1"/>
  <c r="X5783" i="1"/>
  <c r="W5783" i="1"/>
  <c r="V5783" i="1"/>
  <c r="X5782" i="1"/>
  <c r="W5782" i="1"/>
  <c r="V5782" i="1"/>
  <c r="X5781" i="1"/>
  <c r="W5781" i="1"/>
  <c r="V5781" i="1"/>
  <c r="X5780" i="1"/>
  <c r="W5780" i="1"/>
  <c r="V5780" i="1"/>
  <c r="X5779" i="1"/>
  <c r="W5779" i="1"/>
  <c r="V5779" i="1"/>
  <c r="X5778" i="1"/>
  <c r="W5778" i="1"/>
  <c r="V5778" i="1"/>
  <c r="X5777" i="1"/>
  <c r="W5777" i="1"/>
  <c r="V5777" i="1"/>
  <c r="X5776" i="1"/>
  <c r="W5776" i="1"/>
  <c r="V5776" i="1"/>
  <c r="X5775" i="1"/>
  <c r="W5775" i="1"/>
  <c r="V5775" i="1"/>
  <c r="X5774" i="1"/>
  <c r="W5774" i="1"/>
  <c r="V5774" i="1"/>
  <c r="X5773" i="1"/>
  <c r="W5773" i="1"/>
  <c r="V5773" i="1"/>
  <c r="X5772" i="1"/>
  <c r="W5772" i="1"/>
  <c r="V5772" i="1"/>
  <c r="X5771" i="1"/>
  <c r="W5771" i="1"/>
  <c r="V5771" i="1"/>
  <c r="X5770" i="1"/>
  <c r="W5770" i="1"/>
  <c r="V5770" i="1"/>
  <c r="X5769" i="1"/>
  <c r="W5769" i="1"/>
  <c r="V5769" i="1"/>
  <c r="X5768" i="1"/>
  <c r="W5768" i="1"/>
  <c r="V5768" i="1"/>
  <c r="X5767" i="1"/>
  <c r="W5767" i="1"/>
  <c r="V5767" i="1"/>
  <c r="X5766" i="1"/>
  <c r="W5766" i="1"/>
  <c r="V5766" i="1"/>
  <c r="X5765" i="1"/>
  <c r="W5765" i="1"/>
  <c r="V5765" i="1"/>
  <c r="X5764" i="1"/>
  <c r="W5764" i="1"/>
  <c r="V5764" i="1"/>
  <c r="X5763" i="1"/>
  <c r="W5763" i="1"/>
  <c r="V5763" i="1"/>
  <c r="X5762" i="1"/>
  <c r="W5762" i="1"/>
  <c r="V5762" i="1"/>
  <c r="X5761" i="1"/>
  <c r="W5761" i="1"/>
  <c r="V5761" i="1"/>
  <c r="X5760" i="1"/>
  <c r="W5760" i="1"/>
  <c r="V5760" i="1"/>
  <c r="X5759" i="1"/>
  <c r="W5759" i="1"/>
  <c r="V5759" i="1"/>
  <c r="X5758" i="1"/>
  <c r="W5758" i="1"/>
  <c r="V5758" i="1"/>
  <c r="X5757" i="1"/>
  <c r="W5757" i="1"/>
  <c r="V5757" i="1"/>
  <c r="X5756" i="1"/>
  <c r="W5756" i="1"/>
  <c r="V5756" i="1"/>
  <c r="X5755" i="1"/>
  <c r="W5755" i="1"/>
  <c r="V5755" i="1"/>
  <c r="X5754" i="1"/>
  <c r="W5754" i="1"/>
  <c r="V5754" i="1"/>
  <c r="X5753" i="1"/>
  <c r="W5753" i="1"/>
  <c r="V5753" i="1"/>
  <c r="X5752" i="1"/>
  <c r="W5752" i="1"/>
  <c r="V5752" i="1"/>
  <c r="X5751" i="1"/>
  <c r="W5751" i="1"/>
  <c r="V5751" i="1"/>
  <c r="X5750" i="1"/>
  <c r="W5750" i="1"/>
  <c r="V5750" i="1"/>
  <c r="X5749" i="1"/>
  <c r="W5749" i="1"/>
  <c r="V5749" i="1"/>
  <c r="X5748" i="1"/>
  <c r="W5748" i="1"/>
  <c r="V5748" i="1"/>
  <c r="X5747" i="1"/>
  <c r="W5747" i="1"/>
  <c r="V5747" i="1"/>
  <c r="X5746" i="1"/>
  <c r="W5746" i="1"/>
  <c r="V5746" i="1"/>
  <c r="X5745" i="1"/>
  <c r="W5745" i="1"/>
  <c r="V5745" i="1"/>
  <c r="X5744" i="1"/>
  <c r="W5744" i="1"/>
  <c r="V5744" i="1"/>
  <c r="X5743" i="1"/>
  <c r="W5743" i="1"/>
  <c r="V5743" i="1"/>
  <c r="X5742" i="1"/>
  <c r="W5742" i="1"/>
  <c r="V5742" i="1"/>
  <c r="X5741" i="1"/>
  <c r="W5741" i="1"/>
  <c r="V5741" i="1"/>
  <c r="X5740" i="1"/>
  <c r="W5740" i="1"/>
  <c r="V5740" i="1"/>
  <c r="X5739" i="1"/>
  <c r="W5739" i="1"/>
  <c r="V5739" i="1"/>
  <c r="X5738" i="1"/>
  <c r="W5738" i="1"/>
  <c r="V5738" i="1"/>
  <c r="X5737" i="1"/>
  <c r="W5737" i="1"/>
  <c r="V5737" i="1"/>
  <c r="X5736" i="1"/>
  <c r="W5736" i="1"/>
  <c r="V5736" i="1"/>
  <c r="X5735" i="1"/>
  <c r="W5735" i="1"/>
  <c r="V5735" i="1"/>
  <c r="X5734" i="1"/>
  <c r="W5734" i="1"/>
  <c r="V5734" i="1"/>
  <c r="X5733" i="1"/>
  <c r="W5733" i="1"/>
  <c r="V5733" i="1"/>
  <c r="X5732" i="1"/>
  <c r="W5732" i="1"/>
  <c r="V5732" i="1"/>
  <c r="X5731" i="1"/>
  <c r="W5731" i="1"/>
  <c r="V5731" i="1"/>
  <c r="X5730" i="1"/>
  <c r="W5730" i="1"/>
  <c r="V5730" i="1"/>
  <c r="X5729" i="1"/>
  <c r="W5729" i="1"/>
  <c r="V5729" i="1"/>
  <c r="X5728" i="1"/>
  <c r="W5728" i="1"/>
  <c r="V5728" i="1"/>
  <c r="X5727" i="1"/>
  <c r="W5727" i="1"/>
  <c r="V5727" i="1"/>
  <c r="X5726" i="1"/>
  <c r="W5726" i="1"/>
  <c r="V5726" i="1"/>
  <c r="X5725" i="1"/>
  <c r="W5725" i="1"/>
  <c r="V5725" i="1"/>
  <c r="X5724" i="1"/>
  <c r="W5724" i="1"/>
  <c r="V5724" i="1"/>
  <c r="X5723" i="1"/>
  <c r="W5723" i="1"/>
  <c r="V5723" i="1"/>
  <c r="X5722" i="1"/>
  <c r="W5722" i="1"/>
  <c r="V5722" i="1"/>
  <c r="X5721" i="1"/>
  <c r="W5721" i="1"/>
  <c r="V5721" i="1"/>
  <c r="X5720" i="1"/>
  <c r="W5720" i="1"/>
  <c r="V5720" i="1"/>
  <c r="X5719" i="1"/>
  <c r="W5719" i="1"/>
  <c r="V5719" i="1"/>
  <c r="X5718" i="1"/>
  <c r="W5718" i="1"/>
  <c r="V5718" i="1"/>
  <c r="X5717" i="1"/>
  <c r="W5717" i="1"/>
  <c r="V5717" i="1"/>
  <c r="X5716" i="1"/>
  <c r="W5716" i="1"/>
  <c r="V5716" i="1"/>
  <c r="X5715" i="1"/>
  <c r="W5715" i="1"/>
  <c r="V5715" i="1"/>
  <c r="X5714" i="1"/>
  <c r="W5714" i="1"/>
  <c r="V5714" i="1"/>
  <c r="X5713" i="1"/>
  <c r="W5713" i="1"/>
  <c r="V5713" i="1"/>
  <c r="X5712" i="1"/>
  <c r="W5712" i="1"/>
  <c r="V5712" i="1"/>
  <c r="X5711" i="1"/>
  <c r="W5711" i="1"/>
  <c r="V5711" i="1"/>
  <c r="X5710" i="1"/>
  <c r="W5710" i="1"/>
  <c r="V5710" i="1"/>
  <c r="X5709" i="1"/>
  <c r="W5709" i="1"/>
  <c r="V5709" i="1"/>
  <c r="X5708" i="1"/>
  <c r="W5708" i="1"/>
  <c r="V5708" i="1"/>
  <c r="X5707" i="1"/>
  <c r="W5707" i="1"/>
  <c r="V5707" i="1"/>
  <c r="X5706" i="1"/>
  <c r="W5706" i="1"/>
  <c r="V5706" i="1"/>
  <c r="X5705" i="1"/>
  <c r="W5705" i="1"/>
  <c r="V5705" i="1"/>
  <c r="X5704" i="1"/>
  <c r="W5704" i="1"/>
  <c r="V5704" i="1"/>
  <c r="X5703" i="1"/>
  <c r="W5703" i="1"/>
  <c r="V5703" i="1"/>
  <c r="X5702" i="1"/>
  <c r="W5702" i="1"/>
  <c r="V5702" i="1"/>
  <c r="X5701" i="1"/>
  <c r="W5701" i="1"/>
  <c r="V5701" i="1"/>
  <c r="X5700" i="1"/>
  <c r="W5700" i="1"/>
  <c r="V5700" i="1"/>
  <c r="X5699" i="1"/>
  <c r="W5699" i="1"/>
  <c r="V5699" i="1"/>
  <c r="X5698" i="1"/>
  <c r="W5698" i="1"/>
  <c r="V5698" i="1"/>
  <c r="X5697" i="1"/>
  <c r="W5697" i="1"/>
  <c r="V5697" i="1"/>
  <c r="X5696" i="1"/>
  <c r="W5696" i="1"/>
  <c r="V5696" i="1"/>
  <c r="X5695" i="1"/>
  <c r="W5695" i="1"/>
  <c r="V5695" i="1"/>
  <c r="X5694" i="1"/>
  <c r="W5694" i="1"/>
  <c r="V5694" i="1"/>
  <c r="X5693" i="1"/>
  <c r="W5693" i="1"/>
  <c r="V5693" i="1"/>
  <c r="X5692" i="1"/>
  <c r="W5692" i="1"/>
  <c r="V5692" i="1"/>
  <c r="X5691" i="1"/>
  <c r="W5691" i="1"/>
  <c r="V5691" i="1"/>
  <c r="X5690" i="1"/>
  <c r="W5690" i="1"/>
  <c r="V5690" i="1"/>
  <c r="X5689" i="1"/>
  <c r="W5689" i="1"/>
  <c r="V5689" i="1"/>
  <c r="X5688" i="1"/>
  <c r="W5688" i="1"/>
  <c r="V5688" i="1"/>
  <c r="X5687" i="1"/>
  <c r="W5687" i="1"/>
  <c r="V5687" i="1"/>
  <c r="X5686" i="1"/>
  <c r="W5686" i="1"/>
  <c r="V5686" i="1"/>
  <c r="X5685" i="1"/>
  <c r="W5685" i="1"/>
  <c r="V5685" i="1"/>
  <c r="X5684" i="1"/>
  <c r="W5684" i="1"/>
  <c r="V5684" i="1"/>
  <c r="X5683" i="1"/>
  <c r="W5683" i="1"/>
  <c r="V5683" i="1"/>
  <c r="X5682" i="1"/>
  <c r="W5682" i="1"/>
  <c r="V5682" i="1"/>
  <c r="X5681" i="1"/>
  <c r="W5681" i="1"/>
  <c r="V5681" i="1"/>
  <c r="X5680" i="1"/>
  <c r="W5680" i="1"/>
  <c r="V5680" i="1"/>
  <c r="X5679" i="1"/>
  <c r="W5679" i="1"/>
  <c r="V5679" i="1"/>
  <c r="X5678" i="1"/>
  <c r="W5678" i="1"/>
  <c r="V5678" i="1"/>
  <c r="X5677" i="1"/>
  <c r="W5677" i="1"/>
  <c r="V5677" i="1"/>
  <c r="X5676" i="1"/>
  <c r="W5676" i="1"/>
  <c r="V5676" i="1"/>
  <c r="X5675" i="1"/>
  <c r="W5675" i="1"/>
  <c r="V5675" i="1"/>
  <c r="X5674" i="1"/>
  <c r="W5674" i="1"/>
  <c r="V5674" i="1"/>
  <c r="X5673" i="1"/>
  <c r="W5673" i="1"/>
  <c r="V5673" i="1"/>
  <c r="X5672" i="1"/>
  <c r="W5672" i="1"/>
  <c r="V5672" i="1"/>
  <c r="X5671" i="1"/>
  <c r="W5671" i="1"/>
  <c r="V5671" i="1"/>
  <c r="X5670" i="1"/>
  <c r="W5670" i="1"/>
  <c r="V5670" i="1"/>
  <c r="X5669" i="1"/>
  <c r="W5669" i="1"/>
  <c r="V5669" i="1"/>
  <c r="X5668" i="1"/>
  <c r="W5668" i="1"/>
  <c r="V5668" i="1"/>
  <c r="X5667" i="1"/>
  <c r="W5667" i="1"/>
  <c r="V5667" i="1"/>
  <c r="X5666" i="1"/>
  <c r="W5666" i="1"/>
  <c r="V5666" i="1"/>
  <c r="X5665" i="1"/>
  <c r="W5665" i="1"/>
  <c r="V5665" i="1"/>
  <c r="X5664" i="1"/>
  <c r="W5664" i="1"/>
  <c r="V5664" i="1"/>
  <c r="X5663" i="1"/>
  <c r="W5663" i="1"/>
  <c r="V5663" i="1"/>
  <c r="X5662" i="1"/>
  <c r="W5662" i="1"/>
  <c r="V5662" i="1"/>
  <c r="X5661" i="1"/>
  <c r="W5661" i="1"/>
  <c r="V5661" i="1"/>
  <c r="X5660" i="1"/>
  <c r="W5660" i="1"/>
  <c r="V5660" i="1"/>
  <c r="X5659" i="1"/>
  <c r="W5659" i="1"/>
  <c r="V5659" i="1"/>
  <c r="W5658" i="1"/>
  <c r="X5658" i="1" s="1"/>
  <c r="V5658" i="1"/>
  <c r="X5657" i="1"/>
  <c r="W5657" i="1"/>
  <c r="V5657" i="1"/>
  <c r="X5656" i="1"/>
  <c r="W5656" i="1"/>
  <c r="V5656" i="1"/>
  <c r="X5655" i="1"/>
  <c r="W5655" i="1"/>
  <c r="V5655" i="1"/>
  <c r="X5654" i="1"/>
  <c r="W5654" i="1"/>
  <c r="V5654" i="1"/>
  <c r="X5653" i="1"/>
  <c r="W5653" i="1"/>
  <c r="V5653" i="1"/>
  <c r="W5652" i="1"/>
  <c r="X5652" i="1" s="1"/>
  <c r="V5652" i="1"/>
  <c r="W5651" i="1"/>
  <c r="X5651" i="1" s="1"/>
  <c r="V5651" i="1"/>
  <c r="W5650" i="1"/>
  <c r="X5650" i="1" s="1"/>
  <c r="V5650" i="1"/>
  <c r="W5649" i="1"/>
  <c r="X5649" i="1" s="1"/>
  <c r="V5649" i="1"/>
  <c r="X5648" i="1"/>
  <c r="W5648" i="1"/>
  <c r="V5648" i="1"/>
  <c r="X5647" i="1"/>
  <c r="W5647" i="1"/>
  <c r="V5647" i="1"/>
  <c r="X5646" i="1"/>
  <c r="W5646" i="1"/>
  <c r="V5646" i="1"/>
  <c r="X5645" i="1"/>
  <c r="W5645" i="1"/>
  <c r="V5645" i="1"/>
  <c r="W5644" i="1"/>
  <c r="X5644" i="1" s="1"/>
  <c r="V5644" i="1"/>
  <c r="W5643" i="1"/>
  <c r="X5643" i="1" s="1"/>
  <c r="V5643" i="1"/>
  <c r="W5642" i="1"/>
  <c r="X5642" i="1" s="1"/>
  <c r="V5642" i="1"/>
  <c r="W5641" i="1"/>
  <c r="X5641" i="1" s="1"/>
  <c r="V5641" i="1"/>
  <c r="X5640" i="1"/>
  <c r="W5640" i="1"/>
  <c r="V5640" i="1"/>
  <c r="X5639" i="1"/>
  <c r="W5639" i="1"/>
  <c r="V5639" i="1"/>
  <c r="X5638" i="1"/>
  <c r="W5638" i="1"/>
  <c r="V5638" i="1"/>
  <c r="W5637" i="1"/>
  <c r="X5637" i="1" s="1"/>
  <c r="V5637" i="1"/>
  <c r="W5636" i="1"/>
  <c r="X5636" i="1" s="1"/>
  <c r="V5636" i="1"/>
  <c r="W5635" i="1"/>
  <c r="X5635" i="1" s="1"/>
  <c r="V5635" i="1"/>
  <c r="W5634" i="1"/>
  <c r="X5634" i="1" s="1"/>
  <c r="V5634" i="1"/>
  <c r="W5633" i="1"/>
  <c r="X5633" i="1" s="1"/>
  <c r="V5633" i="1"/>
  <c r="X5632" i="1"/>
  <c r="W5632" i="1"/>
  <c r="V5632" i="1"/>
  <c r="X5631" i="1"/>
  <c r="W5631" i="1"/>
  <c r="V5631" i="1"/>
  <c r="X5630" i="1"/>
  <c r="W5630" i="1"/>
  <c r="V5630" i="1"/>
  <c r="W5629" i="1"/>
  <c r="X5629" i="1" s="1"/>
  <c r="V5629" i="1"/>
  <c r="W5628" i="1"/>
  <c r="X5628" i="1" s="1"/>
  <c r="V5628" i="1"/>
  <c r="W5627" i="1"/>
  <c r="X5627" i="1" s="1"/>
  <c r="V5627" i="1"/>
  <c r="W5626" i="1"/>
  <c r="X5626" i="1" s="1"/>
  <c r="V5626" i="1"/>
  <c r="W5625" i="1"/>
  <c r="X5625" i="1" s="1"/>
  <c r="V5625" i="1"/>
  <c r="X5624" i="1"/>
  <c r="W5624" i="1"/>
  <c r="V5624" i="1"/>
  <c r="X5623" i="1"/>
  <c r="W5623" i="1"/>
  <c r="V5623" i="1"/>
  <c r="X5622" i="1"/>
  <c r="W5622" i="1"/>
  <c r="V5622" i="1"/>
  <c r="W5621" i="1"/>
  <c r="X5621" i="1" s="1"/>
  <c r="V5621" i="1"/>
  <c r="W5620" i="1"/>
  <c r="X5620" i="1" s="1"/>
  <c r="V5620" i="1"/>
  <c r="W5619" i="1"/>
  <c r="X5619" i="1" s="1"/>
  <c r="V5619" i="1"/>
  <c r="W5618" i="1"/>
  <c r="X5618" i="1" s="1"/>
  <c r="V5618" i="1"/>
  <c r="W5617" i="1"/>
  <c r="X5617" i="1" s="1"/>
  <c r="V5617" i="1"/>
  <c r="X5616" i="1"/>
  <c r="W5616" i="1"/>
  <c r="V5616" i="1"/>
  <c r="X5615" i="1"/>
  <c r="W5615" i="1"/>
  <c r="V5615" i="1"/>
  <c r="X5614" i="1"/>
  <c r="W5614" i="1"/>
  <c r="V5614" i="1"/>
  <c r="W5613" i="1"/>
  <c r="X5613" i="1" s="1"/>
  <c r="V5613" i="1"/>
  <c r="W5612" i="1"/>
  <c r="X5612" i="1" s="1"/>
  <c r="V5612" i="1"/>
  <c r="W5611" i="1"/>
  <c r="X5611" i="1" s="1"/>
  <c r="V5611" i="1"/>
  <c r="W5610" i="1"/>
  <c r="X5610" i="1" s="1"/>
  <c r="V5610" i="1"/>
  <c r="W5609" i="1"/>
  <c r="X5609" i="1" s="1"/>
  <c r="V5609" i="1"/>
  <c r="X5608" i="1"/>
  <c r="W5608" i="1"/>
  <c r="V5608" i="1"/>
  <c r="X5607" i="1"/>
  <c r="W5607" i="1"/>
  <c r="V5607" i="1"/>
  <c r="X5606" i="1"/>
  <c r="W5606" i="1"/>
  <c r="V5606" i="1"/>
  <c r="W5605" i="1"/>
  <c r="X5605" i="1" s="1"/>
  <c r="V5605" i="1"/>
  <c r="W5604" i="1"/>
  <c r="X5604" i="1" s="1"/>
  <c r="V5604" i="1"/>
  <c r="W5603" i="1"/>
  <c r="X5603" i="1" s="1"/>
  <c r="V5603" i="1"/>
  <c r="W5602" i="1"/>
  <c r="X5602" i="1" s="1"/>
  <c r="V5602" i="1"/>
  <c r="W5601" i="1"/>
  <c r="X5601" i="1" s="1"/>
  <c r="V5601" i="1"/>
  <c r="X5600" i="1"/>
  <c r="W5600" i="1"/>
  <c r="V5600" i="1"/>
  <c r="X5599" i="1"/>
  <c r="W5599" i="1"/>
  <c r="V5599" i="1"/>
  <c r="X5598" i="1"/>
  <c r="W5598" i="1"/>
  <c r="V5598" i="1"/>
  <c r="W5597" i="1"/>
  <c r="X5597" i="1" s="1"/>
  <c r="V5597" i="1"/>
  <c r="W5596" i="1"/>
  <c r="X5596" i="1" s="1"/>
  <c r="V5596" i="1"/>
  <c r="W5595" i="1"/>
  <c r="X5595" i="1" s="1"/>
  <c r="V5595" i="1"/>
  <c r="W5594" i="1"/>
  <c r="X5594" i="1" s="1"/>
  <c r="V5594" i="1"/>
  <c r="W5593" i="1"/>
  <c r="X5593" i="1" s="1"/>
  <c r="V5593" i="1"/>
  <c r="X5592" i="1"/>
  <c r="W5592" i="1"/>
  <c r="V5592" i="1"/>
  <c r="X5591" i="1"/>
  <c r="W5591" i="1"/>
  <c r="V5591" i="1"/>
  <c r="X5590" i="1"/>
  <c r="W5590" i="1"/>
  <c r="V5590" i="1"/>
  <c r="W5589" i="1"/>
  <c r="X5589" i="1" s="1"/>
  <c r="V5589" i="1"/>
  <c r="W5588" i="1"/>
  <c r="X5588" i="1" s="1"/>
  <c r="V5588" i="1"/>
  <c r="W5587" i="1"/>
  <c r="X5587" i="1" s="1"/>
  <c r="V5587" i="1"/>
  <c r="W5586" i="1"/>
  <c r="X5586" i="1" s="1"/>
  <c r="V5586" i="1"/>
  <c r="W5585" i="1"/>
  <c r="X5585" i="1" s="1"/>
  <c r="V5585" i="1"/>
  <c r="X5584" i="1"/>
  <c r="W5584" i="1"/>
  <c r="V5584" i="1"/>
  <c r="X5583" i="1"/>
  <c r="W5583" i="1"/>
  <c r="V5583" i="1"/>
  <c r="X5582" i="1"/>
  <c r="W5582" i="1"/>
  <c r="V5582" i="1"/>
  <c r="W5581" i="1"/>
  <c r="X5581" i="1" s="1"/>
  <c r="V5581" i="1"/>
  <c r="W5580" i="1"/>
  <c r="X5580" i="1" s="1"/>
  <c r="V5580" i="1"/>
  <c r="W5579" i="1"/>
  <c r="X5579" i="1" s="1"/>
  <c r="V5579" i="1"/>
  <c r="W5578" i="1"/>
  <c r="X5578" i="1" s="1"/>
  <c r="V5578" i="1"/>
  <c r="X5577" i="1"/>
  <c r="W5577" i="1"/>
  <c r="V5577" i="1"/>
  <c r="X5576" i="1"/>
  <c r="W5576" i="1"/>
  <c r="V5576" i="1"/>
  <c r="X5575" i="1"/>
  <c r="W5575" i="1"/>
  <c r="V5575" i="1"/>
  <c r="X5574" i="1"/>
  <c r="W5574" i="1"/>
  <c r="V5574" i="1"/>
  <c r="W5573" i="1"/>
  <c r="X5573" i="1" s="1"/>
  <c r="V5573" i="1"/>
  <c r="W5572" i="1"/>
  <c r="X5572" i="1" s="1"/>
  <c r="V5572" i="1"/>
  <c r="W5571" i="1"/>
  <c r="X5571" i="1" s="1"/>
  <c r="V5571" i="1"/>
  <c r="W5570" i="1"/>
  <c r="X5570" i="1" s="1"/>
  <c r="V5570" i="1"/>
  <c r="X5569" i="1"/>
  <c r="W5569" i="1"/>
  <c r="V5569" i="1"/>
  <c r="X5568" i="1"/>
  <c r="W5568" i="1"/>
  <c r="V5568" i="1"/>
  <c r="X5567" i="1"/>
  <c r="W5567" i="1"/>
  <c r="V5567" i="1"/>
  <c r="X5566" i="1"/>
  <c r="W5566" i="1"/>
  <c r="V5566" i="1"/>
  <c r="W5565" i="1"/>
  <c r="X5565" i="1" s="1"/>
  <c r="V5565" i="1"/>
  <c r="W5564" i="1"/>
  <c r="X5564" i="1" s="1"/>
  <c r="V5564" i="1"/>
  <c r="W5563" i="1"/>
  <c r="X5563" i="1" s="1"/>
  <c r="V5563" i="1"/>
  <c r="W5562" i="1"/>
  <c r="X5562" i="1" s="1"/>
  <c r="V5562" i="1"/>
  <c r="X5561" i="1"/>
  <c r="W5561" i="1"/>
  <c r="V5561" i="1"/>
  <c r="X5560" i="1"/>
  <c r="W5560" i="1"/>
  <c r="V5560" i="1"/>
  <c r="X5559" i="1"/>
  <c r="W5559" i="1"/>
  <c r="V5559" i="1"/>
  <c r="X5558" i="1"/>
  <c r="W5558" i="1"/>
  <c r="V5558" i="1"/>
  <c r="W5557" i="1"/>
  <c r="X5557" i="1" s="1"/>
  <c r="V5557" i="1"/>
  <c r="W5556" i="1"/>
  <c r="X5556" i="1" s="1"/>
  <c r="V5556" i="1"/>
  <c r="W5555" i="1"/>
  <c r="X5555" i="1" s="1"/>
  <c r="V5555" i="1"/>
  <c r="W5554" i="1"/>
  <c r="X5554" i="1" s="1"/>
  <c r="V5554" i="1"/>
  <c r="X5553" i="1"/>
  <c r="W5553" i="1"/>
  <c r="V5553" i="1"/>
  <c r="X5552" i="1"/>
  <c r="W5552" i="1"/>
  <c r="V5552" i="1"/>
  <c r="X5551" i="1"/>
  <c r="W5551" i="1"/>
  <c r="V5551" i="1"/>
  <c r="X5550" i="1"/>
  <c r="W5550" i="1"/>
  <c r="V5550" i="1"/>
  <c r="W5549" i="1"/>
  <c r="X5549" i="1" s="1"/>
  <c r="V5549" i="1"/>
  <c r="W5548" i="1"/>
  <c r="X5548" i="1" s="1"/>
  <c r="V5548" i="1"/>
  <c r="W5547" i="1"/>
  <c r="X5547" i="1" s="1"/>
  <c r="V5547" i="1"/>
  <c r="W5546" i="1"/>
  <c r="X5546" i="1" s="1"/>
  <c r="V5546" i="1"/>
  <c r="X5545" i="1"/>
  <c r="W5545" i="1"/>
  <c r="V5545" i="1"/>
  <c r="X5544" i="1"/>
  <c r="W5544" i="1"/>
  <c r="V5544" i="1"/>
  <c r="X5543" i="1"/>
  <c r="W5543" i="1"/>
  <c r="V5543" i="1"/>
  <c r="X5542" i="1"/>
  <c r="W5542" i="1"/>
  <c r="V5542" i="1"/>
  <c r="W5541" i="1"/>
  <c r="X5541" i="1" s="1"/>
  <c r="V5541" i="1"/>
  <c r="W5540" i="1"/>
  <c r="X5540" i="1" s="1"/>
  <c r="V5540" i="1"/>
  <c r="W5539" i="1"/>
  <c r="X5539" i="1" s="1"/>
  <c r="V5539" i="1"/>
  <c r="W5538" i="1"/>
  <c r="X5538" i="1" s="1"/>
  <c r="V5538" i="1"/>
  <c r="X5537" i="1"/>
  <c r="W5537" i="1"/>
  <c r="V5537" i="1"/>
  <c r="X5536" i="1"/>
  <c r="W5536" i="1"/>
  <c r="V5536" i="1"/>
  <c r="X5535" i="1"/>
  <c r="W5535" i="1"/>
  <c r="V5535" i="1"/>
  <c r="W5534" i="1"/>
  <c r="X5534" i="1" s="1"/>
  <c r="V5534" i="1"/>
  <c r="X5533" i="1"/>
  <c r="W5533" i="1"/>
  <c r="V5533" i="1"/>
  <c r="W5532" i="1"/>
  <c r="X5532" i="1" s="1"/>
  <c r="V5532" i="1"/>
  <c r="W5531" i="1"/>
  <c r="X5531" i="1" s="1"/>
  <c r="V5531" i="1"/>
  <c r="W5530" i="1"/>
  <c r="X5530" i="1" s="1"/>
  <c r="V5530" i="1"/>
  <c r="X5529" i="1"/>
  <c r="W5529" i="1"/>
  <c r="V5529" i="1"/>
  <c r="X5528" i="1"/>
  <c r="W5528" i="1"/>
  <c r="V5528" i="1"/>
  <c r="X5527" i="1"/>
  <c r="W5527" i="1"/>
  <c r="V5527" i="1"/>
  <c r="X5526" i="1"/>
  <c r="W5526" i="1"/>
  <c r="V5526" i="1"/>
  <c r="X5525" i="1"/>
  <c r="W5525" i="1"/>
  <c r="V5525" i="1"/>
  <c r="W5524" i="1"/>
  <c r="X5524" i="1" s="1"/>
  <c r="V5524" i="1"/>
  <c r="W5523" i="1"/>
  <c r="X5523" i="1" s="1"/>
  <c r="V5523" i="1"/>
  <c r="W5522" i="1"/>
  <c r="X5522" i="1" s="1"/>
  <c r="V5522" i="1"/>
  <c r="X5521" i="1"/>
  <c r="W5521" i="1"/>
  <c r="V5521" i="1"/>
  <c r="X5520" i="1"/>
  <c r="W5520" i="1"/>
  <c r="V5520" i="1"/>
  <c r="X5519" i="1"/>
  <c r="W5519" i="1"/>
  <c r="V5519" i="1"/>
  <c r="X5518" i="1"/>
  <c r="W5518" i="1"/>
  <c r="V5518" i="1"/>
  <c r="X5517" i="1"/>
  <c r="W5517" i="1"/>
  <c r="V5517" i="1"/>
  <c r="W5516" i="1"/>
  <c r="X5516" i="1" s="1"/>
  <c r="V5516" i="1"/>
  <c r="W5515" i="1"/>
  <c r="X5515" i="1" s="1"/>
  <c r="V5515" i="1"/>
  <c r="W5514" i="1"/>
  <c r="X5514" i="1" s="1"/>
  <c r="V5514" i="1"/>
  <c r="X5513" i="1"/>
  <c r="W5513" i="1"/>
  <c r="V5513" i="1"/>
  <c r="X5512" i="1"/>
  <c r="W5512" i="1"/>
  <c r="V5512" i="1"/>
  <c r="X5511" i="1"/>
  <c r="W5511" i="1"/>
  <c r="V5511" i="1"/>
  <c r="W5510" i="1"/>
  <c r="X5510" i="1" s="1"/>
  <c r="V5510" i="1"/>
  <c r="X5509" i="1"/>
  <c r="W5509" i="1"/>
  <c r="V5509" i="1"/>
  <c r="W5508" i="1"/>
  <c r="X5508" i="1" s="1"/>
  <c r="V5508" i="1"/>
  <c r="W5507" i="1"/>
  <c r="X5507" i="1" s="1"/>
  <c r="V5507" i="1"/>
  <c r="W5506" i="1"/>
  <c r="X5506" i="1" s="1"/>
  <c r="V5506" i="1"/>
  <c r="X5505" i="1"/>
  <c r="W5505" i="1"/>
  <c r="V5505" i="1"/>
  <c r="X5504" i="1"/>
  <c r="W5504" i="1"/>
  <c r="V5504" i="1"/>
  <c r="X5503" i="1"/>
  <c r="W5503" i="1"/>
  <c r="V5503" i="1"/>
  <c r="W5502" i="1"/>
  <c r="X5502" i="1" s="1"/>
  <c r="V5502" i="1"/>
  <c r="X5501" i="1"/>
  <c r="W5501" i="1"/>
  <c r="V5501" i="1"/>
  <c r="W5500" i="1"/>
  <c r="X5500" i="1" s="1"/>
  <c r="V5500" i="1"/>
  <c r="W5499" i="1"/>
  <c r="X5499" i="1" s="1"/>
  <c r="V5499" i="1"/>
  <c r="W5498" i="1"/>
  <c r="X5498" i="1" s="1"/>
  <c r="V5498" i="1"/>
  <c r="X5497" i="1"/>
  <c r="W5497" i="1"/>
  <c r="V5497" i="1"/>
  <c r="X5496" i="1"/>
  <c r="W5496" i="1"/>
  <c r="V5496" i="1"/>
  <c r="X5495" i="1"/>
  <c r="W5495" i="1"/>
  <c r="V5495" i="1"/>
  <c r="W5494" i="1"/>
  <c r="X5494" i="1" s="1"/>
  <c r="V5494" i="1"/>
  <c r="X5493" i="1"/>
  <c r="W5493" i="1"/>
  <c r="V5493" i="1"/>
  <c r="W5492" i="1"/>
  <c r="X5492" i="1" s="1"/>
  <c r="V5492" i="1"/>
  <c r="W5491" i="1"/>
  <c r="X5491" i="1" s="1"/>
  <c r="V5491" i="1"/>
  <c r="W5490" i="1"/>
  <c r="X5490" i="1" s="1"/>
  <c r="V5490" i="1"/>
  <c r="X5489" i="1"/>
  <c r="W5489" i="1"/>
  <c r="V5489" i="1"/>
  <c r="X5488" i="1"/>
  <c r="W5488" i="1"/>
  <c r="V5488" i="1"/>
  <c r="X5487" i="1"/>
  <c r="W5487" i="1"/>
  <c r="V5487" i="1"/>
  <c r="W5486" i="1"/>
  <c r="X5486" i="1" s="1"/>
  <c r="V5486" i="1"/>
  <c r="X5485" i="1"/>
  <c r="W5485" i="1"/>
  <c r="V5485" i="1"/>
  <c r="W5484" i="1"/>
  <c r="X5484" i="1" s="1"/>
  <c r="V5484" i="1"/>
  <c r="W5483" i="1"/>
  <c r="X5483" i="1" s="1"/>
  <c r="V5483" i="1"/>
  <c r="W5482" i="1"/>
  <c r="X5482" i="1" s="1"/>
  <c r="V5482" i="1"/>
  <c r="X5481" i="1"/>
  <c r="W5481" i="1"/>
  <c r="V5481" i="1"/>
  <c r="X5480" i="1"/>
  <c r="W5480" i="1"/>
  <c r="V5480" i="1"/>
  <c r="X5479" i="1"/>
  <c r="W5479" i="1"/>
  <c r="V5479" i="1"/>
  <c r="W5478" i="1"/>
  <c r="X5478" i="1" s="1"/>
  <c r="V5478" i="1"/>
  <c r="X5477" i="1"/>
  <c r="W5477" i="1"/>
  <c r="V5477" i="1"/>
  <c r="W5476" i="1"/>
  <c r="X5476" i="1" s="1"/>
  <c r="V5476" i="1"/>
  <c r="W5475" i="1"/>
  <c r="X5475" i="1" s="1"/>
  <c r="V5475" i="1"/>
  <c r="W5474" i="1"/>
  <c r="X5474" i="1" s="1"/>
  <c r="V5474" i="1"/>
  <c r="X5473" i="1"/>
  <c r="W5473" i="1"/>
  <c r="V5473" i="1"/>
  <c r="X5472" i="1"/>
  <c r="W5472" i="1"/>
  <c r="V5472" i="1"/>
  <c r="X5471" i="1"/>
  <c r="W5471" i="1"/>
  <c r="V5471" i="1"/>
  <c r="W5470" i="1"/>
  <c r="X5470" i="1" s="1"/>
  <c r="V5470" i="1"/>
  <c r="X5469" i="1"/>
  <c r="W5469" i="1"/>
  <c r="V5469" i="1"/>
  <c r="W5468" i="1"/>
  <c r="X5468" i="1" s="1"/>
  <c r="V5468" i="1"/>
  <c r="W5467" i="1"/>
  <c r="X5467" i="1" s="1"/>
  <c r="V5467" i="1"/>
  <c r="W5466" i="1"/>
  <c r="X5466" i="1" s="1"/>
  <c r="V5466" i="1"/>
  <c r="X5465" i="1"/>
  <c r="W5465" i="1"/>
  <c r="V5465" i="1"/>
  <c r="X5464" i="1"/>
  <c r="W5464" i="1"/>
  <c r="V5464" i="1"/>
  <c r="X5463" i="1"/>
  <c r="W5463" i="1"/>
  <c r="V5463" i="1"/>
  <c r="W5462" i="1"/>
  <c r="X5462" i="1" s="1"/>
  <c r="V5462" i="1"/>
  <c r="X5461" i="1"/>
  <c r="W5461" i="1"/>
  <c r="V5461" i="1"/>
  <c r="W5460" i="1"/>
  <c r="X5460" i="1" s="1"/>
  <c r="V5460" i="1"/>
  <c r="W5459" i="1"/>
  <c r="X5459" i="1" s="1"/>
  <c r="V5459" i="1"/>
  <c r="W5458" i="1"/>
  <c r="X5458" i="1" s="1"/>
  <c r="V5458" i="1"/>
  <c r="X5457" i="1"/>
  <c r="W5457" i="1"/>
  <c r="V5457" i="1"/>
  <c r="X5456" i="1"/>
  <c r="W5456" i="1"/>
  <c r="V5456" i="1"/>
  <c r="X5455" i="1"/>
  <c r="W5455" i="1"/>
  <c r="V5455" i="1"/>
  <c r="W5454" i="1"/>
  <c r="X5454" i="1" s="1"/>
  <c r="V5454" i="1"/>
  <c r="X5453" i="1"/>
  <c r="W5453" i="1"/>
  <c r="V5453" i="1"/>
  <c r="W5452" i="1"/>
  <c r="X5452" i="1" s="1"/>
  <c r="V5452" i="1"/>
  <c r="W5451" i="1"/>
  <c r="X5451" i="1" s="1"/>
  <c r="V5451" i="1"/>
  <c r="W5450" i="1"/>
  <c r="X5450" i="1" s="1"/>
  <c r="V5450" i="1"/>
  <c r="X5449" i="1"/>
  <c r="W5449" i="1"/>
  <c r="V5449" i="1"/>
  <c r="X5448" i="1"/>
  <c r="W5448" i="1"/>
  <c r="V5448" i="1"/>
  <c r="X5447" i="1"/>
  <c r="W5447" i="1"/>
  <c r="V5447" i="1"/>
  <c r="W5446" i="1"/>
  <c r="X5446" i="1" s="1"/>
  <c r="V5446" i="1"/>
  <c r="X5445" i="1"/>
  <c r="W5445" i="1"/>
  <c r="V5445" i="1"/>
  <c r="W5444" i="1"/>
  <c r="X5444" i="1" s="1"/>
  <c r="V5444" i="1"/>
  <c r="W5443" i="1"/>
  <c r="X5443" i="1" s="1"/>
  <c r="V5443" i="1"/>
  <c r="W5442" i="1"/>
  <c r="X5442" i="1" s="1"/>
  <c r="V5442" i="1"/>
  <c r="X5441" i="1"/>
  <c r="W5441" i="1"/>
  <c r="V5441" i="1"/>
  <c r="X5440" i="1"/>
  <c r="W5440" i="1"/>
  <c r="V5440" i="1"/>
  <c r="X5439" i="1"/>
  <c r="W5439" i="1"/>
  <c r="V5439" i="1"/>
  <c r="W5438" i="1"/>
  <c r="X5438" i="1" s="1"/>
  <c r="V5438" i="1"/>
  <c r="X5437" i="1"/>
  <c r="W5437" i="1"/>
  <c r="V5437" i="1"/>
  <c r="W5436" i="1"/>
  <c r="X5436" i="1" s="1"/>
  <c r="V5436" i="1"/>
  <c r="W5435" i="1"/>
  <c r="X5435" i="1" s="1"/>
  <c r="V5435" i="1"/>
  <c r="W5434" i="1"/>
  <c r="X5434" i="1" s="1"/>
  <c r="V5434" i="1"/>
  <c r="X5433" i="1"/>
  <c r="W5433" i="1"/>
  <c r="V5433" i="1"/>
  <c r="X5432" i="1"/>
  <c r="W5432" i="1"/>
  <c r="V5432" i="1"/>
  <c r="X5431" i="1"/>
  <c r="W5431" i="1"/>
  <c r="V5431" i="1"/>
  <c r="W5430" i="1"/>
  <c r="X5430" i="1" s="1"/>
  <c r="V5430" i="1"/>
  <c r="X5429" i="1"/>
  <c r="W5429" i="1"/>
  <c r="V5429" i="1"/>
  <c r="W5428" i="1"/>
  <c r="X5428" i="1" s="1"/>
  <c r="V5428" i="1"/>
  <c r="W5427" i="1"/>
  <c r="X5427" i="1" s="1"/>
  <c r="V5427" i="1"/>
  <c r="W5426" i="1"/>
  <c r="X5426" i="1" s="1"/>
  <c r="V5426" i="1"/>
  <c r="X5425" i="1"/>
  <c r="W5425" i="1"/>
  <c r="V5425" i="1"/>
  <c r="X5424" i="1"/>
  <c r="W5424" i="1"/>
  <c r="V5424" i="1"/>
  <c r="X5423" i="1"/>
  <c r="W5423" i="1"/>
  <c r="V5423" i="1"/>
  <c r="W5422" i="1"/>
  <c r="X5422" i="1" s="1"/>
  <c r="V5422" i="1"/>
  <c r="X5421" i="1"/>
  <c r="W5421" i="1"/>
  <c r="V5421" i="1"/>
  <c r="W5420" i="1"/>
  <c r="X5420" i="1" s="1"/>
  <c r="V5420" i="1"/>
  <c r="W5419" i="1"/>
  <c r="X5419" i="1" s="1"/>
  <c r="V5419" i="1"/>
  <c r="W5418" i="1"/>
  <c r="X5418" i="1" s="1"/>
  <c r="V5418" i="1"/>
  <c r="X5417" i="1"/>
  <c r="W5417" i="1"/>
  <c r="V5417" i="1"/>
  <c r="X5416" i="1"/>
  <c r="W5416" i="1"/>
  <c r="V5416" i="1"/>
  <c r="X5415" i="1"/>
  <c r="W5415" i="1"/>
  <c r="V5415" i="1"/>
  <c r="W5414" i="1"/>
  <c r="X5414" i="1" s="1"/>
  <c r="V5414" i="1"/>
  <c r="X5413" i="1"/>
  <c r="W5413" i="1"/>
  <c r="V5413" i="1"/>
  <c r="W5412" i="1"/>
  <c r="X5412" i="1" s="1"/>
  <c r="V5412" i="1"/>
  <c r="W5411" i="1"/>
  <c r="X5411" i="1" s="1"/>
  <c r="V5411" i="1"/>
  <c r="W5410" i="1"/>
  <c r="X5410" i="1" s="1"/>
  <c r="V5410" i="1"/>
  <c r="X5409" i="1"/>
  <c r="W5409" i="1"/>
  <c r="V5409" i="1"/>
  <c r="X5408" i="1"/>
  <c r="W5408" i="1"/>
  <c r="V5408" i="1"/>
  <c r="X5407" i="1"/>
  <c r="W5407" i="1"/>
  <c r="V5407" i="1"/>
  <c r="W5406" i="1"/>
  <c r="X5406" i="1" s="1"/>
  <c r="V5406" i="1"/>
  <c r="X5405" i="1"/>
  <c r="W5405" i="1"/>
  <c r="V5405" i="1"/>
  <c r="W5404" i="1"/>
  <c r="X5404" i="1" s="1"/>
  <c r="V5404" i="1"/>
  <c r="W5403" i="1"/>
  <c r="X5403" i="1" s="1"/>
  <c r="V5403" i="1"/>
  <c r="W5402" i="1"/>
  <c r="X5402" i="1" s="1"/>
  <c r="V5402" i="1"/>
  <c r="X5401" i="1"/>
  <c r="W5401" i="1"/>
  <c r="V5401" i="1"/>
  <c r="X5400" i="1"/>
  <c r="W5400" i="1"/>
  <c r="V5400" i="1"/>
  <c r="X5399" i="1"/>
  <c r="W5399" i="1"/>
  <c r="V5399" i="1"/>
  <c r="W5398" i="1"/>
  <c r="X5398" i="1" s="1"/>
  <c r="V5398" i="1"/>
  <c r="X5397" i="1"/>
  <c r="W5397" i="1"/>
  <c r="V5397" i="1"/>
  <c r="W5396" i="1"/>
  <c r="X5396" i="1" s="1"/>
  <c r="V5396" i="1"/>
  <c r="W5395" i="1"/>
  <c r="X5395" i="1" s="1"/>
  <c r="V5395" i="1"/>
  <c r="W5394" i="1"/>
  <c r="X5394" i="1" s="1"/>
  <c r="V5394" i="1"/>
  <c r="X5393" i="1"/>
  <c r="W5393" i="1"/>
  <c r="V5393" i="1"/>
  <c r="X5392" i="1"/>
  <c r="W5392" i="1"/>
  <c r="V5392" i="1"/>
  <c r="X5391" i="1"/>
  <c r="W5391" i="1"/>
  <c r="V5391" i="1"/>
  <c r="W5390" i="1"/>
  <c r="X5390" i="1" s="1"/>
  <c r="V5390" i="1"/>
  <c r="X5389" i="1"/>
  <c r="W5389" i="1"/>
  <c r="V5389" i="1"/>
  <c r="W5388" i="1"/>
  <c r="X5388" i="1" s="1"/>
  <c r="V5388" i="1"/>
  <c r="W5387" i="1"/>
  <c r="X5387" i="1" s="1"/>
  <c r="V5387" i="1"/>
  <c r="W5386" i="1"/>
  <c r="X5386" i="1" s="1"/>
  <c r="V5386" i="1"/>
  <c r="X5385" i="1"/>
  <c r="W5385" i="1"/>
  <c r="V5385" i="1"/>
  <c r="X5384" i="1"/>
  <c r="W5384" i="1"/>
  <c r="V5384" i="1"/>
  <c r="X5383" i="1"/>
  <c r="W5383" i="1"/>
  <c r="V5383" i="1"/>
  <c r="W5382" i="1"/>
  <c r="X5382" i="1" s="1"/>
  <c r="V5382" i="1"/>
  <c r="X5381" i="1"/>
  <c r="W5381" i="1"/>
  <c r="V5381" i="1"/>
  <c r="W5380" i="1"/>
  <c r="X5380" i="1" s="1"/>
  <c r="V5380" i="1"/>
  <c r="W5379" i="1"/>
  <c r="X5379" i="1" s="1"/>
  <c r="V5379" i="1"/>
  <c r="W5378" i="1"/>
  <c r="X5378" i="1" s="1"/>
  <c r="V5378" i="1"/>
  <c r="X5377" i="1"/>
  <c r="W5377" i="1"/>
  <c r="V5377" i="1"/>
  <c r="X5376" i="1"/>
  <c r="W5376" i="1"/>
  <c r="V5376" i="1"/>
  <c r="X5375" i="1"/>
  <c r="W5375" i="1"/>
  <c r="V5375" i="1"/>
  <c r="W5374" i="1"/>
  <c r="X5374" i="1" s="1"/>
  <c r="V5374" i="1"/>
  <c r="X5373" i="1"/>
  <c r="W5373" i="1"/>
  <c r="V5373" i="1"/>
  <c r="W5372" i="1"/>
  <c r="X5372" i="1" s="1"/>
  <c r="V5372" i="1"/>
  <c r="W5371" i="1"/>
  <c r="X5371" i="1" s="1"/>
  <c r="V5371" i="1"/>
  <c r="W5370" i="1"/>
  <c r="X5370" i="1" s="1"/>
  <c r="V5370" i="1"/>
  <c r="X5369" i="1"/>
  <c r="W5369" i="1"/>
  <c r="V5369" i="1"/>
  <c r="X5368" i="1"/>
  <c r="W5368" i="1"/>
  <c r="V5368" i="1"/>
  <c r="X5367" i="1"/>
  <c r="W5367" i="1"/>
  <c r="V5367" i="1"/>
  <c r="W5366" i="1"/>
  <c r="X5366" i="1" s="1"/>
  <c r="V5366" i="1"/>
  <c r="W5365" i="1"/>
  <c r="X5365" i="1" s="1"/>
  <c r="V5365" i="1"/>
  <c r="W5364" i="1"/>
  <c r="X5364" i="1" s="1"/>
  <c r="V5364" i="1"/>
  <c r="W5363" i="1"/>
  <c r="X5363" i="1" s="1"/>
  <c r="V5363" i="1"/>
  <c r="W5362" i="1"/>
  <c r="X5362" i="1" s="1"/>
  <c r="V5362" i="1"/>
  <c r="X5361" i="1"/>
  <c r="W5361" i="1"/>
  <c r="V5361" i="1"/>
  <c r="X5360" i="1"/>
  <c r="W5360" i="1"/>
  <c r="V5360" i="1"/>
  <c r="X5359" i="1"/>
  <c r="W5359" i="1"/>
  <c r="V5359" i="1"/>
  <c r="W5358" i="1"/>
  <c r="X5358" i="1" s="1"/>
  <c r="V5358" i="1"/>
  <c r="W5357" i="1"/>
  <c r="X5357" i="1" s="1"/>
  <c r="V5357" i="1"/>
  <c r="W5356" i="1"/>
  <c r="X5356" i="1" s="1"/>
  <c r="V5356" i="1"/>
  <c r="W5355" i="1"/>
  <c r="X5355" i="1" s="1"/>
  <c r="V5355" i="1"/>
  <c r="W5354" i="1"/>
  <c r="X5354" i="1" s="1"/>
  <c r="V5354" i="1"/>
  <c r="X5353" i="1"/>
  <c r="W5353" i="1"/>
  <c r="V5353" i="1"/>
  <c r="X5352" i="1"/>
  <c r="W5352" i="1"/>
  <c r="V5352" i="1"/>
  <c r="X5351" i="1"/>
  <c r="W5351" i="1"/>
  <c r="V5351" i="1"/>
  <c r="W5350" i="1"/>
  <c r="X5350" i="1" s="1"/>
  <c r="V5350" i="1"/>
  <c r="W5349" i="1"/>
  <c r="X5349" i="1" s="1"/>
  <c r="V5349" i="1"/>
  <c r="W5348" i="1"/>
  <c r="X5348" i="1" s="1"/>
  <c r="V5348" i="1"/>
  <c r="W5347" i="1"/>
  <c r="X5347" i="1" s="1"/>
  <c r="V5347" i="1"/>
  <c r="W5346" i="1"/>
  <c r="X5346" i="1" s="1"/>
  <c r="V5346" i="1"/>
  <c r="X5345" i="1"/>
  <c r="W5345" i="1"/>
  <c r="V5345" i="1"/>
  <c r="X5344" i="1"/>
  <c r="W5344" i="1"/>
  <c r="V5344" i="1"/>
  <c r="X5343" i="1"/>
  <c r="W5343" i="1"/>
  <c r="V5343" i="1"/>
  <c r="W5342" i="1"/>
  <c r="X5342" i="1" s="1"/>
  <c r="V5342" i="1"/>
  <c r="W5341" i="1"/>
  <c r="X5341" i="1" s="1"/>
  <c r="V5341" i="1"/>
  <c r="W5340" i="1"/>
  <c r="X5340" i="1" s="1"/>
  <c r="V5340" i="1"/>
  <c r="W5339" i="1"/>
  <c r="X5339" i="1" s="1"/>
  <c r="V5339" i="1"/>
  <c r="W5338" i="1"/>
  <c r="X5338" i="1" s="1"/>
  <c r="V5338" i="1"/>
  <c r="X5337" i="1"/>
  <c r="W5337" i="1"/>
  <c r="V5337" i="1"/>
  <c r="X5336" i="1"/>
  <c r="W5336" i="1"/>
  <c r="V5336" i="1"/>
  <c r="X5335" i="1"/>
  <c r="W5335" i="1"/>
  <c r="V5335" i="1"/>
  <c r="W5334" i="1"/>
  <c r="X5334" i="1" s="1"/>
  <c r="V5334" i="1"/>
  <c r="W5333" i="1"/>
  <c r="X5333" i="1" s="1"/>
  <c r="V5333" i="1"/>
  <c r="W5332" i="1"/>
  <c r="X5332" i="1" s="1"/>
  <c r="V5332" i="1"/>
  <c r="W5331" i="1"/>
  <c r="X5331" i="1" s="1"/>
  <c r="V5331" i="1"/>
  <c r="W5330" i="1"/>
  <c r="X5330" i="1" s="1"/>
  <c r="V5330" i="1"/>
  <c r="X5329" i="1"/>
  <c r="W5329" i="1"/>
  <c r="V5329" i="1"/>
  <c r="X5328" i="1"/>
  <c r="W5328" i="1"/>
  <c r="V5328" i="1"/>
  <c r="X5327" i="1"/>
  <c r="W5327" i="1"/>
  <c r="V5327" i="1"/>
  <c r="W5326" i="1"/>
  <c r="X5326" i="1" s="1"/>
  <c r="V5326" i="1"/>
  <c r="W5325" i="1"/>
  <c r="X5325" i="1" s="1"/>
  <c r="V5325" i="1"/>
  <c r="W5324" i="1"/>
  <c r="X5324" i="1" s="1"/>
  <c r="V5324" i="1"/>
  <c r="W5323" i="1"/>
  <c r="X5323" i="1" s="1"/>
  <c r="V5323" i="1"/>
  <c r="W5322" i="1"/>
  <c r="X5322" i="1" s="1"/>
  <c r="V5322" i="1"/>
  <c r="X5321" i="1"/>
  <c r="W5321" i="1"/>
  <c r="V5321" i="1"/>
  <c r="X5320" i="1"/>
  <c r="W5320" i="1"/>
  <c r="V5320" i="1"/>
  <c r="X5319" i="1"/>
  <c r="W5319" i="1"/>
  <c r="V5319" i="1"/>
  <c r="W5318" i="1"/>
  <c r="X5318" i="1" s="1"/>
  <c r="V5318" i="1"/>
  <c r="W5317" i="1"/>
  <c r="X5317" i="1" s="1"/>
  <c r="V5317" i="1"/>
  <c r="W5316" i="1"/>
  <c r="X5316" i="1" s="1"/>
  <c r="V5316" i="1"/>
  <c r="W5315" i="1"/>
  <c r="X5315" i="1" s="1"/>
  <c r="V5315" i="1"/>
  <c r="W5314" i="1"/>
  <c r="X5314" i="1" s="1"/>
  <c r="V5314" i="1"/>
  <c r="X5313" i="1"/>
  <c r="W5313" i="1"/>
  <c r="V5313" i="1"/>
  <c r="X5312" i="1"/>
  <c r="W5312" i="1"/>
  <c r="V5312" i="1"/>
  <c r="X5311" i="1"/>
  <c r="W5311" i="1"/>
  <c r="V5311" i="1"/>
  <c r="W5310" i="1"/>
  <c r="X5310" i="1" s="1"/>
  <c r="V5310" i="1"/>
  <c r="W5309" i="1"/>
  <c r="X5309" i="1" s="1"/>
  <c r="V5309" i="1"/>
  <c r="W5308" i="1"/>
  <c r="X5308" i="1" s="1"/>
  <c r="V5308" i="1"/>
  <c r="W5307" i="1"/>
  <c r="X5307" i="1" s="1"/>
  <c r="V5307" i="1"/>
  <c r="W5306" i="1"/>
  <c r="X5306" i="1" s="1"/>
  <c r="V5306" i="1"/>
  <c r="X5305" i="1"/>
  <c r="W5305" i="1"/>
  <c r="V5305" i="1"/>
  <c r="X5304" i="1"/>
  <c r="W5304" i="1"/>
  <c r="V5304" i="1"/>
  <c r="X5303" i="1"/>
  <c r="W5303" i="1"/>
  <c r="V5303" i="1"/>
  <c r="W5302" i="1"/>
  <c r="X5302" i="1" s="1"/>
  <c r="V5302" i="1"/>
  <c r="X5301" i="1"/>
  <c r="W5301" i="1"/>
  <c r="V5301" i="1"/>
  <c r="W5300" i="1"/>
  <c r="X5300" i="1" s="1"/>
  <c r="V5300" i="1"/>
  <c r="W5299" i="1"/>
  <c r="X5299" i="1" s="1"/>
  <c r="V5299" i="1"/>
  <c r="W5298" i="1"/>
  <c r="X5298" i="1" s="1"/>
  <c r="V5298" i="1"/>
  <c r="X5297" i="1"/>
  <c r="W5297" i="1"/>
  <c r="V5297" i="1"/>
  <c r="X5296" i="1"/>
  <c r="W5296" i="1"/>
  <c r="V5296" i="1"/>
  <c r="X5295" i="1"/>
  <c r="W5295" i="1"/>
  <c r="V5295" i="1"/>
  <c r="W5294" i="1"/>
  <c r="X5294" i="1" s="1"/>
  <c r="V5294" i="1"/>
  <c r="X5293" i="1"/>
  <c r="W5293" i="1"/>
  <c r="V5293" i="1"/>
  <c r="W5292" i="1"/>
  <c r="X5292" i="1" s="1"/>
  <c r="V5292" i="1"/>
  <c r="W5291" i="1"/>
  <c r="X5291" i="1" s="1"/>
  <c r="V5291" i="1"/>
  <c r="W5290" i="1"/>
  <c r="X5290" i="1" s="1"/>
  <c r="V5290" i="1"/>
  <c r="X5289" i="1"/>
  <c r="W5289" i="1"/>
  <c r="V5289" i="1"/>
  <c r="X5288" i="1"/>
  <c r="W5288" i="1"/>
  <c r="V5288" i="1"/>
  <c r="X5287" i="1"/>
  <c r="W5287" i="1"/>
  <c r="V5287" i="1"/>
  <c r="W5286" i="1"/>
  <c r="X5286" i="1" s="1"/>
  <c r="V5286" i="1"/>
  <c r="X5285" i="1"/>
  <c r="W5285" i="1"/>
  <c r="V5285" i="1"/>
  <c r="W5284" i="1"/>
  <c r="X5284" i="1" s="1"/>
  <c r="V5284" i="1"/>
  <c r="W5283" i="1"/>
  <c r="X5283" i="1" s="1"/>
  <c r="V5283" i="1"/>
  <c r="W5282" i="1"/>
  <c r="X5282" i="1" s="1"/>
  <c r="V5282" i="1"/>
  <c r="X5281" i="1"/>
  <c r="W5281" i="1"/>
  <c r="V5281" i="1"/>
  <c r="X5280" i="1"/>
  <c r="W5280" i="1"/>
  <c r="V5280" i="1"/>
  <c r="X5279" i="1"/>
  <c r="W5279" i="1"/>
  <c r="V5279" i="1"/>
  <c r="W5278" i="1"/>
  <c r="X5278" i="1" s="1"/>
  <c r="V5278" i="1"/>
  <c r="X5277" i="1"/>
  <c r="W5277" i="1"/>
  <c r="V5277" i="1"/>
  <c r="W5276" i="1"/>
  <c r="X5276" i="1" s="1"/>
  <c r="V5276" i="1"/>
  <c r="W5275" i="1"/>
  <c r="X5275" i="1" s="1"/>
  <c r="V5275" i="1"/>
  <c r="W5274" i="1"/>
  <c r="X5274" i="1" s="1"/>
  <c r="V5274" i="1"/>
  <c r="X5273" i="1"/>
  <c r="W5273" i="1"/>
  <c r="V5273" i="1"/>
  <c r="X5272" i="1"/>
  <c r="W5272" i="1"/>
  <c r="V5272" i="1"/>
  <c r="X5271" i="1"/>
  <c r="W5271" i="1"/>
  <c r="V5271" i="1"/>
  <c r="W5270" i="1"/>
  <c r="X5270" i="1" s="1"/>
  <c r="V5270" i="1"/>
  <c r="X5269" i="1"/>
  <c r="W5269" i="1"/>
  <c r="V5269" i="1"/>
  <c r="W5268" i="1"/>
  <c r="X5268" i="1" s="1"/>
  <c r="V5268" i="1"/>
  <c r="W5267" i="1"/>
  <c r="X5267" i="1" s="1"/>
  <c r="V5267" i="1"/>
  <c r="W5266" i="1"/>
  <c r="X5266" i="1" s="1"/>
  <c r="V5266" i="1"/>
  <c r="X5265" i="1"/>
  <c r="W5265" i="1"/>
  <c r="V5265" i="1"/>
  <c r="X5264" i="1"/>
  <c r="W5264" i="1"/>
  <c r="V5264" i="1"/>
  <c r="X5263" i="1"/>
  <c r="W5263" i="1"/>
  <c r="V5263" i="1"/>
  <c r="W5262" i="1"/>
  <c r="X5262" i="1" s="1"/>
  <c r="V5262" i="1"/>
  <c r="W5261" i="1"/>
  <c r="X5261" i="1" s="1"/>
  <c r="V5261" i="1"/>
  <c r="W5260" i="1"/>
  <c r="X5260" i="1" s="1"/>
  <c r="V5260" i="1"/>
  <c r="W5259" i="1"/>
  <c r="X5259" i="1" s="1"/>
  <c r="V5259" i="1"/>
  <c r="W5258" i="1"/>
  <c r="X5258" i="1" s="1"/>
  <c r="V5258" i="1"/>
  <c r="X5257" i="1"/>
  <c r="W5257" i="1"/>
  <c r="V5257" i="1"/>
  <c r="X5256" i="1"/>
  <c r="W5256" i="1"/>
  <c r="V5256" i="1"/>
  <c r="X5255" i="1"/>
  <c r="W5255" i="1"/>
  <c r="V5255" i="1"/>
  <c r="W5254" i="1"/>
  <c r="X5254" i="1" s="1"/>
  <c r="V5254" i="1"/>
  <c r="W5253" i="1"/>
  <c r="X5253" i="1" s="1"/>
  <c r="V5253" i="1"/>
  <c r="W5252" i="1"/>
  <c r="X5252" i="1" s="1"/>
  <c r="V5252" i="1"/>
  <c r="W5251" i="1"/>
  <c r="X5251" i="1" s="1"/>
  <c r="V5251" i="1"/>
  <c r="W5250" i="1"/>
  <c r="X5250" i="1" s="1"/>
  <c r="V5250" i="1"/>
  <c r="X5249" i="1"/>
  <c r="W5249" i="1"/>
  <c r="V5249" i="1"/>
  <c r="X5248" i="1"/>
  <c r="W5248" i="1"/>
  <c r="V5248" i="1"/>
  <c r="X5247" i="1"/>
  <c r="W5247" i="1"/>
  <c r="V5247" i="1"/>
  <c r="W5246" i="1"/>
  <c r="X5246" i="1" s="1"/>
  <c r="V5246" i="1"/>
  <c r="X5245" i="1"/>
  <c r="W5245" i="1"/>
  <c r="V5245" i="1"/>
  <c r="W5244" i="1"/>
  <c r="X5244" i="1" s="1"/>
  <c r="V5244" i="1"/>
  <c r="W5243" i="1"/>
  <c r="X5243" i="1" s="1"/>
  <c r="V5243" i="1"/>
  <c r="W5242" i="1"/>
  <c r="X5242" i="1" s="1"/>
  <c r="V5242" i="1"/>
  <c r="X5241" i="1"/>
  <c r="W5241" i="1"/>
  <c r="V5241" i="1"/>
  <c r="X5240" i="1"/>
  <c r="W5240" i="1"/>
  <c r="V5240" i="1"/>
  <c r="X5239" i="1"/>
  <c r="W5239" i="1"/>
  <c r="V5239" i="1"/>
  <c r="W5238" i="1"/>
  <c r="X5238" i="1" s="1"/>
  <c r="V5238" i="1"/>
  <c r="X5237" i="1"/>
  <c r="W5237" i="1"/>
  <c r="V5237" i="1"/>
  <c r="W5236" i="1"/>
  <c r="X5236" i="1" s="1"/>
  <c r="V5236" i="1"/>
  <c r="W5235" i="1"/>
  <c r="X5235" i="1" s="1"/>
  <c r="V5235" i="1"/>
  <c r="W5234" i="1"/>
  <c r="X5234" i="1" s="1"/>
  <c r="V5234" i="1"/>
  <c r="X5233" i="1"/>
  <c r="W5233" i="1"/>
  <c r="V5233" i="1"/>
  <c r="X5232" i="1"/>
  <c r="W5232" i="1"/>
  <c r="V5232" i="1"/>
  <c r="X5231" i="1"/>
  <c r="W5231" i="1"/>
  <c r="V5231" i="1"/>
  <c r="W5230" i="1"/>
  <c r="X5230" i="1" s="1"/>
  <c r="V5230" i="1"/>
  <c r="W5229" i="1"/>
  <c r="X5229" i="1" s="1"/>
  <c r="V5229" i="1"/>
  <c r="W5228" i="1"/>
  <c r="X5228" i="1" s="1"/>
  <c r="V5228" i="1"/>
  <c r="W5227" i="1"/>
  <c r="X5227" i="1" s="1"/>
  <c r="V5227" i="1"/>
  <c r="W5226" i="1"/>
  <c r="X5226" i="1" s="1"/>
  <c r="V5226" i="1"/>
  <c r="X5225" i="1"/>
  <c r="W5225" i="1"/>
  <c r="V5225" i="1"/>
  <c r="X5224" i="1"/>
  <c r="W5224" i="1"/>
  <c r="V5224" i="1"/>
  <c r="X5223" i="1"/>
  <c r="W5223" i="1"/>
  <c r="V5223" i="1"/>
  <c r="W5222" i="1"/>
  <c r="X5222" i="1" s="1"/>
  <c r="V5222" i="1"/>
  <c r="W5221" i="1"/>
  <c r="X5221" i="1" s="1"/>
  <c r="V5221" i="1"/>
  <c r="W5220" i="1"/>
  <c r="X5220" i="1" s="1"/>
  <c r="V5220" i="1"/>
  <c r="W5219" i="1"/>
  <c r="X5219" i="1" s="1"/>
  <c r="V5219" i="1"/>
  <c r="W5218" i="1"/>
  <c r="X5218" i="1" s="1"/>
  <c r="V5218" i="1"/>
  <c r="X5217" i="1"/>
  <c r="W5217" i="1"/>
  <c r="V5217" i="1"/>
  <c r="X5216" i="1"/>
  <c r="W5216" i="1"/>
  <c r="V5216" i="1"/>
  <c r="X5215" i="1"/>
  <c r="W5215" i="1"/>
  <c r="V5215" i="1"/>
  <c r="W5214" i="1"/>
  <c r="X5214" i="1" s="1"/>
  <c r="V5214" i="1"/>
  <c r="X5213" i="1"/>
  <c r="W5213" i="1"/>
  <c r="V5213" i="1"/>
  <c r="W5212" i="1"/>
  <c r="X5212" i="1" s="1"/>
  <c r="V5212" i="1"/>
  <c r="W5211" i="1"/>
  <c r="X5211" i="1" s="1"/>
  <c r="V5211" i="1"/>
  <c r="W5210" i="1"/>
  <c r="X5210" i="1" s="1"/>
  <c r="V5210" i="1"/>
  <c r="X5209" i="1"/>
  <c r="W5209" i="1"/>
  <c r="V5209" i="1"/>
  <c r="X5208" i="1"/>
  <c r="W5208" i="1"/>
  <c r="V5208" i="1"/>
  <c r="X5207" i="1"/>
  <c r="W5207" i="1"/>
  <c r="V5207" i="1"/>
  <c r="W5206" i="1"/>
  <c r="X5206" i="1" s="1"/>
  <c r="V5206" i="1"/>
  <c r="X5205" i="1"/>
  <c r="W5205" i="1"/>
  <c r="V5205" i="1"/>
  <c r="W5204" i="1"/>
  <c r="X5204" i="1" s="1"/>
  <c r="V5204" i="1"/>
  <c r="W5203" i="1"/>
  <c r="X5203" i="1" s="1"/>
  <c r="V5203" i="1"/>
  <c r="W5202" i="1"/>
  <c r="X5202" i="1" s="1"/>
  <c r="V5202" i="1"/>
  <c r="X5201" i="1"/>
  <c r="W5201" i="1"/>
  <c r="V5201" i="1"/>
  <c r="X5200" i="1"/>
  <c r="W5200" i="1"/>
  <c r="V5200" i="1"/>
  <c r="X5199" i="1"/>
  <c r="W5199" i="1"/>
  <c r="V5199" i="1"/>
  <c r="W5198" i="1"/>
  <c r="X5198" i="1" s="1"/>
  <c r="V5198" i="1"/>
  <c r="X5197" i="1"/>
  <c r="W5197" i="1"/>
  <c r="V5197" i="1"/>
  <c r="W5196" i="1"/>
  <c r="X5196" i="1" s="1"/>
  <c r="V5196" i="1"/>
  <c r="W5195" i="1"/>
  <c r="X5195" i="1" s="1"/>
  <c r="V5195" i="1"/>
  <c r="W5194" i="1"/>
  <c r="X5194" i="1" s="1"/>
  <c r="V5194" i="1"/>
  <c r="X5193" i="1"/>
  <c r="W5193" i="1"/>
  <c r="V5193" i="1"/>
  <c r="X5192" i="1"/>
  <c r="W5192" i="1"/>
  <c r="V5192" i="1"/>
  <c r="X5191" i="1"/>
  <c r="W5191" i="1"/>
  <c r="V5191" i="1"/>
  <c r="W5190" i="1"/>
  <c r="X5190" i="1" s="1"/>
  <c r="V5190" i="1"/>
  <c r="W5189" i="1"/>
  <c r="X5189" i="1" s="1"/>
  <c r="V5189" i="1"/>
  <c r="W5188" i="1"/>
  <c r="X5188" i="1" s="1"/>
  <c r="V5188" i="1"/>
  <c r="W5187" i="1"/>
  <c r="X5187" i="1" s="1"/>
  <c r="V5187" i="1"/>
  <c r="W5186" i="1"/>
  <c r="X5186" i="1" s="1"/>
  <c r="V5186" i="1"/>
  <c r="X5185" i="1"/>
  <c r="W5185" i="1"/>
  <c r="V5185" i="1"/>
  <c r="X5184" i="1"/>
  <c r="W5184" i="1"/>
  <c r="V5184" i="1"/>
  <c r="X5183" i="1"/>
  <c r="W5183" i="1"/>
  <c r="V5183" i="1"/>
  <c r="W5182" i="1"/>
  <c r="X5182" i="1" s="1"/>
  <c r="V5182" i="1"/>
  <c r="X5181" i="1"/>
  <c r="W5181" i="1"/>
  <c r="V5181" i="1"/>
  <c r="W5180" i="1"/>
  <c r="X5180" i="1" s="1"/>
  <c r="V5180" i="1"/>
  <c r="W5179" i="1"/>
  <c r="X5179" i="1" s="1"/>
  <c r="V5179" i="1"/>
  <c r="W5178" i="1"/>
  <c r="X5178" i="1" s="1"/>
  <c r="V5178" i="1"/>
  <c r="X5177" i="1"/>
  <c r="W5177" i="1"/>
  <c r="V5177" i="1"/>
  <c r="X5176" i="1"/>
  <c r="W5176" i="1"/>
  <c r="V5176" i="1"/>
  <c r="X5175" i="1"/>
  <c r="W5175" i="1"/>
  <c r="V5175" i="1"/>
  <c r="W5174" i="1"/>
  <c r="X5174" i="1" s="1"/>
  <c r="V5174" i="1"/>
  <c r="X5173" i="1"/>
  <c r="W5173" i="1"/>
  <c r="V5173" i="1"/>
  <c r="W5172" i="1"/>
  <c r="X5172" i="1" s="1"/>
  <c r="V5172" i="1"/>
  <c r="W5171" i="1"/>
  <c r="X5171" i="1" s="1"/>
  <c r="V5171" i="1"/>
  <c r="W5170" i="1"/>
  <c r="X5170" i="1" s="1"/>
  <c r="V5170" i="1"/>
  <c r="X5169" i="1"/>
  <c r="W5169" i="1"/>
  <c r="V5169" i="1"/>
  <c r="X5168" i="1"/>
  <c r="W5168" i="1"/>
  <c r="V5168" i="1"/>
  <c r="X5167" i="1"/>
  <c r="W5167" i="1"/>
  <c r="V5167" i="1"/>
  <c r="W5166" i="1"/>
  <c r="X5166" i="1" s="1"/>
  <c r="V5166" i="1"/>
  <c r="X5165" i="1"/>
  <c r="W5165" i="1"/>
  <c r="V5165" i="1"/>
  <c r="W5164" i="1"/>
  <c r="X5164" i="1" s="1"/>
  <c r="V5164" i="1"/>
  <c r="W5163" i="1"/>
  <c r="X5163" i="1" s="1"/>
  <c r="V5163" i="1"/>
  <c r="W5162" i="1"/>
  <c r="X5162" i="1" s="1"/>
  <c r="V5162" i="1"/>
  <c r="X5161" i="1"/>
  <c r="W5161" i="1"/>
  <c r="V5161" i="1"/>
  <c r="X5160" i="1"/>
  <c r="W5160" i="1"/>
  <c r="V5160" i="1"/>
  <c r="X5159" i="1"/>
  <c r="W5159" i="1"/>
  <c r="V5159" i="1"/>
  <c r="W5158" i="1"/>
  <c r="X5158" i="1" s="1"/>
  <c r="V5158" i="1"/>
  <c r="X5157" i="1"/>
  <c r="W5157" i="1"/>
  <c r="V5157" i="1"/>
  <c r="W5156" i="1"/>
  <c r="X5156" i="1" s="1"/>
  <c r="V5156" i="1"/>
  <c r="W5155" i="1"/>
  <c r="X5155" i="1" s="1"/>
  <c r="V5155" i="1"/>
  <c r="W5154" i="1"/>
  <c r="X5154" i="1" s="1"/>
  <c r="V5154" i="1"/>
  <c r="X5153" i="1"/>
  <c r="W5153" i="1"/>
  <c r="V5153" i="1"/>
  <c r="X5152" i="1"/>
  <c r="W5152" i="1"/>
  <c r="V5152" i="1"/>
  <c r="X5151" i="1"/>
  <c r="W5151" i="1"/>
  <c r="V5151" i="1"/>
  <c r="W5150" i="1"/>
  <c r="X5150" i="1" s="1"/>
  <c r="V5150" i="1"/>
  <c r="X5149" i="1"/>
  <c r="W5149" i="1"/>
  <c r="V5149" i="1"/>
  <c r="W5148" i="1"/>
  <c r="X5148" i="1" s="1"/>
  <c r="V5148" i="1"/>
  <c r="W5147" i="1"/>
  <c r="X5147" i="1" s="1"/>
  <c r="V5147" i="1"/>
  <c r="W5146" i="1"/>
  <c r="X5146" i="1" s="1"/>
  <c r="V5146" i="1"/>
  <c r="X5145" i="1"/>
  <c r="W5145" i="1"/>
  <c r="V5145" i="1"/>
  <c r="X5144" i="1"/>
  <c r="W5144" i="1"/>
  <c r="V5144" i="1"/>
  <c r="X5143" i="1"/>
  <c r="W5143" i="1"/>
  <c r="V5143" i="1"/>
  <c r="W5142" i="1"/>
  <c r="X5142" i="1" s="1"/>
  <c r="V5142" i="1"/>
  <c r="W5141" i="1"/>
  <c r="X5141" i="1" s="1"/>
  <c r="V5141" i="1"/>
  <c r="W5140" i="1"/>
  <c r="X5140" i="1" s="1"/>
  <c r="V5140" i="1"/>
  <c r="W5139" i="1"/>
  <c r="X5139" i="1" s="1"/>
  <c r="V5139" i="1"/>
  <c r="W5138" i="1"/>
  <c r="X5138" i="1" s="1"/>
  <c r="V5138" i="1"/>
  <c r="X5137" i="1"/>
  <c r="W5137" i="1"/>
  <c r="V5137" i="1"/>
  <c r="X5136" i="1"/>
  <c r="W5136" i="1"/>
  <c r="V5136" i="1"/>
  <c r="X5135" i="1"/>
  <c r="W5135" i="1"/>
  <c r="V5135" i="1"/>
  <c r="W5134" i="1"/>
  <c r="X5134" i="1" s="1"/>
  <c r="V5134" i="1"/>
  <c r="W5133" i="1"/>
  <c r="X5133" i="1" s="1"/>
  <c r="V5133" i="1"/>
  <c r="W5132" i="1"/>
  <c r="X5132" i="1" s="1"/>
  <c r="V5132" i="1"/>
  <c r="W5131" i="1"/>
  <c r="X5131" i="1" s="1"/>
  <c r="V5131" i="1"/>
  <c r="W5130" i="1"/>
  <c r="X5130" i="1" s="1"/>
  <c r="V5130" i="1"/>
  <c r="X5129" i="1"/>
  <c r="W5129" i="1"/>
  <c r="V5129" i="1"/>
  <c r="X5128" i="1"/>
  <c r="W5128" i="1"/>
  <c r="V5128" i="1"/>
  <c r="X5127" i="1"/>
  <c r="W5127" i="1"/>
  <c r="V5127" i="1"/>
  <c r="W5126" i="1"/>
  <c r="X5126" i="1" s="1"/>
  <c r="V5126" i="1"/>
  <c r="W5125" i="1"/>
  <c r="X5125" i="1" s="1"/>
  <c r="V5125" i="1"/>
  <c r="W5124" i="1"/>
  <c r="X5124" i="1" s="1"/>
  <c r="V5124" i="1"/>
  <c r="W5123" i="1"/>
  <c r="X5123" i="1" s="1"/>
  <c r="V5123" i="1"/>
  <c r="W5122" i="1"/>
  <c r="X5122" i="1" s="1"/>
  <c r="V5122" i="1"/>
  <c r="X5121" i="1"/>
  <c r="W5121" i="1"/>
  <c r="V5121" i="1"/>
  <c r="X5120" i="1"/>
  <c r="W5120" i="1"/>
  <c r="V5120" i="1"/>
  <c r="X5119" i="1"/>
  <c r="W5119" i="1"/>
  <c r="V5119" i="1"/>
  <c r="W5118" i="1"/>
  <c r="X5118" i="1" s="1"/>
  <c r="V5118" i="1"/>
  <c r="W5117" i="1"/>
  <c r="X5117" i="1" s="1"/>
  <c r="V5117" i="1"/>
  <c r="W5116" i="1"/>
  <c r="X5116" i="1" s="1"/>
  <c r="V5116" i="1"/>
  <c r="W5115" i="1"/>
  <c r="X5115" i="1" s="1"/>
  <c r="V5115" i="1"/>
  <c r="W5114" i="1"/>
  <c r="X5114" i="1" s="1"/>
  <c r="V5114" i="1"/>
  <c r="X5113" i="1"/>
  <c r="W5113" i="1"/>
  <c r="V5113" i="1"/>
  <c r="X5112" i="1"/>
  <c r="W5112" i="1"/>
  <c r="V5112" i="1"/>
  <c r="X5111" i="1"/>
  <c r="W5111" i="1"/>
  <c r="V5111" i="1"/>
  <c r="W5110" i="1"/>
  <c r="X5110" i="1" s="1"/>
  <c r="V5110" i="1"/>
  <c r="X5109" i="1"/>
  <c r="W5109" i="1"/>
  <c r="V5109" i="1"/>
  <c r="W5108" i="1"/>
  <c r="X5108" i="1" s="1"/>
  <c r="V5108" i="1"/>
  <c r="W5107" i="1"/>
  <c r="X5107" i="1" s="1"/>
  <c r="V5107" i="1"/>
  <c r="W5106" i="1"/>
  <c r="X5106" i="1" s="1"/>
  <c r="V5106" i="1"/>
  <c r="X5105" i="1"/>
  <c r="W5105" i="1"/>
  <c r="V5105" i="1"/>
  <c r="X5104" i="1"/>
  <c r="W5104" i="1"/>
  <c r="V5104" i="1"/>
  <c r="X5103" i="1"/>
  <c r="W5103" i="1"/>
  <c r="V5103" i="1"/>
  <c r="W5102" i="1"/>
  <c r="X5102" i="1" s="1"/>
  <c r="V5102" i="1"/>
  <c r="W5101" i="1"/>
  <c r="X5101" i="1" s="1"/>
  <c r="V5101" i="1"/>
  <c r="W5100" i="1"/>
  <c r="X5100" i="1" s="1"/>
  <c r="V5100" i="1"/>
  <c r="W5099" i="1"/>
  <c r="X5099" i="1" s="1"/>
  <c r="V5099" i="1"/>
  <c r="W5098" i="1"/>
  <c r="X5098" i="1" s="1"/>
  <c r="V5098" i="1"/>
  <c r="X5097" i="1"/>
  <c r="W5097" i="1"/>
  <c r="V5097" i="1"/>
  <c r="X5096" i="1"/>
  <c r="W5096" i="1"/>
  <c r="V5096" i="1"/>
  <c r="X5095" i="1"/>
  <c r="W5095" i="1"/>
  <c r="V5095" i="1"/>
  <c r="W5094" i="1"/>
  <c r="X5094" i="1" s="1"/>
  <c r="V5094" i="1"/>
  <c r="W5093" i="1"/>
  <c r="X5093" i="1" s="1"/>
  <c r="V5093" i="1"/>
  <c r="W5092" i="1"/>
  <c r="X5092" i="1" s="1"/>
  <c r="V5092" i="1"/>
  <c r="W5091" i="1"/>
  <c r="X5091" i="1" s="1"/>
  <c r="V5091" i="1"/>
  <c r="W5090" i="1"/>
  <c r="X5090" i="1" s="1"/>
  <c r="V5090" i="1"/>
  <c r="X5089" i="1"/>
  <c r="W5089" i="1"/>
  <c r="V5089" i="1"/>
  <c r="X5088" i="1"/>
  <c r="W5088" i="1"/>
  <c r="V5088" i="1"/>
  <c r="X5087" i="1"/>
  <c r="W5087" i="1"/>
  <c r="V5087" i="1"/>
  <c r="W5086" i="1"/>
  <c r="X5086" i="1" s="1"/>
  <c r="V5086" i="1"/>
  <c r="W5085" i="1"/>
  <c r="X5085" i="1" s="1"/>
  <c r="V5085" i="1"/>
  <c r="W5084" i="1"/>
  <c r="X5084" i="1" s="1"/>
  <c r="V5084" i="1"/>
  <c r="W5083" i="1"/>
  <c r="X5083" i="1" s="1"/>
  <c r="V5083" i="1"/>
  <c r="W5082" i="1"/>
  <c r="X5082" i="1" s="1"/>
  <c r="V5082" i="1"/>
  <c r="X5081" i="1"/>
  <c r="W5081" i="1"/>
  <c r="V5081" i="1"/>
  <c r="X5080" i="1"/>
  <c r="W5080" i="1"/>
  <c r="V5080" i="1"/>
  <c r="X5079" i="1"/>
  <c r="W5079" i="1"/>
  <c r="V5079" i="1"/>
  <c r="W5078" i="1"/>
  <c r="X5078" i="1" s="1"/>
  <c r="V5078" i="1"/>
  <c r="W5077" i="1"/>
  <c r="X5077" i="1" s="1"/>
  <c r="V5077" i="1"/>
  <c r="W5076" i="1"/>
  <c r="X5076" i="1" s="1"/>
  <c r="V5076" i="1"/>
  <c r="W5075" i="1"/>
  <c r="X5075" i="1" s="1"/>
  <c r="V5075" i="1"/>
  <c r="W5074" i="1"/>
  <c r="X5074" i="1" s="1"/>
  <c r="V5074" i="1"/>
  <c r="X5073" i="1"/>
  <c r="W5073" i="1"/>
  <c r="V5073" i="1"/>
  <c r="X5072" i="1"/>
  <c r="W5072" i="1"/>
  <c r="V5072" i="1"/>
  <c r="X5071" i="1"/>
  <c r="W5071" i="1"/>
  <c r="V5071" i="1"/>
  <c r="W5070" i="1"/>
  <c r="X5070" i="1" s="1"/>
  <c r="V5070" i="1"/>
  <c r="X5069" i="1"/>
  <c r="W5069" i="1"/>
  <c r="V5069" i="1"/>
  <c r="W5068" i="1"/>
  <c r="X5068" i="1" s="1"/>
  <c r="V5068" i="1"/>
  <c r="W5067" i="1"/>
  <c r="X5067" i="1" s="1"/>
  <c r="V5067" i="1"/>
  <c r="W5066" i="1"/>
  <c r="X5066" i="1" s="1"/>
  <c r="V5066" i="1"/>
  <c r="X5065" i="1"/>
  <c r="W5065" i="1"/>
  <c r="V5065" i="1"/>
  <c r="X5064" i="1"/>
  <c r="W5064" i="1"/>
  <c r="V5064" i="1"/>
  <c r="X5063" i="1"/>
  <c r="W5063" i="1"/>
  <c r="V5063" i="1"/>
  <c r="W5062" i="1"/>
  <c r="X5062" i="1" s="1"/>
  <c r="V5062" i="1"/>
  <c r="X5061" i="1"/>
  <c r="W5061" i="1"/>
  <c r="V5061" i="1"/>
  <c r="W5060" i="1"/>
  <c r="X5060" i="1" s="1"/>
  <c r="V5060" i="1"/>
  <c r="W5059" i="1"/>
  <c r="X5059" i="1" s="1"/>
  <c r="V5059" i="1"/>
  <c r="W5058" i="1"/>
  <c r="X5058" i="1" s="1"/>
  <c r="V5058" i="1"/>
  <c r="X5057" i="1"/>
  <c r="W5057" i="1"/>
  <c r="V5057" i="1"/>
  <c r="X5056" i="1"/>
  <c r="W5056" i="1"/>
  <c r="V5056" i="1"/>
  <c r="X5055" i="1"/>
  <c r="W5055" i="1"/>
  <c r="V5055" i="1"/>
  <c r="W5054" i="1"/>
  <c r="X5054" i="1" s="1"/>
  <c r="V5054" i="1"/>
  <c r="X5053" i="1"/>
  <c r="W5053" i="1"/>
  <c r="V5053" i="1"/>
  <c r="W5052" i="1"/>
  <c r="X5052" i="1" s="1"/>
  <c r="V5052" i="1"/>
  <c r="W5051" i="1"/>
  <c r="X5051" i="1" s="1"/>
  <c r="V5051" i="1"/>
  <c r="W5050" i="1"/>
  <c r="X5050" i="1" s="1"/>
  <c r="V5050" i="1"/>
  <c r="X5049" i="1"/>
  <c r="W5049" i="1"/>
  <c r="V5049" i="1"/>
  <c r="X5048" i="1"/>
  <c r="W5048" i="1"/>
  <c r="V5048" i="1"/>
  <c r="X5047" i="1"/>
  <c r="W5047" i="1"/>
  <c r="V5047" i="1"/>
  <c r="W5046" i="1"/>
  <c r="X5046" i="1" s="1"/>
  <c r="V5046" i="1"/>
  <c r="X5045" i="1"/>
  <c r="W5045" i="1"/>
  <c r="V5045" i="1"/>
  <c r="W5044" i="1"/>
  <c r="X5044" i="1" s="1"/>
  <c r="V5044" i="1"/>
  <c r="W5043" i="1"/>
  <c r="X5043" i="1" s="1"/>
  <c r="V5043" i="1"/>
  <c r="W5042" i="1"/>
  <c r="X5042" i="1" s="1"/>
  <c r="V5042" i="1"/>
  <c r="X5041" i="1"/>
  <c r="W5041" i="1"/>
  <c r="V5041" i="1"/>
  <c r="X5040" i="1"/>
  <c r="W5040" i="1"/>
  <c r="V5040" i="1"/>
  <c r="X5039" i="1"/>
  <c r="W5039" i="1"/>
  <c r="V5039" i="1"/>
  <c r="W5038" i="1"/>
  <c r="X5038" i="1" s="1"/>
  <c r="V5038" i="1"/>
  <c r="X5037" i="1"/>
  <c r="W5037" i="1"/>
  <c r="V5037" i="1"/>
  <c r="W5036" i="1"/>
  <c r="X5036" i="1" s="1"/>
  <c r="V5036" i="1"/>
  <c r="W5035" i="1"/>
  <c r="X5035" i="1" s="1"/>
  <c r="V5035" i="1"/>
  <c r="W5034" i="1"/>
  <c r="X5034" i="1" s="1"/>
  <c r="V5034" i="1"/>
  <c r="X5033" i="1"/>
  <c r="W5033" i="1"/>
  <c r="V5033" i="1"/>
  <c r="X5032" i="1"/>
  <c r="W5032" i="1"/>
  <c r="V5032" i="1"/>
  <c r="X5031" i="1"/>
  <c r="W5031" i="1"/>
  <c r="V5031" i="1"/>
  <c r="W5030" i="1"/>
  <c r="X5030" i="1" s="1"/>
  <c r="V5030" i="1"/>
  <c r="X5029" i="1"/>
  <c r="W5029" i="1"/>
  <c r="V5029" i="1"/>
  <c r="W5028" i="1"/>
  <c r="X5028" i="1" s="1"/>
  <c r="V5028" i="1"/>
  <c r="W5027" i="1"/>
  <c r="X5027" i="1" s="1"/>
  <c r="V5027" i="1"/>
  <c r="W5026" i="1"/>
  <c r="X5026" i="1" s="1"/>
  <c r="V5026" i="1"/>
  <c r="X5025" i="1"/>
  <c r="W5025" i="1"/>
  <c r="V5025" i="1"/>
  <c r="W5024" i="1"/>
  <c r="X5024" i="1" s="1"/>
  <c r="V5024" i="1"/>
  <c r="X5023" i="1"/>
  <c r="W5023" i="1"/>
  <c r="V5023" i="1"/>
  <c r="W5022" i="1"/>
  <c r="X5022" i="1" s="1"/>
  <c r="V5022" i="1"/>
  <c r="X5021" i="1"/>
  <c r="W5021" i="1"/>
  <c r="V5021" i="1"/>
  <c r="W5020" i="1"/>
  <c r="X5020" i="1" s="1"/>
  <c r="V5020" i="1"/>
  <c r="W5019" i="1"/>
  <c r="X5019" i="1" s="1"/>
  <c r="V5019" i="1"/>
  <c r="W5018" i="1"/>
  <c r="X5018" i="1" s="1"/>
  <c r="V5018" i="1"/>
  <c r="X5017" i="1"/>
  <c r="W5017" i="1"/>
  <c r="V5017" i="1"/>
  <c r="X5016" i="1"/>
  <c r="W5016" i="1"/>
  <c r="V5016" i="1"/>
  <c r="X5015" i="1"/>
  <c r="W5015" i="1"/>
  <c r="V5015" i="1"/>
  <c r="W5014" i="1"/>
  <c r="X5014" i="1" s="1"/>
  <c r="V5014" i="1"/>
  <c r="X5013" i="1"/>
  <c r="W5013" i="1"/>
  <c r="V5013" i="1"/>
  <c r="W5012" i="1"/>
  <c r="X5012" i="1" s="1"/>
  <c r="V5012" i="1"/>
  <c r="W5011" i="1"/>
  <c r="X5011" i="1" s="1"/>
  <c r="V5011" i="1"/>
  <c r="X5010" i="1"/>
  <c r="W5010" i="1"/>
  <c r="V5010" i="1"/>
  <c r="X5009" i="1"/>
  <c r="W5009" i="1"/>
  <c r="V5009" i="1"/>
  <c r="W5008" i="1"/>
  <c r="X5008" i="1" s="1"/>
  <c r="V5008" i="1"/>
  <c r="X5007" i="1"/>
  <c r="W5007" i="1"/>
  <c r="V5007" i="1"/>
  <c r="W5006" i="1"/>
  <c r="X5006" i="1" s="1"/>
  <c r="V5006" i="1"/>
  <c r="W5005" i="1"/>
  <c r="X5005" i="1" s="1"/>
  <c r="V5005" i="1"/>
  <c r="W5004" i="1"/>
  <c r="X5004" i="1" s="1"/>
  <c r="V5004" i="1"/>
  <c r="W5003" i="1"/>
  <c r="X5003" i="1" s="1"/>
  <c r="V5003" i="1"/>
  <c r="X5002" i="1"/>
  <c r="W5002" i="1"/>
  <c r="V5002" i="1"/>
  <c r="X5001" i="1"/>
  <c r="W5001" i="1"/>
  <c r="V5001" i="1"/>
  <c r="W5000" i="1"/>
  <c r="X5000" i="1" s="1"/>
  <c r="V5000" i="1"/>
  <c r="X4999" i="1"/>
  <c r="W4999" i="1"/>
  <c r="V4999" i="1"/>
  <c r="W4998" i="1"/>
  <c r="X4998" i="1" s="1"/>
  <c r="V4998" i="1"/>
  <c r="W4997" i="1"/>
  <c r="X4997" i="1" s="1"/>
  <c r="V4997" i="1"/>
  <c r="W4996" i="1"/>
  <c r="X4996" i="1" s="1"/>
  <c r="V4996" i="1"/>
  <c r="W4995" i="1"/>
  <c r="X4995" i="1" s="1"/>
  <c r="V4995" i="1"/>
  <c r="W4994" i="1"/>
  <c r="X4994" i="1" s="1"/>
  <c r="V4994" i="1"/>
  <c r="X4993" i="1"/>
  <c r="W4993" i="1"/>
  <c r="V4993" i="1"/>
  <c r="X4992" i="1"/>
  <c r="W4992" i="1"/>
  <c r="V4992" i="1"/>
  <c r="X4991" i="1"/>
  <c r="W4991" i="1"/>
  <c r="V4991" i="1"/>
  <c r="W4990" i="1"/>
  <c r="X4990" i="1" s="1"/>
  <c r="V4990" i="1"/>
  <c r="X4989" i="1"/>
  <c r="W4989" i="1"/>
  <c r="V4989" i="1"/>
  <c r="W4988" i="1"/>
  <c r="X4988" i="1" s="1"/>
  <c r="V4988" i="1"/>
  <c r="W4987" i="1"/>
  <c r="X4987" i="1" s="1"/>
  <c r="V4987" i="1"/>
  <c r="W4986" i="1"/>
  <c r="X4986" i="1" s="1"/>
  <c r="V4986" i="1"/>
  <c r="X4985" i="1"/>
  <c r="W4985" i="1"/>
  <c r="V4985" i="1"/>
  <c r="X4984" i="1"/>
  <c r="W4984" i="1"/>
  <c r="V4984" i="1"/>
  <c r="X4983" i="1"/>
  <c r="W4983" i="1"/>
  <c r="V4983" i="1"/>
  <c r="W4982" i="1"/>
  <c r="X4982" i="1" s="1"/>
  <c r="V4982" i="1"/>
  <c r="W4981" i="1"/>
  <c r="X4981" i="1" s="1"/>
  <c r="V4981" i="1"/>
  <c r="W4980" i="1"/>
  <c r="X4980" i="1" s="1"/>
  <c r="V4980" i="1"/>
  <c r="W4979" i="1"/>
  <c r="X4979" i="1" s="1"/>
  <c r="V4979" i="1"/>
  <c r="W4978" i="1"/>
  <c r="X4978" i="1" s="1"/>
  <c r="V4978" i="1"/>
  <c r="W4977" i="1"/>
  <c r="X4977" i="1" s="1"/>
  <c r="V4977" i="1"/>
  <c r="W4976" i="1"/>
  <c r="X4976" i="1" s="1"/>
  <c r="V4976" i="1"/>
  <c r="W4975" i="1"/>
  <c r="X4975" i="1" s="1"/>
  <c r="V4975" i="1"/>
  <c r="X4974" i="1"/>
  <c r="W4974" i="1"/>
  <c r="V4974" i="1"/>
  <c r="X4973" i="1"/>
  <c r="W4973" i="1"/>
  <c r="V4973" i="1"/>
  <c r="X4972" i="1"/>
  <c r="W4972" i="1"/>
  <c r="V4972" i="1"/>
  <c r="W4971" i="1"/>
  <c r="X4971" i="1" s="1"/>
  <c r="V4971" i="1"/>
  <c r="W4970" i="1"/>
  <c r="X4970" i="1" s="1"/>
  <c r="V4970" i="1"/>
  <c r="W4969" i="1"/>
  <c r="X4969" i="1" s="1"/>
  <c r="V4969" i="1"/>
  <c r="W4968" i="1"/>
  <c r="X4968" i="1" s="1"/>
  <c r="V4968" i="1"/>
  <c r="W4967" i="1"/>
  <c r="X4967" i="1" s="1"/>
  <c r="V4967" i="1"/>
  <c r="X4966" i="1"/>
  <c r="W4966" i="1"/>
  <c r="V4966" i="1"/>
  <c r="X4965" i="1"/>
  <c r="W4965" i="1"/>
  <c r="V4965" i="1"/>
  <c r="X4964" i="1"/>
  <c r="W4964" i="1"/>
  <c r="V4964" i="1"/>
  <c r="W4963" i="1"/>
  <c r="X4963" i="1" s="1"/>
  <c r="V4963" i="1"/>
  <c r="W4962" i="1"/>
  <c r="X4962" i="1" s="1"/>
  <c r="V4962" i="1"/>
  <c r="W4961" i="1"/>
  <c r="X4961" i="1" s="1"/>
  <c r="V4961" i="1"/>
  <c r="W4960" i="1"/>
  <c r="X4960" i="1" s="1"/>
  <c r="V4960" i="1"/>
  <c r="W4959" i="1"/>
  <c r="X4959" i="1" s="1"/>
  <c r="V4959" i="1"/>
  <c r="X4958" i="1"/>
  <c r="W4958" i="1"/>
  <c r="V4958" i="1"/>
  <c r="X4957" i="1"/>
  <c r="W4957" i="1"/>
  <c r="V4957" i="1"/>
  <c r="X4956" i="1"/>
  <c r="W4956" i="1"/>
  <c r="V4956" i="1"/>
  <c r="W4955" i="1"/>
  <c r="X4955" i="1" s="1"/>
  <c r="V4955" i="1"/>
  <c r="W4954" i="1"/>
  <c r="X4954" i="1" s="1"/>
  <c r="V4954" i="1"/>
  <c r="W4953" i="1"/>
  <c r="X4953" i="1" s="1"/>
  <c r="V4953" i="1"/>
  <c r="W4952" i="1"/>
  <c r="X4952" i="1" s="1"/>
  <c r="V4952" i="1"/>
  <c r="W4951" i="1"/>
  <c r="X4951" i="1" s="1"/>
  <c r="V4951" i="1"/>
  <c r="X4950" i="1"/>
  <c r="W4950" i="1"/>
  <c r="V4950" i="1"/>
  <c r="X4949" i="1"/>
  <c r="W4949" i="1"/>
  <c r="V4949" i="1"/>
  <c r="X4948" i="1"/>
  <c r="W4948" i="1"/>
  <c r="V4948" i="1"/>
  <c r="W4947" i="1"/>
  <c r="X4947" i="1" s="1"/>
  <c r="V4947" i="1"/>
  <c r="W4946" i="1"/>
  <c r="X4946" i="1" s="1"/>
  <c r="V4946" i="1"/>
  <c r="W4945" i="1"/>
  <c r="X4945" i="1" s="1"/>
  <c r="V4945" i="1"/>
  <c r="W4944" i="1"/>
  <c r="X4944" i="1" s="1"/>
  <c r="V4944" i="1"/>
  <c r="W4943" i="1"/>
  <c r="X4943" i="1" s="1"/>
  <c r="V4943" i="1"/>
  <c r="X4942" i="1"/>
  <c r="W4942" i="1"/>
  <c r="V4942" i="1"/>
  <c r="X4941" i="1"/>
  <c r="W4941" i="1"/>
  <c r="V4941" i="1"/>
  <c r="X4940" i="1"/>
  <c r="W4940" i="1"/>
  <c r="V4940" i="1"/>
  <c r="W4939" i="1"/>
  <c r="X4939" i="1" s="1"/>
  <c r="V4939" i="1"/>
  <c r="W4938" i="1"/>
  <c r="X4938" i="1" s="1"/>
  <c r="V4938" i="1"/>
  <c r="W4937" i="1"/>
  <c r="X4937" i="1" s="1"/>
  <c r="V4937" i="1"/>
  <c r="W4936" i="1"/>
  <c r="X4936" i="1" s="1"/>
  <c r="V4936" i="1"/>
  <c r="W4935" i="1"/>
  <c r="X4935" i="1" s="1"/>
  <c r="V4935" i="1"/>
  <c r="X4934" i="1"/>
  <c r="W4934" i="1"/>
  <c r="V4934" i="1"/>
  <c r="X4933" i="1"/>
  <c r="W4933" i="1"/>
  <c r="V4933" i="1"/>
  <c r="X4932" i="1"/>
  <c r="W4932" i="1"/>
  <c r="V4932" i="1"/>
  <c r="W4931" i="1"/>
  <c r="X4931" i="1" s="1"/>
  <c r="V4931" i="1"/>
  <c r="W4930" i="1"/>
  <c r="X4930" i="1" s="1"/>
  <c r="V4930" i="1"/>
  <c r="W4929" i="1"/>
  <c r="X4929" i="1" s="1"/>
  <c r="V4929" i="1"/>
  <c r="W4928" i="1"/>
  <c r="X4928" i="1" s="1"/>
  <c r="V4928" i="1"/>
  <c r="W4927" i="1"/>
  <c r="X4927" i="1" s="1"/>
  <c r="V4927" i="1"/>
  <c r="X4926" i="1"/>
  <c r="W4926" i="1"/>
  <c r="V4926" i="1"/>
  <c r="X4925" i="1"/>
  <c r="W4925" i="1"/>
  <c r="V4925" i="1"/>
  <c r="X4924" i="1"/>
  <c r="W4924" i="1"/>
  <c r="V4924" i="1"/>
  <c r="W4923" i="1"/>
  <c r="X4923" i="1" s="1"/>
  <c r="V4923" i="1"/>
  <c r="W4922" i="1"/>
  <c r="X4922" i="1" s="1"/>
  <c r="V4922" i="1"/>
  <c r="W4921" i="1"/>
  <c r="X4921" i="1" s="1"/>
  <c r="V4921" i="1"/>
  <c r="W4920" i="1"/>
  <c r="X4920" i="1" s="1"/>
  <c r="V4920" i="1"/>
  <c r="W4919" i="1"/>
  <c r="X4919" i="1" s="1"/>
  <c r="V4919" i="1"/>
  <c r="X4918" i="1"/>
  <c r="W4918" i="1"/>
  <c r="V4918" i="1"/>
  <c r="X4917" i="1"/>
  <c r="W4917" i="1"/>
  <c r="V4917" i="1"/>
  <c r="X4916" i="1"/>
  <c r="W4916" i="1"/>
  <c r="V4916" i="1"/>
  <c r="W4915" i="1"/>
  <c r="X4915" i="1" s="1"/>
  <c r="V4915" i="1"/>
  <c r="W4914" i="1"/>
  <c r="X4914" i="1" s="1"/>
  <c r="V4914" i="1"/>
  <c r="W4913" i="1"/>
  <c r="X4913" i="1" s="1"/>
  <c r="V4913" i="1"/>
  <c r="W4912" i="1"/>
  <c r="X4912" i="1" s="1"/>
  <c r="V4912" i="1"/>
  <c r="W4911" i="1"/>
  <c r="X4911" i="1" s="1"/>
  <c r="V4911" i="1"/>
  <c r="X4910" i="1"/>
  <c r="W4910" i="1"/>
  <c r="V4910" i="1"/>
  <c r="X4909" i="1"/>
  <c r="W4909" i="1"/>
  <c r="V4909" i="1"/>
  <c r="X4908" i="1"/>
  <c r="W4908" i="1"/>
  <c r="V4908" i="1"/>
  <c r="W4907" i="1"/>
  <c r="X4907" i="1" s="1"/>
  <c r="V4907" i="1"/>
  <c r="W4906" i="1"/>
  <c r="X4906" i="1" s="1"/>
  <c r="V4906" i="1"/>
  <c r="W4905" i="1"/>
  <c r="X4905" i="1" s="1"/>
  <c r="V4905" i="1"/>
  <c r="W4904" i="1"/>
  <c r="X4904" i="1" s="1"/>
  <c r="V4904" i="1"/>
  <c r="W4903" i="1"/>
  <c r="X4903" i="1" s="1"/>
  <c r="V4903" i="1"/>
  <c r="X4902" i="1"/>
  <c r="W4902" i="1"/>
  <c r="V4902" i="1"/>
  <c r="X4901" i="1"/>
  <c r="W4901" i="1"/>
  <c r="V4901" i="1"/>
  <c r="X4900" i="1"/>
  <c r="W4900" i="1"/>
  <c r="V4900" i="1"/>
  <c r="W4899" i="1"/>
  <c r="X4899" i="1" s="1"/>
  <c r="V4899" i="1"/>
  <c r="W4898" i="1"/>
  <c r="X4898" i="1" s="1"/>
  <c r="V4898" i="1"/>
  <c r="W4897" i="1"/>
  <c r="X4897" i="1" s="1"/>
  <c r="V4897" i="1"/>
  <c r="W4896" i="1"/>
  <c r="X4896" i="1" s="1"/>
  <c r="V4896" i="1"/>
  <c r="W4895" i="1"/>
  <c r="X4895" i="1" s="1"/>
  <c r="V4895" i="1"/>
  <c r="X4894" i="1"/>
  <c r="W4894" i="1"/>
  <c r="V4894" i="1"/>
  <c r="X4893" i="1"/>
  <c r="W4893" i="1"/>
  <c r="V4893" i="1"/>
  <c r="X4892" i="1"/>
  <c r="W4892" i="1"/>
  <c r="V4892" i="1"/>
  <c r="W4891" i="1"/>
  <c r="X4891" i="1" s="1"/>
  <c r="V4891" i="1"/>
  <c r="W4890" i="1"/>
  <c r="X4890" i="1" s="1"/>
  <c r="V4890" i="1"/>
  <c r="W4889" i="1"/>
  <c r="X4889" i="1" s="1"/>
  <c r="V4889" i="1"/>
  <c r="W4888" i="1"/>
  <c r="X4888" i="1" s="1"/>
  <c r="V4888" i="1"/>
  <c r="W4887" i="1"/>
  <c r="X4887" i="1" s="1"/>
  <c r="V4887" i="1"/>
  <c r="X4886" i="1"/>
  <c r="W4886" i="1"/>
  <c r="V4886" i="1"/>
  <c r="X4885" i="1"/>
  <c r="W4885" i="1"/>
  <c r="V4885" i="1"/>
  <c r="X4884" i="1"/>
  <c r="W4884" i="1"/>
  <c r="V4884" i="1"/>
  <c r="W4883" i="1"/>
  <c r="X4883" i="1" s="1"/>
  <c r="V4883" i="1"/>
  <c r="W4882" i="1"/>
  <c r="X4882" i="1" s="1"/>
  <c r="V4882" i="1"/>
  <c r="W4881" i="1"/>
  <c r="X4881" i="1" s="1"/>
  <c r="V4881" i="1"/>
  <c r="W4880" i="1"/>
  <c r="X4880" i="1" s="1"/>
  <c r="V4880" i="1"/>
  <c r="W4879" i="1"/>
  <c r="X4879" i="1" s="1"/>
  <c r="V4879" i="1"/>
  <c r="X4878" i="1"/>
  <c r="W4878" i="1"/>
  <c r="V4878" i="1"/>
  <c r="X4877" i="1"/>
  <c r="W4877" i="1"/>
  <c r="V4877" i="1"/>
  <c r="X4876" i="1"/>
  <c r="W4876" i="1"/>
  <c r="V4876" i="1"/>
  <c r="W4875" i="1"/>
  <c r="X4875" i="1" s="1"/>
  <c r="V4875" i="1"/>
  <c r="W4874" i="1"/>
  <c r="X4874" i="1" s="1"/>
  <c r="V4874" i="1"/>
  <c r="W4873" i="1"/>
  <c r="X4873" i="1" s="1"/>
  <c r="V4873" i="1"/>
  <c r="W4872" i="1"/>
  <c r="X4872" i="1" s="1"/>
  <c r="V4872" i="1"/>
  <c r="W4871" i="1"/>
  <c r="X4871" i="1" s="1"/>
  <c r="V4871" i="1"/>
  <c r="X4870" i="1"/>
  <c r="W4870" i="1"/>
  <c r="V4870" i="1"/>
  <c r="X4869" i="1"/>
  <c r="W4869" i="1"/>
  <c r="V4869" i="1"/>
  <c r="X4868" i="1"/>
  <c r="W4868" i="1"/>
  <c r="V4868" i="1"/>
  <c r="W4867" i="1"/>
  <c r="X4867" i="1" s="1"/>
  <c r="V4867" i="1"/>
  <c r="W4866" i="1"/>
  <c r="X4866" i="1" s="1"/>
  <c r="V4866" i="1"/>
  <c r="W4865" i="1"/>
  <c r="X4865" i="1" s="1"/>
  <c r="V4865" i="1"/>
  <c r="W4864" i="1"/>
  <c r="X4864" i="1" s="1"/>
  <c r="V4864" i="1"/>
  <c r="W4863" i="1"/>
  <c r="X4863" i="1" s="1"/>
  <c r="V4863" i="1"/>
  <c r="X4862" i="1"/>
  <c r="W4862" i="1"/>
  <c r="V4862" i="1"/>
  <c r="X4861" i="1"/>
  <c r="W4861" i="1"/>
  <c r="V4861" i="1"/>
  <c r="X4860" i="1"/>
  <c r="W4860" i="1"/>
  <c r="V4860" i="1"/>
  <c r="W4859" i="1"/>
  <c r="X4859" i="1" s="1"/>
  <c r="V4859" i="1"/>
  <c r="W4858" i="1"/>
  <c r="X4858" i="1" s="1"/>
  <c r="V4858" i="1"/>
  <c r="W4857" i="1"/>
  <c r="X4857" i="1" s="1"/>
  <c r="V4857" i="1"/>
  <c r="W4856" i="1"/>
  <c r="X4856" i="1" s="1"/>
  <c r="V4856" i="1"/>
  <c r="W4855" i="1"/>
  <c r="X4855" i="1" s="1"/>
  <c r="V4855" i="1"/>
  <c r="X4854" i="1"/>
  <c r="W4854" i="1"/>
  <c r="V4854" i="1"/>
  <c r="X4853" i="1"/>
  <c r="W4853" i="1"/>
  <c r="V4853" i="1"/>
  <c r="X4852" i="1"/>
  <c r="W4852" i="1"/>
  <c r="V4852" i="1"/>
  <c r="W4851" i="1"/>
  <c r="X4851" i="1" s="1"/>
  <c r="V4851" i="1"/>
  <c r="W4850" i="1"/>
  <c r="X4850" i="1" s="1"/>
  <c r="V4850" i="1"/>
  <c r="W4849" i="1"/>
  <c r="X4849" i="1" s="1"/>
  <c r="V4849" i="1"/>
  <c r="W4848" i="1"/>
  <c r="X4848" i="1" s="1"/>
  <c r="V4848" i="1"/>
  <c r="W4847" i="1"/>
  <c r="X4847" i="1" s="1"/>
  <c r="V4847" i="1"/>
  <c r="X4846" i="1"/>
  <c r="W4846" i="1"/>
  <c r="V4846" i="1"/>
  <c r="X4845" i="1"/>
  <c r="W4845" i="1"/>
  <c r="V4845" i="1"/>
  <c r="X4844" i="1"/>
  <c r="W4844" i="1"/>
  <c r="V4844" i="1"/>
  <c r="W4843" i="1"/>
  <c r="X4843" i="1" s="1"/>
  <c r="V4843" i="1"/>
  <c r="W4842" i="1"/>
  <c r="X4842" i="1" s="1"/>
  <c r="V4842" i="1"/>
  <c r="W4841" i="1"/>
  <c r="X4841" i="1" s="1"/>
  <c r="V4841" i="1"/>
  <c r="W4840" i="1"/>
  <c r="X4840" i="1" s="1"/>
  <c r="V4840" i="1"/>
  <c r="W4839" i="1"/>
  <c r="X4839" i="1" s="1"/>
  <c r="V4839" i="1"/>
  <c r="X4838" i="1"/>
  <c r="W4838" i="1"/>
  <c r="V4838" i="1"/>
  <c r="X4837" i="1"/>
  <c r="W4837" i="1"/>
  <c r="V4837" i="1"/>
  <c r="X4836" i="1"/>
  <c r="W4836" i="1"/>
  <c r="V4836" i="1"/>
  <c r="W4835" i="1"/>
  <c r="X4835" i="1" s="1"/>
  <c r="V4835" i="1"/>
  <c r="W4834" i="1"/>
  <c r="X4834" i="1" s="1"/>
  <c r="V4834" i="1"/>
  <c r="W4833" i="1"/>
  <c r="X4833" i="1" s="1"/>
  <c r="V4833" i="1"/>
  <c r="W4832" i="1"/>
  <c r="X4832" i="1" s="1"/>
  <c r="V4832" i="1"/>
  <c r="W4831" i="1"/>
  <c r="X4831" i="1" s="1"/>
  <c r="V4831" i="1"/>
  <c r="X4830" i="1"/>
  <c r="W4830" i="1"/>
  <c r="V4830" i="1"/>
  <c r="X4829" i="1"/>
  <c r="W4829" i="1"/>
  <c r="V4829" i="1"/>
  <c r="X4828" i="1"/>
  <c r="W4828" i="1"/>
  <c r="V4828" i="1"/>
  <c r="W4827" i="1"/>
  <c r="X4827" i="1" s="1"/>
  <c r="V4827" i="1"/>
  <c r="W4826" i="1"/>
  <c r="X4826" i="1" s="1"/>
  <c r="V4826" i="1"/>
  <c r="W4825" i="1"/>
  <c r="X4825" i="1" s="1"/>
  <c r="V4825" i="1"/>
  <c r="W4824" i="1"/>
  <c r="X4824" i="1" s="1"/>
  <c r="V4824" i="1"/>
  <c r="W4823" i="1"/>
  <c r="X4823" i="1" s="1"/>
  <c r="V4823" i="1"/>
  <c r="X4822" i="1"/>
  <c r="W4822" i="1"/>
  <c r="V4822" i="1"/>
  <c r="X4821" i="1"/>
  <c r="W4821" i="1"/>
  <c r="V4821" i="1"/>
  <c r="X4820" i="1"/>
  <c r="W4820" i="1"/>
  <c r="V4820" i="1"/>
  <c r="W4819" i="1"/>
  <c r="X4819" i="1" s="1"/>
  <c r="V4819" i="1"/>
  <c r="W4818" i="1"/>
  <c r="X4818" i="1" s="1"/>
  <c r="V4818" i="1"/>
  <c r="W4817" i="1"/>
  <c r="X4817" i="1" s="1"/>
  <c r="V4817" i="1"/>
  <c r="W4816" i="1"/>
  <c r="X4816" i="1" s="1"/>
  <c r="V4816" i="1"/>
  <c r="W4815" i="1"/>
  <c r="X4815" i="1" s="1"/>
  <c r="V4815" i="1"/>
  <c r="X4814" i="1"/>
  <c r="W4814" i="1"/>
  <c r="V4814" i="1"/>
  <c r="X4813" i="1"/>
  <c r="W4813" i="1"/>
  <c r="V4813" i="1"/>
  <c r="X4812" i="1"/>
  <c r="W4812" i="1"/>
  <c r="V4812" i="1"/>
  <c r="W4811" i="1"/>
  <c r="X4811" i="1" s="1"/>
  <c r="V4811" i="1"/>
  <c r="W4810" i="1"/>
  <c r="X4810" i="1" s="1"/>
  <c r="V4810" i="1"/>
  <c r="W4809" i="1"/>
  <c r="X4809" i="1" s="1"/>
  <c r="V4809" i="1"/>
  <c r="W4808" i="1"/>
  <c r="X4808" i="1" s="1"/>
  <c r="V4808" i="1"/>
  <c r="W4807" i="1"/>
  <c r="X4807" i="1" s="1"/>
  <c r="V4807" i="1"/>
  <c r="X4806" i="1"/>
  <c r="W4806" i="1"/>
  <c r="V4806" i="1"/>
  <c r="X4805" i="1"/>
  <c r="W4805" i="1"/>
  <c r="V4805" i="1"/>
  <c r="X4804" i="1"/>
  <c r="W4804" i="1"/>
  <c r="V4804" i="1"/>
  <c r="W4803" i="1"/>
  <c r="X4803" i="1" s="1"/>
  <c r="V4803" i="1"/>
  <c r="W4802" i="1"/>
  <c r="X4802" i="1" s="1"/>
  <c r="V4802" i="1"/>
  <c r="W4801" i="1"/>
  <c r="X4801" i="1" s="1"/>
  <c r="V4801" i="1"/>
  <c r="W4800" i="1"/>
  <c r="X4800" i="1" s="1"/>
  <c r="V4800" i="1"/>
  <c r="W4799" i="1"/>
  <c r="X4799" i="1" s="1"/>
  <c r="V4799" i="1"/>
  <c r="X4798" i="1"/>
  <c r="W4798" i="1"/>
  <c r="V4798" i="1"/>
  <c r="X4797" i="1"/>
  <c r="W4797" i="1"/>
  <c r="V4797" i="1"/>
  <c r="X4796" i="1"/>
  <c r="W4796" i="1"/>
  <c r="V4796" i="1"/>
  <c r="W4795" i="1"/>
  <c r="X4795" i="1" s="1"/>
  <c r="V4795" i="1"/>
  <c r="W4794" i="1"/>
  <c r="X4794" i="1" s="1"/>
  <c r="V4794" i="1"/>
  <c r="W4793" i="1"/>
  <c r="X4793" i="1" s="1"/>
  <c r="V4793" i="1"/>
  <c r="W4792" i="1"/>
  <c r="X4792" i="1" s="1"/>
  <c r="V4792" i="1"/>
  <c r="W4791" i="1"/>
  <c r="X4791" i="1" s="1"/>
  <c r="V4791" i="1"/>
  <c r="X4790" i="1"/>
  <c r="W4790" i="1"/>
  <c r="V4790" i="1"/>
  <c r="X4789" i="1"/>
  <c r="W4789" i="1"/>
  <c r="V4789" i="1"/>
  <c r="X4788" i="1"/>
  <c r="W4788" i="1"/>
  <c r="V4788" i="1"/>
  <c r="W4787" i="1"/>
  <c r="X4787" i="1" s="1"/>
  <c r="V4787" i="1"/>
  <c r="W4786" i="1"/>
  <c r="X4786" i="1" s="1"/>
  <c r="V4786" i="1"/>
  <c r="W4785" i="1"/>
  <c r="X4785" i="1" s="1"/>
  <c r="V4785" i="1"/>
  <c r="W4784" i="1"/>
  <c r="X4784" i="1" s="1"/>
  <c r="V4784" i="1"/>
  <c r="W4783" i="1"/>
  <c r="X4783" i="1" s="1"/>
  <c r="V4783" i="1"/>
  <c r="X4782" i="1"/>
  <c r="W4782" i="1"/>
  <c r="V4782" i="1"/>
  <c r="X4781" i="1"/>
  <c r="W4781" i="1"/>
  <c r="V4781" i="1"/>
  <c r="X4780" i="1"/>
  <c r="W4780" i="1"/>
  <c r="V4780" i="1"/>
  <c r="W4779" i="1"/>
  <c r="X4779" i="1" s="1"/>
  <c r="V4779" i="1"/>
  <c r="W4778" i="1"/>
  <c r="X4778" i="1" s="1"/>
  <c r="V4778" i="1"/>
  <c r="W4777" i="1"/>
  <c r="X4777" i="1" s="1"/>
  <c r="V4777" i="1"/>
  <c r="W4776" i="1"/>
  <c r="X4776" i="1" s="1"/>
  <c r="V4776" i="1"/>
  <c r="W4775" i="1"/>
  <c r="X4775" i="1" s="1"/>
  <c r="V4775" i="1"/>
  <c r="X4774" i="1"/>
  <c r="W4774" i="1"/>
  <c r="V4774" i="1"/>
  <c r="X4773" i="1"/>
  <c r="W4773" i="1"/>
  <c r="V4773" i="1"/>
  <c r="X4772" i="1"/>
  <c r="W4772" i="1"/>
  <c r="V4772" i="1"/>
  <c r="W4771" i="1"/>
  <c r="X4771" i="1" s="1"/>
  <c r="V4771" i="1"/>
  <c r="W4770" i="1"/>
  <c r="X4770" i="1" s="1"/>
  <c r="V4770" i="1"/>
  <c r="W4769" i="1"/>
  <c r="X4769" i="1" s="1"/>
  <c r="V4769" i="1"/>
  <c r="W4768" i="1"/>
  <c r="X4768" i="1" s="1"/>
  <c r="V4768" i="1"/>
  <c r="W4767" i="1"/>
  <c r="X4767" i="1" s="1"/>
  <c r="V4767" i="1"/>
  <c r="X4766" i="1"/>
  <c r="W4766" i="1"/>
  <c r="V4766" i="1"/>
  <c r="X4765" i="1"/>
  <c r="W4765" i="1"/>
  <c r="V4765" i="1"/>
  <c r="X4764" i="1"/>
  <c r="W4764" i="1"/>
  <c r="V4764" i="1"/>
  <c r="W4763" i="1"/>
  <c r="X4763" i="1" s="1"/>
  <c r="V4763" i="1"/>
  <c r="W4762" i="1"/>
  <c r="X4762" i="1" s="1"/>
  <c r="V4762" i="1"/>
  <c r="W4761" i="1"/>
  <c r="X4761" i="1" s="1"/>
  <c r="V4761" i="1"/>
  <c r="W4760" i="1"/>
  <c r="X4760" i="1" s="1"/>
  <c r="V4760" i="1"/>
  <c r="W4759" i="1"/>
  <c r="X4759" i="1" s="1"/>
  <c r="V4759" i="1"/>
  <c r="X4758" i="1"/>
  <c r="W4758" i="1"/>
  <c r="V4758" i="1"/>
  <c r="X4757" i="1"/>
  <c r="W4757" i="1"/>
  <c r="V4757" i="1"/>
  <c r="X4756" i="1"/>
  <c r="W4756" i="1"/>
  <c r="V4756" i="1"/>
  <c r="W4755" i="1"/>
  <c r="X4755" i="1" s="1"/>
  <c r="V4755" i="1"/>
  <c r="W4754" i="1"/>
  <c r="X4754" i="1" s="1"/>
  <c r="V4754" i="1"/>
  <c r="W4753" i="1"/>
  <c r="X4753" i="1" s="1"/>
  <c r="V4753" i="1"/>
  <c r="W4752" i="1"/>
  <c r="X4752" i="1" s="1"/>
  <c r="V4752" i="1"/>
  <c r="W4751" i="1"/>
  <c r="X4751" i="1" s="1"/>
  <c r="V4751" i="1"/>
  <c r="X4750" i="1"/>
  <c r="W4750" i="1"/>
  <c r="V4750" i="1"/>
  <c r="X4749" i="1"/>
  <c r="W4749" i="1"/>
  <c r="V4749" i="1"/>
  <c r="X4748" i="1"/>
  <c r="W4748" i="1"/>
  <c r="V4748" i="1"/>
  <c r="W4747" i="1"/>
  <c r="X4747" i="1" s="1"/>
  <c r="V4747" i="1"/>
  <c r="W4746" i="1"/>
  <c r="X4746" i="1" s="1"/>
  <c r="V4746" i="1"/>
  <c r="W4745" i="1"/>
  <c r="X4745" i="1" s="1"/>
  <c r="V4745" i="1"/>
  <c r="W4744" i="1"/>
  <c r="X4744" i="1" s="1"/>
  <c r="V4744" i="1"/>
  <c r="W4743" i="1"/>
  <c r="X4743" i="1" s="1"/>
  <c r="V4743" i="1"/>
  <c r="X4742" i="1"/>
  <c r="W4742" i="1"/>
  <c r="V4742" i="1"/>
  <c r="X4741" i="1"/>
  <c r="W4741" i="1"/>
  <c r="V4741" i="1"/>
  <c r="X4740" i="1"/>
  <c r="W4740" i="1"/>
  <c r="V4740" i="1"/>
  <c r="W4739" i="1"/>
  <c r="X4739" i="1" s="1"/>
  <c r="V4739" i="1"/>
  <c r="W4738" i="1"/>
  <c r="X4738" i="1" s="1"/>
  <c r="V4738" i="1"/>
  <c r="W4737" i="1"/>
  <c r="X4737" i="1" s="1"/>
  <c r="V4737" i="1"/>
  <c r="W4736" i="1"/>
  <c r="X4736" i="1" s="1"/>
  <c r="V4736" i="1"/>
  <c r="W4735" i="1"/>
  <c r="X4735" i="1" s="1"/>
  <c r="V4735" i="1"/>
  <c r="X4734" i="1"/>
  <c r="W4734" i="1"/>
  <c r="V4734" i="1"/>
  <c r="X4733" i="1"/>
  <c r="W4733" i="1"/>
  <c r="V4733" i="1"/>
  <c r="X4732" i="1"/>
  <c r="W4732" i="1"/>
  <c r="V4732" i="1"/>
  <c r="W4731" i="1"/>
  <c r="X4731" i="1" s="1"/>
  <c r="V4731" i="1"/>
  <c r="W4730" i="1"/>
  <c r="X4730" i="1" s="1"/>
  <c r="V4730" i="1"/>
  <c r="W4729" i="1"/>
  <c r="X4729" i="1" s="1"/>
  <c r="V4729" i="1"/>
  <c r="W4728" i="1"/>
  <c r="X4728" i="1" s="1"/>
  <c r="V4728" i="1"/>
  <c r="W4727" i="1"/>
  <c r="X4727" i="1" s="1"/>
  <c r="V4727" i="1"/>
  <c r="X4726" i="1"/>
  <c r="W4726" i="1"/>
  <c r="V4726" i="1"/>
  <c r="X4725" i="1"/>
  <c r="W4725" i="1"/>
  <c r="V4725" i="1"/>
  <c r="X4724" i="1"/>
  <c r="W4724" i="1"/>
  <c r="V4724" i="1"/>
  <c r="W4723" i="1"/>
  <c r="X4723" i="1" s="1"/>
  <c r="V4723" i="1"/>
  <c r="W4722" i="1"/>
  <c r="X4722" i="1" s="1"/>
  <c r="V4722" i="1"/>
  <c r="W4721" i="1"/>
  <c r="X4721" i="1" s="1"/>
  <c r="V4721" i="1"/>
  <c r="W4720" i="1"/>
  <c r="X4720" i="1" s="1"/>
  <c r="V4720" i="1"/>
  <c r="W4719" i="1"/>
  <c r="X4719" i="1" s="1"/>
  <c r="V4719" i="1"/>
  <c r="X4718" i="1"/>
  <c r="W4718" i="1"/>
  <c r="V4718" i="1"/>
  <c r="X4717" i="1"/>
  <c r="W4717" i="1"/>
  <c r="V4717" i="1"/>
  <c r="X4716" i="1"/>
  <c r="W4716" i="1"/>
  <c r="V4716" i="1"/>
  <c r="W4715" i="1"/>
  <c r="X4715" i="1" s="1"/>
  <c r="V4715" i="1"/>
  <c r="W4714" i="1"/>
  <c r="X4714" i="1" s="1"/>
  <c r="V4714" i="1"/>
  <c r="W4713" i="1"/>
  <c r="X4713" i="1" s="1"/>
  <c r="V4713" i="1"/>
  <c r="W4712" i="1"/>
  <c r="X4712" i="1" s="1"/>
  <c r="V4712" i="1"/>
  <c r="W4711" i="1"/>
  <c r="X4711" i="1" s="1"/>
  <c r="V4711" i="1"/>
  <c r="X4710" i="1"/>
  <c r="W4710" i="1"/>
  <c r="V4710" i="1"/>
  <c r="X4709" i="1"/>
  <c r="W4709" i="1"/>
  <c r="V4709" i="1"/>
  <c r="X4708" i="1"/>
  <c r="W4708" i="1"/>
  <c r="V4708" i="1"/>
  <c r="W4707" i="1"/>
  <c r="X4707" i="1" s="1"/>
  <c r="V4707" i="1"/>
  <c r="W4706" i="1"/>
  <c r="X4706" i="1" s="1"/>
  <c r="V4706" i="1"/>
  <c r="W4705" i="1"/>
  <c r="X4705" i="1" s="1"/>
  <c r="V4705" i="1"/>
  <c r="W4704" i="1"/>
  <c r="X4704" i="1" s="1"/>
  <c r="V4704" i="1"/>
  <c r="W4703" i="1"/>
  <c r="X4703" i="1" s="1"/>
  <c r="V4703" i="1"/>
  <c r="X4702" i="1"/>
  <c r="W4702" i="1"/>
  <c r="V4702" i="1"/>
  <c r="X4701" i="1"/>
  <c r="W4701" i="1"/>
  <c r="V4701" i="1"/>
  <c r="X4700" i="1"/>
  <c r="W4700" i="1"/>
  <c r="V4700" i="1"/>
  <c r="W4699" i="1"/>
  <c r="X4699" i="1" s="1"/>
  <c r="V4699" i="1"/>
  <c r="W4698" i="1"/>
  <c r="X4698" i="1" s="1"/>
  <c r="V4698" i="1"/>
  <c r="W4697" i="1"/>
  <c r="X4697" i="1" s="1"/>
  <c r="V4697" i="1"/>
  <c r="W4696" i="1"/>
  <c r="X4696" i="1" s="1"/>
  <c r="V4696" i="1"/>
  <c r="W4695" i="1"/>
  <c r="X4695" i="1" s="1"/>
  <c r="V4695" i="1"/>
  <c r="X4694" i="1"/>
  <c r="W4694" i="1"/>
  <c r="V4694" i="1"/>
  <c r="X4693" i="1"/>
  <c r="W4693" i="1"/>
  <c r="V4693" i="1"/>
  <c r="X4692" i="1"/>
  <c r="W4692" i="1"/>
  <c r="V4692" i="1"/>
  <c r="W4691" i="1"/>
  <c r="X4691" i="1" s="1"/>
  <c r="V4691" i="1"/>
  <c r="W4690" i="1"/>
  <c r="X4690" i="1" s="1"/>
  <c r="V4690" i="1"/>
  <c r="W4689" i="1"/>
  <c r="X4689" i="1" s="1"/>
  <c r="V4689" i="1"/>
  <c r="W4688" i="1"/>
  <c r="X4688" i="1" s="1"/>
  <c r="V4688" i="1"/>
  <c r="W4687" i="1"/>
  <c r="X4687" i="1" s="1"/>
  <c r="V4687" i="1"/>
  <c r="X4686" i="1"/>
  <c r="W4686" i="1"/>
  <c r="V4686" i="1"/>
  <c r="X4685" i="1"/>
  <c r="W4685" i="1"/>
  <c r="V4685" i="1"/>
  <c r="X4684" i="1"/>
  <c r="W4684" i="1"/>
  <c r="V4684" i="1"/>
  <c r="W4683" i="1"/>
  <c r="X4683" i="1" s="1"/>
  <c r="V4683" i="1"/>
  <c r="W4682" i="1"/>
  <c r="X4682" i="1" s="1"/>
  <c r="V4682" i="1"/>
  <c r="W4681" i="1"/>
  <c r="X4681" i="1" s="1"/>
  <c r="V4681" i="1"/>
  <c r="W4680" i="1"/>
  <c r="X4680" i="1" s="1"/>
  <c r="V4680" i="1"/>
  <c r="W4679" i="1"/>
  <c r="X4679" i="1" s="1"/>
  <c r="V4679" i="1"/>
  <c r="X4678" i="1"/>
  <c r="W4678" i="1"/>
  <c r="V4678" i="1"/>
  <c r="X4677" i="1"/>
  <c r="W4677" i="1"/>
  <c r="V4677" i="1"/>
  <c r="X4676" i="1"/>
  <c r="W4676" i="1"/>
  <c r="V4676" i="1"/>
  <c r="W4675" i="1"/>
  <c r="X4675" i="1" s="1"/>
  <c r="V4675" i="1"/>
  <c r="W4674" i="1"/>
  <c r="X4674" i="1" s="1"/>
  <c r="V4674" i="1"/>
  <c r="W4673" i="1"/>
  <c r="X4673" i="1" s="1"/>
  <c r="V4673" i="1"/>
  <c r="W4672" i="1"/>
  <c r="X4672" i="1" s="1"/>
  <c r="V4672" i="1"/>
  <c r="W4671" i="1"/>
  <c r="X4671" i="1" s="1"/>
  <c r="V4671" i="1"/>
  <c r="X4670" i="1"/>
  <c r="W4670" i="1"/>
  <c r="V4670" i="1"/>
  <c r="X4669" i="1"/>
  <c r="W4669" i="1"/>
  <c r="V4669" i="1"/>
  <c r="X4668" i="1"/>
  <c r="W4668" i="1"/>
  <c r="V4668" i="1"/>
  <c r="W4667" i="1"/>
  <c r="X4667" i="1" s="1"/>
  <c r="V4667" i="1"/>
  <c r="W4666" i="1"/>
  <c r="X4666" i="1" s="1"/>
  <c r="V4666" i="1"/>
  <c r="W4665" i="1"/>
  <c r="X4665" i="1" s="1"/>
  <c r="V4665" i="1"/>
  <c r="W4664" i="1"/>
  <c r="X4664" i="1" s="1"/>
  <c r="V4664" i="1"/>
  <c r="W4663" i="1"/>
  <c r="X4663" i="1" s="1"/>
  <c r="V4663" i="1"/>
  <c r="X4662" i="1"/>
  <c r="W4662" i="1"/>
  <c r="V4662" i="1"/>
  <c r="X4661" i="1"/>
  <c r="W4661" i="1"/>
  <c r="V4661" i="1"/>
  <c r="X4660" i="1"/>
  <c r="W4660" i="1"/>
  <c r="V4660" i="1"/>
  <c r="W4659" i="1"/>
  <c r="X4659" i="1" s="1"/>
  <c r="V4659" i="1"/>
  <c r="W4658" i="1"/>
  <c r="X4658" i="1" s="1"/>
  <c r="V4658" i="1"/>
  <c r="W4657" i="1"/>
  <c r="X4657" i="1" s="1"/>
  <c r="V4657" i="1"/>
  <c r="W4656" i="1"/>
  <c r="X4656" i="1" s="1"/>
  <c r="V4656" i="1"/>
  <c r="W4655" i="1"/>
  <c r="X4655" i="1" s="1"/>
  <c r="V4655" i="1"/>
  <c r="X4654" i="1"/>
  <c r="W4654" i="1"/>
  <c r="V4654" i="1"/>
  <c r="X4653" i="1"/>
  <c r="W4653" i="1"/>
  <c r="V4653" i="1"/>
  <c r="X4652" i="1"/>
  <c r="W4652" i="1"/>
  <c r="V4652" i="1"/>
  <c r="W4651" i="1"/>
  <c r="X4651" i="1" s="1"/>
  <c r="V4651" i="1"/>
  <c r="W4650" i="1"/>
  <c r="X4650" i="1" s="1"/>
  <c r="V4650" i="1"/>
  <c r="W4649" i="1"/>
  <c r="X4649" i="1" s="1"/>
  <c r="V4649" i="1"/>
  <c r="W4648" i="1"/>
  <c r="X4648" i="1" s="1"/>
  <c r="V4648" i="1"/>
  <c r="W4647" i="1"/>
  <c r="X4647" i="1" s="1"/>
  <c r="V4647" i="1"/>
  <c r="X4646" i="1"/>
  <c r="W4646" i="1"/>
  <c r="V4646" i="1"/>
  <c r="X4645" i="1"/>
  <c r="W4645" i="1"/>
  <c r="V4645" i="1"/>
  <c r="X4644" i="1"/>
  <c r="W4644" i="1"/>
  <c r="V4644" i="1"/>
  <c r="W4643" i="1"/>
  <c r="X4643" i="1" s="1"/>
  <c r="V4643" i="1"/>
  <c r="W4642" i="1"/>
  <c r="X4642" i="1" s="1"/>
  <c r="V4642" i="1"/>
  <c r="W4641" i="1"/>
  <c r="X4641" i="1" s="1"/>
  <c r="V4641" i="1"/>
  <c r="W4640" i="1"/>
  <c r="X4640" i="1" s="1"/>
  <c r="V4640" i="1"/>
  <c r="W4639" i="1"/>
  <c r="X4639" i="1" s="1"/>
  <c r="V4639" i="1"/>
  <c r="X4638" i="1"/>
  <c r="W4638" i="1"/>
  <c r="V4638" i="1"/>
  <c r="X4637" i="1"/>
  <c r="W4637" i="1"/>
  <c r="V4637" i="1"/>
  <c r="X4636" i="1"/>
  <c r="W4636" i="1"/>
  <c r="V4636" i="1"/>
  <c r="W4635" i="1"/>
  <c r="X4635" i="1" s="1"/>
  <c r="V4635" i="1"/>
  <c r="W4634" i="1"/>
  <c r="X4634" i="1" s="1"/>
  <c r="V4634" i="1"/>
  <c r="W4633" i="1"/>
  <c r="X4633" i="1" s="1"/>
  <c r="V4633" i="1"/>
  <c r="W4632" i="1"/>
  <c r="X4632" i="1" s="1"/>
  <c r="V4632" i="1"/>
  <c r="W4631" i="1"/>
  <c r="X4631" i="1" s="1"/>
  <c r="V4631" i="1"/>
  <c r="X4630" i="1"/>
  <c r="W4630" i="1"/>
  <c r="V4630" i="1"/>
  <c r="X4629" i="1"/>
  <c r="W4629" i="1"/>
  <c r="V4629" i="1"/>
  <c r="X4628" i="1"/>
  <c r="W4628" i="1"/>
  <c r="V4628" i="1"/>
  <c r="W4627" i="1"/>
  <c r="X4627" i="1" s="1"/>
  <c r="V4627" i="1"/>
  <c r="W4626" i="1"/>
  <c r="X4626" i="1" s="1"/>
  <c r="V4626" i="1"/>
  <c r="W4625" i="1"/>
  <c r="X4625" i="1" s="1"/>
  <c r="V4625" i="1"/>
  <c r="W4624" i="1"/>
  <c r="X4624" i="1" s="1"/>
  <c r="V4624" i="1"/>
  <c r="W4623" i="1"/>
  <c r="X4623" i="1" s="1"/>
  <c r="V4623" i="1"/>
  <c r="X4622" i="1"/>
  <c r="W4622" i="1"/>
  <c r="V4622" i="1"/>
  <c r="X4621" i="1"/>
  <c r="W4621" i="1"/>
  <c r="V4621" i="1"/>
  <c r="X4620" i="1"/>
  <c r="W4620" i="1"/>
  <c r="V4620" i="1"/>
  <c r="W4619" i="1"/>
  <c r="X4619" i="1" s="1"/>
  <c r="V4619" i="1"/>
  <c r="W4618" i="1"/>
  <c r="X4618" i="1" s="1"/>
  <c r="V4618" i="1"/>
  <c r="W4617" i="1"/>
  <c r="X4617" i="1" s="1"/>
  <c r="V4617" i="1"/>
  <c r="W4616" i="1"/>
  <c r="X4616" i="1" s="1"/>
  <c r="V4616" i="1"/>
  <c r="W4615" i="1"/>
  <c r="X4615" i="1" s="1"/>
  <c r="V4615" i="1"/>
  <c r="X4614" i="1"/>
  <c r="W4614" i="1"/>
  <c r="V4614" i="1"/>
  <c r="X4613" i="1"/>
  <c r="W4613" i="1"/>
  <c r="V4613" i="1"/>
  <c r="X4612" i="1"/>
  <c r="W4612" i="1"/>
  <c r="V4612" i="1"/>
  <c r="W4611" i="1"/>
  <c r="X4611" i="1" s="1"/>
  <c r="V4611" i="1"/>
  <c r="W4610" i="1"/>
  <c r="X4610" i="1" s="1"/>
  <c r="V4610" i="1"/>
  <c r="W4609" i="1"/>
  <c r="X4609" i="1" s="1"/>
  <c r="V4609" i="1"/>
  <c r="W4608" i="1"/>
  <c r="X4608" i="1" s="1"/>
  <c r="V4608" i="1"/>
  <c r="W4607" i="1"/>
  <c r="X4607" i="1" s="1"/>
  <c r="V4607" i="1"/>
  <c r="X4606" i="1"/>
  <c r="W4606" i="1"/>
  <c r="V4606" i="1"/>
  <c r="X4605" i="1"/>
  <c r="W4605" i="1"/>
  <c r="V4605" i="1"/>
  <c r="X4604" i="1"/>
  <c r="W4604" i="1"/>
  <c r="V4604" i="1"/>
  <c r="W4603" i="1"/>
  <c r="X4603" i="1" s="1"/>
  <c r="V4603" i="1"/>
  <c r="W4602" i="1"/>
  <c r="X4602" i="1" s="1"/>
  <c r="V4602" i="1"/>
  <c r="W4601" i="1"/>
  <c r="X4601" i="1" s="1"/>
  <c r="V4601" i="1"/>
  <c r="W4600" i="1"/>
  <c r="X4600" i="1" s="1"/>
  <c r="V4600" i="1"/>
  <c r="W4599" i="1"/>
  <c r="X4599" i="1" s="1"/>
  <c r="V4599" i="1"/>
  <c r="X4598" i="1"/>
  <c r="W4598" i="1"/>
  <c r="V4598" i="1"/>
  <c r="X4597" i="1"/>
  <c r="W4597" i="1"/>
  <c r="V4597" i="1"/>
  <c r="X4596" i="1"/>
  <c r="W4596" i="1"/>
  <c r="V4596" i="1"/>
  <c r="W4595" i="1"/>
  <c r="X4595" i="1" s="1"/>
  <c r="V4595" i="1"/>
  <c r="W4594" i="1"/>
  <c r="X4594" i="1" s="1"/>
  <c r="V4594" i="1"/>
  <c r="W4593" i="1"/>
  <c r="X4593" i="1" s="1"/>
  <c r="V4593" i="1"/>
  <c r="W4592" i="1"/>
  <c r="X4592" i="1" s="1"/>
  <c r="V4592" i="1"/>
  <c r="W4591" i="1"/>
  <c r="X4591" i="1" s="1"/>
  <c r="V4591" i="1"/>
  <c r="X4590" i="1"/>
  <c r="W4590" i="1"/>
  <c r="V4590" i="1"/>
  <c r="X4589" i="1"/>
  <c r="W4589" i="1"/>
  <c r="V4589" i="1"/>
  <c r="X4588" i="1"/>
  <c r="W4588" i="1"/>
  <c r="V4588" i="1"/>
  <c r="W4587" i="1"/>
  <c r="X4587" i="1" s="1"/>
  <c r="V4587" i="1"/>
  <c r="W4586" i="1"/>
  <c r="X4586" i="1" s="1"/>
  <c r="V4586" i="1"/>
  <c r="W4585" i="1"/>
  <c r="X4585" i="1" s="1"/>
  <c r="V4585" i="1"/>
  <c r="W4584" i="1"/>
  <c r="X4584" i="1" s="1"/>
  <c r="V4584" i="1"/>
  <c r="W4583" i="1"/>
  <c r="X4583" i="1" s="1"/>
  <c r="V4583" i="1"/>
  <c r="X4582" i="1"/>
  <c r="W4582" i="1"/>
  <c r="V4582" i="1"/>
  <c r="X4581" i="1"/>
  <c r="W4581" i="1"/>
  <c r="V4581" i="1"/>
  <c r="X4580" i="1"/>
  <c r="W4580" i="1"/>
  <c r="V4580" i="1"/>
  <c r="W4579" i="1"/>
  <c r="X4579" i="1" s="1"/>
  <c r="V4579" i="1"/>
  <c r="W4578" i="1"/>
  <c r="X4578" i="1" s="1"/>
  <c r="V4578" i="1"/>
  <c r="W4577" i="1"/>
  <c r="X4577" i="1" s="1"/>
  <c r="V4577" i="1"/>
  <c r="W4576" i="1"/>
  <c r="X4576" i="1" s="1"/>
  <c r="V4576" i="1"/>
  <c r="W4575" i="1"/>
  <c r="X4575" i="1" s="1"/>
  <c r="V4575" i="1"/>
  <c r="X4574" i="1"/>
  <c r="W4574" i="1"/>
  <c r="V4574" i="1"/>
  <c r="X4573" i="1"/>
  <c r="W4573" i="1"/>
  <c r="V4573" i="1"/>
  <c r="X4572" i="1"/>
  <c r="W4572" i="1"/>
  <c r="V4572" i="1"/>
  <c r="W4571" i="1"/>
  <c r="X4571" i="1" s="1"/>
  <c r="V4571" i="1"/>
  <c r="W4570" i="1"/>
  <c r="X4570" i="1" s="1"/>
  <c r="V4570" i="1"/>
  <c r="W4569" i="1"/>
  <c r="X4569" i="1" s="1"/>
  <c r="V4569" i="1"/>
  <c r="W4568" i="1"/>
  <c r="X4568" i="1" s="1"/>
  <c r="V4568" i="1"/>
  <c r="W4567" i="1"/>
  <c r="X4567" i="1" s="1"/>
  <c r="V4567" i="1"/>
  <c r="X4566" i="1"/>
  <c r="W4566" i="1"/>
  <c r="V4566" i="1"/>
  <c r="X4565" i="1"/>
  <c r="W4565" i="1"/>
  <c r="V4565" i="1"/>
  <c r="X4564" i="1"/>
  <c r="W4564" i="1"/>
  <c r="V4564" i="1"/>
  <c r="W4563" i="1"/>
  <c r="X4563" i="1" s="1"/>
  <c r="V4563" i="1"/>
  <c r="W4562" i="1"/>
  <c r="X4562" i="1" s="1"/>
  <c r="V4562" i="1"/>
  <c r="W4561" i="1"/>
  <c r="X4561" i="1" s="1"/>
  <c r="V4561" i="1"/>
  <c r="W4560" i="1"/>
  <c r="X4560" i="1" s="1"/>
  <c r="V4560" i="1"/>
  <c r="W4559" i="1"/>
  <c r="X4559" i="1" s="1"/>
  <c r="V4559" i="1"/>
  <c r="X4558" i="1"/>
  <c r="W4558" i="1"/>
  <c r="V4558" i="1"/>
  <c r="X4557" i="1"/>
  <c r="W4557" i="1"/>
  <c r="V4557" i="1"/>
  <c r="X4556" i="1"/>
  <c r="W4556" i="1"/>
  <c r="V4556" i="1"/>
  <c r="W4555" i="1"/>
  <c r="X4555" i="1" s="1"/>
  <c r="V4555" i="1"/>
  <c r="W4554" i="1"/>
  <c r="X4554" i="1" s="1"/>
  <c r="V4554" i="1"/>
  <c r="W4553" i="1"/>
  <c r="X4553" i="1" s="1"/>
  <c r="V4553" i="1"/>
  <c r="W4552" i="1"/>
  <c r="X4552" i="1" s="1"/>
  <c r="V4552" i="1"/>
  <c r="W4551" i="1"/>
  <c r="X4551" i="1" s="1"/>
  <c r="V4551" i="1"/>
  <c r="X4550" i="1"/>
  <c r="W4550" i="1"/>
  <c r="V4550" i="1"/>
  <c r="X4549" i="1"/>
  <c r="W4549" i="1"/>
  <c r="V4549" i="1"/>
  <c r="X4548" i="1"/>
  <c r="W4548" i="1"/>
  <c r="V4548" i="1"/>
  <c r="W4547" i="1"/>
  <c r="X4547" i="1" s="1"/>
  <c r="V4547" i="1"/>
  <c r="W4546" i="1"/>
  <c r="X4546" i="1" s="1"/>
  <c r="V4546" i="1"/>
  <c r="W4545" i="1"/>
  <c r="X4545" i="1" s="1"/>
  <c r="V4545" i="1"/>
  <c r="W4544" i="1"/>
  <c r="X4544" i="1" s="1"/>
  <c r="V4544" i="1"/>
  <c r="W4543" i="1"/>
  <c r="X4543" i="1" s="1"/>
  <c r="V4543" i="1"/>
  <c r="X4542" i="1"/>
  <c r="W4542" i="1"/>
  <c r="V4542" i="1"/>
  <c r="X4541" i="1"/>
  <c r="W4541" i="1"/>
  <c r="V4541" i="1"/>
  <c r="X4540" i="1"/>
  <c r="W4540" i="1"/>
  <c r="V4540" i="1"/>
  <c r="W4539" i="1"/>
  <c r="X4539" i="1" s="1"/>
  <c r="V4539" i="1"/>
  <c r="W4538" i="1"/>
  <c r="X4538" i="1" s="1"/>
  <c r="V4538" i="1"/>
  <c r="W4537" i="1"/>
  <c r="X4537" i="1" s="1"/>
  <c r="V4537" i="1"/>
  <c r="W4536" i="1"/>
  <c r="X4536" i="1" s="1"/>
  <c r="V4536" i="1"/>
  <c r="W4535" i="1"/>
  <c r="X4535" i="1" s="1"/>
  <c r="V4535" i="1"/>
  <c r="X4534" i="1"/>
  <c r="W4534" i="1"/>
  <c r="V4534" i="1"/>
  <c r="X4533" i="1"/>
  <c r="W4533" i="1"/>
  <c r="V4533" i="1"/>
  <c r="X4532" i="1"/>
  <c r="W4532" i="1"/>
  <c r="V4532" i="1"/>
  <c r="W4531" i="1"/>
  <c r="X4531" i="1" s="1"/>
  <c r="V4531" i="1"/>
  <c r="W4530" i="1"/>
  <c r="X4530" i="1" s="1"/>
  <c r="V4530" i="1"/>
  <c r="W4529" i="1"/>
  <c r="X4529" i="1" s="1"/>
  <c r="V4529" i="1"/>
  <c r="W4528" i="1"/>
  <c r="X4528" i="1" s="1"/>
  <c r="V4528" i="1"/>
  <c r="W4527" i="1"/>
  <c r="X4527" i="1" s="1"/>
  <c r="V4527" i="1"/>
  <c r="X4526" i="1"/>
  <c r="W4526" i="1"/>
  <c r="V4526" i="1"/>
  <c r="X4525" i="1"/>
  <c r="W4525" i="1"/>
  <c r="V4525" i="1"/>
  <c r="X4524" i="1"/>
  <c r="W4524" i="1"/>
  <c r="V4524" i="1"/>
  <c r="W4523" i="1"/>
  <c r="X4523" i="1" s="1"/>
  <c r="V4523" i="1"/>
  <c r="W4522" i="1"/>
  <c r="X4522" i="1" s="1"/>
  <c r="V4522" i="1"/>
  <c r="W4521" i="1"/>
  <c r="X4521" i="1" s="1"/>
  <c r="V4521" i="1"/>
  <c r="W4520" i="1"/>
  <c r="X4520" i="1" s="1"/>
  <c r="V4520" i="1"/>
  <c r="W4519" i="1"/>
  <c r="X4519" i="1" s="1"/>
  <c r="V4519" i="1"/>
  <c r="X4518" i="1"/>
  <c r="W4518" i="1"/>
  <c r="V4518" i="1"/>
  <c r="X4517" i="1"/>
  <c r="W4517" i="1"/>
  <c r="V4517" i="1"/>
  <c r="X4516" i="1"/>
  <c r="W4516" i="1"/>
  <c r="V4516" i="1"/>
  <c r="W4515" i="1"/>
  <c r="X4515" i="1" s="1"/>
  <c r="V4515" i="1"/>
  <c r="W4514" i="1"/>
  <c r="X4514" i="1" s="1"/>
  <c r="V4514" i="1"/>
  <c r="W4513" i="1"/>
  <c r="X4513" i="1" s="1"/>
  <c r="V4513" i="1"/>
  <c r="W4512" i="1"/>
  <c r="X4512" i="1" s="1"/>
  <c r="V4512" i="1"/>
  <c r="W4511" i="1"/>
  <c r="X4511" i="1" s="1"/>
  <c r="V4511" i="1"/>
  <c r="X4510" i="1"/>
  <c r="W4510" i="1"/>
  <c r="V4510" i="1"/>
  <c r="X4509" i="1"/>
  <c r="W4509" i="1"/>
  <c r="V4509" i="1"/>
  <c r="X4508" i="1"/>
  <c r="W4508" i="1"/>
  <c r="V4508" i="1"/>
  <c r="W4507" i="1"/>
  <c r="X4507" i="1" s="1"/>
  <c r="V4507" i="1"/>
  <c r="W4506" i="1"/>
  <c r="X4506" i="1" s="1"/>
  <c r="V4506" i="1"/>
  <c r="W4505" i="1"/>
  <c r="X4505" i="1" s="1"/>
  <c r="V4505" i="1"/>
  <c r="W4504" i="1"/>
  <c r="X4504" i="1" s="1"/>
  <c r="V4504" i="1"/>
  <c r="W4503" i="1"/>
  <c r="X4503" i="1" s="1"/>
  <c r="V4503" i="1"/>
  <c r="X4502" i="1"/>
  <c r="W4502" i="1"/>
  <c r="V4502" i="1"/>
  <c r="X4501" i="1"/>
  <c r="W4501" i="1"/>
  <c r="V4501" i="1"/>
  <c r="X4500" i="1"/>
  <c r="W4500" i="1"/>
  <c r="V4500" i="1"/>
  <c r="W4499" i="1"/>
  <c r="X4499" i="1" s="1"/>
  <c r="V4499" i="1"/>
  <c r="W4498" i="1"/>
  <c r="X4498" i="1" s="1"/>
  <c r="V4498" i="1"/>
  <c r="W4497" i="1"/>
  <c r="X4497" i="1" s="1"/>
  <c r="V4497" i="1"/>
  <c r="W4496" i="1"/>
  <c r="X4496" i="1" s="1"/>
  <c r="V4496" i="1"/>
  <c r="W4495" i="1"/>
  <c r="X4495" i="1" s="1"/>
  <c r="V4495" i="1"/>
  <c r="X4494" i="1"/>
  <c r="W4494" i="1"/>
  <c r="V4494" i="1"/>
  <c r="X4493" i="1"/>
  <c r="W4493" i="1"/>
  <c r="V4493" i="1"/>
  <c r="X4492" i="1"/>
  <c r="W4492" i="1"/>
  <c r="V4492" i="1"/>
  <c r="W4491" i="1"/>
  <c r="X4491" i="1" s="1"/>
  <c r="V4491" i="1"/>
  <c r="W4490" i="1"/>
  <c r="X4490" i="1" s="1"/>
  <c r="V4490" i="1"/>
  <c r="W4489" i="1"/>
  <c r="X4489" i="1" s="1"/>
  <c r="V4489" i="1"/>
  <c r="W4488" i="1"/>
  <c r="X4488" i="1" s="1"/>
  <c r="V4488" i="1"/>
  <c r="W4487" i="1"/>
  <c r="X4487" i="1" s="1"/>
  <c r="V4487" i="1"/>
  <c r="X4486" i="1"/>
  <c r="W4486" i="1"/>
  <c r="V4486" i="1"/>
  <c r="X4485" i="1"/>
  <c r="W4485" i="1"/>
  <c r="V4485" i="1"/>
  <c r="X4484" i="1"/>
  <c r="W4484" i="1"/>
  <c r="V4484" i="1"/>
  <c r="W4483" i="1"/>
  <c r="X4483" i="1" s="1"/>
  <c r="V4483" i="1"/>
  <c r="W4482" i="1"/>
  <c r="X4482" i="1" s="1"/>
  <c r="V4482" i="1"/>
  <c r="W4481" i="1"/>
  <c r="X4481" i="1" s="1"/>
  <c r="V4481" i="1"/>
  <c r="W4480" i="1"/>
  <c r="X4480" i="1" s="1"/>
  <c r="V4480" i="1"/>
  <c r="W4479" i="1"/>
  <c r="X4479" i="1" s="1"/>
  <c r="V4479" i="1"/>
  <c r="X4478" i="1"/>
  <c r="W4478" i="1"/>
  <c r="V4478" i="1"/>
  <c r="X4477" i="1"/>
  <c r="W4477" i="1"/>
  <c r="V4477" i="1"/>
  <c r="X4476" i="1"/>
  <c r="W4476" i="1"/>
  <c r="V4476" i="1"/>
  <c r="W4475" i="1"/>
  <c r="X4475" i="1" s="1"/>
  <c r="V4475" i="1"/>
  <c r="W4474" i="1"/>
  <c r="X4474" i="1" s="1"/>
  <c r="V4474" i="1"/>
  <c r="W4473" i="1"/>
  <c r="X4473" i="1" s="1"/>
  <c r="V4473" i="1"/>
  <c r="W4472" i="1"/>
  <c r="X4472" i="1" s="1"/>
  <c r="V4472" i="1"/>
  <c r="W4471" i="1"/>
  <c r="X4471" i="1" s="1"/>
  <c r="V4471" i="1"/>
  <c r="X4470" i="1"/>
  <c r="W4470" i="1"/>
  <c r="V4470" i="1"/>
  <c r="X4469" i="1"/>
  <c r="W4469" i="1"/>
  <c r="V4469" i="1"/>
  <c r="X4468" i="1"/>
  <c r="W4468" i="1"/>
  <c r="V4468" i="1"/>
  <c r="W4467" i="1"/>
  <c r="X4467" i="1" s="1"/>
  <c r="V4467" i="1"/>
  <c r="W4466" i="1"/>
  <c r="X4466" i="1" s="1"/>
  <c r="V4466" i="1"/>
  <c r="W4465" i="1"/>
  <c r="X4465" i="1" s="1"/>
  <c r="V4465" i="1"/>
  <c r="W4464" i="1"/>
  <c r="X4464" i="1" s="1"/>
  <c r="V4464" i="1"/>
  <c r="W4463" i="1"/>
  <c r="X4463" i="1" s="1"/>
  <c r="V4463" i="1"/>
  <c r="X4462" i="1"/>
  <c r="W4462" i="1"/>
  <c r="V4462" i="1"/>
  <c r="X4461" i="1"/>
  <c r="W4461" i="1"/>
  <c r="V4461" i="1"/>
  <c r="X4460" i="1"/>
  <c r="W4460" i="1"/>
  <c r="V4460" i="1"/>
  <c r="W4459" i="1"/>
  <c r="X4459" i="1" s="1"/>
  <c r="V4459" i="1"/>
  <c r="W4458" i="1"/>
  <c r="X4458" i="1" s="1"/>
  <c r="V4458" i="1"/>
  <c r="W4457" i="1"/>
  <c r="X4457" i="1" s="1"/>
  <c r="V4457" i="1"/>
  <c r="W4456" i="1"/>
  <c r="X4456" i="1" s="1"/>
  <c r="V4456" i="1"/>
  <c r="W4455" i="1"/>
  <c r="X4455" i="1" s="1"/>
  <c r="V4455" i="1"/>
  <c r="X4454" i="1"/>
  <c r="W4454" i="1"/>
  <c r="V4454" i="1"/>
  <c r="X4453" i="1"/>
  <c r="W4453" i="1"/>
  <c r="V4453" i="1"/>
  <c r="X4452" i="1"/>
  <c r="W4452" i="1"/>
  <c r="V4452" i="1"/>
  <c r="W4451" i="1"/>
  <c r="X4451" i="1" s="1"/>
  <c r="V4451" i="1"/>
  <c r="W4450" i="1"/>
  <c r="X4450" i="1" s="1"/>
  <c r="V4450" i="1"/>
  <c r="W4449" i="1"/>
  <c r="X4449" i="1" s="1"/>
  <c r="V4449" i="1"/>
  <c r="W4448" i="1"/>
  <c r="X4448" i="1" s="1"/>
  <c r="V4448" i="1"/>
  <c r="W4447" i="1"/>
  <c r="X4447" i="1" s="1"/>
  <c r="V4447" i="1"/>
  <c r="X4446" i="1"/>
  <c r="W4446" i="1"/>
  <c r="V4446" i="1"/>
  <c r="X4445" i="1"/>
  <c r="W4445" i="1"/>
  <c r="V4445" i="1"/>
  <c r="X4444" i="1"/>
  <c r="W4444" i="1"/>
  <c r="V4444" i="1"/>
  <c r="W4443" i="1"/>
  <c r="X4443" i="1" s="1"/>
  <c r="V4443" i="1"/>
  <c r="W4442" i="1"/>
  <c r="X4442" i="1" s="1"/>
  <c r="V4442" i="1"/>
  <c r="W4441" i="1"/>
  <c r="X4441" i="1" s="1"/>
  <c r="V4441" i="1"/>
  <c r="W4440" i="1"/>
  <c r="X4440" i="1" s="1"/>
  <c r="V4440" i="1"/>
  <c r="W4439" i="1"/>
  <c r="X4439" i="1" s="1"/>
  <c r="V4439" i="1"/>
  <c r="X4438" i="1"/>
  <c r="W4438" i="1"/>
  <c r="V4438" i="1"/>
  <c r="X4437" i="1"/>
  <c r="W4437" i="1"/>
  <c r="V4437" i="1"/>
  <c r="X4436" i="1"/>
  <c r="W4436" i="1"/>
  <c r="V4436" i="1"/>
  <c r="W4435" i="1"/>
  <c r="X4435" i="1" s="1"/>
  <c r="V4435" i="1"/>
  <c r="W4434" i="1"/>
  <c r="X4434" i="1" s="1"/>
  <c r="V4434" i="1"/>
  <c r="W4433" i="1"/>
  <c r="X4433" i="1" s="1"/>
  <c r="V4433" i="1"/>
  <c r="W4432" i="1"/>
  <c r="X4432" i="1" s="1"/>
  <c r="V4432" i="1"/>
  <c r="W4431" i="1"/>
  <c r="X4431" i="1" s="1"/>
  <c r="V4431" i="1"/>
  <c r="X4430" i="1"/>
  <c r="W4430" i="1"/>
  <c r="V4430" i="1"/>
  <c r="X4429" i="1"/>
  <c r="W4429" i="1"/>
  <c r="V4429" i="1"/>
  <c r="X4428" i="1"/>
  <c r="W4428" i="1"/>
  <c r="V4428" i="1"/>
  <c r="W4427" i="1"/>
  <c r="X4427" i="1" s="1"/>
  <c r="V4427" i="1"/>
  <c r="W4426" i="1"/>
  <c r="X4426" i="1" s="1"/>
  <c r="V4426" i="1"/>
  <c r="W4425" i="1"/>
  <c r="X4425" i="1" s="1"/>
  <c r="V4425" i="1"/>
  <c r="W4424" i="1"/>
  <c r="X4424" i="1" s="1"/>
  <c r="V4424" i="1"/>
  <c r="W4423" i="1"/>
  <c r="X4423" i="1" s="1"/>
  <c r="V4423" i="1"/>
  <c r="X4422" i="1"/>
  <c r="W4422" i="1"/>
  <c r="V4422" i="1"/>
  <c r="X4421" i="1"/>
  <c r="W4421" i="1"/>
  <c r="V4421" i="1"/>
  <c r="X4420" i="1"/>
  <c r="W4420" i="1"/>
  <c r="V4420" i="1"/>
  <c r="W4419" i="1"/>
  <c r="X4419" i="1" s="1"/>
  <c r="V4419" i="1"/>
  <c r="W4418" i="1"/>
  <c r="X4418" i="1" s="1"/>
  <c r="V4418" i="1"/>
  <c r="W4417" i="1"/>
  <c r="X4417" i="1" s="1"/>
  <c r="V4417" i="1"/>
  <c r="W4416" i="1"/>
  <c r="X4416" i="1" s="1"/>
  <c r="V4416" i="1"/>
  <c r="W4415" i="1"/>
  <c r="X4415" i="1" s="1"/>
  <c r="V4415" i="1"/>
  <c r="X4414" i="1"/>
  <c r="W4414" i="1"/>
  <c r="V4414" i="1"/>
  <c r="X4413" i="1"/>
  <c r="W4413" i="1"/>
  <c r="V4413" i="1"/>
  <c r="X4412" i="1"/>
  <c r="W4412" i="1"/>
  <c r="V4412" i="1"/>
  <c r="W4411" i="1"/>
  <c r="X4411" i="1" s="1"/>
  <c r="V4411" i="1"/>
  <c r="W4410" i="1"/>
  <c r="X4410" i="1" s="1"/>
  <c r="V4410" i="1"/>
  <c r="W4409" i="1"/>
  <c r="X4409" i="1" s="1"/>
  <c r="V4409" i="1"/>
  <c r="W4408" i="1"/>
  <c r="X4408" i="1" s="1"/>
  <c r="V4408" i="1"/>
  <c r="W4407" i="1"/>
  <c r="X4407" i="1" s="1"/>
  <c r="V4407" i="1"/>
  <c r="X4406" i="1"/>
  <c r="W4406" i="1"/>
  <c r="V4406" i="1"/>
  <c r="X4405" i="1"/>
  <c r="W4405" i="1"/>
  <c r="V4405" i="1"/>
  <c r="X4404" i="1"/>
  <c r="W4404" i="1"/>
  <c r="V4404" i="1"/>
  <c r="W4403" i="1"/>
  <c r="X4403" i="1" s="1"/>
  <c r="V4403" i="1"/>
  <c r="W4402" i="1"/>
  <c r="X4402" i="1" s="1"/>
  <c r="V4402" i="1"/>
  <c r="W4401" i="1"/>
  <c r="X4401" i="1" s="1"/>
  <c r="V4401" i="1"/>
  <c r="W4400" i="1"/>
  <c r="X4400" i="1" s="1"/>
  <c r="V4400" i="1"/>
  <c r="W4399" i="1"/>
  <c r="X4399" i="1" s="1"/>
  <c r="V4399" i="1"/>
  <c r="X4398" i="1"/>
  <c r="W4398" i="1"/>
  <c r="V4398" i="1"/>
  <c r="X4397" i="1"/>
  <c r="W4397" i="1"/>
  <c r="V4397" i="1"/>
  <c r="X4396" i="1"/>
  <c r="W4396" i="1"/>
  <c r="V4396" i="1"/>
  <c r="W4395" i="1"/>
  <c r="X4395" i="1" s="1"/>
  <c r="V4395" i="1"/>
  <c r="W4394" i="1"/>
  <c r="X4394" i="1" s="1"/>
  <c r="V4394" i="1"/>
  <c r="W4393" i="1"/>
  <c r="X4393" i="1" s="1"/>
  <c r="V4393" i="1"/>
  <c r="W4392" i="1"/>
  <c r="X4392" i="1" s="1"/>
  <c r="V4392" i="1"/>
  <c r="W4391" i="1"/>
  <c r="X4391" i="1" s="1"/>
  <c r="V4391" i="1"/>
  <c r="X4390" i="1"/>
  <c r="W4390" i="1"/>
  <c r="V4390" i="1"/>
  <c r="X4389" i="1"/>
  <c r="W4389" i="1"/>
  <c r="V4389" i="1"/>
  <c r="X4388" i="1"/>
  <c r="W4388" i="1"/>
  <c r="V4388" i="1"/>
  <c r="W4387" i="1"/>
  <c r="X4387" i="1" s="1"/>
  <c r="V4387" i="1"/>
  <c r="W4386" i="1"/>
  <c r="X4386" i="1" s="1"/>
  <c r="V4386" i="1"/>
  <c r="W4385" i="1"/>
  <c r="X4385" i="1" s="1"/>
  <c r="V4385" i="1"/>
  <c r="W4384" i="1"/>
  <c r="X4384" i="1" s="1"/>
  <c r="V4384" i="1"/>
  <c r="W4383" i="1"/>
  <c r="X4383" i="1" s="1"/>
  <c r="V4383" i="1"/>
  <c r="X4382" i="1"/>
  <c r="W4382" i="1"/>
  <c r="V4382" i="1"/>
  <c r="X4381" i="1"/>
  <c r="W4381" i="1"/>
  <c r="V4381" i="1"/>
  <c r="X4380" i="1"/>
  <c r="W4380" i="1"/>
  <c r="V4380" i="1"/>
  <c r="W4379" i="1"/>
  <c r="X4379" i="1" s="1"/>
  <c r="V4379" i="1"/>
  <c r="W4378" i="1"/>
  <c r="X4378" i="1" s="1"/>
  <c r="V4378" i="1"/>
  <c r="W4377" i="1"/>
  <c r="X4377" i="1" s="1"/>
  <c r="V4377" i="1"/>
  <c r="W4376" i="1"/>
  <c r="X4376" i="1" s="1"/>
  <c r="V4376" i="1"/>
  <c r="W4375" i="1"/>
  <c r="X4375" i="1" s="1"/>
  <c r="V4375" i="1"/>
  <c r="X4374" i="1"/>
  <c r="W4374" i="1"/>
  <c r="V4374" i="1"/>
  <c r="X4373" i="1"/>
  <c r="W4373" i="1"/>
  <c r="V4373" i="1"/>
  <c r="X4372" i="1"/>
  <c r="W4372" i="1"/>
  <c r="V4372" i="1"/>
  <c r="W4371" i="1"/>
  <c r="X4371" i="1" s="1"/>
  <c r="V4371" i="1"/>
  <c r="W4370" i="1"/>
  <c r="X4370" i="1" s="1"/>
  <c r="V4370" i="1"/>
  <c r="W4369" i="1"/>
  <c r="X4369" i="1" s="1"/>
  <c r="V4369" i="1"/>
  <c r="W4368" i="1"/>
  <c r="X4368" i="1" s="1"/>
  <c r="V4368" i="1"/>
  <c r="W4367" i="1"/>
  <c r="X4367" i="1" s="1"/>
  <c r="V4367" i="1"/>
  <c r="X4366" i="1"/>
  <c r="W4366" i="1"/>
  <c r="V4366" i="1"/>
  <c r="X4365" i="1"/>
  <c r="W4365" i="1"/>
  <c r="V4365" i="1"/>
  <c r="X4364" i="1"/>
  <c r="W4364" i="1"/>
  <c r="V4364" i="1"/>
  <c r="W4363" i="1"/>
  <c r="X4363" i="1" s="1"/>
  <c r="V4363" i="1"/>
  <c r="W4362" i="1"/>
  <c r="X4362" i="1" s="1"/>
  <c r="V4362" i="1"/>
  <c r="W4361" i="1"/>
  <c r="X4361" i="1" s="1"/>
  <c r="V4361" i="1"/>
  <c r="W4360" i="1"/>
  <c r="X4360" i="1" s="1"/>
  <c r="V4360" i="1"/>
  <c r="W4359" i="1"/>
  <c r="X4359" i="1" s="1"/>
  <c r="V4359" i="1"/>
  <c r="X4358" i="1"/>
  <c r="W4358" i="1"/>
  <c r="V4358" i="1"/>
  <c r="X4357" i="1"/>
  <c r="W4357" i="1"/>
  <c r="V4357" i="1"/>
  <c r="X4356" i="1"/>
  <c r="W4356" i="1"/>
  <c r="V4356" i="1"/>
  <c r="W4355" i="1"/>
  <c r="X4355" i="1" s="1"/>
  <c r="V4355" i="1"/>
  <c r="W4354" i="1"/>
  <c r="X4354" i="1" s="1"/>
  <c r="V4354" i="1"/>
  <c r="W4353" i="1"/>
  <c r="X4353" i="1" s="1"/>
  <c r="V4353" i="1"/>
  <c r="W4352" i="1"/>
  <c r="X4352" i="1" s="1"/>
  <c r="V4352" i="1"/>
  <c r="W4351" i="1"/>
  <c r="X4351" i="1" s="1"/>
  <c r="V4351" i="1"/>
  <c r="X4350" i="1"/>
  <c r="W4350" i="1"/>
  <c r="V4350" i="1"/>
  <c r="X4349" i="1"/>
  <c r="W4349" i="1"/>
  <c r="V4349" i="1"/>
  <c r="X4348" i="1"/>
  <c r="W4348" i="1"/>
  <c r="V4348" i="1"/>
  <c r="W4347" i="1"/>
  <c r="X4347" i="1" s="1"/>
  <c r="V4347" i="1"/>
  <c r="W4346" i="1"/>
  <c r="X4346" i="1" s="1"/>
  <c r="V4346" i="1"/>
  <c r="W4345" i="1"/>
  <c r="X4345" i="1" s="1"/>
  <c r="V4345" i="1"/>
  <c r="W4344" i="1"/>
  <c r="X4344" i="1" s="1"/>
  <c r="V4344" i="1"/>
  <c r="X4343" i="1"/>
  <c r="W4343" i="1"/>
  <c r="V4343" i="1"/>
  <c r="X4342" i="1"/>
  <c r="W4342" i="1"/>
  <c r="V4342" i="1"/>
  <c r="X4341" i="1"/>
  <c r="W4341" i="1"/>
  <c r="V4341" i="1"/>
  <c r="X4340" i="1"/>
  <c r="W4340" i="1"/>
  <c r="V4340" i="1"/>
  <c r="W4339" i="1"/>
  <c r="X4339" i="1" s="1"/>
  <c r="V4339" i="1"/>
  <c r="W4338" i="1"/>
  <c r="X4338" i="1" s="1"/>
  <c r="V4338" i="1"/>
  <c r="W4337" i="1"/>
  <c r="X4337" i="1" s="1"/>
  <c r="V4337" i="1"/>
  <c r="W4336" i="1"/>
  <c r="X4336" i="1" s="1"/>
  <c r="V4336" i="1"/>
  <c r="W4335" i="1"/>
  <c r="X4335" i="1" s="1"/>
  <c r="V4335" i="1"/>
  <c r="W4334" i="1"/>
  <c r="X4334" i="1" s="1"/>
  <c r="V4334" i="1"/>
  <c r="X4333" i="1"/>
  <c r="W4333" i="1"/>
  <c r="V4333" i="1"/>
  <c r="X4332" i="1"/>
  <c r="W4332" i="1"/>
  <c r="V4332" i="1"/>
  <c r="X4331" i="1"/>
  <c r="W4331" i="1"/>
  <c r="V4331" i="1"/>
  <c r="W4330" i="1"/>
  <c r="X4330" i="1" s="1"/>
  <c r="V4330" i="1"/>
  <c r="W4329" i="1"/>
  <c r="X4329" i="1" s="1"/>
  <c r="V4329" i="1"/>
  <c r="X4328" i="1"/>
  <c r="W4328" i="1"/>
  <c r="V4328" i="1"/>
  <c r="W4327" i="1"/>
  <c r="X4327" i="1" s="1"/>
  <c r="V4327" i="1"/>
  <c r="W4326" i="1"/>
  <c r="X4326" i="1" s="1"/>
  <c r="V4326" i="1"/>
  <c r="X4325" i="1"/>
  <c r="W4325" i="1"/>
  <c r="V4325" i="1"/>
  <c r="W4324" i="1"/>
  <c r="X4324" i="1" s="1"/>
  <c r="V4324" i="1"/>
  <c r="W4323" i="1"/>
  <c r="X4323" i="1" s="1"/>
  <c r="V4323" i="1"/>
  <c r="X4322" i="1"/>
  <c r="W4322" i="1"/>
  <c r="V4322" i="1"/>
  <c r="X4321" i="1"/>
  <c r="W4321" i="1"/>
  <c r="V4321" i="1"/>
  <c r="X4320" i="1"/>
  <c r="W4320" i="1"/>
  <c r="V4320" i="1"/>
  <c r="W4319" i="1"/>
  <c r="X4319" i="1" s="1"/>
  <c r="V4319" i="1"/>
  <c r="W4318" i="1"/>
  <c r="X4318" i="1" s="1"/>
  <c r="V4318" i="1"/>
  <c r="X4317" i="1"/>
  <c r="W4317" i="1"/>
  <c r="V4317" i="1"/>
  <c r="W4316" i="1"/>
  <c r="X4316" i="1" s="1"/>
  <c r="V4316" i="1"/>
  <c r="W4315" i="1"/>
  <c r="X4315" i="1" s="1"/>
  <c r="V4315" i="1"/>
  <c r="X4314" i="1"/>
  <c r="W4314" i="1"/>
  <c r="V4314" i="1"/>
  <c r="X4313" i="1"/>
  <c r="W4313" i="1"/>
  <c r="V4313" i="1"/>
  <c r="X4312" i="1"/>
  <c r="W4312" i="1"/>
  <c r="V4312" i="1"/>
  <c r="W4311" i="1"/>
  <c r="X4311" i="1" s="1"/>
  <c r="V4311" i="1"/>
  <c r="W4310" i="1"/>
  <c r="X4310" i="1" s="1"/>
  <c r="V4310" i="1"/>
  <c r="X4309" i="1"/>
  <c r="W4309" i="1"/>
  <c r="V4309" i="1"/>
  <c r="W4308" i="1"/>
  <c r="X4308" i="1" s="1"/>
  <c r="V4308" i="1"/>
  <c r="W4307" i="1"/>
  <c r="X4307" i="1" s="1"/>
  <c r="V4307" i="1"/>
  <c r="X4306" i="1"/>
  <c r="W4306" i="1"/>
  <c r="V4306" i="1"/>
  <c r="X4305" i="1"/>
  <c r="W4305" i="1"/>
  <c r="V4305" i="1"/>
  <c r="X4304" i="1"/>
  <c r="W4304" i="1"/>
  <c r="V4304" i="1"/>
  <c r="W4303" i="1"/>
  <c r="X4303" i="1" s="1"/>
  <c r="V4303" i="1"/>
  <c r="W4302" i="1"/>
  <c r="X4302" i="1" s="1"/>
  <c r="V4302" i="1"/>
  <c r="X4301" i="1"/>
  <c r="W4301" i="1"/>
  <c r="V4301" i="1"/>
  <c r="W4300" i="1"/>
  <c r="X4300" i="1" s="1"/>
  <c r="V4300" i="1"/>
  <c r="W4299" i="1"/>
  <c r="X4299" i="1" s="1"/>
  <c r="V4299" i="1"/>
  <c r="X4298" i="1"/>
  <c r="W4298" i="1"/>
  <c r="V4298" i="1"/>
  <c r="X4297" i="1"/>
  <c r="W4297" i="1"/>
  <c r="V4297" i="1"/>
  <c r="X4296" i="1"/>
  <c r="W4296" i="1"/>
  <c r="V4296" i="1"/>
  <c r="W4295" i="1"/>
  <c r="X4295" i="1" s="1"/>
  <c r="V4295" i="1"/>
  <c r="W4294" i="1"/>
  <c r="X4294" i="1" s="1"/>
  <c r="V4294" i="1"/>
  <c r="X4293" i="1"/>
  <c r="W4293" i="1"/>
  <c r="V4293" i="1"/>
  <c r="W4292" i="1"/>
  <c r="X4292" i="1" s="1"/>
  <c r="V4292" i="1"/>
  <c r="W4291" i="1"/>
  <c r="X4291" i="1" s="1"/>
  <c r="V4291" i="1"/>
  <c r="X4290" i="1"/>
  <c r="W4290" i="1"/>
  <c r="V4290" i="1"/>
  <c r="X4289" i="1"/>
  <c r="W4289" i="1"/>
  <c r="V4289" i="1"/>
  <c r="X4288" i="1"/>
  <c r="W4288" i="1"/>
  <c r="V4288" i="1"/>
  <c r="W4287" i="1"/>
  <c r="X4287" i="1" s="1"/>
  <c r="V4287" i="1"/>
  <c r="W4286" i="1"/>
  <c r="X4286" i="1" s="1"/>
  <c r="V4286" i="1"/>
  <c r="X4285" i="1"/>
  <c r="W4285" i="1"/>
  <c r="V4285" i="1"/>
  <c r="W4284" i="1"/>
  <c r="X4284" i="1" s="1"/>
  <c r="V4284" i="1"/>
  <c r="W4283" i="1"/>
  <c r="X4283" i="1" s="1"/>
  <c r="V4283" i="1"/>
  <c r="X4282" i="1"/>
  <c r="W4282" i="1"/>
  <c r="V4282" i="1"/>
  <c r="X4281" i="1"/>
  <c r="W4281" i="1"/>
  <c r="V4281" i="1"/>
  <c r="X4280" i="1"/>
  <c r="W4280" i="1"/>
  <c r="V4280" i="1"/>
  <c r="W4279" i="1"/>
  <c r="X4279" i="1" s="1"/>
  <c r="V4279" i="1"/>
  <c r="W4278" i="1"/>
  <c r="X4278" i="1" s="1"/>
  <c r="V4278" i="1"/>
  <c r="X4277" i="1"/>
  <c r="W4277" i="1"/>
  <c r="V4277" i="1"/>
  <c r="W4276" i="1"/>
  <c r="X4276" i="1" s="1"/>
  <c r="V4276" i="1"/>
  <c r="W4275" i="1"/>
  <c r="X4275" i="1" s="1"/>
  <c r="V4275" i="1"/>
  <c r="X4274" i="1"/>
  <c r="W4274" i="1"/>
  <c r="V4274" i="1"/>
  <c r="X4273" i="1"/>
  <c r="W4273" i="1"/>
  <c r="V4273" i="1"/>
  <c r="X4272" i="1"/>
  <c r="W4272" i="1"/>
  <c r="V4272" i="1"/>
  <c r="W4271" i="1"/>
  <c r="X4271" i="1" s="1"/>
  <c r="V4271" i="1"/>
  <c r="W4270" i="1"/>
  <c r="X4270" i="1" s="1"/>
  <c r="V4270" i="1"/>
  <c r="X4269" i="1"/>
  <c r="W4269" i="1"/>
  <c r="V4269" i="1"/>
  <c r="W4268" i="1"/>
  <c r="X4268" i="1" s="1"/>
  <c r="V4268" i="1"/>
  <c r="W4267" i="1"/>
  <c r="X4267" i="1" s="1"/>
  <c r="V4267" i="1"/>
  <c r="X4266" i="1"/>
  <c r="W4266" i="1"/>
  <c r="V4266" i="1"/>
  <c r="X4265" i="1"/>
  <c r="W4265" i="1"/>
  <c r="V4265" i="1"/>
  <c r="X4264" i="1"/>
  <c r="W4264" i="1"/>
  <c r="V4264" i="1"/>
  <c r="W4263" i="1"/>
  <c r="X4263" i="1" s="1"/>
  <c r="V4263" i="1"/>
  <c r="W4262" i="1"/>
  <c r="X4262" i="1" s="1"/>
  <c r="V4262" i="1"/>
  <c r="X4261" i="1"/>
  <c r="W4261" i="1"/>
  <c r="V4261" i="1"/>
  <c r="W4260" i="1"/>
  <c r="X4260" i="1" s="1"/>
  <c r="V4260" i="1"/>
  <c r="W4259" i="1"/>
  <c r="X4259" i="1" s="1"/>
  <c r="V4259" i="1"/>
  <c r="X4258" i="1"/>
  <c r="W4258" i="1"/>
  <c r="V4258" i="1"/>
  <c r="X4257" i="1"/>
  <c r="W4257" i="1"/>
  <c r="V4257" i="1"/>
  <c r="X4256" i="1"/>
  <c r="W4256" i="1"/>
  <c r="V4256" i="1"/>
  <c r="W4255" i="1"/>
  <c r="X4255" i="1" s="1"/>
  <c r="V4255" i="1"/>
  <c r="W4254" i="1"/>
  <c r="X4254" i="1" s="1"/>
  <c r="V4254" i="1"/>
  <c r="X4253" i="1"/>
  <c r="W4253" i="1"/>
  <c r="V4253" i="1"/>
  <c r="W4252" i="1"/>
  <c r="X4252" i="1" s="1"/>
  <c r="V4252" i="1"/>
  <c r="W4251" i="1"/>
  <c r="X4251" i="1" s="1"/>
  <c r="V4251" i="1"/>
  <c r="X4250" i="1"/>
  <c r="W4250" i="1"/>
  <c r="V4250" i="1"/>
  <c r="X4249" i="1"/>
  <c r="W4249" i="1"/>
  <c r="V4249" i="1"/>
  <c r="W4248" i="1"/>
  <c r="X4248" i="1" s="1"/>
  <c r="V4248" i="1"/>
  <c r="W4247" i="1"/>
  <c r="X4247" i="1" s="1"/>
  <c r="V4247" i="1"/>
  <c r="W4246" i="1"/>
  <c r="X4246" i="1" s="1"/>
  <c r="V4246" i="1"/>
  <c r="W4245" i="1"/>
  <c r="X4245" i="1" s="1"/>
  <c r="V4245" i="1"/>
  <c r="X4244" i="1"/>
  <c r="W4244" i="1"/>
  <c r="V4244" i="1"/>
  <c r="W4243" i="1"/>
  <c r="X4243" i="1" s="1"/>
  <c r="V4243" i="1"/>
  <c r="W4242" i="1"/>
  <c r="X4242" i="1" s="1"/>
  <c r="V4242" i="1"/>
  <c r="X4241" i="1"/>
  <c r="W4241" i="1"/>
  <c r="V4241" i="1"/>
  <c r="W4240" i="1"/>
  <c r="X4240" i="1" s="1"/>
  <c r="V4240" i="1"/>
  <c r="W4239" i="1"/>
  <c r="X4239" i="1" s="1"/>
  <c r="V4239" i="1"/>
  <c r="X4238" i="1"/>
  <c r="W4238" i="1"/>
  <c r="V4238" i="1"/>
  <c r="X4237" i="1"/>
  <c r="W4237" i="1"/>
  <c r="V4237" i="1"/>
  <c r="W4236" i="1"/>
  <c r="X4236" i="1" s="1"/>
  <c r="V4236" i="1"/>
  <c r="W4235" i="1"/>
  <c r="X4235" i="1" s="1"/>
  <c r="V4235" i="1"/>
  <c r="X4234" i="1"/>
  <c r="W4234" i="1"/>
  <c r="V4234" i="1"/>
  <c r="W4233" i="1"/>
  <c r="X4233" i="1" s="1"/>
  <c r="V4233" i="1"/>
  <c r="X4232" i="1"/>
  <c r="W4232" i="1"/>
  <c r="V4232" i="1"/>
  <c r="W4231" i="1"/>
  <c r="X4231" i="1" s="1"/>
  <c r="V4231" i="1"/>
  <c r="X4230" i="1"/>
  <c r="W4230" i="1"/>
  <c r="V4230" i="1"/>
  <c r="W4229" i="1"/>
  <c r="X4229" i="1" s="1"/>
  <c r="V4229" i="1"/>
  <c r="X4228" i="1"/>
  <c r="W4228" i="1"/>
  <c r="V4228" i="1"/>
  <c r="W4227" i="1"/>
  <c r="X4227" i="1" s="1"/>
  <c r="V4227" i="1"/>
  <c r="W4226" i="1"/>
  <c r="X4226" i="1" s="1"/>
  <c r="V4226" i="1"/>
  <c r="X4225" i="1"/>
  <c r="W4225" i="1"/>
  <c r="V4225" i="1"/>
  <c r="W4224" i="1"/>
  <c r="X4224" i="1" s="1"/>
  <c r="V4224" i="1"/>
  <c r="X4223" i="1"/>
  <c r="W4223" i="1"/>
  <c r="V4223" i="1"/>
  <c r="X4222" i="1"/>
  <c r="W4222" i="1"/>
  <c r="V4222" i="1"/>
  <c r="X4221" i="1"/>
  <c r="W4221" i="1"/>
  <c r="V4221" i="1"/>
  <c r="W4220" i="1"/>
  <c r="X4220" i="1" s="1"/>
  <c r="V4220" i="1"/>
  <c r="W4219" i="1"/>
  <c r="X4219" i="1" s="1"/>
  <c r="V4219" i="1"/>
  <c r="X4218" i="1"/>
  <c r="W4218" i="1"/>
  <c r="V4218" i="1"/>
  <c r="W4217" i="1"/>
  <c r="X4217" i="1" s="1"/>
  <c r="V4217" i="1"/>
  <c r="X4216" i="1"/>
  <c r="W4216" i="1"/>
  <c r="V4216" i="1"/>
  <c r="W4215" i="1"/>
  <c r="X4215" i="1" s="1"/>
  <c r="V4215" i="1"/>
  <c r="X4214" i="1"/>
  <c r="W4214" i="1"/>
  <c r="V4214" i="1"/>
  <c r="W4213" i="1"/>
  <c r="X4213" i="1" s="1"/>
  <c r="V4213" i="1"/>
  <c r="X4212" i="1"/>
  <c r="W4212" i="1"/>
  <c r="V4212" i="1"/>
  <c r="W4211" i="1"/>
  <c r="X4211" i="1" s="1"/>
  <c r="V4211" i="1"/>
  <c r="W4210" i="1"/>
  <c r="X4210" i="1" s="1"/>
  <c r="V4210" i="1"/>
  <c r="X4209" i="1"/>
  <c r="W4209" i="1"/>
  <c r="V4209" i="1"/>
  <c r="W4208" i="1"/>
  <c r="X4208" i="1" s="1"/>
  <c r="V4208" i="1"/>
  <c r="X4207" i="1"/>
  <c r="W4207" i="1"/>
  <c r="V4207" i="1"/>
  <c r="X4206" i="1"/>
  <c r="W4206" i="1"/>
  <c r="V4206" i="1"/>
  <c r="X4205" i="1"/>
  <c r="W4205" i="1"/>
  <c r="V4205" i="1"/>
  <c r="W4204" i="1"/>
  <c r="X4204" i="1" s="1"/>
  <c r="V4204" i="1"/>
  <c r="W4203" i="1"/>
  <c r="X4203" i="1" s="1"/>
  <c r="V4203" i="1"/>
  <c r="X4202" i="1"/>
  <c r="W4202" i="1"/>
  <c r="V4202" i="1"/>
  <c r="W4201" i="1"/>
  <c r="X4201" i="1" s="1"/>
  <c r="V4201" i="1"/>
  <c r="X4200" i="1"/>
  <c r="W4200" i="1"/>
  <c r="V4200" i="1"/>
  <c r="W4199" i="1"/>
  <c r="X4199" i="1" s="1"/>
  <c r="V4199" i="1"/>
  <c r="X4198" i="1"/>
  <c r="W4198" i="1"/>
  <c r="V4198" i="1"/>
  <c r="W4197" i="1"/>
  <c r="X4197" i="1" s="1"/>
  <c r="V4197" i="1"/>
  <c r="X4196" i="1"/>
  <c r="W4196" i="1"/>
  <c r="V4196" i="1"/>
  <c r="W4195" i="1"/>
  <c r="X4195" i="1" s="1"/>
  <c r="V4195" i="1"/>
  <c r="W4194" i="1"/>
  <c r="X4194" i="1" s="1"/>
  <c r="V4194" i="1"/>
  <c r="X4193" i="1"/>
  <c r="W4193" i="1"/>
  <c r="V4193" i="1"/>
  <c r="W4192" i="1"/>
  <c r="X4192" i="1" s="1"/>
  <c r="V4192" i="1"/>
  <c r="X4191" i="1"/>
  <c r="W4191" i="1"/>
  <c r="V4191" i="1"/>
  <c r="X4190" i="1"/>
  <c r="W4190" i="1"/>
  <c r="V4190" i="1"/>
  <c r="X4189" i="1"/>
  <c r="W4189" i="1"/>
  <c r="V4189" i="1"/>
  <c r="W4188" i="1"/>
  <c r="X4188" i="1" s="1"/>
  <c r="V4188" i="1"/>
  <c r="W4187" i="1"/>
  <c r="X4187" i="1" s="1"/>
  <c r="V4187" i="1"/>
  <c r="X4186" i="1"/>
  <c r="W4186" i="1"/>
  <c r="V4186" i="1"/>
  <c r="W4185" i="1"/>
  <c r="X4185" i="1" s="1"/>
  <c r="V4185" i="1"/>
  <c r="X4184" i="1"/>
  <c r="W4184" i="1"/>
  <c r="V4184" i="1"/>
  <c r="W4183" i="1"/>
  <c r="X4183" i="1" s="1"/>
  <c r="V4183" i="1"/>
  <c r="X4182" i="1"/>
  <c r="W4182" i="1"/>
  <c r="V4182" i="1"/>
  <c r="W4181" i="1"/>
  <c r="X4181" i="1" s="1"/>
  <c r="V4181" i="1"/>
  <c r="X4180" i="1"/>
  <c r="W4180" i="1"/>
  <c r="V4180" i="1"/>
  <c r="W4179" i="1"/>
  <c r="X4179" i="1" s="1"/>
  <c r="V4179" i="1"/>
  <c r="W4178" i="1"/>
  <c r="X4178" i="1" s="1"/>
  <c r="V4178" i="1"/>
  <c r="X4177" i="1"/>
  <c r="W4177" i="1"/>
  <c r="V4177" i="1"/>
  <c r="W4176" i="1"/>
  <c r="X4176" i="1" s="1"/>
  <c r="V4176" i="1"/>
  <c r="X4175" i="1"/>
  <c r="W4175" i="1"/>
  <c r="V4175" i="1"/>
  <c r="X4174" i="1"/>
  <c r="W4174" i="1"/>
  <c r="V4174" i="1"/>
  <c r="X4173" i="1"/>
  <c r="W4173" i="1"/>
  <c r="V4173" i="1"/>
  <c r="W4172" i="1"/>
  <c r="X4172" i="1" s="1"/>
  <c r="V4172" i="1"/>
  <c r="W4171" i="1"/>
  <c r="X4171" i="1" s="1"/>
  <c r="V4171" i="1"/>
  <c r="X4170" i="1"/>
  <c r="W4170" i="1"/>
  <c r="V4170" i="1"/>
  <c r="W4169" i="1"/>
  <c r="X4169" i="1" s="1"/>
  <c r="V4169" i="1"/>
  <c r="X4168" i="1"/>
  <c r="W4168" i="1"/>
  <c r="V4168" i="1"/>
  <c r="W4167" i="1"/>
  <c r="X4167" i="1" s="1"/>
  <c r="V4167" i="1"/>
  <c r="X4166" i="1"/>
  <c r="W4166" i="1"/>
  <c r="V4166" i="1"/>
  <c r="W4165" i="1"/>
  <c r="X4165" i="1" s="1"/>
  <c r="V4165" i="1"/>
  <c r="X4164" i="1"/>
  <c r="W4164" i="1"/>
  <c r="V4164" i="1"/>
  <c r="W4163" i="1"/>
  <c r="X4163" i="1" s="1"/>
  <c r="V4163" i="1"/>
  <c r="W4162" i="1"/>
  <c r="X4162" i="1" s="1"/>
  <c r="V4162" i="1"/>
  <c r="X4161" i="1"/>
  <c r="W4161" i="1"/>
  <c r="V4161" i="1"/>
  <c r="W4160" i="1"/>
  <c r="X4160" i="1" s="1"/>
  <c r="V4160" i="1"/>
  <c r="X4159" i="1"/>
  <c r="W4159" i="1"/>
  <c r="V4159" i="1"/>
  <c r="X4158" i="1"/>
  <c r="W4158" i="1"/>
  <c r="V4158" i="1"/>
  <c r="X4157" i="1"/>
  <c r="W4157" i="1"/>
  <c r="V4157" i="1"/>
  <c r="W4156" i="1"/>
  <c r="X4156" i="1" s="1"/>
  <c r="V4156" i="1"/>
  <c r="W4155" i="1"/>
  <c r="X4155" i="1" s="1"/>
  <c r="V4155" i="1"/>
  <c r="X4154" i="1"/>
  <c r="W4154" i="1"/>
  <c r="V4154" i="1"/>
  <c r="W4153" i="1"/>
  <c r="X4153" i="1" s="1"/>
  <c r="V4153" i="1"/>
  <c r="X4152" i="1"/>
  <c r="W4152" i="1"/>
  <c r="V4152" i="1"/>
  <c r="W4151" i="1"/>
  <c r="X4151" i="1" s="1"/>
  <c r="V4151" i="1"/>
  <c r="X4150" i="1"/>
  <c r="W4150" i="1"/>
  <c r="V4150" i="1"/>
  <c r="W4149" i="1"/>
  <c r="X4149" i="1" s="1"/>
  <c r="V4149" i="1"/>
  <c r="X4148" i="1"/>
  <c r="W4148" i="1"/>
  <c r="V4148" i="1"/>
  <c r="W4147" i="1"/>
  <c r="X4147" i="1" s="1"/>
  <c r="V4147" i="1"/>
  <c r="W4146" i="1"/>
  <c r="X4146" i="1" s="1"/>
  <c r="V4146" i="1"/>
  <c r="X4145" i="1"/>
  <c r="W4145" i="1"/>
  <c r="V4145" i="1"/>
  <c r="W4144" i="1"/>
  <c r="X4144" i="1" s="1"/>
  <c r="V4144" i="1"/>
  <c r="X4143" i="1"/>
  <c r="W4143" i="1"/>
  <c r="V4143" i="1"/>
  <c r="X4142" i="1"/>
  <c r="W4142" i="1"/>
  <c r="V4142" i="1"/>
  <c r="X4141" i="1"/>
  <c r="W4141" i="1"/>
  <c r="V4141" i="1"/>
  <c r="W4140" i="1"/>
  <c r="X4140" i="1" s="1"/>
  <c r="V4140" i="1"/>
  <c r="W4139" i="1"/>
  <c r="X4139" i="1" s="1"/>
  <c r="V4139" i="1"/>
  <c r="X4138" i="1"/>
  <c r="W4138" i="1"/>
  <c r="V4138" i="1"/>
  <c r="W4137" i="1"/>
  <c r="X4137" i="1" s="1"/>
  <c r="V4137" i="1"/>
  <c r="X4136" i="1"/>
  <c r="W4136" i="1"/>
  <c r="V4136" i="1"/>
  <c r="W4135" i="1"/>
  <c r="X4135" i="1" s="1"/>
  <c r="V4135" i="1"/>
  <c r="X4134" i="1"/>
  <c r="W4134" i="1"/>
  <c r="V4134" i="1"/>
  <c r="W4133" i="1"/>
  <c r="X4133" i="1" s="1"/>
  <c r="V4133" i="1"/>
  <c r="X4132" i="1"/>
  <c r="W4132" i="1"/>
  <c r="V4132" i="1"/>
  <c r="W4131" i="1"/>
  <c r="X4131" i="1" s="1"/>
  <c r="V4131" i="1"/>
  <c r="W4130" i="1"/>
  <c r="X4130" i="1" s="1"/>
  <c r="V4130" i="1"/>
  <c r="X4129" i="1"/>
  <c r="W4129" i="1"/>
  <c r="V4129" i="1"/>
  <c r="W4128" i="1"/>
  <c r="X4128" i="1" s="1"/>
  <c r="V4128" i="1"/>
  <c r="X4127" i="1"/>
  <c r="W4127" i="1"/>
  <c r="V4127" i="1"/>
  <c r="X4126" i="1"/>
  <c r="W4126" i="1"/>
  <c r="V4126" i="1"/>
  <c r="X4125" i="1"/>
  <c r="W4125" i="1"/>
  <c r="V4125" i="1"/>
  <c r="W4124" i="1"/>
  <c r="X4124" i="1" s="1"/>
  <c r="V4124" i="1"/>
  <c r="W4123" i="1"/>
  <c r="X4123" i="1" s="1"/>
  <c r="V4123" i="1"/>
  <c r="X4122" i="1"/>
  <c r="W4122" i="1"/>
  <c r="V4122" i="1"/>
  <c r="W4121" i="1"/>
  <c r="X4121" i="1" s="1"/>
  <c r="V4121" i="1"/>
  <c r="X4120" i="1"/>
  <c r="W4120" i="1"/>
  <c r="V4120" i="1"/>
  <c r="W4119" i="1"/>
  <c r="X4119" i="1" s="1"/>
  <c r="V4119" i="1"/>
  <c r="X4118" i="1"/>
  <c r="W4118" i="1"/>
  <c r="V4118" i="1"/>
  <c r="W4117" i="1"/>
  <c r="X4117" i="1" s="1"/>
  <c r="V4117" i="1"/>
  <c r="X4116" i="1"/>
  <c r="W4116" i="1"/>
  <c r="V4116" i="1"/>
  <c r="W4115" i="1"/>
  <c r="X4115" i="1" s="1"/>
  <c r="V4115" i="1"/>
  <c r="W4114" i="1"/>
  <c r="X4114" i="1" s="1"/>
  <c r="V4114" i="1"/>
  <c r="X4113" i="1"/>
  <c r="W4113" i="1"/>
  <c r="V4113" i="1"/>
  <c r="W4112" i="1"/>
  <c r="X4112" i="1" s="1"/>
  <c r="V4112" i="1"/>
  <c r="X4111" i="1"/>
  <c r="W4111" i="1"/>
  <c r="V4111" i="1"/>
  <c r="X4110" i="1"/>
  <c r="W4110" i="1"/>
  <c r="V4110" i="1"/>
  <c r="X4109" i="1"/>
  <c r="W4109" i="1"/>
  <c r="V4109" i="1"/>
  <c r="W4108" i="1"/>
  <c r="X4108" i="1" s="1"/>
  <c r="V4108" i="1"/>
  <c r="W4107" i="1"/>
  <c r="X4107" i="1" s="1"/>
  <c r="V4107" i="1"/>
  <c r="X4106" i="1"/>
  <c r="W4106" i="1"/>
  <c r="V4106" i="1"/>
  <c r="W4105" i="1"/>
  <c r="X4105" i="1" s="1"/>
  <c r="V4105" i="1"/>
  <c r="X4104" i="1"/>
  <c r="W4104" i="1"/>
  <c r="V4104" i="1"/>
  <c r="W4103" i="1"/>
  <c r="X4103" i="1" s="1"/>
  <c r="V4103" i="1"/>
  <c r="X4102" i="1"/>
  <c r="W4102" i="1"/>
  <c r="V4102" i="1"/>
  <c r="W4101" i="1"/>
  <c r="X4101" i="1" s="1"/>
  <c r="V4101" i="1"/>
  <c r="X4100" i="1"/>
  <c r="W4100" i="1"/>
  <c r="V4100" i="1"/>
  <c r="W4099" i="1"/>
  <c r="X4099" i="1" s="1"/>
  <c r="V4099" i="1"/>
  <c r="W4098" i="1"/>
  <c r="X4098" i="1" s="1"/>
  <c r="V4098" i="1"/>
  <c r="X4097" i="1"/>
  <c r="W4097" i="1"/>
  <c r="V4097" i="1"/>
  <c r="W4096" i="1"/>
  <c r="X4096" i="1" s="1"/>
  <c r="V4096" i="1"/>
  <c r="X4095" i="1"/>
  <c r="W4095" i="1"/>
  <c r="V4095" i="1"/>
  <c r="X4094" i="1"/>
  <c r="W4094" i="1"/>
  <c r="V4094" i="1"/>
  <c r="X4093" i="1"/>
  <c r="W4093" i="1"/>
  <c r="V4093" i="1"/>
  <c r="W4092" i="1"/>
  <c r="X4092" i="1" s="1"/>
  <c r="V4092" i="1"/>
  <c r="W4091" i="1"/>
  <c r="X4091" i="1" s="1"/>
  <c r="V4091" i="1"/>
  <c r="X4090" i="1"/>
  <c r="W4090" i="1"/>
  <c r="V4090" i="1"/>
  <c r="W4089" i="1"/>
  <c r="X4089" i="1" s="1"/>
  <c r="V4089" i="1"/>
  <c r="X4088" i="1"/>
  <c r="W4088" i="1"/>
  <c r="V4088" i="1"/>
  <c r="W4087" i="1"/>
  <c r="X4087" i="1" s="1"/>
  <c r="V4087" i="1"/>
  <c r="X4086" i="1"/>
  <c r="W4086" i="1"/>
  <c r="V4086" i="1"/>
  <c r="W4085" i="1"/>
  <c r="X4085" i="1" s="1"/>
  <c r="V4085" i="1"/>
  <c r="X4084" i="1"/>
  <c r="W4084" i="1"/>
  <c r="V4084" i="1"/>
  <c r="W4083" i="1"/>
  <c r="X4083" i="1" s="1"/>
  <c r="V4083" i="1"/>
  <c r="W4082" i="1"/>
  <c r="X4082" i="1" s="1"/>
  <c r="V4082" i="1"/>
  <c r="X4081" i="1"/>
  <c r="W4081" i="1"/>
  <c r="V4081" i="1"/>
  <c r="W4080" i="1"/>
  <c r="X4080" i="1" s="1"/>
  <c r="V4080" i="1"/>
  <c r="X4079" i="1"/>
  <c r="W4079" i="1"/>
  <c r="V4079" i="1"/>
  <c r="X4078" i="1"/>
  <c r="W4078" i="1"/>
  <c r="V4078" i="1"/>
  <c r="X4077" i="1"/>
  <c r="W4077" i="1"/>
  <c r="V4077" i="1"/>
  <c r="W4076" i="1"/>
  <c r="X4076" i="1" s="1"/>
  <c r="V4076" i="1"/>
  <c r="W4075" i="1"/>
  <c r="X4075" i="1" s="1"/>
  <c r="V4075" i="1"/>
  <c r="X4074" i="1"/>
  <c r="W4074" i="1"/>
  <c r="V4074" i="1"/>
  <c r="W4073" i="1"/>
  <c r="X4073" i="1" s="1"/>
  <c r="V4073" i="1"/>
  <c r="W4072" i="1"/>
  <c r="X4072" i="1" s="1"/>
  <c r="V4072" i="1"/>
  <c r="W4071" i="1"/>
  <c r="X4071" i="1" s="1"/>
  <c r="V4071" i="1"/>
  <c r="X4070" i="1"/>
  <c r="W4070" i="1"/>
  <c r="V4070" i="1"/>
  <c r="W4069" i="1"/>
  <c r="X4069" i="1" s="1"/>
  <c r="V4069" i="1"/>
  <c r="X4068" i="1"/>
  <c r="W4068" i="1"/>
  <c r="V4068" i="1"/>
  <c r="W4067" i="1"/>
  <c r="X4067" i="1" s="1"/>
  <c r="V4067" i="1"/>
  <c r="W4066" i="1"/>
  <c r="X4066" i="1" s="1"/>
  <c r="V4066" i="1"/>
  <c r="X4065" i="1"/>
  <c r="W4065" i="1"/>
  <c r="V4065" i="1"/>
  <c r="W4064" i="1"/>
  <c r="X4064" i="1" s="1"/>
  <c r="V4064" i="1"/>
  <c r="X4063" i="1"/>
  <c r="W4063" i="1"/>
  <c r="V4063" i="1"/>
  <c r="X4062" i="1"/>
  <c r="W4062" i="1"/>
  <c r="V4062" i="1"/>
  <c r="X4061" i="1"/>
  <c r="W4061" i="1"/>
  <c r="V4061" i="1"/>
  <c r="W4060" i="1"/>
  <c r="X4060" i="1" s="1"/>
  <c r="V4060" i="1"/>
  <c r="W4059" i="1"/>
  <c r="X4059" i="1" s="1"/>
  <c r="V4059" i="1"/>
  <c r="W4058" i="1"/>
  <c r="X4058" i="1" s="1"/>
  <c r="V4058" i="1"/>
  <c r="W4057" i="1"/>
  <c r="X4057" i="1" s="1"/>
  <c r="V4057" i="1"/>
  <c r="X4056" i="1"/>
  <c r="W4056" i="1"/>
  <c r="V4056" i="1"/>
  <c r="W4055" i="1"/>
  <c r="X4055" i="1" s="1"/>
  <c r="V4055" i="1"/>
  <c r="X4054" i="1"/>
  <c r="W4054" i="1"/>
  <c r="V4054" i="1"/>
  <c r="W4053" i="1"/>
  <c r="X4053" i="1" s="1"/>
  <c r="V4053" i="1"/>
  <c r="X4052" i="1"/>
  <c r="W4052" i="1"/>
  <c r="V4052" i="1"/>
  <c r="W4051" i="1"/>
  <c r="X4051" i="1" s="1"/>
  <c r="V4051" i="1"/>
  <c r="W4050" i="1"/>
  <c r="X4050" i="1" s="1"/>
  <c r="V4050" i="1"/>
  <c r="X4049" i="1"/>
  <c r="W4049" i="1"/>
  <c r="V4049" i="1"/>
  <c r="W4048" i="1"/>
  <c r="X4048" i="1" s="1"/>
  <c r="V4048" i="1"/>
  <c r="W4047" i="1"/>
  <c r="X4047" i="1" s="1"/>
  <c r="V4047" i="1"/>
  <c r="X4046" i="1"/>
  <c r="W4046" i="1"/>
  <c r="V4046" i="1"/>
  <c r="X4045" i="1"/>
  <c r="W4045" i="1"/>
  <c r="V4045" i="1"/>
  <c r="W4044" i="1"/>
  <c r="X4044" i="1" s="1"/>
  <c r="V4044" i="1"/>
  <c r="W4043" i="1"/>
  <c r="X4043" i="1" s="1"/>
  <c r="V4043" i="1"/>
  <c r="X4042" i="1"/>
  <c r="W4042" i="1"/>
  <c r="V4042" i="1"/>
  <c r="W4041" i="1"/>
  <c r="X4041" i="1" s="1"/>
  <c r="V4041" i="1"/>
  <c r="X4040" i="1"/>
  <c r="W4040" i="1"/>
  <c r="V4040" i="1"/>
  <c r="W4039" i="1"/>
  <c r="X4039" i="1" s="1"/>
  <c r="V4039" i="1"/>
  <c r="X4038" i="1"/>
  <c r="W4038" i="1"/>
  <c r="V4038" i="1"/>
  <c r="W4037" i="1"/>
  <c r="X4037" i="1" s="1"/>
  <c r="V4037" i="1"/>
  <c r="X4036" i="1"/>
  <c r="W4036" i="1"/>
  <c r="V4036" i="1"/>
  <c r="W4035" i="1"/>
  <c r="X4035" i="1" s="1"/>
  <c r="V4035" i="1"/>
  <c r="W4034" i="1"/>
  <c r="X4034" i="1" s="1"/>
  <c r="V4034" i="1"/>
  <c r="X4033" i="1"/>
  <c r="W4033" i="1"/>
  <c r="V4033" i="1"/>
  <c r="W4032" i="1"/>
  <c r="X4032" i="1" s="1"/>
  <c r="V4032" i="1"/>
  <c r="X4031" i="1"/>
  <c r="W4031" i="1"/>
  <c r="V4031" i="1"/>
  <c r="X4030" i="1"/>
  <c r="W4030" i="1"/>
  <c r="V4030" i="1"/>
  <c r="X4029" i="1"/>
  <c r="W4029" i="1"/>
  <c r="V4029" i="1"/>
  <c r="W4028" i="1"/>
  <c r="X4028" i="1" s="1"/>
  <c r="V4028" i="1"/>
  <c r="W4027" i="1"/>
  <c r="X4027" i="1" s="1"/>
  <c r="V4027" i="1"/>
  <c r="X4026" i="1"/>
  <c r="W4026" i="1"/>
  <c r="V4026" i="1"/>
  <c r="W4025" i="1"/>
  <c r="X4025" i="1" s="1"/>
  <c r="V4025" i="1"/>
  <c r="X4024" i="1"/>
  <c r="W4024" i="1"/>
  <c r="V4024" i="1"/>
  <c r="W4023" i="1"/>
  <c r="X4023" i="1" s="1"/>
  <c r="V4023" i="1"/>
  <c r="X4022" i="1"/>
  <c r="W4022" i="1"/>
  <c r="V4022" i="1"/>
  <c r="W4021" i="1"/>
  <c r="X4021" i="1" s="1"/>
  <c r="V4021" i="1"/>
  <c r="X4020" i="1"/>
  <c r="W4020" i="1"/>
  <c r="V4020" i="1"/>
  <c r="W4019" i="1"/>
  <c r="X4019" i="1" s="1"/>
  <c r="V4019" i="1"/>
  <c r="W4018" i="1"/>
  <c r="X4018" i="1" s="1"/>
  <c r="V4018" i="1"/>
  <c r="X4017" i="1"/>
  <c r="W4017" i="1"/>
  <c r="V4017" i="1"/>
  <c r="W4016" i="1"/>
  <c r="X4016" i="1" s="1"/>
  <c r="V4016" i="1"/>
  <c r="X4015" i="1"/>
  <c r="W4015" i="1"/>
  <c r="V4015" i="1"/>
  <c r="X4014" i="1"/>
  <c r="W4014" i="1"/>
  <c r="V4014" i="1"/>
  <c r="X4013" i="1"/>
  <c r="W4013" i="1"/>
  <c r="V4013" i="1"/>
  <c r="W4012" i="1"/>
  <c r="X4012" i="1" s="1"/>
  <c r="V4012" i="1"/>
  <c r="W4011" i="1"/>
  <c r="X4011" i="1" s="1"/>
  <c r="V4011" i="1"/>
  <c r="X4010" i="1"/>
  <c r="W4010" i="1"/>
  <c r="V4010" i="1"/>
  <c r="W4009" i="1"/>
  <c r="X4009" i="1" s="1"/>
  <c r="V4009" i="1"/>
  <c r="W4008" i="1"/>
  <c r="X4008" i="1" s="1"/>
  <c r="V4008" i="1"/>
  <c r="W4007" i="1"/>
  <c r="X4007" i="1" s="1"/>
  <c r="V4007" i="1"/>
  <c r="X4006" i="1"/>
  <c r="W4006" i="1"/>
  <c r="V4006" i="1"/>
  <c r="W4005" i="1"/>
  <c r="X4005" i="1" s="1"/>
  <c r="V4005" i="1"/>
  <c r="X4004" i="1"/>
  <c r="W4004" i="1"/>
  <c r="V4004" i="1"/>
  <c r="W4003" i="1"/>
  <c r="X4003" i="1" s="1"/>
  <c r="V4003" i="1"/>
  <c r="W4002" i="1"/>
  <c r="X4002" i="1" s="1"/>
  <c r="V4002" i="1"/>
  <c r="X4001" i="1"/>
  <c r="W4001" i="1"/>
  <c r="V4001" i="1"/>
  <c r="W4000" i="1"/>
  <c r="X4000" i="1" s="1"/>
  <c r="V4000" i="1"/>
  <c r="X3999" i="1"/>
  <c r="W3999" i="1"/>
  <c r="V3999" i="1"/>
  <c r="X3998" i="1"/>
  <c r="W3998" i="1"/>
  <c r="V3998" i="1"/>
  <c r="X3997" i="1"/>
  <c r="W3997" i="1"/>
  <c r="V3997" i="1"/>
  <c r="W3996" i="1"/>
  <c r="X3996" i="1" s="1"/>
  <c r="V3996" i="1"/>
  <c r="W3995" i="1"/>
  <c r="X3995" i="1" s="1"/>
  <c r="V3995" i="1"/>
  <c r="X3994" i="1"/>
  <c r="W3994" i="1"/>
  <c r="V3994" i="1"/>
  <c r="W3993" i="1"/>
  <c r="X3993" i="1" s="1"/>
  <c r="V3993" i="1"/>
  <c r="X3992" i="1"/>
  <c r="W3992" i="1"/>
  <c r="V3992" i="1"/>
  <c r="W3991" i="1"/>
  <c r="X3991" i="1" s="1"/>
  <c r="V3991" i="1"/>
  <c r="X3990" i="1"/>
  <c r="W3990" i="1"/>
  <c r="V3990" i="1"/>
  <c r="W3989" i="1"/>
  <c r="X3989" i="1" s="1"/>
  <c r="V3989" i="1"/>
  <c r="X3988" i="1"/>
  <c r="W3988" i="1"/>
  <c r="V3988" i="1"/>
  <c r="W3987" i="1"/>
  <c r="X3987" i="1" s="1"/>
  <c r="V3987" i="1"/>
  <c r="W3986" i="1"/>
  <c r="X3986" i="1" s="1"/>
  <c r="V3986" i="1"/>
  <c r="X3985" i="1"/>
  <c r="W3985" i="1"/>
  <c r="V3985" i="1"/>
  <c r="W3984" i="1"/>
  <c r="X3984" i="1" s="1"/>
  <c r="V3984" i="1"/>
  <c r="W3983" i="1"/>
  <c r="X3983" i="1" s="1"/>
  <c r="V3983" i="1"/>
  <c r="X3982" i="1"/>
  <c r="W3982" i="1"/>
  <c r="V3982" i="1"/>
  <c r="X3981" i="1"/>
  <c r="W3981" i="1"/>
  <c r="V3981" i="1"/>
  <c r="W3980" i="1"/>
  <c r="X3980" i="1" s="1"/>
  <c r="V3980" i="1"/>
  <c r="W3979" i="1"/>
  <c r="X3979" i="1" s="1"/>
  <c r="V3979" i="1"/>
  <c r="X3978" i="1"/>
  <c r="W3978" i="1"/>
  <c r="V3978" i="1"/>
  <c r="W3977" i="1"/>
  <c r="X3977" i="1" s="1"/>
  <c r="V3977" i="1"/>
  <c r="X3976" i="1"/>
  <c r="W3976" i="1"/>
  <c r="V3976" i="1"/>
  <c r="W3975" i="1"/>
  <c r="X3975" i="1" s="1"/>
  <c r="V3975" i="1"/>
  <c r="X3974" i="1"/>
  <c r="W3974" i="1"/>
  <c r="V3974" i="1"/>
  <c r="W3973" i="1"/>
  <c r="X3973" i="1" s="1"/>
  <c r="V3973" i="1"/>
  <c r="W3972" i="1"/>
  <c r="X3972" i="1" s="1"/>
  <c r="V3972" i="1"/>
  <c r="W3971" i="1"/>
  <c r="X3971" i="1" s="1"/>
  <c r="V3971" i="1"/>
  <c r="W3970" i="1"/>
  <c r="X3970" i="1" s="1"/>
  <c r="V3970" i="1"/>
  <c r="W3969" i="1"/>
  <c r="X3969" i="1" s="1"/>
  <c r="V3969" i="1"/>
  <c r="W3968" i="1"/>
  <c r="X3968" i="1" s="1"/>
  <c r="V3968" i="1"/>
  <c r="X3967" i="1"/>
  <c r="W3967" i="1"/>
  <c r="V3967" i="1"/>
  <c r="X3966" i="1"/>
  <c r="W3966" i="1"/>
  <c r="V3966" i="1"/>
  <c r="X3965" i="1"/>
  <c r="W3965" i="1"/>
  <c r="V3965" i="1"/>
  <c r="W3964" i="1"/>
  <c r="X3964" i="1" s="1"/>
  <c r="V3964" i="1"/>
  <c r="W3963" i="1"/>
  <c r="X3963" i="1" s="1"/>
  <c r="V3963" i="1"/>
  <c r="X3962" i="1"/>
  <c r="W3962" i="1"/>
  <c r="V3962" i="1"/>
  <c r="W3961" i="1"/>
  <c r="X3961" i="1" s="1"/>
  <c r="V3961" i="1"/>
  <c r="X3960" i="1"/>
  <c r="W3960" i="1"/>
  <c r="V3960" i="1"/>
  <c r="W3959" i="1"/>
  <c r="X3959" i="1" s="1"/>
  <c r="V3959" i="1"/>
  <c r="X3958" i="1"/>
  <c r="W3958" i="1"/>
  <c r="V3958" i="1"/>
  <c r="W3957" i="1"/>
  <c r="X3957" i="1" s="1"/>
  <c r="V3957" i="1"/>
  <c r="X3956" i="1"/>
  <c r="W3956" i="1"/>
  <c r="V3956" i="1"/>
  <c r="W3955" i="1"/>
  <c r="X3955" i="1" s="1"/>
  <c r="V3955" i="1"/>
  <c r="W3954" i="1"/>
  <c r="X3954" i="1" s="1"/>
  <c r="V3954" i="1"/>
  <c r="X3953" i="1"/>
  <c r="W3953" i="1"/>
  <c r="V3953" i="1"/>
  <c r="W3952" i="1"/>
  <c r="X3952" i="1" s="1"/>
  <c r="V3952" i="1"/>
  <c r="X3951" i="1"/>
  <c r="W3951" i="1"/>
  <c r="V3951" i="1"/>
  <c r="X3950" i="1"/>
  <c r="W3950" i="1"/>
  <c r="V3950" i="1"/>
  <c r="X3949" i="1"/>
  <c r="W3949" i="1"/>
  <c r="V3949" i="1"/>
  <c r="W3948" i="1"/>
  <c r="X3948" i="1" s="1"/>
  <c r="V3948" i="1"/>
  <c r="W3947" i="1"/>
  <c r="X3947" i="1" s="1"/>
  <c r="V3947" i="1"/>
  <c r="X3946" i="1"/>
  <c r="W3946" i="1"/>
  <c r="V3946" i="1"/>
  <c r="W3945" i="1"/>
  <c r="X3945" i="1" s="1"/>
  <c r="V3945" i="1"/>
  <c r="W3944" i="1"/>
  <c r="X3944" i="1" s="1"/>
  <c r="V3944" i="1"/>
  <c r="W3943" i="1"/>
  <c r="X3943" i="1" s="1"/>
  <c r="V3943" i="1"/>
  <c r="X3942" i="1"/>
  <c r="W3942" i="1"/>
  <c r="V3942" i="1"/>
  <c r="W3941" i="1"/>
  <c r="X3941" i="1" s="1"/>
  <c r="V3941" i="1"/>
  <c r="X3940" i="1"/>
  <c r="W3940" i="1"/>
  <c r="V3940" i="1"/>
  <c r="W3939" i="1"/>
  <c r="X3939" i="1" s="1"/>
  <c r="V3939" i="1"/>
  <c r="W3938" i="1"/>
  <c r="X3938" i="1" s="1"/>
  <c r="V3938" i="1"/>
  <c r="X3937" i="1"/>
  <c r="W3937" i="1"/>
  <c r="V3937" i="1"/>
  <c r="W3936" i="1"/>
  <c r="X3936" i="1" s="1"/>
  <c r="V3936" i="1"/>
  <c r="X3935" i="1"/>
  <c r="W3935" i="1"/>
  <c r="V3935" i="1"/>
  <c r="X3934" i="1"/>
  <c r="W3934" i="1"/>
  <c r="V3934" i="1"/>
  <c r="W3933" i="1"/>
  <c r="X3933" i="1" s="1"/>
  <c r="V3933" i="1"/>
  <c r="W3932" i="1"/>
  <c r="X3932" i="1" s="1"/>
  <c r="V3932" i="1"/>
  <c r="W3931" i="1"/>
  <c r="X3931" i="1" s="1"/>
  <c r="V3931" i="1"/>
  <c r="W3930" i="1"/>
  <c r="X3930" i="1" s="1"/>
  <c r="V3930" i="1"/>
  <c r="W3929" i="1"/>
  <c r="X3929" i="1" s="1"/>
  <c r="V3929" i="1"/>
  <c r="X3928" i="1"/>
  <c r="W3928" i="1"/>
  <c r="V3928" i="1"/>
  <c r="W3927" i="1"/>
  <c r="X3927" i="1" s="1"/>
  <c r="V3927" i="1"/>
  <c r="X3926" i="1"/>
  <c r="W3926" i="1"/>
  <c r="V3926" i="1"/>
  <c r="W3925" i="1"/>
  <c r="X3925" i="1" s="1"/>
  <c r="V3925" i="1"/>
  <c r="X3924" i="1"/>
  <c r="W3924" i="1"/>
  <c r="V3924" i="1"/>
  <c r="W3923" i="1"/>
  <c r="X3923" i="1" s="1"/>
  <c r="V3923" i="1"/>
  <c r="W3922" i="1"/>
  <c r="X3922" i="1" s="1"/>
  <c r="V3922" i="1"/>
  <c r="X3921" i="1"/>
  <c r="W3921" i="1"/>
  <c r="V3921" i="1"/>
  <c r="W3920" i="1"/>
  <c r="X3920" i="1" s="1"/>
  <c r="V3920" i="1"/>
  <c r="W3919" i="1"/>
  <c r="X3919" i="1" s="1"/>
  <c r="V3919" i="1"/>
  <c r="X3918" i="1"/>
  <c r="W3918" i="1"/>
  <c r="V3918" i="1"/>
  <c r="X3917" i="1"/>
  <c r="W3917" i="1"/>
  <c r="V3917" i="1"/>
  <c r="W3916" i="1"/>
  <c r="X3916" i="1" s="1"/>
  <c r="V3916" i="1"/>
  <c r="W3915" i="1"/>
  <c r="X3915" i="1" s="1"/>
  <c r="V3915" i="1"/>
  <c r="X3914" i="1"/>
  <c r="W3914" i="1"/>
  <c r="V3914" i="1"/>
  <c r="W3913" i="1"/>
  <c r="X3913" i="1" s="1"/>
  <c r="V3913" i="1"/>
  <c r="X3912" i="1"/>
  <c r="W3912" i="1"/>
  <c r="V3912" i="1"/>
  <c r="W3911" i="1"/>
  <c r="X3911" i="1" s="1"/>
  <c r="V3911" i="1"/>
  <c r="X3910" i="1"/>
  <c r="W3910" i="1"/>
  <c r="V3910" i="1"/>
  <c r="W3909" i="1"/>
  <c r="X3909" i="1" s="1"/>
  <c r="V3909" i="1"/>
  <c r="W3908" i="1"/>
  <c r="X3908" i="1" s="1"/>
  <c r="V3908" i="1"/>
  <c r="W3907" i="1"/>
  <c r="X3907" i="1" s="1"/>
  <c r="V3907" i="1"/>
  <c r="W3906" i="1"/>
  <c r="X3906" i="1" s="1"/>
  <c r="V3906" i="1"/>
  <c r="W3905" i="1"/>
  <c r="X3905" i="1" s="1"/>
  <c r="V3905" i="1"/>
  <c r="W3904" i="1"/>
  <c r="X3904" i="1" s="1"/>
  <c r="V3904" i="1"/>
  <c r="X3903" i="1"/>
  <c r="W3903" i="1"/>
  <c r="V3903" i="1"/>
  <c r="X3902" i="1"/>
  <c r="W3902" i="1"/>
  <c r="V3902" i="1"/>
  <c r="X3901" i="1"/>
  <c r="W3901" i="1"/>
  <c r="V3901" i="1"/>
  <c r="X3900" i="1"/>
  <c r="W3900" i="1"/>
  <c r="V3900" i="1"/>
  <c r="W3899" i="1"/>
  <c r="X3899" i="1" s="1"/>
  <c r="V3899" i="1"/>
  <c r="X3898" i="1"/>
  <c r="W3898" i="1"/>
  <c r="V3898" i="1"/>
  <c r="X3897" i="1"/>
  <c r="W3897" i="1"/>
  <c r="V3897" i="1"/>
  <c r="X3896" i="1"/>
  <c r="W3896" i="1"/>
  <c r="V3896" i="1"/>
  <c r="W3895" i="1"/>
  <c r="X3895" i="1" s="1"/>
  <c r="V3895" i="1"/>
  <c r="X3894" i="1"/>
  <c r="W3894" i="1"/>
  <c r="V3894" i="1"/>
  <c r="W3893" i="1"/>
  <c r="X3893" i="1" s="1"/>
  <c r="V3893" i="1"/>
  <c r="X3892" i="1"/>
  <c r="W3892" i="1"/>
  <c r="V3892" i="1"/>
  <c r="W3891" i="1"/>
  <c r="X3891" i="1" s="1"/>
  <c r="V3891" i="1"/>
  <c r="W3890" i="1"/>
  <c r="X3890" i="1" s="1"/>
  <c r="V3890" i="1"/>
  <c r="X3889" i="1"/>
  <c r="W3889" i="1"/>
  <c r="V3889" i="1"/>
  <c r="W3888" i="1"/>
  <c r="X3888" i="1" s="1"/>
  <c r="V3888" i="1"/>
  <c r="X3887" i="1"/>
  <c r="W3887" i="1"/>
  <c r="V3887" i="1"/>
  <c r="X3886" i="1"/>
  <c r="W3886" i="1"/>
  <c r="V3886" i="1"/>
  <c r="X3885" i="1"/>
  <c r="W3885" i="1"/>
  <c r="V3885" i="1"/>
  <c r="W3884" i="1"/>
  <c r="X3884" i="1" s="1"/>
  <c r="V3884" i="1"/>
  <c r="W3883" i="1"/>
  <c r="X3883" i="1" s="1"/>
  <c r="V3883" i="1"/>
  <c r="X3882" i="1"/>
  <c r="W3882" i="1"/>
  <c r="V3882" i="1"/>
  <c r="W3881" i="1"/>
  <c r="X3881" i="1" s="1"/>
  <c r="V3881" i="1"/>
  <c r="W3880" i="1"/>
  <c r="X3880" i="1" s="1"/>
  <c r="V3880" i="1"/>
  <c r="W3879" i="1"/>
  <c r="X3879" i="1" s="1"/>
  <c r="V3879" i="1"/>
  <c r="X3878" i="1"/>
  <c r="W3878" i="1"/>
  <c r="V3878" i="1"/>
  <c r="W3877" i="1"/>
  <c r="X3877" i="1" s="1"/>
  <c r="V3877" i="1"/>
  <c r="X3876" i="1"/>
  <c r="W3876" i="1"/>
  <c r="V3876" i="1"/>
  <c r="W3875" i="1"/>
  <c r="X3875" i="1" s="1"/>
  <c r="V3875" i="1"/>
  <c r="W3874" i="1"/>
  <c r="X3874" i="1" s="1"/>
  <c r="V3874" i="1"/>
  <c r="X3873" i="1"/>
  <c r="W3873" i="1"/>
  <c r="V3873" i="1"/>
  <c r="W3872" i="1"/>
  <c r="X3872" i="1" s="1"/>
  <c r="V3872" i="1"/>
  <c r="X3871" i="1"/>
  <c r="W3871" i="1"/>
  <c r="V3871" i="1"/>
  <c r="X3870" i="1"/>
  <c r="W3870" i="1"/>
  <c r="V3870" i="1"/>
  <c r="W3869" i="1"/>
  <c r="X3869" i="1" s="1"/>
  <c r="V3869" i="1"/>
  <c r="W3868" i="1"/>
  <c r="X3868" i="1" s="1"/>
  <c r="V3868" i="1"/>
  <c r="W3867" i="1"/>
  <c r="X3867" i="1" s="1"/>
  <c r="V3867" i="1"/>
  <c r="W3866" i="1"/>
  <c r="X3866" i="1" s="1"/>
  <c r="V3866" i="1"/>
  <c r="W3865" i="1"/>
  <c r="X3865" i="1" s="1"/>
  <c r="V3865" i="1"/>
  <c r="X3864" i="1"/>
  <c r="W3864" i="1"/>
  <c r="V3864" i="1"/>
  <c r="W3863" i="1"/>
  <c r="X3863" i="1" s="1"/>
  <c r="V3863" i="1"/>
  <c r="X3862" i="1"/>
  <c r="W3862" i="1"/>
  <c r="V3862" i="1"/>
  <c r="W3861" i="1"/>
  <c r="X3861" i="1" s="1"/>
  <c r="V3861" i="1"/>
  <c r="X3860" i="1"/>
  <c r="W3860" i="1"/>
  <c r="V3860" i="1"/>
  <c r="W3859" i="1"/>
  <c r="X3859" i="1" s="1"/>
  <c r="V3859" i="1"/>
  <c r="W3858" i="1"/>
  <c r="X3858" i="1" s="1"/>
  <c r="V3858" i="1"/>
  <c r="X3857" i="1"/>
  <c r="W3857" i="1"/>
  <c r="V3857" i="1"/>
  <c r="W3856" i="1"/>
  <c r="X3856" i="1" s="1"/>
  <c r="V3856" i="1"/>
  <c r="W3855" i="1"/>
  <c r="X3855" i="1" s="1"/>
  <c r="V3855" i="1"/>
  <c r="X3854" i="1"/>
  <c r="W3854" i="1"/>
  <c r="V3854" i="1"/>
  <c r="X3853" i="1"/>
  <c r="W3853" i="1"/>
  <c r="V3853" i="1"/>
  <c r="W3852" i="1"/>
  <c r="X3852" i="1" s="1"/>
  <c r="V3852" i="1"/>
  <c r="W3851" i="1"/>
  <c r="X3851" i="1" s="1"/>
  <c r="V3851" i="1"/>
  <c r="X3850" i="1"/>
  <c r="W3850" i="1"/>
  <c r="V3850" i="1"/>
  <c r="W3849" i="1"/>
  <c r="X3849" i="1" s="1"/>
  <c r="V3849" i="1"/>
  <c r="X3848" i="1"/>
  <c r="W3848" i="1"/>
  <c r="V3848" i="1"/>
  <c r="W3847" i="1"/>
  <c r="X3847" i="1" s="1"/>
  <c r="V3847" i="1"/>
  <c r="X3846" i="1"/>
  <c r="W3846" i="1"/>
  <c r="V3846" i="1"/>
  <c r="W3845" i="1"/>
  <c r="X3845" i="1" s="1"/>
  <c r="V3845" i="1"/>
  <c r="W3844" i="1"/>
  <c r="X3844" i="1" s="1"/>
  <c r="V3844" i="1"/>
  <c r="W3843" i="1"/>
  <c r="X3843" i="1" s="1"/>
  <c r="V3843" i="1"/>
  <c r="W3842" i="1"/>
  <c r="X3842" i="1" s="1"/>
  <c r="V3842" i="1"/>
  <c r="W3841" i="1"/>
  <c r="X3841" i="1" s="1"/>
  <c r="V3841" i="1"/>
  <c r="W3840" i="1"/>
  <c r="X3840" i="1" s="1"/>
  <c r="V3840" i="1"/>
  <c r="X3839" i="1"/>
  <c r="W3839" i="1"/>
  <c r="V3839" i="1"/>
  <c r="X3838" i="1"/>
  <c r="W3838" i="1"/>
  <c r="V3838" i="1"/>
  <c r="X3837" i="1"/>
  <c r="W3837" i="1"/>
  <c r="V3837" i="1"/>
  <c r="X3836" i="1"/>
  <c r="W3836" i="1"/>
  <c r="V3836" i="1"/>
  <c r="W3835" i="1"/>
  <c r="X3835" i="1" s="1"/>
  <c r="V3835" i="1"/>
  <c r="X3834" i="1"/>
  <c r="W3834" i="1"/>
  <c r="V3834" i="1"/>
  <c r="W3833" i="1"/>
  <c r="X3833" i="1" s="1"/>
  <c r="V3833" i="1"/>
  <c r="X3832" i="1"/>
  <c r="W3832" i="1"/>
  <c r="V3832" i="1"/>
  <c r="W3831" i="1"/>
  <c r="X3831" i="1" s="1"/>
  <c r="V3831" i="1"/>
  <c r="X3830" i="1"/>
  <c r="W3830" i="1"/>
  <c r="V3830" i="1"/>
  <c r="W3829" i="1"/>
  <c r="X3829" i="1" s="1"/>
  <c r="V3829" i="1"/>
  <c r="X3828" i="1"/>
  <c r="W3828" i="1"/>
  <c r="V3828" i="1"/>
  <c r="W3827" i="1"/>
  <c r="X3827" i="1" s="1"/>
  <c r="V3827" i="1"/>
  <c r="W3826" i="1"/>
  <c r="X3826" i="1" s="1"/>
  <c r="V3826" i="1"/>
  <c r="X3825" i="1"/>
  <c r="W3825" i="1"/>
  <c r="V3825" i="1"/>
  <c r="W3824" i="1"/>
  <c r="X3824" i="1" s="1"/>
  <c r="V3824" i="1"/>
  <c r="X3823" i="1"/>
  <c r="W3823" i="1"/>
  <c r="V3823" i="1"/>
  <c r="X3822" i="1"/>
  <c r="W3822" i="1"/>
  <c r="V3822" i="1"/>
  <c r="X3821" i="1"/>
  <c r="W3821" i="1"/>
  <c r="V3821" i="1"/>
  <c r="W3820" i="1"/>
  <c r="X3820" i="1" s="1"/>
  <c r="V3820" i="1"/>
  <c r="W3819" i="1"/>
  <c r="X3819" i="1" s="1"/>
  <c r="V3819" i="1"/>
  <c r="X3818" i="1"/>
  <c r="W3818" i="1"/>
  <c r="V3818" i="1"/>
  <c r="W3817" i="1"/>
  <c r="X3817" i="1" s="1"/>
  <c r="V3817" i="1"/>
  <c r="W3816" i="1"/>
  <c r="X3816" i="1" s="1"/>
  <c r="V3816" i="1"/>
  <c r="W3815" i="1"/>
  <c r="X3815" i="1" s="1"/>
  <c r="V3815" i="1"/>
  <c r="X3814" i="1"/>
  <c r="W3814" i="1"/>
  <c r="V3814" i="1"/>
  <c r="W3813" i="1"/>
  <c r="X3813" i="1" s="1"/>
  <c r="V3813" i="1"/>
  <c r="X3812" i="1"/>
  <c r="W3812" i="1"/>
  <c r="V3812" i="1"/>
  <c r="W3811" i="1"/>
  <c r="X3811" i="1" s="1"/>
  <c r="V3811" i="1"/>
  <c r="W3810" i="1"/>
  <c r="X3810" i="1" s="1"/>
  <c r="V3810" i="1"/>
  <c r="X3809" i="1"/>
  <c r="W3809" i="1"/>
  <c r="V3809" i="1"/>
  <c r="W3808" i="1"/>
  <c r="X3808" i="1" s="1"/>
  <c r="V3808" i="1"/>
  <c r="X3807" i="1"/>
  <c r="W3807" i="1"/>
  <c r="V3807" i="1"/>
  <c r="X3806" i="1"/>
  <c r="W3806" i="1"/>
  <c r="V3806" i="1"/>
  <c r="W3805" i="1"/>
  <c r="X3805" i="1" s="1"/>
  <c r="V3805" i="1"/>
  <c r="W3804" i="1"/>
  <c r="X3804" i="1" s="1"/>
  <c r="V3804" i="1"/>
  <c r="W3803" i="1"/>
  <c r="X3803" i="1" s="1"/>
  <c r="V3803" i="1"/>
  <c r="W3802" i="1"/>
  <c r="X3802" i="1" s="1"/>
  <c r="V3802" i="1"/>
  <c r="W3801" i="1"/>
  <c r="X3801" i="1" s="1"/>
  <c r="V3801" i="1"/>
  <c r="X3800" i="1"/>
  <c r="W3800" i="1"/>
  <c r="V3800" i="1"/>
  <c r="W3799" i="1"/>
  <c r="X3799" i="1" s="1"/>
  <c r="V3799" i="1"/>
  <c r="X3798" i="1"/>
  <c r="W3798" i="1"/>
  <c r="V3798" i="1"/>
  <c r="W3797" i="1"/>
  <c r="X3797" i="1" s="1"/>
  <c r="V3797" i="1"/>
  <c r="X3796" i="1"/>
  <c r="W3796" i="1"/>
  <c r="V3796" i="1"/>
  <c r="W3795" i="1"/>
  <c r="X3795" i="1" s="1"/>
  <c r="V3795" i="1"/>
  <c r="W3794" i="1"/>
  <c r="X3794" i="1" s="1"/>
  <c r="V3794" i="1"/>
  <c r="X3793" i="1"/>
  <c r="W3793" i="1"/>
  <c r="V3793" i="1"/>
  <c r="W3792" i="1"/>
  <c r="X3792" i="1" s="1"/>
  <c r="V3792" i="1"/>
  <c r="W3791" i="1"/>
  <c r="X3791" i="1" s="1"/>
  <c r="V3791" i="1"/>
  <c r="X3790" i="1"/>
  <c r="W3790" i="1"/>
  <c r="V3790" i="1"/>
  <c r="X3789" i="1"/>
  <c r="W3789" i="1"/>
  <c r="V3789" i="1"/>
  <c r="W3788" i="1"/>
  <c r="X3788" i="1" s="1"/>
  <c r="V3788" i="1"/>
  <c r="W3787" i="1"/>
  <c r="X3787" i="1" s="1"/>
  <c r="V3787" i="1"/>
  <c r="X3786" i="1"/>
  <c r="W3786" i="1"/>
  <c r="V3786" i="1"/>
  <c r="W3785" i="1"/>
  <c r="X3785" i="1" s="1"/>
  <c r="V3785" i="1"/>
  <c r="X3784" i="1"/>
  <c r="W3784" i="1"/>
  <c r="V3784" i="1"/>
  <c r="X3783" i="1"/>
  <c r="W3783" i="1"/>
  <c r="V3783" i="1"/>
  <c r="X3782" i="1"/>
  <c r="W3782" i="1"/>
  <c r="V3782" i="1"/>
  <c r="W3781" i="1"/>
  <c r="X3781" i="1" s="1"/>
  <c r="V3781" i="1"/>
  <c r="W3780" i="1"/>
  <c r="X3780" i="1" s="1"/>
  <c r="V3780" i="1"/>
  <c r="W3779" i="1"/>
  <c r="X3779" i="1" s="1"/>
  <c r="V3779" i="1"/>
  <c r="W3778" i="1"/>
  <c r="X3778" i="1" s="1"/>
  <c r="V3778" i="1"/>
  <c r="W3777" i="1"/>
  <c r="X3777" i="1" s="1"/>
  <c r="V3777" i="1"/>
  <c r="W3776" i="1"/>
  <c r="X3776" i="1" s="1"/>
  <c r="V3776" i="1"/>
  <c r="X3775" i="1"/>
  <c r="W3775" i="1"/>
  <c r="V3775" i="1"/>
  <c r="X3774" i="1"/>
  <c r="W3774" i="1"/>
  <c r="V3774" i="1"/>
  <c r="X3773" i="1"/>
  <c r="W3773" i="1"/>
  <c r="V3773" i="1"/>
  <c r="X3772" i="1"/>
  <c r="W3772" i="1"/>
  <c r="V3772" i="1"/>
  <c r="W3771" i="1"/>
  <c r="X3771" i="1" s="1"/>
  <c r="V3771" i="1"/>
  <c r="X3770" i="1"/>
  <c r="W3770" i="1"/>
  <c r="V3770" i="1"/>
  <c r="X3769" i="1"/>
  <c r="W3769" i="1"/>
  <c r="V3769" i="1"/>
  <c r="X3768" i="1"/>
  <c r="W3768" i="1"/>
  <c r="V3768" i="1"/>
  <c r="W3767" i="1"/>
  <c r="X3767" i="1" s="1"/>
  <c r="V3767" i="1"/>
  <c r="X3766" i="1"/>
  <c r="W3766" i="1"/>
  <c r="V3766" i="1"/>
  <c r="W3765" i="1"/>
  <c r="X3765" i="1" s="1"/>
  <c r="V3765" i="1"/>
  <c r="X3764" i="1"/>
  <c r="W3764" i="1"/>
  <c r="V3764" i="1"/>
  <c r="W3763" i="1"/>
  <c r="X3763" i="1" s="1"/>
  <c r="V3763" i="1"/>
  <c r="W3762" i="1"/>
  <c r="X3762" i="1" s="1"/>
  <c r="V3762" i="1"/>
  <c r="X3761" i="1"/>
  <c r="W3761" i="1"/>
  <c r="V3761" i="1"/>
  <c r="W3760" i="1"/>
  <c r="X3760" i="1" s="1"/>
  <c r="V3760" i="1"/>
  <c r="X3759" i="1"/>
  <c r="W3759" i="1"/>
  <c r="V3759" i="1"/>
  <c r="X3758" i="1"/>
  <c r="W3758" i="1"/>
  <c r="V3758" i="1"/>
  <c r="X3757" i="1"/>
  <c r="W3757" i="1"/>
  <c r="V3757" i="1"/>
  <c r="W3756" i="1"/>
  <c r="X3756" i="1" s="1"/>
  <c r="V3756" i="1"/>
  <c r="W3755" i="1"/>
  <c r="X3755" i="1" s="1"/>
  <c r="V3755" i="1"/>
  <c r="X3754" i="1"/>
  <c r="W3754" i="1"/>
  <c r="V3754" i="1"/>
  <c r="W3753" i="1"/>
  <c r="X3753" i="1" s="1"/>
  <c r="V3753" i="1"/>
  <c r="W3752" i="1"/>
  <c r="X3752" i="1" s="1"/>
  <c r="V3752" i="1"/>
  <c r="W3751" i="1"/>
  <c r="X3751" i="1" s="1"/>
  <c r="V3751" i="1"/>
  <c r="X3750" i="1"/>
  <c r="W3750" i="1"/>
  <c r="V3750" i="1"/>
  <c r="W3749" i="1"/>
  <c r="X3749" i="1" s="1"/>
  <c r="V3749" i="1"/>
  <c r="X3748" i="1"/>
  <c r="W3748" i="1"/>
  <c r="V3748" i="1"/>
  <c r="W3747" i="1"/>
  <c r="X3747" i="1" s="1"/>
  <c r="V3747" i="1"/>
  <c r="W3746" i="1"/>
  <c r="X3746" i="1" s="1"/>
  <c r="V3746" i="1"/>
  <c r="X3745" i="1"/>
  <c r="W3745" i="1"/>
  <c r="V3745" i="1"/>
  <c r="W3744" i="1"/>
  <c r="X3744" i="1" s="1"/>
  <c r="V3744" i="1"/>
  <c r="X3743" i="1"/>
  <c r="W3743" i="1"/>
  <c r="V3743" i="1"/>
  <c r="X3742" i="1"/>
  <c r="W3742" i="1"/>
  <c r="V3742" i="1"/>
  <c r="W3741" i="1"/>
  <c r="X3741" i="1" s="1"/>
  <c r="V3741" i="1"/>
  <c r="W3740" i="1"/>
  <c r="X3740" i="1" s="1"/>
  <c r="V3740" i="1"/>
  <c r="W3739" i="1"/>
  <c r="X3739" i="1" s="1"/>
  <c r="V3739" i="1"/>
  <c r="W3738" i="1"/>
  <c r="X3738" i="1" s="1"/>
  <c r="V3738" i="1"/>
  <c r="W3737" i="1"/>
  <c r="X3737" i="1" s="1"/>
  <c r="V3737" i="1"/>
  <c r="X3736" i="1"/>
  <c r="W3736" i="1"/>
  <c r="V3736" i="1"/>
  <c r="W3735" i="1"/>
  <c r="X3735" i="1" s="1"/>
  <c r="V3735" i="1"/>
  <c r="X3734" i="1"/>
  <c r="W3734" i="1"/>
  <c r="V3734" i="1"/>
  <c r="W3733" i="1"/>
  <c r="X3733" i="1" s="1"/>
  <c r="V3733" i="1"/>
  <c r="X3732" i="1"/>
  <c r="W3732" i="1"/>
  <c r="V3732" i="1"/>
  <c r="W3731" i="1"/>
  <c r="X3731" i="1" s="1"/>
  <c r="V3731" i="1"/>
  <c r="W3730" i="1"/>
  <c r="X3730" i="1" s="1"/>
  <c r="V3730" i="1"/>
  <c r="X3729" i="1"/>
  <c r="W3729" i="1"/>
  <c r="V3729" i="1"/>
  <c r="W3728" i="1"/>
  <c r="X3728" i="1" s="1"/>
  <c r="V3728" i="1"/>
  <c r="W3727" i="1"/>
  <c r="X3727" i="1" s="1"/>
  <c r="V3727" i="1"/>
  <c r="X3726" i="1"/>
  <c r="W3726" i="1"/>
  <c r="V3726" i="1"/>
  <c r="X3725" i="1"/>
  <c r="W3725" i="1"/>
  <c r="V3725" i="1"/>
  <c r="W3724" i="1"/>
  <c r="X3724" i="1" s="1"/>
  <c r="V3724" i="1"/>
  <c r="W3723" i="1"/>
  <c r="X3723" i="1" s="1"/>
  <c r="V3723" i="1"/>
  <c r="X3722" i="1"/>
  <c r="W3722" i="1"/>
  <c r="V3722" i="1"/>
  <c r="W3721" i="1"/>
  <c r="X3721" i="1" s="1"/>
  <c r="V3721" i="1"/>
  <c r="X3720" i="1"/>
  <c r="W3720" i="1"/>
  <c r="V3720" i="1"/>
  <c r="W3719" i="1"/>
  <c r="X3719" i="1" s="1"/>
  <c r="V3719" i="1"/>
  <c r="X3718" i="1"/>
  <c r="W3718" i="1"/>
  <c r="V3718" i="1"/>
  <c r="W3717" i="1"/>
  <c r="X3717" i="1" s="1"/>
  <c r="V3717" i="1"/>
  <c r="W3716" i="1"/>
  <c r="X3716" i="1" s="1"/>
  <c r="V3716" i="1"/>
  <c r="W3715" i="1"/>
  <c r="X3715" i="1" s="1"/>
  <c r="V3715" i="1"/>
  <c r="W3714" i="1"/>
  <c r="X3714" i="1" s="1"/>
  <c r="V3714" i="1"/>
  <c r="W3713" i="1"/>
  <c r="X3713" i="1" s="1"/>
  <c r="V3713" i="1"/>
  <c r="W3712" i="1"/>
  <c r="X3712" i="1" s="1"/>
  <c r="V3712" i="1"/>
  <c r="X3711" i="1"/>
  <c r="W3711" i="1"/>
  <c r="V3711" i="1"/>
  <c r="X3710" i="1"/>
  <c r="W3710" i="1"/>
  <c r="V3710" i="1"/>
  <c r="X3709" i="1"/>
  <c r="W3709" i="1"/>
  <c r="V3709" i="1"/>
  <c r="X3708" i="1"/>
  <c r="W3708" i="1"/>
  <c r="V3708" i="1"/>
  <c r="W3707" i="1"/>
  <c r="X3707" i="1" s="1"/>
  <c r="V3707" i="1"/>
  <c r="X3706" i="1"/>
  <c r="W3706" i="1"/>
  <c r="V3706" i="1"/>
  <c r="W3705" i="1"/>
  <c r="X3705" i="1" s="1"/>
  <c r="V3705" i="1"/>
  <c r="X3704" i="1"/>
  <c r="W3704" i="1"/>
  <c r="V3704" i="1"/>
  <c r="W3703" i="1"/>
  <c r="X3703" i="1" s="1"/>
  <c r="V3703" i="1"/>
  <c r="X3702" i="1"/>
  <c r="W3702" i="1"/>
  <c r="V3702" i="1"/>
  <c r="W3701" i="1"/>
  <c r="X3701" i="1" s="1"/>
  <c r="V3701" i="1"/>
  <c r="X3700" i="1"/>
  <c r="W3700" i="1"/>
  <c r="V3700" i="1"/>
  <c r="W3699" i="1"/>
  <c r="X3699" i="1" s="1"/>
  <c r="V3699" i="1"/>
  <c r="W3698" i="1"/>
  <c r="X3698" i="1" s="1"/>
  <c r="V3698" i="1"/>
  <c r="X3697" i="1"/>
  <c r="W3697" i="1"/>
  <c r="V3697" i="1"/>
  <c r="W3696" i="1"/>
  <c r="X3696" i="1" s="1"/>
  <c r="V3696" i="1"/>
  <c r="X3695" i="1"/>
  <c r="W3695" i="1"/>
  <c r="V3695" i="1"/>
  <c r="X3694" i="1"/>
  <c r="W3694" i="1"/>
  <c r="V3694" i="1"/>
  <c r="X3693" i="1"/>
  <c r="W3693" i="1"/>
  <c r="V3693" i="1"/>
  <c r="W3692" i="1"/>
  <c r="X3692" i="1" s="1"/>
  <c r="V3692" i="1"/>
  <c r="W3691" i="1"/>
  <c r="X3691" i="1" s="1"/>
  <c r="V3691" i="1"/>
  <c r="X3690" i="1"/>
  <c r="W3690" i="1"/>
  <c r="V3690" i="1"/>
  <c r="W3689" i="1"/>
  <c r="X3689" i="1" s="1"/>
  <c r="V3689" i="1"/>
  <c r="W3688" i="1"/>
  <c r="X3688" i="1" s="1"/>
  <c r="V3688" i="1"/>
  <c r="W3687" i="1"/>
  <c r="X3687" i="1" s="1"/>
  <c r="V3687" i="1"/>
  <c r="X3686" i="1"/>
  <c r="W3686" i="1"/>
  <c r="V3686" i="1"/>
  <c r="W3685" i="1"/>
  <c r="X3685" i="1" s="1"/>
  <c r="V3685" i="1"/>
  <c r="X3684" i="1"/>
  <c r="W3684" i="1"/>
  <c r="V3684" i="1"/>
  <c r="W3683" i="1"/>
  <c r="X3683" i="1" s="1"/>
  <c r="V3683" i="1"/>
  <c r="W3682" i="1"/>
  <c r="X3682" i="1" s="1"/>
  <c r="V3682" i="1"/>
  <c r="X3681" i="1"/>
  <c r="W3681" i="1"/>
  <c r="V3681" i="1"/>
  <c r="W3680" i="1"/>
  <c r="X3680" i="1" s="1"/>
  <c r="V3680" i="1"/>
  <c r="X3679" i="1"/>
  <c r="W3679" i="1"/>
  <c r="V3679" i="1"/>
  <c r="X3678" i="1"/>
  <c r="W3678" i="1"/>
  <c r="V3678" i="1"/>
  <c r="W3677" i="1"/>
  <c r="X3677" i="1" s="1"/>
  <c r="V3677" i="1"/>
  <c r="W3676" i="1"/>
  <c r="X3676" i="1" s="1"/>
  <c r="V3676" i="1"/>
  <c r="W3675" i="1"/>
  <c r="X3675" i="1" s="1"/>
  <c r="V3675" i="1"/>
  <c r="W3674" i="1"/>
  <c r="X3674" i="1" s="1"/>
  <c r="V3674" i="1"/>
  <c r="W3673" i="1"/>
  <c r="X3673" i="1" s="1"/>
  <c r="V3673" i="1"/>
  <c r="X3672" i="1"/>
  <c r="W3672" i="1"/>
  <c r="V3672" i="1"/>
  <c r="W3671" i="1"/>
  <c r="X3671" i="1" s="1"/>
  <c r="V3671" i="1"/>
  <c r="X3670" i="1"/>
  <c r="W3670" i="1"/>
  <c r="V3670" i="1"/>
  <c r="X3669" i="1"/>
  <c r="W3669" i="1"/>
  <c r="V3669" i="1"/>
  <c r="X3668" i="1"/>
  <c r="W3668" i="1"/>
  <c r="V3668" i="1"/>
  <c r="W3667" i="1"/>
  <c r="X3667" i="1" s="1"/>
  <c r="V3667" i="1"/>
  <c r="X3666" i="1"/>
  <c r="W3666" i="1"/>
  <c r="V3666" i="1"/>
  <c r="X3665" i="1"/>
  <c r="W3665" i="1"/>
  <c r="V3665" i="1"/>
  <c r="W3664" i="1"/>
  <c r="X3664" i="1" s="1"/>
  <c r="V3664" i="1"/>
  <c r="W3663" i="1"/>
  <c r="X3663" i="1" s="1"/>
  <c r="V3663" i="1"/>
  <c r="X3662" i="1"/>
  <c r="W3662" i="1"/>
  <c r="V3662" i="1"/>
  <c r="X3661" i="1"/>
  <c r="W3661" i="1"/>
  <c r="V3661" i="1"/>
  <c r="W3660" i="1"/>
  <c r="X3660" i="1" s="1"/>
  <c r="V3660" i="1"/>
  <c r="W3659" i="1"/>
  <c r="X3659" i="1" s="1"/>
  <c r="V3659" i="1"/>
  <c r="X3658" i="1"/>
  <c r="W3658" i="1"/>
  <c r="V3658" i="1"/>
  <c r="W3657" i="1"/>
  <c r="X3657" i="1" s="1"/>
  <c r="V3657" i="1"/>
  <c r="X3656" i="1"/>
  <c r="W3656" i="1"/>
  <c r="V3656" i="1"/>
  <c r="X3655" i="1"/>
  <c r="W3655" i="1"/>
  <c r="V3655" i="1"/>
  <c r="X3654" i="1"/>
  <c r="W3654" i="1"/>
  <c r="V3654" i="1"/>
  <c r="W3653" i="1"/>
  <c r="X3653" i="1" s="1"/>
  <c r="V3653" i="1"/>
  <c r="W3652" i="1"/>
  <c r="X3652" i="1" s="1"/>
  <c r="V3652" i="1"/>
  <c r="W3651" i="1"/>
  <c r="X3651" i="1" s="1"/>
  <c r="V3651" i="1"/>
  <c r="W3650" i="1"/>
  <c r="X3650" i="1" s="1"/>
  <c r="V3650" i="1"/>
  <c r="W3649" i="1"/>
  <c r="X3649" i="1" s="1"/>
  <c r="V3649" i="1"/>
  <c r="W3648" i="1"/>
  <c r="X3648" i="1" s="1"/>
  <c r="V3648" i="1"/>
  <c r="X3647" i="1"/>
  <c r="W3647" i="1"/>
  <c r="V3647" i="1"/>
  <c r="W3646" i="1"/>
  <c r="X3646" i="1" s="1"/>
  <c r="V3646" i="1"/>
  <c r="X3645" i="1"/>
  <c r="W3645" i="1"/>
  <c r="V3645" i="1"/>
  <c r="X3644" i="1"/>
  <c r="W3644" i="1"/>
  <c r="V3644" i="1"/>
  <c r="X3643" i="1"/>
  <c r="W3643" i="1"/>
  <c r="V3643" i="1"/>
  <c r="W3642" i="1"/>
  <c r="X3642" i="1" s="1"/>
  <c r="V3642" i="1"/>
  <c r="W3641" i="1"/>
  <c r="X3641" i="1" s="1"/>
  <c r="V3641" i="1"/>
  <c r="W3640" i="1"/>
  <c r="X3640" i="1" s="1"/>
  <c r="V3640" i="1"/>
  <c r="X3639" i="1"/>
  <c r="W3639" i="1"/>
  <c r="V3639" i="1"/>
  <c r="W3638" i="1"/>
  <c r="X3638" i="1" s="1"/>
  <c r="V3638" i="1"/>
  <c r="X3637" i="1"/>
  <c r="W3637" i="1"/>
  <c r="V3637" i="1"/>
  <c r="X3636" i="1"/>
  <c r="W3636" i="1"/>
  <c r="V3636" i="1"/>
  <c r="X3635" i="1"/>
  <c r="W3635" i="1"/>
  <c r="V3635" i="1"/>
  <c r="W3634" i="1"/>
  <c r="X3634" i="1" s="1"/>
  <c r="V3634" i="1"/>
  <c r="W3633" i="1"/>
  <c r="X3633" i="1" s="1"/>
  <c r="V3633" i="1"/>
  <c r="W3632" i="1"/>
  <c r="X3632" i="1" s="1"/>
  <c r="V3632" i="1"/>
  <c r="X3631" i="1"/>
  <c r="W3631" i="1"/>
  <c r="V3631" i="1"/>
  <c r="W3630" i="1"/>
  <c r="X3630" i="1" s="1"/>
  <c r="V3630" i="1"/>
  <c r="X3629" i="1"/>
  <c r="W3629" i="1"/>
  <c r="V3629" i="1"/>
  <c r="X3628" i="1"/>
  <c r="W3628" i="1"/>
  <c r="V3628" i="1"/>
  <c r="X3627" i="1"/>
  <c r="W3627" i="1"/>
  <c r="V3627" i="1"/>
  <c r="W3626" i="1"/>
  <c r="X3626" i="1" s="1"/>
  <c r="V3626" i="1"/>
  <c r="W3625" i="1"/>
  <c r="X3625" i="1" s="1"/>
  <c r="V3625" i="1"/>
  <c r="W3624" i="1"/>
  <c r="X3624" i="1" s="1"/>
  <c r="V3624" i="1"/>
  <c r="X3623" i="1"/>
  <c r="W3623" i="1"/>
  <c r="V3623" i="1"/>
  <c r="W3622" i="1"/>
  <c r="X3622" i="1" s="1"/>
  <c r="V3622" i="1"/>
  <c r="X3621" i="1"/>
  <c r="W3621" i="1"/>
  <c r="V3621" i="1"/>
  <c r="X3620" i="1"/>
  <c r="W3620" i="1"/>
  <c r="V3620" i="1"/>
  <c r="X3619" i="1"/>
  <c r="W3619" i="1"/>
  <c r="V3619" i="1"/>
  <c r="W3618" i="1"/>
  <c r="X3618" i="1" s="1"/>
  <c r="V3618" i="1"/>
  <c r="W3617" i="1"/>
  <c r="X3617" i="1" s="1"/>
  <c r="V3617" i="1"/>
  <c r="W3616" i="1"/>
  <c r="X3616" i="1" s="1"/>
  <c r="V3616" i="1"/>
  <c r="X3615" i="1"/>
  <c r="W3615" i="1"/>
  <c r="V3615" i="1"/>
  <c r="W3614" i="1"/>
  <c r="X3614" i="1" s="1"/>
  <c r="V3614" i="1"/>
  <c r="X3613" i="1"/>
  <c r="W3613" i="1"/>
  <c r="V3613" i="1"/>
  <c r="X3612" i="1"/>
  <c r="W3612" i="1"/>
  <c r="V3612" i="1"/>
  <c r="X3611" i="1"/>
  <c r="W3611" i="1"/>
  <c r="V3611" i="1"/>
  <c r="W3610" i="1"/>
  <c r="X3610" i="1" s="1"/>
  <c r="V3610" i="1"/>
  <c r="W3609" i="1"/>
  <c r="X3609" i="1" s="1"/>
  <c r="V3609" i="1"/>
  <c r="W3608" i="1"/>
  <c r="X3608" i="1" s="1"/>
  <c r="V3608" i="1"/>
  <c r="X3607" i="1"/>
  <c r="W3607" i="1"/>
  <c r="V3607" i="1"/>
  <c r="W3606" i="1"/>
  <c r="X3606" i="1" s="1"/>
  <c r="V3606" i="1"/>
  <c r="X3605" i="1"/>
  <c r="W3605" i="1"/>
  <c r="V3605" i="1"/>
  <c r="X3604" i="1"/>
  <c r="W3604" i="1"/>
  <c r="V3604" i="1"/>
  <c r="X3603" i="1"/>
  <c r="W3603" i="1"/>
  <c r="V3603" i="1"/>
  <c r="W3602" i="1"/>
  <c r="X3602" i="1" s="1"/>
  <c r="V3602" i="1"/>
  <c r="W3601" i="1"/>
  <c r="X3601" i="1" s="1"/>
  <c r="V3601" i="1"/>
  <c r="W3600" i="1"/>
  <c r="X3600" i="1" s="1"/>
  <c r="V3600" i="1"/>
  <c r="X3599" i="1"/>
  <c r="W3599" i="1"/>
  <c r="V3599" i="1"/>
  <c r="W3598" i="1"/>
  <c r="X3598" i="1" s="1"/>
  <c r="V3598" i="1"/>
  <c r="X3597" i="1"/>
  <c r="W3597" i="1"/>
  <c r="V3597" i="1"/>
  <c r="X3596" i="1"/>
  <c r="W3596" i="1"/>
  <c r="V3596" i="1"/>
  <c r="X3595" i="1"/>
  <c r="W3595" i="1"/>
  <c r="V3595" i="1"/>
  <c r="W3594" i="1"/>
  <c r="X3594" i="1" s="1"/>
  <c r="V3594" i="1"/>
  <c r="W3593" i="1"/>
  <c r="X3593" i="1" s="1"/>
  <c r="V3593" i="1"/>
  <c r="W3592" i="1"/>
  <c r="X3592" i="1" s="1"/>
  <c r="V3592" i="1"/>
  <c r="X3591" i="1"/>
  <c r="W3591" i="1"/>
  <c r="V3591" i="1"/>
  <c r="W3590" i="1"/>
  <c r="X3590" i="1" s="1"/>
  <c r="V3590" i="1"/>
  <c r="X3589" i="1"/>
  <c r="W3589" i="1"/>
  <c r="V3589" i="1"/>
  <c r="X3588" i="1"/>
  <c r="W3588" i="1"/>
  <c r="V3588" i="1"/>
  <c r="X3587" i="1"/>
  <c r="W3587" i="1"/>
  <c r="V3587" i="1"/>
  <c r="W3586" i="1"/>
  <c r="X3586" i="1" s="1"/>
  <c r="V3586" i="1"/>
  <c r="W3585" i="1"/>
  <c r="X3585" i="1" s="1"/>
  <c r="V3585" i="1"/>
  <c r="W3584" i="1"/>
  <c r="X3584" i="1" s="1"/>
  <c r="V3584" i="1"/>
  <c r="X3583" i="1"/>
  <c r="W3583" i="1"/>
  <c r="V3583" i="1"/>
  <c r="W3582" i="1"/>
  <c r="X3582" i="1" s="1"/>
  <c r="V3582" i="1"/>
  <c r="X3581" i="1"/>
  <c r="W3581" i="1"/>
  <c r="V3581" i="1"/>
  <c r="X3580" i="1"/>
  <c r="W3580" i="1"/>
  <c r="V3580" i="1"/>
  <c r="X3579" i="1"/>
  <c r="W3579" i="1"/>
  <c r="V3579" i="1"/>
  <c r="W3578" i="1"/>
  <c r="X3578" i="1" s="1"/>
  <c r="V3578" i="1"/>
  <c r="W3577" i="1"/>
  <c r="X3577" i="1" s="1"/>
  <c r="V3577" i="1"/>
  <c r="W3576" i="1"/>
  <c r="X3576" i="1" s="1"/>
  <c r="V3576" i="1"/>
  <c r="X3575" i="1"/>
  <c r="W3575" i="1"/>
  <c r="V3575" i="1"/>
  <c r="W3574" i="1"/>
  <c r="X3574" i="1" s="1"/>
  <c r="V3574" i="1"/>
  <c r="X3573" i="1"/>
  <c r="W3573" i="1"/>
  <c r="V3573" i="1"/>
  <c r="X3572" i="1"/>
  <c r="W3572" i="1"/>
  <c r="V3572" i="1"/>
  <c r="X3571" i="1"/>
  <c r="W3571" i="1"/>
  <c r="V3571" i="1"/>
  <c r="W3570" i="1"/>
  <c r="X3570" i="1" s="1"/>
  <c r="V3570" i="1"/>
  <c r="W3569" i="1"/>
  <c r="X3569" i="1" s="1"/>
  <c r="V3569" i="1"/>
  <c r="W3568" i="1"/>
  <c r="X3568" i="1" s="1"/>
  <c r="V3568" i="1"/>
  <c r="X3567" i="1"/>
  <c r="W3567" i="1"/>
  <c r="V3567" i="1"/>
  <c r="W3566" i="1"/>
  <c r="X3566" i="1" s="1"/>
  <c r="V3566" i="1"/>
  <c r="X3565" i="1"/>
  <c r="W3565" i="1"/>
  <c r="V3565" i="1"/>
  <c r="X3564" i="1"/>
  <c r="W3564" i="1"/>
  <c r="V3564" i="1"/>
  <c r="X3563" i="1"/>
  <c r="W3563" i="1"/>
  <c r="V3563" i="1"/>
  <c r="W3562" i="1"/>
  <c r="X3562" i="1" s="1"/>
  <c r="V3562" i="1"/>
  <c r="W3561" i="1"/>
  <c r="X3561" i="1" s="1"/>
  <c r="V3561" i="1"/>
  <c r="W3560" i="1"/>
  <c r="X3560" i="1" s="1"/>
  <c r="V3560" i="1"/>
  <c r="X3559" i="1"/>
  <c r="W3559" i="1"/>
  <c r="V3559" i="1"/>
  <c r="W3558" i="1"/>
  <c r="X3558" i="1" s="1"/>
  <c r="V3558" i="1"/>
  <c r="X3557" i="1"/>
  <c r="W3557" i="1"/>
  <c r="V3557" i="1"/>
  <c r="X3556" i="1"/>
  <c r="W3556" i="1"/>
  <c r="V3556" i="1"/>
  <c r="X3555" i="1"/>
  <c r="W3555" i="1"/>
  <c r="V3555" i="1"/>
  <c r="W3554" i="1"/>
  <c r="X3554" i="1" s="1"/>
  <c r="V3554" i="1"/>
  <c r="W3553" i="1"/>
  <c r="X3553" i="1" s="1"/>
  <c r="V3553" i="1"/>
  <c r="W3552" i="1"/>
  <c r="X3552" i="1" s="1"/>
  <c r="V3552" i="1"/>
  <c r="X3551" i="1"/>
  <c r="W3551" i="1"/>
  <c r="V3551" i="1"/>
  <c r="W3550" i="1"/>
  <c r="X3550" i="1" s="1"/>
  <c r="V3550" i="1"/>
  <c r="X3549" i="1"/>
  <c r="W3549" i="1"/>
  <c r="V3549" i="1"/>
  <c r="X3548" i="1"/>
  <c r="W3548" i="1"/>
  <c r="V3548" i="1"/>
  <c r="X3547" i="1"/>
  <c r="W3547" i="1"/>
  <c r="V3547" i="1"/>
  <c r="W3546" i="1"/>
  <c r="X3546" i="1" s="1"/>
  <c r="V3546" i="1"/>
  <c r="W3545" i="1"/>
  <c r="X3545" i="1" s="1"/>
  <c r="V3545" i="1"/>
  <c r="W3544" i="1"/>
  <c r="X3544" i="1" s="1"/>
  <c r="V3544" i="1"/>
  <c r="X3543" i="1"/>
  <c r="W3543" i="1"/>
  <c r="V3543" i="1"/>
  <c r="W3542" i="1"/>
  <c r="X3542" i="1" s="1"/>
  <c r="V3542" i="1"/>
  <c r="X3541" i="1"/>
  <c r="W3541" i="1"/>
  <c r="V3541" i="1"/>
  <c r="X3540" i="1"/>
  <c r="W3540" i="1"/>
  <c r="V3540" i="1"/>
  <c r="X3539" i="1"/>
  <c r="W3539" i="1"/>
  <c r="V3539" i="1"/>
  <c r="W3538" i="1"/>
  <c r="X3538" i="1" s="1"/>
  <c r="V3538" i="1"/>
  <c r="W3537" i="1"/>
  <c r="X3537" i="1" s="1"/>
  <c r="V3537" i="1"/>
  <c r="W3536" i="1"/>
  <c r="X3536" i="1" s="1"/>
  <c r="V3536" i="1"/>
  <c r="X3535" i="1"/>
  <c r="W3535" i="1"/>
  <c r="V3535" i="1"/>
  <c r="W3534" i="1"/>
  <c r="X3534" i="1" s="1"/>
  <c r="V3534" i="1"/>
  <c r="X3533" i="1"/>
  <c r="W3533" i="1"/>
  <c r="V3533" i="1"/>
  <c r="X3532" i="1"/>
  <c r="W3532" i="1"/>
  <c r="V3532" i="1"/>
  <c r="X3531" i="1"/>
  <c r="W3531" i="1"/>
  <c r="V3531" i="1"/>
  <c r="W3530" i="1"/>
  <c r="X3530" i="1" s="1"/>
  <c r="V3530" i="1"/>
  <c r="W3529" i="1"/>
  <c r="X3529" i="1" s="1"/>
  <c r="V3529" i="1"/>
  <c r="W3528" i="1"/>
  <c r="X3528" i="1" s="1"/>
  <c r="V3528" i="1"/>
  <c r="X3527" i="1"/>
  <c r="W3527" i="1"/>
  <c r="V3527" i="1"/>
  <c r="W3526" i="1"/>
  <c r="X3526" i="1" s="1"/>
  <c r="V3526" i="1"/>
  <c r="X3525" i="1"/>
  <c r="W3525" i="1"/>
  <c r="V3525" i="1"/>
  <c r="X3524" i="1"/>
  <c r="W3524" i="1"/>
  <c r="V3524" i="1"/>
  <c r="X3523" i="1"/>
  <c r="W3523" i="1"/>
  <c r="V3523" i="1"/>
  <c r="W3522" i="1"/>
  <c r="X3522" i="1" s="1"/>
  <c r="V3522" i="1"/>
  <c r="W3521" i="1"/>
  <c r="X3521" i="1" s="1"/>
  <c r="V3521" i="1"/>
  <c r="W3520" i="1"/>
  <c r="X3520" i="1" s="1"/>
  <c r="V3520" i="1"/>
  <c r="X3519" i="1"/>
  <c r="W3519" i="1"/>
  <c r="V3519" i="1"/>
  <c r="W3518" i="1"/>
  <c r="X3518" i="1" s="1"/>
  <c r="V3518" i="1"/>
  <c r="X3517" i="1"/>
  <c r="W3517" i="1"/>
  <c r="V3517" i="1"/>
  <c r="X3516" i="1"/>
  <c r="W3516" i="1"/>
  <c r="V3516" i="1"/>
  <c r="X3515" i="1"/>
  <c r="W3515" i="1"/>
  <c r="V3515" i="1"/>
  <c r="W3514" i="1"/>
  <c r="X3514" i="1" s="1"/>
  <c r="V3514" i="1"/>
  <c r="W3513" i="1"/>
  <c r="X3513" i="1" s="1"/>
  <c r="V3513" i="1"/>
  <c r="W3512" i="1"/>
  <c r="X3512" i="1" s="1"/>
  <c r="V3512" i="1"/>
  <c r="X3511" i="1"/>
  <c r="W3511" i="1"/>
  <c r="V3511" i="1"/>
  <c r="W3510" i="1"/>
  <c r="X3510" i="1" s="1"/>
  <c r="V3510" i="1"/>
  <c r="X3509" i="1"/>
  <c r="W3509" i="1"/>
  <c r="V3509" i="1"/>
  <c r="X3508" i="1"/>
  <c r="W3508" i="1"/>
  <c r="V3508" i="1"/>
  <c r="X3507" i="1"/>
  <c r="W3507" i="1"/>
  <c r="V3507" i="1"/>
  <c r="W3506" i="1"/>
  <c r="X3506" i="1" s="1"/>
  <c r="V3506" i="1"/>
  <c r="W3505" i="1"/>
  <c r="X3505" i="1" s="1"/>
  <c r="V3505" i="1"/>
  <c r="W3504" i="1"/>
  <c r="X3504" i="1" s="1"/>
  <c r="V3504" i="1"/>
  <c r="X3503" i="1"/>
  <c r="W3503" i="1"/>
  <c r="V3503" i="1"/>
  <c r="W3502" i="1"/>
  <c r="X3502" i="1" s="1"/>
  <c r="V3502" i="1"/>
  <c r="X3501" i="1"/>
  <c r="W3501" i="1"/>
  <c r="V3501" i="1"/>
  <c r="X3500" i="1"/>
  <c r="W3500" i="1"/>
  <c r="V3500" i="1"/>
  <c r="X3499" i="1"/>
  <c r="W3499" i="1"/>
  <c r="V3499" i="1"/>
  <c r="W3498" i="1"/>
  <c r="X3498" i="1" s="1"/>
  <c r="V3498" i="1"/>
  <c r="W3497" i="1"/>
  <c r="X3497" i="1" s="1"/>
  <c r="V3497" i="1"/>
  <c r="W3496" i="1"/>
  <c r="X3496" i="1" s="1"/>
  <c r="V3496" i="1"/>
  <c r="X3495" i="1"/>
  <c r="W3495" i="1"/>
  <c r="V3495" i="1"/>
  <c r="W3494" i="1"/>
  <c r="X3494" i="1" s="1"/>
  <c r="V3494" i="1"/>
  <c r="X3493" i="1"/>
  <c r="W3493" i="1"/>
  <c r="V3493" i="1"/>
  <c r="X3492" i="1"/>
  <c r="W3492" i="1"/>
  <c r="V3492" i="1"/>
  <c r="X3491" i="1"/>
  <c r="W3491" i="1"/>
  <c r="V3491" i="1"/>
  <c r="W3490" i="1"/>
  <c r="X3490" i="1" s="1"/>
  <c r="V3490" i="1"/>
  <c r="W3489" i="1"/>
  <c r="X3489" i="1" s="1"/>
  <c r="V3489" i="1"/>
  <c r="W3488" i="1"/>
  <c r="X3488" i="1" s="1"/>
  <c r="V3488" i="1"/>
  <c r="X3487" i="1"/>
  <c r="W3487" i="1"/>
  <c r="V3487" i="1"/>
  <c r="W3486" i="1"/>
  <c r="X3486" i="1" s="1"/>
  <c r="V3486" i="1"/>
  <c r="X3485" i="1"/>
  <c r="W3485" i="1"/>
  <c r="V3485" i="1"/>
  <c r="X3484" i="1"/>
  <c r="W3484" i="1"/>
  <c r="V3484" i="1"/>
  <c r="X3483" i="1"/>
  <c r="W3483" i="1"/>
  <c r="V3483" i="1"/>
  <c r="W3482" i="1"/>
  <c r="X3482" i="1" s="1"/>
  <c r="V3482" i="1"/>
  <c r="W3481" i="1"/>
  <c r="X3481" i="1" s="1"/>
  <c r="V3481" i="1"/>
  <c r="W3480" i="1"/>
  <c r="X3480" i="1" s="1"/>
  <c r="V3480" i="1"/>
  <c r="X3479" i="1"/>
  <c r="W3479" i="1"/>
  <c r="V3479" i="1"/>
  <c r="W3478" i="1"/>
  <c r="X3478" i="1" s="1"/>
  <c r="V3478" i="1"/>
  <c r="X3477" i="1"/>
  <c r="W3477" i="1"/>
  <c r="V3477" i="1"/>
  <c r="X3476" i="1"/>
  <c r="W3476" i="1"/>
  <c r="V3476" i="1"/>
  <c r="X3475" i="1"/>
  <c r="W3475" i="1"/>
  <c r="V3475" i="1"/>
  <c r="W3474" i="1"/>
  <c r="X3474" i="1" s="1"/>
  <c r="V3474" i="1"/>
  <c r="W3473" i="1"/>
  <c r="X3473" i="1" s="1"/>
  <c r="V3473" i="1"/>
  <c r="W3472" i="1"/>
  <c r="X3472" i="1" s="1"/>
  <c r="V3472" i="1"/>
  <c r="X3471" i="1"/>
  <c r="W3471" i="1"/>
  <c r="V3471" i="1"/>
  <c r="W3470" i="1"/>
  <c r="X3470" i="1" s="1"/>
  <c r="V3470" i="1"/>
  <c r="X3469" i="1"/>
  <c r="W3469" i="1"/>
  <c r="V3469" i="1"/>
  <c r="X3468" i="1"/>
  <c r="W3468" i="1"/>
  <c r="V3468" i="1"/>
  <c r="X3467" i="1"/>
  <c r="W3467" i="1"/>
  <c r="V3467" i="1"/>
  <c r="W3466" i="1"/>
  <c r="X3466" i="1" s="1"/>
  <c r="V3466" i="1"/>
  <c r="W3465" i="1"/>
  <c r="X3465" i="1" s="1"/>
  <c r="V3465" i="1"/>
  <c r="W3464" i="1"/>
  <c r="X3464" i="1" s="1"/>
  <c r="V3464" i="1"/>
  <c r="X3463" i="1"/>
  <c r="W3463" i="1"/>
  <c r="V3463" i="1"/>
  <c r="W3462" i="1"/>
  <c r="X3462" i="1" s="1"/>
  <c r="V3462" i="1"/>
  <c r="X3461" i="1"/>
  <c r="W3461" i="1"/>
  <c r="V3461" i="1"/>
  <c r="W3460" i="1"/>
  <c r="X3460" i="1" s="1"/>
  <c r="V3460" i="1"/>
  <c r="X3459" i="1"/>
  <c r="W3459" i="1"/>
  <c r="V3459" i="1"/>
  <c r="W3458" i="1"/>
  <c r="X3458" i="1" s="1"/>
  <c r="V3458" i="1"/>
  <c r="W3457" i="1"/>
  <c r="X3457" i="1" s="1"/>
  <c r="V3457" i="1"/>
  <c r="W3456" i="1"/>
  <c r="X3456" i="1" s="1"/>
  <c r="V3456" i="1"/>
  <c r="X3455" i="1"/>
  <c r="W3455" i="1"/>
  <c r="V3455" i="1"/>
  <c r="W3454" i="1"/>
  <c r="X3454" i="1" s="1"/>
  <c r="V3454" i="1"/>
  <c r="X3453" i="1"/>
  <c r="W3453" i="1"/>
  <c r="V3453" i="1"/>
  <c r="W3452" i="1"/>
  <c r="X3452" i="1" s="1"/>
  <c r="V3452" i="1"/>
  <c r="X3451" i="1"/>
  <c r="W3451" i="1"/>
  <c r="V3451" i="1"/>
  <c r="W3450" i="1"/>
  <c r="X3450" i="1" s="1"/>
  <c r="V3450" i="1"/>
  <c r="W3449" i="1"/>
  <c r="X3449" i="1" s="1"/>
  <c r="V3449" i="1"/>
  <c r="W3448" i="1"/>
  <c r="X3448" i="1" s="1"/>
  <c r="V3448" i="1"/>
  <c r="X3447" i="1"/>
  <c r="W3447" i="1"/>
  <c r="V3447" i="1"/>
  <c r="W3446" i="1"/>
  <c r="X3446" i="1" s="1"/>
  <c r="V3446" i="1"/>
  <c r="X3445" i="1"/>
  <c r="W3445" i="1"/>
  <c r="V3445" i="1"/>
  <c r="W3444" i="1"/>
  <c r="X3444" i="1" s="1"/>
  <c r="V3444" i="1"/>
  <c r="X3443" i="1"/>
  <c r="W3443" i="1"/>
  <c r="V3443" i="1"/>
  <c r="W3442" i="1"/>
  <c r="X3442" i="1" s="1"/>
  <c r="V3442" i="1"/>
  <c r="W3441" i="1"/>
  <c r="X3441" i="1" s="1"/>
  <c r="V3441" i="1"/>
  <c r="W3440" i="1"/>
  <c r="X3440" i="1" s="1"/>
  <c r="V3440" i="1"/>
  <c r="X3439" i="1"/>
  <c r="W3439" i="1"/>
  <c r="V3439" i="1"/>
  <c r="W3438" i="1"/>
  <c r="X3438" i="1" s="1"/>
  <c r="V3438" i="1"/>
  <c r="X3437" i="1"/>
  <c r="W3437" i="1"/>
  <c r="V3437" i="1"/>
  <c r="X3436" i="1"/>
  <c r="W3436" i="1"/>
  <c r="V3436" i="1"/>
  <c r="X3435" i="1"/>
  <c r="W3435" i="1"/>
  <c r="V3435" i="1"/>
  <c r="W3434" i="1"/>
  <c r="X3434" i="1" s="1"/>
  <c r="V3434" i="1"/>
  <c r="W3433" i="1"/>
  <c r="X3433" i="1" s="1"/>
  <c r="V3433" i="1"/>
  <c r="W3432" i="1"/>
  <c r="X3432" i="1" s="1"/>
  <c r="V3432" i="1"/>
  <c r="X3431" i="1"/>
  <c r="W3431" i="1"/>
  <c r="V3431" i="1"/>
  <c r="W3430" i="1"/>
  <c r="X3430" i="1" s="1"/>
  <c r="V3430" i="1"/>
  <c r="X3429" i="1"/>
  <c r="W3429" i="1"/>
  <c r="V3429" i="1"/>
  <c r="W3428" i="1"/>
  <c r="X3428" i="1" s="1"/>
  <c r="V3428" i="1"/>
  <c r="X3427" i="1"/>
  <c r="W3427" i="1"/>
  <c r="V3427" i="1"/>
  <c r="W3426" i="1"/>
  <c r="X3426" i="1" s="1"/>
  <c r="V3426" i="1"/>
  <c r="W3425" i="1"/>
  <c r="X3425" i="1" s="1"/>
  <c r="V3425" i="1"/>
  <c r="X3424" i="1"/>
  <c r="W3424" i="1"/>
  <c r="V3424" i="1"/>
  <c r="X3423" i="1"/>
  <c r="W3423" i="1"/>
  <c r="V3423" i="1"/>
  <c r="X3422" i="1"/>
  <c r="W3422" i="1"/>
  <c r="V3422" i="1"/>
  <c r="W3421" i="1"/>
  <c r="X3421" i="1" s="1"/>
  <c r="V3421" i="1"/>
  <c r="X3420" i="1"/>
  <c r="W3420" i="1"/>
  <c r="V3420" i="1"/>
  <c r="W3419" i="1"/>
  <c r="X3419" i="1" s="1"/>
  <c r="V3419" i="1"/>
  <c r="W3418" i="1"/>
  <c r="X3418" i="1" s="1"/>
  <c r="V3418" i="1"/>
  <c r="W3417" i="1"/>
  <c r="X3417" i="1" s="1"/>
  <c r="V3417" i="1"/>
  <c r="X3416" i="1"/>
  <c r="W3416" i="1"/>
  <c r="V3416" i="1"/>
  <c r="X3415" i="1"/>
  <c r="W3415" i="1"/>
  <c r="V3415" i="1"/>
  <c r="X3414" i="1"/>
  <c r="W3414" i="1"/>
  <c r="V3414" i="1"/>
  <c r="W3413" i="1"/>
  <c r="X3413" i="1" s="1"/>
  <c r="V3413" i="1"/>
  <c r="X3412" i="1"/>
  <c r="W3412" i="1"/>
  <c r="V3412" i="1"/>
  <c r="W3411" i="1"/>
  <c r="X3411" i="1" s="1"/>
  <c r="V3411" i="1"/>
  <c r="W3410" i="1"/>
  <c r="X3410" i="1" s="1"/>
  <c r="V3410" i="1"/>
  <c r="W3409" i="1"/>
  <c r="X3409" i="1" s="1"/>
  <c r="V3409" i="1"/>
  <c r="X3408" i="1"/>
  <c r="W3408" i="1"/>
  <c r="V3408" i="1"/>
  <c r="X3407" i="1"/>
  <c r="W3407" i="1"/>
  <c r="V3407" i="1"/>
  <c r="X3406" i="1"/>
  <c r="W3406" i="1"/>
  <c r="V3406" i="1"/>
  <c r="W3405" i="1"/>
  <c r="X3405" i="1" s="1"/>
  <c r="V3405" i="1"/>
  <c r="X3404" i="1"/>
  <c r="W3404" i="1"/>
  <c r="V3404" i="1"/>
  <c r="W3403" i="1"/>
  <c r="X3403" i="1" s="1"/>
  <c r="V3403" i="1"/>
  <c r="W3402" i="1"/>
  <c r="X3402" i="1" s="1"/>
  <c r="V3402" i="1"/>
  <c r="W3401" i="1"/>
  <c r="X3401" i="1" s="1"/>
  <c r="V3401" i="1"/>
  <c r="X3400" i="1"/>
  <c r="W3400" i="1"/>
  <c r="V3400" i="1"/>
  <c r="X3399" i="1"/>
  <c r="W3399" i="1"/>
  <c r="V3399" i="1"/>
  <c r="X3398" i="1"/>
  <c r="W3398" i="1"/>
  <c r="V3398" i="1"/>
  <c r="W3397" i="1"/>
  <c r="X3397" i="1" s="1"/>
  <c r="V3397" i="1"/>
  <c r="X3396" i="1"/>
  <c r="W3396" i="1"/>
  <c r="V3396" i="1"/>
  <c r="W3395" i="1"/>
  <c r="X3395" i="1" s="1"/>
  <c r="V3395" i="1"/>
  <c r="W3394" i="1"/>
  <c r="X3394" i="1" s="1"/>
  <c r="V3394" i="1"/>
  <c r="W3393" i="1"/>
  <c r="X3393" i="1" s="1"/>
  <c r="V3393" i="1"/>
  <c r="X3392" i="1"/>
  <c r="W3392" i="1"/>
  <c r="V3392" i="1"/>
  <c r="X3391" i="1"/>
  <c r="W3391" i="1"/>
  <c r="V3391" i="1"/>
  <c r="X3390" i="1"/>
  <c r="W3390" i="1"/>
  <c r="V3390" i="1"/>
  <c r="W3389" i="1"/>
  <c r="X3389" i="1" s="1"/>
  <c r="V3389" i="1"/>
  <c r="X3388" i="1"/>
  <c r="W3388" i="1"/>
  <c r="V3388" i="1"/>
  <c r="W3387" i="1"/>
  <c r="X3387" i="1" s="1"/>
  <c r="V3387" i="1"/>
  <c r="W3386" i="1"/>
  <c r="X3386" i="1" s="1"/>
  <c r="V3386" i="1"/>
  <c r="W3385" i="1"/>
  <c r="X3385" i="1" s="1"/>
  <c r="V3385" i="1"/>
  <c r="X3384" i="1"/>
  <c r="W3384" i="1"/>
  <c r="V3384" i="1"/>
  <c r="X3383" i="1"/>
  <c r="W3383" i="1"/>
  <c r="V3383" i="1"/>
  <c r="X3382" i="1"/>
  <c r="W3382" i="1"/>
  <c r="V3382" i="1"/>
  <c r="W3381" i="1"/>
  <c r="X3381" i="1" s="1"/>
  <c r="V3381" i="1"/>
  <c r="X3380" i="1"/>
  <c r="W3380" i="1"/>
  <c r="V3380" i="1"/>
  <c r="W3379" i="1"/>
  <c r="X3379" i="1" s="1"/>
  <c r="V3379" i="1"/>
  <c r="W3378" i="1"/>
  <c r="X3378" i="1" s="1"/>
  <c r="V3378" i="1"/>
  <c r="W3377" i="1"/>
  <c r="X3377" i="1" s="1"/>
  <c r="V3377" i="1"/>
  <c r="X3376" i="1"/>
  <c r="W3376" i="1"/>
  <c r="V3376" i="1"/>
  <c r="X3375" i="1"/>
  <c r="W3375" i="1"/>
  <c r="V3375" i="1"/>
  <c r="X3374" i="1"/>
  <c r="W3374" i="1"/>
  <c r="V3374" i="1"/>
  <c r="W3373" i="1"/>
  <c r="X3373" i="1" s="1"/>
  <c r="V3373" i="1"/>
  <c r="X3372" i="1"/>
  <c r="W3372" i="1"/>
  <c r="V3372" i="1"/>
  <c r="W3371" i="1"/>
  <c r="X3371" i="1" s="1"/>
  <c r="V3371" i="1"/>
  <c r="W3370" i="1"/>
  <c r="X3370" i="1" s="1"/>
  <c r="V3370" i="1"/>
  <c r="W3369" i="1"/>
  <c r="X3369" i="1" s="1"/>
  <c r="V3369" i="1"/>
  <c r="X3368" i="1"/>
  <c r="W3368" i="1"/>
  <c r="V3368" i="1"/>
  <c r="X3367" i="1"/>
  <c r="W3367" i="1"/>
  <c r="V3367" i="1"/>
  <c r="X3366" i="1"/>
  <c r="W3366" i="1"/>
  <c r="V3366" i="1"/>
  <c r="W3365" i="1"/>
  <c r="X3365" i="1" s="1"/>
  <c r="V3365" i="1"/>
  <c r="X3364" i="1"/>
  <c r="W3364" i="1"/>
  <c r="V3364" i="1"/>
  <c r="W3363" i="1"/>
  <c r="X3363" i="1" s="1"/>
  <c r="V3363" i="1"/>
  <c r="W3362" i="1"/>
  <c r="X3362" i="1" s="1"/>
  <c r="V3362" i="1"/>
  <c r="W3361" i="1"/>
  <c r="X3361" i="1" s="1"/>
  <c r="V3361" i="1"/>
  <c r="X3360" i="1"/>
  <c r="W3360" i="1"/>
  <c r="V3360" i="1"/>
  <c r="X3359" i="1"/>
  <c r="W3359" i="1"/>
  <c r="V3359" i="1"/>
  <c r="X3358" i="1"/>
  <c r="W3358" i="1"/>
  <c r="V3358" i="1"/>
  <c r="W3357" i="1"/>
  <c r="X3357" i="1" s="1"/>
  <c r="V3357" i="1"/>
  <c r="X3356" i="1"/>
  <c r="W3356" i="1"/>
  <c r="V3356" i="1"/>
  <c r="W3355" i="1"/>
  <c r="X3355" i="1" s="1"/>
  <c r="V3355" i="1"/>
  <c r="W3354" i="1"/>
  <c r="X3354" i="1" s="1"/>
  <c r="V3354" i="1"/>
  <c r="W3353" i="1"/>
  <c r="X3353" i="1" s="1"/>
  <c r="V3353" i="1"/>
  <c r="X3352" i="1"/>
  <c r="W3352" i="1"/>
  <c r="V3352" i="1"/>
  <c r="X3351" i="1"/>
  <c r="W3351" i="1"/>
  <c r="V3351" i="1"/>
  <c r="X3350" i="1"/>
  <c r="W3350" i="1"/>
  <c r="V3350" i="1"/>
  <c r="W3349" i="1"/>
  <c r="X3349" i="1" s="1"/>
  <c r="V3349" i="1"/>
  <c r="X3348" i="1"/>
  <c r="W3348" i="1"/>
  <c r="V3348" i="1"/>
  <c r="W3347" i="1"/>
  <c r="X3347" i="1" s="1"/>
  <c r="V3347" i="1"/>
  <c r="W3346" i="1"/>
  <c r="X3346" i="1" s="1"/>
  <c r="V3346" i="1"/>
  <c r="W3345" i="1"/>
  <c r="X3345" i="1" s="1"/>
  <c r="V3345" i="1"/>
  <c r="X3344" i="1"/>
  <c r="W3344" i="1"/>
  <c r="V3344" i="1"/>
  <c r="X3343" i="1"/>
  <c r="W3343" i="1"/>
  <c r="V3343" i="1"/>
  <c r="X3342" i="1"/>
  <c r="W3342" i="1"/>
  <c r="V3342" i="1"/>
  <c r="W3341" i="1"/>
  <c r="X3341" i="1" s="1"/>
  <c r="V3341" i="1"/>
  <c r="X3340" i="1"/>
  <c r="W3340" i="1"/>
  <c r="V3340" i="1"/>
  <c r="W3339" i="1"/>
  <c r="X3339" i="1" s="1"/>
  <c r="V3339" i="1"/>
  <c r="W3338" i="1"/>
  <c r="X3338" i="1" s="1"/>
  <c r="V3338" i="1"/>
  <c r="W3337" i="1"/>
  <c r="X3337" i="1" s="1"/>
  <c r="V3337" i="1"/>
  <c r="X3336" i="1"/>
  <c r="W3336" i="1"/>
  <c r="V3336" i="1"/>
  <c r="X3335" i="1"/>
  <c r="W3335" i="1"/>
  <c r="V3335" i="1"/>
  <c r="X3334" i="1"/>
  <c r="W3334" i="1"/>
  <c r="V3334" i="1"/>
  <c r="W3333" i="1"/>
  <c r="X3333" i="1" s="1"/>
  <c r="V3333" i="1"/>
  <c r="X3332" i="1"/>
  <c r="W3332" i="1"/>
  <c r="V3332" i="1"/>
  <c r="W3331" i="1"/>
  <c r="X3331" i="1" s="1"/>
  <c r="V3331" i="1"/>
  <c r="W3330" i="1"/>
  <c r="X3330" i="1" s="1"/>
  <c r="V3330" i="1"/>
  <c r="W3329" i="1"/>
  <c r="X3329" i="1" s="1"/>
  <c r="V3329" i="1"/>
  <c r="X3328" i="1"/>
  <c r="W3328" i="1"/>
  <c r="V3328" i="1"/>
  <c r="X3327" i="1"/>
  <c r="W3327" i="1"/>
  <c r="V3327" i="1"/>
  <c r="X3326" i="1"/>
  <c r="W3326" i="1"/>
  <c r="V3326" i="1"/>
  <c r="W3325" i="1"/>
  <c r="X3325" i="1" s="1"/>
  <c r="V3325" i="1"/>
  <c r="X3324" i="1"/>
  <c r="W3324" i="1"/>
  <c r="V3324" i="1"/>
  <c r="W3323" i="1"/>
  <c r="X3323" i="1" s="1"/>
  <c r="V3323" i="1"/>
  <c r="W3322" i="1"/>
  <c r="X3322" i="1" s="1"/>
  <c r="V3322" i="1"/>
  <c r="W3321" i="1"/>
  <c r="X3321" i="1" s="1"/>
  <c r="V3321" i="1"/>
  <c r="X3320" i="1"/>
  <c r="W3320" i="1"/>
  <c r="V3320" i="1"/>
  <c r="X3319" i="1"/>
  <c r="W3319" i="1"/>
  <c r="V3319" i="1"/>
  <c r="X3318" i="1"/>
  <c r="W3318" i="1"/>
  <c r="V3318" i="1"/>
  <c r="W3317" i="1"/>
  <c r="X3317" i="1" s="1"/>
  <c r="V3317" i="1"/>
  <c r="X3316" i="1"/>
  <c r="W3316" i="1"/>
  <c r="V3316" i="1"/>
  <c r="W3315" i="1"/>
  <c r="X3315" i="1" s="1"/>
  <c r="V3315" i="1"/>
  <c r="W3314" i="1"/>
  <c r="X3314" i="1" s="1"/>
  <c r="V3314" i="1"/>
  <c r="W3313" i="1"/>
  <c r="X3313" i="1" s="1"/>
  <c r="V3313" i="1"/>
  <c r="X3312" i="1"/>
  <c r="W3312" i="1"/>
  <c r="V3312" i="1"/>
  <c r="X3311" i="1"/>
  <c r="W3311" i="1"/>
  <c r="V3311" i="1"/>
  <c r="X3310" i="1"/>
  <c r="W3310" i="1"/>
  <c r="V3310" i="1"/>
  <c r="W3309" i="1"/>
  <c r="X3309" i="1" s="1"/>
  <c r="V3309" i="1"/>
  <c r="X3308" i="1"/>
  <c r="W3308" i="1"/>
  <c r="V3308" i="1"/>
  <c r="W3307" i="1"/>
  <c r="X3307" i="1" s="1"/>
  <c r="V3307" i="1"/>
  <c r="W3306" i="1"/>
  <c r="X3306" i="1" s="1"/>
  <c r="V3306" i="1"/>
  <c r="W3305" i="1"/>
  <c r="X3305" i="1" s="1"/>
  <c r="V3305" i="1"/>
  <c r="X3304" i="1"/>
  <c r="W3304" i="1"/>
  <c r="V3304" i="1"/>
  <c r="X3303" i="1"/>
  <c r="W3303" i="1"/>
  <c r="V3303" i="1"/>
  <c r="X3302" i="1"/>
  <c r="W3302" i="1"/>
  <c r="V3302" i="1"/>
  <c r="W3301" i="1"/>
  <c r="X3301" i="1" s="1"/>
  <c r="V3301" i="1"/>
  <c r="X3300" i="1"/>
  <c r="W3300" i="1"/>
  <c r="V3300" i="1"/>
  <c r="W3299" i="1"/>
  <c r="X3299" i="1" s="1"/>
  <c r="V3299" i="1"/>
  <c r="W3298" i="1"/>
  <c r="X3298" i="1" s="1"/>
  <c r="V3298" i="1"/>
  <c r="W3297" i="1"/>
  <c r="X3297" i="1" s="1"/>
  <c r="V3297" i="1"/>
  <c r="X3296" i="1"/>
  <c r="W3296" i="1"/>
  <c r="V3296" i="1"/>
  <c r="X3295" i="1"/>
  <c r="W3295" i="1"/>
  <c r="V3295" i="1"/>
  <c r="X3294" i="1"/>
  <c r="W3294" i="1"/>
  <c r="V3294" i="1"/>
  <c r="W3293" i="1"/>
  <c r="X3293" i="1" s="1"/>
  <c r="V3293" i="1"/>
  <c r="X3292" i="1"/>
  <c r="W3292" i="1"/>
  <c r="V3292" i="1"/>
  <c r="W3291" i="1"/>
  <c r="X3291" i="1" s="1"/>
  <c r="V3291" i="1"/>
  <c r="W3290" i="1"/>
  <c r="X3290" i="1" s="1"/>
  <c r="V3290" i="1"/>
  <c r="W3289" i="1"/>
  <c r="X3289" i="1" s="1"/>
  <c r="V3289" i="1"/>
  <c r="X3288" i="1"/>
  <c r="W3288" i="1"/>
  <c r="V3288" i="1"/>
  <c r="X3287" i="1"/>
  <c r="W3287" i="1"/>
  <c r="V3287" i="1"/>
  <c r="X3286" i="1"/>
  <c r="W3286" i="1"/>
  <c r="V3286" i="1"/>
  <c r="W3285" i="1"/>
  <c r="X3285" i="1" s="1"/>
  <c r="V3285" i="1"/>
  <c r="X3284" i="1"/>
  <c r="W3284" i="1"/>
  <c r="V3284" i="1"/>
  <c r="W3283" i="1"/>
  <c r="X3283" i="1" s="1"/>
  <c r="V3283" i="1"/>
  <c r="W3282" i="1"/>
  <c r="X3282" i="1" s="1"/>
  <c r="V3282" i="1"/>
  <c r="W3281" i="1"/>
  <c r="X3281" i="1" s="1"/>
  <c r="V3281" i="1"/>
  <c r="X3280" i="1"/>
  <c r="W3280" i="1"/>
  <c r="V3280" i="1"/>
  <c r="X3279" i="1"/>
  <c r="W3279" i="1"/>
  <c r="V3279" i="1"/>
  <c r="X3278" i="1"/>
  <c r="W3278" i="1"/>
  <c r="V3278" i="1"/>
  <c r="W3277" i="1"/>
  <c r="X3277" i="1" s="1"/>
  <c r="V3277" i="1"/>
  <c r="X3276" i="1"/>
  <c r="W3276" i="1"/>
  <c r="V3276" i="1"/>
  <c r="W3275" i="1"/>
  <c r="X3275" i="1" s="1"/>
  <c r="V3275" i="1"/>
  <c r="W3274" i="1"/>
  <c r="X3274" i="1" s="1"/>
  <c r="V3274" i="1"/>
  <c r="W3273" i="1"/>
  <c r="X3273" i="1" s="1"/>
  <c r="V3273" i="1"/>
  <c r="X3272" i="1"/>
  <c r="W3272" i="1"/>
  <c r="V3272" i="1"/>
  <c r="X3271" i="1"/>
  <c r="W3271" i="1"/>
  <c r="V3271" i="1"/>
  <c r="X3270" i="1"/>
  <c r="W3270" i="1"/>
  <c r="V3270" i="1"/>
  <c r="W3269" i="1"/>
  <c r="X3269" i="1" s="1"/>
  <c r="V3269" i="1"/>
  <c r="X3268" i="1"/>
  <c r="W3268" i="1"/>
  <c r="V3268" i="1"/>
  <c r="W3267" i="1"/>
  <c r="X3267" i="1" s="1"/>
  <c r="V3267" i="1"/>
  <c r="W3266" i="1"/>
  <c r="X3266" i="1" s="1"/>
  <c r="V3266" i="1"/>
  <c r="W3265" i="1"/>
  <c r="X3265" i="1" s="1"/>
  <c r="V3265" i="1"/>
  <c r="X3264" i="1"/>
  <c r="W3264" i="1"/>
  <c r="V3264" i="1"/>
  <c r="X3263" i="1"/>
  <c r="W3263" i="1"/>
  <c r="V3263" i="1"/>
  <c r="X3262" i="1"/>
  <c r="W3262" i="1"/>
  <c r="V3262" i="1"/>
  <c r="W3261" i="1"/>
  <c r="X3261" i="1" s="1"/>
  <c r="V3261" i="1"/>
  <c r="X3260" i="1"/>
  <c r="W3260" i="1"/>
  <c r="V3260" i="1"/>
  <c r="W3259" i="1"/>
  <c r="X3259" i="1" s="1"/>
  <c r="V3259" i="1"/>
  <c r="W3258" i="1"/>
  <c r="X3258" i="1" s="1"/>
  <c r="V3258" i="1"/>
  <c r="W3257" i="1"/>
  <c r="X3257" i="1" s="1"/>
  <c r="V3257" i="1"/>
  <c r="X3256" i="1"/>
  <c r="W3256" i="1"/>
  <c r="V3256" i="1"/>
  <c r="X3255" i="1"/>
  <c r="W3255" i="1"/>
  <c r="V3255" i="1"/>
  <c r="X3254" i="1"/>
  <c r="W3254" i="1"/>
  <c r="V3254" i="1"/>
  <c r="W3253" i="1"/>
  <c r="X3253" i="1" s="1"/>
  <c r="V3253" i="1"/>
  <c r="X3252" i="1"/>
  <c r="W3252" i="1"/>
  <c r="V3252" i="1"/>
  <c r="W3251" i="1"/>
  <c r="X3251" i="1" s="1"/>
  <c r="V3251" i="1"/>
  <c r="W3250" i="1"/>
  <c r="X3250" i="1" s="1"/>
  <c r="V3250" i="1"/>
  <c r="W3249" i="1"/>
  <c r="X3249" i="1" s="1"/>
  <c r="V3249" i="1"/>
  <c r="X3248" i="1"/>
  <c r="W3248" i="1"/>
  <c r="V3248" i="1"/>
  <c r="X3247" i="1"/>
  <c r="W3247" i="1"/>
  <c r="V3247" i="1"/>
  <c r="X3246" i="1"/>
  <c r="W3246" i="1"/>
  <c r="V3246" i="1"/>
  <c r="W3245" i="1"/>
  <c r="X3245" i="1" s="1"/>
  <c r="V3245" i="1"/>
  <c r="X3244" i="1"/>
  <c r="W3244" i="1"/>
  <c r="V3244" i="1"/>
  <c r="W3243" i="1"/>
  <c r="X3243" i="1" s="1"/>
  <c r="V3243" i="1"/>
  <c r="W3242" i="1"/>
  <c r="X3242" i="1" s="1"/>
  <c r="V3242" i="1"/>
  <c r="W3241" i="1"/>
  <c r="X3241" i="1" s="1"/>
  <c r="V3241" i="1"/>
  <c r="X3240" i="1"/>
  <c r="W3240" i="1"/>
  <c r="V3240" i="1"/>
  <c r="X3239" i="1"/>
  <c r="W3239" i="1"/>
  <c r="V3239" i="1"/>
  <c r="X3238" i="1"/>
  <c r="W3238" i="1"/>
  <c r="V3238" i="1"/>
  <c r="W3237" i="1"/>
  <c r="X3237" i="1" s="1"/>
  <c r="V3237" i="1"/>
  <c r="X3236" i="1"/>
  <c r="W3236" i="1"/>
  <c r="V3236" i="1"/>
  <c r="W3235" i="1"/>
  <c r="X3235" i="1" s="1"/>
  <c r="V3235" i="1"/>
  <c r="W3234" i="1"/>
  <c r="X3234" i="1" s="1"/>
  <c r="V3234" i="1"/>
  <c r="W3233" i="1"/>
  <c r="X3233" i="1" s="1"/>
  <c r="V3233" i="1"/>
  <c r="X3232" i="1"/>
  <c r="W3232" i="1"/>
  <c r="V3232" i="1"/>
  <c r="X3231" i="1"/>
  <c r="W3231" i="1"/>
  <c r="V3231" i="1"/>
  <c r="X3230" i="1"/>
  <c r="W3230" i="1"/>
  <c r="V3230" i="1"/>
  <c r="W3229" i="1"/>
  <c r="X3229" i="1" s="1"/>
  <c r="V3229" i="1"/>
  <c r="X3228" i="1"/>
  <c r="W3228" i="1"/>
  <c r="V3228" i="1"/>
  <c r="W3227" i="1"/>
  <c r="X3227" i="1" s="1"/>
  <c r="V3227" i="1"/>
  <c r="W3226" i="1"/>
  <c r="X3226" i="1" s="1"/>
  <c r="V3226" i="1"/>
  <c r="W3225" i="1"/>
  <c r="X3225" i="1" s="1"/>
  <c r="V3225" i="1"/>
  <c r="X3224" i="1"/>
  <c r="W3224" i="1"/>
  <c r="V3224" i="1"/>
  <c r="X3223" i="1"/>
  <c r="W3223" i="1"/>
  <c r="V3223" i="1"/>
  <c r="X3222" i="1"/>
  <c r="W3222" i="1"/>
  <c r="V3222" i="1"/>
  <c r="W3221" i="1"/>
  <c r="X3221" i="1" s="1"/>
  <c r="V3221" i="1"/>
  <c r="X3220" i="1"/>
  <c r="W3220" i="1"/>
  <c r="V3220" i="1"/>
  <c r="W3219" i="1"/>
  <c r="X3219" i="1" s="1"/>
  <c r="V3219" i="1"/>
  <c r="W3218" i="1"/>
  <c r="X3218" i="1" s="1"/>
  <c r="V3218" i="1"/>
  <c r="W3217" i="1"/>
  <c r="X3217" i="1" s="1"/>
  <c r="V3217" i="1"/>
  <c r="X3216" i="1"/>
  <c r="W3216" i="1"/>
  <c r="V3216" i="1"/>
  <c r="X3215" i="1"/>
  <c r="W3215" i="1"/>
  <c r="V3215" i="1"/>
  <c r="X3214" i="1"/>
  <c r="W3214" i="1"/>
  <c r="V3214" i="1"/>
  <c r="W3213" i="1"/>
  <c r="X3213" i="1" s="1"/>
  <c r="V3213" i="1"/>
  <c r="X3212" i="1"/>
  <c r="W3212" i="1"/>
  <c r="V3212" i="1"/>
  <c r="W3211" i="1"/>
  <c r="X3211" i="1" s="1"/>
  <c r="V3211" i="1"/>
  <c r="W3210" i="1"/>
  <c r="X3210" i="1" s="1"/>
  <c r="V3210" i="1"/>
  <c r="W3209" i="1"/>
  <c r="X3209" i="1" s="1"/>
  <c r="V3209" i="1"/>
  <c r="X3208" i="1"/>
  <c r="W3208" i="1"/>
  <c r="V3208" i="1"/>
  <c r="X3207" i="1"/>
  <c r="W3207" i="1"/>
  <c r="V3207" i="1"/>
  <c r="X3206" i="1"/>
  <c r="W3206" i="1"/>
  <c r="V3206" i="1"/>
  <c r="W3205" i="1"/>
  <c r="X3205" i="1" s="1"/>
  <c r="V3205" i="1"/>
  <c r="X3204" i="1"/>
  <c r="W3204" i="1"/>
  <c r="V3204" i="1"/>
  <c r="W3203" i="1"/>
  <c r="X3203" i="1" s="1"/>
  <c r="V3203" i="1"/>
  <c r="W3202" i="1"/>
  <c r="X3202" i="1" s="1"/>
  <c r="V3202" i="1"/>
  <c r="W3201" i="1"/>
  <c r="X3201" i="1" s="1"/>
  <c r="V3201" i="1"/>
  <c r="X3200" i="1"/>
  <c r="W3200" i="1"/>
  <c r="V3200" i="1"/>
  <c r="X3199" i="1"/>
  <c r="W3199" i="1"/>
  <c r="V3199" i="1"/>
  <c r="X3198" i="1"/>
  <c r="W3198" i="1"/>
  <c r="V3198" i="1"/>
  <c r="W3197" i="1"/>
  <c r="X3197" i="1" s="1"/>
  <c r="V3197" i="1"/>
  <c r="X3196" i="1"/>
  <c r="W3196" i="1"/>
  <c r="V3196" i="1"/>
  <c r="W3195" i="1"/>
  <c r="X3195" i="1" s="1"/>
  <c r="V3195" i="1"/>
  <c r="W3194" i="1"/>
  <c r="X3194" i="1" s="1"/>
  <c r="V3194" i="1"/>
  <c r="W3193" i="1"/>
  <c r="X3193" i="1" s="1"/>
  <c r="V3193" i="1"/>
  <c r="X3192" i="1"/>
  <c r="W3192" i="1"/>
  <c r="V3192" i="1"/>
  <c r="X3191" i="1"/>
  <c r="W3191" i="1"/>
  <c r="V3191" i="1"/>
  <c r="X3190" i="1"/>
  <c r="W3190" i="1"/>
  <c r="V3190" i="1"/>
  <c r="W3189" i="1"/>
  <c r="X3189" i="1" s="1"/>
  <c r="V3189" i="1"/>
  <c r="X3188" i="1"/>
  <c r="W3188" i="1"/>
  <c r="V3188" i="1"/>
  <c r="W3187" i="1"/>
  <c r="X3187" i="1" s="1"/>
  <c r="V3187" i="1"/>
  <c r="W3186" i="1"/>
  <c r="X3186" i="1" s="1"/>
  <c r="V3186" i="1"/>
  <c r="W3185" i="1"/>
  <c r="X3185" i="1" s="1"/>
  <c r="V3185" i="1"/>
  <c r="X3184" i="1"/>
  <c r="W3184" i="1"/>
  <c r="V3184" i="1"/>
  <c r="X3183" i="1"/>
  <c r="W3183" i="1"/>
  <c r="V3183" i="1"/>
  <c r="X3182" i="1"/>
  <c r="W3182" i="1"/>
  <c r="V3182" i="1"/>
  <c r="W3181" i="1"/>
  <c r="X3181" i="1" s="1"/>
  <c r="V3181" i="1"/>
  <c r="X3180" i="1"/>
  <c r="W3180" i="1"/>
  <c r="V3180" i="1"/>
  <c r="W3179" i="1"/>
  <c r="X3179" i="1" s="1"/>
  <c r="V3179" i="1"/>
  <c r="W3178" i="1"/>
  <c r="X3178" i="1" s="1"/>
  <c r="V3178" i="1"/>
  <c r="W3177" i="1"/>
  <c r="X3177" i="1" s="1"/>
  <c r="V3177" i="1"/>
  <c r="X3176" i="1"/>
  <c r="W3176" i="1"/>
  <c r="V3176" i="1"/>
  <c r="X3175" i="1"/>
  <c r="W3175" i="1"/>
  <c r="V3175" i="1"/>
  <c r="X3174" i="1"/>
  <c r="W3174" i="1"/>
  <c r="V3174" i="1"/>
  <c r="W3173" i="1"/>
  <c r="X3173" i="1" s="1"/>
  <c r="V3173" i="1"/>
  <c r="X3172" i="1"/>
  <c r="W3172" i="1"/>
  <c r="V3172" i="1"/>
  <c r="W3171" i="1"/>
  <c r="X3171" i="1" s="1"/>
  <c r="V3171" i="1"/>
  <c r="W3170" i="1"/>
  <c r="X3170" i="1" s="1"/>
  <c r="V3170" i="1"/>
  <c r="W3169" i="1"/>
  <c r="X3169" i="1" s="1"/>
  <c r="V3169" i="1"/>
  <c r="X3168" i="1"/>
  <c r="W3168" i="1"/>
  <c r="V3168" i="1"/>
  <c r="X3167" i="1"/>
  <c r="W3167" i="1"/>
  <c r="V3167" i="1"/>
  <c r="X3166" i="1"/>
  <c r="W3166" i="1"/>
  <c r="V3166" i="1"/>
  <c r="W3165" i="1"/>
  <c r="X3165" i="1" s="1"/>
  <c r="V3165" i="1"/>
  <c r="X3164" i="1"/>
  <c r="W3164" i="1"/>
  <c r="V3164" i="1"/>
  <c r="W3163" i="1"/>
  <c r="X3163" i="1" s="1"/>
  <c r="V3163" i="1"/>
  <c r="W3162" i="1"/>
  <c r="X3162" i="1" s="1"/>
  <c r="V3162" i="1"/>
  <c r="W3161" i="1"/>
  <c r="X3161" i="1" s="1"/>
  <c r="V3161" i="1"/>
  <c r="X3160" i="1"/>
  <c r="W3160" i="1"/>
  <c r="V3160" i="1"/>
  <c r="X3159" i="1"/>
  <c r="W3159" i="1"/>
  <c r="V3159" i="1"/>
  <c r="X3158" i="1"/>
  <c r="W3158" i="1"/>
  <c r="V3158" i="1"/>
  <c r="W3157" i="1"/>
  <c r="X3157" i="1" s="1"/>
  <c r="V3157" i="1"/>
  <c r="X3156" i="1"/>
  <c r="W3156" i="1"/>
  <c r="V3156" i="1"/>
  <c r="W3155" i="1"/>
  <c r="X3155" i="1" s="1"/>
  <c r="V3155" i="1"/>
  <c r="W3154" i="1"/>
  <c r="X3154" i="1" s="1"/>
  <c r="V3154" i="1"/>
  <c r="W3153" i="1"/>
  <c r="X3153" i="1" s="1"/>
  <c r="V3153" i="1"/>
  <c r="X3152" i="1"/>
  <c r="W3152" i="1"/>
  <c r="V3152" i="1"/>
  <c r="X3151" i="1"/>
  <c r="W3151" i="1"/>
  <c r="V3151" i="1"/>
  <c r="X3150" i="1"/>
  <c r="W3150" i="1"/>
  <c r="V3150" i="1"/>
  <c r="W3149" i="1"/>
  <c r="X3149" i="1" s="1"/>
  <c r="V3149" i="1"/>
  <c r="X3148" i="1"/>
  <c r="W3148" i="1"/>
  <c r="V3148" i="1"/>
  <c r="W3147" i="1"/>
  <c r="X3147" i="1" s="1"/>
  <c r="V3147" i="1"/>
  <c r="W3146" i="1"/>
  <c r="X3146" i="1" s="1"/>
  <c r="V3146" i="1"/>
  <c r="W3145" i="1"/>
  <c r="X3145" i="1" s="1"/>
  <c r="V3145" i="1"/>
  <c r="X3144" i="1"/>
  <c r="W3144" i="1"/>
  <c r="V3144" i="1"/>
  <c r="X3143" i="1"/>
  <c r="W3143" i="1"/>
  <c r="V3143" i="1"/>
  <c r="X3142" i="1"/>
  <c r="W3142" i="1"/>
  <c r="V3142" i="1"/>
  <c r="W3141" i="1"/>
  <c r="X3141" i="1" s="1"/>
  <c r="V3141" i="1"/>
  <c r="X3140" i="1"/>
  <c r="W3140" i="1"/>
  <c r="V3140" i="1"/>
  <c r="W3139" i="1"/>
  <c r="X3139" i="1" s="1"/>
  <c r="V3139" i="1"/>
  <c r="W3138" i="1"/>
  <c r="X3138" i="1" s="1"/>
  <c r="V3138" i="1"/>
  <c r="W3137" i="1"/>
  <c r="X3137" i="1" s="1"/>
  <c r="V3137" i="1"/>
  <c r="X3136" i="1"/>
  <c r="W3136" i="1"/>
  <c r="V3136" i="1"/>
  <c r="X3135" i="1"/>
  <c r="W3135" i="1"/>
  <c r="V3135" i="1"/>
  <c r="X3134" i="1"/>
  <c r="W3134" i="1"/>
  <c r="V3134" i="1"/>
  <c r="W3133" i="1"/>
  <c r="X3133" i="1" s="1"/>
  <c r="V3133" i="1"/>
  <c r="X3132" i="1"/>
  <c r="W3132" i="1"/>
  <c r="V3132" i="1"/>
  <c r="W3131" i="1"/>
  <c r="X3131" i="1" s="1"/>
  <c r="V3131" i="1"/>
  <c r="W3130" i="1"/>
  <c r="X3130" i="1" s="1"/>
  <c r="V3130" i="1"/>
  <c r="W3129" i="1"/>
  <c r="X3129" i="1" s="1"/>
  <c r="V3129" i="1"/>
  <c r="X3128" i="1"/>
  <c r="W3128" i="1"/>
  <c r="V3128" i="1"/>
  <c r="X3127" i="1"/>
  <c r="W3127" i="1"/>
  <c r="V3127" i="1"/>
  <c r="X3126" i="1"/>
  <c r="W3126" i="1"/>
  <c r="V3126" i="1"/>
  <c r="W3125" i="1"/>
  <c r="X3125" i="1" s="1"/>
  <c r="V3125" i="1"/>
  <c r="X3124" i="1"/>
  <c r="W3124" i="1"/>
  <c r="V3124" i="1"/>
  <c r="W3123" i="1"/>
  <c r="X3123" i="1" s="1"/>
  <c r="V3123" i="1"/>
  <c r="W3122" i="1"/>
  <c r="X3122" i="1" s="1"/>
  <c r="V3122" i="1"/>
  <c r="W3121" i="1"/>
  <c r="X3121" i="1" s="1"/>
  <c r="V3121" i="1"/>
  <c r="X3120" i="1"/>
  <c r="W3120" i="1"/>
  <c r="V3120" i="1"/>
  <c r="X3119" i="1"/>
  <c r="W3119" i="1"/>
  <c r="V3119" i="1"/>
  <c r="X3118" i="1"/>
  <c r="W3118" i="1"/>
  <c r="V3118" i="1"/>
  <c r="W3117" i="1"/>
  <c r="X3117" i="1" s="1"/>
  <c r="V3117" i="1"/>
  <c r="X3116" i="1"/>
  <c r="W3116" i="1"/>
  <c r="V3116" i="1"/>
  <c r="W3115" i="1"/>
  <c r="X3115" i="1" s="1"/>
  <c r="V3115" i="1"/>
  <c r="W3114" i="1"/>
  <c r="X3114" i="1" s="1"/>
  <c r="V3114" i="1"/>
  <c r="W3113" i="1"/>
  <c r="X3113" i="1" s="1"/>
  <c r="V3113" i="1"/>
  <c r="X3112" i="1"/>
  <c r="W3112" i="1"/>
  <c r="V3112" i="1"/>
  <c r="X3111" i="1"/>
  <c r="W3111" i="1"/>
  <c r="V3111" i="1"/>
  <c r="X3110" i="1"/>
  <c r="W3110" i="1"/>
  <c r="V3110" i="1"/>
  <c r="W3109" i="1"/>
  <c r="X3109" i="1" s="1"/>
  <c r="V3109" i="1"/>
  <c r="X3108" i="1"/>
  <c r="W3108" i="1"/>
  <c r="V3108" i="1"/>
  <c r="W3107" i="1"/>
  <c r="X3107" i="1" s="1"/>
  <c r="V3107" i="1"/>
  <c r="W3106" i="1"/>
  <c r="X3106" i="1" s="1"/>
  <c r="V3106" i="1"/>
  <c r="W3105" i="1"/>
  <c r="X3105" i="1" s="1"/>
  <c r="V3105" i="1"/>
  <c r="X3104" i="1"/>
  <c r="W3104" i="1"/>
  <c r="V3104" i="1"/>
  <c r="X3103" i="1"/>
  <c r="W3103" i="1"/>
  <c r="V3103" i="1"/>
  <c r="X3102" i="1"/>
  <c r="W3102" i="1"/>
  <c r="V3102" i="1"/>
  <c r="X3101" i="1"/>
  <c r="W3101" i="1"/>
  <c r="V3101" i="1"/>
  <c r="X3100" i="1"/>
  <c r="W3100" i="1"/>
  <c r="V3100" i="1"/>
  <c r="W3099" i="1"/>
  <c r="X3099" i="1" s="1"/>
  <c r="V3099" i="1"/>
  <c r="W3098" i="1"/>
  <c r="X3098" i="1" s="1"/>
  <c r="V3098" i="1"/>
  <c r="W3097" i="1"/>
  <c r="X3097" i="1" s="1"/>
  <c r="V3097" i="1"/>
  <c r="X3096" i="1"/>
  <c r="W3096" i="1"/>
  <c r="V3096" i="1"/>
  <c r="X3095" i="1"/>
  <c r="W3095" i="1"/>
  <c r="V3095" i="1"/>
  <c r="X3094" i="1"/>
  <c r="W3094" i="1"/>
  <c r="V3094" i="1"/>
  <c r="X3093" i="1"/>
  <c r="W3093" i="1"/>
  <c r="V3093" i="1"/>
  <c r="X3092" i="1"/>
  <c r="W3092" i="1"/>
  <c r="V3092" i="1"/>
  <c r="W3091" i="1"/>
  <c r="X3091" i="1" s="1"/>
  <c r="V3091" i="1"/>
  <c r="W3090" i="1"/>
  <c r="X3090" i="1" s="1"/>
  <c r="V3090" i="1"/>
  <c r="W3089" i="1"/>
  <c r="X3089" i="1" s="1"/>
  <c r="V3089" i="1"/>
  <c r="X3088" i="1"/>
  <c r="W3088" i="1"/>
  <c r="V3088" i="1"/>
  <c r="X3087" i="1"/>
  <c r="W3087" i="1"/>
  <c r="V3087" i="1"/>
  <c r="X3086" i="1"/>
  <c r="W3086" i="1"/>
  <c r="V3086" i="1"/>
  <c r="W3085" i="1"/>
  <c r="X3085" i="1" s="1"/>
  <c r="V3085" i="1"/>
  <c r="X3084" i="1"/>
  <c r="W3084" i="1"/>
  <c r="V3084" i="1"/>
  <c r="W3083" i="1"/>
  <c r="X3083" i="1" s="1"/>
  <c r="V3083" i="1"/>
  <c r="W3082" i="1"/>
  <c r="X3082" i="1" s="1"/>
  <c r="V3082" i="1"/>
  <c r="W3081" i="1"/>
  <c r="X3081" i="1" s="1"/>
  <c r="V3081" i="1"/>
  <c r="X3080" i="1"/>
  <c r="W3080" i="1"/>
  <c r="V3080" i="1"/>
  <c r="X3079" i="1"/>
  <c r="W3079" i="1"/>
  <c r="V3079" i="1"/>
  <c r="X3078" i="1"/>
  <c r="W3078" i="1"/>
  <c r="V3078" i="1"/>
  <c r="W3077" i="1"/>
  <c r="X3077" i="1" s="1"/>
  <c r="V3077" i="1"/>
  <c r="X3076" i="1"/>
  <c r="W3076" i="1"/>
  <c r="V3076" i="1"/>
  <c r="W3075" i="1"/>
  <c r="X3075" i="1" s="1"/>
  <c r="V3075" i="1"/>
  <c r="W3074" i="1"/>
  <c r="X3074" i="1" s="1"/>
  <c r="V3074" i="1"/>
  <c r="W3073" i="1"/>
  <c r="X3073" i="1" s="1"/>
  <c r="V3073" i="1"/>
  <c r="X3072" i="1"/>
  <c r="W3072" i="1"/>
  <c r="V3072" i="1"/>
  <c r="X3071" i="1"/>
  <c r="W3071" i="1"/>
  <c r="V3071" i="1"/>
  <c r="X3070" i="1"/>
  <c r="W3070" i="1"/>
  <c r="V3070" i="1"/>
  <c r="W3069" i="1"/>
  <c r="X3069" i="1" s="1"/>
  <c r="V3069" i="1"/>
  <c r="X3068" i="1"/>
  <c r="W3068" i="1"/>
  <c r="V3068" i="1"/>
  <c r="W3067" i="1"/>
  <c r="X3067" i="1" s="1"/>
  <c r="V3067" i="1"/>
  <c r="W3066" i="1"/>
  <c r="X3066" i="1" s="1"/>
  <c r="V3066" i="1"/>
  <c r="W3065" i="1"/>
  <c r="X3065" i="1" s="1"/>
  <c r="V3065" i="1"/>
  <c r="X3064" i="1"/>
  <c r="W3064" i="1"/>
  <c r="V3064" i="1"/>
  <c r="X3063" i="1"/>
  <c r="W3063" i="1"/>
  <c r="V3063" i="1"/>
  <c r="X3062" i="1"/>
  <c r="W3062" i="1"/>
  <c r="V3062" i="1"/>
  <c r="W3061" i="1"/>
  <c r="X3061" i="1" s="1"/>
  <c r="V3061" i="1"/>
  <c r="X3060" i="1"/>
  <c r="W3060" i="1"/>
  <c r="V3060" i="1"/>
  <c r="W3059" i="1"/>
  <c r="X3059" i="1" s="1"/>
  <c r="V3059" i="1"/>
  <c r="W3058" i="1"/>
  <c r="X3058" i="1" s="1"/>
  <c r="V3058" i="1"/>
  <c r="W3057" i="1"/>
  <c r="X3057" i="1" s="1"/>
  <c r="V3057" i="1"/>
  <c r="X3056" i="1"/>
  <c r="W3056" i="1"/>
  <c r="V3056" i="1"/>
  <c r="X3055" i="1"/>
  <c r="W3055" i="1"/>
  <c r="V3055" i="1"/>
  <c r="X3054" i="1"/>
  <c r="W3054" i="1"/>
  <c r="V3054" i="1"/>
  <c r="W3053" i="1"/>
  <c r="X3053" i="1" s="1"/>
  <c r="V3053" i="1"/>
  <c r="X3052" i="1"/>
  <c r="W3052" i="1"/>
  <c r="V3052" i="1"/>
  <c r="W3051" i="1"/>
  <c r="X3051" i="1" s="1"/>
  <c r="V3051" i="1"/>
  <c r="W3050" i="1"/>
  <c r="X3050" i="1" s="1"/>
  <c r="V3050" i="1"/>
  <c r="W3049" i="1"/>
  <c r="X3049" i="1" s="1"/>
  <c r="V3049" i="1"/>
  <c r="X3048" i="1"/>
  <c r="W3048" i="1"/>
  <c r="V3048" i="1"/>
  <c r="X3047" i="1"/>
  <c r="W3047" i="1"/>
  <c r="V3047" i="1"/>
  <c r="X3046" i="1"/>
  <c r="W3046" i="1"/>
  <c r="V3046" i="1"/>
  <c r="W3045" i="1"/>
  <c r="X3045" i="1" s="1"/>
  <c r="V3045" i="1"/>
  <c r="X3044" i="1"/>
  <c r="W3044" i="1"/>
  <c r="V3044" i="1"/>
  <c r="W3043" i="1"/>
  <c r="X3043" i="1" s="1"/>
  <c r="V3043" i="1"/>
  <c r="W3042" i="1"/>
  <c r="X3042" i="1" s="1"/>
  <c r="V3042" i="1"/>
  <c r="W3041" i="1"/>
  <c r="X3041" i="1" s="1"/>
  <c r="V3041" i="1"/>
  <c r="X3040" i="1"/>
  <c r="W3040" i="1"/>
  <c r="V3040" i="1"/>
  <c r="X3039" i="1"/>
  <c r="W3039" i="1"/>
  <c r="V3039" i="1"/>
  <c r="X3038" i="1"/>
  <c r="W3038" i="1"/>
  <c r="V3038" i="1"/>
  <c r="W3037" i="1"/>
  <c r="X3037" i="1" s="1"/>
  <c r="V3037" i="1"/>
  <c r="X3036" i="1"/>
  <c r="W3036" i="1"/>
  <c r="V3036" i="1"/>
  <c r="W3035" i="1"/>
  <c r="X3035" i="1" s="1"/>
  <c r="V3035" i="1"/>
  <c r="W3034" i="1"/>
  <c r="X3034" i="1" s="1"/>
  <c r="V3034" i="1"/>
  <c r="W3033" i="1"/>
  <c r="X3033" i="1" s="1"/>
  <c r="V3033" i="1"/>
  <c r="X3032" i="1"/>
  <c r="W3032" i="1"/>
  <c r="V3032" i="1"/>
  <c r="X3031" i="1"/>
  <c r="W3031" i="1"/>
  <c r="V3031" i="1"/>
  <c r="X3030" i="1"/>
  <c r="W3030" i="1"/>
  <c r="V3030" i="1"/>
  <c r="W3029" i="1"/>
  <c r="X3029" i="1" s="1"/>
  <c r="V3029" i="1"/>
  <c r="X3028" i="1"/>
  <c r="W3028" i="1"/>
  <c r="V3028" i="1"/>
  <c r="W3027" i="1"/>
  <c r="X3027" i="1" s="1"/>
  <c r="V3027" i="1"/>
  <c r="W3026" i="1"/>
  <c r="X3026" i="1" s="1"/>
  <c r="V3026" i="1"/>
  <c r="W3025" i="1"/>
  <c r="X3025" i="1" s="1"/>
  <c r="V3025" i="1"/>
  <c r="X3024" i="1"/>
  <c r="W3024" i="1"/>
  <c r="V3024" i="1"/>
  <c r="X3023" i="1"/>
  <c r="W3023" i="1"/>
  <c r="V3023" i="1"/>
  <c r="X3022" i="1"/>
  <c r="W3022" i="1"/>
  <c r="V3022" i="1"/>
  <c r="W3021" i="1"/>
  <c r="X3021" i="1" s="1"/>
  <c r="V3021" i="1"/>
  <c r="X3020" i="1"/>
  <c r="W3020" i="1"/>
  <c r="V3020" i="1"/>
  <c r="W3019" i="1"/>
  <c r="X3019" i="1" s="1"/>
  <c r="V3019" i="1"/>
  <c r="W3018" i="1"/>
  <c r="X3018" i="1" s="1"/>
  <c r="V3018" i="1"/>
  <c r="W3017" i="1"/>
  <c r="X3017" i="1" s="1"/>
  <c r="V3017" i="1"/>
  <c r="X3016" i="1"/>
  <c r="W3016" i="1"/>
  <c r="V3016" i="1"/>
  <c r="X3015" i="1"/>
  <c r="W3015" i="1"/>
  <c r="V3015" i="1"/>
  <c r="W3014" i="1"/>
  <c r="X3014" i="1" s="1"/>
  <c r="V3014" i="1"/>
  <c r="W3013" i="1"/>
  <c r="X3013" i="1" s="1"/>
  <c r="V3013" i="1"/>
  <c r="X3012" i="1"/>
  <c r="W3012" i="1"/>
  <c r="V3012" i="1"/>
  <c r="W3011" i="1"/>
  <c r="X3011" i="1" s="1"/>
  <c r="V3011" i="1"/>
  <c r="W3010" i="1"/>
  <c r="X3010" i="1" s="1"/>
  <c r="V3010" i="1"/>
  <c r="W3009" i="1"/>
  <c r="X3009" i="1" s="1"/>
  <c r="V3009" i="1"/>
  <c r="X3008" i="1"/>
  <c r="W3008" i="1"/>
  <c r="V3008" i="1"/>
  <c r="X3007" i="1"/>
  <c r="W3007" i="1"/>
  <c r="V3007" i="1"/>
  <c r="X3006" i="1"/>
  <c r="W3006" i="1"/>
  <c r="V3006" i="1"/>
  <c r="W3005" i="1"/>
  <c r="X3005" i="1" s="1"/>
  <c r="V3005" i="1"/>
  <c r="X3004" i="1"/>
  <c r="W3004" i="1"/>
  <c r="V3004" i="1"/>
  <c r="W3003" i="1"/>
  <c r="X3003" i="1" s="1"/>
  <c r="V3003" i="1"/>
  <c r="W3002" i="1"/>
  <c r="X3002" i="1" s="1"/>
  <c r="V3002" i="1"/>
  <c r="W3001" i="1"/>
  <c r="X3001" i="1" s="1"/>
  <c r="V3001" i="1"/>
  <c r="X3000" i="1"/>
  <c r="W3000" i="1"/>
  <c r="V3000" i="1"/>
  <c r="X2999" i="1"/>
  <c r="W2999" i="1"/>
  <c r="V2999" i="1"/>
  <c r="W2998" i="1"/>
  <c r="X2998" i="1" s="1"/>
  <c r="V2998" i="1"/>
  <c r="W2997" i="1"/>
  <c r="X2997" i="1" s="1"/>
  <c r="V2997" i="1"/>
  <c r="X2996" i="1"/>
  <c r="W2996" i="1"/>
  <c r="V2996" i="1"/>
  <c r="W2995" i="1"/>
  <c r="X2995" i="1" s="1"/>
  <c r="V2995" i="1"/>
  <c r="W2994" i="1"/>
  <c r="X2994" i="1" s="1"/>
  <c r="V2994" i="1"/>
  <c r="W2993" i="1"/>
  <c r="X2993" i="1" s="1"/>
  <c r="V2993" i="1"/>
  <c r="X2992" i="1"/>
  <c r="W2992" i="1"/>
  <c r="V2992" i="1"/>
  <c r="X2991" i="1"/>
  <c r="W2991" i="1"/>
  <c r="V2991" i="1"/>
  <c r="W2990" i="1"/>
  <c r="X2990" i="1" s="1"/>
  <c r="V2990" i="1"/>
  <c r="W2989" i="1"/>
  <c r="X2989" i="1" s="1"/>
  <c r="V2989" i="1"/>
  <c r="X2988" i="1"/>
  <c r="W2988" i="1"/>
  <c r="V2988" i="1"/>
  <c r="W2987" i="1"/>
  <c r="X2987" i="1" s="1"/>
  <c r="V2987" i="1"/>
  <c r="W2986" i="1"/>
  <c r="X2986" i="1" s="1"/>
  <c r="V2986" i="1"/>
  <c r="W2985" i="1"/>
  <c r="X2985" i="1" s="1"/>
  <c r="V2985" i="1"/>
  <c r="X2984" i="1"/>
  <c r="W2984" i="1"/>
  <c r="V2984" i="1"/>
  <c r="X2983" i="1"/>
  <c r="W2983" i="1"/>
  <c r="V2983" i="1"/>
  <c r="W2982" i="1"/>
  <c r="X2982" i="1" s="1"/>
  <c r="V2982" i="1"/>
  <c r="W2981" i="1"/>
  <c r="X2981" i="1" s="1"/>
  <c r="V2981" i="1"/>
  <c r="X2980" i="1"/>
  <c r="W2980" i="1"/>
  <c r="V2980" i="1"/>
  <c r="W2979" i="1"/>
  <c r="X2979" i="1" s="1"/>
  <c r="V2979" i="1"/>
  <c r="W2978" i="1"/>
  <c r="X2978" i="1" s="1"/>
  <c r="V2978" i="1"/>
  <c r="W2977" i="1"/>
  <c r="X2977" i="1" s="1"/>
  <c r="V2977" i="1"/>
  <c r="X2976" i="1"/>
  <c r="W2976" i="1"/>
  <c r="V2976" i="1"/>
  <c r="X2975" i="1"/>
  <c r="W2975" i="1"/>
  <c r="V2975" i="1"/>
  <c r="W2974" i="1"/>
  <c r="X2974" i="1" s="1"/>
  <c r="V2974" i="1"/>
  <c r="W2973" i="1"/>
  <c r="X2973" i="1" s="1"/>
  <c r="V2973" i="1"/>
  <c r="X2972" i="1"/>
  <c r="W2972" i="1"/>
  <c r="V2972" i="1"/>
  <c r="W2971" i="1"/>
  <c r="X2971" i="1" s="1"/>
  <c r="V2971" i="1"/>
  <c r="W2970" i="1"/>
  <c r="X2970" i="1" s="1"/>
  <c r="V2970" i="1"/>
  <c r="W2969" i="1"/>
  <c r="X2969" i="1" s="1"/>
  <c r="V2969" i="1"/>
  <c r="X2968" i="1"/>
  <c r="W2968" i="1"/>
  <c r="V2968" i="1"/>
  <c r="X2967" i="1"/>
  <c r="W2967" i="1"/>
  <c r="V2967" i="1"/>
  <c r="W2966" i="1"/>
  <c r="X2966" i="1" s="1"/>
  <c r="V2966" i="1"/>
  <c r="W2965" i="1"/>
  <c r="X2965" i="1" s="1"/>
  <c r="V2965" i="1"/>
  <c r="X2964" i="1"/>
  <c r="W2964" i="1"/>
  <c r="V2964" i="1"/>
  <c r="W2963" i="1"/>
  <c r="X2963" i="1" s="1"/>
  <c r="V2963" i="1"/>
  <c r="W2962" i="1"/>
  <c r="X2962" i="1" s="1"/>
  <c r="V2962" i="1"/>
  <c r="W2961" i="1"/>
  <c r="X2961" i="1" s="1"/>
  <c r="V2961" i="1"/>
  <c r="X2960" i="1"/>
  <c r="W2960" i="1"/>
  <c r="V2960" i="1"/>
  <c r="X2959" i="1"/>
  <c r="W2959" i="1"/>
  <c r="V2959" i="1"/>
  <c r="W2958" i="1"/>
  <c r="X2958" i="1" s="1"/>
  <c r="V2958" i="1"/>
  <c r="W2957" i="1"/>
  <c r="X2957" i="1" s="1"/>
  <c r="V2957" i="1"/>
  <c r="X2956" i="1"/>
  <c r="W2956" i="1"/>
  <c r="V2956" i="1"/>
  <c r="W2955" i="1"/>
  <c r="X2955" i="1" s="1"/>
  <c r="V2955" i="1"/>
  <c r="W2954" i="1"/>
  <c r="X2954" i="1" s="1"/>
  <c r="V2954" i="1"/>
  <c r="W2953" i="1"/>
  <c r="X2953" i="1" s="1"/>
  <c r="V2953" i="1"/>
  <c r="X2952" i="1"/>
  <c r="W2952" i="1"/>
  <c r="V2952" i="1"/>
  <c r="X2951" i="1"/>
  <c r="W2951" i="1"/>
  <c r="V2951" i="1"/>
  <c r="W2950" i="1"/>
  <c r="X2950" i="1" s="1"/>
  <c r="V2950" i="1"/>
  <c r="W2949" i="1"/>
  <c r="X2949" i="1" s="1"/>
  <c r="V2949" i="1"/>
  <c r="X2948" i="1"/>
  <c r="W2948" i="1"/>
  <c r="V2948" i="1"/>
  <c r="W2947" i="1"/>
  <c r="X2947" i="1" s="1"/>
  <c r="V2947" i="1"/>
  <c r="W2946" i="1"/>
  <c r="X2946" i="1" s="1"/>
  <c r="V2946" i="1"/>
  <c r="W2945" i="1"/>
  <c r="X2945" i="1" s="1"/>
  <c r="V2945" i="1"/>
  <c r="X2944" i="1"/>
  <c r="W2944" i="1"/>
  <c r="V2944" i="1"/>
  <c r="X2943" i="1"/>
  <c r="W2943" i="1"/>
  <c r="V2943" i="1"/>
  <c r="W2942" i="1"/>
  <c r="X2942" i="1" s="1"/>
  <c r="V2942" i="1"/>
  <c r="W2941" i="1"/>
  <c r="X2941" i="1" s="1"/>
  <c r="V2941" i="1"/>
  <c r="X2940" i="1"/>
  <c r="W2940" i="1"/>
  <c r="V2940" i="1"/>
  <c r="W2939" i="1"/>
  <c r="X2939" i="1" s="1"/>
  <c r="V2939" i="1"/>
  <c r="W2938" i="1"/>
  <c r="X2938" i="1" s="1"/>
  <c r="V2938" i="1"/>
  <c r="W2937" i="1"/>
  <c r="X2937" i="1" s="1"/>
  <c r="V2937" i="1"/>
  <c r="X2936" i="1"/>
  <c r="W2936" i="1"/>
  <c r="V2936" i="1"/>
  <c r="X2935" i="1"/>
  <c r="W2935" i="1"/>
  <c r="V2935" i="1"/>
  <c r="W2934" i="1"/>
  <c r="X2934" i="1" s="1"/>
  <c r="V2934" i="1"/>
  <c r="W2933" i="1"/>
  <c r="X2933" i="1" s="1"/>
  <c r="V2933" i="1"/>
  <c r="W2932" i="1"/>
  <c r="X2932" i="1" s="1"/>
  <c r="V2932" i="1"/>
  <c r="W2931" i="1"/>
  <c r="X2931" i="1" s="1"/>
  <c r="V2931" i="1"/>
  <c r="W2930" i="1"/>
  <c r="X2930" i="1" s="1"/>
  <c r="V2930" i="1"/>
  <c r="W2929" i="1"/>
  <c r="X2929" i="1" s="1"/>
  <c r="V2929" i="1"/>
  <c r="X2928" i="1"/>
  <c r="W2928" i="1"/>
  <c r="V2928" i="1"/>
  <c r="X2927" i="1"/>
  <c r="W2927" i="1"/>
  <c r="V2927" i="1"/>
  <c r="W2926" i="1"/>
  <c r="X2926" i="1" s="1"/>
  <c r="V2926" i="1"/>
  <c r="W2925" i="1"/>
  <c r="X2925" i="1" s="1"/>
  <c r="V2925" i="1"/>
  <c r="W2924" i="1"/>
  <c r="X2924" i="1" s="1"/>
  <c r="V2924" i="1"/>
  <c r="W2923" i="1"/>
  <c r="X2923" i="1" s="1"/>
  <c r="V2923" i="1"/>
  <c r="W2922" i="1"/>
  <c r="X2922" i="1" s="1"/>
  <c r="V2922" i="1"/>
  <c r="W2921" i="1"/>
  <c r="X2921" i="1" s="1"/>
  <c r="V2921" i="1"/>
  <c r="X2920" i="1"/>
  <c r="W2920" i="1"/>
  <c r="V2920" i="1"/>
  <c r="X2919" i="1"/>
  <c r="W2919" i="1"/>
  <c r="V2919" i="1"/>
  <c r="W2918" i="1"/>
  <c r="X2918" i="1" s="1"/>
  <c r="V2918" i="1"/>
  <c r="W2917" i="1"/>
  <c r="X2917" i="1" s="1"/>
  <c r="V2917" i="1"/>
  <c r="W2916" i="1"/>
  <c r="X2916" i="1" s="1"/>
  <c r="V2916" i="1"/>
  <c r="W2915" i="1"/>
  <c r="X2915" i="1" s="1"/>
  <c r="V2915" i="1"/>
  <c r="W2914" i="1"/>
  <c r="X2914" i="1" s="1"/>
  <c r="V2914" i="1"/>
  <c r="X2913" i="1"/>
  <c r="W2913" i="1"/>
  <c r="V2913" i="1"/>
  <c r="X2912" i="1"/>
  <c r="W2912" i="1"/>
  <c r="V2912" i="1"/>
  <c r="X2911" i="1"/>
  <c r="W2911" i="1"/>
  <c r="V2911" i="1"/>
  <c r="W2910" i="1"/>
  <c r="X2910" i="1" s="1"/>
  <c r="V2910" i="1"/>
  <c r="W2909" i="1"/>
  <c r="X2909" i="1" s="1"/>
  <c r="V2909" i="1"/>
  <c r="W2908" i="1"/>
  <c r="X2908" i="1" s="1"/>
  <c r="V2908" i="1"/>
  <c r="W2907" i="1"/>
  <c r="X2907" i="1" s="1"/>
  <c r="V2907" i="1"/>
  <c r="W2906" i="1"/>
  <c r="X2906" i="1" s="1"/>
  <c r="V2906" i="1"/>
  <c r="X2905" i="1"/>
  <c r="W2905" i="1"/>
  <c r="V2905" i="1"/>
  <c r="X2904" i="1"/>
  <c r="W2904" i="1"/>
  <c r="V2904" i="1"/>
  <c r="X2903" i="1"/>
  <c r="W2903" i="1"/>
  <c r="V2903" i="1"/>
  <c r="W2902" i="1"/>
  <c r="X2902" i="1" s="1"/>
  <c r="V2902" i="1"/>
  <c r="W2901" i="1"/>
  <c r="X2901" i="1" s="1"/>
  <c r="V2901" i="1"/>
  <c r="W2900" i="1"/>
  <c r="X2900" i="1" s="1"/>
  <c r="V2900" i="1"/>
  <c r="W2899" i="1"/>
  <c r="X2899" i="1" s="1"/>
  <c r="V2899" i="1"/>
  <c r="W2898" i="1"/>
  <c r="X2898" i="1" s="1"/>
  <c r="V2898" i="1"/>
  <c r="X2897" i="1"/>
  <c r="W2897" i="1"/>
  <c r="V2897" i="1"/>
  <c r="X2896" i="1"/>
  <c r="W2896" i="1"/>
  <c r="V2896" i="1"/>
  <c r="X2895" i="1"/>
  <c r="W2895" i="1"/>
  <c r="V2895" i="1"/>
  <c r="W2894" i="1"/>
  <c r="X2894" i="1" s="1"/>
  <c r="V2894" i="1"/>
  <c r="W2893" i="1"/>
  <c r="X2893" i="1" s="1"/>
  <c r="V2893" i="1"/>
  <c r="W2892" i="1"/>
  <c r="X2892" i="1" s="1"/>
  <c r="V2892" i="1"/>
  <c r="W2891" i="1"/>
  <c r="X2891" i="1" s="1"/>
  <c r="V2891" i="1"/>
  <c r="W2890" i="1"/>
  <c r="X2890" i="1" s="1"/>
  <c r="V2890" i="1"/>
  <c r="X2889" i="1"/>
  <c r="W2889" i="1"/>
  <c r="V2889" i="1"/>
  <c r="X2888" i="1"/>
  <c r="W2888" i="1"/>
  <c r="V2888" i="1"/>
  <c r="X2887" i="1"/>
  <c r="W2887" i="1"/>
  <c r="V2887" i="1"/>
  <c r="W2886" i="1"/>
  <c r="X2886" i="1" s="1"/>
  <c r="V2886" i="1"/>
  <c r="X2885" i="1"/>
  <c r="W2885" i="1"/>
  <c r="V2885" i="1"/>
  <c r="W2884" i="1"/>
  <c r="X2884" i="1" s="1"/>
  <c r="V2884" i="1"/>
  <c r="W2883" i="1"/>
  <c r="X2883" i="1" s="1"/>
  <c r="V2883" i="1"/>
  <c r="W2882" i="1"/>
  <c r="X2882" i="1" s="1"/>
  <c r="V2882" i="1"/>
  <c r="X2881" i="1"/>
  <c r="W2881" i="1"/>
  <c r="V2881" i="1"/>
  <c r="X2880" i="1"/>
  <c r="W2880" i="1"/>
  <c r="V2880" i="1"/>
  <c r="X2879" i="1"/>
  <c r="W2879" i="1"/>
  <c r="V2879" i="1"/>
  <c r="W2878" i="1"/>
  <c r="X2878" i="1" s="1"/>
  <c r="V2878" i="1"/>
  <c r="X2877" i="1"/>
  <c r="W2877" i="1"/>
  <c r="V2877" i="1"/>
  <c r="W2876" i="1"/>
  <c r="X2876" i="1" s="1"/>
  <c r="V2876" i="1"/>
  <c r="W2875" i="1"/>
  <c r="X2875" i="1" s="1"/>
  <c r="V2875" i="1"/>
  <c r="W2874" i="1"/>
  <c r="X2874" i="1" s="1"/>
  <c r="V2874" i="1"/>
  <c r="W2873" i="1"/>
  <c r="X2873" i="1" s="1"/>
  <c r="V2873" i="1"/>
  <c r="X2872" i="1"/>
  <c r="W2872" i="1"/>
  <c r="V2872" i="1"/>
  <c r="X2871" i="1"/>
  <c r="W2871" i="1"/>
  <c r="V2871" i="1"/>
  <c r="W2870" i="1"/>
  <c r="X2870" i="1" s="1"/>
  <c r="V2870" i="1"/>
  <c r="X2869" i="1"/>
  <c r="W2869" i="1"/>
  <c r="V2869" i="1"/>
  <c r="W2868" i="1"/>
  <c r="X2868" i="1" s="1"/>
  <c r="V2868" i="1"/>
  <c r="W2867" i="1"/>
  <c r="X2867" i="1" s="1"/>
  <c r="V2867" i="1"/>
  <c r="W2866" i="1"/>
  <c r="X2866" i="1" s="1"/>
  <c r="V2866" i="1"/>
  <c r="W2865" i="1"/>
  <c r="X2865" i="1" s="1"/>
  <c r="V2865" i="1"/>
  <c r="X2864" i="1"/>
  <c r="W2864" i="1"/>
  <c r="V2864" i="1"/>
  <c r="X2863" i="1"/>
  <c r="W2863" i="1"/>
  <c r="V2863" i="1"/>
  <c r="W2862" i="1"/>
  <c r="X2862" i="1" s="1"/>
  <c r="V2862" i="1"/>
  <c r="X2861" i="1"/>
  <c r="W2861" i="1"/>
  <c r="V2861" i="1"/>
  <c r="W2860" i="1"/>
  <c r="X2860" i="1" s="1"/>
  <c r="V2860" i="1"/>
  <c r="W2859" i="1"/>
  <c r="X2859" i="1" s="1"/>
  <c r="V2859" i="1"/>
  <c r="W2858" i="1"/>
  <c r="X2858" i="1" s="1"/>
  <c r="V2858" i="1"/>
  <c r="W2857" i="1"/>
  <c r="X2857" i="1" s="1"/>
  <c r="V2857" i="1"/>
  <c r="X2856" i="1"/>
  <c r="W2856" i="1"/>
  <c r="V2856" i="1"/>
  <c r="X2855" i="1"/>
  <c r="W2855" i="1"/>
  <c r="V2855" i="1"/>
  <c r="W2854" i="1"/>
  <c r="X2854" i="1" s="1"/>
  <c r="V2854" i="1"/>
  <c r="W2853" i="1"/>
  <c r="X2853" i="1" s="1"/>
  <c r="V2853" i="1"/>
  <c r="X2852" i="1"/>
  <c r="W2852" i="1"/>
  <c r="V2852" i="1"/>
  <c r="W2851" i="1"/>
  <c r="X2851" i="1" s="1"/>
  <c r="V2851" i="1"/>
  <c r="W2850" i="1"/>
  <c r="X2850" i="1" s="1"/>
  <c r="V2850" i="1"/>
  <c r="X2849" i="1"/>
  <c r="W2849" i="1"/>
  <c r="V2849" i="1"/>
  <c r="X2848" i="1"/>
  <c r="W2848" i="1"/>
  <c r="V2848" i="1"/>
  <c r="X2847" i="1"/>
  <c r="W2847" i="1"/>
  <c r="V2847" i="1"/>
  <c r="W2846" i="1"/>
  <c r="X2846" i="1" s="1"/>
  <c r="V2846" i="1"/>
  <c r="X2845" i="1"/>
  <c r="W2845" i="1"/>
  <c r="V2845" i="1"/>
  <c r="X2844" i="1"/>
  <c r="W2844" i="1"/>
  <c r="V2844" i="1"/>
  <c r="W2843" i="1"/>
  <c r="X2843" i="1" s="1"/>
  <c r="V2843" i="1"/>
  <c r="W2842" i="1"/>
  <c r="X2842" i="1" s="1"/>
  <c r="V2842" i="1"/>
  <c r="W2841" i="1"/>
  <c r="X2841" i="1" s="1"/>
  <c r="V2841" i="1"/>
  <c r="X2840" i="1"/>
  <c r="W2840" i="1"/>
  <c r="V2840" i="1"/>
  <c r="X2839" i="1"/>
  <c r="W2839" i="1"/>
  <c r="V2839" i="1"/>
  <c r="W2838" i="1"/>
  <c r="X2838" i="1" s="1"/>
  <c r="V2838" i="1"/>
  <c r="W2837" i="1"/>
  <c r="X2837" i="1" s="1"/>
  <c r="V2837" i="1"/>
  <c r="X2836" i="1"/>
  <c r="W2836" i="1"/>
  <c r="V2836" i="1"/>
  <c r="W2835" i="1"/>
  <c r="X2835" i="1" s="1"/>
  <c r="V2835" i="1"/>
  <c r="W2834" i="1"/>
  <c r="X2834" i="1" s="1"/>
  <c r="V2834" i="1"/>
  <c r="W2833" i="1"/>
  <c r="X2833" i="1" s="1"/>
  <c r="V2833" i="1"/>
  <c r="X2832" i="1"/>
  <c r="W2832" i="1"/>
  <c r="V2832" i="1"/>
  <c r="X2831" i="1"/>
  <c r="W2831" i="1"/>
  <c r="V2831" i="1"/>
  <c r="W2830" i="1"/>
  <c r="X2830" i="1" s="1"/>
  <c r="V2830" i="1"/>
  <c r="W2829" i="1"/>
  <c r="X2829" i="1" s="1"/>
  <c r="V2829" i="1"/>
  <c r="X2828" i="1"/>
  <c r="W2828" i="1"/>
  <c r="V2828" i="1"/>
  <c r="W2827" i="1"/>
  <c r="X2827" i="1" s="1"/>
  <c r="V2827" i="1"/>
  <c r="W2826" i="1"/>
  <c r="X2826" i="1" s="1"/>
  <c r="V2826" i="1"/>
  <c r="W2825" i="1"/>
  <c r="X2825" i="1" s="1"/>
  <c r="V2825" i="1"/>
  <c r="X2824" i="1"/>
  <c r="W2824" i="1"/>
  <c r="V2824" i="1"/>
  <c r="X2823" i="1"/>
  <c r="W2823" i="1"/>
  <c r="V2823" i="1"/>
  <c r="W2822" i="1"/>
  <c r="X2822" i="1" s="1"/>
  <c r="V2822" i="1"/>
  <c r="W2821" i="1"/>
  <c r="X2821" i="1" s="1"/>
  <c r="V2821" i="1"/>
  <c r="X2820" i="1"/>
  <c r="W2820" i="1"/>
  <c r="V2820" i="1"/>
  <c r="W2819" i="1"/>
  <c r="X2819" i="1" s="1"/>
  <c r="V2819" i="1"/>
  <c r="W2818" i="1"/>
  <c r="X2818" i="1" s="1"/>
  <c r="V2818" i="1"/>
  <c r="W2817" i="1"/>
  <c r="X2817" i="1" s="1"/>
  <c r="V2817" i="1"/>
  <c r="X2816" i="1"/>
  <c r="W2816" i="1"/>
  <c r="V2816" i="1"/>
  <c r="X2815" i="1"/>
  <c r="W2815" i="1"/>
  <c r="V2815" i="1"/>
  <c r="W2814" i="1"/>
  <c r="X2814" i="1" s="1"/>
  <c r="V2814" i="1"/>
  <c r="W2813" i="1"/>
  <c r="X2813" i="1" s="1"/>
  <c r="V2813" i="1"/>
  <c r="X2812" i="1"/>
  <c r="W2812" i="1"/>
  <c r="V2812" i="1"/>
  <c r="W2811" i="1"/>
  <c r="X2811" i="1" s="1"/>
  <c r="V2811" i="1"/>
  <c r="W2810" i="1"/>
  <c r="X2810" i="1" s="1"/>
  <c r="V2810" i="1"/>
  <c r="W2809" i="1"/>
  <c r="X2809" i="1" s="1"/>
  <c r="V2809" i="1"/>
  <c r="X2808" i="1"/>
  <c r="W2808" i="1"/>
  <c r="V2808" i="1"/>
  <c r="X2807" i="1"/>
  <c r="W2807" i="1"/>
  <c r="V2807" i="1"/>
  <c r="W2806" i="1"/>
  <c r="X2806" i="1" s="1"/>
  <c r="V2806" i="1"/>
  <c r="W2805" i="1"/>
  <c r="X2805" i="1" s="1"/>
  <c r="V2805" i="1"/>
  <c r="X2804" i="1"/>
  <c r="W2804" i="1"/>
  <c r="V2804" i="1"/>
  <c r="W2803" i="1"/>
  <c r="X2803" i="1" s="1"/>
  <c r="V2803" i="1"/>
  <c r="W2802" i="1"/>
  <c r="X2802" i="1" s="1"/>
  <c r="V2802" i="1"/>
  <c r="W2801" i="1"/>
  <c r="X2801" i="1" s="1"/>
  <c r="V2801" i="1"/>
  <c r="X2800" i="1"/>
  <c r="W2800" i="1"/>
  <c r="V2800" i="1"/>
  <c r="X2799" i="1"/>
  <c r="W2799" i="1"/>
  <c r="V2799" i="1"/>
  <c r="W2798" i="1"/>
  <c r="X2798" i="1" s="1"/>
  <c r="V2798" i="1"/>
  <c r="W2797" i="1"/>
  <c r="X2797" i="1" s="1"/>
  <c r="V2797" i="1"/>
  <c r="X2796" i="1"/>
  <c r="W2796" i="1"/>
  <c r="V2796" i="1"/>
  <c r="W2795" i="1"/>
  <c r="X2795" i="1" s="1"/>
  <c r="V2795" i="1"/>
  <c r="W2794" i="1"/>
  <c r="X2794" i="1" s="1"/>
  <c r="V2794" i="1"/>
  <c r="W2793" i="1"/>
  <c r="X2793" i="1" s="1"/>
  <c r="V2793" i="1"/>
  <c r="X2792" i="1"/>
  <c r="W2792" i="1"/>
  <c r="V2792" i="1"/>
  <c r="X2791" i="1"/>
  <c r="W2791" i="1"/>
  <c r="V2791" i="1"/>
  <c r="W2790" i="1"/>
  <c r="X2790" i="1" s="1"/>
  <c r="V2790" i="1"/>
  <c r="W2789" i="1"/>
  <c r="X2789" i="1" s="1"/>
  <c r="V2789" i="1"/>
  <c r="X2788" i="1"/>
  <c r="W2788" i="1"/>
  <c r="V2788" i="1"/>
  <c r="W2787" i="1"/>
  <c r="X2787" i="1" s="1"/>
  <c r="V2787" i="1"/>
  <c r="W2786" i="1"/>
  <c r="X2786" i="1" s="1"/>
  <c r="V2786" i="1"/>
  <c r="X2785" i="1"/>
  <c r="W2785" i="1"/>
  <c r="V2785" i="1"/>
  <c r="X2784" i="1"/>
  <c r="W2784" i="1"/>
  <c r="V2784" i="1"/>
  <c r="X2783" i="1"/>
  <c r="W2783" i="1"/>
  <c r="V2783" i="1"/>
  <c r="W2782" i="1"/>
  <c r="X2782" i="1" s="1"/>
  <c r="V2782" i="1"/>
  <c r="W2781" i="1"/>
  <c r="X2781" i="1" s="1"/>
  <c r="V2781" i="1"/>
  <c r="X2780" i="1"/>
  <c r="W2780" i="1"/>
  <c r="V2780" i="1"/>
  <c r="W2779" i="1"/>
  <c r="X2779" i="1" s="1"/>
  <c r="V2779" i="1"/>
  <c r="W2778" i="1"/>
  <c r="X2778" i="1" s="1"/>
  <c r="V2778" i="1"/>
  <c r="X2777" i="1"/>
  <c r="W2777" i="1"/>
  <c r="V2777" i="1"/>
  <c r="X2776" i="1"/>
  <c r="W2776" i="1"/>
  <c r="V2776" i="1"/>
  <c r="X2775" i="1"/>
  <c r="W2775" i="1"/>
  <c r="V2775" i="1"/>
  <c r="W2774" i="1"/>
  <c r="X2774" i="1" s="1"/>
  <c r="V2774" i="1"/>
  <c r="W2773" i="1"/>
  <c r="X2773" i="1" s="1"/>
  <c r="V2773" i="1"/>
  <c r="X2772" i="1"/>
  <c r="W2772" i="1"/>
  <c r="V2772" i="1"/>
  <c r="W2771" i="1"/>
  <c r="X2771" i="1" s="1"/>
  <c r="V2771" i="1"/>
  <c r="W2770" i="1"/>
  <c r="X2770" i="1" s="1"/>
  <c r="V2770" i="1"/>
  <c r="X2769" i="1"/>
  <c r="W2769" i="1"/>
  <c r="V2769" i="1"/>
  <c r="X2768" i="1"/>
  <c r="W2768" i="1"/>
  <c r="V2768" i="1"/>
  <c r="X2767" i="1"/>
  <c r="W2767" i="1"/>
  <c r="V2767" i="1"/>
  <c r="W2766" i="1"/>
  <c r="X2766" i="1" s="1"/>
  <c r="V2766" i="1"/>
  <c r="W2765" i="1"/>
  <c r="X2765" i="1" s="1"/>
  <c r="V2765" i="1"/>
  <c r="X2764" i="1"/>
  <c r="W2764" i="1"/>
  <c r="V2764" i="1"/>
  <c r="W2763" i="1"/>
  <c r="X2763" i="1" s="1"/>
  <c r="V2763" i="1"/>
  <c r="W2762" i="1"/>
  <c r="X2762" i="1" s="1"/>
  <c r="V2762" i="1"/>
  <c r="X2761" i="1"/>
  <c r="W2761" i="1"/>
  <c r="V2761" i="1"/>
  <c r="X2760" i="1"/>
  <c r="W2760" i="1"/>
  <c r="V2760" i="1"/>
  <c r="X2759" i="1"/>
  <c r="W2759" i="1"/>
  <c r="V2759" i="1"/>
  <c r="W2758" i="1"/>
  <c r="X2758" i="1" s="1"/>
  <c r="V2758" i="1"/>
  <c r="W2757" i="1"/>
  <c r="X2757" i="1" s="1"/>
  <c r="V2757" i="1"/>
  <c r="X2756" i="1"/>
  <c r="W2756" i="1"/>
  <c r="V2756" i="1"/>
  <c r="W2755" i="1"/>
  <c r="X2755" i="1" s="1"/>
  <c r="V2755" i="1"/>
  <c r="W2754" i="1"/>
  <c r="X2754" i="1" s="1"/>
  <c r="V2754" i="1"/>
  <c r="X2753" i="1"/>
  <c r="W2753" i="1"/>
  <c r="V2753" i="1"/>
  <c r="X2752" i="1"/>
  <c r="W2752" i="1"/>
  <c r="V2752" i="1"/>
  <c r="X2751" i="1"/>
  <c r="W2751" i="1"/>
  <c r="V2751" i="1"/>
  <c r="W2750" i="1"/>
  <c r="X2750" i="1" s="1"/>
  <c r="V2750" i="1"/>
  <c r="X2749" i="1"/>
  <c r="W2749" i="1"/>
  <c r="V2749" i="1"/>
  <c r="X2748" i="1"/>
  <c r="W2748" i="1"/>
  <c r="V2748" i="1"/>
  <c r="W2747" i="1"/>
  <c r="X2747" i="1" s="1"/>
  <c r="V2747" i="1"/>
  <c r="W2746" i="1"/>
  <c r="X2746" i="1" s="1"/>
  <c r="V2746" i="1"/>
  <c r="W2745" i="1"/>
  <c r="X2745" i="1" s="1"/>
  <c r="V2745" i="1"/>
  <c r="X2744" i="1"/>
  <c r="W2744" i="1"/>
  <c r="V2744" i="1"/>
  <c r="X2743" i="1"/>
  <c r="W2743" i="1"/>
  <c r="V2743" i="1"/>
  <c r="W2742" i="1"/>
  <c r="X2742" i="1" s="1"/>
  <c r="V2742" i="1"/>
  <c r="X2741" i="1"/>
  <c r="W2741" i="1"/>
  <c r="V2741" i="1"/>
  <c r="X2740" i="1"/>
  <c r="W2740" i="1"/>
  <c r="V2740" i="1"/>
  <c r="X2739" i="1"/>
  <c r="W2739" i="1"/>
  <c r="V2739" i="1"/>
  <c r="W2738" i="1"/>
  <c r="X2738" i="1" s="1"/>
  <c r="V2738" i="1"/>
  <c r="X2737" i="1"/>
  <c r="W2737" i="1"/>
  <c r="V2737" i="1"/>
  <c r="X2736" i="1"/>
  <c r="W2736" i="1"/>
  <c r="V2736" i="1"/>
  <c r="X2735" i="1"/>
  <c r="W2735" i="1"/>
  <c r="V2735" i="1"/>
  <c r="W2734" i="1"/>
  <c r="X2734" i="1" s="1"/>
  <c r="V2734" i="1"/>
  <c r="X2733" i="1"/>
  <c r="W2733" i="1"/>
  <c r="V2733" i="1"/>
  <c r="X2732" i="1"/>
  <c r="W2732" i="1"/>
  <c r="V2732" i="1"/>
  <c r="W2731" i="1"/>
  <c r="X2731" i="1" s="1"/>
  <c r="V2731" i="1"/>
  <c r="X2730" i="1"/>
  <c r="W2730" i="1"/>
  <c r="V2730" i="1"/>
  <c r="W2729" i="1"/>
  <c r="X2729" i="1" s="1"/>
  <c r="V2729" i="1"/>
  <c r="X2728" i="1"/>
  <c r="W2728" i="1"/>
  <c r="V2728" i="1"/>
  <c r="W2727" i="1"/>
  <c r="X2727" i="1" s="1"/>
  <c r="V2727" i="1"/>
  <c r="X2726" i="1"/>
  <c r="W2726" i="1"/>
  <c r="V2726" i="1"/>
  <c r="X2725" i="1"/>
  <c r="W2725" i="1"/>
  <c r="V2725" i="1"/>
  <c r="X2724" i="1"/>
  <c r="W2724" i="1"/>
  <c r="V2724" i="1"/>
  <c r="W2723" i="1"/>
  <c r="X2723" i="1" s="1"/>
  <c r="V2723" i="1"/>
  <c r="X2722" i="1"/>
  <c r="W2722" i="1"/>
  <c r="V2722" i="1"/>
  <c r="W2721" i="1"/>
  <c r="X2721" i="1" s="1"/>
  <c r="V2721" i="1"/>
  <c r="X2720" i="1"/>
  <c r="W2720" i="1"/>
  <c r="V2720" i="1"/>
  <c r="W2719" i="1"/>
  <c r="X2719" i="1" s="1"/>
  <c r="V2719" i="1"/>
  <c r="X2718" i="1"/>
  <c r="W2718" i="1"/>
  <c r="V2718" i="1"/>
  <c r="X2717" i="1"/>
  <c r="W2717" i="1"/>
  <c r="V2717" i="1"/>
  <c r="X2716" i="1"/>
  <c r="W2716" i="1"/>
  <c r="V2716" i="1"/>
  <c r="W2715" i="1"/>
  <c r="X2715" i="1" s="1"/>
  <c r="V2715" i="1"/>
  <c r="X2714" i="1"/>
  <c r="W2714" i="1"/>
  <c r="V2714" i="1"/>
  <c r="W2713" i="1"/>
  <c r="X2713" i="1" s="1"/>
  <c r="V2713" i="1"/>
  <c r="X2712" i="1"/>
  <c r="W2712" i="1"/>
  <c r="V2712" i="1"/>
  <c r="W2711" i="1"/>
  <c r="X2711" i="1" s="1"/>
  <c r="V2711" i="1"/>
  <c r="X2710" i="1"/>
  <c r="W2710" i="1"/>
  <c r="V2710" i="1"/>
  <c r="X2709" i="1"/>
  <c r="W2709" i="1"/>
  <c r="V2709" i="1"/>
  <c r="X2708" i="1"/>
  <c r="W2708" i="1"/>
  <c r="V2708" i="1"/>
  <c r="W2707" i="1"/>
  <c r="X2707" i="1" s="1"/>
  <c r="V2707" i="1"/>
  <c r="X2706" i="1"/>
  <c r="W2706" i="1"/>
  <c r="V2706" i="1"/>
  <c r="W2705" i="1"/>
  <c r="X2705" i="1" s="1"/>
  <c r="V2705" i="1"/>
  <c r="X2704" i="1"/>
  <c r="W2704" i="1"/>
  <c r="V2704" i="1"/>
  <c r="W2703" i="1"/>
  <c r="X2703" i="1" s="1"/>
  <c r="V2703" i="1"/>
  <c r="X2702" i="1"/>
  <c r="W2702" i="1"/>
  <c r="V2702" i="1"/>
  <c r="X2701" i="1"/>
  <c r="W2701" i="1"/>
  <c r="V2701" i="1"/>
  <c r="X2700" i="1"/>
  <c r="W2700" i="1"/>
  <c r="V2700" i="1"/>
  <c r="W2699" i="1"/>
  <c r="X2699" i="1" s="1"/>
  <c r="V2699" i="1"/>
  <c r="X2698" i="1"/>
  <c r="W2698" i="1"/>
  <c r="V2698" i="1"/>
  <c r="W2697" i="1"/>
  <c r="X2697" i="1" s="1"/>
  <c r="V2697" i="1"/>
  <c r="X2696" i="1"/>
  <c r="W2696" i="1"/>
  <c r="V2696" i="1"/>
  <c r="W2695" i="1"/>
  <c r="X2695" i="1" s="1"/>
  <c r="V2695" i="1"/>
  <c r="X2694" i="1"/>
  <c r="W2694" i="1"/>
  <c r="V2694" i="1"/>
  <c r="X2693" i="1"/>
  <c r="W2693" i="1"/>
  <c r="V2693" i="1"/>
  <c r="X2692" i="1"/>
  <c r="W2692" i="1"/>
  <c r="V2692" i="1"/>
  <c r="W2691" i="1"/>
  <c r="X2691" i="1" s="1"/>
  <c r="V2691" i="1"/>
  <c r="X2690" i="1"/>
  <c r="W2690" i="1"/>
  <c r="V2690" i="1"/>
  <c r="W2689" i="1"/>
  <c r="X2689" i="1" s="1"/>
  <c r="V2689" i="1"/>
  <c r="X2688" i="1"/>
  <c r="W2688" i="1"/>
  <c r="V2688" i="1"/>
  <c r="W2687" i="1"/>
  <c r="X2687" i="1" s="1"/>
  <c r="V2687" i="1"/>
  <c r="X2686" i="1"/>
  <c r="W2686" i="1"/>
  <c r="V2686" i="1"/>
  <c r="X2685" i="1"/>
  <c r="W2685" i="1"/>
  <c r="V2685" i="1"/>
  <c r="X2684" i="1"/>
  <c r="W2684" i="1"/>
  <c r="V2684" i="1"/>
  <c r="W2683" i="1"/>
  <c r="X2683" i="1" s="1"/>
  <c r="V2683" i="1"/>
  <c r="X2682" i="1"/>
  <c r="W2682" i="1"/>
  <c r="V2682" i="1"/>
  <c r="W2681" i="1"/>
  <c r="X2681" i="1" s="1"/>
  <c r="V2681" i="1"/>
  <c r="X2680" i="1"/>
  <c r="W2680" i="1"/>
  <c r="V2680" i="1"/>
  <c r="W2679" i="1"/>
  <c r="X2679" i="1" s="1"/>
  <c r="V2679" i="1"/>
  <c r="X2678" i="1"/>
  <c r="W2678" i="1"/>
  <c r="V2678" i="1"/>
  <c r="X2677" i="1"/>
  <c r="W2677" i="1"/>
  <c r="V2677" i="1"/>
  <c r="X2676" i="1"/>
  <c r="W2676" i="1"/>
  <c r="V2676" i="1"/>
  <c r="W2675" i="1"/>
  <c r="X2675" i="1" s="1"/>
  <c r="V2675" i="1"/>
  <c r="X2674" i="1"/>
  <c r="W2674" i="1"/>
  <c r="V2674" i="1"/>
  <c r="W2673" i="1"/>
  <c r="X2673" i="1" s="1"/>
  <c r="V2673" i="1"/>
  <c r="X2672" i="1"/>
  <c r="W2672" i="1"/>
  <c r="V2672" i="1"/>
  <c r="W2671" i="1"/>
  <c r="X2671" i="1" s="1"/>
  <c r="V2671" i="1"/>
  <c r="X2670" i="1"/>
  <c r="W2670" i="1"/>
  <c r="V2670" i="1"/>
  <c r="X2669" i="1"/>
  <c r="W2669" i="1"/>
  <c r="V2669" i="1"/>
  <c r="X2668" i="1"/>
  <c r="W2668" i="1"/>
  <c r="V2668" i="1"/>
  <c r="W2667" i="1"/>
  <c r="X2667" i="1" s="1"/>
  <c r="V2667" i="1"/>
  <c r="X2666" i="1"/>
  <c r="W2666" i="1"/>
  <c r="V2666" i="1"/>
  <c r="W2665" i="1"/>
  <c r="X2665" i="1" s="1"/>
  <c r="V2665" i="1"/>
  <c r="X2664" i="1"/>
  <c r="W2664" i="1"/>
  <c r="V2664" i="1"/>
  <c r="W2663" i="1"/>
  <c r="X2663" i="1" s="1"/>
  <c r="V2663" i="1"/>
  <c r="X2662" i="1"/>
  <c r="W2662" i="1"/>
  <c r="V2662" i="1"/>
  <c r="X2661" i="1"/>
  <c r="W2661" i="1"/>
  <c r="V2661" i="1"/>
  <c r="X2660" i="1"/>
  <c r="W2660" i="1"/>
  <c r="V2660" i="1"/>
  <c r="W2659" i="1"/>
  <c r="X2659" i="1" s="1"/>
  <c r="V2659" i="1"/>
  <c r="X2658" i="1"/>
  <c r="W2658" i="1"/>
  <c r="V2658" i="1"/>
  <c r="W2657" i="1"/>
  <c r="X2657" i="1" s="1"/>
  <c r="V2657" i="1"/>
  <c r="X2656" i="1"/>
  <c r="W2656" i="1"/>
  <c r="V2656" i="1"/>
  <c r="W2655" i="1"/>
  <c r="X2655" i="1" s="1"/>
  <c r="V2655" i="1"/>
  <c r="X2654" i="1"/>
  <c r="W2654" i="1"/>
  <c r="V2654" i="1"/>
  <c r="X2653" i="1"/>
  <c r="W2653" i="1"/>
  <c r="V2653" i="1"/>
  <c r="X2652" i="1"/>
  <c r="W2652" i="1"/>
  <c r="V2652" i="1"/>
  <c r="W2651" i="1"/>
  <c r="X2651" i="1" s="1"/>
  <c r="V2651" i="1"/>
  <c r="X2650" i="1"/>
  <c r="W2650" i="1"/>
  <c r="V2650" i="1"/>
  <c r="W2649" i="1"/>
  <c r="X2649" i="1" s="1"/>
  <c r="V2649" i="1"/>
  <c r="X2648" i="1"/>
  <c r="W2648" i="1"/>
  <c r="V2648" i="1"/>
  <c r="W2647" i="1"/>
  <c r="X2647" i="1" s="1"/>
  <c r="V2647" i="1"/>
  <c r="X2646" i="1"/>
  <c r="W2646" i="1"/>
  <c r="V2646" i="1"/>
  <c r="X2645" i="1"/>
  <c r="W2645" i="1"/>
  <c r="V2645" i="1"/>
  <c r="X2644" i="1"/>
  <c r="W2644" i="1"/>
  <c r="V2644" i="1"/>
  <c r="W2643" i="1"/>
  <c r="X2643" i="1" s="1"/>
  <c r="V2643" i="1"/>
  <c r="X2642" i="1"/>
  <c r="W2642" i="1"/>
  <c r="V2642" i="1"/>
  <c r="W2641" i="1"/>
  <c r="X2641" i="1" s="1"/>
  <c r="V2641" i="1"/>
  <c r="X2640" i="1"/>
  <c r="W2640" i="1"/>
  <c r="V2640" i="1"/>
  <c r="W2639" i="1"/>
  <c r="X2639" i="1" s="1"/>
  <c r="V2639" i="1"/>
  <c r="X2638" i="1"/>
  <c r="W2638" i="1"/>
  <c r="V2638" i="1"/>
  <c r="X2637" i="1"/>
  <c r="W2637" i="1"/>
  <c r="V2637" i="1"/>
  <c r="X2636" i="1"/>
  <c r="W2636" i="1"/>
  <c r="V2636" i="1"/>
  <c r="W2635" i="1"/>
  <c r="X2635" i="1" s="1"/>
  <c r="V2635" i="1"/>
  <c r="X2634" i="1"/>
  <c r="W2634" i="1"/>
  <c r="V2634" i="1"/>
  <c r="W2633" i="1"/>
  <c r="X2633" i="1" s="1"/>
  <c r="V2633" i="1"/>
  <c r="X2632" i="1"/>
  <c r="W2632" i="1"/>
  <c r="V2632" i="1"/>
  <c r="W2631" i="1"/>
  <c r="X2631" i="1" s="1"/>
  <c r="V2631" i="1"/>
  <c r="X2630" i="1"/>
  <c r="W2630" i="1"/>
  <c r="V2630" i="1"/>
  <c r="X2629" i="1"/>
  <c r="W2629" i="1"/>
  <c r="V2629" i="1"/>
  <c r="X2628" i="1"/>
  <c r="W2628" i="1"/>
  <c r="V2628" i="1"/>
  <c r="W2627" i="1"/>
  <c r="X2627" i="1" s="1"/>
  <c r="V2627" i="1"/>
  <c r="X2626" i="1"/>
  <c r="W2626" i="1"/>
  <c r="V2626" i="1"/>
  <c r="W2625" i="1"/>
  <c r="X2625" i="1" s="1"/>
  <c r="V2625" i="1"/>
  <c r="X2624" i="1"/>
  <c r="W2624" i="1"/>
  <c r="V2624" i="1"/>
  <c r="W2623" i="1"/>
  <c r="X2623" i="1" s="1"/>
  <c r="V2623" i="1"/>
  <c r="X2622" i="1"/>
  <c r="W2622" i="1"/>
  <c r="V2622" i="1"/>
  <c r="X2621" i="1"/>
  <c r="W2621" i="1"/>
  <c r="V2621" i="1"/>
  <c r="X2620" i="1"/>
  <c r="W2620" i="1"/>
  <c r="V2620" i="1"/>
  <c r="W2619" i="1"/>
  <c r="X2619" i="1" s="1"/>
  <c r="V2619" i="1"/>
  <c r="X2618" i="1"/>
  <c r="W2618" i="1"/>
  <c r="V2618" i="1"/>
  <c r="W2617" i="1"/>
  <c r="X2617" i="1" s="1"/>
  <c r="V2617" i="1"/>
  <c r="X2616" i="1"/>
  <c r="W2616" i="1"/>
  <c r="V2616" i="1"/>
  <c r="W2615" i="1"/>
  <c r="X2615" i="1" s="1"/>
  <c r="V2615" i="1"/>
  <c r="X2614" i="1"/>
  <c r="W2614" i="1"/>
  <c r="V2614" i="1"/>
  <c r="X2613" i="1"/>
  <c r="W2613" i="1"/>
  <c r="V2613" i="1"/>
  <c r="X2612" i="1"/>
  <c r="W2612" i="1"/>
  <c r="V2612" i="1"/>
  <c r="W2611" i="1"/>
  <c r="X2611" i="1" s="1"/>
  <c r="V2611" i="1"/>
  <c r="X2610" i="1"/>
  <c r="W2610" i="1"/>
  <c r="V2610" i="1"/>
  <c r="W2609" i="1"/>
  <c r="X2609" i="1" s="1"/>
  <c r="V2609" i="1"/>
  <c r="X2608" i="1"/>
  <c r="W2608" i="1"/>
  <c r="V2608" i="1"/>
  <c r="W2607" i="1"/>
  <c r="X2607" i="1" s="1"/>
  <c r="V2607" i="1"/>
  <c r="X2606" i="1"/>
  <c r="W2606" i="1"/>
  <c r="V2606" i="1"/>
  <c r="X2605" i="1"/>
  <c r="W2605" i="1"/>
  <c r="V2605" i="1"/>
  <c r="X2604" i="1"/>
  <c r="W2604" i="1"/>
  <c r="V2604" i="1"/>
  <c r="W2603" i="1"/>
  <c r="X2603" i="1" s="1"/>
  <c r="V2603" i="1"/>
  <c r="X2602" i="1"/>
  <c r="W2602" i="1"/>
  <c r="V2602" i="1"/>
  <c r="W2601" i="1"/>
  <c r="X2601" i="1" s="1"/>
  <c r="V2601" i="1"/>
  <c r="X2600" i="1"/>
  <c r="W2600" i="1"/>
  <c r="V2600" i="1"/>
  <c r="W2599" i="1"/>
  <c r="X2599" i="1" s="1"/>
  <c r="V2599" i="1"/>
  <c r="X2598" i="1"/>
  <c r="W2598" i="1"/>
  <c r="V2598" i="1"/>
  <c r="X2597" i="1"/>
  <c r="W2597" i="1"/>
  <c r="V2597" i="1"/>
  <c r="X2596" i="1"/>
  <c r="W2596" i="1"/>
  <c r="V2596" i="1"/>
  <c r="W2595" i="1"/>
  <c r="X2595" i="1" s="1"/>
  <c r="V2595" i="1"/>
  <c r="X2594" i="1"/>
  <c r="W2594" i="1"/>
  <c r="V2594" i="1"/>
  <c r="W2593" i="1"/>
  <c r="X2593" i="1" s="1"/>
  <c r="V2593" i="1"/>
  <c r="X2592" i="1"/>
  <c r="W2592" i="1"/>
  <c r="V2592" i="1"/>
  <c r="W2591" i="1"/>
  <c r="X2591" i="1" s="1"/>
  <c r="V2591" i="1"/>
  <c r="X2590" i="1"/>
  <c r="W2590" i="1"/>
  <c r="V2590" i="1"/>
  <c r="X2589" i="1"/>
  <c r="W2589" i="1"/>
  <c r="V2589" i="1"/>
  <c r="X2588" i="1"/>
  <c r="W2588" i="1"/>
  <c r="V2588" i="1"/>
  <c r="W2587" i="1"/>
  <c r="X2587" i="1" s="1"/>
  <c r="V2587" i="1"/>
  <c r="X2586" i="1"/>
  <c r="W2586" i="1"/>
  <c r="V2586" i="1"/>
  <c r="W2585" i="1"/>
  <c r="X2585" i="1" s="1"/>
  <c r="V2585" i="1"/>
  <c r="X2584" i="1"/>
  <c r="W2584" i="1"/>
  <c r="V2584" i="1"/>
  <c r="W2583" i="1"/>
  <c r="X2583" i="1" s="1"/>
  <c r="V2583" i="1"/>
  <c r="X2582" i="1"/>
  <c r="W2582" i="1"/>
  <c r="V2582" i="1"/>
  <c r="X2581" i="1"/>
  <c r="W2581" i="1"/>
  <c r="V2581" i="1"/>
  <c r="X2580" i="1"/>
  <c r="W2580" i="1"/>
  <c r="V2580" i="1"/>
  <c r="W2579" i="1"/>
  <c r="X2579" i="1" s="1"/>
  <c r="V2579" i="1"/>
  <c r="X2578" i="1"/>
  <c r="W2578" i="1"/>
  <c r="V2578" i="1"/>
  <c r="W2577" i="1"/>
  <c r="X2577" i="1" s="1"/>
  <c r="V2577" i="1"/>
  <c r="X2576" i="1"/>
  <c r="W2576" i="1"/>
  <c r="V2576" i="1"/>
  <c r="W2575" i="1"/>
  <c r="X2575" i="1" s="1"/>
  <c r="V2575" i="1"/>
  <c r="X2574" i="1"/>
  <c r="W2574" i="1"/>
  <c r="V2574" i="1"/>
  <c r="X2573" i="1"/>
  <c r="W2573" i="1"/>
  <c r="V2573" i="1"/>
  <c r="X2572" i="1"/>
  <c r="W2572" i="1"/>
  <c r="V2572" i="1"/>
  <c r="W2571" i="1"/>
  <c r="X2571" i="1" s="1"/>
  <c r="V2571" i="1"/>
  <c r="X2570" i="1"/>
  <c r="W2570" i="1"/>
  <c r="V2570" i="1"/>
  <c r="W2569" i="1"/>
  <c r="X2569" i="1" s="1"/>
  <c r="V2569" i="1"/>
  <c r="X2568" i="1"/>
  <c r="W2568" i="1"/>
  <c r="V2568" i="1"/>
  <c r="W2567" i="1"/>
  <c r="X2567" i="1" s="1"/>
  <c r="V2567" i="1"/>
  <c r="X2566" i="1"/>
  <c r="W2566" i="1"/>
  <c r="V2566" i="1"/>
  <c r="X2565" i="1"/>
  <c r="W2565" i="1"/>
  <c r="V2565" i="1"/>
  <c r="X2564" i="1"/>
  <c r="W2564" i="1"/>
  <c r="V2564" i="1"/>
  <c r="W2563" i="1"/>
  <c r="X2563" i="1" s="1"/>
  <c r="V2563" i="1"/>
  <c r="X2562" i="1"/>
  <c r="W2562" i="1"/>
  <c r="V2562" i="1"/>
  <c r="W2561" i="1"/>
  <c r="X2561" i="1" s="1"/>
  <c r="V2561" i="1"/>
  <c r="X2560" i="1"/>
  <c r="W2560" i="1"/>
  <c r="V2560" i="1"/>
  <c r="W2559" i="1"/>
  <c r="X2559" i="1" s="1"/>
  <c r="V2559" i="1"/>
  <c r="X2558" i="1"/>
  <c r="W2558" i="1"/>
  <c r="V2558" i="1"/>
  <c r="X2557" i="1"/>
  <c r="W2557" i="1"/>
  <c r="V2557" i="1"/>
  <c r="X2556" i="1"/>
  <c r="W2556" i="1"/>
  <c r="V2556" i="1"/>
  <c r="W2555" i="1"/>
  <c r="X2555" i="1" s="1"/>
  <c r="V2555" i="1"/>
  <c r="X2554" i="1"/>
  <c r="W2554" i="1"/>
  <c r="V2554" i="1"/>
  <c r="W2553" i="1"/>
  <c r="X2553" i="1" s="1"/>
  <c r="V2553" i="1"/>
  <c r="X2552" i="1"/>
  <c r="W2552" i="1"/>
  <c r="V2552" i="1"/>
  <c r="W2551" i="1"/>
  <c r="X2551" i="1" s="1"/>
  <c r="V2551" i="1"/>
  <c r="X2550" i="1"/>
  <c r="W2550" i="1"/>
  <c r="V2550" i="1"/>
  <c r="X2549" i="1"/>
  <c r="W2549" i="1"/>
  <c r="V2549" i="1"/>
  <c r="X2548" i="1"/>
  <c r="W2548" i="1"/>
  <c r="V2548" i="1"/>
  <c r="W2547" i="1"/>
  <c r="X2547" i="1" s="1"/>
  <c r="V2547" i="1"/>
  <c r="X2546" i="1"/>
  <c r="W2546" i="1"/>
  <c r="V2546" i="1"/>
  <c r="W2545" i="1"/>
  <c r="X2545" i="1" s="1"/>
  <c r="V2545" i="1"/>
  <c r="X2544" i="1"/>
  <c r="W2544" i="1"/>
  <c r="V2544" i="1"/>
  <c r="W2543" i="1"/>
  <c r="X2543" i="1" s="1"/>
  <c r="V2543" i="1"/>
  <c r="X2542" i="1"/>
  <c r="W2542" i="1"/>
  <c r="V2542" i="1"/>
  <c r="X2541" i="1"/>
  <c r="W2541" i="1"/>
  <c r="V2541" i="1"/>
  <c r="X2540" i="1"/>
  <c r="W2540" i="1"/>
  <c r="V2540" i="1"/>
  <c r="W2539" i="1"/>
  <c r="X2539" i="1" s="1"/>
  <c r="V2539" i="1"/>
  <c r="X2538" i="1"/>
  <c r="W2538" i="1"/>
  <c r="V2538" i="1"/>
  <c r="W2537" i="1"/>
  <c r="X2537" i="1" s="1"/>
  <c r="V2537" i="1"/>
  <c r="X2536" i="1"/>
  <c r="W2536" i="1"/>
  <c r="V2536" i="1"/>
  <c r="W2535" i="1"/>
  <c r="X2535" i="1" s="1"/>
  <c r="V2535" i="1"/>
  <c r="X2534" i="1"/>
  <c r="W2534" i="1"/>
  <c r="V2534" i="1"/>
  <c r="X2533" i="1"/>
  <c r="W2533" i="1"/>
  <c r="V2533" i="1"/>
  <c r="X2532" i="1"/>
  <c r="W2532" i="1"/>
  <c r="V2532" i="1"/>
  <c r="W2531" i="1"/>
  <c r="X2531" i="1" s="1"/>
  <c r="V2531" i="1"/>
  <c r="X2530" i="1"/>
  <c r="W2530" i="1"/>
  <c r="V2530" i="1"/>
  <c r="W2529" i="1"/>
  <c r="X2529" i="1" s="1"/>
  <c r="V2529" i="1"/>
  <c r="X2528" i="1"/>
  <c r="W2528" i="1"/>
  <c r="V2528" i="1"/>
  <c r="W2527" i="1"/>
  <c r="X2527" i="1" s="1"/>
  <c r="V2527" i="1"/>
  <c r="X2526" i="1"/>
  <c r="W2526" i="1"/>
  <c r="V2526" i="1"/>
  <c r="X2525" i="1"/>
  <c r="W2525" i="1"/>
  <c r="V2525" i="1"/>
  <c r="X2524" i="1"/>
  <c r="W2524" i="1"/>
  <c r="V2524" i="1"/>
  <c r="W2523" i="1"/>
  <c r="X2523" i="1" s="1"/>
  <c r="V2523" i="1"/>
  <c r="X2522" i="1"/>
  <c r="W2522" i="1"/>
  <c r="V2522" i="1"/>
  <c r="W2521" i="1"/>
  <c r="X2521" i="1" s="1"/>
  <c r="V2521" i="1"/>
  <c r="X2520" i="1"/>
  <c r="W2520" i="1"/>
  <c r="V2520" i="1"/>
  <c r="W2519" i="1"/>
  <c r="X2519" i="1" s="1"/>
  <c r="V2519" i="1"/>
  <c r="X2518" i="1"/>
  <c r="W2518" i="1"/>
  <c r="V2518" i="1"/>
  <c r="X2517" i="1"/>
  <c r="W2517" i="1"/>
  <c r="V2517" i="1"/>
  <c r="X2516" i="1"/>
  <c r="W2516" i="1"/>
  <c r="V2516" i="1"/>
  <c r="W2515" i="1"/>
  <c r="X2515" i="1" s="1"/>
  <c r="V2515" i="1"/>
  <c r="X2514" i="1"/>
  <c r="W2514" i="1"/>
  <c r="V2514" i="1"/>
  <c r="W2513" i="1"/>
  <c r="X2513" i="1" s="1"/>
  <c r="V2513" i="1"/>
  <c r="X2512" i="1"/>
  <c r="W2512" i="1"/>
  <c r="V2512" i="1"/>
  <c r="W2511" i="1"/>
  <c r="X2511" i="1" s="1"/>
  <c r="V2511" i="1"/>
  <c r="X2510" i="1"/>
  <c r="W2510" i="1"/>
  <c r="V2510" i="1"/>
  <c r="X2509" i="1"/>
  <c r="W2509" i="1"/>
  <c r="V2509" i="1"/>
  <c r="X2508" i="1"/>
  <c r="W2508" i="1"/>
  <c r="V2508" i="1"/>
  <c r="W2507" i="1"/>
  <c r="X2507" i="1" s="1"/>
  <c r="V2507" i="1"/>
  <c r="X2506" i="1"/>
  <c r="W2506" i="1"/>
  <c r="V2506" i="1"/>
  <c r="W2505" i="1"/>
  <c r="X2505" i="1" s="1"/>
  <c r="V2505" i="1"/>
  <c r="X2504" i="1"/>
  <c r="W2504" i="1"/>
  <c r="V2504" i="1"/>
  <c r="W2503" i="1"/>
  <c r="X2503" i="1" s="1"/>
  <c r="V2503" i="1"/>
  <c r="X2502" i="1"/>
  <c r="W2502" i="1"/>
  <c r="V2502" i="1"/>
  <c r="X2501" i="1"/>
  <c r="W2501" i="1"/>
  <c r="V2501" i="1"/>
  <c r="X2500" i="1"/>
  <c r="W2500" i="1"/>
  <c r="V2500" i="1"/>
  <c r="W2499" i="1"/>
  <c r="X2499" i="1" s="1"/>
  <c r="V2499" i="1"/>
  <c r="X2498" i="1"/>
  <c r="W2498" i="1"/>
  <c r="V2498" i="1"/>
  <c r="W2497" i="1"/>
  <c r="X2497" i="1" s="1"/>
  <c r="V2497" i="1"/>
  <c r="X2496" i="1"/>
  <c r="W2496" i="1"/>
  <c r="V2496" i="1"/>
  <c r="W2495" i="1"/>
  <c r="X2495" i="1" s="1"/>
  <c r="V2495" i="1"/>
  <c r="X2494" i="1"/>
  <c r="W2494" i="1"/>
  <c r="V2494" i="1"/>
  <c r="X2493" i="1"/>
  <c r="W2493" i="1"/>
  <c r="V2493" i="1"/>
  <c r="X2492" i="1"/>
  <c r="W2492" i="1"/>
  <c r="V2492" i="1"/>
  <c r="W2491" i="1"/>
  <c r="X2491" i="1" s="1"/>
  <c r="V2491" i="1"/>
  <c r="X2490" i="1"/>
  <c r="W2490" i="1"/>
  <c r="V2490" i="1"/>
  <c r="W2489" i="1"/>
  <c r="X2489" i="1" s="1"/>
  <c r="V2489" i="1"/>
  <c r="X2488" i="1"/>
  <c r="W2488" i="1"/>
  <c r="V2488" i="1"/>
  <c r="W2487" i="1"/>
  <c r="X2487" i="1" s="1"/>
  <c r="V2487" i="1"/>
  <c r="X2486" i="1"/>
  <c r="W2486" i="1"/>
  <c r="V2486" i="1"/>
  <c r="X2485" i="1"/>
  <c r="W2485" i="1"/>
  <c r="V2485" i="1"/>
  <c r="X2484" i="1"/>
  <c r="W2484" i="1"/>
  <c r="V2484" i="1"/>
  <c r="W2483" i="1"/>
  <c r="X2483" i="1" s="1"/>
  <c r="V2483" i="1"/>
  <c r="X2482" i="1"/>
  <c r="W2482" i="1"/>
  <c r="V2482" i="1"/>
  <c r="W2481" i="1"/>
  <c r="X2481" i="1" s="1"/>
  <c r="V2481" i="1"/>
  <c r="X2480" i="1"/>
  <c r="W2480" i="1"/>
  <c r="V2480" i="1"/>
  <c r="W2479" i="1"/>
  <c r="X2479" i="1" s="1"/>
  <c r="V2479" i="1"/>
  <c r="X2478" i="1"/>
  <c r="W2478" i="1"/>
  <c r="V2478" i="1"/>
  <c r="X2477" i="1"/>
  <c r="W2477" i="1"/>
  <c r="V2477" i="1"/>
  <c r="X2476" i="1"/>
  <c r="W2476" i="1"/>
  <c r="V2476" i="1"/>
  <c r="W2475" i="1"/>
  <c r="X2475" i="1" s="1"/>
  <c r="V2475" i="1"/>
  <c r="X2474" i="1"/>
  <c r="W2474" i="1"/>
  <c r="V2474" i="1"/>
  <c r="W2473" i="1"/>
  <c r="X2473" i="1" s="1"/>
  <c r="V2473" i="1"/>
  <c r="X2472" i="1"/>
  <c r="W2472" i="1"/>
  <c r="V2472" i="1"/>
  <c r="W2471" i="1"/>
  <c r="X2471" i="1" s="1"/>
  <c r="V2471" i="1"/>
  <c r="X2470" i="1"/>
  <c r="W2470" i="1"/>
  <c r="V2470" i="1"/>
  <c r="X2469" i="1"/>
  <c r="W2469" i="1"/>
  <c r="V2469" i="1"/>
  <c r="X2468" i="1"/>
  <c r="W2468" i="1"/>
  <c r="V2468" i="1"/>
  <c r="W2467" i="1"/>
  <c r="X2467" i="1" s="1"/>
  <c r="V2467" i="1"/>
  <c r="X2466" i="1"/>
  <c r="W2466" i="1"/>
  <c r="V2466" i="1"/>
  <c r="W2465" i="1"/>
  <c r="X2465" i="1" s="1"/>
  <c r="V2465" i="1"/>
  <c r="X2464" i="1"/>
  <c r="W2464" i="1"/>
  <c r="V2464" i="1"/>
  <c r="W2463" i="1"/>
  <c r="X2463" i="1" s="1"/>
  <c r="V2463" i="1"/>
  <c r="X2462" i="1"/>
  <c r="W2462" i="1"/>
  <c r="V2462" i="1"/>
  <c r="X2461" i="1"/>
  <c r="W2461" i="1"/>
  <c r="V2461" i="1"/>
  <c r="X2460" i="1"/>
  <c r="W2460" i="1"/>
  <c r="V2460" i="1"/>
  <c r="W2459" i="1"/>
  <c r="X2459" i="1" s="1"/>
  <c r="V2459" i="1"/>
  <c r="X2458" i="1"/>
  <c r="W2458" i="1"/>
  <c r="V2458" i="1"/>
  <c r="W2457" i="1"/>
  <c r="X2457" i="1" s="1"/>
  <c r="V2457" i="1"/>
  <c r="X2456" i="1"/>
  <c r="W2456" i="1"/>
  <c r="V2456" i="1"/>
  <c r="W2455" i="1"/>
  <c r="X2455" i="1" s="1"/>
  <c r="V2455" i="1"/>
  <c r="X2454" i="1"/>
  <c r="W2454" i="1"/>
  <c r="V2454" i="1"/>
  <c r="X2453" i="1"/>
  <c r="W2453" i="1"/>
  <c r="V2453" i="1"/>
  <c r="X2452" i="1"/>
  <c r="W2452" i="1"/>
  <c r="V2452" i="1"/>
  <c r="W2451" i="1"/>
  <c r="X2451" i="1" s="1"/>
  <c r="V2451" i="1"/>
  <c r="X2450" i="1"/>
  <c r="W2450" i="1"/>
  <c r="V2450" i="1"/>
  <c r="W2449" i="1"/>
  <c r="X2449" i="1" s="1"/>
  <c r="V2449" i="1"/>
  <c r="X2448" i="1"/>
  <c r="W2448" i="1"/>
  <c r="V2448" i="1"/>
  <c r="W2447" i="1"/>
  <c r="X2447" i="1" s="1"/>
  <c r="V2447" i="1"/>
  <c r="X2446" i="1"/>
  <c r="W2446" i="1"/>
  <c r="V2446" i="1"/>
  <c r="X2445" i="1"/>
  <c r="W2445" i="1"/>
  <c r="V2445" i="1"/>
  <c r="X2444" i="1"/>
  <c r="W2444" i="1"/>
  <c r="V2444" i="1"/>
  <c r="W2443" i="1"/>
  <c r="X2443" i="1" s="1"/>
  <c r="V2443" i="1"/>
  <c r="X2442" i="1"/>
  <c r="W2442" i="1"/>
  <c r="V2442" i="1"/>
  <c r="W2441" i="1"/>
  <c r="X2441" i="1" s="1"/>
  <c r="V2441" i="1"/>
  <c r="X2440" i="1"/>
  <c r="W2440" i="1"/>
  <c r="V2440" i="1"/>
  <c r="W2439" i="1"/>
  <c r="X2439" i="1" s="1"/>
  <c r="V2439" i="1"/>
  <c r="X2438" i="1"/>
  <c r="W2438" i="1"/>
  <c r="V2438" i="1"/>
  <c r="X2437" i="1"/>
  <c r="W2437" i="1"/>
  <c r="V2437" i="1"/>
  <c r="X2436" i="1"/>
  <c r="W2436" i="1"/>
  <c r="V2436" i="1"/>
  <c r="W2435" i="1"/>
  <c r="X2435" i="1" s="1"/>
  <c r="V2435" i="1"/>
  <c r="W2434" i="1"/>
  <c r="X2434" i="1" s="1"/>
  <c r="V2434" i="1"/>
  <c r="W2433" i="1"/>
  <c r="X2433" i="1" s="1"/>
  <c r="V2433" i="1"/>
  <c r="X2432" i="1"/>
  <c r="W2432" i="1"/>
  <c r="V2432" i="1"/>
  <c r="W2431" i="1"/>
  <c r="X2431" i="1" s="1"/>
  <c r="V2431" i="1"/>
  <c r="X2430" i="1"/>
  <c r="W2430" i="1"/>
  <c r="V2430" i="1"/>
  <c r="X2429" i="1"/>
  <c r="W2429" i="1"/>
  <c r="V2429" i="1"/>
  <c r="X2428" i="1"/>
  <c r="W2428" i="1"/>
  <c r="V2428" i="1"/>
  <c r="W2427" i="1"/>
  <c r="X2427" i="1" s="1"/>
  <c r="V2427" i="1"/>
  <c r="W2426" i="1"/>
  <c r="X2426" i="1" s="1"/>
  <c r="V2426" i="1"/>
  <c r="W2425" i="1"/>
  <c r="X2425" i="1" s="1"/>
  <c r="V2425" i="1"/>
  <c r="X2424" i="1"/>
  <c r="W2424" i="1"/>
  <c r="V2424" i="1"/>
  <c r="W2423" i="1"/>
  <c r="X2423" i="1" s="1"/>
  <c r="V2423" i="1"/>
  <c r="X2422" i="1"/>
  <c r="W2422" i="1"/>
  <c r="V2422" i="1"/>
  <c r="X2421" i="1"/>
  <c r="W2421" i="1"/>
  <c r="V2421" i="1"/>
  <c r="X2420" i="1"/>
  <c r="W2420" i="1"/>
  <c r="V2420" i="1"/>
  <c r="W2419" i="1"/>
  <c r="X2419" i="1" s="1"/>
  <c r="V2419" i="1"/>
  <c r="W2418" i="1"/>
  <c r="X2418" i="1" s="1"/>
  <c r="V2418" i="1"/>
  <c r="W2417" i="1"/>
  <c r="X2417" i="1" s="1"/>
  <c r="V2417" i="1"/>
  <c r="X2416" i="1"/>
  <c r="W2416" i="1"/>
  <c r="V2416" i="1"/>
  <c r="W2415" i="1"/>
  <c r="X2415" i="1" s="1"/>
  <c r="V2415" i="1"/>
  <c r="X2414" i="1"/>
  <c r="W2414" i="1"/>
  <c r="V2414" i="1"/>
  <c r="X2413" i="1"/>
  <c r="W2413" i="1"/>
  <c r="V2413" i="1"/>
  <c r="X2412" i="1"/>
  <c r="W2412" i="1"/>
  <c r="V2412" i="1"/>
  <c r="W2411" i="1"/>
  <c r="X2411" i="1" s="1"/>
  <c r="V2411" i="1"/>
  <c r="W2410" i="1"/>
  <c r="X2410" i="1" s="1"/>
  <c r="V2410" i="1"/>
  <c r="W2409" i="1"/>
  <c r="X2409" i="1" s="1"/>
  <c r="V2409" i="1"/>
  <c r="X2408" i="1"/>
  <c r="W2408" i="1"/>
  <c r="V2408" i="1"/>
  <c r="W2407" i="1"/>
  <c r="X2407" i="1" s="1"/>
  <c r="V2407" i="1"/>
  <c r="X2406" i="1"/>
  <c r="W2406" i="1"/>
  <c r="V2406" i="1"/>
  <c r="X2405" i="1"/>
  <c r="W2405" i="1"/>
  <c r="V2405" i="1"/>
  <c r="X2404" i="1"/>
  <c r="W2404" i="1"/>
  <c r="V2404" i="1"/>
  <c r="W2403" i="1"/>
  <c r="X2403" i="1" s="1"/>
  <c r="V2403" i="1"/>
  <c r="W2402" i="1"/>
  <c r="X2402" i="1" s="1"/>
  <c r="V2402" i="1"/>
  <c r="W2401" i="1"/>
  <c r="X2401" i="1" s="1"/>
  <c r="V2401" i="1"/>
  <c r="X2400" i="1"/>
  <c r="W2400" i="1"/>
  <c r="V2400" i="1"/>
  <c r="W2399" i="1"/>
  <c r="X2399" i="1" s="1"/>
  <c r="V2399" i="1"/>
  <c r="X2398" i="1"/>
  <c r="W2398" i="1"/>
  <c r="V2398" i="1"/>
  <c r="X2397" i="1"/>
  <c r="W2397" i="1"/>
  <c r="V2397" i="1"/>
  <c r="X2396" i="1"/>
  <c r="W2396" i="1"/>
  <c r="V2396" i="1"/>
  <c r="W2395" i="1"/>
  <c r="X2395" i="1" s="1"/>
  <c r="V2395" i="1"/>
  <c r="X2394" i="1"/>
  <c r="W2394" i="1"/>
  <c r="V2394" i="1"/>
  <c r="W2393" i="1"/>
  <c r="X2393" i="1" s="1"/>
  <c r="V2393" i="1"/>
  <c r="X2392" i="1"/>
  <c r="W2392" i="1"/>
  <c r="V2392" i="1"/>
  <c r="W2391" i="1"/>
  <c r="X2391" i="1" s="1"/>
  <c r="V2391" i="1"/>
  <c r="X2390" i="1"/>
  <c r="W2390" i="1"/>
  <c r="V2390" i="1"/>
  <c r="X2389" i="1"/>
  <c r="W2389" i="1"/>
  <c r="V2389" i="1"/>
  <c r="X2388" i="1"/>
  <c r="W2388" i="1"/>
  <c r="V2388" i="1"/>
  <c r="W2387" i="1"/>
  <c r="X2387" i="1" s="1"/>
  <c r="V2387" i="1"/>
  <c r="X2386" i="1"/>
  <c r="W2386" i="1"/>
  <c r="V2386" i="1"/>
  <c r="W2385" i="1"/>
  <c r="X2385" i="1" s="1"/>
  <c r="V2385" i="1"/>
  <c r="X2384" i="1"/>
  <c r="W2384" i="1"/>
  <c r="V2384" i="1"/>
  <c r="W2383" i="1"/>
  <c r="X2383" i="1" s="1"/>
  <c r="V2383" i="1"/>
  <c r="X2382" i="1"/>
  <c r="W2382" i="1"/>
  <c r="V2382" i="1"/>
  <c r="X2381" i="1"/>
  <c r="W2381" i="1"/>
  <c r="V2381" i="1"/>
  <c r="X2380" i="1"/>
  <c r="W2380" i="1"/>
  <c r="V2380" i="1"/>
  <c r="W2379" i="1"/>
  <c r="X2379" i="1" s="1"/>
  <c r="V2379" i="1"/>
  <c r="X2378" i="1"/>
  <c r="W2378" i="1"/>
  <c r="V2378" i="1"/>
  <c r="W2377" i="1"/>
  <c r="X2377" i="1" s="1"/>
  <c r="V2377" i="1"/>
  <c r="X2376" i="1"/>
  <c r="W2376" i="1"/>
  <c r="V2376" i="1"/>
  <c r="W2375" i="1"/>
  <c r="X2375" i="1" s="1"/>
  <c r="V2375" i="1"/>
  <c r="X2374" i="1"/>
  <c r="W2374" i="1"/>
  <c r="V2374" i="1"/>
  <c r="X2373" i="1"/>
  <c r="W2373" i="1"/>
  <c r="V2373" i="1"/>
  <c r="X2372" i="1"/>
  <c r="W2372" i="1"/>
  <c r="V2372" i="1"/>
  <c r="W2371" i="1"/>
  <c r="X2371" i="1" s="1"/>
  <c r="V2371" i="1"/>
  <c r="X2370" i="1"/>
  <c r="W2370" i="1"/>
  <c r="V2370" i="1"/>
  <c r="W2369" i="1"/>
  <c r="X2369" i="1" s="1"/>
  <c r="V2369" i="1"/>
  <c r="X2368" i="1"/>
  <c r="W2368" i="1"/>
  <c r="V2368" i="1"/>
  <c r="W2367" i="1"/>
  <c r="X2367" i="1" s="1"/>
  <c r="V2367" i="1"/>
  <c r="X2366" i="1"/>
  <c r="W2366" i="1"/>
  <c r="V2366" i="1"/>
  <c r="X2365" i="1"/>
  <c r="W2365" i="1"/>
  <c r="V2365" i="1"/>
  <c r="X2364" i="1"/>
  <c r="W2364" i="1"/>
  <c r="V2364" i="1"/>
  <c r="W2363" i="1"/>
  <c r="X2363" i="1" s="1"/>
  <c r="V2363" i="1"/>
  <c r="X2362" i="1"/>
  <c r="W2362" i="1"/>
  <c r="V2362" i="1"/>
  <c r="W2361" i="1"/>
  <c r="X2361" i="1" s="1"/>
  <c r="V2361" i="1"/>
  <c r="X2360" i="1"/>
  <c r="W2360" i="1"/>
  <c r="V2360" i="1"/>
  <c r="W2359" i="1"/>
  <c r="X2359" i="1" s="1"/>
  <c r="V2359" i="1"/>
  <c r="X2358" i="1"/>
  <c r="W2358" i="1"/>
  <c r="V2358" i="1"/>
  <c r="X2357" i="1"/>
  <c r="W2357" i="1"/>
  <c r="V2357" i="1"/>
  <c r="X2356" i="1"/>
  <c r="W2356" i="1"/>
  <c r="V2356" i="1"/>
  <c r="W2355" i="1"/>
  <c r="X2355" i="1" s="1"/>
  <c r="V2355" i="1"/>
  <c r="X2354" i="1"/>
  <c r="W2354" i="1"/>
  <c r="V2354" i="1"/>
  <c r="W2353" i="1"/>
  <c r="X2353" i="1" s="1"/>
  <c r="V2353" i="1"/>
  <c r="X2352" i="1"/>
  <c r="W2352" i="1"/>
  <c r="V2352" i="1"/>
  <c r="W2351" i="1"/>
  <c r="X2351" i="1" s="1"/>
  <c r="V2351" i="1"/>
  <c r="X2350" i="1"/>
  <c r="W2350" i="1"/>
  <c r="V2350" i="1"/>
  <c r="X2349" i="1"/>
  <c r="W2349" i="1"/>
  <c r="V2349" i="1"/>
  <c r="X2348" i="1"/>
  <c r="W2348" i="1"/>
  <c r="V2348" i="1"/>
  <c r="W2347" i="1"/>
  <c r="X2347" i="1" s="1"/>
  <c r="V2347" i="1"/>
  <c r="X2346" i="1"/>
  <c r="W2346" i="1"/>
  <c r="V2346" i="1"/>
  <c r="W2345" i="1"/>
  <c r="X2345" i="1" s="1"/>
  <c r="V2345" i="1"/>
  <c r="X2344" i="1"/>
  <c r="W2344" i="1"/>
  <c r="V2344" i="1"/>
  <c r="W2343" i="1"/>
  <c r="X2343" i="1" s="1"/>
  <c r="V2343" i="1"/>
  <c r="X2342" i="1"/>
  <c r="W2342" i="1"/>
  <c r="V2342" i="1"/>
  <c r="X2341" i="1"/>
  <c r="W2341" i="1"/>
  <c r="V2341" i="1"/>
  <c r="X2340" i="1"/>
  <c r="W2340" i="1"/>
  <c r="V2340" i="1"/>
  <c r="W2339" i="1"/>
  <c r="X2339" i="1" s="1"/>
  <c r="V2339" i="1"/>
  <c r="X2338" i="1"/>
  <c r="W2338" i="1"/>
  <c r="V2338" i="1"/>
  <c r="W2337" i="1"/>
  <c r="X2337" i="1" s="1"/>
  <c r="V2337" i="1"/>
  <c r="X2336" i="1"/>
  <c r="W2336" i="1"/>
  <c r="V2336" i="1"/>
  <c r="W2335" i="1"/>
  <c r="X2335" i="1" s="1"/>
  <c r="V2335" i="1"/>
  <c r="X2334" i="1"/>
  <c r="W2334" i="1"/>
  <c r="V2334" i="1"/>
  <c r="X2333" i="1"/>
  <c r="W2333" i="1"/>
  <c r="V2333" i="1"/>
  <c r="X2332" i="1"/>
  <c r="W2332" i="1"/>
  <c r="V2332" i="1"/>
  <c r="W2331" i="1"/>
  <c r="X2331" i="1" s="1"/>
  <c r="V2331" i="1"/>
  <c r="X2330" i="1"/>
  <c r="W2330" i="1"/>
  <c r="V2330" i="1"/>
  <c r="W2329" i="1"/>
  <c r="X2329" i="1" s="1"/>
  <c r="V2329" i="1"/>
  <c r="X2328" i="1"/>
  <c r="W2328" i="1"/>
  <c r="V2328" i="1"/>
  <c r="W2327" i="1"/>
  <c r="X2327" i="1" s="1"/>
  <c r="V2327" i="1"/>
  <c r="X2326" i="1"/>
  <c r="W2326" i="1"/>
  <c r="V2326" i="1"/>
  <c r="X2325" i="1"/>
  <c r="W2325" i="1"/>
  <c r="V2325" i="1"/>
  <c r="X2324" i="1"/>
  <c r="W2324" i="1"/>
  <c r="V2324" i="1"/>
  <c r="W2323" i="1"/>
  <c r="X2323" i="1" s="1"/>
  <c r="V2323" i="1"/>
  <c r="X2322" i="1"/>
  <c r="W2322" i="1"/>
  <c r="V2322" i="1"/>
  <c r="W2321" i="1"/>
  <c r="X2321" i="1" s="1"/>
  <c r="V2321" i="1"/>
  <c r="X2320" i="1"/>
  <c r="W2320" i="1"/>
  <c r="V2320" i="1"/>
  <c r="W2319" i="1"/>
  <c r="X2319" i="1" s="1"/>
  <c r="V2319" i="1"/>
  <c r="X2318" i="1"/>
  <c r="W2318" i="1"/>
  <c r="V2318" i="1"/>
  <c r="X2317" i="1"/>
  <c r="W2317" i="1"/>
  <c r="V2317" i="1"/>
  <c r="X2316" i="1"/>
  <c r="W2316" i="1"/>
  <c r="V2316" i="1"/>
  <c r="W2315" i="1"/>
  <c r="X2315" i="1" s="1"/>
  <c r="V2315" i="1"/>
  <c r="X2314" i="1"/>
  <c r="W2314" i="1"/>
  <c r="V2314" i="1"/>
  <c r="W2313" i="1"/>
  <c r="X2313" i="1" s="1"/>
  <c r="V2313" i="1"/>
  <c r="X2312" i="1"/>
  <c r="W2312" i="1"/>
  <c r="V2312" i="1"/>
  <c r="W2311" i="1"/>
  <c r="X2311" i="1" s="1"/>
  <c r="V2311" i="1"/>
  <c r="X2310" i="1"/>
  <c r="W2310" i="1"/>
  <c r="V2310" i="1"/>
  <c r="X2309" i="1"/>
  <c r="W2309" i="1"/>
  <c r="V2309" i="1"/>
  <c r="X2308" i="1"/>
  <c r="W2308" i="1"/>
  <c r="V2308" i="1"/>
  <c r="W2307" i="1"/>
  <c r="X2307" i="1" s="1"/>
  <c r="V2307" i="1"/>
  <c r="X2306" i="1"/>
  <c r="W2306" i="1"/>
  <c r="V2306" i="1"/>
  <c r="W2305" i="1"/>
  <c r="X2305" i="1" s="1"/>
  <c r="V2305" i="1"/>
  <c r="X2304" i="1"/>
  <c r="W2304" i="1"/>
  <c r="V2304" i="1"/>
  <c r="W2303" i="1"/>
  <c r="X2303" i="1" s="1"/>
  <c r="V2303" i="1"/>
  <c r="X2302" i="1"/>
  <c r="W2302" i="1"/>
  <c r="V2302" i="1"/>
  <c r="X2301" i="1"/>
  <c r="W2301" i="1"/>
  <c r="V2301" i="1"/>
  <c r="X2300" i="1"/>
  <c r="W2300" i="1"/>
  <c r="V2300" i="1"/>
  <c r="W2299" i="1"/>
  <c r="X2299" i="1" s="1"/>
  <c r="V2299" i="1"/>
  <c r="X2298" i="1"/>
  <c r="W2298" i="1"/>
  <c r="V2298" i="1"/>
  <c r="W2297" i="1"/>
  <c r="X2297" i="1" s="1"/>
  <c r="V2297" i="1"/>
  <c r="X2296" i="1"/>
  <c r="W2296" i="1"/>
  <c r="V2296" i="1"/>
  <c r="W2295" i="1"/>
  <c r="X2295" i="1" s="1"/>
  <c r="V2295" i="1"/>
  <c r="X2294" i="1"/>
  <c r="W2294" i="1"/>
  <c r="V2294" i="1"/>
  <c r="X2293" i="1"/>
  <c r="W2293" i="1"/>
  <c r="V2293" i="1"/>
  <c r="X2292" i="1"/>
  <c r="W2292" i="1"/>
  <c r="V2292" i="1"/>
  <c r="W2291" i="1"/>
  <c r="X2291" i="1" s="1"/>
  <c r="V2291" i="1"/>
  <c r="X2290" i="1"/>
  <c r="W2290" i="1"/>
  <c r="V2290" i="1"/>
  <c r="W2289" i="1"/>
  <c r="X2289" i="1" s="1"/>
  <c r="V2289" i="1"/>
  <c r="X2288" i="1"/>
  <c r="W2288" i="1"/>
  <c r="V2288" i="1"/>
  <c r="W2287" i="1"/>
  <c r="X2287" i="1" s="1"/>
  <c r="V2287" i="1"/>
  <c r="X2286" i="1"/>
  <c r="W2286" i="1"/>
  <c r="V2286" i="1"/>
  <c r="X2285" i="1"/>
  <c r="W2285" i="1"/>
  <c r="V2285" i="1"/>
  <c r="X2284" i="1"/>
  <c r="W2284" i="1"/>
  <c r="V2284" i="1"/>
  <c r="W2283" i="1"/>
  <c r="X2283" i="1" s="1"/>
  <c r="V2283" i="1"/>
  <c r="X2282" i="1"/>
  <c r="W2282" i="1"/>
  <c r="V2282" i="1"/>
  <c r="W2281" i="1"/>
  <c r="X2281" i="1" s="1"/>
  <c r="V2281" i="1"/>
  <c r="X2280" i="1"/>
  <c r="W2280" i="1"/>
  <c r="V2280" i="1"/>
  <c r="W2279" i="1"/>
  <c r="X2279" i="1" s="1"/>
  <c r="V2279" i="1"/>
  <c r="X2278" i="1"/>
  <c r="W2278" i="1"/>
  <c r="V2278" i="1"/>
  <c r="X2277" i="1"/>
  <c r="W2277" i="1"/>
  <c r="V2277" i="1"/>
  <c r="X2276" i="1"/>
  <c r="W2276" i="1"/>
  <c r="V2276" i="1"/>
  <c r="W2275" i="1"/>
  <c r="X2275" i="1" s="1"/>
  <c r="V2275" i="1"/>
  <c r="X2274" i="1"/>
  <c r="W2274" i="1"/>
  <c r="V2274" i="1"/>
  <c r="W2273" i="1"/>
  <c r="X2273" i="1" s="1"/>
  <c r="V2273" i="1"/>
  <c r="X2272" i="1"/>
  <c r="W2272" i="1"/>
  <c r="V2272" i="1"/>
  <c r="W2271" i="1"/>
  <c r="X2271" i="1" s="1"/>
  <c r="V2271" i="1"/>
  <c r="X2270" i="1"/>
  <c r="W2270" i="1"/>
  <c r="V2270" i="1"/>
  <c r="X2269" i="1"/>
  <c r="W2269" i="1"/>
  <c r="V2269" i="1"/>
  <c r="X2268" i="1"/>
  <c r="W2268" i="1"/>
  <c r="V2268" i="1"/>
  <c r="W2267" i="1"/>
  <c r="X2267" i="1" s="1"/>
  <c r="V2267" i="1"/>
  <c r="X2266" i="1"/>
  <c r="W2266" i="1"/>
  <c r="V2266" i="1"/>
  <c r="W2265" i="1"/>
  <c r="X2265" i="1" s="1"/>
  <c r="V2265" i="1"/>
  <c r="X2264" i="1"/>
  <c r="W2264" i="1"/>
  <c r="V2264" i="1"/>
  <c r="W2263" i="1"/>
  <c r="X2263" i="1" s="1"/>
  <c r="V2263" i="1"/>
  <c r="X2262" i="1"/>
  <c r="W2262" i="1"/>
  <c r="V2262" i="1"/>
  <c r="X2261" i="1"/>
  <c r="W2261" i="1"/>
  <c r="V2261" i="1"/>
  <c r="X2260" i="1"/>
  <c r="W2260" i="1"/>
  <c r="V2260" i="1"/>
  <c r="W2259" i="1"/>
  <c r="X2259" i="1" s="1"/>
  <c r="V2259" i="1"/>
  <c r="X2258" i="1"/>
  <c r="W2258" i="1"/>
  <c r="V2258" i="1"/>
  <c r="W2257" i="1"/>
  <c r="X2257" i="1" s="1"/>
  <c r="V2257" i="1"/>
  <c r="X2256" i="1"/>
  <c r="W2256" i="1"/>
  <c r="V2256" i="1"/>
  <c r="W2255" i="1"/>
  <c r="X2255" i="1" s="1"/>
  <c r="V2255" i="1"/>
  <c r="X2254" i="1"/>
  <c r="W2254" i="1"/>
  <c r="V2254" i="1"/>
  <c r="X2253" i="1"/>
  <c r="W2253" i="1"/>
  <c r="V2253" i="1"/>
  <c r="X2252" i="1"/>
  <c r="W2252" i="1"/>
  <c r="V2252" i="1"/>
  <c r="W2251" i="1"/>
  <c r="X2251" i="1" s="1"/>
  <c r="V2251" i="1"/>
  <c r="X2250" i="1"/>
  <c r="W2250" i="1"/>
  <c r="V2250" i="1"/>
  <c r="W2249" i="1"/>
  <c r="X2249" i="1" s="1"/>
  <c r="V2249" i="1"/>
  <c r="X2248" i="1"/>
  <c r="W2248" i="1"/>
  <c r="V2248" i="1"/>
  <c r="W2247" i="1"/>
  <c r="X2247" i="1" s="1"/>
  <c r="V2247" i="1"/>
  <c r="X2246" i="1"/>
  <c r="W2246" i="1"/>
  <c r="V2246" i="1"/>
  <c r="X2245" i="1"/>
  <c r="W2245" i="1"/>
  <c r="V2245" i="1"/>
  <c r="X2244" i="1"/>
  <c r="W2244" i="1"/>
  <c r="V2244" i="1"/>
  <c r="W2243" i="1"/>
  <c r="X2243" i="1" s="1"/>
  <c r="V2243" i="1"/>
  <c r="W2242" i="1"/>
  <c r="X2242" i="1" s="1"/>
  <c r="V2242" i="1"/>
  <c r="W2241" i="1"/>
  <c r="X2241" i="1" s="1"/>
  <c r="V2241" i="1"/>
  <c r="X2240" i="1"/>
  <c r="W2240" i="1"/>
  <c r="V2240" i="1"/>
  <c r="W2239" i="1"/>
  <c r="X2239" i="1" s="1"/>
  <c r="V2239" i="1"/>
  <c r="X2238" i="1"/>
  <c r="W2238" i="1"/>
  <c r="V2238" i="1"/>
  <c r="X2237" i="1"/>
  <c r="W2237" i="1"/>
  <c r="V2237" i="1"/>
  <c r="X2236" i="1"/>
  <c r="W2236" i="1"/>
  <c r="V2236" i="1"/>
  <c r="W2235" i="1"/>
  <c r="X2235" i="1" s="1"/>
  <c r="V2235" i="1"/>
  <c r="X2234" i="1"/>
  <c r="W2234" i="1"/>
  <c r="V2234" i="1"/>
  <c r="W2233" i="1"/>
  <c r="X2233" i="1" s="1"/>
  <c r="V2233" i="1"/>
  <c r="X2232" i="1"/>
  <c r="W2232" i="1"/>
  <c r="V2232" i="1"/>
  <c r="W2231" i="1"/>
  <c r="X2231" i="1" s="1"/>
  <c r="V2231" i="1"/>
  <c r="X2230" i="1"/>
  <c r="W2230" i="1"/>
  <c r="V2230" i="1"/>
  <c r="X2229" i="1"/>
  <c r="W2229" i="1"/>
  <c r="V2229" i="1"/>
  <c r="X2228" i="1"/>
  <c r="W2228" i="1"/>
  <c r="V2228" i="1"/>
  <c r="W2227" i="1"/>
  <c r="X2227" i="1" s="1"/>
  <c r="V2227" i="1"/>
  <c r="X2226" i="1"/>
  <c r="W2226" i="1"/>
  <c r="V2226" i="1"/>
  <c r="W2225" i="1"/>
  <c r="X2225" i="1" s="1"/>
  <c r="V2225" i="1"/>
  <c r="X2224" i="1"/>
  <c r="W2224" i="1"/>
  <c r="V2224" i="1"/>
  <c r="W2223" i="1"/>
  <c r="X2223" i="1" s="1"/>
  <c r="V2223" i="1"/>
  <c r="X2222" i="1"/>
  <c r="W2222" i="1"/>
  <c r="V2222" i="1"/>
  <c r="X2221" i="1"/>
  <c r="W2221" i="1"/>
  <c r="V2221" i="1"/>
  <c r="X2220" i="1"/>
  <c r="W2220" i="1"/>
  <c r="V2220" i="1"/>
  <c r="W2219" i="1"/>
  <c r="X2219" i="1" s="1"/>
  <c r="V2219" i="1"/>
  <c r="X2218" i="1"/>
  <c r="W2218" i="1"/>
  <c r="V2218" i="1"/>
  <c r="W2217" i="1"/>
  <c r="X2217" i="1" s="1"/>
  <c r="V2217" i="1"/>
  <c r="X2216" i="1"/>
  <c r="W2216" i="1"/>
  <c r="V2216" i="1"/>
  <c r="W2215" i="1"/>
  <c r="X2215" i="1" s="1"/>
  <c r="V2215" i="1"/>
  <c r="X2214" i="1"/>
  <c r="W2214" i="1"/>
  <c r="V2214" i="1"/>
  <c r="X2213" i="1"/>
  <c r="W2213" i="1"/>
  <c r="V2213" i="1"/>
  <c r="X2212" i="1"/>
  <c r="W2212" i="1"/>
  <c r="V2212" i="1"/>
  <c r="W2211" i="1"/>
  <c r="X2211" i="1" s="1"/>
  <c r="V2211" i="1"/>
  <c r="X2210" i="1"/>
  <c r="W2210" i="1"/>
  <c r="V2210" i="1"/>
  <c r="W2209" i="1"/>
  <c r="X2209" i="1" s="1"/>
  <c r="V2209" i="1"/>
  <c r="X2208" i="1"/>
  <c r="W2208" i="1"/>
  <c r="V2208" i="1"/>
  <c r="W2207" i="1"/>
  <c r="X2207" i="1" s="1"/>
  <c r="V2207" i="1"/>
  <c r="X2206" i="1"/>
  <c r="W2206" i="1"/>
  <c r="V2206" i="1"/>
  <c r="X2205" i="1"/>
  <c r="W2205" i="1"/>
  <c r="V2205" i="1"/>
  <c r="X2204" i="1"/>
  <c r="W2204" i="1"/>
  <c r="V2204" i="1"/>
  <c r="W2203" i="1"/>
  <c r="X2203" i="1" s="1"/>
  <c r="V2203" i="1"/>
  <c r="W2202" i="1"/>
  <c r="X2202" i="1" s="1"/>
  <c r="V2202" i="1"/>
  <c r="W2201" i="1"/>
  <c r="X2201" i="1" s="1"/>
  <c r="V2201" i="1"/>
  <c r="X2200" i="1"/>
  <c r="W2200" i="1"/>
  <c r="V2200" i="1"/>
  <c r="W2199" i="1"/>
  <c r="X2199" i="1" s="1"/>
  <c r="V2199" i="1"/>
  <c r="X2198" i="1"/>
  <c r="W2198" i="1"/>
  <c r="V2198" i="1"/>
  <c r="X2197" i="1"/>
  <c r="W2197" i="1"/>
  <c r="V2197" i="1"/>
  <c r="X2196" i="1"/>
  <c r="W2196" i="1"/>
  <c r="V2196" i="1"/>
  <c r="W2195" i="1"/>
  <c r="X2195" i="1" s="1"/>
  <c r="V2195" i="1"/>
  <c r="W2194" i="1"/>
  <c r="X2194" i="1" s="1"/>
  <c r="V2194" i="1"/>
  <c r="W2193" i="1"/>
  <c r="X2193" i="1" s="1"/>
  <c r="V2193" i="1"/>
  <c r="X2192" i="1"/>
  <c r="W2192" i="1"/>
  <c r="V2192" i="1"/>
  <c r="W2191" i="1"/>
  <c r="X2191" i="1" s="1"/>
  <c r="V2191" i="1"/>
  <c r="X2190" i="1"/>
  <c r="W2190" i="1"/>
  <c r="V2190" i="1"/>
  <c r="X2189" i="1"/>
  <c r="W2189" i="1"/>
  <c r="V2189" i="1"/>
  <c r="X2188" i="1"/>
  <c r="W2188" i="1"/>
  <c r="V2188" i="1"/>
  <c r="W2187" i="1"/>
  <c r="X2187" i="1" s="1"/>
  <c r="V2187" i="1"/>
  <c r="W2186" i="1"/>
  <c r="X2186" i="1" s="1"/>
  <c r="V2186" i="1"/>
  <c r="W2185" i="1"/>
  <c r="X2185" i="1" s="1"/>
  <c r="V2185" i="1"/>
  <c r="X2184" i="1"/>
  <c r="W2184" i="1"/>
  <c r="V2184" i="1"/>
  <c r="W2183" i="1"/>
  <c r="X2183" i="1" s="1"/>
  <c r="V2183" i="1"/>
  <c r="X2182" i="1"/>
  <c r="W2182" i="1"/>
  <c r="V2182" i="1"/>
  <c r="X2181" i="1"/>
  <c r="W2181" i="1"/>
  <c r="V2181" i="1"/>
  <c r="X2180" i="1"/>
  <c r="W2180" i="1"/>
  <c r="V2180" i="1"/>
  <c r="W2179" i="1"/>
  <c r="X2179" i="1" s="1"/>
  <c r="V2179" i="1"/>
  <c r="W2178" i="1"/>
  <c r="X2178" i="1" s="1"/>
  <c r="V2178" i="1"/>
  <c r="W2177" i="1"/>
  <c r="X2177" i="1" s="1"/>
  <c r="V2177" i="1"/>
  <c r="X2176" i="1"/>
  <c r="W2176" i="1"/>
  <c r="V2176" i="1"/>
  <c r="W2175" i="1"/>
  <c r="X2175" i="1" s="1"/>
  <c r="V2175" i="1"/>
  <c r="X2174" i="1"/>
  <c r="W2174" i="1"/>
  <c r="V2174" i="1"/>
  <c r="X2173" i="1"/>
  <c r="W2173" i="1"/>
  <c r="V2173" i="1"/>
  <c r="X2172" i="1"/>
  <c r="W2172" i="1"/>
  <c r="V2172" i="1"/>
  <c r="W2171" i="1"/>
  <c r="X2171" i="1" s="1"/>
  <c r="V2171" i="1"/>
  <c r="W2170" i="1"/>
  <c r="X2170" i="1" s="1"/>
  <c r="V2170" i="1"/>
  <c r="W2169" i="1"/>
  <c r="X2169" i="1" s="1"/>
  <c r="V2169" i="1"/>
  <c r="X2168" i="1"/>
  <c r="W2168" i="1"/>
  <c r="V2168" i="1"/>
  <c r="W2167" i="1"/>
  <c r="X2167" i="1" s="1"/>
  <c r="V2167" i="1"/>
  <c r="X2166" i="1"/>
  <c r="W2166" i="1"/>
  <c r="V2166" i="1"/>
  <c r="X2165" i="1"/>
  <c r="W2165" i="1"/>
  <c r="V2165" i="1"/>
  <c r="X2164" i="1"/>
  <c r="W2164" i="1"/>
  <c r="V2164" i="1"/>
  <c r="W2163" i="1"/>
  <c r="X2163" i="1" s="1"/>
  <c r="V2163" i="1"/>
  <c r="W2162" i="1"/>
  <c r="X2162" i="1" s="1"/>
  <c r="V2162" i="1"/>
  <c r="W2161" i="1"/>
  <c r="X2161" i="1" s="1"/>
  <c r="V2161" i="1"/>
  <c r="X2160" i="1"/>
  <c r="W2160" i="1"/>
  <c r="V2160" i="1"/>
  <c r="W2159" i="1"/>
  <c r="X2159" i="1" s="1"/>
  <c r="V2159" i="1"/>
  <c r="X2158" i="1"/>
  <c r="W2158" i="1"/>
  <c r="V2158" i="1"/>
  <c r="X2157" i="1"/>
  <c r="W2157" i="1"/>
  <c r="V2157" i="1"/>
  <c r="X2156" i="1"/>
  <c r="W2156" i="1"/>
  <c r="V2156" i="1"/>
  <c r="W2155" i="1"/>
  <c r="X2155" i="1" s="1"/>
  <c r="V2155" i="1"/>
  <c r="W2154" i="1"/>
  <c r="X2154" i="1" s="1"/>
  <c r="V2154" i="1"/>
  <c r="W2153" i="1"/>
  <c r="X2153" i="1" s="1"/>
  <c r="V2153" i="1"/>
  <c r="X2152" i="1"/>
  <c r="W2152" i="1"/>
  <c r="V2152" i="1"/>
  <c r="W2151" i="1"/>
  <c r="X2151" i="1" s="1"/>
  <c r="V2151" i="1"/>
  <c r="X2150" i="1"/>
  <c r="W2150" i="1"/>
  <c r="V2150" i="1"/>
  <c r="X2149" i="1"/>
  <c r="W2149" i="1"/>
  <c r="V2149" i="1"/>
  <c r="X2148" i="1"/>
  <c r="W2148" i="1"/>
  <c r="V2148" i="1"/>
  <c r="W2147" i="1"/>
  <c r="X2147" i="1" s="1"/>
  <c r="V2147" i="1"/>
  <c r="W2146" i="1"/>
  <c r="X2146" i="1" s="1"/>
  <c r="V2146" i="1"/>
  <c r="W2145" i="1"/>
  <c r="X2145" i="1" s="1"/>
  <c r="V2145" i="1"/>
  <c r="X2144" i="1"/>
  <c r="W2144" i="1"/>
  <c r="V2144" i="1"/>
  <c r="W2143" i="1"/>
  <c r="X2143" i="1" s="1"/>
  <c r="V2143" i="1"/>
  <c r="X2142" i="1"/>
  <c r="W2142" i="1"/>
  <c r="V2142" i="1"/>
  <c r="X2141" i="1"/>
  <c r="W2141" i="1"/>
  <c r="V2141" i="1"/>
  <c r="X2140" i="1"/>
  <c r="W2140" i="1"/>
  <c r="V2140" i="1"/>
  <c r="W2139" i="1"/>
  <c r="X2139" i="1" s="1"/>
  <c r="V2139" i="1"/>
  <c r="W2138" i="1"/>
  <c r="X2138" i="1" s="1"/>
  <c r="V2138" i="1"/>
  <c r="W2137" i="1"/>
  <c r="X2137" i="1" s="1"/>
  <c r="V2137" i="1"/>
  <c r="W2136" i="1"/>
  <c r="X2136" i="1" s="1"/>
  <c r="V2136" i="1"/>
  <c r="W2135" i="1"/>
  <c r="X2135" i="1" s="1"/>
  <c r="V2135" i="1"/>
  <c r="X2134" i="1"/>
  <c r="W2134" i="1"/>
  <c r="V2134" i="1"/>
  <c r="X2133" i="1"/>
  <c r="W2133" i="1"/>
  <c r="V2133" i="1"/>
  <c r="X2132" i="1"/>
  <c r="W2132" i="1"/>
  <c r="V2132" i="1"/>
  <c r="W2131" i="1"/>
  <c r="X2131" i="1" s="1"/>
  <c r="V2131" i="1"/>
  <c r="W2130" i="1"/>
  <c r="X2130" i="1" s="1"/>
  <c r="V2130" i="1"/>
  <c r="W2129" i="1"/>
  <c r="X2129" i="1" s="1"/>
  <c r="V2129" i="1"/>
  <c r="X2128" i="1"/>
  <c r="W2128" i="1"/>
  <c r="V2128" i="1"/>
  <c r="W2127" i="1"/>
  <c r="X2127" i="1" s="1"/>
  <c r="V2127" i="1"/>
  <c r="X2126" i="1"/>
  <c r="W2126" i="1"/>
  <c r="V2126" i="1"/>
  <c r="X2125" i="1"/>
  <c r="W2125" i="1"/>
  <c r="V2125" i="1"/>
  <c r="X2124" i="1"/>
  <c r="W2124" i="1"/>
  <c r="V2124" i="1"/>
  <c r="W2123" i="1"/>
  <c r="X2123" i="1" s="1"/>
  <c r="V2123" i="1"/>
  <c r="W2122" i="1"/>
  <c r="X2122" i="1" s="1"/>
  <c r="V2122" i="1"/>
  <c r="W2121" i="1"/>
  <c r="X2121" i="1" s="1"/>
  <c r="V2121" i="1"/>
  <c r="W2120" i="1"/>
  <c r="X2120" i="1" s="1"/>
  <c r="V2120" i="1"/>
  <c r="W2119" i="1"/>
  <c r="X2119" i="1" s="1"/>
  <c r="V2119" i="1"/>
  <c r="X2118" i="1"/>
  <c r="W2118" i="1"/>
  <c r="V2118" i="1"/>
  <c r="X2117" i="1"/>
  <c r="W2117" i="1"/>
  <c r="V2117" i="1"/>
  <c r="X2116" i="1"/>
  <c r="W2116" i="1"/>
  <c r="V2116" i="1"/>
  <c r="W2115" i="1"/>
  <c r="X2115" i="1" s="1"/>
  <c r="V2115" i="1"/>
  <c r="W2114" i="1"/>
  <c r="X2114" i="1" s="1"/>
  <c r="V2114" i="1"/>
  <c r="W2113" i="1"/>
  <c r="X2113" i="1" s="1"/>
  <c r="V2113" i="1"/>
  <c r="X2112" i="1"/>
  <c r="W2112" i="1"/>
  <c r="V2112" i="1"/>
  <c r="W2111" i="1"/>
  <c r="X2111" i="1" s="1"/>
  <c r="V2111" i="1"/>
  <c r="X2110" i="1"/>
  <c r="W2110" i="1"/>
  <c r="V2110" i="1"/>
  <c r="X2109" i="1"/>
  <c r="W2109" i="1"/>
  <c r="V2109" i="1"/>
  <c r="X2108" i="1"/>
  <c r="W2108" i="1"/>
  <c r="V2108" i="1"/>
  <c r="W2107" i="1"/>
  <c r="X2107" i="1" s="1"/>
  <c r="V2107" i="1"/>
  <c r="W2106" i="1"/>
  <c r="X2106" i="1" s="1"/>
  <c r="V2106" i="1"/>
  <c r="W2105" i="1"/>
  <c r="X2105" i="1" s="1"/>
  <c r="V2105" i="1"/>
  <c r="W2104" i="1"/>
  <c r="X2104" i="1" s="1"/>
  <c r="V2104" i="1"/>
  <c r="W2103" i="1"/>
  <c r="X2103" i="1" s="1"/>
  <c r="V2103" i="1"/>
  <c r="X2102" i="1"/>
  <c r="W2102" i="1"/>
  <c r="V2102" i="1"/>
  <c r="X2101" i="1"/>
  <c r="W2101" i="1"/>
  <c r="V2101" i="1"/>
  <c r="X2100" i="1"/>
  <c r="W2100" i="1"/>
  <c r="V2100" i="1"/>
  <c r="W2099" i="1"/>
  <c r="X2099" i="1" s="1"/>
  <c r="V2099" i="1"/>
  <c r="W2098" i="1"/>
  <c r="X2098" i="1" s="1"/>
  <c r="V2098" i="1"/>
  <c r="W2097" i="1"/>
  <c r="X2097" i="1" s="1"/>
  <c r="V2097" i="1"/>
  <c r="X2096" i="1"/>
  <c r="W2096" i="1"/>
  <c r="V2096" i="1"/>
  <c r="W2095" i="1"/>
  <c r="X2095" i="1" s="1"/>
  <c r="V2095" i="1"/>
  <c r="X2094" i="1"/>
  <c r="W2094" i="1"/>
  <c r="V2094" i="1"/>
  <c r="X2093" i="1"/>
  <c r="W2093" i="1"/>
  <c r="V2093" i="1"/>
  <c r="X2092" i="1"/>
  <c r="W2092" i="1"/>
  <c r="V2092" i="1"/>
  <c r="W2091" i="1"/>
  <c r="X2091" i="1" s="1"/>
  <c r="V2091" i="1"/>
  <c r="W2090" i="1"/>
  <c r="X2090" i="1" s="1"/>
  <c r="V2090" i="1"/>
  <c r="W2089" i="1"/>
  <c r="X2089" i="1" s="1"/>
  <c r="V2089" i="1"/>
  <c r="W2088" i="1"/>
  <c r="X2088" i="1" s="1"/>
  <c r="V2088" i="1"/>
  <c r="W2087" i="1"/>
  <c r="X2087" i="1" s="1"/>
  <c r="V2087" i="1"/>
  <c r="X2086" i="1"/>
  <c r="W2086" i="1"/>
  <c r="V2086" i="1"/>
  <c r="X2085" i="1"/>
  <c r="W2085" i="1"/>
  <c r="V2085" i="1"/>
  <c r="X2084" i="1"/>
  <c r="W2084" i="1"/>
  <c r="V2084" i="1"/>
  <c r="W2083" i="1"/>
  <c r="X2083" i="1" s="1"/>
  <c r="V2083" i="1"/>
  <c r="W2082" i="1"/>
  <c r="X2082" i="1" s="1"/>
  <c r="V2082" i="1"/>
  <c r="W2081" i="1"/>
  <c r="X2081" i="1" s="1"/>
  <c r="V2081" i="1"/>
  <c r="X2080" i="1"/>
  <c r="W2080" i="1"/>
  <c r="V2080" i="1"/>
  <c r="W2079" i="1"/>
  <c r="X2079" i="1" s="1"/>
  <c r="V2079" i="1"/>
  <c r="X2078" i="1"/>
  <c r="W2078" i="1"/>
  <c r="V2078" i="1"/>
  <c r="W2077" i="1"/>
  <c r="X2077" i="1" s="1"/>
  <c r="V2077" i="1"/>
  <c r="X2076" i="1"/>
  <c r="W2076" i="1"/>
  <c r="V2076" i="1"/>
  <c r="W2075" i="1"/>
  <c r="X2075" i="1" s="1"/>
  <c r="V2075" i="1"/>
  <c r="W2074" i="1"/>
  <c r="X2074" i="1" s="1"/>
  <c r="V2074" i="1"/>
  <c r="W2073" i="1"/>
  <c r="X2073" i="1" s="1"/>
  <c r="V2073" i="1"/>
  <c r="W2072" i="1"/>
  <c r="X2072" i="1" s="1"/>
  <c r="V2072" i="1"/>
  <c r="W2071" i="1"/>
  <c r="X2071" i="1" s="1"/>
  <c r="V2071" i="1"/>
  <c r="X2070" i="1"/>
  <c r="W2070" i="1"/>
  <c r="V2070" i="1"/>
  <c r="X2069" i="1"/>
  <c r="W2069" i="1"/>
  <c r="V2069" i="1"/>
  <c r="X2068" i="1"/>
  <c r="W2068" i="1"/>
  <c r="V2068" i="1"/>
  <c r="W2067" i="1"/>
  <c r="X2067" i="1" s="1"/>
  <c r="V2067" i="1"/>
  <c r="X2066" i="1"/>
  <c r="W2066" i="1"/>
  <c r="V2066" i="1"/>
  <c r="W2065" i="1"/>
  <c r="X2065" i="1" s="1"/>
  <c r="V2065" i="1"/>
  <c r="X2064" i="1"/>
  <c r="W2064" i="1"/>
  <c r="V2064" i="1"/>
  <c r="X2063" i="1"/>
  <c r="W2063" i="1"/>
  <c r="V2063" i="1"/>
  <c r="X2062" i="1"/>
  <c r="W2062" i="1"/>
  <c r="V2062" i="1"/>
  <c r="W2061" i="1"/>
  <c r="X2061" i="1" s="1"/>
  <c r="V2061" i="1"/>
  <c r="X2060" i="1"/>
  <c r="W2060" i="1"/>
  <c r="V2060" i="1"/>
  <c r="W2059" i="1"/>
  <c r="X2059" i="1" s="1"/>
  <c r="V2059" i="1"/>
  <c r="W2058" i="1"/>
  <c r="X2058" i="1" s="1"/>
  <c r="V2058" i="1"/>
  <c r="X2057" i="1"/>
  <c r="W2057" i="1"/>
  <c r="V2057" i="1"/>
  <c r="W2056" i="1"/>
  <c r="X2056" i="1" s="1"/>
  <c r="V2056" i="1"/>
  <c r="W2055" i="1"/>
  <c r="X2055" i="1" s="1"/>
  <c r="V2055" i="1"/>
  <c r="W2054" i="1"/>
  <c r="X2054" i="1" s="1"/>
  <c r="V2054" i="1"/>
  <c r="X2053" i="1"/>
  <c r="W2053" i="1"/>
  <c r="V2053" i="1"/>
  <c r="X2052" i="1"/>
  <c r="W2052" i="1"/>
  <c r="V2052" i="1"/>
  <c r="X2051" i="1"/>
  <c r="W2051" i="1"/>
  <c r="V2051" i="1"/>
  <c r="W2050" i="1"/>
  <c r="X2050" i="1" s="1"/>
  <c r="V2050" i="1"/>
  <c r="X2049" i="1"/>
  <c r="W2049" i="1"/>
  <c r="V2049" i="1"/>
  <c r="W2048" i="1"/>
  <c r="X2048" i="1" s="1"/>
  <c r="V2048" i="1"/>
  <c r="W2047" i="1"/>
  <c r="X2047" i="1" s="1"/>
  <c r="V2047" i="1"/>
  <c r="W2046" i="1"/>
  <c r="X2046" i="1" s="1"/>
  <c r="V2046" i="1"/>
  <c r="X2045" i="1"/>
  <c r="W2045" i="1"/>
  <c r="V2045" i="1"/>
  <c r="X2044" i="1"/>
  <c r="W2044" i="1"/>
  <c r="V2044" i="1"/>
  <c r="X2043" i="1"/>
  <c r="W2043" i="1"/>
  <c r="V2043" i="1"/>
  <c r="W2042" i="1"/>
  <c r="X2042" i="1" s="1"/>
  <c r="V2042" i="1"/>
  <c r="X2041" i="1"/>
  <c r="W2041" i="1"/>
  <c r="V2041" i="1"/>
  <c r="W2040" i="1"/>
  <c r="X2040" i="1" s="1"/>
  <c r="V2040" i="1"/>
  <c r="W2039" i="1"/>
  <c r="X2039" i="1" s="1"/>
  <c r="V2039" i="1"/>
  <c r="W2038" i="1"/>
  <c r="X2038" i="1" s="1"/>
  <c r="V2038" i="1"/>
  <c r="X2037" i="1"/>
  <c r="W2037" i="1"/>
  <c r="V2037" i="1"/>
  <c r="X2036" i="1"/>
  <c r="W2036" i="1"/>
  <c r="V2036" i="1"/>
  <c r="X2035" i="1"/>
  <c r="W2035" i="1"/>
  <c r="V2035" i="1"/>
  <c r="W2034" i="1"/>
  <c r="X2034" i="1" s="1"/>
  <c r="V2034" i="1"/>
  <c r="X2033" i="1"/>
  <c r="W2033" i="1"/>
  <c r="V2033" i="1"/>
  <c r="W2032" i="1"/>
  <c r="X2032" i="1" s="1"/>
  <c r="V2032" i="1"/>
  <c r="W2031" i="1"/>
  <c r="X2031" i="1" s="1"/>
  <c r="V2031" i="1"/>
  <c r="W2030" i="1"/>
  <c r="X2030" i="1" s="1"/>
  <c r="V2030" i="1"/>
  <c r="X2029" i="1"/>
  <c r="W2029" i="1"/>
  <c r="V2029" i="1"/>
  <c r="X2028" i="1"/>
  <c r="W2028" i="1"/>
  <c r="V2028" i="1"/>
  <c r="X2027" i="1"/>
  <c r="W2027" i="1"/>
  <c r="V2027" i="1"/>
  <c r="W2026" i="1"/>
  <c r="X2026" i="1" s="1"/>
  <c r="V2026" i="1"/>
  <c r="X2025" i="1"/>
  <c r="W2025" i="1"/>
  <c r="V2025" i="1"/>
  <c r="W2024" i="1"/>
  <c r="X2024" i="1" s="1"/>
  <c r="V2024" i="1"/>
  <c r="W2023" i="1"/>
  <c r="X2023" i="1" s="1"/>
  <c r="V2023" i="1"/>
  <c r="W2022" i="1"/>
  <c r="X2022" i="1" s="1"/>
  <c r="V2022" i="1"/>
  <c r="X2021" i="1"/>
  <c r="W2021" i="1"/>
  <c r="V2021" i="1"/>
  <c r="X2020" i="1"/>
  <c r="W2020" i="1"/>
  <c r="V2020" i="1"/>
  <c r="X2019" i="1"/>
  <c r="W2019" i="1"/>
  <c r="V2019" i="1"/>
  <c r="W2018" i="1"/>
  <c r="X2018" i="1" s="1"/>
  <c r="V2018" i="1"/>
  <c r="X2017" i="1"/>
  <c r="W2017" i="1"/>
  <c r="V2017" i="1"/>
  <c r="W2016" i="1"/>
  <c r="X2016" i="1" s="1"/>
  <c r="V2016" i="1"/>
  <c r="W2015" i="1"/>
  <c r="X2015" i="1" s="1"/>
  <c r="V2015" i="1"/>
  <c r="W2014" i="1"/>
  <c r="X2014" i="1" s="1"/>
  <c r="V2014" i="1"/>
  <c r="X2013" i="1"/>
  <c r="W2013" i="1"/>
  <c r="V2013" i="1"/>
  <c r="X2012" i="1"/>
  <c r="W2012" i="1"/>
  <c r="V2012" i="1"/>
  <c r="X2011" i="1"/>
  <c r="W2011" i="1"/>
  <c r="V2011" i="1"/>
  <c r="W2010" i="1"/>
  <c r="X2010" i="1" s="1"/>
  <c r="V2010" i="1"/>
  <c r="X2009" i="1"/>
  <c r="W2009" i="1"/>
  <c r="V2009" i="1"/>
  <c r="W2008" i="1"/>
  <c r="X2008" i="1" s="1"/>
  <c r="V2008" i="1"/>
  <c r="W2007" i="1"/>
  <c r="X2007" i="1" s="1"/>
  <c r="V2007" i="1"/>
  <c r="W2006" i="1"/>
  <c r="X2006" i="1" s="1"/>
  <c r="V2006" i="1"/>
  <c r="X2005" i="1"/>
  <c r="W2005" i="1"/>
  <c r="V2005" i="1"/>
  <c r="X2004" i="1"/>
  <c r="W2004" i="1"/>
  <c r="V2004" i="1"/>
  <c r="X2003" i="1"/>
  <c r="W2003" i="1"/>
  <c r="V2003" i="1"/>
  <c r="W2002" i="1"/>
  <c r="X2002" i="1" s="1"/>
  <c r="V2002" i="1"/>
  <c r="X2001" i="1"/>
  <c r="W2001" i="1"/>
  <c r="V2001" i="1"/>
  <c r="W2000" i="1"/>
  <c r="X2000" i="1" s="1"/>
  <c r="V2000" i="1"/>
  <c r="W1999" i="1"/>
  <c r="X1999" i="1" s="1"/>
  <c r="V1999" i="1"/>
  <c r="W1998" i="1"/>
  <c r="X1998" i="1" s="1"/>
  <c r="V1998" i="1"/>
  <c r="X1997" i="1"/>
  <c r="W1997" i="1"/>
  <c r="V1997" i="1"/>
  <c r="X1996" i="1"/>
  <c r="W1996" i="1"/>
  <c r="V1996" i="1"/>
  <c r="X1995" i="1"/>
  <c r="W1995" i="1"/>
  <c r="V1995" i="1"/>
  <c r="W1994" i="1"/>
  <c r="X1994" i="1" s="1"/>
  <c r="V1994" i="1"/>
  <c r="X1993" i="1"/>
  <c r="W1993" i="1"/>
  <c r="V1993" i="1"/>
  <c r="W1992" i="1"/>
  <c r="X1992" i="1" s="1"/>
  <c r="V1992" i="1"/>
  <c r="W1991" i="1"/>
  <c r="X1991" i="1" s="1"/>
  <c r="V1991" i="1"/>
  <c r="W1990" i="1"/>
  <c r="X1990" i="1" s="1"/>
  <c r="V1990" i="1"/>
  <c r="X1989" i="1"/>
  <c r="W1989" i="1"/>
  <c r="V1989" i="1"/>
  <c r="X1988" i="1"/>
  <c r="W1988" i="1"/>
  <c r="V1988" i="1"/>
  <c r="X1987" i="1"/>
  <c r="W1987" i="1"/>
  <c r="V1987" i="1"/>
  <c r="W1986" i="1"/>
  <c r="X1986" i="1" s="1"/>
  <c r="V1986" i="1"/>
  <c r="X1985" i="1"/>
  <c r="W1985" i="1"/>
  <c r="V1985" i="1"/>
  <c r="W1984" i="1"/>
  <c r="X1984" i="1" s="1"/>
  <c r="V1984" i="1"/>
  <c r="W1983" i="1"/>
  <c r="X1983" i="1" s="1"/>
  <c r="V1983" i="1"/>
  <c r="W1982" i="1"/>
  <c r="X1982" i="1" s="1"/>
  <c r="V1982" i="1"/>
  <c r="X1981" i="1"/>
  <c r="W1981" i="1"/>
  <c r="V1981" i="1"/>
  <c r="X1980" i="1"/>
  <c r="W1980" i="1"/>
  <c r="V1980" i="1"/>
  <c r="X1979" i="1"/>
  <c r="W1979" i="1"/>
  <c r="V1979" i="1"/>
  <c r="W1978" i="1"/>
  <c r="X1978" i="1" s="1"/>
  <c r="V1978" i="1"/>
  <c r="X1977" i="1"/>
  <c r="W1977" i="1"/>
  <c r="V1977" i="1"/>
  <c r="W1976" i="1"/>
  <c r="X1976" i="1" s="1"/>
  <c r="V1976" i="1"/>
  <c r="W1975" i="1"/>
  <c r="X1975" i="1" s="1"/>
  <c r="V1975" i="1"/>
  <c r="W1974" i="1"/>
  <c r="X1974" i="1" s="1"/>
  <c r="V1974" i="1"/>
  <c r="X1973" i="1"/>
  <c r="W1973" i="1"/>
  <c r="V1973" i="1"/>
  <c r="X1972" i="1"/>
  <c r="W1972" i="1"/>
  <c r="V1972" i="1"/>
  <c r="X1971" i="1"/>
  <c r="W1971" i="1"/>
  <c r="V1971" i="1"/>
  <c r="W1970" i="1"/>
  <c r="X1970" i="1" s="1"/>
  <c r="V1970" i="1"/>
  <c r="X1969" i="1"/>
  <c r="W1969" i="1"/>
  <c r="V1969" i="1"/>
  <c r="W1968" i="1"/>
  <c r="X1968" i="1" s="1"/>
  <c r="V1968" i="1"/>
  <c r="W1967" i="1"/>
  <c r="X1967" i="1" s="1"/>
  <c r="V1967" i="1"/>
  <c r="W1966" i="1"/>
  <c r="X1966" i="1" s="1"/>
  <c r="V1966" i="1"/>
  <c r="X1965" i="1"/>
  <c r="W1965" i="1"/>
  <c r="V1965" i="1"/>
  <c r="X1964" i="1"/>
  <c r="W1964" i="1"/>
  <c r="V1964" i="1"/>
  <c r="X1963" i="1"/>
  <c r="W1963" i="1"/>
  <c r="V1963" i="1"/>
  <c r="W1962" i="1"/>
  <c r="X1962" i="1" s="1"/>
  <c r="V1962" i="1"/>
  <c r="X1961" i="1"/>
  <c r="W1961" i="1"/>
  <c r="V1961" i="1"/>
  <c r="W1960" i="1"/>
  <c r="X1960" i="1" s="1"/>
  <c r="V1960" i="1"/>
  <c r="W1959" i="1"/>
  <c r="X1959" i="1" s="1"/>
  <c r="V1959" i="1"/>
  <c r="W1958" i="1"/>
  <c r="X1958" i="1" s="1"/>
  <c r="V1958" i="1"/>
  <c r="X1957" i="1"/>
  <c r="W1957" i="1"/>
  <c r="V1957" i="1"/>
  <c r="X1956" i="1"/>
  <c r="W1956" i="1"/>
  <c r="V1956" i="1"/>
  <c r="X1955" i="1"/>
  <c r="W1955" i="1"/>
  <c r="V1955" i="1"/>
  <c r="W1954" i="1"/>
  <c r="X1954" i="1" s="1"/>
  <c r="V1954" i="1"/>
  <c r="X1953" i="1"/>
  <c r="W1953" i="1"/>
  <c r="V1953" i="1"/>
  <c r="W1952" i="1"/>
  <c r="X1952" i="1" s="1"/>
  <c r="V1952" i="1"/>
  <c r="W1951" i="1"/>
  <c r="X1951" i="1" s="1"/>
  <c r="V1951" i="1"/>
  <c r="W1950" i="1"/>
  <c r="X1950" i="1" s="1"/>
  <c r="V1950" i="1"/>
  <c r="X1949" i="1"/>
  <c r="W1949" i="1"/>
  <c r="V1949" i="1"/>
  <c r="X1948" i="1"/>
  <c r="W1948" i="1"/>
  <c r="V1948" i="1"/>
  <c r="X1947" i="1"/>
  <c r="W1947" i="1"/>
  <c r="V1947" i="1"/>
  <c r="W1946" i="1"/>
  <c r="X1946" i="1" s="1"/>
  <c r="V1946" i="1"/>
  <c r="X1945" i="1"/>
  <c r="W1945" i="1"/>
  <c r="V1945" i="1"/>
  <c r="W1944" i="1"/>
  <c r="X1944" i="1" s="1"/>
  <c r="V1944" i="1"/>
  <c r="W1943" i="1"/>
  <c r="X1943" i="1" s="1"/>
  <c r="V1943" i="1"/>
  <c r="W1942" i="1"/>
  <c r="X1942" i="1" s="1"/>
  <c r="V1942" i="1"/>
  <c r="X1941" i="1"/>
  <c r="W1941" i="1"/>
  <c r="V1941" i="1"/>
  <c r="X1940" i="1"/>
  <c r="W1940" i="1"/>
  <c r="V1940" i="1"/>
  <c r="X1939" i="1"/>
  <c r="W1939" i="1"/>
  <c r="V1939" i="1"/>
  <c r="W1938" i="1"/>
  <c r="X1938" i="1" s="1"/>
  <c r="V1938" i="1"/>
  <c r="X1937" i="1"/>
  <c r="W1937" i="1"/>
  <c r="V1937" i="1"/>
  <c r="W1936" i="1"/>
  <c r="X1936" i="1" s="1"/>
  <c r="V1936" i="1"/>
  <c r="W1935" i="1"/>
  <c r="X1935" i="1" s="1"/>
  <c r="V1935" i="1"/>
  <c r="W1934" i="1"/>
  <c r="X1934" i="1" s="1"/>
  <c r="V1934" i="1"/>
  <c r="X1933" i="1"/>
  <c r="W1933" i="1"/>
  <c r="V1933" i="1"/>
  <c r="X1932" i="1"/>
  <c r="W1932" i="1"/>
  <c r="V1932" i="1"/>
  <c r="X1931" i="1"/>
  <c r="W1931" i="1"/>
  <c r="V1931" i="1"/>
  <c r="W1930" i="1"/>
  <c r="X1930" i="1" s="1"/>
  <c r="V1930" i="1"/>
  <c r="X1929" i="1"/>
  <c r="W1929" i="1"/>
  <c r="V1929" i="1"/>
  <c r="W1928" i="1"/>
  <c r="X1928" i="1" s="1"/>
  <c r="V1928" i="1"/>
  <c r="W1927" i="1"/>
  <c r="X1927" i="1" s="1"/>
  <c r="V1927" i="1"/>
  <c r="W1926" i="1"/>
  <c r="X1926" i="1" s="1"/>
  <c r="V1926" i="1"/>
  <c r="X1925" i="1"/>
  <c r="W1925" i="1"/>
  <c r="V1925" i="1"/>
  <c r="X1924" i="1"/>
  <c r="W1924" i="1"/>
  <c r="V1924" i="1"/>
  <c r="X1923" i="1"/>
  <c r="W1923" i="1"/>
  <c r="V1923" i="1"/>
  <c r="W1922" i="1"/>
  <c r="X1922" i="1" s="1"/>
  <c r="V1922" i="1"/>
  <c r="X1921" i="1"/>
  <c r="W1921" i="1"/>
  <c r="V1921" i="1"/>
  <c r="W1920" i="1"/>
  <c r="X1920" i="1" s="1"/>
  <c r="V1920" i="1"/>
  <c r="W1919" i="1"/>
  <c r="X1919" i="1" s="1"/>
  <c r="V1919" i="1"/>
  <c r="W1918" i="1"/>
  <c r="X1918" i="1" s="1"/>
  <c r="V1918" i="1"/>
  <c r="X1917" i="1"/>
  <c r="W1917" i="1"/>
  <c r="V1917" i="1"/>
  <c r="X1916" i="1"/>
  <c r="W1916" i="1"/>
  <c r="V1916" i="1"/>
  <c r="X1915" i="1"/>
  <c r="W1915" i="1"/>
  <c r="V1915" i="1"/>
  <c r="W1914" i="1"/>
  <c r="X1914" i="1" s="1"/>
  <c r="V1914" i="1"/>
  <c r="X1913" i="1"/>
  <c r="W1913" i="1"/>
  <c r="V1913" i="1"/>
  <c r="W1912" i="1"/>
  <c r="X1912" i="1" s="1"/>
  <c r="V1912" i="1"/>
  <c r="W1911" i="1"/>
  <c r="X1911" i="1" s="1"/>
  <c r="V1911" i="1"/>
  <c r="W1910" i="1"/>
  <c r="X1910" i="1" s="1"/>
  <c r="V1910" i="1"/>
  <c r="X1909" i="1"/>
  <c r="W1909" i="1"/>
  <c r="V1909" i="1"/>
  <c r="X1908" i="1"/>
  <c r="W1908" i="1"/>
  <c r="V1908" i="1"/>
  <c r="X1907" i="1"/>
  <c r="W1907" i="1"/>
  <c r="V1907" i="1"/>
  <c r="W1906" i="1"/>
  <c r="X1906" i="1" s="1"/>
  <c r="V1906" i="1"/>
  <c r="X1905" i="1"/>
  <c r="W1905" i="1"/>
  <c r="V1905" i="1"/>
  <c r="W1904" i="1"/>
  <c r="X1904" i="1" s="1"/>
  <c r="V1904" i="1"/>
  <c r="W1903" i="1"/>
  <c r="X1903" i="1" s="1"/>
  <c r="V1903" i="1"/>
  <c r="W1902" i="1"/>
  <c r="X1902" i="1" s="1"/>
  <c r="V1902" i="1"/>
  <c r="X1901" i="1"/>
  <c r="W1901" i="1"/>
  <c r="V1901" i="1"/>
  <c r="X1900" i="1"/>
  <c r="W1900" i="1"/>
  <c r="V1900" i="1"/>
  <c r="X1899" i="1"/>
  <c r="W1899" i="1"/>
  <c r="V1899" i="1"/>
  <c r="W1898" i="1"/>
  <c r="X1898" i="1" s="1"/>
  <c r="V1898" i="1"/>
  <c r="X1897" i="1"/>
  <c r="W1897" i="1"/>
  <c r="V1897" i="1"/>
  <c r="W1896" i="1"/>
  <c r="X1896" i="1" s="1"/>
  <c r="V1896" i="1"/>
  <c r="W1895" i="1"/>
  <c r="X1895" i="1" s="1"/>
  <c r="V1895" i="1"/>
  <c r="W1894" i="1"/>
  <c r="X1894" i="1" s="1"/>
  <c r="V1894" i="1"/>
  <c r="X1893" i="1"/>
  <c r="W1893" i="1"/>
  <c r="V1893" i="1"/>
  <c r="X1892" i="1"/>
  <c r="W1892" i="1"/>
  <c r="V1892" i="1"/>
  <c r="X1891" i="1"/>
  <c r="W1891" i="1"/>
  <c r="V1891" i="1"/>
  <c r="W1890" i="1"/>
  <c r="X1890" i="1" s="1"/>
  <c r="V1890" i="1"/>
  <c r="X1889" i="1"/>
  <c r="W1889" i="1"/>
  <c r="V1889" i="1"/>
  <c r="W1888" i="1"/>
  <c r="X1888" i="1" s="1"/>
  <c r="V1888" i="1"/>
  <c r="W1887" i="1"/>
  <c r="X1887" i="1" s="1"/>
  <c r="V1887" i="1"/>
  <c r="W1886" i="1"/>
  <c r="X1886" i="1" s="1"/>
  <c r="V1886" i="1"/>
  <c r="X1885" i="1"/>
  <c r="W1885" i="1"/>
  <c r="V1885" i="1"/>
  <c r="X1884" i="1"/>
  <c r="W1884" i="1"/>
  <c r="V1884" i="1"/>
  <c r="X1883" i="1"/>
  <c r="W1883" i="1"/>
  <c r="V1883" i="1"/>
  <c r="W1882" i="1"/>
  <c r="X1882" i="1" s="1"/>
  <c r="V1882" i="1"/>
  <c r="X1881" i="1"/>
  <c r="W1881" i="1"/>
  <c r="V1881" i="1"/>
  <c r="W1880" i="1"/>
  <c r="X1880" i="1" s="1"/>
  <c r="V1880" i="1"/>
  <c r="W1879" i="1"/>
  <c r="X1879" i="1" s="1"/>
  <c r="V1879" i="1"/>
  <c r="W1878" i="1"/>
  <c r="X1878" i="1" s="1"/>
  <c r="V1878" i="1"/>
  <c r="X1877" i="1"/>
  <c r="W1877" i="1"/>
  <c r="V1877" i="1"/>
  <c r="X1876" i="1"/>
  <c r="W1876" i="1"/>
  <c r="V1876" i="1"/>
  <c r="X1875" i="1"/>
  <c r="W1875" i="1"/>
  <c r="V1875" i="1"/>
  <c r="W1874" i="1"/>
  <c r="X1874" i="1" s="1"/>
  <c r="V1874" i="1"/>
  <c r="X1873" i="1"/>
  <c r="W1873" i="1"/>
  <c r="V1873" i="1"/>
  <c r="W1872" i="1"/>
  <c r="X1872" i="1" s="1"/>
  <c r="V1872" i="1"/>
  <c r="W1871" i="1"/>
  <c r="X1871" i="1" s="1"/>
  <c r="V1871" i="1"/>
  <c r="W1870" i="1"/>
  <c r="X1870" i="1" s="1"/>
  <c r="V1870" i="1"/>
  <c r="X1869" i="1"/>
  <c r="W1869" i="1"/>
  <c r="V1869" i="1"/>
  <c r="X1868" i="1"/>
  <c r="W1868" i="1"/>
  <c r="V1868" i="1"/>
  <c r="X1867" i="1"/>
  <c r="W1867" i="1"/>
  <c r="V1867" i="1"/>
  <c r="W1866" i="1"/>
  <c r="X1866" i="1" s="1"/>
  <c r="V1866" i="1"/>
  <c r="X1865" i="1"/>
  <c r="W1865" i="1"/>
  <c r="V1865" i="1"/>
  <c r="W1864" i="1"/>
  <c r="X1864" i="1" s="1"/>
  <c r="V1864" i="1"/>
  <c r="W1863" i="1"/>
  <c r="X1863" i="1" s="1"/>
  <c r="V1863" i="1"/>
  <c r="W1862" i="1"/>
  <c r="X1862" i="1" s="1"/>
  <c r="V1862" i="1"/>
  <c r="X1861" i="1"/>
  <c r="W1861" i="1"/>
  <c r="V1861" i="1"/>
  <c r="X1860" i="1"/>
  <c r="W1860" i="1"/>
  <c r="V1860" i="1"/>
  <c r="X1859" i="1"/>
  <c r="W1859" i="1"/>
  <c r="V1859" i="1"/>
  <c r="W1858" i="1"/>
  <c r="X1858" i="1" s="1"/>
  <c r="V1858" i="1"/>
  <c r="X1857" i="1"/>
  <c r="W1857" i="1"/>
  <c r="V1857" i="1"/>
  <c r="W1856" i="1"/>
  <c r="X1856" i="1" s="1"/>
  <c r="V1856" i="1"/>
  <c r="W1855" i="1"/>
  <c r="X1855" i="1" s="1"/>
  <c r="V1855" i="1"/>
  <c r="W1854" i="1"/>
  <c r="X1854" i="1" s="1"/>
  <c r="V1854" i="1"/>
  <c r="X1853" i="1"/>
  <c r="W1853" i="1"/>
  <c r="V1853" i="1"/>
  <c r="X1852" i="1"/>
  <c r="W1852" i="1"/>
  <c r="V1852" i="1"/>
  <c r="X1851" i="1"/>
  <c r="W1851" i="1"/>
  <c r="V1851" i="1"/>
  <c r="W1850" i="1"/>
  <c r="X1850" i="1" s="1"/>
  <c r="V1850" i="1"/>
  <c r="X1849" i="1"/>
  <c r="W1849" i="1"/>
  <c r="V1849" i="1"/>
  <c r="W1848" i="1"/>
  <c r="X1848" i="1" s="1"/>
  <c r="V1848" i="1"/>
  <c r="W1847" i="1"/>
  <c r="X1847" i="1" s="1"/>
  <c r="V1847" i="1"/>
  <c r="W1846" i="1"/>
  <c r="X1846" i="1" s="1"/>
  <c r="V1846" i="1"/>
  <c r="X1845" i="1"/>
  <c r="W1845" i="1"/>
  <c r="V1845" i="1"/>
  <c r="X1844" i="1"/>
  <c r="W1844" i="1"/>
  <c r="V1844" i="1"/>
  <c r="X1843" i="1"/>
  <c r="W1843" i="1"/>
  <c r="V1843" i="1"/>
  <c r="W1842" i="1"/>
  <c r="X1842" i="1" s="1"/>
  <c r="V1842" i="1"/>
  <c r="X1841" i="1"/>
  <c r="W1841" i="1"/>
  <c r="V1841" i="1"/>
  <c r="W1840" i="1"/>
  <c r="X1840" i="1" s="1"/>
  <c r="V1840" i="1"/>
  <c r="W1839" i="1"/>
  <c r="X1839" i="1" s="1"/>
  <c r="V1839" i="1"/>
  <c r="W1838" i="1"/>
  <c r="X1838" i="1" s="1"/>
  <c r="V1838" i="1"/>
  <c r="X1837" i="1"/>
  <c r="W1837" i="1"/>
  <c r="V1837" i="1"/>
  <c r="X1836" i="1"/>
  <c r="W1836" i="1"/>
  <c r="V1836" i="1"/>
  <c r="X1835" i="1"/>
  <c r="W1835" i="1"/>
  <c r="V1835" i="1"/>
  <c r="W1834" i="1"/>
  <c r="X1834" i="1" s="1"/>
  <c r="V1834" i="1"/>
  <c r="X1833" i="1"/>
  <c r="W1833" i="1"/>
  <c r="V1833" i="1"/>
  <c r="W1832" i="1"/>
  <c r="X1832" i="1" s="1"/>
  <c r="V1832" i="1"/>
  <c r="W1831" i="1"/>
  <c r="X1831" i="1" s="1"/>
  <c r="V1831" i="1"/>
  <c r="W1830" i="1"/>
  <c r="X1830" i="1" s="1"/>
  <c r="V1830" i="1"/>
  <c r="X1829" i="1"/>
  <c r="W1829" i="1"/>
  <c r="V1829" i="1"/>
  <c r="X1828" i="1"/>
  <c r="W1828" i="1"/>
  <c r="V1828" i="1"/>
  <c r="X1827" i="1"/>
  <c r="W1827" i="1"/>
  <c r="V1827" i="1"/>
  <c r="W1826" i="1"/>
  <c r="X1826" i="1" s="1"/>
  <c r="V1826" i="1"/>
  <c r="X1825" i="1"/>
  <c r="W1825" i="1"/>
  <c r="V1825" i="1"/>
  <c r="W1824" i="1"/>
  <c r="X1824" i="1" s="1"/>
  <c r="V1824" i="1"/>
  <c r="W1823" i="1"/>
  <c r="X1823" i="1" s="1"/>
  <c r="V1823" i="1"/>
  <c r="W1822" i="1"/>
  <c r="X1822" i="1" s="1"/>
  <c r="V1822" i="1"/>
  <c r="X1821" i="1"/>
  <c r="W1821" i="1"/>
  <c r="V1821" i="1"/>
  <c r="X1820" i="1"/>
  <c r="W1820" i="1"/>
  <c r="V1820" i="1"/>
  <c r="X1819" i="1"/>
  <c r="W1819" i="1"/>
  <c r="V1819" i="1"/>
  <c r="W1818" i="1"/>
  <c r="X1818" i="1" s="1"/>
  <c r="V1818" i="1"/>
  <c r="X1817" i="1"/>
  <c r="W1817" i="1"/>
  <c r="V1817" i="1"/>
  <c r="W1816" i="1"/>
  <c r="X1816" i="1" s="1"/>
  <c r="V1816" i="1"/>
  <c r="W1815" i="1"/>
  <c r="X1815" i="1" s="1"/>
  <c r="V1815" i="1"/>
  <c r="W1814" i="1"/>
  <c r="X1814" i="1" s="1"/>
  <c r="V1814" i="1"/>
  <c r="X1813" i="1"/>
  <c r="W1813" i="1"/>
  <c r="V1813" i="1"/>
  <c r="X1812" i="1"/>
  <c r="W1812" i="1"/>
  <c r="V1812" i="1"/>
  <c r="X1811" i="1"/>
  <c r="W1811" i="1"/>
  <c r="V1811" i="1"/>
  <c r="W1810" i="1"/>
  <c r="X1810" i="1" s="1"/>
  <c r="V1810" i="1"/>
  <c r="X1809" i="1"/>
  <c r="W1809" i="1"/>
  <c r="V1809" i="1"/>
  <c r="W1808" i="1"/>
  <c r="X1808" i="1" s="1"/>
  <c r="V1808" i="1"/>
  <c r="W1807" i="1"/>
  <c r="X1807" i="1" s="1"/>
  <c r="V1807" i="1"/>
  <c r="W1806" i="1"/>
  <c r="X1806" i="1" s="1"/>
  <c r="V1806" i="1"/>
  <c r="X1805" i="1"/>
  <c r="W1805" i="1"/>
  <c r="V1805" i="1"/>
  <c r="X1804" i="1"/>
  <c r="W1804" i="1"/>
  <c r="V1804" i="1"/>
  <c r="X1803" i="1"/>
  <c r="W1803" i="1"/>
  <c r="V1803" i="1"/>
  <c r="W1802" i="1"/>
  <c r="X1802" i="1" s="1"/>
  <c r="V1802" i="1"/>
  <c r="X1801" i="1"/>
  <c r="W1801" i="1"/>
  <c r="V1801" i="1"/>
  <c r="W1800" i="1"/>
  <c r="X1800" i="1" s="1"/>
  <c r="V1800" i="1"/>
  <c r="W1799" i="1"/>
  <c r="X1799" i="1" s="1"/>
  <c r="V1799" i="1"/>
  <c r="W1798" i="1"/>
  <c r="X1798" i="1" s="1"/>
  <c r="V1798" i="1"/>
  <c r="X1797" i="1"/>
  <c r="W1797" i="1"/>
  <c r="V1797" i="1"/>
  <c r="X1796" i="1"/>
  <c r="W1796" i="1"/>
  <c r="V1796" i="1"/>
  <c r="X1795" i="1"/>
  <c r="W1795" i="1"/>
  <c r="V1795" i="1"/>
  <c r="W1794" i="1"/>
  <c r="X1794" i="1" s="1"/>
  <c r="V1794" i="1"/>
  <c r="X1793" i="1"/>
  <c r="W1793" i="1"/>
  <c r="V1793" i="1"/>
  <c r="W1792" i="1"/>
  <c r="X1792" i="1" s="1"/>
  <c r="V1792" i="1"/>
  <c r="W1791" i="1"/>
  <c r="X1791" i="1" s="1"/>
  <c r="V1791" i="1"/>
  <c r="W1790" i="1"/>
  <c r="X1790" i="1" s="1"/>
  <c r="V1790" i="1"/>
  <c r="X1789" i="1"/>
  <c r="W1789" i="1"/>
  <c r="V1789" i="1"/>
  <c r="X1788" i="1"/>
  <c r="W1788" i="1"/>
  <c r="V1788" i="1"/>
  <c r="X1787" i="1"/>
  <c r="W1787" i="1"/>
  <c r="V1787" i="1"/>
  <c r="W1786" i="1"/>
  <c r="X1786" i="1" s="1"/>
  <c r="V1786" i="1"/>
  <c r="X1785" i="1"/>
  <c r="W1785" i="1"/>
  <c r="V1785" i="1"/>
  <c r="W1784" i="1"/>
  <c r="X1784" i="1" s="1"/>
  <c r="V1784" i="1"/>
  <c r="W1783" i="1"/>
  <c r="X1783" i="1" s="1"/>
  <c r="V1783" i="1"/>
  <c r="W1782" i="1"/>
  <c r="X1782" i="1" s="1"/>
  <c r="V1782" i="1"/>
  <c r="X1781" i="1"/>
  <c r="W1781" i="1"/>
  <c r="V1781" i="1"/>
  <c r="X1780" i="1"/>
  <c r="W1780" i="1"/>
  <c r="V1780" i="1"/>
  <c r="X1779" i="1"/>
  <c r="W1779" i="1"/>
  <c r="V1779" i="1"/>
  <c r="W1778" i="1"/>
  <c r="X1778" i="1" s="1"/>
  <c r="V1778" i="1"/>
  <c r="X1777" i="1"/>
  <c r="W1777" i="1"/>
  <c r="V1777" i="1"/>
  <c r="W1776" i="1"/>
  <c r="X1776" i="1" s="1"/>
  <c r="V1776" i="1"/>
  <c r="W1775" i="1"/>
  <c r="X1775" i="1" s="1"/>
  <c r="V1775" i="1"/>
  <c r="W1774" i="1"/>
  <c r="X1774" i="1" s="1"/>
  <c r="V1774" i="1"/>
  <c r="X1773" i="1"/>
  <c r="W1773" i="1"/>
  <c r="V1773" i="1"/>
  <c r="X1772" i="1"/>
  <c r="W1772" i="1"/>
  <c r="V1772" i="1"/>
  <c r="X1771" i="1"/>
  <c r="W1771" i="1"/>
  <c r="V1771" i="1"/>
  <c r="W1770" i="1"/>
  <c r="X1770" i="1" s="1"/>
  <c r="V1770" i="1"/>
  <c r="X1769" i="1"/>
  <c r="W1769" i="1"/>
  <c r="V1769" i="1"/>
  <c r="W1768" i="1"/>
  <c r="X1768" i="1" s="1"/>
  <c r="V1768" i="1"/>
  <c r="W1767" i="1"/>
  <c r="X1767" i="1" s="1"/>
  <c r="V1767" i="1"/>
  <c r="W1766" i="1"/>
  <c r="X1766" i="1" s="1"/>
  <c r="V1766" i="1"/>
  <c r="X1765" i="1"/>
  <c r="W1765" i="1"/>
  <c r="V1765" i="1"/>
  <c r="X1764" i="1"/>
  <c r="W1764" i="1"/>
  <c r="V1764" i="1"/>
  <c r="X1763" i="1"/>
  <c r="W1763" i="1"/>
  <c r="V1763" i="1"/>
  <c r="W1762" i="1"/>
  <c r="X1762" i="1" s="1"/>
  <c r="V1762" i="1"/>
  <c r="X1761" i="1"/>
  <c r="W1761" i="1"/>
  <c r="V1761" i="1"/>
  <c r="W1760" i="1"/>
  <c r="X1760" i="1" s="1"/>
  <c r="V1760" i="1"/>
  <c r="W1759" i="1"/>
  <c r="X1759" i="1" s="1"/>
  <c r="V1759" i="1"/>
  <c r="W1758" i="1"/>
  <c r="X1758" i="1" s="1"/>
  <c r="V1758" i="1"/>
  <c r="X1757" i="1"/>
  <c r="W1757" i="1"/>
  <c r="V1757" i="1"/>
  <c r="X1756" i="1"/>
  <c r="W1756" i="1"/>
  <c r="V1756" i="1"/>
  <c r="X1755" i="1"/>
  <c r="W1755" i="1"/>
  <c r="V1755" i="1"/>
  <c r="W1754" i="1"/>
  <c r="X1754" i="1" s="1"/>
  <c r="V1754" i="1"/>
  <c r="X1753" i="1"/>
  <c r="W1753" i="1"/>
  <c r="V1753" i="1"/>
  <c r="W1752" i="1"/>
  <c r="X1752" i="1" s="1"/>
  <c r="V1752" i="1"/>
  <c r="W1751" i="1"/>
  <c r="X1751" i="1" s="1"/>
  <c r="V1751" i="1"/>
  <c r="W1750" i="1"/>
  <c r="X1750" i="1" s="1"/>
  <c r="V1750" i="1"/>
  <c r="X1749" i="1"/>
  <c r="W1749" i="1"/>
  <c r="V1749" i="1"/>
  <c r="X1748" i="1"/>
  <c r="W1748" i="1"/>
  <c r="V1748" i="1"/>
  <c r="X1747" i="1"/>
  <c r="W1747" i="1"/>
  <c r="V1747" i="1"/>
  <c r="W1746" i="1"/>
  <c r="X1746" i="1" s="1"/>
  <c r="V1746" i="1"/>
  <c r="X1745" i="1"/>
  <c r="W1745" i="1"/>
  <c r="V1745" i="1"/>
  <c r="W1744" i="1"/>
  <c r="X1744" i="1" s="1"/>
  <c r="V1744" i="1"/>
  <c r="W1743" i="1"/>
  <c r="X1743" i="1" s="1"/>
  <c r="V1743" i="1"/>
  <c r="W1742" i="1"/>
  <c r="X1742" i="1" s="1"/>
  <c r="V1742" i="1"/>
  <c r="X1741" i="1"/>
  <c r="W1741" i="1"/>
  <c r="V1741" i="1"/>
  <c r="X1740" i="1"/>
  <c r="W1740" i="1"/>
  <c r="V1740" i="1"/>
  <c r="X1739" i="1"/>
  <c r="W1739" i="1"/>
  <c r="V1739" i="1"/>
  <c r="W1738" i="1"/>
  <c r="X1738" i="1" s="1"/>
  <c r="V1738" i="1"/>
  <c r="X1737" i="1"/>
  <c r="W1737" i="1"/>
  <c r="V1737" i="1"/>
  <c r="W1736" i="1"/>
  <c r="X1736" i="1" s="1"/>
  <c r="V1736" i="1"/>
  <c r="W1735" i="1"/>
  <c r="X1735" i="1" s="1"/>
  <c r="V1735" i="1"/>
  <c r="W1734" i="1"/>
  <c r="X1734" i="1" s="1"/>
  <c r="V1734" i="1"/>
  <c r="X1733" i="1"/>
  <c r="W1733" i="1"/>
  <c r="V1733" i="1"/>
  <c r="X1732" i="1"/>
  <c r="W1732" i="1"/>
  <c r="V1732" i="1"/>
  <c r="X1731" i="1"/>
  <c r="W1731" i="1"/>
  <c r="V1731" i="1"/>
  <c r="W1730" i="1"/>
  <c r="X1730" i="1" s="1"/>
  <c r="V1730" i="1"/>
  <c r="X1729" i="1"/>
  <c r="W1729" i="1"/>
  <c r="V1729" i="1"/>
  <c r="W1728" i="1"/>
  <c r="X1728" i="1" s="1"/>
  <c r="V1728" i="1"/>
  <c r="W1727" i="1"/>
  <c r="X1727" i="1" s="1"/>
  <c r="V1727" i="1"/>
  <c r="W1726" i="1"/>
  <c r="X1726" i="1" s="1"/>
  <c r="V1726" i="1"/>
  <c r="X1725" i="1"/>
  <c r="W1725" i="1"/>
  <c r="V1725" i="1"/>
  <c r="X1724" i="1"/>
  <c r="W1724" i="1"/>
  <c r="V1724" i="1"/>
  <c r="X1723" i="1"/>
  <c r="W1723" i="1"/>
  <c r="V1723" i="1"/>
  <c r="W1722" i="1"/>
  <c r="X1722" i="1" s="1"/>
  <c r="V1722" i="1"/>
  <c r="X1721" i="1"/>
  <c r="W1721" i="1"/>
  <c r="V1721" i="1"/>
  <c r="W1720" i="1"/>
  <c r="X1720" i="1" s="1"/>
  <c r="V1720" i="1"/>
  <c r="W1719" i="1"/>
  <c r="X1719" i="1" s="1"/>
  <c r="V1719" i="1"/>
  <c r="W1718" i="1"/>
  <c r="X1718" i="1" s="1"/>
  <c r="V1718" i="1"/>
  <c r="X1717" i="1"/>
  <c r="W1717" i="1"/>
  <c r="V1717" i="1"/>
  <c r="X1716" i="1"/>
  <c r="W1716" i="1"/>
  <c r="V1716" i="1"/>
  <c r="X1715" i="1"/>
  <c r="W1715" i="1"/>
  <c r="V1715" i="1"/>
  <c r="W1714" i="1"/>
  <c r="X1714" i="1" s="1"/>
  <c r="V1714" i="1"/>
  <c r="X1713" i="1"/>
  <c r="W1713" i="1"/>
  <c r="V1713" i="1"/>
  <c r="W1712" i="1"/>
  <c r="X1712" i="1" s="1"/>
  <c r="V1712" i="1"/>
  <c r="W1711" i="1"/>
  <c r="X1711" i="1" s="1"/>
  <c r="V1711" i="1"/>
  <c r="W1710" i="1"/>
  <c r="X1710" i="1" s="1"/>
  <c r="V1710" i="1"/>
  <c r="X1709" i="1"/>
  <c r="W1709" i="1"/>
  <c r="V1709" i="1"/>
  <c r="X1708" i="1"/>
  <c r="W1708" i="1"/>
  <c r="V1708" i="1"/>
  <c r="X1707" i="1"/>
  <c r="W1707" i="1"/>
  <c r="V1707" i="1"/>
  <c r="W1706" i="1"/>
  <c r="X1706" i="1" s="1"/>
  <c r="V1706" i="1"/>
  <c r="X1705" i="1"/>
  <c r="W1705" i="1"/>
  <c r="V1705" i="1"/>
  <c r="W1704" i="1"/>
  <c r="X1704" i="1" s="1"/>
  <c r="V1704" i="1"/>
  <c r="W1703" i="1"/>
  <c r="X1703" i="1" s="1"/>
  <c r="V1703" i="1"/>
  <c r="W1702" i="1"/>
  <c r="X1702" i="1" s="1"/>
  <c r="V1702" i="1"/>
  <c r="X1701" i="1"/>
  <c r="W1701" i="1"/>
  <c r="V1701" i="1"/>
  <c r="X1700" i="1"/>
  <c r="W1700" i="1"/>
  <c r="V1700" i="1"/>
  <c r="X1699" i="1"/>
  <c r="W1699" i="1"/>
  <c r="V1699" i="1"/>
  <c r="W1698" i="1"/>
  <c r="X1698" i="1" s="1"/>
  <c r="V1698" i="1"/>
  <c r="X1697" i="1"/>
  <c r="W1697" i="1"/>
  <c r="V1697" i="1"/>
  <c r="W1696" i="1"/>
  <c r="X1696" i="1" s="1"/>
  <c r="V1696" i="1"/>
  <c r="W1695" i="1"/>
  <c r="X1695" i="1" s="1"/>
  <c r="V1695" i="1"/>
  <c r="W1694" i="1"/>
  <c r="X1694" i="1" s="1"/>
  <c r="V1694" i="1"/>
  <c r="X1693" i="1"/>
  <c r="W1693" i="1"/>
  <c r="V1693" i="1"/>
  <c r="X1692" i="1"/>
  <c r="W1692" i="1"/>
  <c r="V1692" i="1"/>
  <c r="X1691" i="1"/>
  <c r="W1691" i="1"/>
  <c r="V1691" i="1"/>
  <c r="W1690" i="1"/>
  <c r="X1690" i="1" s="1"/>
  <c r="V1690" i="1"/>
  <c r="X1689" i="1"/>
  <c r="W1689" i="1"/>
  <c r="V1689" i="1"/>
  <c r="W1688" i="1"/>
  <c r="X1688" i="1" s="1"/>
  <c r="V1688" i="1"/>
  <c r="W1687" i="1"/>
  <c r="X1687" i="1" s="1"/>
  <c r="V1687" i="1"/>
  <c r="W1686" i="1"/>
  <c r="X1686" i="1" s="1"/>
  <c r="V1686" i="1"/>
  <c r="X1685" i="1"/>
  <c r="W1685" i="1"/>
  <c r="V1685" i="1"/>
  <c r="X1684" i="1"/>
  <c r="W1684" i="1"/>
  <c r="V1684" i="1"/>
  <c r="X1683" i="1"/>
  <c r="W1683" i="1"/>
  <c r="V1683" i="1"/>
  <c r="W1682" i="1"/>
  <c r="X1682" i="1" s="1"/>
  <c r="V1682" i="1"/>
  <c r="X1681" i="1"/>
  <c r="W1681" i="1"/>
  <c r="V1681" i="1"/>
  <c r="W1680" i="1"/>
  <c r="X1680" i="1" s="1"/>
  <c r="V1680" i="1"/>
  <c r="W1679" i="1"/>
  <c r="X1679" i="1" s="1"/>
  <c r="V1679" i="1"/>
  <c r="W1678" i="1"/>
  <c r="X1678" i="1" s="1"/>
  <c r="V1678" i="1"/>
  <c r="X1677" i="1"/>
  <c r="W1677" i="1"/>
  <c r="V1677" i="1"/>
  <c r="X1676" i="1"/>
  <c r="W1676" i="1"/>
  <c r="V1676" i="1"/>
  <c r="X1675" i="1"/>
  <c r="W1675" i="1"/>
  <c r="V1675" i="1"/>
  <c r="W1674" i="1"/>
  <c r="X1674" i="1" s="1"/>
  <c r="V1674" i="1"/>
  <c r="X1673" i="1"/>
  <c r="W1673" i="1"/>
  <c r="V1673" i="1"/>
  <c r="W1672" i="1"/>
  <c r="X1672" i="1" s="1"/>
  <c r="V1672" i="1"/>
  <c r="W1671" i="1"/>
  <c r="X1671" i="1" s="1"/>
  <c r="V1671" i="1"/>
  <c r="W1670" i="1"/>
  <c r="X1670" i="1" s="1"/>
  <c r="V1670" i="1"/>
  <c r="X1669" i="1"/>
  <c r="W1669" i="1"/>
  <c r="V1669" i="1"/>
  <c r="X1668" i="1"/>
  <c r="W1668" i="1"/>
  <c r="V1668" i="1"/>
  <c r="X1667" i="1"/>
  <c r="W1667" i="1"/>
  <c r="V1667" i="1"/>
  <c r="W1666" i="1"/>
  <c r="X1666" i="1" s="1"/>
  <c r="V1666" i="1"/>
  <c r="X1665" i="1"/>
  <c r="W1665" i="1"/>
  <c r="V1665" i="1"/>
  <c r="W1664" i="1"/>
  <c r="X1664" i="1" s="1"/>
  <c r="V1664" i="1"/>
  <c r="W1663" i="1"/>
  <c r="X1663" i="1" s="1"/>
  <c r="V1663" i="1"/>
  <c r="W1662" i="1"/>
  <c r="X1662" i="1" s="1"/>
  <c r="V1662" i="1"/>
  <c r="X1661" i="1"/>
  <c r="W1661" i="1"/>
  <c r="V1661" i="1"/>
  <c r="X1660" i="1"/>
  <c r="W1660" i="1"/>
  <c r="V1660" i="1"/>
  <c r="X1659" i="1"/>
  <c r="W1659" i="1"/>
  <c r="V1659" i="1"/>
  <c r="W1658" i="1"/>
  <c r="X1658" i="1" s="1"/>
  <c r="V1658" i="1"/>
  <c r="X1657" i="1"/>
  <c r="W1657" i="1"/>
  <c r="V1657" i="1"/>
  <c r="W1656" i="1"/>
  <c r="X1656" i="1" s="1"/>
  <c r="V1656" i="1"/>
  <c r="W1655" i="1"/>
  <c r="X1655" i="1" s="1"/>
  <c r="V1655" i="1"/>
  <c r="W1654" i="1"/>
  <c r="X1654" i="1" s="1"/>
  <c r="V1654" i="1"/>
  <c r="X1653" i="1"/>
  <c r="W1653" i="1"/>
  <c r="V1653" i="1"/>
  <c r="X1652" i="1"/>
  <c r="W1652" i="1"/>
  <c r="V1652" i="1"/>
  <c r="X1651" i="1"/>
  <c r="W1651" i="1"/>
  <c r="V1651" i="1"/>
  <c r="W1650" i="1"/>
  <c r="X1650" i="1" s="1"/>
  <c r="V1650" i="1"/>
  <c r="X1649" i="1"/>
  <c r="W1649" i="1"/>
  <c r="V1649" i="1"/>
  <c r="W1648" i="1"/>
  <c r="X1648" i="1" s="1"/>
  <c r="V1648" i="1"/>
  <c r="W1647" i="1"/>
  <c r="X1647" i="1" s="1"/>
  <c r="V1647" i="1"/>
  <c r="W1646" i="1"/>
  <c r="X1646" i="1" s="1"/>
  <c r="V1646" i="1"/>
  <c r="X1645" i="1"/>
  <c r="W1645" i="1"/>
  <c r="V1645" i="1"/>
  <c r="X1644" i="1"/>
  <c r="W1644" i="1"/>
  <c r="V1644" i="1"/>
  <c r="X1643" i="1"/>
  <c r="W1643" i="1"/>
  <c r="V1643" i="1"/>
  <c r="W1642" i="1"/>
  <c r="X1642" i="1" s="1"/>
  <c r="V1642" i="1"/>
  <c r="X1641" i="1"/>
  <c r="W1641" i="1"/>
  <c r="V1641" i="1"/>
  <c r="W1640" i="1"/>
  <c r="X1640" i="1" s="1"/>
  <c r="V1640" i="1"/>
  <c r="W1639" i="1"/>
  <c r="X1639" i="1" s="1"/>
  <c r="V1639" i="1"/>
  <c r="W1638" i="1"/>
  <c r="X1638" i="1" s="1"/>
  <c r="V1638" i="1"/>
  <c r="W1637" i="1"/>
  <c r="X1637" i="1" s="1"/>
  <c r="V1637" i="1"/>
  <c r="X1636" i="1"/>
  <c r="W1636" i="1"/>
  <c r="V1636" i="1"/>
  <c r="X1635" i="1"/>
  <c r="W1635" i="1"/>
  <c r="V1635" i="1"/>
  <c r="X1634" i="1"/>
  <c r="W1634" i="1"/>
  <c r="V1634" i="1"/>
  <c r="X1633" i="1"/>
  <c r="W1633" i="1"/>
  <c r="V1633" i="1"/>
  <c r="W1632" i="1"/>
  <c r="X1632" i="1" s="1"/>
  <c r="V1632" i="1"/>
  <c r="W1631" i="1"/>
  <c r="X1631" i="1" s="1"/>
  <c r="V1631" i="1"/>
  <c r="W1630" i="1"/>
  <c r="X1630" i="1" s="1"/>
  <c r="V1630" i="1"/>
  <c r="W1629" i="1"/>
  <c r="X1629" i="1" s="1"/>
  <c r="V1629" i="1"/>
  <c r="X1628" i="1"/>
  <c r="W1628" i="1"/>
  <c r="V1628" i="1"/>
  <c r="X1627" i="1"/>
  <c r="W1627" i="1"/>
  <c r="V1627" i="1"/>
  <c r="X1626" i="1"/>
  <c r="W1626" i="1"/>
  <c r="V1626" i="1"/>
  <c r="X1625" i="1"/>
  <c r="W1625" i="1"/>
  <c r="V1625" i="1"/>
  <c r="W1624" i="1"/>
  <c r="X1624" i="1" s="1"/>
  <c r="V1624" i="1"/>
  <c r="W1623" i="1"/>
  <c r="X1623" i="1" s="1"/>
  <c r="V1623" i="1"/>
  <c r="W1622" i="1"/>
  <c r="X1622" i="1" s="1"/>
  <c r="V1622" i="1"/>
  <c r="W1621" i="1"/>
  <c r="X1621" i="1" s="1"/>
  <c r="V1621" i="1"/>
  <c r="X1620" i="1"/>
  <c r="W1620" i="1"/>
  <c r="V1620" i="1"/>
  <c r="X1619" i="1"/>
  <c r="W1619" i="1"/>
  <c r="V1619" i="1"/>
  <c r="X1618" i="1"/>
  <c r="W1618" i="1"/>
  <c r="V1618" i="1"/>
  <c r="X1617" i="1"/>
  <c r="W1617" i="1"/>
  <c r="V1617" i="1"/>
  <c r="W1616" i="1"/>
  <c r="X1616" i="1" s="1"/>
  <c r="V1616" i="1"/>
  <c r="W1615" i="1"/>
  <c r="X1615" i="1" s="1"/>
  <c r="V1615" i="1"/>
  <c r="W1614" i="1"/>
  <c r="X1614" i="1" s="1"/>
  <c r="V1614" i="1"/>
  <c r="W1613" i="1"/>
  <c r="X1613" i="1" s="1"/>
  <c r="V1613" i="1"/>
  <c r="X1612" i="1"/>
  <c r="W1612" i="1"/>
  <c r="V1612" i="1"/>
  <c r="W1611" i="1"/>
  <c r="X1611" i="1" s="1"/>
  <c r="V1611" i="1"/>
  <c r="X1610" i="1"/>
  <c r="W1610" i="1"/>
  <c r="V1610" i="1"/>
  <c r="X1609" i="1"/>
  <c r="W1609" i="1"/>
  <c r="V1609" i="1"/>
  <c r="W1608" i="1"/>
  <c r="X1608" i="1" s="1"/>
  <c r="V1608" i="1"/>
  <c r="W1607" i="1"/>
  <c r="X1607" i="1" s="1"/>
  <c r="V1607" i="1"/>
  <c r="W1606" i="1"/>
  <c r="X1606" i="1" s="1"/>
  <c r="V1606" i="1"/>
  <c r="W1605" i="1"/>
  <c r="X1605" i="1" s="1"/>
  <c r="V1605" i="1"/>
  <c r="X1604" i="1"/>
  <c r="W1604" i="1"/>
  <c r="V1604" i="1"/>
  <c r="W1603" i="1"/>
  <c r="X1603" i="1" s="1"/>
  <c r="V1603" i="1"/>
  <c r="X1602" i="1"/>
  <c r="W1602" i="1"/>
  <c r="V1602" i="1"/>
  <c r="X1601" i="1"/>
  <c r="W1601" i="1"/>
  <c r="V1601" i="1"/>
  <c r="W1600" i="1"/>
  <c r="X1600" i="1" s="1"/>
  <c r="V1600" i="1"/>
  <c r="W1599" i="1"/>
  <c r="X1599" i="1" s="1"/>
  <c r="V1599" i="1"/>
  <c r="W1598" i="1"/>
  <c r="X1598" i="1" s="1"/>
  <c r="V1598" i="1"/>
  <c r="W1597" i="1"/>
  <c r="X1597" i="1" s="1"/>
  <c r="V1597" i="1"/>
  <c r="X1596" i="1"/>
  <c r="W1596" i="1"/>
  <c r="V1596" i="1"/>
  <c r="W1595" i="1"/>
  <c r="X1595" i="1" s="1"/>
  <c r="V1595" i="1"/>
  <c r="X1594" i="1"/>
  <c r="W1594" i="1"/>
  <c r="V1594" i="1"/>
  <c r="X1593" i="1"/>
  <c r="W1593" i="1"/>
  <c r="V1593" i="1"/>
  <c r="W1592" i="1"/>
  <c r="X1592" i="1" s="1"/>
  <c r="V1592" i="1"/>
  <c r="W1591" i="1"/>
  <c r="X1591" i="1" s="1"/>
  <c r="V1591" i="1"/>
  <c r="W1590" i="1"/>
  <c r="X1590" i="1" s="1"/>
  <c r="V1590" i="1"/>
  <c r="W1589" i="1"/>
  <c r="X1589" i="1" s="1"/>
  <c r="V1589" i="1"/>
  <c r="X1588" i="1"/>
  <c r="W1588" i="1"/>
  <c r="V1588" i="1"/>
  <c r="W1587" i="1"/>
  <c r="X1587" i="1" s="1"/>
  <c r="V1587" i="1"/>
  <c r="X1586" i="1"/>
  <c r="W1586" i="1"/>
  <c r="V1586" i="1"/>
  <c r="X1585" i="1"/>
  <c r="W1585" i="1"/>
  <c r="V1585" i="1"/>
  <c r="W1584" i="1"/>
  <c r="X1584" i="1" s="1"/>
  <c r="V1584" i="1"/>
  <c r="W1583" i="1"/>
  <c r="X1583" i="1" s="1"/>
  <c r="V1583" i="1"/>
  <c r="W1582" i="1"/>
  <c r="X1582" i="1" s="1"/>
  <c r="V1582" i="1"/>
  <c r="W1581" i="1"/>
  <c r="X1581" i="1" s="1"/>
  <c r="V1581" i="1"/>
  <c r="X1580" i="1"/>
  <c r="W1580" i="1"/>
  <c r="V1580" i="1"/>
  <c r="W1579" i="1"/>
  <c r="X1579" i="1" s="1"/>
  <c r="V1579" i="1"/>
  <c r="X1578" i="1"/>
  <c r="W1578" i="1"/>
  <c r="V1578" i="1"/>
  <c r="X1577" i="1"/>
  <c r="W1577" i="1"/>
  <c r="V1577" i="1"/>
  <c r="W1576" i="1"/>
  <c r="X1576" i="1" s="1"/>
  <c r="V1576" i="1"/>
  <c r="W1575" i="1"/>
  <c r="X1575" i="1" s="1"/>
  <c r="V1575" i="1"/>
  <c r="W1574" i="1"/>
  <c r="X1574" i="1" s="1"/>
  <c r="V1574" i="1"/>
  <c r="W1573" i="1"/>
  <c r="X1573" i="1" s="1"/>
  <c r="V1573" i="1"/>
  <c r="X1572" i="1"/>
  <c r="W1572" i="1"/>
  <c r="V1572" i="1"/>
  <c r="W1571" i="1"/>
  <c r="X1571" i="1" s="1"/>
  <c r="V1571" i="1"/>
  <c r="X1570" i="1"/>
  <c r="W1570" i="1"/>
  <c r="V1570" i="1"/>
  <c r="X1569" i="1"/>
  <c r="W1569" i="1"/>
  <c r="V1569" i="1"/>
  <c r="W1568" i="1"/>
  <c r="X1568" i="1" s="1"/>
  <c r="V1568" i="1"/>
  <c r="W1567" i="1"/>
  <c r="X1567" i="1" s="1"/>
  <c r="V1567" i="1"/>
  <c r="W1566" i="1"/>
  <c r="X1566" i="1" s="1"/>
  <c r="V1566" i="1"/>
  <c r="W1565" i="1"/>
  <c r="X1565" i="1" s="1"/>
  <c r="V1565" i="1"/>
  <c r="X1564" i="1"/>
  <c r="W1564" i="1"/>
  <c r="V1564" i="1"/>
  <c r="W1563" i="1"/>
  <c r="X1563" i="1" s="1"/>
  <c r="V1563" i="1"/>
  <c r="X1562" i="1"/>
  <c r="W1562" i="1"/>
  <c r="V1562" i="1"/>
  <c r="X1561" i="1"/>
  <c r="W1561" i="1"/>
  <c r="V1561" i="1"/>
  <c r="W1560" i="1"/>
  <c r="X1560" i="1" s="1"/>
  <c r="V1560" i="1"/>
  <c r="W1559" i="1"/>
  <c r="X1559" i="1" s="1"/>
  <c r="V1559" i="1"/>
  <c r="W1558" i="1"/>
  <c r="X1558" i="1" s="1"/>
  <c r="V1558" i="1"/>
  <c r="W1557" i="1"/>
  <c r="X1557" i="1" s="1"/>
  <c r="V1557" i="1"/>
  <c r="X1556" i="1"/>
  <c r="W1556" i="1"/>
  <c r="V1556" i="1"/>
  <c r="W1555" i="1"/>
  <c r="X1555" i="1" s="1"/>
  <c r="V1555" i="1"/>
  <c r="X1554" i="1"/>
  <c r="W1554" i="1"/>
  <c r="V1554" i="1"/>
  <c r="X1553" i="1"/>
  <c r="W1553" i="1"/>
  <c r="V1553" i="1"/>
  <c r="W1552" i="1"/>
  <c r="X1552" i="1" s="1"/>
  <c r="V1552" i="1"/>
  <c r="W1551" i="1"/>
  <c r="X1551" i="1" s="1"/>
  <c r="V1551" i="1"/>
  <c r="W1550" i="1"/>
  <c r="X1550" i="1" s="1"/>
  <c r="V1550" i="1"/>
  <c r="W1549" i="1"/>
  <c r="X1549" i="1" s="1"/>
  <c r="V1549" i="1"/>
  <c r="X1548" i="1"/>
  <c r="W1548" i="1"/>
  <c r="V1548" i="1"/>
  <c r="W1547" i="1"/>
  <c r="X1547" i="1" s="1"/>
  <c r="V1547" i="1"/>
  <c r="X1546" i="1"/>
  <c r="W1546" i="1"/>
  <c r="V1546" i="1"/>
  <c r="X1545" i="1"/>
  <c r="W1545" i="1"/>
  <c r="V1545" i="1"/>
  <c r="X1544" i="1"/>
  <c r="W1544" i="1"/>
  <c r="V1544" i="1"/>
  <c r="W1543" i="1"/>
  <c r="X1543" i="1" s="1"/>
  <c r="V1543" i="1"/>
  <c r="W1542" i="1"/>
  <c r="X1542" i="1" s="1"/>
  <c r="V1542" i="1"/>
  <c r="W1541" i="1"/>
  <c r="X1541" i="1" s="1"/>
  <c r="V1541" i="1"/>
  <c r="X1540" i="1"/>
  <c r="W1540" i="1"/>
  <c r="V1540" i="1"/>
  <c r="W1539" i="1"/>
  <c r="X1539" i="1" s="1"/>
  <c r="V1539" i="1"/>
  <c r="X1538" i="1"/>
  <c r="W1538" i="1"/>
  <c r="V1538" i="1"/>
  <c r="X1537" i="1"/>
  <c r="W1537" i="1"/>
  <c r="V1537" i="1"/>
  <c r="W1536" i="1"/>
  <c r="X1536" i="1" s="1"/>
  <c r="V1536" i="1"/>
  <c r="W1535" i="1"/>
  <c r="X1535" i="1" s="1"/>
  <c r="V1535" i="1"/>
  <c r="W1534" i="1"/>
  <c r="X1534" i="1" s="1"/>
  <c r="V1534" i="1"/>
  <c r="W1533" i="1"/>
  <c r="X1533" i="1" s="1"/>
  <c r="V1533" i="1"/>
  <c r="X1532" i="1"/>
  <c r="W1532" i="1"/>
  <c r="V1532" i="1"/>
  <c r="W1531" i="1"/>
  <c r="X1531" i="1" s="1"/>
  <c r="V1531" i="1"/>
  <c r="X1530" i="1"/>
  <c r="W1530" i="1"/>
  <c r="V1530" i="1"/>
  <c r="X1529" i="1"/>
  <c r="W1529" i="1"/>
  <c r="V1529" i="1"/>
  <c r="W1528" i="1"/>
  <c r="X1528" i="1" s="1"/>
  <c r="V1528" i="1"/>
  <c r="W1527" i="1"/>
  <c r="X1527" i="1" s="1"/>
  <c r="V1527" i="1"/>
  <c r="W1526" i="1"/>
  <c r="X1526" i="1" s="1"/>
  <c r="V1526" i="1"/>
  <c r="W1525" i="1"/>
  <c r="X1525" i="1" s="1"/>
  <c r="V1525" i="1"/>
  <c r="X1524" i="1"/>
  <c r="W1524" i="1"/>
  <c r="V1524" i="1"/>
  <c r="W1523" i="1"/>
  <c r="X1523" i="1" s="1"/>
  <c r="V1523" i="1"/>
  <c r="X1522" i="1"/>
  <c r="W1522" i="1"/>
  <c r="V1522" i="1"/>
  <c r="W1521" i="1"/>
  <c r="X1521" i="1" s="1"/>
  <c r="V1521" i="1"/>
  <c r="W1520" i="1"/>
  <c r="X1520" i="1" s="1"/>
  <c r="V1520" i="1"/>
  <c r="W1519" i="1"/>
  <c r="X1519" i="1" s="1"/>
  <c r="V1519" i="1"/>
  <c r="W1518" i="1"/>
  <c r="X1518" i="1" s="1"/>
  <c r="V1518" i="1"/>
  <c r="W1517" i="1"/>
  <c r="X1517" i="1" s="1"/>
  <c r="V1517" i="1"/>
  <c r="X1516" i="1"/>
  <c r="W1516" i="1"/>
  <c r="V1516" i="1"/>
  <c r="W1515" i="1"/>
  <c r="X1515" i="1" s="1"/>
  <c r="V1515" i="1"/>
  <c r="X1514" i="1"/>
  <c r="W1514" i="1"/>
  <c r="V1514" i="1"/>
  <c r="W1513" i="1"/>
  <c r="X1513" i="1" s="1"/>
  <c r="V1513" i="1"/>
  <c r="W1512" i="1"/>
  <c r="X1512" i="1" s="1"/>
  <c r="V1512" i="1"/>
  <c r="W1511" i="1"/>
  <c r="X1511" i="1" s="1"/>
  <c r="V1511" i="1"/>
  <c r="W1510" i="1"/>
  <c r="X1510" i="1" s="1"/>
  <c r="V1510" i="1"/>
  <c r="W1509" i="1"/>
  <c r="X1509" i="1" s="1"/>
  <c r="V1509" i="1"/>
  <c r="X1508" i="1"/>
  <c r="W1508" i="1"/>
  <c r="V1508" i="1"/>
  <c r="W1507" i="1"/>
  <c r="X1507" i="1" s="1"/>
  <c r="V1507" i="1"/>
  <c r="X1506" i="1"/>
  <c r="W1506" i="1"/>
  <c r="V1506" i="1"/>
  <c r="W1505" i="1"/>
  <c r="X1505" i="1" s="1"/>
  <c r="V1505" i="1"/>
  <c r="W1504" i="1"/>
  <c r="X1504" i="1" s="1"/>
  <c r="V1504" i="1"/>
  <c r="W1503" i="1"/>
  <c r="X1503" i="1" s="1"/>
  <c r="V1503" i="1"/>
  <c r="W1502" i="1"/>
  <c r="X1502" i="1" s="1"/>
  <c r="V1502" i="1"/>
  <c r="W1501" i="1"/>
  <c r="X1501" i="1" s="1"/>
  <c r="V1501" i="1"/>
  <c r="X1500" i="1"/>
  <c r="W1500" i="1"/>
  <c r="V1500" i="1"/>
  <c r="W1499" i="1"/>
  <c r="X1499" i="1" s="1"/>
  <c r="V1499" i="1"/>
  <c r="X1498" i="1"/>
  <c r="W1498" i="1"/>
  <c r="V1498" i="1"/>
  <c r="W1497" i="1"/>
  <c r="X1497" i="1" s="1"/>
  <c r="V1497" i="1"/>
  <c r="W1496" i="1"/>
  <c r="X1496" i="1" s="1"/>
  <c r="V1496" i="1"/>
  <c r="W1495" i="1"/>
  <c r="X1495" i="1" s="1"/>
  <c r="V1495" i="1"/>
  <c r="W1494" i="1"/>
  <c r="X1494" i="1" s="1"/>
  <c r="V1494" i="1"/>
  <c r="W1493" i="1"/>
  <c r="X1493" i="1" s="1"/>
  <c r="V1493" i="1"/>
  <c r="X1492" i="1"/>
  <c r="W1492" i="1"/>
  <c r="V1492" i="1"/>
  <c r="W1491" i="1"/>
  <c r="X1491" i="1" s="1"/>
  <c r="V1491" i="1"/>
  <c r="X1490" i="1"/>
  <c r="W1490" i="1"/>
  <c r="V1490" i="1"/>
  <c r="W1489" i="1"/>
  <c r="X1489" i="1" s="1"/>
  <c r="V1489" i="1"/>
  <c r="W1488" i="1"/>
  <c r="X1488" i="1" s="1"/>
  <c r="V1488" i="1"/>
  <c r="W1487" i="1"/>
  <c r="X1487" i="1" s="1"/>
  <c r="V1487" i="1"/>
  <c r="W1486" i="1"/>
  <c r="X1486" i="1" s="1"/>
  <c r="V1486" i="1"/>
  <c r="W1485" i="1"/>
  <c r="X1485" i="1" s="1"/>
  <c r="V1485" i="1"/>
  <c r="X1484" i="1"/>
  <c r="W1484" i="1"/>
  <c r="V1484" i="1"/>
  <c r="W1483" i="1"/>
  <c r="X1483" i="1" s="1"/>
  <c r="V1483" i="1"/>
  <c r="X1482" i="1"/>
  <c r="W1482" i="1"/>
  <c r="V1482" i="1"/>
  <c r="W1481" i="1"/>
  <c r="X1481" i="1" s="1"/>
  <c r="V1481" i="1"/>
  <c r="W1480" i="1"/>
  <c r="X1480" i="1" s="1"/>
  <c r="V1480" i="1"/>
  <c r="W1479" i="1"/>
  <c r="X1479" i="1" s="1"/>
  <c r="V1479" i="1"/>
  <c r="W1478" i="1"/>
  <c r="X1478" i="1" s="1"/>
  <c r="V1478" i="1"/>
  <c r="W1477" i="1"/>
  <c r="X1477" i="1" s="1"/>
  <c r="V1477" i="1"/>
  <c r="X1476" i="1"/>
  <c r="W1476" i="1"/>
  <c r="V1476" i="1"/>
  <c r="W1475" i="1"/>
  <c r="X1475" i="1" s="1"/>
  <c r="V1475" i="1"/>
  <c r="X1474" i="1"/>
  <c r="W1474" i="1"/>
  <c r="V1474" i="1"/>
  <c r="W1473" i="1"/>
  <c r="X1473" i="1" s="1"/>
  <c r="V1473" i="1"/>
  <c r="W1472" i="1"/>
  <c r="X1472" i="1" s="1"/>
  <c r="V1472" i="1"/>
  <c r="W1471" i="1"/>
  <c r="X1471" i="1" s="1"/>
  <c r="V1471" i="1"/>
  <c r="W1470" i="1"/>
  <c r="X1470" i="1" s="1"/>
  <c r="V1470" i="1"/>
  <c r="W1469" i="1"/>
  <c r="X1469" i="1" s="1"/>
  <c r="V1469" i="1"/>
  <c r="X1468" i="1"/>
  <c r="W1468" i="1"/>
  <c r="V1468" i="1"/>
  <c r="W1467" i="1"/>
  <c r="X1467" i="1" s="1"/>
  <c r="V1467" i="1"/>
  <c r="X1466" i="1"/>
  <c r="W1466" i="1"/>
  <c r="V1466" i="1"/>
  <c r="W1465" i="1"/>
  <c r="X1465" i="1" s="1"/>
  <c r="V1465" i="1"/>
  <c r="W1464" i="1"/>
  <c r="X1464" i="1" s="1"/>
  <c r="V1464" i="1"/>
  <c r="W1463" i="1"/>
  <c r="X1463" i="1" s="1"/>
  <c r="V1463" i="1"/>
  <c r="W1462" i="1"/>
  <c r="X1462" i="1" s="1"/>
  <c r="V1462" i="1"/>
  <c r="W1461" i="1"/>
  <c r="X1461" i="1" s="1"/>
  <c r="V1461" i="1"/>
  <c r="X1460" i="1"/>
  <c r="W1460" i="1"/>
  <c r="V1460" i="1"/>
  <c r="W1459" i="1"/>
  <c r="X1459" i="1" s="1"/>
  <c r="V1459" i="1"/>
  <c r="X1458" i="1"/>
  <c r="W1458" i="1"/>
  <c r="V1458" i="1"/>
  <c r="W1457" i="1"/>
  <c r="X1457" i="1" s="1"/>
  <c r="V1457" i="1"/>
  <c r="W1456" i="1"/>
  <c r="X1456" i="1" s="1"/>
  <c r="V1456" i="1"/>
  <c r="W1455" i="1"/>
  <c r="X1455" i="1" s="1"/>
  <c r="V1455" i="1"/>
  <c r="W1454" i="1"/>
  <c r="X1454" i="1" s="1"/>
  <c r="V1454" i="1"/>
  <c r="W1453" i="1"/>
  <c r="X1453" i="1" s="1"/>
  <c r="V1453" i="1"/>
  <c r="X1452" i="1"/>
  <c r="W1452" i="1"/>
  <c r="V1452" i="1"/>
  <c r="W1451" i="1"/>
  <c r="X1451" i="1" s="1"/>
  <c r="V1451" i="1"/>
  <c r="X1450" i="1"/>
  <c r="W1450" i="1"/>
  <c r="V1450" i="1"/>
  <c r="W1449" i="1"/>
  <c r="X1449" i="1" s="1"/>
  <c r="V1449" i="1"/>
  <c r="W1448" i="1"/>
  <c r="X1448" i="1" s="1"/>
  <c r="V1448" i="1"/>
  <c r="W1447" i="1"/>
  <c r="X1447" i="1" s="1"/>
  <c r="V1447" i="1"/>
  <c r="W1446" i="1"/>
  <c r="X1446" i="1" s="1"/>
  <c r="V1446" i="1"/>
  <c r="W1445" i="1"/>
  <c r="X1445" i="1" s="1"/>
  <c r="V1445" i="1"/>
  <c r="X1444" i="1"/>
  <c r="W1444" i="1"/>
  <c r="V1444" i="1"/>
  <c r="W1443" i="1"/>
  <c r="X1443" i="1" s="1"/>
  <c r="V1443" i="1"/>
  <c r="X1442" i="1"/>
  <c r="W1442" i="1"/>
  <c r="V1442" i="1"/>
  <c r="W1441" i="1"/>
  <c r="X1441" i="1" s="1"/>
  <c r="V1441" i="1"/>
  <c r="W1440" i="1"/>
  <c r="X1440" i="1" s="1"/>
  <c r="V1440" i="1"/>
  <c r="W1439" i="1"/>
  <c r="X1439" i="1" s="1"/>
  <c r="V1439" i="1"/>
  <c r="W1438" i="1"/>
  <c r="X1438" i="1" s="1"/>
  <c r="V1438" i="1"/>
  <c r="W1437" i="1"/>
  <c r="X1437" i="1" s="1"/>
  <c r="V1437" i="1"/>
  <c r="X1436" i="1"/>
  <c r="W1436" i="1"/>
  <c r="V1436" i="1"/>
  <c r="W1435" i="1"/>
  <c r="X1435" i="1" s="1"/>
  <c r="V1435" i="1"/>
  <c r="X1434" i="1"/>
  <c r="W1434" i="1"/>
  <c r="V1434" i="1"/>
  <c r="W1433" i="1"/>
  <c r="X1433" i="1" s="1"/>
  <c r="V1433" i="1"/>
  <c r="W1432" i="1"/>
  <c r="X1432" i="1" s="1"/>
  <c r="V1432" i="1"/>
  <c r="W1431" i="1"/>
  <c r="X1431" i="1" s="1"/>
  <c r="V1431" i="1"/>
  <c r="W1430" i="1"/>
  <c r="X1430" i="1" s="1"/>
  <c r="V1430" i="1"/>
  <c r="W1429" i="1"/>
  <c r="X1429" i="1" s="1"/>
  <c r="V1429" i="1"/>
  <c r="X1428" i="1"/>
  <c r="W1428" i="1"/>
  <c r="V1428" i="1"/>
  <c r="W1427" i="1"/>
  <c r="X1427" i="1" s="1"/>
  <c r="V1427" i="1"/>
  <c r="X1426" i="1"/>
  <c r="W1426" i="1"/>
  <c r="V1426" i="1"/>
  <c r="W1425" i="1"/>
  <c r="X1425" i="1" s="1"/>
  <c r="V1425" i="1"/>
  <c r="W1424" i="1"/>
  <c r="X1424" i="1" s="1"/>
  <c r="V1424" i="1"/>
  <c r="W1423" i="1"/>
  <c r="X1423" i="1" s="1"/>
  <c r="V1423" i="1"/>
  <c r="W1422" i="1"/>
  <c r="X1422" i="1" s="1"/>
  <c r="V1422" i="1"/>
  <c r="W1421" i="1"/>
  <c r="X1421" i="1" s="1"/>
  <c r="V1421" i="1"/>
  <c r="X1420" i="1"/>
  <c r="W1420" i="1"/>
  <c r="V1420" i="1"/>
  <c r="W1419" i="1"/>
  <c r="X1419" i="1" s="1"/>
  <c r="V1419" i="1"/>
  <c r="X1418" i="1"/>
  <c r="W1418" i="1"/>
  <c r="V1418" i="1"/>
  <c r="W1417" i="1"/>
  <c r="X1417" i="1" s="1"/>
  <c r="V1417" i="1"/>
  <c r="W1416" i="1"/>
  <c r="X1416" i="1" s="1"/>
  <c r="V1416" i="1"/>
  <c r="W1415" i="1"/>
  <c r="X1415" i="1" s="1"/>
  <c r="V1415" i="1"/>
  <c r="W1414" i="1"/>
  <c r="X1414" i="1" s="1"/>
  <c r="V1414" i="1"/>
  <c r="W1413" i="1"/>
  <c r="X1413" i="1" s="1"/>
  <c r="V1413" i="1"/>
  <c r="X1412" i="1"/>
  <c r="W1412" i="1"/>
  <c r="V1412" i="1"/>
  <c r="W1411" i="1"/>
  <c r="X1411" i="1" s="1"/>
  <c r="V1411" i="1"/>
  <c r="X1410" i="1"/>
  <c r="W1410" i="1"/>
  <c r="V1410" i="1"/>
  <c r="W1409" i="1"/>
  <c r="X1409" i="1" s="1"/>
  <c r="V1409" i="1"/>
  <c r="W1408" i="1"/>
  <c r="X1408" i="1" s="1"/>
  <c r="V1408" i="1"/>
  <c r="W1407" i="1"/>
  <c r="X1407" i="1" s="1"/>
  <c r="V1407" i="1"/>
  <c r="W1406" i="1"/>
  <c r="X1406" i="1" s="1"/>
  <c r="V1406" i="1"/>
  <c r="W1405" i="1"/>
  <c r="X1405" i="1" s="1"/>
  <c r="V1405" i="1"/>
  <c r="X1404" i="1"/>
  <c r="W1404" i="1"/>
  <c r="V1404" i="1"/>
  <c r="W1403" i="1"/>
  <c r="X1403" i="1" s="1"/>
  <c r="V1403" i="1"/>
  <c r="X1402" i="1"/>
  <c r="W1402" i="1"/>
  <c r="V1402" i="1"/>
  <c r="W1401" i="1"/>
  <c r="X1401" i="1" s="1"/>
  <c r="V1401" i="1"/>
  <c r="W1400" i="1"/>
  <c r="X1400" i="1" s="1"/>
  <c r="V1400" i="1"/>
  <c r="W1399" i="1"/>
  <c r="X1399" i="1" s="1"/>
  <c r="V1399" i="1"/>
  <c r="W1398" i="1"/>
  <c r="X1398" i="1" s="1"/>
  <c r="V1398" i="1"/>
  <c r="W1397" i="1"/>
  <c r="X1397" i="1" s="1"/>
  <c r="V1397" i="1"/>
  <c r="X1396" i="1"/>
  <c r="W1396" i="1"/>
  <c r="V1396" i="1"/>
  <c r="W1395" i="1"/>
  <c r="X1395" i="1" s="1"/>
  <c r="V1395" i="1"/>
  <c r="X1394" i="1"/>
  <c r="W1394" i="1"/>
  <c r="V1394" i="1"/>
  <c r="W1393" i="1"/>
  <c r="X1393" i="1" s="1"/>
  <c r="V1393" i="1"/>
  <c r="W1392" i="1"/>
  <c r="X1392" i="1" s="1"/>
  <c r="V1392" i="1"/>
  <c r="W1391" i="1"/>
  <c r="X1391" i="1" s="1"/>
  <c r="V1391" i="1"/>
  <c r="W1390" i="1"/>
  <c r="X1390" i="1" s="1"/>
  <c r="V1390" i="1"/>
  <c r="X1389" i="1"/>
  <c r="W1389" i="1"/>
  <c r="V1389" i="1"/>
  <c r="X1388" i="1"/>
  <c r="W1388" i="1"/>
  <c r="V1388" i="1"/>
  <c r="W1387" i="1"/>
  <c r="X1387" i="1" s="1"/>
  <c r="V1387" i="1"/>
  <c r="X1386" i="1"/>
  <c r="W1386" i="1"/>
  <c r="V1386" i="1"/>
  <c r="W1385" i="1"/>
  <c r="X1385" i="1" s="1"/>
  <c r="V1385" i="1"/>
  <c r="W1384" i="1"/>
  <c r="X1384" i="1" s="1"/>
  <c r="V1384" i="1"/>
  <c r="W1383" i="1"/>
  <c r="X1383" i="1" s="1"/>
  <c r="V1383" i="1"/>
  <c r="W1382" i="1"/>
  <c r="X1382" i="1" s="1"/>
  <c r="V1382" i="1"/>
  <c r="X1381" i="1"/>
  <c r="W1381" i="1"/>
  <c r="V1381" i="1"/>
  <c r="X1380" i="1"/>
  <c r="W1380" i="1"/>
  <c r="V1380" i="1"/>
  <c r="W1379" i="1"/>
  <c r="X1379" i="1" s="1"/>
  <c r="V1379" i="1"/>
  <c r="X1378" i="1"/>
  <c r="W1378" i="1"/>
  <c r="V1378" i="1"/>
  <c r="W1377" i="1"/>
  <c r="X1377" i="1" s="1"/>
  <c r="V1377" i="1"/>
  <c r="W1376" i="1"/>
  <c r="X1376" i="1" s="1"/>
  <c r="V1376" i="1"/>
  <c r="W1375" i="1"/>
  <c r="X1375" i="1" s="1"/>
  <c r="V1375" i="1"/>
  <c r="W1374" i="1"/>
  <c r="X1374" i="1" s="1"/>
  <c r="V1374" i="1"/>
  <c r="X1373" i="1"/>
  <c r="W1373" i="1"/>
  <c r="V1373" i="1"/>
  <c r="X1372" i="1"/>
  <c r="W1372" i="1"/>
  <c r="V1372" i="1"/>
  <c r="W1371" i="1"/>
  <c r="X1371" i="1" s="1"/>
  <c r="V1371" i="1"/>
  <c r="X1370" i="1"/>
  <c r="W1370" i="1"/>
  <c r="V1370" i="1"/>
  <c r="W1369" i="1"/>
  <c r="X1369" i="1" s="1"/>
  <c r="V1369" i="1"/>
  <c r="W1368" i="1"/>
  <c r="X1368" i="1" s="1"/>
  <c r="V1368" i="1"/>
  <c r="W1367" i="1"/>
  <c r="X1367" i="1" s="1"/>
  <c r="V1367" i="1"/>
  <c r="W1366" i="1"/>
  <c r="X1366" i="1" s="1"/>
  <c r="V1366" i="1"/>
  <c r="X1365" i="1"/>
  <c r="W1365" i="1"/>
  <c r="V1365" i="1"/>
  <c r="X1364" i="1"/>
  <c r="W1364" i="1"/>
  <c r="V1364" i="1"/>
  <c r="W1363" i="1"/>
  <c r="X1363" i="1" s="1"/>
  <c r="V1363" i="1"/>
  <c r="X1362" i="1"/>
  <c r="W1362" i="1"/>
  <c r="V1362" i="1"/>
  <c r="W1361" i="1"/>
  <c r="X1361" i="1" s="1"/>
  <c r="V1361" i="1"/>
  <c r="W1360" i="1"/>
  <c r="X1360" i="1" s="1"/>
  <c r="V1360" i="1"/>
  <c r="W1359" i="1"/>
  <c r="X1359" i="1" s="1"/>
  <c r="V1359" i="1"/>
  <c r="W1358" i="1"/>
  <c r="X1358" i="1" s="1"/>
  <c r="V1358" i="1"/>
  <c r="X1357" i="1"/>
  <c r="W1357" i="1"/>
  <c r="V1357" i="1"/>
  <c r="X1356" i="1"/>
  <c r="W1356" i="1"/>
  <c r="V1356" i="1"/>
  <c r="W1355" i="1"/>
  <c r="X1355" i="1" s="1"/>
  <c r="V1355" i="1"/>
  <c r="X1354" i="1"/>
  <c r="W1354" i="1"/>
  <c r="V1354" i="1"/>
  <c r="W1353" i="1"/>
  <c r="X1353" i="1" s="1"/>
  <c r="V1353" i="1"/>
  <c r="W1352" i="1"/>
  <c r="X1352" i="1" s="1"/>
  <c r="V1352" i="1"/>
  <c r="W1351" i="1"/>
  <c r="X1351" i="1" s="1"/>
  <c r="V1351" i="1"/>
  <c r="W1350" i="1"/>
  <c r="X1350" i="1" s="1"/>
  <c r="V1350" i="1"/>
  <c r="X1349" i="1"/>
  <c r="W1349" i="1"/>
  <c r="V1349" i="1"/>
  <c r="X1348" i="1"/>
  <c r="W1348" i="1"/>
  <c r="V1348" i="1"/>
  <c r="W1347" i="1"/>
  <c r="X1347" i="1" s="1"/>
  <c r="V1347" i="1"/>
  <c r="X1346" i="1"/>
  <c r="W1346" i="1"/>
  <c r="V1346" i="1"/>
  <c r="W1345" i="1"/>
  <c r="X1345" i="1" s="1"/>
  <c r="V1345" i="1"/>
  <c r="W1344" i="1"/>
  <c r="X1344" i="1" s="1"/>
  <c r="V1344" i="1"/>
  <c r="W1343" i="1"/>
  <c r="X1343" i="1" s="1"/>
  <c r="V1343" i="1"/>
  <c r="W1342" i="1"/>
  <c r="X1342" i="1" s="1"/>
  <c r="V1342" i="1"/>
  <c r="X1341" i="1"/>
  <c r="W1341" i="1"/>
  <c r="V1341" i="1"/>
  <c r="X1340" i="1"/>
  <c r="W1340" i="1"/>
  <c r="V1340" i="1"/>
  <c r="W1339" i="1"/>
  <c r="X1339" i="1" s="1"/>
  <c r="V1339" i="1"/>
  <c r="X1338" i="1"/>
  <c r="W1338" i="1"/>
  <c r="V1338" i="1"/>
  <c r="W1337" i="1"/>
  <c r="X1337" i="1" s="1"/>
  <c r="V1337" i="1"/>
  <c r="W1336" i="1"/>
  <c r="X1336" i="1" s="1"/>
  <c r="V1336" i="1"/>
  <c r="W1335" i="1"/>
  <c r="X1335" i="1" s="1"/>
  <c r="V1335" i="1"/>
  <c r="W1334" i="1"/>
  <c r="X1334" i="1" s="1"/>
  <c r="V1334" i="1"/>
  <c r="X1333" i="1"/>
  <c r="W1333" i="1"/>
  <c r="V1333" i="1"/>
  <c r="X1332" i="1"/>
  <c r="W1332" i="1"/>
  <c r="V1332" i="1"/>
  <c r="W1331" i="1"/>
  <c r="X1331" i="1" s="1"/>
  <c r="V1331" i="1"/>
  <c r="X1330" i="1"/>
  <c r="W1330" i="1"/>
  <c r="V1330" i="1"/>
  <c r="W1329" i="1"/>
  <c r="X1329" i="1" s="1"/>
  <c r="V1329" i="1"/>
  <c r="W1328" i="1"/>
  <c r="X1328" i="1" s="1"/>
  <c r="V1328" i="1"/>
  <c r="W1327" i="1"/>
  <c r="X1327" i="1" s="1"/>
  <c r="V1327" i="1"/>
  <c r="W1326" i="1"/>
  <c r="X1326" i="1" s="1"/>
  <c r="V1326" i="1"/>
  <c r="X1325" i="1"/>
  <c r="W1325" i="1"/>
  <c r="V1325" i="1"/>
  <c r="X1324" i="1"/>
  <c r="W1324" i="1"/>
  <c r="V1324" i="1"/>
  <c r="W1323" i="1"/>
  <c r="X1323" i="1" s="1"/>
  <c r="V1323" i="1"/>
  <c r="X1322" i="1"/>
  <c r="W1322" i="1"/>
  <c r="V1322" i="1"/>
  <c r="W1321" i="1"/>
  <c r="X1321" i="1" s="1"/>
  <c r="V1321" i="1"/>
  <c r="W1320" i="1"/>
  <c r="X1320" i="1" s="1"/>
  <c r="V1320" i="1"/>
  <c r="W1319" i="1"/>
  <c r="X1319" i="1" s="1"/>
  <c r="V1319" i="1"/>
  <c r="W1318" i="1"/>
  <c r="X1318" i="1" s="1"/>
  <c r="V1318" i="1"/>
  <c r="X1317" i="1"/>
  <c r="W1317" i="1"/>
  <c r="V1317" i="1"/>
  <c r="X1316" i="1"/>
  <c r="W1316" i="1"/>
  <c r="V1316" i="1"/>
  <c r="W1315" i="1"/>
  <c r="X1315" i="1" s="1"/>
  <c r="V1315" i="1"/>
  <c r="X1314" i="1"/>
  <c r="W1314" i="1"/>
  <c r="V1314" i="1"/>
  <c r="W1313" i="1"/>
  <c r="X1313" i="1" s="1"/>
  <c r="V1313" i="1"/>
  <c r="W1312" i="1"/>
  <c r="X1312" i="1" s="1"/>
  <c r="V1312" i="1"/>
  <c r="W1311" i="1"/>
  <c r="X1311" i="1" s="1"/>
  <c r="V1311" i="1"/>
  <c r="W1310" i="1"/>
  <c r="X1310" i="1" s="1"/>
  <c r="V1310" i="1"/>
  <c r="X1309" i="1"/>
  <c r="W1309" i="1"/>
  <c r="V1309" i="1"/>
  <c r="X1308" i="1"/>
  <c r="W1308" i="1"/>
  <c r="V1308" i="1"/>
  <c r="W1307" i="1"/>
  <c r="X1307" i="1" s="1"/>
  <c r="V1307" i="1"/>
  <c r="X1306" i="1"/>
  <c r="W1306" i="1"/>
  <c r="V1306" i="1"/>
  <c r="W1305" i="1"/>
  <c r="X1305" i="1" s="1"/>
  <c r="V1305" i="1"/>
  <c r="W1304" i="1"/>
  <c r="X1304" i="1" s="1"/>
  <c r="V1304" i="1"/>
  <c r="W1303" i="1"/>
  <c r="X1303" i="1" s="1"/>
  <c r="V1303" i="1"/>
  <c r="W1302" i="1"/>
  <c r="X1302" i="1" s="1"/>
  <c r="V1302" i="1"/>
  <c r="X1301" i="1"/>
  <c r="W1301" i="1"/>
  <c r="V1301" i="1"/>
  <c r="X1300" i="1"/>
  <c r="W1300" i="1"/>
  <c r="V1300" i="1"/>
  <c r="W1299" i="1"/>
  <c r="X1299" i="1" s="1"/>
  <c r="V1299" i="1"/>
  <c r="X1298" i="1"/>
  <c r="W1298" i="1"/>
  <c r="V1298" i="1"/>
  <c r="W1297" i="1"/>
  <c r="X1297" i="1" s="1"/>
  <c r="V1297" i="1"/>
  <c r="W1296" i="1"/>
  <c r="X1296" i="1" s="1"/>
  <c r="V1296" i="1"/>
  <c r="W1295" i="1"/>
  <c r="X1295" i="1" s="1"/>
  <c r="V1295" i="1"/>
  <c r="W1294" i="1"/>
  <c r="X1294" i="1" s="1"/>
  <c r="V1294" i="1"/>
  <c r="X1293" i="1"/>
  <c r="W1293" i="1"/>
  <c r="V1293" i="1"/>
  <c r="X1292" i="1"/>
  <c r="W1292" i="1"/>
  <c r="V1292" i="1"/>
  <c r="W1291" i="1"/>
  <c r="X1291" i="1" s="1"/>
  <c r="V1291" i="1"/>
  <c r="X1290" i="1"/>
  <c r="W1290" i="1"/>
  <c r="V1290" i="1"/>
  <c r="W1289" i="1"/>
  <c r="X1289" i="1" s="1"/>
  <c r="V1289" i="1"/>
  <c r="W1288" i="1"/>
  <c r="X1288" i="1" s="1"/>
  <c r="V1288" i="1"/>
  <c r="W1287" i="1"/>
  <c r="X1287" i="1" s="1"/>
  <c r="V1287" i="1"/>
  <c r="W1286" i="1"/>
  <c r="X1286" i="1" s="1"/>
  <c r="V1286" i="1"/>
  <c r="X1285" i="1"/>
  <c r="W1285" i="1"/>
  <c r="V1285" i="1"/>
  <c r="X1284" i="1"/>
  <c r="W1284" i="1"/>
  <c r="V1284" i="1"/>
  <c r="W1283" i="1"/>
  <c r="X1283" i="1" s="1"/>
  <c r="V1283" i="1"/>
  <c r="X1282" i="1"/>
  <c r="W1282" i="1"/>
  <c r="V1282" i="1"/>
  <c r="W1281" i="1"/>
  <c r="X1281" i="1" s="1"/>
  <c r="V1281" i="1"/>
  <c r="W1280" i="1"/>
  <c r="X1280" i="1" s="1"/>
  <c r="V1280" i="1"/>
  <c r="W1279" i="1"/>
  <c r="X1279" i="1" s="1"/>
  <c r="V1279" i="1"/>
  <c r="W1278" i="1"/>
  <c r="X1278" i="1" s="1"/>
  <c r="V1278" i="1"/>
  <c r="X1277" i="1"/>
  <c r="W1277" i="1"/>
  <c r="V1277" i="1"/>
  <c r="X1276" i="1"/>
  <c r="W1276" i="1"/>
  <c r="V1276" i="1"/>
  <c r="W1275" i="1"/>
  <c r="X1275" i="1" s="1"/>
  <c r="V1275" i="1"/>
  <c r="X1274" i="1"/>
  <c r="W1274" i="1"/>
  <c r="V1274" i="1"/>
  <c r="W1273" i="1"/>
  <c r="X1273" i="1" s="1"/>
  <c r="V1273" i="1"/>
  <c r="W1272" i="1"/>
  <c r="X1272" i="1" s="1"/>
  <c r="V1272" i="1"/>
  <c r="W1271" i="1"/>
  <c r="X1271" i="1" s="1"/>
  <c r="V1271" i="1"/>
  <c r="W1270" i="1"/>
  <c r="X1270" i="1" s="1"/>
  <c r="V1270" i="1"/>
  <c r="X1269" i="1"/>
  <c r="W1269" i="1"/>
  <c r="V1269" i="1"/>
  <c r="X1268" i="1"/>
  <c r="W1268" i="1"/>
  <c r="V1268" i="1"/>
  <c r="W1267" i="1"/>
  <c r="X1267" i="1" s="1"/>
  <c r="V1267" i="1"/>
  <c r="X1266" i="1"/>
  <c r="W1266" i="1"/>
  <c r="V1266" i="1"/>
  <c r="W1265" i="1"/>
  <c r="X1265" i="1" s="1"/>
  <c r="V1265" i="1"/>
  <c r="W1264" i="1"/>
  <c r="X1264" i="1" s="1"/>
  <c r="V1264" i="1"/>
  <c r="W1263" i="1"/>
  <c r="X1263" i="1" s="1"/>
  <c r="V1263" i="1"/>
  <c r="W1262" i="1"/>
  <c r="X1262" i="1" s="1"/>
  <c r="V1262" i="1"/>
  <c r="X1261" i="1"/>
  <c r="W1261" i="1"/>
  <c r="V1261" i="1"/>
  <c r="X1260" i="1"/>
  <c r="W1260" i="1"/>
  <c r="V1260" i="1"/>
  <c r="W1259" i="1"/>
  <c r="X1259" i="1" s="1"/>
  <c r="V1259" i="1"/>
  <c r="X1258" i="1"/>
  <c r="W1258" i="1"/>
  <c r="V1258" i="1"/>
  <c r="W1257" i="1"/>
  <c r="X1257" i="1" s="1"/>
  <c r="V1257" i="1"/>
  <c r="W1256" i="1"/>
  <c r="X1256" i="1" s="1"/>
  <c r="V1256" i="1"/>
  <c r="W1255" i="1"/>
  <c r="X1255" i="1" s="1"/>
  <c r="V1255" i="1"/>
  <c r="W1254" i="1"/>
  <c r="X1254" i="1" s="1"/>
  <c r="V1254" i="1"/>
  <c r="X1253" i="1"/>
  <c r="W1253" i="1"/>
  <c r="V1253" i="1"/>
  <c r="X1252" i="1"/>
  <c r="W1252" i="1"/>
  <c r="V1252" i="1"/>
  <c r="W1251" i="1"/>
  <c r="X1251" i="1" s="1"/>
  <c r="V1251" i="1"/>
  <c r="X1250" i="1"/>
  <c r="W1250" i="1"/>
  <c r="V1250" i="1"/>
  <c r="W1249" i="1"/>
  <c r="X1249" i="1" s="1"/>
  <c r="V1249" i="1"/>
  <c r="W1248" i="1"/>
  <c r="X1248" i="1" s="1"/>
  <c r="V1248" i="1"/>
  <c r="W1247" i="1"/>
  <c r="X1247" i="1" s="1"/>
  <c r="V1247" i="1"/>
  <c r="W1246" i="1"/>
  <c r="X1246" i="1" s="1"/>
  <c r="V1246" i="1"/>
  <c r="X1245" i="1"/>
  <c r="W1245" i="1"/>
  <c r="V1245" i="1"/>
  <c r="X1244" i="1"/>
  <c r="W1244" i="1"/>
  <c r="V1244" i="1"/>
  <c r="W1243" i="1"/>
  <c r="X1243" i="1" s="1"/>
  <c r="V1243" i="1"/>
  <c r="X1242" i="1"/>
  <c r="W1242" i="1"/>
  <c r="V1242" i="1"/>
  <c r="W1241" i="1"/>
  <c r="X1241" i="1" s="1"/>
  <c r="V1241" i="1"/>
  <c r="W1240" i="1"/>
  <c r="X1240" i="1" s="1"/>
  <c r="V1240" i="1"/>
  <c r="W1239" i="1"/>
  <c r="X1239" i="1" s="1"/>
  <c r="V1239" i="1"/>
  <c r="W1238" i="1"/>
  <c r="X1238" i="1" s="1"/>
  <c r="V1238" i="1"/>
  <c r="X1237" i="1"/>
  <c r="W1237" i="1"/>
  <c r="V1237" i="1"/>
  <c r="X1236" i="1"/>
  <c r="W1236" i="1"/>
  <c r="V1236" i="1"/>
  <c r="W1235" i="1"/>
  <c r="X1235" i="1" s="1"/>
  <c r="V1235" i="1"/>
  <c r="X1234" i="1"/>
  <c r="W1234" i="1"/>
  <c r="V1234" i="1"/>
  <c r="W1233" i="1"/>
  <c r="X1233" i="1" s="1"/>
  <c r="V1233" i="1"/>
  <c r="W1232" i="1"/>
  <c r="X1232" i="1" s="1"/>
  <c r="V1232" i="1"/>
  <c r="W1231" i="1"/>
  <c r="X1231" i="1" s="1"/>
  <c r="V1231" i="1"/>
  <c r="W1230" i="1"/>
  <c r="X1230" i="1" s="1"/>
  <c r="V1230" i="1"/>
  <c r="X1229" i="1"/>
  <c r="W1229" i="1"/>
  <c r="V1229" i="1"/>
  <c r="X1228" i="1"/>
  <c r="W1228" i="1"/>
  <c r="V1228" i="1"/>
  <c r="W1227" i="1"/>
  <c r="X1227" i="1" s="1"/>
  <c r="V1227" i="1"/>
  <c r="X1226" i="1"/>
  <c r="W1226" i="1"/>
  <c r="V1226" i="1"/>
  <c r="W1225" i="1"/>
  <c r="X1225" i="1" s="1"/>
  <c r="V1225" i="1"/>
  <c r="W1224" i="1"/>
  <c r="X1224" i="1" s="1"/>
  <c r="V1224" i="1"/>
  <c r="W1223" i="1"/>
  <c r="X1223" i="1" s="1"/>
  <c r="V1223" i="1"/>
  <c r="W1222" i="1"/>
  <c r="X1222" i="1" s="1"/>
  <c r="V1222" i="1"/>
  <c r="X1221" i="1"/>
  <c r="W1221" i="1"/>
  <c r="V1221" i="1"/>
  <c r="X1220" i="1"/>
  <c r="W1220" i="1"/>
  <c r="V1220" i="1"/>
  <c r="W1219" i="1"/>
  <c r="X1219" i="1" s="1"/>
  <c r="V1219" i="1"/>
  <c r="X1218" i="1"/>
  <c r="W1218" i="1"/>
  <c r="V1218" i="1"/>
  <c r="W1217" i="1"/>
  <c r="X1217" i="1" s="1"/>
  <c r="V1217" i="1"/>
  <c r="W1216" i="1"/>
  <c r="X1216" i="1" s="1"/>
  <c r="V1216" i="1"/>
  <c r="W1215" i="1"/>
  <c r="X1215" i="1" s="1"/>
  <c r="V1215" i="1"/>
  <c r="W1214" i="1"/>
  <c r="X1214" i="1" s="1"/>
  <c r="V1214" i="1"/>
  <c r="X1213" i="1"/>
  <c r="W1213" i="1"/>
  <c r="V1213" i="1"/>
  <c r="X1212" i="1"/>
  <c r="W1212" i="1"/>
  <c r="V1212" i="1"/>
  <c r="W1211" i="1"/>
  <c r="X1211" i="1" s="1"/>
  <c r="V1211" i="1"/>
  <c r="X1210" i="1"/>
  <c r="W1210" i="1"/>
  <c r="V1210" i="1"/>
  <c r="W1209" i="1"/>
  <c r="X1209" i="1" s="1"/>
  <c r="V1209" i="1"/>
  <c r="W1208" i="1"/>
  <c r="X1208" i="1" s="1"/>
  <c r="V1208" i="1"/>
  <c r="W1207" i="1"/>
  <c r="X1207" i="1" s="1"/>
  <c r="V1207" i="1"/>
  <c r="W1206" i="1"/>
  <c r="X1206" i="1" s="1"/>
  <c r="V1206" i="1"/>
  <c r="X1205" i="1"/>
  <c r="W1205" i="1"/>
  <c r="V1205" i="1"/>
  <c r="X1204" i="1"/>
  <c r="W1204" i="1"/>
  <c r="V1204" i="1"/>
  <c r="W1203" i="1"/>
  <c r="X1203" i="1" s="1"/>
  <c r="V1203" i="1"/>
  <c r="X1202" i="1"/>
  <c r="W1202" i="1"/>
  <c r="V1202" i="1"/>
  <c r="W1201" i="1"/>
  <c r="X1201" i="1" s="1"/>
  <c r="V1201" i="1"/>
  <c r="W1200" i="1"/>
  <c r="X1200" i="1" s="1"/>
  <c r="V1200" i="1"/>
  <c r="W1199" i="1"/>
  <c r="X1199" i="1" s="1"/>
  <c r="V1199" i="1"/>
  <c r="W1198" i="1"/>
  <c r="X1198" i="1" s="1"/>
  <c r="V1198" i="1"/>
  <c r="X1197" i="1"/>
  <c r="W1197" i="1"/>
  <c r="V1197" i="1"/>
  <c r="X1196" i="1"/>
  <c r="W1196" i="1"/>
  <c r="V1196" i="1"/>
  <c r="W1195" i="1"/>
  <c r="X1195" i="1" s="1"/>
  <c r="V1195" i="1"/>
  <c r="X1194" i="1"/>
  <c r="W1194" i="1"/>
  <c r="V1194" i="1"/>
  <c r="W1193" i="1"/>
  <c r="X1193" i="1" s="1"/>
  <c r="V1193" i="1"/>
  <c r="W1192" i="1"/>
  <c r="X1192" i="1" s="1"/>
  <c r="V1192" i="1"/>
  <c r="W1191" i="1"/>
  <c r="X1191" i="1" s="1"/>
  <c r="V1191" i="1"/>
  <c r="W1190" i="1"/>
  <c r="X1190" i="1" s="1"/>
  <c r="V1190" i="1"/>
  <c r="X1189" i="1"/>
  <c r="W1189" i="1"/>
  <c r="V1189" i="1"/>
  <c r="X1188" i="1"/>
  <c r="W1188" i="1"/>
  <c r="V1188" i="1"/>
  <c r="W1187" i="1"/>
  <c r="X1187" i="1" s="1"/>
  <c r="V1187" i="1"/>
  <c r="X1186" i="1"/>
  <c r="W1186" i="1"/>
  <c r="V1186" i="1"/>
  <c r="W1185" i="1"/>
  <c r="X1185" i="1" s="1"/>
  <c r="V1185" i="1"/>
  <c r="W1184" i="1"/>
  <c r="X1184" i="1" s="1"/>
  <c r="V1184" i="1"/>
  <c r="W1183" i="1"/>
  <c r="X1183" i="1" s="1"/>
  <c r="V1183" i="1"/>
  <c r="W1182" i="1"/>
  <c r="X1182" i="1" s="1"/>
  <c r="V1182" i="1"/>
  <c r="X1181" i="1"/>
  <c r="W1181" i="1"/>
  <c r="V1181" i="1"/>
  <c r="X1180" i="1"/>
  <c r="W1180" i="1"/>
  <c r="V1180" i="1"/>
  <c r="W1179" i="1"/>
  <c r="X1179" i="1" s="1"/>
  <c r="V1179" i="1"/>
  <c r="X1178" i="1"/>
  <c r="W1178" i="1"/>
  <c r="V1178" i="1"/>
  <c r="W1177" i="1"/>
  <c r="X1177" i="1" s="1"/>
  <c r="V1177" i="1"/>
  <c r="W1176" i="1"/>
  <c r="X1176" i="1" s="1"/>
  <c r="V1176" i="1"/>
  <c r="W1175" i="1"/>
  <c r="X1175" i="1" s="1"/>
  <c r="V1175" i="1"/>
  <c r="W1174" i="1"/>
  <c r="X1174" i="1" s="1"/>
  <c r="V1174" i="1"/>
  <c r="X1173" i="1"/>
  <c r="W1173" i="1"/>
  <c r="V1173" i="1"/>
  <c r="X1172" i="1"/>
  <c r="W1172" i="1"/>
  <c r="V1172" i="1"/>
  <c r="W1171" i="1"/>
  <c r="X1171" i="1" s="1"/>
  <c r="V1171" i="1"/>
  <c r="X1170" i="1"/>
  <c r="W1170" i="1"/>
  <c r="V1170" i="1"/>
  <c r="W1169" i="1"/>
  <c r="X1169" i="1" s="1"/>
  <c r="V1169" i="1"/>
  <c r="W1168" i="1"/>
  <c r="X1168" i="1" s="1"/>
  <c r="V1168" i="1"/>
  <c r="W1167" i="1"/>
  <c r="X1167" i="1" s="1"/>
  <c r="V1167" i="1"/>
  <c r="W1166" i="1"/>
  <c r="X1166" i="1" s="1"/>
  <c r="V1166" i="1"/>
  <c r="X1165" i="1"/>
  <c r="W1165" i="1"/>
  <c r="V1165" i="1"/>
  <c r="X1164" i="1"/>
  <c r="W1164" i="1"/>
  <c r="V1164" i="1"/>
  <c r="W1163" i="1"/>
  <c r="X1163" i="1" s="1"/>
  <c r="V1163" i="1"/>
  <c r="X1162" i="1"/>
  <c r="W1162" i="1"/>
  <c r="V1162" i="1"/>
  <c r="W1161" i="1"/>
  <c r="X1161" i="1" s="1"/>
  <c r="V1161" i="1"/>
  <c r="W1160" i="1"/>
  <c r="X1160" i="1" s="1"/>
  <c r="V1160" i="1"/>
  <c r="W1159" i="1"/>
  <c r="X1159" i="1" s="1"/>
  <c r="V1159" i="1"/>
  <c r="W1158" i="1"/>
  <c r="X1158" i="1" s="1"/>
  <c r="V1158" i="1"/>
  <c r="X1157" i="1"/>
  <c r="W1157" i="1"/>
  <c r="V1157" i="1"/>
  <c r="X1156" i="1"/>
  <c r="W1156" i="1"/>
  <c r="V1156" i="1"/>
  <c r="W1155" i="1"/>
  <c r="X1155" i="1" s="1"/>
  <c r="V1155" i="1"/>
  <c r="X1154" i="1"/>
  <c r="W1154" i="1"/>
  <c r="V1154" i="1"/>
  <c r="W1153" i="1"/>
  <c r="X1153" i="1" s="1"/>
  <c r="V1153" i="1"/>
  <c r="W1152" i="1"/>
  <c r="X1152" i="1" s="1"/>
  <c r="V1152" i="1"/>
  <c r="W1151" i="1"/>
  <c r="X1151" i="1" s="1"/>
  <c r="V1151" i="1"/>
  <c r="W1150" i="1"/>
  <c r="X1150" i="1" s="1"/>
  <c r="V1150" i="1"/>
  <c r="X1149" i="1"/>
  <c r="W1149" i="1"/>
  <c r="V1149" i="1"/>
  <c r="X1148" i="1"/>
  <c r="W1148" i="1"/>
  <c r="V1148" i="1"/>
  <c r="W1147" i="1"/>
  <c r="X1147" i="1" s="1"/>
  <c r="V1147" i="1"/>
  <c r="X1146" i="1"/>
  <c r="W1146" i="1"/>
  <c r="V1146" i="1"/>
  <c r="W1145" i="1"/>
  <c r="X1145" i="1" s="1"/>
  <c r="V1145" i="1"/>
  <c r="W1144" i="1"/>
  <c r="X1144" i="1" s="1"/>
  <c r="V1144" i="1"/>
  <c r="W1143" i="1"/>
  <c r="X1143" i="1" s="1"/>
  <c r="V1143" i="1"/>
  <c r="W1142" i="1"/>
  <c r="X1142" i="1" s="1"/>
  <c r="V1142" i="1"/>
  <c r="X1141" i="1"/>
  <c r="W1141" i="1"/>
  <c r="V1141" i="1"/>
  <c r="X1140" i="1"/>
  <c r="W1140" i="1"/>
  <c r="V1140" i="1"/>
  <c r="W1139" i="1"/>
  <c r="X1139" i="1" s="1"/>
  <c r="V1139" i="1"/>
  <c r="X1138" i="1"/>
  <c r="W1138" i="1"/>
  <c r="V1138" i="1"/>
  <c r="W1137" i="1"/>
  <c r="X1137" i="1" s="1"/>
  <c r="V1137" i="1"/>
  <c r="W1136" i="1"/>
  <c r="X1136" i="1" s="1"/>
  <c r="V1136" i="1"/>
  <c r="W1135" i="1"/>
  <c r="X1135" i="1" s="1"/>
  <c r="V1135" i="1"/>
  <c r="W1134" i="1"/>
  <c r="X1134" i="1" s="1"/>
  <c r="V1134" i="1"/>
  <c r="X1133" i="1"/>
  <c r="W1133" i="1"/>
  <c r="V1133" i="1"/>
  <c r="X1132" i="1"/>
  <c r="W1132" i="1"/>
  <c r="V1132" i="1"/>
  <c r="W1131" i="1"/>
  <c r="X1131" i="1" s="1"/>
  <c r="V1131" i="1"/>
  <c r="X1130" i="1"/>
  <c r="W1130" i="1"/>
  <c r="V1130" i="1"/>
  <c r="W1129" i="1"/>
  <c r="X1129" i="1" s="1"/>
  <c r="V1129" i="1"/>
  <c r="W1128" i="1"/>
  <c r="X1128" i="1" s="1"/>
  <c r="V1128" i="1"/>
  <c r="W1127" i="1"/>
  <c r="X1127" i="1" s="1"/>
  <c r="V1127" i="1"/>
  <c r="W1126" i="1"/>
  <c r="X1126" i="1" s="1"/>
  <c r="V1126" i="1"/>
  <c r="X1125" i="1"/>
  <c r="W1125" i="1"/>
  <c r="V1125" i="1"/>
  <c r="X1124" i="1"/>
  <c r="W1124" i="1"/>
  <c r="V1124" i="1"/>
  <c r="W1123" i="1"/>
  <c r="X1123" i="1" s="1"/>
  <c r="V1123" i="1"/>
  <c r="X1122" i="1"/>
  <c r="W1122" i="1"/>
  <c r="V1122" i="1"/>
  <c r="X1121" i="1"/>
  <c r="W1121" i="1"/>
  <c r="V1121" i="1"/>
  <c r="W1120" i="1"/>
  <c r="X1120" i="1" s="1"/>
  <c r="V1120" i="1"/>
  <c r="W1119" i="1"/>
  <c r="X1119" i="1" s="1"/>
  <c r="V1119" i="1"/>
  <c r="W1118" i="1"/>
  <c r="X1118" i="1" s="1"/>
  <c r="V1118" i="1"/>
  <c r="X1117" i="1"/>
  <c r="W1117" i="1"/>
  <c r="V1117" i="1"/>
  <c r="X1116" i="1"/>
  <c r="W1116" i="1"/>
  <c r="V1116" i="1"/>
  <c r="W1115" i="1"/>
  <c r="X1115" i="1" s="1"/>
  <c r="V1115" i="1"/>
  <c r="X1114" i="1"/>
  <c r="W1114" i="1"/>
  <c r="V1114" i="1"/>
  <c r="W1113" i="1"/>
  <c r="X1113" i="1" s="1"/>
  <c r="V1113" i="1"/>
  <c r="W1112" i="1"/>
  <c r="X1112" i="1" s="1"/>
  <c r="V1112" i="1"/>
  <c r="W1111" i="1"/>
  <c r="X1111" i="1" s="1"/>
  <c r="V1111" i="1"/>
  <c r="W1110" i="1"/>
  <c r="X1110" i="1" s="1"/>
  <c r="V1110" i="1"/>
  <c r="X1109" i="1"/>
  <c r="W1109" i="1"/>
  <c r="V1109" i="1"/>
  <c r="X1108" i="1"/>
  <c r="W1108" i="1"/>
  <c r="V1108" i="1"/>
  <c r="W1107" i="1"/>
  <c r="X1107" i="1" s="1"/>
  <c r="V1107" i="1"/>
  <c r="X1106" i="1"/>
  <c r="W1106" i="1"/>
  <c r="V1106" i="1"/>
  <c r="W1105" i="1"/>
  <c r="X1105" i="1" s="1"/>
  <c r="V1105" i="1"/>
  <c r="W1104" i="1"/>
  <c r="X1104" i="1" s="1"/>
  <c r="V1104" i="1"/>
  <c r="W1103" i="1"/>
  <c r="X1103" i="1" s="1"/>
  <c r="V1103" i="1"/>
  <c r="W1102" i="1"/>
  <c r="X1102" i="1" s="1"/>
  <c r="V1102" i="1"/>
  <c r="X1101" i="1"/>
  <c r="W1101" i="1"/>
  <c r="V1101" i="1"/>
  <c r="X1100" i="1"/>
  <c r="W1100" i="1"/>
  <c r="V1100" i="1"/>
  <c r="W1099" i="1"/>
  <c r="X1099" i="1" s="1"/>
  <c r="V1099" i="1"/>
  <c r="X1098" i="1"/>
  <c r="W1098" i="1"/>
  <c r="V1098" i="1"/>
  <c r="W1097" i="1"/>
  <c r="X1097" i="1" s="1"/>
  <c r="V1097" i="1"/>
  <c r="W1096" i="1"/>
  <c r="X1096" i="1" s="1"/>
  <c r="V1096" i="1"/>
  <c r="W1095" i="1"/>
  <c r="X1095" i="1" s="1"/>
  <c r="V1095" i="1"/>
  <c r="W1094" i="1"/>
  <c r="X1094" i="1" s="1"/>
  <c r="V1094" i="1"/>
  <c r="X1093" i="1"/>
  <c r="W1093" i="1"/>
  <c r="V1093" i="1"/>
  <c r="X1092" i="1"/>
  <c r="W1092" i="1"/>
  <c r="V1092" i="1"/>
  <c r="W1091" i="1"/>
  <c r="X1091" i="1" s="1"/>
  <c r="V1091" i="1"/>
  <c r="X1090" i="1"/>
  <c r="W1090" i="1"/>
  <c r="V1090" i="1"/>
  <c r="W1089" i="1"/>
  <c r="X1089" i="1" s="1"/>
  <c r="V1089" i="1"/>
  <c r="W1088" i="1"/>
  <c r="X1088" i="1" s="1"/>
  <c r="V1088" i="1"/>
  <c r="W1087" i="1"/>
  <c r="X1087" i="1" s="1"/>
  <c r="V1087" i="1"/>
  <c r="W1086" i="1"/>
  <c r="X1086" i="1" s="1"/>
  <c r="V1086" i="1"/>
  <c r="X1085" i="1"/>
  <c r="W1085" i="1"/>
  <c r="V1085" i="1"/>
  <c r="X1084" i="1"/>
  <c r="W1084" i="1"/>
  <c r="V1084" i="1"/>
  <c r="W1083" i="1"/>
  <c r="X1083" i="1" s="1"/>
  <c r="V1083" i="1"/>
  <c r="X1082" i="1"/>
  <c r="W1082" i="1"/>
  <c r="V1082" i="1"/>
  <c r="W1081" i="1"/>
  <c r="X1081" i="1" s="1"/>
  <c r="V1081" i="1"/>
  <c r="W1080" i="1"/>
  <c r="X1080" i="1" s="1"/>
  <c r="V1080" i="1"/>
  <c r="W1079" i="1"/>
  <c r="X1079" i="1" s="1"/>
  <c r="V1079" i="1"/>
  <c r="W1078" i="1"/>
  <c r="X1078" i="1" s="1"/>
  <c r="V1078" i="1"/>
  <c r="X1077" i="1"/>
  <c r="W1077" i="1"/>
  <c r="V1077" i="1"/>
  <c r="X1076" i="1"/>
  <c r="W1076" i="1"/>
  <c r="V1076" i="1"/>
  <c r="W1075" i="1"/>
  <c r="X1075" i="1" s="1"/>
  <c r="V1075" i="1"/>
  <c r="X1074" i="1"/>
  <c r="W1074" i="1"/>
  <c r="V1074" i="1"/>
  <c r="W1073" i="1"/>
  <c r="X1073" i="1" s="1"/>
  <c r="V1073" i="1"/>
  <c r="W1072" i="1"/>
  <c r="X1072" i="1" s="1"/>
  <c r="V1072" i="1"/>
  <c r="W1071" i="1"/>
  <c r="X1071" i="1" s="1"/>
  <c r="V1071" i="1"/>
  <c r="W1070" i="1"/>
  <c r="X1070" i="1" s="1"/>
  <c r="V1070" i="1"/>
  <c r="X1069" i="1"/>
  <c r="W1069" i="1"/>
  <c r="V1069" i="1"/>
  <c r="X1068" i="1"/>
  <c r="W1068" i="1"/>
  <c r="V1068" i="1"/>
  <c r="W1067" i="1"/>
  <c r="X1067" i="1" s="1"/>
  <c r="V1067" i="1"/>
  <c r="X1066" i="1"/>
  <c r="W1066" i="1"/>
  <c r="V1066" i="1"/>
  <c r="W1065" i="1"/>
  <c r="X1065" i="1" s="1"/>
  <c r="V1065" i="1"/>
  <c r="W1064" i="1"/>
  <c r="X1064" i="1" s="1"/>
  <c r="V1064" i="1"/>
  <c r="W1063" i="1"/>
  <c r="X1063" i="1" s="1"/>
  <c r="V1063" i="1"/>
  <c r="W1062" i="1"/>
  <c r="X1062" i="1" s="1"/>
  <c r="V1062" i="1"/>
  <c r="X1061" i="1"/>
  <c r="W1061" i="1"/>
  <c r="V1061" i="1"/>
  <c r="X1060" i="1"/>
  <c r="W1060" i="1"/>
  <c r="V1060" i="1"/>
  <c r="W1059" i="1"/>
  <c r="X1059" i="1" s="1"/>
  <c r="V1059" i="1"/>
  <c r="X1058" i="1"/>
  <c r="W1058" i="1"/>
  <c r="V1058" i="1"/>
  <c r="W1057" i="1"/>
  <c r="X1057" i="1" s="1"/>
  <c r="V1057" i="1"/>
  <c r="W1056" i="1"/>
  <c r="X1056" i="1" s="1"/>
  <c r="V1056" i="1"/>
  <c r="W1055" i="1"/>
  <c r="X1055" i="1" s="1"/>
  <c r="V1055" i="1"/>
  <c r="W1054" i="1"/>
  <c r="X1054" i="1" s="1"/>
  <c r="V1054" i="1"/>
  <c r="X1053" i="1"/>
  <c r="W1053" i="1"/>
  <c r="V1053" i="1"/>
  <c r="X1052" i="1"/>
  <c r="W1052" i="1"/>
  <c r="V1052" i="1"/>
  <c r="W1051" i="1"/>
  <c r="X1051" i="1" s="1"/>
  <c r="V1051" i="1"/>
  <c r="X1050" i="1"/>
  <c r="W1050" i="1"/>
  <c r="V1050" i="1"/>
  <c r="W1049" i="1"/>
  <c r="X1049" i="1" s="1"/>
  <c r="V1049" i="1"/>
  <c r="W1048" i="1"/>
  <c r="X1048" i="1" s="1"/>
  <c r="V1048" i="1"/>
  <c r="W1047" i="1"/>
  <c r="X1047" i="1" s="1"/>
  <c r="V1047" i="1"/>
  <c r="W1046" i="1"/>
  <c r="X1046" i="1" s="1"/>
  <c r="V1046" i="1"/>
  <c r="X1045" i="1"/>
  <c r="W1045" i="1"/>
  <c r="V1045" i="1"/>
  <c r="X1044" i="1"/>
  <c r="W1044" i="1"/>
  <c r="V1044" i="1"/>
  <c r="W1043" i="1"/>
  <c r="X1043" i="1" s="1"/>
  <c r="V1043" i="1"/>
  <c r="X1042" i="1"/>
  <c r="W1042" i="1"/>
  <c r="V1042" i="1"/>
  <c r="W1041" i="1"/>
  <c r="X1041" i="1" s="1"/>
  <c r="V1041" i="1"/>
  <c r="X1040" i="1"/>
  <c r="W1040" i="1"/>
  <c r="V1040" i="1"/>
  <c r="W1039" i="1"/>
  <c r="X1039" i="1" s="1"/>
  <c r="V1039" i="1"/>
  <c r="W1038" i="1"/>
  <c r="X1038" i="1" s="1"/>
  <c r="V1038" i="1"/>
  <c r="X1037" i="1"/>
  <c r="W1037" i="1"/>
  <c r="V1037" i="1"/>
  <c r="X1036" i="1"/>
  <c r="W1036" i="1"/>
  <c r="V1036" i="1"/>
  <c r="W1035" i="1"/>
  <c r="X1035" i="1" s="1"/>
  <c r="V1035" i="1"/>
  <c r="X1034" i="1"/>
  <c r="W1034" i="1"/>
  <c r="V1034" i="1"/>
  <c r="W1033" i="1"/>
  <c r="X1033" i="1" s="1"/>
  <c r="V1033" i="1"/>
  <c r="X1032" i="1"/>
  <c r="W1032" i="1"/>
  <c r="V1032" i="1"/>
  <c r="W1031" i="1"/>
  <c r="X1031" i="1" s="1"/>
  <c r="V1031" i="1"/>
  <c r="W1030" i="1"/>
  <c r="X1030" i="1" s="1"/>
  <c r="V1030" i="1"/>
  <c r="X1029" i="1"/>
  <c r="W1029" i="1"/>
  <c r="V1029" i="1"/>
  <c r="X1028" i="1"/>
  <c r="W1028" i="1"/>
  <c r="V1028" i="1"/>
  <c r="W1027" i="1"/>
  <c r="X1027" i="1" s="1"/>
  <c r="V1027" i="1"/>
  <c r="X1026" i="1"/>
  <c r="W1026" i="1"/>
  <c r="V1026" i="1"/>
  <c r="W1025" i="1"/>
  <c r="X1025" i="1" s="1"/>
  <c r="V1025" i="1"/>
  <c r="W1024" i="1"/>
  <c r="X1024" i="1" s="1"/>
  <c r="V1024" i="1"/>
  <c r="W1023" i="1"/>
  <c r="X1023" i="1" s="1"/>
  <c r="V1023" i="1"/>
  <c r="W1022" i="1"/>
  <c r="X1022" i="1" s="1"/>
  <c r="V1022" i="1"/>
  <c r="X1021" i="1"/>
  <c r="W1021" i="1"/>
  <c r="V1021" i="1"/>
  <c r="X1020" i="1"/>
  <c r="W1020" i="1"/>
  <c r="V1020" i="1"/>
  <c r="W1019" i="1"/>
  <c r="X1019" i="1" s="1"/>
  <c r="V1019" i="1"/>
  <c r="W1018" i="1"/>
  <c r="X1018" i="1" s="1"/>
  <c r="V1018" i="1"/>
  <c r="W1017" i="1"/>
  <c r="X1017" i="1" s="1"/>
  <c r="V1017" i="1"/>
  <c r="W1016" i="1"/>
  <c r="X1016" i="1" s="1"/>
  <c r="V1016" i="1"/>
  <c r="W1015" i="1"/>
  <c r="X1015" i="1" s="1"/>
  <c r="V1015" i="1"/>
  <c r="W1014" i="1"/>
  <c r="X1014" i="1" s="1"/>
  <c r="V1014" i="1"/>
  <c r="X1013" i="1"/>
  <c r="W1013" i="1"/>
  <c r="V1013" i="1"/>
  <c r="X1012" i="1"/>
  <c r="W1012" i="1"/>
  <c r="V1012" i="1"/>
  <c r="W1011" i="1"/>
  <c r="X1011" i="1" s="1"/>
  <c r="V1011" i="1"/>
  <c r="X1010" i="1"/>
  <c r="W1010" i="1"/>
  <c r="V1010" i="1"/>
  <c r="W1009" i="1"/>
  <c r="X1009" i="1" s="1"/>
  <c r="V1009" i="1"/>
  <c r="W1008" i="1"/>
  <c r="X1008" i="1" s="1"/>
  <c r="V1008" i="1"/>
  <c r="W1007" i="1"/>
  <c r="X1007" i="1" s="1"/>
  <c r="V1007" i="1"/>
  <c r="W1006" i="1"/>
  <c r="X1006" i="1" s="1"/>
  <c r="V1006" i="1"/>
  <c r="X1005" i="1"/>
  <c r="W1005" i="1"/>
  <c r="V1005" i="1"/>
  <c r="X1004" i="1"/>
  <c r="W1004" i="1"/>
  <c r="V1004" i="1"/>
  <c r="W1003" i="1"/>
  <c r="X1003" i="1" s="1"/>
  <c r="V1003" i="1"/>
  <c r="X1002" i="1"/>
  <c r="W1002" i="1"/>
  <c r="V1002" i="1"/>
  <c r="W1001" i="1"/>
  <c r="X1001" i="1" s="1"/>
  <c r="V1001" i="1"/>
  <c r="W1000" i="1"/>
  <c r="X1000" i="1" s="1"/>
  <c r="V1000" i="1"/>
  <c r="W999" i="1"/>
  <c r="X999" i="1" s="1"/>
  <c r="V999" i="1"/>
  <c r="W998" i="1"/>
  <c r="X998" i="1" s="1"/>
  <c r="V998" i="1"/>
  <c r="X997" i="1"/>
  <c r="W997" i="1"/>
  <c r="V997" i="1"/>
  <c r="X996" i="1"/>
  <c r="W996" i="1"/>
  <c r="V996" i="1"/>
  <c r="W995" i="1"/>
  <c r="X995" i="1" s="1"/>
  <c r="V995" i="1"/>
  <c r="X994" i="1"/>
  <c r="W994" i="1"/>
  <c r="V994" i="1"/>
  <c r="W993" i="1"/>
  <c r="X993" i="1" s="1"/>
  <c r="V993" i="1"/>
  <c r="W992" i="1"/>
  <c r="X992" i="1" s="1"/>
  <c r="V992" i="1"/>
  <c r="W991" i="1"/>
  <c r="X991" i="1" s="1"/>
  <c r="V991" i="1"/>
  <c r="W990" i="1"/>
  <c r="X990" i="1" s="1"/>
  <c r="V990" i="1"/>
  <c r="X989" i="1"/>
  <c r="W989" i="1"/>
  <c r="V989" i="1"/>
  <c r="X988" i="1"/>
  <c r="W988" i="1"/>
  <c r="V988" i="1"/>
  <c r="W987" i="1"/>
  <c r="X987" i="1" s="1"/>
  <c r="V987" i="1"/>
  <c r="W986" i="1"/>
  <c r="X986" i="1" s="1"/>
  <c r="V986" i="1"/>
  <c r="W985" i="1"/>
  <c r="X985" i="1" s="1"/>
  <c r="V985" i="1"/>
  <c r="W984" i="1"/>
  <c r="X984" i="1" s="1"/>
  <c r="V984" i="1"/>
  <c r="W983" i="1"/>
  <c r="X983" i="1" s="1"/>
  <c r="V983" i="1"/>
  <c r="W982" i="1"/>
  <c r="X982" i="1" s="1"/>
  <c r="V982" i="1"/>
  <c r="X981" i="1"/>
  <c r="W981" i="1"/>
  <c r="V981" i="1"/>
  <c r="X980" i="1"/>
  <c r="W980" i="1"/>
  <c r="V980" i="1"/>
  <c r="W979" i="1"/>
  <c r="X979" i="1" s="1"/>
  <c r="V979" i="1"/>
  <c r="W978" i="1"/>
  <c r="X978" i="1" s="1"/>
  <c r="V978" i="1"/>
  <c r="W977" i="1"/>
  <c r="X977" i="1" s="1"/>
  <c r="V977" i="1"/>
  <c r="W976" i="1"/>
  <c r="X976" i="1" s="1"/>
  <c r="V976" i="1"/>
  <c r="W975" i="1"/>
  <c r="X975" i="1" s="1"/>
  <c r="V975" i="1"/>
  <c r="W974" i="1"/>
  <c r="X974" i="1" s="1"/>
  <c r="V974" i="1"/>
  <c r="X973" i="1"/>
  <c r="W973" i="1"/>
  <c r="V973" i="1"/>
  <c r="X972" i="1"/>
  <c r="W972" i="1"/>
  <c r="V972" i="1"/>
  <c r="W971" i="1"/>
  <c r="X971" i="1" s="1"/>
  <c r="V971" i="1"/>
  <c r="W970" i="1"/>
  <c r="X970" i="1" s="1"/>
  <c r="V970" i="1"/>
  <c r="W969" i="1"/>
  <c r="X969" i="1" s="1"/>
  <c r="V969" i="1"/>
  <c r="W968" i="1"/>
  <c r="X968" i="1" s="1"/>
  <c r="V968" i="1"/>
  <c r="W967" i="1"/>
  <c r="X967" i="1" s="1"/>
  <c r="V967" i="1"/>
  <c r="W966" i="1"/>
  <c r="X966" i="1" s="1"/>
  <c r="V966" i="1"/>
  <c r="X965" i="1"/>
  <c r="W965" i="1"/>
  <c r="V965" i="1"/>
  <c r="X964" i="1"/>
  <c r="W964" i="1"/>
  <c r="V964" i="1"/>
  <c r="W963" i="1"/>
  <c r="X963" i="1" s="1"/>
  <c r="V963" i="1"/>
  <c r="W962" i="1"/>
  <c r="X962" i="1" s="1"/>
  <c r="V962" i="1"/>
  <c r="W961" i="1"/>
  <c r="X961" i="1" s="1"/>
  <c r="V961" i="1"/>
  <c r="X960" i="1"/>
  <c r="W960" i="1"/>
  <c r="V960" i="1"/>
  <c r="W959" i="1"/>
  <c r="X959" i="1" s="1"/>
  <c r="V959" i="1"/>
  <c r="W958" i="1"/>
  <c r="X958" i="1" s="1"/>
  <c r="V958" i="1"/>
  <c r="X957" i="1"/>
  <c r="W957" i="1"/>
  <c r="V957" i="1"/>
  <c r="X956" i="1"/>
  <c r="W956" i="1"/>
  <c r="V956" i="1"/>
  <c r="W955" i="1"/>
  <c r="X955" i="1" s="1"/>
  <c r="V955" i="1"/>
  <c r="W954" i="1"/>
  <c r="X954" i="1" s="1"/>
  <c r="V954" i="1"/>
  <c r="W953" i="1"/>
  <c r="X953" i="1" s="1"/>
  <c r="V953" i="1"/>
  <c r="X952" i="1"/>
  <c r="W952" i="1"/>
  <c r="V952" i="1"/>
  <c r="W951" i="1"/>
  <c r="X951" i="1" s="1"/>
  <c r="V951" i="1"/>
  <c r="W950" i="1"/>
  <c r="X950" i="1" s="1"/>
  <c r="V950" i="1"/>
  <c r="X949" i="1"/>
  <c r="W949" i="1"/>
  <c r="V949" i="1"/>
  <c r="X948" i="1"/>
  <c r="W948" i="1"/>
  <c r="V948" i="1"/>
  <c r="W947" i="1"/>
  <c r="X947" i="1" s="1"/>
  <c r="V947" i="1"/>
  <c r="W946" i="1"/>
  <c r="X946" i="1" s="1"/>
  <c r="V946" i="1"/>
  <c r="W945" i="1"/>
  <c r="X945" i="1" s="1"/>
  <c r="V945" i="1"/>
  <c r="X944" i="1"/>
  <c r="W944" i="1"/>
  <c r="V944" i="1"/>
  <c r="W943" i="1"/>
  <c r="X943" i="1" s="1"/>
  <c r="V943" i="1"/>
  <c r="W942" i="1"/>
  <c r="X942" i="1" s="1"/>
  <c r="V942" i="1"/>
  <c r="X941" i="1"/>
  <c r="W941" i="1"/>
  <c r="V941" i="1"/>
  <c r="X940" i="1"/>
  <c r="W940" i="1"/>
  <c r="V940" i="1"/>
  <c r="W939" i="1"/>
  <c r="X939" i="1" s="1"/>
  <c r="V939" i="1"/>
  <c r="W938" i="1"/>
  <c r="X938" i="1" s="1"/>
  <c r="V938" i="1"/>
  <c r="W937" i="1"/>
  <c r="X937" i="1" s="1"/>
  <c r="V937" i="1"/>
  <c r="X936" i="1"/>
  <c r="W936" i="1"/>
  <c r="V936" i="1"/>
  <c r="W935" i="1"/>
  <c r="X935" i="1" s="1"/>
  <c r="V935" i="1"/>
  <c r="W934" i="1"/>
  <c r="X934" i="1" s="1"/>
  <c r="V934" i="1"/>
  <c r="X933" i="1"/>
  <c r="W933" i="1"/>
  <c r="V933" i="1"/>
  <c r="X932" i="1"/>
  <c r="W932" i="1"/>
  <c r="V932" i="1"/>
  <c r="W931" i="1"/>
  <c r="X931" i="1" s="1"/>
  <c r="V931" i="1"/>
  <c r="W930" i="1"/>
  <c r="X930" i="1" s="1"/>
  <c r="V930" i="1"/>
  <c r="W929" i="1"/>
  <c r="X929" i="1" s="1"/>
  <c r="V929" i="1"/>
  <c r="X928" i="1"/>
  <c r="W928" i="1"/>
  <c r="V928" i="1"/>
  <c r="W927" i="1"/>
  <c r="X927" i="1" s="1"/>
  <c r="V927" i="1"/>
  <c r="W926" i="1"/>
  <c r="X926" i="1" s="1"/>
  <c r="V926" i="1"/>
  <c r="X925" i="1"/>
  <c r="W925" i="1"/>
  <c r="V925" i="1"/>
  <c r="X924" i="1"/>
  <c r="W924" i="1"/>
  <c r="V924" i="1"/>
  <c r="W923" i="1"/>
  <c r="X923" i="1" s="1"/>
  <c r="V923" i="1"/>
  <c r="W922" i="1"/>
  <c r="X922" i="1" s="1"/>
  <c r="V922" i="1"/>
  <c r="W921" i="1"/>
  <c r="X921" i="1" s="1"/>
  <c r="V921" i="1"/>
  <c r="X920" i="1"/>
  <c r="W920" i="1"/>
  <c r="V920" i="1"/>
  <c r="W919" i="1"/>
  <c r="X919" i="1" s="1"/>
  <c r="V919" i="1"/>
  <c r="W918" i="1"/>
  <c r="X918" i="1" s="1"/>
  <c r="V918" i="1"/>
  <c r="X917" i="1"/>
  <c r="W917" i="1"/>
  <c r="V917" i="1"/>
  <c r="X916" i="1"/>
  <c r="W916" i="1"/>
  <c r="V916" i="1"/>
  <c r="W915" i="1"/>
  <c r="X915" i="1" s="1"/>
  <c r="V915" i="1"/>
  <c r="W914" i="1"/>
  <c r="X914" i="1" s="1"/>
  <c r="V914" i="1"/>
  <c r="W913" i="1"/>
  <c r="X913" i="1" s="1"/>
  <c r="V913" i="1"/>
  <c r="X912" i="1"/>
  <c r="W912" i="1"/>
  <c r="V912" i="1"/>
  <c r="W911" i="1"/>
  <c r="X911" i="1" s="1"/>
  <c r="V911" i="1"/>
  <c r="W910" i="1"/>
  <c r="X910" i="1" s="1"/>
  <c r="V910" i="1"/>
  <c r="X909" i="1"/>
  <c r="W909" i="1"/>
  <c r="V909" i="1"/>
  <c r="X908" i="1"/>
  <c r="W908" i="1"/>
  <c r="V908" i="1"/>
  <c r="W907" i="1"/>
  <c r="X907" i="1" s="1"/>
  <c r="V907" i="1"/>
  <c r="W906" i="1"/>
  <c r="X906" i="1" s="1"/>
  <c r="V906" i="1"/>
  <c r="W905" i="1"/>
  <c r="X905" i="1" s="1"/>
  <c r="V905" i="1"/>
  <c r="X904" i="1"/>
  <c r="W904" i="1"/>
  <c r="V904" i="1"/>
  <c r="W903" i="1"/>
  <c r="X903" i="1" s="1"/>
  <c r="V903" i="1"/>
  <c r="W902" i="1"/>
  <c r="X902" i="1" s="1"/>
  <c r="V902" i="1"/>
  <c r="X901" i="1"/>
  <c r="W901" i="1"/>
  <c r="V901" i="1"/>
  <c r="X900" i="1"/>
  <c r="W900" i="1"/>
  <c r="V900" i="1"/>
  <c r="W899" i="1"/>
  <c r="X899" i="1" s="1"/>
  <c r="V899" i="1"/>
  <c r="W898" i="1"/>
  <c r="X898" i="1" s="1"/>
  <c r="V898" i="1"/>
  <c r="W897" i="1"/>
  <c r="X897" i="1" s="1"/>
  <c r="V897" i="1"/>
  <c r="X896" i="1"/>
  <c r="W896" i="1"/>
  <c r="V896" i="1"/>
  <c r="W895" i="1"/>
  <c r="X895" i="1" s="1"/>
  <c r="V895" i="1"/>
  <c r="W894" i="1"/>
  <c r="X894" i="1" s="1"/>
  <c r="V894" i="1"/>
  <c r="X893" i="1"/>
  <c r="W893" i="1"/>
  <c r="V893" i="1"/>
  <c r="X892" i="1"/>
  <c r="W892" i="1"/>
  <c r="V892" i="1"/>
  <c r="W891" i="1"/>
  <c r="X891" i="1" s="1"/>
  <c r="V891" i="1"/>
  <c r="W890" i="1"/>
  <c r="X890" i="1" s="1"/>
  <c r="V890" i="1"/>
  <c r="X889" i="1"/>
  <c r="W889" i="1"/>
  <c r="V889" i="1"/>
  <c r="X888" i="1"/>
  <c r="W888" i="1"/>
  <c r="V888" i="1"/>
  <c r="W887" i="1"/>
  <c r="X887" i="1" s="1"/>
  <c r="V887" i="1"/>
  <c r="W886" i="1"/>
  <c r="X886" i="1" s="1"/>
  <c r="V886" i="1"/>
  <c r="X885" i="1"/>
  <c r="W885" i="1"/>
  <c r="V885" i="1"/>
  <c r="X884" i="1"/>
  <c r="W884" i="1"/>
  <c r="V884" i="1"/>
  <c r="W883" i="1"/>
  <c r="X883" i="1" s="1"/>
  <c r="V883" i="1"/>
  <c r="W882" i="1"/>
  <c r="X882" i="1" s="1"/>
  <c r="V882" i="1"/>
  <c r="W881" i="1"/>
  <c r="X881" i="1" s="1"/>
  <c r="V881" i="1"/>
  <c r="X880" i="1"/>
  <c r="W880" i="1"/>
  <c r="V880" i="1"/>
  <c r="W879" i="1"/>
  <c r="X879" i="1" s="1"/>
  <c r="V879" i="1"/>
  <c r="W878" i="1"/>
  <c r="X878" i="1" s="1"/>
  <c r="V878" i="1"/>
  <c r="X877" i="1"/>
  <c r="W877" i="1"/>
  <c r="V877" i="1"/>
  <c r="X876" i="1"/>
  <c r="W876" i="1"/>
  <c r="V876" i="1"/>
  <c r="W875" i="1"/>
  <c r="X875" i="1" s="1"/>
  <c r="V875" i="1"/>
  <c r="W874" i="1"/>
  <c r="X874" i="1" s="1"/>
  <c r="V874" i="1"/>
  <c r="W873" i="1"/>
  <c r="X873" i="1" s="1"/>
  <c r="V873" i="1"/>
  <c r="X872" i="1"/>
  <c r="W872" i="1"/>
  <c r="V872" i="1"/>
  <c r="W871" i="1"/>
  <c r="X871" i="1" s="1"/>
  <c r="V871" i="1"/>
  <c r="W870" i="1"/>
  <c r="X870" i="1" s="1"/>
  <c r="V870" i="1"/>
  <c r="X869" i="1"/>
  <c r="W869" i="1"/>
  <c r="V869" i="1"/>
  <c r="X868" i="1"/>
  <c r="W868" i="1"/>
  <c r="V868" i="1"/>
  <c r="W867" i="1"/>
  <c r="X867" i="1" s="1"/>
  <c r="V867" i="1"/>
  <c r="W866" i="1"/>
  <c r="X866" i="1" s="1"/>
  <c r="V866" i="1"/>
  <c r="W865" i="1"/>
  <c r="X865" i="1" s="1"/>
  <c r="V865" i="1"/>
  <c r="X864" i="1"/>
  <c r="W864" i="1"/>
  <c r="V864" i="1"/>
  <c r="W863" i="1"/>
  <c r="X863" i="1" s="1"/>
  <c r="V863" i="1"/>
  <c r="W862" i="1"/>
  <c r="X862" i="1" s="1"/>
  <c r="V862" i="1"/>
  <c r="X861" i="1"/>
  <c r="W861" i="1"/>
  <c r="V861" i="1"/>
  <c r="X860" i="1"/>
  <c r="W860" i="1"/>
  <c r="V860" i="1"/>
  <c r="W859" i="1"/>
  <c r="X859" i="1" s="1"/>
  <c r="V859" i="1"/>
  <c r="W858" i="1"/>
  <c r="X858" i="1" s="1"/>
  <c r="V858" i="1"/>
  <c r="W857" i="1"/>
  <c r="X857" i="1" s="1"/>
  <c r="V857" i="1"/>
  <c r="X856" i="1"/>
  <c r="W856" i="1"/>
  <c r="V856" i="1"/>
  <c r="W855" i="1"/>
  <c r="X855" i="1" s="1"/>
  <c r="V855" i="1"/>
  <c r="W854" i="1"/>
  <c r="X854" i="1" s="1"/>
  <c r="V854" i="1"/>
  <c r="X853" i="1"/>
  <c r="W853" i="1"/>
  <c r="V853" i="1"/>
  <c r="X852" i="1"/>
  <c r="W852" i="1"/>
  <c r="V852" i="1"/>
  <c r="W851" i="1"/>
  <c r="X851" i="1" s="1"/>
  <c r="V851" i="1"/>
  <c r="W850" i="1"/>
  <c r="X850" i="1" s="1"/>
  <c r="V850" i="1"/>
  <c r="W849" i="1"/>
  <c r="X849" i="1" s="1"/>
  <c r="V849" i="1"/>
  <c r="X848" i="1"/>
  <c r="W848" i="1"/>
  <c r="V848" i="1"/>
  <c r="W847" i="1"/>
  <c r="X847" i="1" s="1"/>
  <c r="V847" i="1"/>
  <c r="W846" i="1"/>
  <c r="X846" i="1" s="1"/>
  <c r="V846" i="1"/>
  <c r="X845" i="1"/>
  <c r="W845" i="1"/>
  <c r="V845" i="1"/>
  <c r="X844" i="1"/>
  <c r="W844" i="1"/>
  <c r="V844" i="1"/>
  <c r="W843" i="1"/>
  <c r="X843" i="1" s="1"/>
  <c r="V843" i="1"/>
  <c r="W842" i="1"/>
  <c r="X842" i="1" s="1"/>
  <c r="V842" i="1"/>
  <c r="W841" i="1"/>
  <c r="X841" i="1" s="1"/>
  <c r="V841" i="1"/>
  <c r="X840" i="1"/>
  <c r="W840" i="1"/>
  <c r="V840" i="1"/>
  <c r="W839" i="1"/>
  <c r="X839" i="1" s="1"/>
  <c r="V839" i="1"/>
  <c r="X838" i="1"/>
  <c r="W838" i="1"/>
  <c r="V838" i="1"/>
  <c r="X837" i="1"/>
  <c r="W837" i="1"/>
  <c r="V837" i="1"/>
  <c r="X836" i="1"/>
  <c r="W836" i="1"/>
  <c r="V836" i="1"/>
  <c r="W835" i="1"/>
  <c r="X835" i="1" s="1"/>
  <c r="V835" i="1"/>
  <c r="X834" i="1"/>
  <c r="W834" i="1"/>
  <c r="V834" i="1"/>
  <c r="W833" i="1"/>
  <c r="X833" i="1" s="1"/>
  <c r="V833" i="1"/>
  <c r="X832" i="1"/>
  <c r="W832" i="1"/>
  <c r="V832" i="1"/>
  <c r="W831" i="1"/>
  <c r="X831" i="1" s="1"/>
  <c r="V831" i="1"/>
  <c r="X830" i="1"/>
  <c r="W830" i="1"/>
  <c r="V830" i="1"/>
  <c r="X829" i="1"/>
  <c r="W829" i="1"/>
  <c r="V829" i="1"/>
  <c r="X828" i="1"/>
  <c r="W828" i="1"/>
  <c r="V828" i="1"/>
  <c r="W827" i="1"/>
  <c r="X827" i="1" s="1"/>
  <c r="V827" i="1"/>
  <c r="W826" i="1"/>
  <c r="X826" i="1" s="1"/>
  <c r="V826" i="1"/>
  <c r="W825" i="1"/>
  <c r="X825" i="1" s="1"/>
  <c r="V825" i="1"/>
  <c r="X824" i="1"/>
  <c r="W824" i="1"/>
  <c r="V824" i="1"/>
  <c r="W823" i="1"/>
  <c r="X823" i="1" s="1"/>
  <c r="V823" i="1"/>
  <c r="X822" i="1"/>
  <c r="W822" i="1"/>
  <c r="V822" i="1"/>
  <c r="X821" i="1"/>
  <c r="W821" i="1"/>
  <c r="V821" i="1"/>
  <c r="X820" i="1"/>
  <c r="W820" i="1"/>
  <c r="V820" i="1"/>
  <c r="W819" i="1"/>
  <c r="X819" i="1" s="1"/>
  <c r="V819" i="1"/>
  <c r="W818" i="1"/>
  <c r="X818" i="1" s="1"/>
  <c r="V818" i="1"/>
  <c r="W817" i="1"/>
  <c r="X817" i="1" s="1"/>
  <c r="V817" i="1"/>
  <c r="X816" i="1"/>
  <c r="W816" i="1"/>
  <c r="V816" i="1"/>
  <c r="W815" i="1"/>
  <c r="X815" i="1" s="1"/>
  <c r="V815" i="1"/>
  <c r="X814" i="1"/>
  <c r="W814" i="1"/>
  <c r="V814" i="1"/>
  <c r="X813" i="1"/>
  <c r="W813" i="1"/>
  <c r="V813" i="1"/>
  <c r="X812" i="1"/>
  <c r="W812" i="1"/>
  <c r="V812" i="1"/>
  <c r="W811" i="1"/>
  <c r="X811" i="1" s="1"/>
  <c r="V811" i="1"/>
  <c r="W810" i="1"/>
  <c r="X810" i="1" s="1"/>
  <c r="V810" i="1"/>
  <c r="W809" i="1"/>
  <c r="X809" i="1" s="1"/>
  <c r="V809" i="1"/>
  <c r="X808" i="1"/>
  <c r="W808" i="1"/>
  <c r="V808" i="1"/>
  <c r="W807" i="1"/>
  <c r="X807" i="1" s="1"/>
  <c r="V807" i="1"/>
  <c r="X806" i="1"/>
  <c r="W806" i="1"/>
  <c r="V806" i="1"/>
  <c r="X805" i="1"/>
  <c r="W805" i="1"/>
  <c r="V805" i="1"/>
  <c r="X804" i="1"/>
  <c r="W804" i="1"/>
  <c r="V804" i="1"/>
  <c r="W803" i="1"/>
  <c r="X803" i="1" s="1"/>
  <c r="V803" i="1"/>
  <c r="X802" i="1"/>
  <c r="W802" i="1"/>
  <c r="V802" i="1"/>
  <c r="W801" i="1"/>
  <c r="X801" i="1" s="1"/>
  <c r="V801" i="1"/>
  <c r="X800" i="1"/>
  <c r="W800" i="1"/>
  <c r="V800" i="1"/>
  <c r="W799" i="1"/>
  <c r="X799" i="1" s="1"/>
  <c r="V799" i="1"/>
  <c r="X798" i="1"/>
  <c r="W798" i="1"/>
  <c r="V798" i="1"/>
  <c r="X797" i="1"/>
  <c r="W797" i="1"/>
  <c r="V797" i="1"/>
  <c r="X796" i="1"/>
  <c r="W796" i="1"/>
  <c r="V796" i="1"/>
  <c r="W795" i="1"/>
  <c r="X795" i="1" s="1"/>
  <c r="V795" i="1"/>
  <c r="X794" i="1"/>
  <c r="W794" i="1"/>
  <c r="V794" i="1"/>
  <c r="W793" i="1"/>
  <c r="X793" i="1" s="1"/>
  <c r="V793" i="1"/>
  <c r="X792" i="1"/>
  <c r="W792" i="1"/>
  <c r="V792" i="1"/>
  <c r="W791" i="1"/>
  <c r="X791" i="1" s="1"/>
  <c r="V791" i="1"/>
  <c r="X790" i="1"/>
  <c r="W790" i="1"/>
  <c r="V790" i="1"/>
  <c r="X789" i="1"/>
  <c r="W789" i="1"/>
  <c r="V789" i="1"/>
  <c r="X788" i="1"/>
  <c r="W788" i="1"/>
  <c r="V788" i="1"/>
  <c r="W787" i="1"/>
  <c r="X787" i="1" s="1"/>
  <c r="V787" i="1"/>
  <c r="X786" i="1"/>
  <c r="W786" i="1"/>
  <c r="V786" i="1"/>
  <c r="W785" i="1"/>
  <c r="X785" i="1" s="1"/>
  <c r="V785" i="1"/>
  <c r="X784" i="1"/>
  <c r="W784" i="1"/>
  <c r="V784" i="1"/>
  <c r="W783" i="1"/>
  <c r="X783" i="1" s="1"/>
  <c r="V783" i="1"/>
  <c r="X782" i="1"/>
  <c r="W782" i="1"/>
  <c r="V782" i="1"/>
  <c r="X781" i="1"/>
  <c r="W781" i="1"/>
  <c r="V781" i="1"/>
  <c r="X780" i="1"/>
  <c r="W780" i="1"/>
  <c r="V780" i="1"/>
  <c r="W779" i="1"/>
  <c r="X779" i="1" s="1"/>
  <c r="V779" i="1"/>
  <c r="X778" i="1"/>
  <c r="W778" i="1"/>
  <c r="V778" i="1"/>
  <c r="W777" i="1"/>
  <c r="X777" i="1" s="1"/>
  <c r="V777" i="1"/>
  <c r="X776" i="1"/>
  <c r="W776" i="1"/>
  <c r="V776" i="1"/>
  <c r="W775" i="1"/>
  <c r="X775" i="1" s="1"/>
  <c r="V775" i="1"/>
  <c r="X774" i="1"/>
  <c r="W774" i="1"/>
  <c r="V774" i="1"/>
  <c r="X773" i="1"/>
  <c r="W773" i="1"/>
  <c r="V773" i="1"/>
  <c r="X772" i="1"/>
  <c r="W772" i="1"/>
  <c r="V772" i="1"/>
  <c r="W771" i="1"/>
  <c r="X771" i="1" s="1"/>
  <c r="V771" i="1"/>
  <c r="X770" i="1"/>
  <c r="W770" i="1"/>
  <c r="V770" i="1"/>
  <c r="W769" i="1"/>
  <c r="X769" i="1" s="1"/>
  <c r="V769" i="1"/>
  <c r="X768" i="1"/>
  <c r="W768" i="1"/>
  <c r="V768" i="1"/>
  <c r="W767" i="1"/>
  <c r="X767" i="1" s="1"/>
  <c r="V767" i="1"/>
  <c r="X766" i="1"/>
  <c r="W766" i="1"/>
  <c r="V766" i="1"/>
  <c r="X765" i="1"/>
  <c r="W765" i="1"/>
  <c r="V765" i="1"/>
  <c r="X764" i="1"/>
  <c r="W764" i="1"/>
  <c r="V764" i="1"/>
  <c r="W763" i="1"/>
  <c r="X763" i="1" s="1"/>
  <c r="V763" i="1"/>
  <c r="X762" i="1"/>
  <c r="W762" i="1"/>
  <c r="V762" i="1"/>
  <c r="W761" i="1"/>
  <c r="X761" i="1" s="1"/>
  <c r="V761" i="1"/>
  <c r="X760" i="1"/>
  <c r="W760" i="1"/>
  <c r="V760" i="1"/>
  <c r="W759" i="1"/>
  <c r="X759" i="1" s="1"/>
  <c r="V759" i="1"/>
  <c r="X758" i="1"/>
  <c r="W758" i="1"/>
  <c r="V758" i="1"/>
  <c r="X757" i="1"/>
  <c r="W757" i="1"/>
  <c r="V757" i="1"/>
  <c r="X756" i="1"/>
  <c r="W756" i="1"/>
  <c r="V756" i="1"/>
  <c r="W755" i="1"/>
  <c r="X755" i="1" s="1"/>
  <c r="V755" i="1"/>
  <c r="X754" i="1"/>
  <c r="W754" i="1"/>
  <c r="V754" i="1"/>
  <c r="W753" i="1"/>
  <c r="X753" i="1" s="1"/>
  <c r="V753" i="1"/>
  <c r="X752" i="1"/>
  <c r="W752" i="1"/>
  <c r="V752" i="1"/>
  <c r="W751" i="1"/>
  <c r="X751" i="1" s="1"/>
  <c r="V751" i="1"/>
  <c r="X750" i="1"/>
  <c r="W750" i="1"/>
  <c r="V750" i="1"/>
  <c r="X749" i="1"/>
  <c r="W749" i="1"/>
  <c r="V749" i="1"/>
  <c r="X748" i="1"/>
  <c r="W748" i="1"/>
  <c r="V748" i="1"/>
  <c r="W747" i="1"/>
  <c r="X747" i="1" s="1"/>
  <c r="V747" i="1"/>
  <c r="X746" i="1"/>
  <c r="W746" i="1"/>
  <c r="V746" i="1"/>
  <c r="W745" i="1"/>
  <c r="X745" i="1" s="1"/>
  <c r="V745" i="1"/>
  <c r="W744" i="1"/>
  <c r="X744" i="1" s="1"/>
  <c r="V744" i="1"/>
  <c r="W743" i="1"/>
  <c r="X743" i="1" s="1"/>
  <c r="V743" i="1"/>
  <c r="X742" i="1"/>
  <c r="W742" i="1"/>
  <c r="V742" i="1"/>
  <c r="X741" i="1"/>
  <c r="W741" i="1"/>
  <c r="V741" i="1"/>
  <c r="X740" i="1"/>
  <c r="W740" i="1"/>
  <c r="V740" i="1"/>
  <c r="W739" i="1"/>
  <c r="X739" i="1" s="1"/>
  <c r="V739" i="1"/>
  <c r="X738" i="1"/>
  <c r="W738" i="1"/>
  <c r="V738" i="1"/>
  <c r="W737" i="1"/>
  <c r="X737" i="1" s="1"/>
  <c r="V737" i="1"/>
  <c r="X736" i="1"/>
  <c r="W736" i="1"/>
  <c r="V736" i="1"/>
  <c r="W735" i="1"/>
  <c r="X735" i="1" s="1"/>
  <c r="V735" i="1"/>
  <c r="X734" i="1"/>
  <c r="W734" i="1"/>
  <c r="V734" i="1"/>
  <c r="X733" i="1"/>
  <c r="W733" i="1"/>
  <c r="V733" i="1"/>
  <c r="X732" i="1"/>
  <c r="W732" i="1"/>
  <c r="V732" i="1"/>
  <c r="W731" i="1"/>
  <c r="X731" i="1" s="1"/>
  <c r="V731" i="1"/>
  <c r="X730" i="1"/>
  <c r="W730" i="1"/>
  <c r="V730" i="1"/>
  <c r="W729" i="1"/>
  <c r="X729" i="1" s="1"/>
  <c r="V729" i="1"/>
  <c r="W728" i="1"/>
  <c r="X728" i="1" s="1"/>
  <c r="V728" i="1"/>
  <c r="W727" i="1"/>
  <c r="X727" i="1" s="1"/>
  <c r="V727" i="1"/>
  <c r="X726" i="1"/>
  <c r="W726" i="1"/>
  <c r="V726" i="1"/>
  <c r="X725" i="1"/>
  <c r="W725" i="1"/>
  <c r="V725" i="1"/>
  <c r="X724" i="1"/>
  <c r="W724" i="1"/>
  <c r="V724" i="1"/>
  <c r="W723" i="1"/>
  <c r="X723" i="1" s="1"/>
  <c r="V723" i="1"/>
  <c r="X722" i="1"/>
  <c r="W722" i="1"/>
  <c r="V722" i="1"/>
  <c r="W721" i="1"/>
  <c r="X721" i="1" s="1"/>
  <c r="V721" i="1"/>
  <c r="W720" i="1"/>
  <c r="X720" i="1" s="1"/>
  <c r="V720" i="1"/>
  <c r="W719" i="1"/>
  <c r="X719" i="1" s="1"/>
  <c r="V719" i="1"/>
  <c r="X718" i="1"/>
  <c r="W718" i="1"/>
  <c r="V718" i="1"/>
  <c r="W717" i="1"/>
  <c r="X717" i="1" s="1"/>
  <c r="V717" i="1"/>
  <c r="X716" i="1"/>
  <c r="W716" i="1"/>
  <c r="V716" i="1"/>
  <c r="W715" i="1"/>
  <c r="X715" i="1" s="1"/>
  <c r="V715" i="1"/>
  <c r="X714" i="1"/>
  <c r="W714" i="1"/>
  <c r="V714" i="1"/>
  <c r="W713" i="1"/>
  <c r="X713" i="1" s="1"/>
  <c r="V713" i="1"/>
  <c r="W712" i="1"/>
  <c r="X712" i="1" s="1"/>
  <c r="V712" i="1"/>
  <c r="W711" i="1"/>
  <c r="X711" i="1" s="1"/>
  <c r="V711" i="1"/>
  <c r="X710" i="1"/>
  <c r="W710" i="1"/>
  <c r="V710" i="1"/>
  <c r="W709" i="1"/>
  <c r="X709" i="1" s="1"/>
  <c r="V709" i="1"/>
  <c r="X708" i="1"/>
  <c r="W708" i="1"/>
  <c r="V708" i="1"/>
  <c r="W707" i="1"/>
  <c r="X707" i="1" s="1"/>
  <c r="V707" i="1"/>
  <c r="W706" i="1"/>
  <c r="X706" i="1" s="1"/>
  <c r="V706" i="1"/>
  <c r="W705" i="1"/>
  <c r="X705" i="1" s="1"/>
  <c r="V705" i="1"/>
  <c r="X704" i="1"/>
  <c r="W704" i="1"/>
  <c r="V704" i="1"/>
  <c r="W703" i="1"/>
  <c r="X703" i="1" s="1"/>
  <c r="V703" i="1"/>
  <c r="X702" i="1"/>
  <c r="W702" i="1"/>
  <c r="V702" i="1"/>
  <c r="W701" i="1"/>
  <c r="X701" i="1" s="1"/>
  <c r="V701" i="1"/>
  <c r="X700" i="1"/>
  <c r="W700" i="1"/>
  <c r="V700" i="1"/>
  <c r="W699" i="1"/>
  <c r="X699" i="1" s="1"/>
  <c r="V699" i="1"/>
  <c r="W698" i="1"/>
  <c r="X698" i="1" s="1"/>
  <c r="V698" i="1"/>
  <c r="W697" i="1"/>
  <c r="X697" i="1" s="1"/>
  <c r="V697" i="1"/>
  <c r="W696" i="1"/>
  <c r="X696" i="1" s="1"/>
  <c r="V696" i="1"/>
  <c r="W695" i="1"/>
  <c r="X695" i="1" s="1"/>
  <c r="V695" i="1"/>
  <c r="X694" i="1"/>
  <c r="W694" i="1"/>
  <c r="V694" i="1"/>
  <c r="W693" i="1"/>
  <c r="X693" i="1" s="1"/>
  <c r="V693" i="1"/>
  <c r="X692" i="1"/>
  <c r="W692" i="1"/>
  <c r="V692" i="1"/>
  <c r="W691" i="1"/>
  <c r="X691" i="1" s="1"/>
  <c r="V691" i="1"/>
  <c r="W690" i="1"/>
  <c r="X690" i="1" s="1"/>
  <c r="V690" i="1"/>
  <c r="W689" i="1"/>
  <c r="X689" i="1" s="1"/>
  <c r="V689" i="1"/>
  <c r="X688" i="1"/>
  <c r="W688" i="1"/>
  <c r="V688" i="1"/>
  <c r="W687" i="1"/>
  <c r="X687" i="1" s="1"/>
  <c r="V687" i="1"/>
  <c r="X686" i="1"/>
  <c r="W686" i="1"/>
  <c r="V686" i="1"/>
  <c r="W685" i="1"/>
  <c r="X685" i="1" s="1"/>
  <c r="V685" i="1"/>
  <c r="X684" i="1"/>
  <c r="W684" i="1"/>
  <c r="V684" i="1"/>
  <c r="W683" i="1"/>
  <c r="X683" i="1" s="1"/>
  <c r="V683" i="1"/>
  <c r="W682" i="1"/>
  <c r="X682" i="1" s="1"/>
  <c r="V682" i="1"/>
  <c r="W681" i="1"/>
  <c r="X681" i="1" s="1"/>
  <c r="V681" i="1"/>
  <c r="X680" i="1"/>
  <c r="W680" i="1"/>
  <c r="V680" i="1"/>
  <c r="W679" i="1"/>
  <c r="X679" i="1" s="1"/>
  <c r="V679" i="1"/>
  <c r="X678" i="1"/>
  <c r="W678" i="1"/>
  <c r="V678" i="1"/>
  <c r="W677" i="1"/>
  <c r="X677" i="1" s="1"/>
  <c r="V677" i="1"/>
  <c r="X676" i="1"/>
  <c r="W676" i="1"/>
  <c r="V676" i="1"/>
  <c r="W675" i="1"/>
  <c r="X675" i="1" s="1"/>
  <c r="V675" i="1"/>
  <c r="W674" i="1"/>
  <c r="X674" i="1" s="1"/>
  <c r="V674" i="1"/>
  <c r="X673" i="1"/>
  <c r="W673" i="1"/>
  <c r="V673" i="1"/>
  <c r="W672" i="1"/>
  <c r="X672" i="1" s="1"/>
  <c r="V672" i="1"/>
  <c r="X671" i="1"/>
  <c r="W671" i="1"/>
  <c r="V671" i="1"/>
  <c r="W670" i="1"/>
  <c r="X670" i="1" s="1"/>
  <c r="V670" i="1"/>
  <c r="X669" i="1"/>
  <c r="W669" i="1"/>
  <c r="V669" i="1"/>
  <c r="W668" i="1"/>
  <c r="X668" i="1" s="1"/>
  <c r="V668" i="1"/>
  <c r="X667" i="1"/>
  <c r="W667" i="1"/>
  <c r="V667" i="1"/>
  <c r="W666" i="1"/>
  <c r="X666" i="1" s="1"/>
  <c r="V666" i="1"/>
  <c r="X665" i="1"/>
  <c r="W665" i="1"/>
  <c r="V665" i="1"/>
  <c r="W664" i="1"/>
  <c r="X664" i="1" s="1"/>
  <c r="V664" i="1"/>
  <c r="X663" i="1"/>
  <c r="W663" i="1"/>
  <c r="V663" i="1"/>
  <c r="W662" i="1"/>
  <c r="X662" i="1" s="1"/>
  <c r="V662" i="1"/>
  <c r="X661" i="1"/>
  <c r="W661" i="1"/>
  <c r="V661" i="1"/>
  <c r="W660" i="1"/>
  <c r="X660" i="1" s="1"/>
  <c r="V660" i="1"/>
  <c r="X659" i="1"/>
  <c r="W659" i="1"/>
  <c r="V659" i="1"/>
  <c r="W658" i="1"/>
  <c r="X658" i="1" s="1"/>
  <c r="V658" i="1"/>
  <c r="X657" i="1"/>
  <c r="W657" i="1"/>
  <c r="V657" i="1"/>
  <c r="W656" i="1"/>
  <c r="X656" i="1" s="1"/>
  <c r="V656" i="1"/>
  <c r="X655" i="1"/>
  <c r="W655" i="1"/>
  <c r="V655" i="1"/>
  <c r="W654" i="1"/>
  <c r="X654" i="1" s="1"/>
  <c r="V654" i="1"/>
  <c r="X653" i="1"/>
  <c r="W653" i="1"/>
  <c r="V653" i="1"/>
  <c r="W652" i="1"/>
  <c r="X652" i="1" s="1"/>
  <c r="V652" i="1"/>
  <c r="X651" i="1"/>
  <c r="W651" i="1"/>
  <c r="V651" i="1"/>
  <c r="W650" i="1"/>
  <c r="X650" i="1" s="1"/>
  <c r="V650" i="1"/>
  <c r="X649" i="1"/>
  <c r="W649" i="1"/>
  <c r="V649" i="1"/>
  <c r="W648" i="1"/>
  <c r="X648" i="1" s="1"/>
  <c r="V648" i="1"/>
  <c r="X647" i="1"/>
  <c r="W647" i="1"/>
  <c r="V647" i="1"/>
  <c r="W646" i="1"/>
  <c r="X646" i="1" s="1"/>
  <c r="V646" i="1"/>
  <c r="X645" i="1"/>
  <c r="W645" i="1"/>
  <c r="V645" i="1"/>
  <c r="W644" i="1"/>
  <c r="X644" i="1" s="1"/>
  <c r="V644" i="1"/>
  <c r="X643" i="1"/>
  <c r="W643" i="1"/>
  <c r="V643" i="1"/>
  <c r="W642" i="1"/>
  <c r="X642" i="1" s="1"/>
  <c r="V642" i="1"/>
  <c r="X641" i="1"/>
  <c r="W641" i="1"/>
  <c r="V641" i="1"/>
  <c r="W640" i="1"/>
  <c r="X640" i="1" s="1"/>
  <c r="V640" i="1"/>
  <c r="X639" i="1"/>
  <c r="W639" i="1"/>
  <c r="V639" i="1"/>
  <c r="W638" i="1"/>
  <c r="X638" i="1" s="1"/>
  <c r="V638" i="1"/>
  <c r="X637" i="1"/>
  <c r="W637" i="1"/>
  <c r="V637" i="1"/>
  <c r="W636" i="1"/>
  <c r="X636" i="1" s="1"/>
  <c r="V636" i="1"/>
  <c r="X635" i="1"/>
  <c r="W635" i="1"/>
  <c r="V635" i="1"/>
  <c r="W634" i="1"/>
  <c r="X634" i="1" s="1"/>
  <c r="V634" i="1"/>
  <c r="X633" i="1"/>
  <c r="W633" i="1"/>
  <c r="V633" i="1"/>
  <c r="W632" i="1"/>
  <c r="X632" i="1" s="1"/>
  <c r="V632" i="1"/>
  <c r="X631" i="1"/>
  <c r="W631" i="1"/>
  <c r="V631" i="1"/>
  <c r="W630" i="1"/>
  <c r="X630" i="1" s="1"/>
  <c r="V630" i="1"/>
  <c r="X629" i="1"/>
  <c r="W629" i="1"/>
  <c r="V629" i="1"/>
  <c r="W628" i="1"/>
  <c r="X628" i="1" s="1"/>
  <c r="V628" i="1"/>
  <c r="X627" i="1"/>
  <c r="W627" i="1"/>
  <c r="V627" i="1"/>
  <c r="W626" i="1"/>
  <c r="X626" i="1" s="1"/>
  <c r="V626" i="1"/>
  <c r="X625" i="1"/>
  <c r="W625" i="1"/>
  <c r="V625" i="1"/>
  <c r="W624" i="1"/>
  <c r="X624" i="1" s="1"/>
  <c r="V624" i="1"/>
  <c r="X623" i="1"/>
  <c r="W623" i="1"/>
  <c r="V623" i="1"/>
  <c r="W622" i="1"/>
  <c r="X622" i="1" s="1"/>
  <c r="V622" i="1"/>
  <c r="X621" i="1"/>
  <c r="W621" i="1"/>
  <c r="V621" i="1"/>
  <c r="W620" i="1"/>
  <c r="X620" i="1" s="1"/>
  <c r="V620" i="1"/>
  <c r="X619" i="1"/>
  <c r="W619" i="1"/>
  <c r="V619" i="1"/>
  <c r="W618" i="1"/>
  <c r="X618" i="1" s="1"/>
  <c r="V618" i="1"/>
  <c r="X617" i="1"/>
  <c r="W617" i="1"/>
  <c r="V617" i="1"/>
  <c r="W616" i="1"/>
  <c r="X616" i="1" s="1"/>
  <c r="V616" i="1"/>
  <c r="X615" i="1"/>
  <c r="W615" i="1"/>
  <c r="V615" i="1"/>
  <c r="W614" i="1"/>
  <c r="X614" i="1" s="1"/>
  <c r="V614" i="1"/>
  <c r="X613" i="1"/>
  <c r="W613" i="1"/>
  <c r="V613" i="1"/>
  <c r="W612" i="1"/>
  <c r="X612" i="1" s="1"/>
  <c r="V612" i="1"/>
  <c r="X611" i="1"/>
  <c r="W611" i="1"/>
  <c r="V611" i="1"/>
  <c r="W610" i="1"/>
  <c r="X610" i="1" s="1"/>
  <c r="V610" i="1"/>
  <c r="X609" i="1"/>
  <c r="W609" i="1"/>
  <c r="V609" i="1"/>
  <c r="W608" i="1"/>
  <c r="X608" i="1" s="1"/>
  <c r="V608" i="1"/>
  <c r="X607" i="1"/>
  <c r="W607" i="1"/>
  <c r="V607" i="1"/>
  <c r="W606" i="1"/>
  <c r="X606" i="1" s="1"/>
  <c r="V606" i="1"/>
  <c r="X605" i="1"/>
  <c r="W605" i="1"/>
  <c r="V605" i="1"/>
  <c r="W604" i="1"/>
  <c r="X604" i="1" s="1"/>
  <c r="V604" i="1"/>
  <c r="X603" i="1"/>
  <c r="W603" i="1"/>
  <c r="V603" i="1"/>
  <c r="W602" i="1"/>
  <c r="X602" i="1" s="1"/>
  <c r="V602" i="1"/>
  <c r="X601" i="1"/>
  <c r="W601" i="1"/>
  <c r="V601" i="1"/>
  <c r="W600" i="1"/>
  <c r="X600" i="1" s="1"/>
  <c r="V600" i="1"/>
  <c r="X599" i="1"/>
  <c r="W599" i="1"/>
  <c r="V599" i="1"/>
  <c r="W598" i="1"/>
  <c r="X598" i="1" s="1"/>
  <c r="V598" i="1"/>
  <c r="X597" i="1"/>
  <c r="W597" i="1"/>
  <c r="V597" i="1"/>
  <c r="W596" i="1"/>
  <c r="X596" i="1" s="1"/>
  <c r="V596" i="1"/>
  <c r="X595" i="1"/>
  <c r="W595" i="1"/>
  <c r="V595" i="1"/>
  <c r="W594" i="1"/>
  <c r="X594" i="1" s="1"/>
  <c r="V594" i="1"/>
  <c r="X593" i="1"/>
  <c r="W593" i="1"/>
  <c r="V593" i="1"/>
  <c r="W592" i="1"/>
  <c r="X592" i="1" s="1"/>
  <c r="V592" i="1"/>
  <c r="X591" i="1"/>
  <c r="W591" i="1"/>
  <c r="V591" i="1"/>
  <c r="W590" i="1"/>
  <c r="X590" i="1" s="1"/>
  <c r="V590" i="1"/>
  <c r="X589" i="1"/>
  <c r="W589" i="1"/>
  <c r="V589" i="1"/>
  <c r="W588" i="1"/>
  <c r="X588" i="1" s="1"/>
  <c r="V588" i="1"/>
  <c r="X587" i="1"/>
  <c r="W587" i="1"/>
  <c r="V587" i="1"/>
  <c r="W586" i="1"/>
  <c r="X586" i="1" s="1"/>
  <c r="V586" i="1"/>
  <c r="X585" i="1"/>
  <c r="W585" i="1"/>
  <c r="V585" i="1"/>
  <c r="W584" i="1"/>
  <c r="X584" i="1" s="1"/>
  <c r="V584" i="1"/>
  <c r="X583" i="1"/>
  <c r="W583" i="1"/>
  <c r="V583" i="1"/>
  <c r="W582" i="1"/>
  <c r="X582" i="1" s="1"/>
  <c r="V582" i="1"/>
  <c r="X581" i="1"/>
  <c r="W581" i="1"/>
  <c r="V581" i="1"/>
  <c r="W580" i="1"/>
  <c r="X580" i="1" s="1"/>
  <c r="V580" i="1"/>
  <c r="X579" i="1"/>
  <c r="W579" i="1"/>
  <c r="V579" i="1"/>
  <c r="W578" i="1"/>
  <c r="X578" i="1" s="1"/>
  <c r="V578" i="1"/>
  <c r="X577" i="1"/>
  <c r="W577" i="1"/>
  <c r="V577" i="1"/>
  <c r="W576" i="1"/>
  <c r="X576" i="1" s="1"/>
  <c r="V576" i="1"/>
  <c r="X575" i="1"/>
  <c r="W575" i="1"/>
  <c r="V575" i="1"/>
  <c r="W574" i="1"/>
  <c r="X574" i="1" s="1"/>
  <c r="V574" i="1"/>
  <c r="X573" i="1"/>
  <c r="W573" i="1"/>
  <c r="V573" i="1"/>
  <c r="W572" i="1"/>
  <c r="X572" i="1" s="1"/>
  <c r="V572" i="1"/>
  <c r="X571" i="1"/>
  <c r="W571" i="1"/>
  <c r="V571" i="1"/>
  <c r="W570" i="1"/>
  <c r="X570" i="1" s="1"/>
  <c r="V570" i="1"/>
  <c r="X569" i="1"/>
  <c r="W569" i="1"/>
  <c r="V569" i="1"/>
  <c r="W568" i="1"/>
  <c r="X568" i="1" s="1"/>
  <c r="V568" i="1"/>
  <c r="X567" i="1"/>
  <c r="W567" i="1"/>
  <c r="V567" i="1"/>
  <c r="W566" i="1"/>
  <c r="X566" i="1" s="1"/>
  <c r="V566" i="1"/>
  <c r="X565" i="1"/>
  <c r="W565" i="1"/>
  <c r="V565" i="1"/>
  <c r="W564" i="1"/>
  <c r="X564" i="1" s="1"/>
  <c r="V564" i="1"/>
  <c r="X563" i="1"/>
  <c r="W563" i="1"/>
  <c r="V563" i="1"/>
  <c r="W562" i="1"/>
  <c r="X562" i="1" s="1"/>
  <c r="V562" i="1"/>
  <c r="X561" i="1"/>
  <c r="W561" i="1"/>
  <c r="V561" i="1"/>
  <c r="W560" i="1"/>
  <c r="X560" i="1" s="1"/>
  <c r="V560" i="1"/>
  <c r="X559" i="1"/>
  <c r="W559" i="1"/>
  <c r="V559" i="1"/>
  <c r="W558" i="1"/>
  <c r="X558" i="1" s="1"/>
  <c r="V558" i="1"/>
  <c r="X557" i="1"/>
  <c r="W557" i="1"/>
  <c r="V557" i="1"/>
  <c r="W556" i="1"/>
  <c r="X556" i="1" s="1"/>
  <c r="V556" i="1"/>
  <c r="X555" i="1"/>
  <c r="W555" i="1"/>
  <c r="V555" i="1"/>
  <c r="W554" i="1"/>
  <c r="X554" i="1" s="1"/>
  <c r="V554" i="1"/>
  <c r="X553" i="1"/>
  <c r="W553" i="1"/>
  <c r="V553" i="1"/>
  <c r="W552" i="1"/>
  <c r="X552" i="1" s="1"/>
  <c r="V552" i="1"/>
  <c r="X551" i="1"/>
  <c r="W551" i="1"/>
  <c r="V551" i="1"/>
  <c r="W550" i="1"/>
  <c r="X550" i="1" s="1"/>
  <c r="V550" i="1"/>
  <c r="X549" i="1"/>
  <c r="W549" i="1"/>
  <c r="V549" i="1"/>
  <c r="W548" i="1"/>
  <c r="X548" i="1" s="1"/>
  <c r="V548" i="1"/>
  <c r="X547" i="1"/>
  <c r="W547" i="1"/>
  <c r="V547" i="1"/>
  <c r="W546" i="1"/>
  <c r="X546" i="1" s="1"/>
  <c r="V546" i="1"/>
  <c r="X545" i="1"/>
  <c r="W545" i="1"/>
  <c r="V545" i="1"/>
  <c r="W544" i="1"/>
  <c r="X544" i="1" s="1"/>
  <c r="V544" i="1"/>
  <c r="X543" i="1"/>
  <c r="W543" i="1"/>
  <c r="V543" i="1"/>
  <c r="W542" i="1"/>
  <c r="X542" i="1" s="1"/>
  <c r="V542" i="1"/>
  <c r="X541" i="1"/>
  <c r="W541" i="1"/>
  <c r="V541" i="1"/>
  <c r="W540" i="1"/>
  <c r="X540" i="1" s="1"/>
  <c r="V540" i="1"/>
  <c r="X539" i="1"/>
  <c r="W539" i="1"/>
  <c r="V539" i="1"/>
  <c r="W538" i="1"/>
  <c r="X538" i="1" s="1"/>
  <c r="V538" i="1"/>
  <c r="X537" i="1"/>
  <c r="W537" i="1"/>
  <c r="V537" i="1"/>
  <c r="W536" i="1"/>
  <c r="X536" i="1" s="1"/>
  <c r="V536" i="1"/>
  <c r="X535" i="1"/>
  <c r="W535" i="1"/>
  <c r="V535" i="1"/>
  <c r="W534" i="1"/>
  <c r="X534" i="1" s="1"/>
  <c r="V534" i="1"/>
  <c r="X533" i="1"/>
  <c r="W533" i="1"/>
  <c r="V533" i="1"/>
  <c r="W532" i="1"/>
  <c r="X532" i="1" s="1"/>
  <c r="V532" i="1"/>
  <c r="X531" i="1"/>
  <c r="W531" i="1"/>
  <c r="V531" i="1"/>
  <c r="W530" i="1"/>
  <c r="X530" i="1" s="1"/>
  <c r="V530" i="1"/>
  <c r="X529" i="1"/>
  <c r="W529" i="1"/>
  <c r="V529" i="1"/>
  <c r="W528" i="1"/>
  <c r="X528" i="1" s="1"/>
  <c r="V528" i="1"/>
  <c r="X527" i="1"/>
  <c r="W527" i="1"/>
  <c r="V527" i="1"/>
  <c r="W526" i="1"/>
  <c r="X526" i="1" s="1"/>
  <c r="V526" i="1"/>
  <c r="X525" i="1"/>
  <c r="W525" i="1"/>
  <c r="V525" i="1"/>
  <c r="X524" i="1"/>
  <c r="W524" i="1"/>
  <c r="V524" i="1"/>
  <c r="X523" i="1"/>
  <c r="W523" i="1"/>
  <c r="V523" i="1"/>
  <c r="W522" i="1"/>
  <c r="X522" i="1" s="1"/>
  <c r="V522" i="1"/>
  <c r="X521" i="1"/>
  <c r="W521" i="1"/>
  <c r="V521" i="1"/>
  <c r="W520" i="1"/>
  <c r="X520" i="1" s="1"/>
  <c r="V520" i="1"/>
  <c r="X519" i="1"/>
  <c r="W519" i="1"/>
  <c r="V519" i="1"/>
  <c r="W518" i="1"/>
  <c r="X518" i="1" s="1"/>
  <c r="V518" i="1"/>
  <c r="X517" i="1"/>
  <c r="W517" i="1"/>
  <c r="V517" i="1"/>
  <c r="X516" i="1"/>
  <c r="W516" i="1"/>
  <c r="V516" i="1"/>
  <c r="X515" i="1"/>
  <c r="W515" i="1"/>
  <c r="V515" i="1"/>
  <c r="W514" i="1"/>
  <c r="X514" i="1" s="1"/>
  <c r="V514" i="1"/>
  <c r="W513" i="1"/>
  <c r="X513" i="1" s="1"/>
  <c r="V513" i="1"/>
  <c r="W512" i="1"/>
  <c r="X512" i="1" s="1"/>
  <c r="V512" i="1"/>
  <c r="X511" i="1"/>
  <c r="W511" i="1"/>
  <c r="V511" i="1"/>
  <c r="W510" i="1"/>
  <c r="X510" i="1" s="1"/>
  <c r="V510" i="1"/>
  <c r="X509" i="1"/>
  <c r="W509" i="1"/>
  <c r="V509" i="1"/>
  <c r="X508" i="1"/>
  <c r="W508" i="1"/>
  <c r="V508" i="1"/>
  <c r="X507" i="1"/>
  <c r="W507" i="1"/>
  <c r="V507" i="1"/>
  <c r="W506" i="1"/>
  <c r="X506" i="1" s="1"/>
  <c r="V506" i="1"/>
  <c r="W505" i="1"/>
  <c r="X505" i="1" s="1"/>
  <c r="V505" i="1"/>
  <c r="W504" i="1"/>
  <c r="X504" i="1" s="1"/>
  <c r="V504" i="1"/>
  <c r="X503" i="1"/>
  <c r="W503" i="1"/>
  <c r="V503" i="1"/>
  <c r="W502" i="1"/>
  <c r="X502" i="1" s="1"/>
  <c r="V502" i="1"/>
  <c r="X501" i="1"/>
  <c r="W501" i="1"/>
  <c r="V501" i="1"/>
  <c r="X500" i="1"/>
  <c r="W500" i="1"/>
  <c r="V500" i="1"/>
  <c r="X499" i="1"/>
  <c r="W499" i="1"/>
  <c r="V499" i="1"/>
  <c r="W498" i="1"/>
  <c r="X498" i="1" s="1"/>
  <c r="V498" i="1"/>
  <c r="W497" i="1"/>
  <c r="X497" i="1" s="1"/>
  <c r="V497" i="1"/>
  <c r="W496" i="1"/>
  <c r="X496" i="1" s="1"/>
  <c r="V496" i="1"/>
  <c r="X495" i="1"/>
  <c r="W495" i="1"/>
  <c r="V495" i="1"/>
  <c r="W494" i="1"/>
  <c r="X494" i="1" s="1"/>
  <c r="V494" i="1"/>
  <c r="X493" i="1"/>
  <c r="W493" i="1"/>
  <c r="V493" i="1"/>
  <c r="X492" i="1"/>
  <c r="W492" i="1"/>
  <c r="V492" i="1"/>
  <c r="X491" i="1"/>
  <c r="W491" i="1"/>
  <c r="V491" i="1"/>
  <c r="W490" i="1"/>
  <c r="X490" i="1" s="1"/>
  <c r="V490" i="1"/>
  <c r="W489" i="1"/>
  <c r="X489" i="1" s="1"/>
  <c r="V489" i="1"/>
  <c r="W488" i="1"/>
  <c r="X488" i="1" s="1"/>
  <c r="V488" i="1"/>
  <c r="X487" i="1"/>
  <c r="W487" i="1"/>
  <c r="V487" i="1"/>
  <c r="W486" i="1"/>
  <c r="X486" i="1" s="1"/>
  <c r="V486" i="1"/>
  <c r="X485" i="1"/>
  <c r="W485" i="1"/>
  <c r="V485" i="1"/>
  <c r="X484" i="1"/>
  <c r="W484" i="1"/>
  <c r="V484" i="1"/>
  <c r="X483" i="1"/>
  <c r="W483" i="1"/>
  <c r="V483" i="1"/>
  <c r="W482" i="1"/>
  <c r="X482" i="1" s="1"/>
  <c r="V482" i="1"/>
  <c r="W481" i="1"/>
  <c r="X481" i="1" s="1"/>
  <c r="V481" i="1"/>
  <c r="W480" i="1"/>
  <c r="X480" i="1" s="1"/>
  <c r="V480" i="1"/>
  <c r="X479" i="1"/>
  <c r="W479" i="1"/>
  <c r="V479" i="1"/>
  <c r="W478" i="1"/>
  <c r="X478" i="1" s="1"/>
  <c r="V478" i="1"/>
  <c r="X477" i="1"/>
  <c r="W477" i="1"/>
  <c r="V477" i="1"/>
  <c r="X476" i="1"/>
  <c r="W476" i="1"/>
  <c r="V476" i="1"/>
  <c r="X475" i="1"/>
  <c r="W475" i="1"/>
  <c r="V475" i="1"/>
  <c r="W474" i="1"/>
  <c r="X474" i="1" s="1"/>
  <c r="V474" i="1"/>
  <c r="X473" i="1"/>
  <c r="W473" i="1"/>
  <c r="V473" i="1"/>
  <c r="W472" i="1"/>
  <c r="X472" i="1" s="1"/>
  <c r="V472" i="1"/>
  <c r="X471" i="1"/>
  <c r="W471" i="1"/>
  <c r="V471" i="1"/>
  <c r="W470" i="1"/>
  <c r="X470" i="1" s="1"/>
  <c r="V470" i="1"/>
  <c r="X469" i="1"/>
  <c r="W469" i="1"/>
  <c r="V469" i="1"/>
  <c r="X468" i="1"/>
  <c r="W468" i="1"/>
  <c r="V468" i="1"/>
  <c r="X467" i="1"/>
  <c r="W467" i="1"/>
  <c r="V467" i="1"/>
  <c r="W466" i="1"/>
  <c r="X466" i="1" s="1"/>
  <c r="V466" i="1"/>
  <c r="X465" i="1"/>
  <c r="W465" i="1"/>
  <c r="V465" i="1"/>
  <c r="W464" i="1"/>
  <c r="X464" i="1" s="1"/>
  <c r="V464" i="1"/>
  <c r="X463" i="1"/>
  <c r="W463" i="1"/>
  <c r="V463" i="1"/>
  <c r="W462" i="1"/>
  <c r="X462" i="1" s="1"/>
  <c r="V462" i="1"/>
  <c r="W461" i="1"/>
  <c r="X461" i="1" s="1"/>
  <c r="V461" i="1"/>
  <c r="X460" i="1"/>
  <c r="W460" i="1"/>
  <c r="V460" i="1"/>
  <c r="X459" i="1"/>
  <c r="W459" i="1"/>
  <c r="V459" i="1"/>
  <c r="W458" i="1"/>
  <c r="X458" i="1" s="1"/>
  <c r="V458" i="1"/>
  <c r="X457" i="1"/>
  <c r="W457" i="1"/>
  <c r="V457" i="1"/>
  <c r="W456" i="1"/>
  <c r="X456" i="1" s="1"/>
  <c r="V456" i="1"/>
  <c r="X455" i="1"/>
  <c r="W455" i="1"/>
  <c r="V455" i="1"/>
  <c r="W454" i="1"/>
  <c r="X454" i="1" s="1"/>
  <c r="V454" i="1"/>
  <c r="W453" i="1"/>
  <c r="X453" i="1" s="1"/>
  <c r="V453" i="1"/>
  <c r="X452" i="1"/>
  <c r="W452" i="1"/>
  <c r="V452" i="1"/>
  <c r="X451" i="1"/>
  <c r="W451" i="1"/>
  <c r="V451" i="1"/>
  <c r="W450" i="1"/>
  <c r="X450" i="1" s="1"/>
  <c r="V450" i="1"/>
  <c r="X449" i="1"/>
  <c r="W449" i="1"/>
  <c r="V449" i="1"/>
  <c r="W448" i="1"/>
  <c r="X448" i="1" s="1"/>
  <c r="V448" i="1"/>
  <c r="X447" i="1"/>
  <c r="W447" i="1"/>
  <c r="V447" i="1"/>
  <c r="W446" i="1"/>
  <c r="X446" i="1" s="1"/>
  <c r="V446" i="1"/>
  <c r="W445" i="1"/>
  <c r="X445" i="1" s="1"/>
  <c r="V445" i="1"/>
  <c r="X444" i="1"/>
  <c r="W444" i="1"/>
  <c r="V444" i="1"/>
  <c r="X443" i="1"/>
  <c r="W443" i="1"/>
  <c r="V443" i="1"/>
  <c r="W442" i="1"/>
  <c r="X442" i="1" s="1"/>
  <c r="V442" i="1"/>
  <c r="X441" i="1"/>
  <c r="W441" i="1"/>
  <c r="V441" i="1"/>
  <c r="W440" i="1"/>
  <c r="X440" i="1" s="1"/>
  <c r="V440" i="1"/>
  <c r="X439" i="1"/>
  <c r="W439" i="1"/>
  <c r="V439" i="1"/>
  <c r="W438" i="1"/>
  <c r="X438" i="1" s="1"/>
  <c r="V438" i="1"/>
  <c r="W437" i="1"/>
  <c r="X437" i="1" s="1"/>
  <c r="V437" i="1"/>
  <c r="X436" i="1"/>
  <c r="W436" i="1"/>
  <c r="V436" i="1"/>
  <c r="X435" i="1"/>
  <c r="W435" i="1"/>
  <c r="V435" i="1"/>
  <c r="W434" i="1"/>
  <c r="X434" i="1" s="1"/>
  <c r="V434" i="1"/>
  <c r="X433" i="1"/>
  <c r="W433" i="1"/>
  <c r="V433" i="1"/>
  <c r="W432" i="1"/>
  <c r="X432" i="1" s="1"/>
  <c r="V432" i="1"/>
  <c r="X431" i="1"/>
  <c r="W431" i="1"/>
  <c r="V431" i="1"/>
  <c r="W430" i="1"/>
  <c r="X430" i="1" s="1"/>
  <c r="V430" i="1"/>
  <c r="W429" i="1"/>
  <c r="X429" i="1" s="1"/>
  <c r="V429" i="1"/>
  <c r="X428" i="1"/>
  <c r="W428" i="1"/>
  <c r="V428" i="1"/>
  <c r="X427" i="1"/>
  <c r="W427" i="1"/>
  <c r="V427" i="1"/>
  <c r="W426" i="1"/>
  <c r="X426" i="1" s="1"/>
  <c r="V426" i="1"/>
  <c r="X425" i="1"/>
  <c r="W425" i="1"/>
  <c r="V425" i="1"/>
  <c r="W424" i="1"/>
  <c r="X424" i="1" s="1"/>
  <c r="V424" i="1"/>
  <c r="X423" i="1"/>
  <c r="W423" i="1"/>
  <c r="V423" i="1"/>
  <c r="W422" i="1"/>
  <c r="X422" i="1" s="1"/>
  <c r="V422" i="1"/>
  <c r="W421" i="1"/>
  <c r="X421" i="1" s="1"/>
  <c r="V421" i="1"/>
  <c r="X420" i="1"/>
  <c r="W420" i="1"/>
  <c r="V420" i="1"/>
  <c r="X419" i="1"/>
  <c r="W419" i="1"/>
  <c r="V419" i="1"/>
  <c r="W418" i="1"/>
  <c r="X418" i="1" s="1"/>
  <c r="V418" i="1"/>
  <c r="X417" i="1"/>
  <c r="W417" i="1"/>
  <c r="V417" i="1"/>
  <c r="W416" i="1"/>
  <c r="X416" i="1" s="1"/>
  <c r="V416" i="1"/>
  <c r="X415" i="1"/>
  <c r="W415" i="1"/>
  <c r="V415" i="1"/>
  <c r="W414" i="1"/>
  <c r="X414" i="1" s="1"/>
  <c r="V414" i="1"/>
  <c r="W413" i="1"/>
  <c r="X413" i="1" s="1"/>
  <c r="V413" i="1"/>
  <c r="X412" i="1"/>
  <c r="W412" i="1"/>
  <c r="V412" i="1"/>
  <c r="X411" i="1"/>
  <c r="W411" i="1"/>
  <c r="V411" i="1"/>
  <c r="W410" i="1"/>
  <c r="X410" i="1" s="1"/>
  <c r="V410" i="1"/>
  <c r="X409" i="1"/>
  <c r="W409" i="1"/>
  <c r="V409" i="1"/>
  <c r="W408" i="1"/>
  <c r="X408" i="1" s="1"/>
  <c r="V408" i="1"/>
  <c r="X407" i="1"/>
  <c r="W407" i="1"/>
  <c r="V407" i="1"/>
  <c r="W406" i="1"/>
  <c r="X406" i="1" s="1"/>
  <c r="V406" i="1"/>
  <c r="W405" i="1"/>
  <c r="X405" i="1" s="1"/>
  <c r="V405" i="1"/>
  <c r="X404" i="1"/>
  <c r="W404" i="1"/>
  <c r="V404" i="1"/>
  <c r="X403" i="1"/>
  <c r="W403" i="1"/>
  <c r="V403" i="1"/>
  <c r="W402" i="1"/>
  <c r="X402" i="1" s="1"/>
  <c r="V402" i="1"/>
  <c r="X401" i="1"/>
  <c r="W401" i="1"/>
  <c r="V401" i="1"/>
  <c r="W400" i="1"/>
  <c r="X400" i="1" s="1"/>
  <c r="V400" i="1"/>
  <c r="X399" i="1"/>
  <c r="W399" i="1"/>
  <c r="V399" i="1"/>
  <c r="W398" i="1"/>
  <c r="X398" i="1" s="1"/>
  <c r="V398" i="1"/>
  <c r="W397" i="1"/>
  <c r="X397" i="1" s="1"/>
  <c r="V397" i="1"/>
  <c r="X396" i="1"/>
  <c r="W396" i="1"/>
  <c r="V396" i="1"/>
  <c r="X395" i="1"/>
  <c r="W395" i="1"/>
  <c r="V395" i="1"/>
  <c r="W394" i="1"/>
  <c r="X394" i="1" s="1"/>
  <c r="V394" i="1"/>
  <c r="X393" i="1"/>
  <c r="W393" i="1"/>
  <c r="V393" i="1"/>
  <c r="W392" i="1"/>
  <c r="X392" i="1" s="1"/>
  <c r="V392" i="1"/>
  <c r="X391" i="1"/>
  <c r="W391" i="1"/>
  <c r="V391" i="1"/>
  <c r="W390" i="1"/>
  <c r="X390" i="1" s="1"/>
  <c r="V390" i="1"/>
  <c r="W389" i="1"/>
  <c r="X389" i="1" s="1"/>
  <c r="V389" i="1"/>
  <c r="X388" i="1"/>
  <c r="W388" i="1"/>
  <c r="V388" i="1"/>
  <c r="X387" i="1"/>
  <c r="W387" i="1"/>
  <c r="V387" i="1"/>
  <c r="W386" i="1"/>
  <c r="X386" i="1" s="1"/>
  <c r="V386" i="1"/>
  <c r="X385" i="1"/>
  <c r="W385" i="1"/>
  <c r="V385" i="1"/>
  <c r="W384" i="1"/>
  <c r="X384" i="1" s="1"/>
  <c r="V384" i="1"/>
  <c r="X383" i="1"/>
  <c r="W383" i="1"/>
  <c r="V383" i="1"/>
  <c r="W382" i="1"/>
  <c r="X382" i="1" s="1"/>
  <c r="V382" i="1"/>
  <c r="W381" i="1"/>
  <c r="X381" i="1" s="1"/>
  <c r="V381" i="1"/>
  <c r="X380" i="1"/>
  <c r="W380" i="1"/>
  <c r="V380" i="1"/>
  <c r="X379" i="1"/>
  <c r="W379" i="1"/>
  <c r="V379" i="1"/>
  <c r="W378" i="1"/>
  <c r="X378" i="1" s="1"/>
  <c r="V378" i="1"/>
  <c r="X377" i="1"/>
  <c r="W377" i="1"/>
  <c r="V377" i="1"/>
  <c r="W376" i="1"/>
  <c r="X376" i="1" s="1"/>
  <c r="V376" i="1"/>
  <c r="X375" i="1"/>
  <c r="W375" i="1"/>
  <c r="V375" i="1"/>
  <c r="W374" i="1"/>
  <c r="X374" i="1" s="1"/>
  <c r="V374" i="1"/>
  <c r="W373" i="1"/>
  <c r="X373" i="1" s="1"/>
  <c r="V373" i="1"/>
  <c r="X372" i="1"/>
  <c r="W372" i="1"/>
  <c r="V372" i="1"/>
  <c r="X371" i="1"/>
  <c r="W371" i="1"/>
  <c r="V371" i="1"/>
  <c r="W370" i="1"/>
  <c r="X370" i="1" s="1"/>
  <c r="V370" i="1"/>
  <c r="X369" i="1"/>
  <c r="W369" i="1"/>
  <c r="V369" i="1"/>
  <c r="W368" i="1"/>
  <c r="X368" i="1" s="1"/>
  <c r="V368" i="1"/>
  <c r="X367" i="1"/>
  <c r="W367" i="1"/>
  <c r="V367" i="1"/>
  <c r="W366" i="1"/>
  <c r="X366" i="1" s="1"/>
  <c r="V366" i="1"/>
  <c r="W365" i="1"/>
  <c r="X365" i="1" s="1"/>
  <c r="V365" i="1"/>
  <c r="X364" i="1"/>
  <c r="W364" i="1"/>
  <c r="V364" i="1"/>
  <c r="X363" i="1"/>
  <c r="W363" i="1"/>
  <c r="V363" i="1"/>
  <c r="W362" i="1"/>
  <c r="X362" i="1" s="1"/>
  <c r="V362" i="1"/>
  <c r="X361" i="1"/>
  <c r="W361" i="1"/>
  <c r="V361" i="1"/>
  <c r="W360" i="1"/>
  <c r="X360" i="1" s="1"/>
  <c r="V360" i="1"/>
  <c r="X359" i="1"/>
  <c r="W359" i="1"/>
  <c r="V359" i="1"/>
  <c r="W358" i="1"/>
  <c r="X358" i="1" s="1"/>
  <c r="V358" i="1"/>
  <c r="W357" i="1"/>
  <c r="X357" i="1" s="1"/>
  <c r="V357" i="1"/>
  <c r="X356" i="1"/>
  <c r="W356" i="1"/>
  <c r="V356" i="1"/>
  <c r="X355" i="1"/>
  <c r="W355" i="1"/>
  <c r="V355" i="1"/>
  <c r="W354" i="1"/>
  <c r="X354" i="1" s="1"/>
  <c r="V354" i="1"/>
  <c r="W353" i="1"/>
  <c r="X353" i="1" s="1"/>
  <c r="V353" i="1"/>
  <c r="W352" i="1"/>
  <c r="X352" i="1" s="1"/>
  <c r="V352" i="1"/>
  <c r="X351" i="1"/>
  <c r="W351" i="1"/>
  <c r="V351" i="1"/>
  <c r="W350" i="1"/>
  <c r="X350" i="1" s="1"/>
  <c r="V350" i="1"/>
  <c r="W349" i="1"/>
  <c r="X349" i="1" s="1"/>
  <c r="V349" i="1"/>
  <c r="X348" i="1"/>
  <c r="W348" i="1"/>
  <c r="V348" i="1"/>
  <c r="X347" i="1"/>
  <c r="W347" i="1"/>
  <c r="V347" i="1"/>
  <c r="W346" i="1"/>
  <c r="X346" i="1" s="1"/>
  <c r="V346" i="1"/>
  <c r="W345" i="1"/>
  <c r="X345" i="1" s="1"/>
  <c r="V345" i="1"/>
  <c r="W344" i="1"/>
  <c r="X344" i="1" s="1"/>
  <c r="V344" i="1"/>
  <c r="X343" i="1"/>
  <c r="W343" i="1"/>
  <c r="V343" i="1"/>
  <c r="W342" i="1"/>
  <c r="X342" i="1" s="1"/>
  <c r="V342" i="1"/>
  <c r="W341" i="1"/>
  <c r="X341" i="1" s="1"/>
  <c r="V341" i="1"/>
  <c r="X340" i="1"/>
  <c r="W340" i="1"/>
  <c r="V340" i="1"/>
  <c r="X339" i="1"/>
  <c r="W339" i="1"/>
  <c r="V339" i="1"/>
  <c r="W338" i="1"/>
  <c r="X338" i="1" s="1"/>
  <c r="V338" i="1"/>
  <c r="W337" i="1"/>
  <c r="X337" i="1" s="1"/>
  <c r="V337" i="1"/>
  <c r="W336" i="1"/>
  <c r="X336" i="1" s="1"/>
  <c r="V336" i="1"/>
  <c r="X335" i="1"/>
  <c r="W335" i="1"/>
  <c r="V335" i="1"/>
  <c r="W334" i="1"/>
  <c r="X334" i="1" s="1"/>
  <c r="V334" i="1"/>
  <c r="W333" i="1"/>
  <c r="X333" i="1" s="1"/>
  <c r="V333" i="1"/>
  <c r="X332" i="1"/>
  <c r="W332" i="1"/>
  <c r="V332" i="1"/>
  <c r="X331" i="1"/>
  <c r="W331" i="1"/>
  <c r="V331" i="1"/>
  <c r="W330" i="1"/>
  <c r="X330" i="1" s="1"/>
  <c r="V330" i="1"/>
  <c r="W329" i="1"/>
  <c r="X329" i="1" s="1"/>
  <c r="V329" i="1"/>
  <c r="W328" i="1"/>
  <c r="X328" i="1" s="1"/>
  <c r="V328" i="1"/>
  <c r="X327" i="1"/>
  <c r="W327" i="1"/>
  <c r="V327" i="1"/>
  <c r="W326" i="1"/>
  <c r="X326" i="1" s="1"/>
  <c r="V326" i="1"/>
  <c r="W325" i="1"/>
  <c r="X325" i="1" s="1"/>
  <c r="V325" i="1"/>
  <c r="X324" i="1"/>
  <c r="W324" i="1"/>
  <c r="V324" i="1"/>
  <c r="X323" i="1"/>
  <c r="W323" i="1"/>
  <c r="V323" i="1"/>
  <c r="W322" i="1"/>
  <c r="X322" i="1" s="1"/>
  <c r="V322" i="1"/>
  <c r="W321" i="1"/>
  <c r="X321" i="1" s="1"/>
  <c r="V321" i="1"/>
  <c r="W320" i="1"/>
  <c r="X320" i="1" s="1"/>
  <c r="V320" i="1"/>
  <c r="X319" i="1"/>
  <c r="W319" i="1"/>
  <c r="V319" i="1"/>
  <c r="W318" i="1"/>
  <c r="X318" i="1" s="1"/>
  <c r="V318" i="1"/>
  <c r="W317" i="1"/>
  <c r="X317" i="1" s="1"/>
  <c r="V317" i="1"/>
  <c r="X316" i="1"/>
  <c r="W316" i="1"/>
  <c r="V316" i="1"/>
  <c r="X315" i="1"/>
  <c r="W315" i="1"/>
  <c r="V315" i="1"/>
  <c r="W314" i="1"/>
  <c r="X314" i="1" s="1"/>
  <c r="V314" i="1"/>
  <c r="W313" i="1"/>
  <c r="X313" i="1" s="1"/>
  <c r="V313" i="1"/>
  <c r="X312" i="1"/>
  <c r="W312" i="1"/>
  <c r="V312" i="1"/>
  <c r="X311" i="1"/>
  <c r="W311" i="1"/>
  <c r="V311" i="1"/>
  <c r="W310" i="1"/>
  <c r="X310" i="1" s="1"/>
  <c r="V310" i="1"/>
  <c r="W309" i="1"/>
  <c r="X309" i="1" s="1"/>
  <c r="V309" i="1"/>
  <c r="X308" i="1"/>
  <c r="W308" i="1"/>
  <c r="V308" i="1"/>
  <c r="X307" i="1"/>
  <c r="W307" i="1"/>
  <c r="V307" i="1"/>
  <c r="W306" i="1"/>
  <c r="X306" i="1" s="1"/>
  <c r="V306" i="1"/>
  <c r="W305" i="1"/>
  <c r="X305" i="1" s="1"/>
  <c r="V305" i="1"/>
  <c r="X304" i="1"/>
  <c r="W304" i="1"/>
  <c r="V304" i="1"/>
  <c r="X303" i="1"/>
  <c r="W303" i="1"/>
  <c r="V303" i="1"/>
  <c r="W302" i="1"/>
  <c r="X302" i="1" s="1"/>
  <c r="V302" i="1"/>
  <c r="W301" i="1"/>
  <c r="X301" i="1" s="1"/>
  <c r="V301" i="1"/>
  <c r="X300" i="1"/>
  <c r="W300" i="1"/>
  <c r="V300" i="1"/>
  <c r="X299" i="1"/>
  <c r="W299" i="1"/>
  <c r="V299" i="1"/>
  <c r="W298" i="1"/>
  <c r="X298" i="1" s="1"/>
  <c r="V298" i="1"/>
  <c r="W297" i="1"/>
  <c r="X297" i="1" s="1"/>
  <c r="V297" i="1"/>
  <c r="X296" i="1"/>
  <c r="W296" i="1"/>
  <c r="V296" i="1"/>
  <c r="X295" i="1"/>
  <c r="W295" i="1"/>
  <c r="V295" i="1"/>
  <c r="W294" i="1"/>
  <c r="X294" i="1" s="1"/>
  <c r="V294" i="1"/>
  <c r="W293" i="1"/>
  <c r="X293" i="1" s="1"/>
  <c r="V293" i="1"/>
  <c r="X292" i="1"/>
  <c r="W292" i="1"/>
  <c r="V292" i="1"/>
  <c r="X291" i="1"/>
  <c r="W291" i="1"/>
  <c r="V291" i="1"/>
  <c r="W290" i="1"/>
  <c r="X290" i="1" s="1"/>
  <c r="V290" i="1"/>
  <c r="W289" i="1"/>
  <c r="X289" i="1" s="1"/>
  <c r="V289" i="1"/>
  <c r="W288" i="1"/>
  <c r="X288" i="1" s="1"/>
  <c r="V288" i="1"/>
  <c r="X287" i="1"/>
  <c r="W287" i="1"/>
  <c r="V287" i="1"/>
  <c r="W286" i="1"/>
  <c r="X286" i="1" s="1"/>
  <c r="V286" i="1"/>
  <c r="W285" i="1"/>
  <c r="X285" i="1" s="1"/>
  <c r="V285" i="1"/>
  <c r="X284" i="1"/>
  <c r="W284" i="1"/>
  <c r="V284" i="1"/>
  <c r="X283" i="1"/>
  <c r="W283" i="1"/>
  <c r="V283" i="1"/>
  <c r="W282" i="1"/>
  <c r="X282" i="1" s="1"/>
  <c r="V282" i="1"/>
  <c r="W281" i="1"/>
  <c r="X281" i="1" s="1"/>
  <c r="V281" i="1"/>
  <c r="W280" i="1"/>
  <c r="X280" i="1" s="1"/>
  <c r="V280" i="1"/>
  <c r="X279" i="1"/>
  <c r="W279" i="1"/>
  <c r="V279" i="1"/>
  <c r="W278" i="1"/>
  <c r="X278" i="1" s="1"/>
  <c r="V278" i="1"/>
  <c r="W277" i="1"/>
  <c r="X277" i="1" s="1"/>
  <c r="V277" i="1"/>
  <c r="X276" i="1"/>
  <c r="W276" i="1"/>
  <c r="V276" i="1"/>
  <c r="X275" i="1"/>
  <c r="W275" i="1"/>
  <c r="V275" i="1"/>
  <c r="W274" i="1"/>
  <c r="X274" i="1" s="1"/>
  <c r="V274" i="1"/>
  <c r="W273" i="1"/>
  <c r="X273" i="1" s="1"/>
  <c r="V273" i="1"/>
  <c r="W272" i="1"/>
  <c r="X272" i="1" s="1"/>
  <c r="V272" i="1"/>
  <c r="X271" i="1"/>
  <c r="W271" i="1"/>
  <c r="V271" i="1"/>
  <c r="W270" i="1"/>
  <c r="X270" i="1" s="1"/>
  <c r="V270" i="1"/>
  <c r="W269" i="1"/>
  <c r="X269" i="1" s="1"/>
  <c r="V269" i="1"/>
  <c r="X268" i="1"/>
  <c r="W268" i="1"/>
  <c r="V268" i="1"/>
  <c r="X267" i="1"/>
  <c r="W267" i="1"/>
  <c r="V267" i="1"/>
  <c r="W266" i="1"/>
  <c r="X266" i="1" s="1"/>
  <c r="V266" i="1"/>
  <c r="W265" i="1"/>
  <c r="X265" i="1" s="1"/>
  <c r="V265" i="1"/>
  <c r="W264" i="1"/>
  <c r="X264" i="1" s="1"/>
  <c r="V264" i="1"/>
  <c r="X263" i="1"/>
  <c r="W263" i="1"/>
  <c r="V263" i="1"/>
  <c r="W262" i="1"/>
  <c r="X262" i="1" s="1"/>
  <c r="V262" i="1"/>
  <c r="W261" i="1"/>
  <c r="X261" i="1" s="1"/>
  <c r="V261" i="1"/>
  <c r="X260" i="1"/>
  <c r="W260" i="1"/>
  <c r="V260" i="1"/>
  <c r="X259" i="1"/>
  <c r="W259" i="1"/>
  <c r="V259" i="1"/>
  <c r="W258" i="1"/>
  <c r="X258" i="1" s="1"/>
  <c r="V258" i="1"/>
  <c r="W257" i="1"/>
  <c r="X257" i="1" s="1"/>
  <c r="V257" i="1"/>
  <c r="W256" i="1"/>
  <c r="X256" i="1" s="1"/>
  <c r="V256" i="1"/>
  <c r="X255" i="1"/>
  <c r="W255" i="1"/>
  <c r="V255" i="1"/>
  <c r="W254" i="1"/>
  <c r="X254" i="1" s="1"/>
  <c r="V254" i="1"/>
  <c r="W253" i="1"/>
  <c r="X253" i="1" s="1"/>
  <c r="V253" i="1"/>
  <c r="X252" i="1"/>
  <c r="W252" i="1"/>
  <c r="V252" i="1"/>
  <c r="X251" i="1"/>
  <c r="W251" i="1"/>
  <c r="V251" i="1"/>
  <c r="W250" i="1"/>
  <c r="X250" i="1" s="1"/>
  <c r="V250" i="1"/>
  <c r="W249" i="1"/>
  <c r="X249" i="1" s="1"/>
  <c r="V249" i="1"/>
  <c r="W248" i="1"/>
  <c r="X248" i="1" s="1"/>
  <c r="V248" i="1"/>
  <c r="X247" i="1"/>
  <c r="W247" i="1"/>
  <c r="V247" i="1"/>
  <c r="W246" i="1"/>
  <c r="X246" i="1" s="1"/>
  <c r="V246" i="1"/>
  <c r="W245" i="1"/>
  <c r="X245" i="1" s="1"/>
  <c r="V245" i="1"/>
  <c r="X244" i="1"/>
  <c r="W244" i="1"/>
  <c r="V244" i="1"/>
  <c r="X243" i="1"/>
  <c r="W243" i="1"/>
  <c r="V243" i="1"/>
  <c r="W242" i="1"/>
  <c r="X242" i="1" s="1"/>
  <c r="V242" i="1"/>
  <c r="W241" i="1"/>
  <c r="X241" i="1" s="1"/>
  <c r="V241" i="1"/>
  <c r="X240" i="1"/>
  <c r="W240" i="1"/>
  <c r="V240" i="1"/>
  <c r="X239" i="1"/>
  <c r="W239" i="1"/>
  <c r="V239" i="1"/>
  <c r="W238" i="1"/>
  <c r="X238" i="1" s="1"/>
  <c r="V238" i="1"/>
  <c r="W237" i="1"/>
  <c r="X237" i="1" s="1"/>
  <c r="V237" i="1"/>
  <c r="X236" i="1"/>
  <c r="W236" i="1"/>
  <c r="V236" i="1"/>
  <c r="X235" i="1"/>
  <c r="W235" i="1"/>
  <c r="V235" i="1"/>
  <c r="W234" i="1"/>
  <c r="X234" i="1" s="1"/>
  <c r="V234" i="1"/>
  <c r="W233" i="1"/>
  <c r="X233" i="1" s="1"/>
  <c r="V233" i="1"/>
  <c r="W232" i="1"/>
  <c r="X232" i="1" s="1"/>
  <c r="V232" i="1"/>
  <c r="X231" i="1"/>
  <c r="W231" i="1"/>
  <c r="V231" i="1"/>
  <c r="W230" i="1"/>
  <c r="X230" i="1" s="1"/>
  <c r="V230" i="1"/>
  <c r="W229" i="1"/>
  <c r="X229" i="1" s="1"/>
  <c r="V229" i="1"/>
  <c r="X228" i="1"/>
  <c r="W228" i="1"/>
  <c r="V228" i="1"/>
  <c r="X227" i="1"/>
  <c r="W227" i="1"/>
  <c r="V227" i="1"/>
  <c r="W226" i="1"/>
  <c r="X226" i="1" s="1"/>
  <c r="V226" i="1"/>
  <c r="W225" i="1"/>
  <c r="X225" i="1" s="1"/>
  <c r="V225" i="1"/>
  <c r="W224" i="1"/>
  <c r="X224" i="1" s="1"/>
  <c r="V224" i="1"/>
  <c r="X223" i="1"/>
  <c r="W223" i="1"/>
  <c r="V223" i="1"/>
  <c r="W222" i="1"/>
  <c r="X222" i="1" s="1"/>
  <c r="V222" i="1"/>
  <c r="W221" i="1"/>
  <c r="X221" i="1" s="1"/>
  <c r="V221" i="1"/>
  <c r="X220" i="1"/>
  <c r="W220" i="1"/>
  <c r="V220" i="1"/>
  <c r="X219" i="1"/>
  <c r="W219" i="1"/>
  <c r="V219" i="1"/>
  <c r="W218" i="1"/>
  <c r="X218" i="1" s="1"/>
  <c r="V218" i="1"/>
  <c r="W217" i="1"/>
  <c r="X217" i="1" s="1"/>
  <c r="V217" i="1"/>
  <c r="W216" i="1"/>
  <c r="X216" i="1" s="1"/>
  <c r="V216" i="1"/>
  <c r="X215" i="1"/>
  <c r="W215" i="1"/>
  <c r="V215" i="1"/>
  <c r="W214" i="1"/>
  <c r="X214" i="1" s="1"/>
  <c r="V214" i="1"/>
  <c r="W213" i="1"/>
  <c r="X213" i="1" s="1"/>
  <c r="V213" i="1"/>
  <c r="X212" i="1"/>
  <c r="W212" i="1"/>
  <c r="V212" i="1"/>
  <c r="X211" i="1"/>
  <c r="W211" i="1"/>
  <c r="V211" i="1"/>
  <c r="W210" i="1"/>
  <c r="X210" i="1" s="1"/>
  <c r="V210" i="1"/>
  <c r="W209" i="1"/>
  <c r="X209" i="1" s="1"/>
  <c r="V209" i="1"/>
  <c r="W208" i="1"/>
  <c r="X208" i="1" s="1"/>
  <c r="V208" i="1"/>
  <c r="X207" i="1"/>
  <c r="W207" i="1"/>
  <c r="V207" i="1"/>
  <c r="W206" i="1"/>
  <c r="X206" i="1" s="1"/>
  <c r="V206" i="1"/>
  <c r="W205" i="1"/>
  <c r="X205" i="1" s="1"/>
  <c r="V205" i="1"/>
  <c r="X204" i="1"/>
  <c r="W204" i="1"/>
  <c r="V204" i="1"/>
  <c r="X203" i="1"/>
  <c r="W203" i="1"/>
  <c r="V203" i="1"/>
  <c r="W202" i="1"/>
  <c r="X202" i="1" s="1"/>
  <c r="V202" i="1"/>
  <c r="W201" i="1"/>
  <c r="X201" i="1" s="1"/>
  <c r="V201" i="1"/>
  <c r="W200" i="1"/>
  <c r="X200" i="1" s="1"/>
  <c r="V200" i="1"/>
  <c r="X199" i="1"/>
  <c r="W199" i="1"/>
  <c r="V199" i="1"/>
  <c r="W198" i="1"/>
  <c r="X198" i="1" s="1"/>
  <c r="V198" i="1"/>
  <c r="W197" i="1"/>
  <c r="X197" i="1" s="1"/>
  <c r="V197" i="1"/>
  <c r="X196" i="1"/>
  <c r="W196" i="1"/>
  <c r="V196" i="1"/>
  <c r="X195" i="1"/>
  <c r="W195" i="1"/>
  <c r="V195" i="1"/>
  <c r="W194" i="1"/>
  <c r="X194" i="1" s="1"/>
  <c r="V194" i="1"/>
  <c r="W193" i="1"/>
  <c r="X193" i="1" s="1"/>
  <c r="V193" i="1"/>
  <c r="W192" i="1"/>
  <c r="X192" i="1" s="1"/>
  <c r="V192" i="1"/>
  <c r="X191" i="1"/>
  <c r="W191" i="1"/>
  <c r="V191" i="1"/>
  <c r="W190" i="1"/>
  <c r="X190" i="1" s="1"/>
  <c r="V190" i="1"/>
  <c r="W189" i="1"/>
  <c r="X189" i="1" s="1"/>
  <c r="V189" i="1"/>
  <c r="X188" i="1"/>
  <c r="W188" i="1"/>
  <c r="V188" i="1"/>
  <c r="X187" i="1"/>
  <c r="W187" i="1"/>
  <c r="V187" i="1"/>
  <c r="W186" i="1"/>
  <c r="X186" i="1" s="1"/>
  <c r="V186" i="1"/>
  <c r="X185" i="1"/>
  <c r="W185" i="1"/>
  <c r="V185" i="1"/>
  <c r="W184" i="1"/>
  <c r="X184" i="1" s="1"/>
  <c r="V184" i="1"/>
  <c r="X183" i="1"/>
  <c r="W183" i="1"/>
  <c r="V183" i="1"/>
  <c r="W182" i="1"/>
  <c r="X182" i="1" s="1"/>
  <c r="V182" i="1"/>
  <c r="W181" i="1"/>
  <c r="X181" i="1" s="1"/>
  <c r="V181" i="1"/>
  <c r="X180" i="1"/>
  <c r="W180" i="1"/>
  <c r="V180" i="1"/>
  <c r="X179" i="1"/>
  <c r="W179" i="1"/>
  <c r="V179" i="1"/>
  <c r="W178" i="1"/>
  <c r="X178" i="1" s="1"/>
  <c r="V178" i="1"/>
  <c r="X177" i="1"/>
  <c r="W177" i="1"/>
  <c r="V177" i="1"/>
  <c r="W176" i="1"/>
  <c r="X176" i="1" s="1"/>
  <c r="V176" i="1"/>
  <c r="X175" i="1"/>
  <c r="W175" i="1"/>
  <c r="V175" i="1"/>
  <c r="W174" i="1"/>
  <c r="X174" i="1" s="1"/>
  <c r="V174" i="1"/>
  <c r="W173" i="1"/>
  <c r="X173" i="1" s="1"/>
  <c r="V173" i="1"/>
  <c r="X172" i="1"/>
  <c r="W172" i="1"/>
  <c r="V172" i="1"/>
  <c r="X171" i="1"/>
  <c r="W171" i="1"/>
  <c r="V171" i="1"/>
  <c r="W170" i="1"/>
  <c r="X170" i="1" s="1"/>
  <c r="V170" i="1"/>
  <c r="W169" i="1"/>
  <c r="X169" i="1" s="1"/>
  <c r="V169" i="1"/>
  <c r="W168" i="1"/>
  <c r="X168" i="1" s="1"/>
  <c r="V168" i="1"/>
  <c r="X167" i="1"/>
  <c r="W167" i="1"/>
  <c r="V167" i="1"/>
  <c r="W166" i="1"/>
  <c r="X166" i="1" s="1"/>
  <c r="V166" i="1"/>
  <c r="W165" i="1"/>
  <c r="X165" i="1" s="1"/>
  <c r="V165" i="1"/>
  <c r="X164" i="1"/>
  <c r="W164" i="1"/>
  <c r="V164" i="1"/>
  <c r="X163" i="1"/>
  <c r="W163" i="1"/>
  <c r="V163" i="1"/>
  <c r="W162" i="1"/>
  <c r="X162" i="1" s="1"/>
  <c r="V162" i="1"/>
  <c r="W161" i="1"/>
  <c r="X161" i="1" s="1"/>
  <c r="V161" i="1"/>
  <c r="W160" i="1"/>
  <c r="X160" i="1" s="1"/>
  <c r="V160" i="1"/>
  <c r="X159" i="1"/>
  <c r="W159" i="1"/>
  <c r="V159" i="1"/>
  <c r="W158" i="1"/>
  <c r="X158" i="1" s="1"/>
  <c r="V158" i="1"/>
  <c r="W157" i="1"/>
  <c r="X157" i="1" s="1"/>
  <c r="V157" i="1"/>
  <c r="X156" i="1"/>
  <c r="W156" i="1"/>
  <c r="V156" i="1"/>
  <c r="X155" i="1"/>
  <c r="W155" i="1"/>
  <c r="V155" i="1"/>
  <c r="W154" i="1"/>
  <c r="X154" i="1" s="1"/>
  <c r="V154" i="1"/>
  <c r="X153" i="1"/>
  <c r="W153" i="1"/>
  <c r="V153" i="1"/>
  <c r="W152" i="1"/>
  <c r="X152" i="1" s="1"/>
  <c r="V152" i="1"/>
  <c r="X151" i="1"/>
  <c r="W151" i="1"/>
  <c r="V151" i="1"/>
  <c r="W150" i="1"/>
  <c r="X150" i="1" s="1"/>
  <c r="V150" i="1"/>
  <c r="W149" i="1"/>
  <c r="X149" i="1" s="1"/>
  <c r="V149" i="1"/>
  <c r="X148" i="1"/>
  <c r="W148" i="1"/>
  <c r="V148" i="1"/>
  <c r="X147" i="1"/>
  <c r="W147" i="1"/>
  <c r="V147" i="1"/>
  <c r="W146" i="1"/>
  <c r="X146" i="1" s="1"/>
  <c r="V146" i="1"/>
  <c r="X145" i="1"/>
  <c r="W145" i="1"/>
  <c r="V145" i="1"/>
  <c r="W144" i="1"/>
  <c r="X144" i="1" s="1"/>
  <c r="V144" i="1"/>
  <c r="X143" i="1"/>
  <c r="W143" i="1"/>
  <c r="V143" i="1"/>
  <c r="W142" i="1"/>
  <c r="X142" i="1" s="1"/>
  <c r="V142" i="1"/>
  <c r="W141" i="1"/>
  <c r="X141" i="1" s="1"/>
  <c r="V141" i="1"/>
  <c r="X140" i="1"/>
  <c r="W140" i="1"/>
  <c r="V140" i="1"/>
  <c r="X139" i="1"/>
  <c r="W139" i="1"/>
  <c r="V139" i="1"/>
  <c r="W138" i="1"/>
  <c r="X138" i="1" s="1"/>
  <c r="V138" i="1"/>
  <c r="X137" i="1"/>
  <c r="W137" i="1"/>
  <c r="V137" i="1"/>
  <c r="W136" i="1"/>
  <c r="X136" i="1" s="1"/>
  <c r="V136" i="1"/>
  <c r="X135" i="1"/>
  <c r="W135" i="1"/>
  <c r="V135" i="1"/>
  <c r="W134" i="1"/>
  <c r="X134" i="1" s="1"/>
  <c r="V134" i="1"/>
  <c r="W133" i="1"/>
  <c r="X133" i="1" s="1"/>
  <c r="V133" i="1"/>
  <c r="X132" i="1"/>
  <c r="W132" i="1"/>
  <c r="V132" i="1"/>
  <c r="X131" i="1"/>
  <c r="W131" i="1"/>
  <c r="V131" i="1"/>
  <c r="W130" i="1"/>
  <c r="X130" i="1" s="1"/>
  <c r="V130" i="1"/>
  <c r="X129" i="1"/>
  <c r="W129" i="1"/>
  <c r="V129" i="1"/>
  <c r="W128" i="1"/>
  <c r="X128" i="1" s="1"/>
  <c r="V128" i="1"/>
  <c r="X127" i="1"/>
  <c r="W127" i="1"/>
  <c r="V127" i="1"/>
  <c r="W126" i="1"/>
  <c r="X126" i="1" s="1"/>
  <c r="V126" i="1"/>
  <c r="W125" i="1"/>
  <c r="X125" i="1" s="1"/>
  <c r="V125" i="1"/>
  <c r="X124" i="1"/>
  <c r="W124" i="1"/>
  <c r="V124" i="1"/>
  <c r="X123" i="1"/>
  <c r="W123" i="1"/>
  <c r="V123" i="1"/>
  <c r="W122" i="1"/>
  <c r="X122" i="1" s="1"/>
  <c r="V122" i="1"/>
  <c r="X121" i="1"/>
  <c r="W121" i="1"/>
  <c r="V121" i="1"/>
  <c r="W120" i="1"/>
  <c r="X120" i="1" s="1"/>
  <c r="V120" i="1"/>
  <c r="X119" i="1"/>
  <c r="W119" i="1"/>
  <c r="V119" i="1"/>
  <c r="W118" i="1"/>
  <c r="X118" i="1" s="1"/>
  <c r="V118" i="1"/>
  <c r="W117" i="1"/>
  <c r="X117" i="1" s="1"/>
  <c r="V117" i="1"/>
  <c r="X116" i="1"/>
  <c r="W116" i="1"/>
  <c r="V116" i="1"/>
  <c r="X115" i="1"/>
  <c r="W115" i="1"/>
  <c r="V115" i="1"/>
  <c r="W114" i="1"/>
  <c r="X114" i="1" s="1"/>
  <c r="V114" i="1"/>
  <c r="X113" i="1"/>
  <c r="W113" i="1"/>
  <c r="V113" i="1"/>
  <c r="W112" i="1"/>
  <c r="X112" i="1" s="1"/>
  <c r="V112" i="1"/>
  <c r="X111" i="1"/>
  <c r="W111" i="1"/>
  <c r="V111" i="1"/>
  <c r="W110" i="1"/>
  <c r="X110" i="1" s="1"/>
  <c r="V110" i="1"/>
  <c r="W109" i="1"/>
  <c r="X109" i="1" s="1"/>
  <c r="V109" i="1"/>
  <c r="X108" i="1"/>
  <c r="W108" i="1"/>
  <c r="V108" i="1"/>
  <c r="X107" i="1"/>
  <c r="W107" i="1"/>
  <c r="V107" i="1"/>
  <c r="W106" i="1"/>
  <c r="X106" i="1" s="1"/>
  <c r="V106" i="1"/>
  <c r="W105" i="1"/>
  <c r="X105" i="1" s="1"/>
  <c r="V105" i="1"/>
  <c r="W104" i="1"/>
  <c r="X104" i="1" s="1"/>
  <c r="V104" i="1"/>
  <c r="X103" i="1"/>
  <c r="W103" i="1"/>
  <c r="V103" i="1"/>
  <c r="W102" i="1"/>
  <c r="X102" i="1" s="1"/>
  <c r="V102" i="1"/>
  <c r="W101" i="1"/>
  <c r="X101" i="1" s="1"/>
  <c r="V101" i="1"/>
  <c r="X100" i="1"/>
  <c r="W100" i="1"/>
  <c r="V100" i="1"/>
  <c r="X99" i="1"/>
  <c r="W99" i="1"/>
  <c r="V99" i="1"/>
  <c r="W98" i="1"/>
  <c r="X98" i="1" s="1"/>
  <c r="V98" i="1"/>
  <c r="W97" i="1"/>
  <c r="X97" i="1" s="1"/>
  <c r="V97" i="1"/>
  <c r="W96" i="1"/>
  <c r="X96" i="1" s="1"/>
  <c r="V96" i="1"/>
  <c r="X95" i="1"/>
  <c r="W95" i="1"/>
  <c r="V95" i="1"/>
  <c r="W94" i="1"/>
  <c r="X94" i="1" s="1"/>
  <c r="V94" i="1"/>
  <c r="W93" i="1"/>
  <c r="X93" i="1" s="1"/>
  <c r="V93" i="1"/>
  <c r="X92" i="1"/>
  <c r="W92" i="1"/>
  <c r="V92" i="1"/>
  <c r="X91" i="1"/>
  <c r="W91" i="1"/>
  <c r="V91" i="1"/>
  <c r="W90" i="1"/>
  <c r="X90" i="1" s="1"/>
  <c r="V90" i="1"/>
  <c r="W89" i="1"/>
  <c r="X89" i="1" s="1"/>
  <c r="V89" i="1"/>
  <c r="W88" i="1"/>
  <c r="X88" i="1" s="1"/>
  <c r="V88" i="1"/>
  <c r="X87" i="1"/>
  <c r="W87" i="1"/>
  <c r="V87" i="1"/>
  <c r="W86" i="1"/>
  <c r="X86" i="1" s="1"/>
  <c r="V86" i="1"/>
  <c r="W85" i="1"/>
  <c r="X85" i="1" s="1"/>
  <c r="V85" i="1"/>
  <c r="X84" i="1"/>
  <c r="W84" i="1"/>
  <c r="V84" i="1"/>
  <c r="X83" i="1"/>
  <c r="W83" i="1"/>
  <c r="V83" i="1"/>
  <c r="W82" i="1"/>
  <c r="X82" i="1" s="1"/>
  <c r="V82" i="1"/>
  <c r="X81" i="1"/>
  <c r="W81" i="1"/>
  <c r="V81" i="1"/>
  <c r="W80" i="1"/>
  <c r="X80" i="1" s="1"/>
  <c r="V80" i="1"/>
  <c r="X79" i="1"/>
  <c r="W79" i="1"/>
  <c r="V79" i="1"/>
  <c r="W78" i="1"/>
  <c r="X78" i="1" s="1"/>
  <c r="V78" i="1"/>
  <c r="W77" i="1"/>
  <c r="X77" i="1" s="1"/>
  <c r="V77" i="1"/>
  <c r="X76" i="1"/>
  <c r="W76" i="1"/>
  <c r="V76" i="1"/>
  <c r="X75" i="1"/>
  <c r="W75" i="1"/>
  <c r="V75" i="1"/>
  <c r="W74" i="1"/>
  <c r="X74" i="1" s="1"/>
  <c r="V74" i="1"/>
  <c r="X73" i="1"/>
  <c r="W73" i="1"/>
  <c r="V73" i="1"/>
  <c r="W72" i="1"/>
  <c r="X72" i="1" s="1"/>
  <c r="V72" i="1"/>
  <c r="X71" i="1"/>
  <c r="W71" i="1"/>
  <c r="V71" i="1"/>
  <c r="W70" i="1"/>
  <c r="X70" i="1" s="1"/>
  <c r="V70" i="1"/>
  <c r="W69" i="1"/>
  <c r="X69" i="1" s="1"/>
  <c r="V69" i="1"/>
  <c r="X68" i="1"/>
  <c r="W68" i="1"/>
  <c r="V68" i="1"/>
  <c r="X67" i="1"/>
  <c r="W67" i="1"/>
  <c r="V67" i="1"/>
  <c r="W66" i="1"/>
  <c r="X66" i="1" s="1"/>
  <c r="V66" i="1"/>
  <c r="X65" i="1"/>
  <c r="W65" i="1"/>
  <c r="V65" i="1"/>
  <c r="W64" i="1"/>
  <c r="X64" i="1" s="1"/>
  <c r="V64" i="1"/>
  <c r="X63" i="1"/>
  <c r="W63" i="1"/>
  <c r="V63" i="1"/>
  <c r="W62" i="1"/>
  <c r="X62" i="1" s="1"/>
  <c r="V62" i="1"/>
  <c r="W61" i="1"/>
  <c r="X61" i="1" s="1"/>
  <c r="V61" i="1"/>
  <c r="X60" i="1"/>
  <c r="W60" i="1"/>
  <c r="V60" i="1"/>
  <c r="X59" i="1"/>
  <c r="W59" i="1"/>
  <c r="V59" i="1"/>
  <c r="W58" i="1"/>
  <c r="X58" i="1" s="1"/>
  <c r="V58" i="1"/>
  <c r="X57" i="1"/>
  <c r="W57" i="1"/>
  <c r="V57" i="1"/>
  <c r="W56" i="1"/>
  <c r="X56" i="1" s="1"/>
  <c r="V56" i="1"/>
  <c r="X55" i="1"/>
  <c r="W55" i="1"/>
  <c r="V55" i="1"/>
  <c r="W54" i="1"/>
  <c r="X54" i="1" s="1"/>
  <c r="V54" i="1"/>
  <c r="W53" i="1"/>
  <c r="X53" i="1" s="1"/>
  <c r="V53" i="1"/>
  <c r="X52" i="1"/>
  <c r="W52" i="1"/>
  <c r="V52" i="1"/>
  <c r="X51" i="1"/>
  <c r="W51" i="1"/>
  <c r="V51" i="1"/>
  <c r="W50" i="1"/>
  <c r="X50" i="1" s="1"/>
  <c r="V50" i="1"/>
  <c r="X49" i="1"/>
  <c r="W49" i="1"/>
  <c r="V49" i="1"/>
  <c r="W48" i="1"/>
  <c r="X48" i="1" s="1"/>
  <c r="V48" i="1"/>
  <c r="X47" i="1"/>
  <c r="W47" i="1"/>
  <c r="V47" i="1"/>
  <c r="W46" i="1"/>
  <c r="X46" i="1" s="1"/>
  <c r="V46" i="1"/>
  <c r="W45" i="1"/>
  <c r="X45" i="1" s="1"/>
  <c r="V45" i="1"/>
  <c r="X44" i="1"/>
  <c r="W44" i="1"/>
  <c r="V44" i="1"/>
  <c r="X43" i="1"/>
  <c r="W43" i="1"/>
  <c r="V43" i="1"/>
  <c r="W42" i="1"/>
  <c r="X42" i="1" s="1"/>
  <c r="V42" i="1"/>
  <c r="X41" i="1"/>
  <c r="W41" i="1"/>
  <c r="V41" i="1"/>
  <c r="W40" i="1"/>
  <c r="X40" i="1" s="1"/>
  <c r="V40" i="1"/>
  <c r="X39" i="1"/>
  <c r="W39" i="1"/>
  <c r="V39" i="1"/>
  <c r="W38" i="1"/>
  <c r="X38" i="1" s="1"/>
  <c r="V38" i="1"/>
  <c r="X37" i="1"/>
  <c r="W37" i="1"/>
  <c r="V37" i="1"/>
  <c r="X36" i="1"/>
  <c r="W36" i="1"/>
  <c r="V36" i="1"/>
  <c r="X35" i="1"/>
  <c r="W35" i="1"/>
  <c r="V35" i="1"/>
  <c r="W34" i="1"/>
  <c r="X34" i="1" s="1"/>
  <c r="V34" i="1"/>
  <c r="W33" i="1"/>
  <c r="X33" i="1" s="1"/>
  <c r="V33" i="1"/>
  <c r="W32" i="1"/>
  <c r="X32" i="1" s="1"/>
  <c r="V32" i="1"/>
  <c r="X31" i="1"/>
  <c r="W31" i="1"/>
  <c r="V31" i="1"/>
  <c r="W30" i="1"/>
  <c r="X30" i="1" s="1"/>
  <c r="V30" i="1"/>
  <c r="X29" i="1"/>
  <c r="W29" i="1"/>
  <c r="V29" i="1"/>
  <c r="X28" i="1"/>
  <c r="W28" i="1"/>
  <c r="V28" i="1"/>
  <c r="X27" i="1"/>
  <c r="W27" i="1"/>
  <c r="V27" i="1"/>
  <c r="W26" i="1"/>
  <c r="X26" i="1" s="1"/>
  <c r="V26" i="1"/>
  <c r="X25" i="1"/>
  <c r="W25" i="1"/>
  <c r="V25" i="1"/>
  <c r="W24" i="1"/>
  <c r="X24" i="1" s="1"/>
  <c r="V24" i="1"/>
  <c r="W23" i="1"/>
  <c r="X23" i="1" s="1"/>
  <c r="V23" i="1"/>
  <c r="W22" i="1"/>
  <c r="X22" i="1" s="1"/>
  <c r="V22" i="1"/>
  <c r="W21" i="1"/>
  <c r="X21" i="1" s="1"/>
  <c r="V21" i="1"/>
  <c r="X20" i="1"/>
  <c r="W20" i="1"/>
  <c r="V20" i="1"/>
  <c r="X19" i="1"/>
  <c r="W19" i="1"/>
  <c r="V19" i="1"/>
  <c r="W18" i="1"/>
  <c r="X18" i="1" s="1"/>
  <c r="V18" i="1"/>
  <c r="X17" i="1"/>
  <c r="W17" i="1"/>
  <c r="V17" i="1"/>
  <c r="W16" i="1"/>
  <c r="X16" i="1" s="1"/>
  <c r="V16" i="1"/>
  <c r="W15" i="1"/>
  <c r="X15" i="1" s="1"/>
  <c r="V15" i="1"/>
  <c r="X14" i="1"/>
  <c r="W14" i="1"/>
  <c r="V14" i="1"/>
  <c r="W13" i="1"/>
  <c r="X13" i="1" s="1"/>
  <c r="V13" i="1"/>
  <c r="X12" i="1"/>
  <c r="W12" i="1"/>
  <c r="V12" i="1"/>
  <c r="W11" i="1"/>
  <c r="X11" i="1" s="1"/>
  <c r="V11" i="1"/>
  <c r="X10" i="1"/>
  <c r="W10" i="1"/>
  <c r="V10" i="1"/>
  <c r="W9" i="1"/>
  <c r="X9" i="1" s="1"/>
  <c r="V9" i="1"/>
  <c r="W8" i="1"/>
  <c r="X8" i="1" s="1"/>
  <c r="V8" i="1"/>
  <c r="W7" i="1"/>
  <c r="X7" i="1" s="1"/>
  <c r="V7" i="1"/>
  <c r="W6" i="1"/>
  <c r="X6" i="1" s="1"/>
  <c r="V6" i="1"/>
  <c r="W5" i="1"/>
  <c r="X5" i="1" s="1"/>
  <c r="V5" i="1"/>
  <c r="W4" i="1"/>
  <c r="X4" i="1" s="1"/>
  <c r="V4" i="1"/>
  <c r="Z3" i="1"/>
  <c r="AA3" i="1" s="1"/>
  <c r="W3" i="1"/>
  <c r="X3" i="1" s="1"/>
  <c r="V3" i="1"/>
  <c r="W2" i="1"/>
  <c r="X2" i="1" s="1"/>
  <c r="V2" i="1"/>
  <c r="AA11" i="1" s="1"/>
  <c r="AA12" i="1" l="1"/>
  <c r="AA9" i="1" s="1"/>
  <c r="AA14" i="1"/>
  <c r="AB12" i="1"/>
  <c r="AB11" i="1"/>
  <c r="AB9" i="1" s="1"/>
  <c r="Z4" i="1" l="1"/>
  <c r="AA8" i="1"/>
</calcChain>
</file>

<file path=xl/comments1.xml><?xml version="1.0" encoding="utf-8"?>
<comments xmlns="http://schemas.openxmlformats.org/spreadsheetml/2006/main">
  <authors>
    <author>User</author>
  </authors>
  <commentList>
    <comment ref="Z2" authorId="0" shapeId="0">
      <text>
        <r>
          <rPr>
            <sz val="9"/>
            <color indexed="81"/>
            <rFont val="돋움"/>
            <family val="3"/>
            <charset val="129"/>
          </rPr>
          <t>미국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원천징수세</t>
        </r>
        <r>
          <rPr>
            <sz val="9"/>
            <color indexed="81"/>
            <rFont val="Tahoma"/>
            <family val="2"/>
          </rPr>
          <t xml:space="preserve"> 30%</t>
        </r>
      </text>
    </comment>
  </commentList>
</comments>
</file>

<file path=xl/sharedStrings.xml><?xml version="1.0" encoding="utf-8"?>
<sst xmlns="http://schemas.openxmlformats.org/spreadsheetml/2006/main" count="48448" uniqueCount="5912">
  <si>
    <t>Transaction Date</t>
  </si>
  <si>
    <t>Id</t>
  </si>
  <si>
    <t>Product</t>
  </si>
  <si>
    <t>Type</t>
  </si>
  <si>
    <t>Preorder</t>
  </si>
  <si>
    <t>Qty</t>
  </si>
  <si>
    <t>Primary ISBN</t>
  </si>
  <si>
    <t>Imprint Name</t>
  </si>
  <si>
    <t>Title</t>
  </si>
  <si>
    <t>Author</t>
  </si>
  <si>
    <t>Original List Price Currency</t>
  </si>
  <si>
    <t>Original List Price</t>
  </si>
  <si>
    <t>List Price Currency</t>
  </si>
  <si>
    <t>List Price [tax inclusive]</t>
  </si>
  <si>
    <t>List Price [tax exclusive]</t>
  </si>
  <si>
    <t>Country of Sale</t>
  </si>
  <si>
    <t>Publisher Revenue %</t>
  </si>
  <si>
    <t>Publisher Revenue</t>
  </si>
  <si>
    <t>Payment Currency</t>
  </si>
  <si>
    <t>Payment Amount</t>
  </si>
  <si>
    <t>Currency Conversion Rate</t>
  </si>
  <si>
    <t>26. 2. 1.</t>
  </si>
  <si>
    <t>ID:3181-8122-7490-59434</t>
  </si>
  <si>
    <t>Single Purchase</t>
  </si>
  <si>
    <t>Sale</t>
  </si>
  <si>
    <t>None</t>
  </si>
  <si>
    <t>포텐</t>
  </si>
  <si>
    <t>[10%할인] 코드네임 사신 10권</t>
  </si>
  <si>
    <t>준강</t>
  </si>
  <si>
    <t>KRW</t>
  </si>
  <si>
    <t>KR</t>
  </si>
  <si>
    <t>ID:1195434120100705</t>
  </si>
  <si>
    <t>프로무림</t>
  </si>
  <si>
    <t>야설로 보는 그리스 로마 신화 1권</t>
  </si>
  <si>
    <t>외도정사</t>
  </si>
  <si>
    <t>ID:3148-1026-9590-76319</t>
  </si>
  <si>
    <t>블루브</t>
  </si>
  <si>
    <t>[10%할인] 엑시덴탈 베이비(Accidental baby) 1권</t>
  </si>
  <si>
    <t>루하랑</t>
  </si>
  <si>
    <t>EUR</t>
  </si>
  <si>
    <t>DE</t>
  </si>
  <si>
    <t>ID:1150570969132983</t>
  </si>
  <si>
    <t>슬레이어 1권</t>
  </si>
  <si>
    <t>정우식</t>
  </si>
  <si>
    <t>ID:1121132206256343</t>
  </si>
  <si>
    <t>타락의 검은실 2부 1권</t>
  </si>
  <si>
    <t>용병애쉬</t>
  </si>
  <si>
    <t>RUB</t>
  </si>
  <si>
    <t>RU</t>
  </si>
  <si>
    <t>ID:1172998896826046</t>
  </si>
  <si>
    <t>야망시대(무삭제판) 1권</t>
  </si>
  <si>
    <t>강태산</t>
  </si>
  <si>
    <t>ID:1187183160136010</t>
  </si>
  <si>
    <t>PKEY:94220</t>
  </si>
  <si>
    <t>광속의 마도사 1권</t>
  </si>
  <si>
    <t>김영목</t>
  </si>
  <si>
    <t>ID:1192225464858953</t>
  </si>
  <si>
    <t>무능 귀족 여체 하렘 1권</t>
  </si>
  <si>
    <t>ID:1150268267756146</t>
  </si>
  <si>
    <t>TS 에로 게임 탈출기 1권</t>
  </si>
  <si>
    <t>ID:1153176272213644</t>
  </si>
  <si>
    <t>검은 머리 미국 대재벌! 1권</t>
  </si>
  <si>
    <t>흑곰작가</t>
  </si>
  <si>
    <t>ID:1197871444094935</t>
  </si>
  <si>
    <t>도망가용 1권</t>
  </si>
  <si>
    <t>캔따개</t>
  </si>
  <si>
    <t>ID:1193199970325179</t>
  </si>
  <si>
    <t>현나라</t>
  </si>
  <si>
    <t>[BL] 커피를 부르는 노래 1권</t>
  </si>
  <si>
    <t>송캐</t>
  </si>
  <si>
    <t>USD</t>
  </si>
  <si>
    <t>US</t>
  </si>
  <si>
    <t>ID:3194-6508-4446-54132</t>
  </si>
  <si>
    <t>[10%할인] 프로젝트 고구려 1권</t>
  </si>
  <si>
    <t>[10%할인] 프로젝트 고구려 2권</t>
  </si>
  <si>
    <t>[10%할인] 프로젝트 고구려 3권 완결</t>
  </si>
  <si>
    <t>ID:3164-0868-5501-81535</t>
  </si>
  <si>
    <t>[10%할인] 만렙요원 : 재벌이 되다 4권</t>
  </si>
  <si>
    <t>ID:1125773386895421</t>
  </si>
  <si>
    <t>올나이트노벨</t>
  </si>
  <si>
    <t>아이돌 매니저가 변태 사진사임 1권</t>
  </si>
  <si>
    <t>탄마</t>
  </si>
  <si>
    <t>ID:3128-1820-2024-69355</t>
  </si>
  <si>
    <t>UAH</t>
  </si>
  <si>
    <t>UA</t>
  </si>
  <si>
    <t>ID:3115-3672-5435-13939</t>
  </si>
  <si>
    <t>PKEY:147392</t>
  </si>
  <si>
    <t>[10%할인] 천선문(千善門) 4권</t>
  </si>
  <si>
    <t>형상준</t>
  </si>
  <si>
    <t>ID:3140-7446-2850-26796</t>
  </si>
  <si>
    <t>엑시덴탈 베이비(Accidental baby) 2권</t>
  </si>
  <si>
    <t>[10%할인] 엑시덴탈 베이비(Accidental baby) 3권</t>
  </si>
  <si>
    <t>[10%할인] 엑시덴탈 베이비(Accidental baby) 4권</t>
  </si>
  <si>
    <t>[10%할인] 엑시덴탈 베이비(Accidental baby) 5권</t>
  </si>
  <si>
    <t>[10%할인] 엑시덴탈 베이비(Accidental baby) 외전</t>
  </si>
  <si>
    <t>ID:1150714499011889</t>
  </si>
  <si>
    <t>S2급 결혼 헌터 1권</t>
  </si>
  <si>
    <t>백견(百見)</t>
  </si>
  <si>
    <t>ID:3110-4398-3316-66740</t>
  </si>
  <si>
    <t>[10%할인] 노룡탄(무삭제판) 3권 완결</t>
  </si>
  <si>
    <t>ID:1196677384229518</t>
  </si>
  <si>
    <t>9서클 소드마스터 1권</t>
  </si>
  <si>
    <t>강철민</t>
  </si>
  <si>
    <t>ID:3184-1517-7659-58955</t>
  </si>
  <si>
    <t>[10%할인] 복마지존(무삭제판) 2권</t>
  </si>
  <si>
    <t>ID:1111630755477092</t>
  </si>
  <si>
    <t>[19금] 가족의 사생활 1권</t>
  </si>
  <si>
    <t>이원</t>
  </si>
  <si>
    <t>ID:3173-2004-1999-46172</t>
  </si>
  <si>
    <t>[10%할인] 낙방학사 10권 완결</t>
  </si>
  <si>
    <t>ID:3141-1588-6231-60812</t>
  </si>
  <si>
    <t>[10%할인] 전능의 팔찌 7권</t>
  </si>
  <si>
    <t>김현석</t>
  </si>
  <si>
    <t>ID:3157-3989-4080-79327</t>
  </si>
  <si>
    <t>[10%할인] 검은 머리 미국 대재벌! 4권</t>
  </si>
  <si>
    <t>ID:1155069761906251</t>
  </si>
  <si>
    <t>낙방학사 1권</t>
  </si>
  <si>
    <t>ID:3152-7761-3098-50684</t>
  </si>
  <si>
    <t>[10%할인] 아기 삵을 낳아줘, 나 미치는 꼴 보기 싫으면! 2권</t>
  </si>
  <si>
    <t>간장팩토리</t>
  </si>
  <si>
    <t>GBP</t>
  </si>
  <si>
    <t>GB</t>
  </si>
  <si>
    <t>ID:3120-9402-4271-89947</t>
  </si>
  <si>
    <t>[10%할인] 초능력활용법 1권</t>
  </si>
  <si>
    <t>ID:1156874558403594</t>
  </si>
  <si>
    <t>모성+애 용사 1권</t>
  </si>
  <si>
    <t>키제이</t>
  </si>
  <si>
    <t>SAR</t>
  </si>
  <si>
    <t>SA</t>
  </si>
  <si>
    <t>ID:1185391815233671</t>
  </si>
  <si>
    <t>소뢰아 1권</t>
  </si>
  <si>
    <t>ID:1199535469691487</t>
  </si>
  <si>
    <t>비정혈(무삭제판) 1권</t>
  </si>
  <si>
    <t>ID:3100-9298-4070-89363</t>
  </si>
  <si>
    <t>[10%할인] 슈가 트랩 1권</t>
  </si>
  <si>
    <t>현지하</t>
  </si>
  <si>
    <t>JPY</t>
  </si>
  <si>
    <t>JP</t>
  </si>
  <si>
    <t>[10%할인] 슈가 트랩 2권</t>
  </si>
  <si>
    <t>[10%할인] 슈가 트랩 3권</t>
  </si>
  <si>
    <t>[10%할인] 슈가 트랩 4권</t>
  </si>
  <si>
    <t>[10%할인] 슈가 트랩 외전</t>
  </si>
  <si>
    <t>ID:1111064529347309</t>
  </si>
  <si>
    <t>별들의 전쟁 1권</t>
  </si>
  <si>
    <t>비류수</t>
  </si>
  <si>
    <t>ID:3194-6381-0424-39483</t>
  </si>
  <si>
    <t>[10%할인] 독식하는 재벌 3세 2권</t>
  </si>
  <si>
    <t>서오</t>
  </si>
  <si>
    <t>NOK</t>
  </si>
  <si>
    <t>NO</t>
  </si>
  <si>
    <t>ID:1188400303957579</t>
  </si>
  <si>
    <t>타락의 검은실 1부 1권</t>
  </si>
  <si>
    <t>EGP</t>
  </si>
  <si>
    <t>EG</t>
  </si>
  <si>
    <t>ID:1166592532800515</t>
  </si>
  <si>
    <t>ID:1120895939700675</t>
  </si>
  <si>
    <t>회사에서 자위하면 생기는 일 1권</t>
  </si>
  <si>
    <t>미도파</t>
  </si>
  <si>
    <t>ID:1160851709432020</t>
  </si>
  <si>
    <t>천룡파황보 1권</t>
  </si>
  <si>
    <t>와룡강</t>
  </si>
  <si>
    <t>ID:3139-3712-7513-04950</t>
  </si>
  <si>
    <t>[10%할인] 신체가 강화됨 1권</t>
  </si>
  <si>
    <t>ID:1105694697051377</t>
  </si>
  <si>
    <t>PKEY:130395</t>
  </si>
  <si>
    <t>공공도수 1권</t>
  </si>
  <si>
    <t>청산</t>
  </si>
  <si>
    <t>ID:3154-3369-7632-58933</t>
  </si>
  <si>
    <t>[10%할인] 전능의 팔찌 8권</t>
  </si>
  <si>
    <t>ID:3139-4840-8900-85931</t>
  </si>
  <si>
    <t>[10%할인] 검은 머리 미국 대재벌! 5권</t>
  </si>
  <si>
    <t>ID:1143810266998195</t>
  </si>
  <si>
    <t>여사친의 스마트폰 1권</t>
  </si>
  <si>
    <t>ID:1170857476616605</t>
  </si>
  <si>
    <t>[BL] 회고 1권</t>
  </si>
  <si>
    <t>델베흐</t>
  </si>
  <si>
    <t>ID:1136169799209433</t>
  </si>
  <si>
    <t>창업의 신 1권</t>
  </si>
  <si>
    <t>정현우</t>
  </si>
  <si>
    <t>ID:1150243798693514</t>
  </si>
  <si>
    <t>코인 무한 능력으로 BJ 따먹기 1권</t>
  </si>
  <si>
    <t>ID:1135609084092639</t>
  </si>
  <si>
    <t>성기가 발기되어 천하통일 1권</t>
  </si>
  <si>
    <t>테서스</t>
  </si>
  <si>
    <t>ID:1130340694431152</t>
  </si>
  <si>
    <t>ID:3116-1698-1371-77019</t>
  </si>
  <si>
    <t>[10%할인] 황금백수 3권</t>
  </si>
  <si>
    <t>나한</t>
  </si>
  <si>
    <t>ID:1190940706225588</t>
  </si>
  <si>
    <t>쾌락노예 1권</t>
  </si>
  <si>
    <t>ID:3188-7294-9405-72239</t>
  </si>
  <si>
    <t>[10%할인] 아기 삵을 낳아줘, 나 미치는 꼴 보기 싫으면! 3권</t>
  </si>
  <si>
    <t>ID:1124239826372154</t>
  </si>
  <si>
    <t>BRL</t>
  </si>
  <si>
    <t>BR</t>
  </si>
  <si>
    <t>ID:3146-4709-4475-52319</t>
  </si>
  <si>
    <t>[10%할인] 검은 머리 미국 대재벌! 6권</t>
  </si>
  <si>
    <t>ID:3191-9520-1095-71510</t>
  </si>
  <si>
    <t>[10%할인] 코드네임 사신 11권</t>
  </si>
  <si>
    <t>ID:3108-8723-2239-98793</t>
  </si>
  <si>
    <t>PKEY:96678</t>
  </si>
  <si>
    <t>[10%할인] 패군 13권</t>
  </si>
  <si>
    <t>설봉</t>
  </si>
  <si>
    <t>ID:3180-5838-2913-05186</t>
  </si>
  <si>
    <t>PKEY:96679</t>
  </si>
  <si>
    <t>[10%할인] 패군 14권</t>
  </si>
  <si>
    <t>ID:3185-6420-3547-08151</t>
  </si>
  <si>
    <t>PKEY:31350</t>
  </si>
  <si>
    <t>바로북</t>
  </si>
  <si>
    <t>[10%할인] 무혈 제1권</t>
  </si>
  <si>
    <t>홍파</t>
  </si>
  <si>
    <t>ID:1194032040923273</t>
  </si>
  <si>
    <t>ID:1137903587106449</t>
  </si>
  <si>
    <t>ID:1158095159345772</t>
  </si>
  <si>
    <t>ID:1138464069434881</t>
  </si>
  <si>
    <t>ID:1103686951020210</t>
  </si>
  <si>
    <t>ID:1155342988178510</t>
  </si>
  <si>
    <t>ID:1150351834476906</t>
  </si>
  <si>
    <t>PKEY:139507</t>
  </si>
  <si>
    <t>더 티처(THE TEACHER) 1권</t>
  </si>
  <si>
    <t>가람검</t>
  </si>
  <si>
    <t>ID:1196435362901276</t>
  </si>
  <si>
    <t>ID:1142906127644560</t>
  </si>
  <si>
    <t>무당제자 1권</t>
  </si>
  <si>
    <t>ID:3119-7622-5885-02515</t>
  </si>
  <si>
    <t>[10%할인] 천룡파황보 2권</t>
  </si>
  <si>
    <t>ID:3104-5679-7996-36538</t>
  </si>
  <si>
    <t>PKEY:92223</t>
  </si>
  <si>
    <t>[10%할인] 지옥파천황 6 완결</t>
  </si>
  <si>
    <t>ID:1133940350099143</t>
  </si>
  <si>
    <t>ID:3171-4011-3395-75782</t>
  </si>
  <si>
    <t>[10%할인] 전설신검 5권</t>
  </si>
  <si>
    <t>ID:3199-7612-4761-65638</t>
  </si>
  <si>
    <t>[10%할인] 신체가 강화됨 2권</t>
  </si>
  <si>
    <t>[10%할인] 신체가 강화됨 3권</t>
  </si>
  <si>
    <t>ID:3113-3147-3058-50301</t>
  </si>
  <si>
    <t>[10%할인] 전능의 팔찌 2권</t>
  </si>
  <si>
    <t>ID:1132956596627432</t>
  </si>
  <si>
    <t>코드네임 사신 1권</t>
  </si>
  <si>
    <t>ID:3190-5299-8896-68816</t>
  </si>
  <si>
    <t>[10%할인] [19금] 이계치우 2권</t>
  </si>
  <si>
    <t>엘가브</t>
  </si>
  <si>
    <t>[10%할인] [19금] 이계치우 3권</t>
  </si>
  <si>
    <t>ID:1152557568836810</t>
  </si>
  <si>
    <t>ID:1194151017152046</t>
  </si>
  <si>
    <t>PKEY:76231</t>
  </si>
  <si>
    <t>중원정벌 1</t>
  </si>
  <si>
    <t>ID:3120-5804-4645-33921</t>
  </si>
  <si>
    <t>[10%할인] 복마지존(무삭제판) 3권</t>
  </si>
  <si>
    <t>ID:3184-8163-6069-82139</t>
  </si>
  <si>
    <t>[10%할인] 패왕독보(覇王獨步) 1</t>
  </si>
  <si>
    <t>ID:1115370853899589</t>
  </si>
  <si>
    <t>TWD</t>
  </si>
  <si>
    <t>TW</t>
  </si>
  <si>
    <t>ID:1194040519471819</t>
  </si>
  <si>
    <t>환생했더니 정령군주 1권</t>
  </si>
  <si>
    <t>윤신현</t>
  </si>
  <si>
    <t>ID:3139-4787-9322-06221</t>
  </si>
  <si>
    <t>[10%할인] 패왕독보(覇王獨步) 2</t>
  </si>
  <si>
    <t>ID:3123-7808-5453-24258</t>
  </si>
  <si>
    <t>[10%할인] 패왕독보(覇王獨步) 3</t>
  </si>
  <si>
    <t>ID:1175256892975892</t>
  </si>
  <si>
    <t>ID:3188-1548-2568-74497</t>
  </si>
  <si>
    <t>플랫뷰</t>
  </si>
  <si>
    <t>[10%할인] 황궁의 정원에는 개가 산다 1권</t>
  </si>
  <si>
    <t>핑캐</t>
  </si>
  <si>
    <t>ID:1193984404564313</t>
  </si>
  <si>
    <t>ID:1113488540173676</t>
  </si>
  <si>
    <t>여자들의 장난감 1권</t>
  </si>
  <si>
    <t>하얀것</t>
  </si>
  <si>
    <t>ID:3132-1286-9846-55868</t>
  </si>
  <si>
    <t>[10%할인] 황금백수 4권</t>
  </si>
  <si>
    <t>ID:3162-9675-3286-10174</t>
  </si>
  <si>
    <t>[10%할인] 코드네임 사신 12권</t>
  </si>
  <si>
    <t>ID:1105236009516618</t>
  </si>
  <si>
    <t>고인물, 무림에 가다 1권</t>
  </si>
  <si>
    <t>갈드</t>
  </si>
  <si>
    <t>ID:1178534432763061</t>
  </si>
  <si>
    <t>전직 랭커는 템빨로 레벨 업! 1권</t>
  </si>
  <si>
    <t>ID:1170088141039205</t>
  </si>
  <si>
    <t>ID:1173311493188153</t>
  </si>
  <si>
    <t>ID:1171609689422529</t>
  </si>
  <si>
    <t>ID:1120203439347617</t>
  </si>
  <si>
    <t>리리아 1권</t>
  </si>
  <si>
    <t>인기영</t>
  </si>
  <si>
    <t>ID:1161903913194093</t>
  </si>
  <si>
    <t>라마대제 1권</t>
  </si>
  <si>
    <t>박시원</t>
  </si>
  <si>
    <t>ID:3137-6357-2979-03614</t>
  </si>
  <si>
    <t>[10%할인] 검은 머리 미국 대재벌! 7권</t>
  </si>
  <si>
    <t>ID:1134474940477903</t>
  </si>
  <si>
    <t>코드네임 사신 2권</t>
  </si>
  <si>
    <t>ID:3100-0941-3806-95549</t>
  </si>
  <si>
    <t>[10%할인] 전능의 팔찌 3권</t>
  </si>
  <si>
    <t>ID:3127-1950-8152-72100</t>
  </si>
  <si>
    <t>[10%할인] 혈무연 1</t>
  </si>
  <si>
    <t>ID:3160-0860-9534-34038</t>
  </si>
  <si>
    <t>[10%할인] 신체가 강화됨 4권</t>
  </si>
  <si>
    <t>ID:1199637007443484</t>
  </si>
  <si>
    <t>지상 최고의 축구(Britain Hope) 1권</t>
  </si>
  <si>
    <t>김군0619</t>
  </si>
  <si>
    <t>ID:1175611181923796</t>
  </si>
  <si>
    <t>안하무인 1권</t>
  </si>
  <si>
    <t>ID:1123388433247216</t>
  </si>
  <si>
    <t>ID:1187897185758394</t>
  </si>
  <si>
    <t>대한민국 절대 재벌 1권</t>
  </si>
  <si>
    <t>ID:1165396434615768</t>
  </si>
  <si>
    <t>[19금] 그녀는 나를 괴롭히는데 재미가 붙은 것 같습니다만 1권</t>
  </si>
  <si>
    <t>추워용</t>
  </si>
  <si>
    <t>ID:1117411951148445</t>
  </si>
  <si>
    <t>기적의 사나이 1권</t>
  </si>
  <si>
    <t>박재학</t>
  </si>
  <si>
    <t>ID:1183326292602339</t>
  </si>
  <si>
    <t>고독천년 무삭제본 1권</t>
  </si>
  <si>
    <t>ID:3104-6078-0454-88981</t>
  </si>
  <si>
    <t>[10%할인] 전능의 팔찌 4권</t>
  </si>
  <si>
    <t>ID:1191511091966307</t>
  </si>
  <si>
    <t>던전에서 성자性者가 하는 일 1권</t>
  </si>
  <si>
    <t>CurtainCall</t>
  </si>
  <si>
    <t>ID:1175139443268745</t>
  </si>
  <si>
    <t>동백유엽검 1권</t>
  </si>
  <si>
    <t>미송검</t>
  </si>
  <si>
    <t>ID:3118-5183-5409-99258</t>
  </si>
  <si>
    <t>[10%할인] 만렙요원 : 재벌이 되다 5권</t>
  </si>
  <si>
    <t>ID:3154-9509-3345-60363</t>
  </si>
  <si>
    <t>[10%할인] 천마강림 2권</t>
  </si>
  <si>
    <t>ID:1160265126274736</t>
  </si>
  <si>
    <t>재벌집 막내 도련님은 악당입니다! 1권</t>
  </si>
  <si>
    <t>ID:1107864712669122</t>
  </si>
  <si>
    <t>ID:1138146019453174</t>
  </si>
  <si>
    <t>수를 읽는 남자, 세상을 바꾸는 컨설턴트 1권</t>
  </si>
  <si>
    <t>ID:1143534094930688</t>
  </si>
  <si>
    <t>ID:1183339349962463</t>
  </si>
  <si>
    <t>ID:3146-6165-8453-36744</t>
  </si>
  <si>
    <t>PKEY:31175</t>
  </si>
  <si>
    <t>[10%할인] 백야 제1권</t>
  </si>
  <si>
    <t>PKEY:31176</t>
  </si>
  <si>
    <t>[10%할인] 백야 제2권</t>
  </si>
  <si>
    <t>PKEY:31177</t>
  </si>
  <si>
    <t>[10%할인] 백야 제3권</t>
  </si>
  <si>
    <t>ID:1172687996457638</t>
  </si>
  <si>
    <t>ID:3145-8977-9548-18261</t>
  </si>
  <si>
    <t>PKEY:147393</t>
  </si>
  <si>
    <t>[10%할인] 천선문(千善門) 5권</t>
  </si>
  <si>
    <t>ID:1165045275122402</t>
  </si>
  <si>
    <t>ID:1100948913808430</t>
  </si>
  <si>
    <t>[19금] 정액제 비밀 음란 카페 1권</t>
  </si>
  <si>
    <t>위시레인</t>
  </si>
  <si>
    <t>26. 2. 2.</t>
  </si>
  <si>
    <t>ID:3160-9011-1942-06032</t>
  </si>
  <si>
    <t>PKEY:31351</t>
  </si>
  <si>
    <t>[10%할인] 무혈 제2권</t>
  </si>
  <si>
    <t>ID:1189442536856659</t>
  </si>
  <si>
    <t>ID:1136718513302405</t>
  </si>
  <si>
    <t>재벌가 차남은 먼치킨 1권</t>
  </si>
  <si>
    <t>말리브해적</t>
  </si>
  <si>
    <t>ID:1130995868730041</t>
  </si>
  <si>
    <t>ID:1113363079103754</t>
  </si>
  <si>
    <t>용왕의 아들이 되었다 1권</t>
  </si>
  <si>
    <t>비비다</t>
  </si>
  <si>
    <t>ID:1135996215732277</t>
  </si>
  <si>
    <t>구천마신 1권</t>
  </si>
  <si>
    <t>PHP</t>
  </si>
  <si>
    <t>PH</t>
  </si>
  <si>
    <t>ID:1116482488367849</t>
  </si>
  <si>
    <t>ID:1145744636062527</t>
  </si>
  <si>
    <t>천년만에 귀환한 대마검사 1권</t>
  </si>
  <si>
    <t>자리</t>
  </si>
  <si>
    <t>ID:1188761921462997</t>
  </si>
  <si>
    <t>마왕이 나노머신을 숨김 1권</t>
  </si>
  <si>
    <t>ID:1113207169399325</t>
  </si>
  <si>
    <t>ID:3173-4882-3219-82666</t>
  </si>
  <si>
    <t>[10%할인] 만렙요원 : 재벌이 되다 6권</t>
  </si>
  <si>
    <t>ID:1123100161695627</t>
  </si>
  <si>
    <t>나는 재벌이다 1권</t>
  </si>
  <si>
    <t>ID:3196-4878-8574-72780</t>
  </si>
  <si>
    <t>[10%할인] 전능의 팔찌 5권</t>
  </si>
  <si>
    <t>ID:1142939611711762</t>
  </si>
  <si>
    <t>깡촌 마을 키워서 힐링한다 1권</t>
  </si>
  <si>
    <t>ID:1125876723255943</t>
  </si>
  <si>
    <t>ID:3142-0687-4493-05831</t>
  </si>
  <si>
    <t>[10%할인] 전능의 팔찌 9권</t>
  </si>
  <si>
    <t>ID:1128822485609737</t>
  </si>
  <si>
    <t>황금백수 1권</t>
  </si>
  <si>
    <t>ID:1146637209408607</t>
  </si>
  <si>
    <t>M녀 조교 1권</t>
  </si>
  <si>
    <t>ID:1164781982428351</t>
  </si>
  <si>
    <t>ID:3169-9912-6402-22076</t>
  </si>
  <si>
    <t>[10%할인] 천룡파황보 합본 (전5권 완결)</t>
  </si>
  <si>
    <t>ID:1179370091960024</t>
  </si>
  <si>
    <t>ID:1191079469763928</t>
  </si>
  <si>
    <t>월드 게이머 1권</t>
  </si>
  <si>
    <t>Primus</t>
  </si>
  <si>
    <t>ID:3120-2037-2822-84504</t>
  </si>
  <si>
    <t>[10%할인] 묵룡혈마(무삭제판) 1권</t>
  </si>
  <si>
    <t>ID:1113988849748924</t>
  </si>
  <si>
    <t>신체가 강화됨 1권</t>
  </si>
  <si>
    <t>ID:1141411206755082</t>
  </si>
  <si>
    <t>[19금] 악의 꽃 1권</t>
  </si>
  <si>
    <t>권세연</t>
  </si>
  <si>
    <t>ID:1131559530912377</t>
  </si>
  <si>
    <t>[19금] 마법의 스톱워치 1권</t>
  </si>
  <si>
    <t>기억해</t>
  </si>
  <si>
    <t>ID:1160413096052584</t>
  </si>
  <si>
    <t>[19금] 그대만을 위한 남자 1권</t>
  </si>
  <si>
    <t>선들</t>
  </si>
  <si>
    <t>ID:1112296739012862</t>
  </si>
  <si>
    <t>[19금] 에덴의 군주 1권</t>
  </si>
  <si>
    <t>흑토끼</t>
  </si>
  <si>
    <t>ID:1198075872357216</t>
  </si>
  <si>
    <t>[19금] 간지러운 뺨 1권</t>
  </si>
  <si>
    <t>리안</t>
  </si>
  <si>
    <t>ID:1175369893179943</t>
  </si>
  <si>
    <t>[19금] 악녀의 유혹 1권</t>
  </si>
  <si>
    <t>케이맨</t>
  </si>
  <si>
    <t>ID:1197214145518023</t>
  </si>
  <si>
    <t>PKEY:77423</t>
  </si>
  <si>
    <t>천외유천 1</t>
  </si>
  <si>
    <t>현성</t>
  </si>
  <si>
    <t>ID:1134975640474553</t>
  </si>
  <si>
    <t>튜토리얼로 EX급 1권</t>
  </si>
  <si>
    <t>삼십춘기</t>
  </si>
  <si>
    <t>ID:1135405594646693</t>
  </si>
  <si>
    <t>[19금] 그의 여자 1권</t>
  </si>
  <si>
    <t>샤앤브</t>
  </si>
  <si>
    <t>ID:1111269779315874</t>
  </si>
  <si>
    <t>GT</t>
  </si>
  <si>
    <t>ID:1150475132181769</t>
  </si>
  <si>
    <t>[19금] 복종 1권</t>
  </si>
  <si>
    <t>유유윤</t>
  </si>
  <si>
    <t>ID:3176-5853-0553-24221</t>
  </si>
  <si>
    <t>[10%할인] 대한민국 절대 재벌 2권</t>
  </si>
  <si>
    <t>ID:3154-8698-2347-23787</t>
  </si>
  <si>
    <t>[10%할인] 환생했더니 정령군주 2권</t>
  </si>
  <si>
    <t>ID:1100469327197957</t>
  </si>
  <si>
    <t>선검 1권</t>
  </si>
  <si>
    <t>유재무</t>
  </si>
  <si>
    <t>ID:1187431674683895</t>
  </si>
  <si>
    <t>ID:1183394243981119</t>
  </si>
  <si>
    <t>ID:1189816720626976</t>
  </si>
  <si>
    <t>ID:1123015495016043</t>
  </si>
  <si>
    <t>범죄자의 일상생활 1권</t>
  </si>
  <si>
    <t>니가던진야설</t>
  </si>
  <si>
    <t>ID:3157-8457-2552-58339</t>
  </si>
  <si>
    <t>[10%할인] 고독천년 무삭제본 4권</t>
  </si>
  <si>
    <t>ID:3121-5671-0992-99033</t>
  </si>
  <si>
    <t>[10%할인] 고독천년 무삭제본 5권</t>
  </si>
  <si>
    <t>ID:1131542075781403</t>
  </si>
  <si>
    <t>PKEY:96062</t>
  </si>
  <si>
    <t>도시의 지배자 1권</t>
  </si>
  <si>
    <t>ID:1115605361368148</t>
  </si>
  <si>
    <t>ID:1118335886685077</t>
  </si>
  <si>
    <t>ID:1163776828558189</t>
  </si>
  <si>
    <t>재벌가 막둥이는 만능천재 1권</t>
  </si>
  <si>
    <t>ID:1153232102603097</t>
  </si>
  <si>
    <t>ID:3174-9546-9404-55562</t>
  </si>
  <si>
    <t>[10%할인] 전장의 군주 12권</t>
  </si>
  <si>
    <t>ID:3146-3300-8411-86270</t>
  </si>
  <si>
    <t>[10%할인] 걸황무적 2권</t>
  </si>
  <si>
    <t>송재일</t>
  </si>
  <si>
    <t>ID:1184388401155301</t>
  </si>
  <si>
    <t>ID:1112903726551906</t>
  </si>
  <si>
    <t>ID:1187925669951548</t>
  </si>
  <si>
    <t>ID:1127947130640626</t>
  </si>
  <si>
    <t>ID:1181459682234174</t>
  </si>
  <si>
    <t>TRY</t>
  </si>
  <si>
    <t>TR</t>
  </si>
  <si>
    <t>ID:3137-6203-7142-07029</t>
  </si>
  <si>
    <t>[10%할인] 코드네임 사신 13권</t>
  </si>
  <si>
    <t>ID:3125-6373-8060-55900</t>
  </si>
  <si>
    <t>[10%할인] 황금백수 8권</t>
  </si>
  <si>
    <t>ID:1156193893161514</t>
  </si>
  <si>
    <t>골 때리는 엄마들 1권</t>
  </si>
  <si>
    <t>ID:3169-3195-8829-15733</t>
  </si>
  <si>
    <t>[10%할인] 나는 재벌이다 2권</t>
  </si>
  <si>
    <t>ID:1128450713367649</t>
  </si>
  <si>
    <t>ID:1128762507806785</t>
  </si>
  <si>
    <t>ID:1131654175767474</t>
  </si>
  <si>
    <t>MXN</t>
  </si>
  <si>
    <t>MX</t>
  </si>
  <si>
    <t>ID:1152372773908806</t>
  </si>
  <si>
    <t>ID:1113334355510088</t>
  </si>
  <si>
    <t>하렘으로 세계정복 1권</t>
  </si>
  <si>
    <t>ID:3138-6758-6203-06148</t>
  </si>
  <si>
    <t>[10%할인] 검은 머리 미국 대재벌! 8권</t>
  </si>
  <si>
    <t>ID:1193301226871146</t>
  </si>
  <si>
    <t>ID:1191546364909217</t>
  </si>
  <si>
    <t>ID:3156-8479-5150-47012</t>
  </si>
  <si>
    <t>[10%할인] 천마강림 3권</t>
  </si>
  <si>
    <t>[10%할인] 천마강림 4권</t>
  </si>
  <si>
    <t>[10%할인] 천마강림 5권</t>
  </si>
  <si>
    <t>[10%할인] 천마강림 6권</t>
  </si>
  <si>
    <t>[10%할인] 천마강림 7권</t>
  </si>
  <si>
    <t>ID:1179824920817460</t>
  </si>
  <si>
    <t>ID:1187720348961987</t>
  </si>
  <si>
    <t>ID:1179552525637430</t>
  </si>
  <si>
    <t>ID:3132-0141-6492-95734</t>
  </si>
  <si>
    <t>[10%할인] 전능의 팔찌 6권</t>
  </si>
  <si>
    <t>ID:1176205583425504</t>
  </si>
  <si>
    <t>ID:1109913066976981</t>
  </si>
  <si>
    <t>PKEY:147388</t>
  </si>
  <si>
    <t>천선문(千善門) 1권</t>
  </si>
  <si>
    <t>ID:3153-2278-5000-06146</t>
  </si>
  <si>
    <t>[10%할인] 검은 머리 미국 대재벌! 9권</t>
  </si>
  <si>
    <t>ID:1180611099737944</t>
  </si>
  <si>
    <t>리턴 오브 에이스 1권</t>
  </si>
  <si>
    <t>예로나</t>
  </si>
  <si>
    <t>ID:1169778889549374</t>
  </si>
  <si>
    <t>ID:1150561352738069</t>
  </si>
  <si>
    <t>ID:1171386304856752</t>
  </si>
  <si>
    <t>창궁무적검 1권</t>
  </si>
  <si>
    <t>서효원</t>
  </si>
  <si>
    <t>ID:3112-8486-4337-89069</t>
  </si>
  <si>
    <t>[10%할인] 만렙요원 : 재벌이 되다 7권</t>
  </si>
  <si>
    <t>ID:1173904384742378</t>
  </si>
  <si>
    <t>ID:3146-3654-8600-63712</t>
  </si>
  <si>
    <t>쾌락노예 2권</t>
  </si>
  <si>
    <t>ID:1168446125489426</t>
  </si>
  <si>
    <t>[BL] 로얄 스트레이트 1권</t>
  </si>
  <si>
    <t>fallrats</t>
  </si>
  <si>
    <t>ID:3198-5025-0255-57266</t>
  </si>
  <si>
    <t>[10%할인] 현대 귀환 마법사 2권</t>
  </si>
  <si>
    <t>ID:1167704563243857</t>
  </si>
  <si>
    <t>섹스로 지배한다 1권</t>
  </si>
  <si>
    <t>ID:3168-3601-3761-22165</t>
  </si>
  <si>
    <t>[10%할인] 독존패왕 1권</t>
  </si>
  <si>
    <t>ID:1155708653741305</t>
  </si>
  <si>
    <t>마영 1권</t>
  </si>
  <si>
    <t>ID:1116365039108349</t>
  </si>
  <si>
    <t>용권 1권</t>
  </si>
  <si>
    <t>ID:3177-0911-4906-77351</t>
  </si>
  <si>
    <t>[10%할인] 전능의 팔찌 10권</t>
  </si>
  <si>
    <t>ID:1194991493036274</t>
  </si>
  <si>
    <t>ID:3105-7783-8453-66060</t>
  </si>
  <si>
    <t>[10%할인] 전장의 군주 13권</t>
  </si>
  <si>
    <t>ID:1186480894575226</t>
  </si>
  <si>
    <t>지존독보 (至尊獨步) 1</t>
  </si>
  <si>
    <t>ID:1140078942775839</t>
  </si>
  <si>
    <t>PLN</t>
  </si>
  <si>
    <t>PL</t>
  </si>
  <si>
    <t>ID:1153177818196206</t>
  </si>
  <si>
    <t>ID:3127-7144-5740-96162</t>
  </si>
  <si>
    <t>ID:1169031876309209</t>
  </si>
  <si>
    <t>PKEY:96047</t>
  </si>
  <si>
    <t>허리케인(Hurricane) 1권</t>
  </si>
  <si>
    <t>ID:3186-5278-3115-70348</t>
  </si>
  <si>
    <t>[10%할인] 현대 귀환 마법사 3권</t>
  </si>
  <si>
    <t>ID:1142726204785045</t>
  </si>
  <si>
    <t>ID:3154-5710-2718-08490</t>
  </si>
  <si>
    <t>PKEY:31352</t>
  </si>
  <si>
    <t>[10%할인] 무혈 제3권</t>
  </si>
  <si>
    <t>ID:1148133167016734</t>
  </si>
  <si>
    <t>ID:3147-8399-5255-19680</t>
  </si>
  <si>
    <t>[10%할인] 낙방학사 6권</t>
  </si>
  <si>
    <t>ID:1174566038630265</t>
  </si>
  <si>
    <t>ID:1142466835982406</t>
  </si>
  <si>
    <t>곤륜패선(崑崙覇仙) 1권</t>
  </si>
  <si>
    <t>ID:3128-2129-9066-60534</t>
  </si>
  <si>
    <t>PKEY:147394</t>
  </si>
  <si>
    <t>[10%할인] 천선문(千善門) 6권 완결</t>
  </si>
  <si>
    <t>ID:1134463618976933</t>
  </si>
  <si>
    <t>ID:3199-3616-1206-07829</t>
  </si>
  <si>
    <t>ID:3170-3432-7345-75443</t>
  </si>
  <si>
    <t>ID:1159110341082660</t>
  </si>
  <si>
    <t>ID:1131103648804846</t>
  </si>
  <si>
    <t>ID:1187654685438814</t>
  </si>
  <si>
    <t>군림몽 1권</t>
  </si>
  <si>
    <t>ID:1173922560198243</t>
  </si>
  <si>
    <t>달마묵장 1권</t>
  </si>
  <si>
    <t>ID:1164041465776359</t>
  </si>
  <si>
    <t>두목무적 1권</t>
  </si>
  <si>
    <t>원하</t>
  </si>
  <si>
    <t>ID:1163738621526564</t>
  </si>
  <si>
    <t>폭풍의 제황 1권</t>
  </si>
  <si>
    <t>ID:3190-6056-2705-98739</t>
  </si>
  <si>
    <t>[10%할인] 만렙요원 : 재벌이 되다 8권</t>
  </si>
  <si>
    <t>ID:1159697550185264</t>
  </si>
  <si>
    <t>ID:1160646943173633</t>
  </si>
  <si>
    <t>[BL] 경계환상 1권</t>
  </si>
  <si>
    <t>바나나쥬스</t>
  </si>
  <si>
    <t>ID:1131347117179380</t>
  </si>
  <si>
    <t>PKEY:77097</t>
  </si>
  <si>
    <t>폭풍천마 1</t>
  </si>
  <si>
    <t>일주향</t>
  </si>
  <si>
    <t>ID:1106316622857133</t>
  </si>
  <si>
    <t>무적천년 1권</t>
  </si>
  <si>
    <t>ID:1127600988823288</t>
  </si>
  <si>
    <t>나 홀로 마법사 1권</t>
  </si>
  <si>
    <t>이원규</t>
  </si>
  <si>
    <t>ID:1188666291967358</t>
  </si>
  <si>
    <t>ID:1192472723325889</t>
  </si>
  <si>
    <t>검신재림(劍神再臨) 1권</t>
  </si>
  <si>
    <t>ID:3143-0635-3829-24113</t>
  </si>
  <si>
    <t>[10%할인] 고독천년 무삭제본 6권</t>
  </si>
  <si>
    <t>ID:3177-0441-7396-30459</t>
  </si>
  <si>
    <t>[10%할인] 고독천년 무삭제본 7권</t>
  </si>
  <si>
    <t>ID:3131-3008-6033-47115</t>
  </si>
  <si>
    <t>[10%할인] 고독천년 무삭제본 8권</t>
  </si>
  <si>
    <t>ID:3121-9008-9528-24757</t>
  </si>
  <si>
    <t>[10%할인] 고독천년 무삭제본 9권</t>
  </si>
  <si>
    <t>ID:1134090018655776</t>
  </si>
  <si>
    <t>ID:1136033694978796</t>
  </si>
  <si>
    <t>노가다 김씨, 자동사냥으로 꿀 빱니다 1권</t>
  </si>
  <si>
    <t>쇼츠</t>
  </si>
  <si>
    <t>ID:1111716663523670</t>
  </si>
  <si>
    <t>ID:1145887800852803</t>
  </si>
  <si>
    <t>ID:1156361985172967</t>
  </si>
  <si>
    <t>ID:1122022213229058</t>
  </si>
  <si>
    <t>상담 클리닉 1권</t>
  </si>
  <si>
    <t>얼끼</t>
  </si>
  <si>
    <t>26. 2. 3.</t>
  </si>
  <si>
    <t>ID:3190-5869-5663-38746</t>
  </si>
  <si>
    <t>[10%할인] 대한민국 절대 재벌 3권</t>
  </si>
  <si>
    <t>ID:1100066114037703</t>
  </si>
  <si>
    <t>만렙요원 : 재벌이 되다 1권</t>
  </si>
  <si>
    <t>ID:3164-6516-3694-71079</t>
  </si>
  <si>
    <t>[10%할인] 나는 재벌이다 3권</t>
  </si>
  <si>
    <t>ID:1197338953558634</t>
  </si>
  <si>
    <t>ID:1178963619981403</t>
  </si>
  <si>
    <t>신세계 사령술사 1권</t>
  </si>
  <si>
    <t>ID:1166487710973994</t>
  </si>
  <si>
    <t>얀데레에게 찍혔습니다 1권</t>
  </si>
  <si>
    <t>LOCOLOCO</t>
  </si>
  <si>
    <t>ID:3120-5315-4896-51167</t>
  </si>
  <si>
    <t>[10%할인] 이혼 후 재벌 각성! 1권</t>
  </si>
  <si>
    <t>ID:3161-7605-2972-57404</t>
  </si>
  <si>
    <t>ID:3111-2586-3284-01689</t>
  </si>
  <si>
    <t>[10%할인] 재벌가 막둥이는 만능천재 1권</t>
  </si>
  <si>
    <t>ID:1129986207910312</t>
  </si>
  <si>
    <t>ID:1144206943213224</t>
  </si>
  <si>
    <t>ID:1180825706903400</t>
  </si>
  <si>
    <t>색마님 안마하신다 1권</t>
  </si>
  <si>
    <t>ID:1189869667550212</t>
  </si>
  <si>
    <t>ID:1113987282171641</t>
  </si>
  <si>
    <t>ID:3136-0590-4542-52817</t>
  </si>
  <si>
    <t>[10%할인] 환생했더니 정령군주 3권</t>
  </si>
  <si>
    <t>ID:3152-0738-8451-84551</t>
  </si>
  <si>
    <t>ID:1114283615540679</t>
  </si>
  <si>
    <t>PKEY:77406</t>
  </si>
  <si>
    <t>검향도살 1</t>
  </si>
  <si>
    <t>ID:3151-0507-9905-27573</t>
  </si>
  <si>
    <t>[10%할인] 대륙독보 4권</t>
  </si>
  <si>
    <t>ID:3185-6278-9735-47259</t>
  </si>
  <si>
    <t>ID:1183860144188614</t>
  </si>
  <si>
    <t>ID:1116639623149667</t>
  </si>
  <si>
    <t>ID:1126944354588754</t>
  </si>
  <si>
    <t>ID:3103-9602-6251-72656</t>
  </si>
  <si>
    <t>[10%할인] 낙방학사 7권</t>
  </si>
  <si>
    <t>ID:1197723133997628</t>
  </si>
  <si>
    <t>ID:1185572206021863</t>
  </si>
  <si>
    <t>ID:1105714746223375</t>
  </si>
  <si>
    <t>모용세가 역대급 천재의 귀환 1권</t>
  </si>
  <si>
    <t>독성</t>
  </si>
  <si>
    <t>ID:1144918984795610</t>
  </si>
  <si>
    <t>시간여행자는 재벌 황제가 된다 1권</t>
  </si>
  <si>
    <t>ID:1144856381395577</t>
  </si>
  <si>
    <t>타락부부 1권</t>
  </si>
  <si>
    <t>ID:3111-1476-5944-67786</t>
  </si>
  <si>
    <t>ID:1190470932989391</t>
  </si>
  <si>
    <t>ID:1159788003121042</t>
  </si>
  <si>
    <t>ID:1128607684412525</t>
  </si>
  <si>
    <t>ID:1186612629127989</t>
  </si>
  <si>
    <t>십왕책(개정판) 1권</t>
  </si>
  <si>
    <t>천중행</t>
  </si>
  <si>
    <t>ID:1189683350559508</t>
  </si>
  <si>
    <t>ID:1112570264502699</t>
  </si>
  <si>
    <t>ID:1177733700633180</t>
  </si>
  <si>
    <t>ID:3172-1960-8427-33228</t>
  </si>
  <si>
    <t>ID:1135417596537640</t>
  </si>
  <si>
    <t>천마무 1</t>
  </si>
  <si>
    <t>ID:1101706381613358</t>
  </si>
  <si>
    <t>북두무맥 1권</t>
  </si>
  <si>
    <t>ID:1146527807446543</t>
  </si>
  <si>
    <t>복마지존(무삭제판) 1권</t>
  </si>
  <si>
    <t>ID:1128828291024831</t>
  </si>
  <si>
    <t>묵룡혈마(무삭제판) 1권</t>
  </si>
  <si>
    <t>ID:1137811308262061</t>
  </si>
  <si>
    <t>ID:1171672469557368</t>
  </si>
  <si>
    <t>ID:1189455526802080</t>
  </si>
  <si>
    <t>ID:1129998149536779</t>
  </si>
  <si>
    <t>ID:1183906435162854</t>
  </si>
  <si>
    <t>ID:1108142865951735</t>
  </si>
  <si>
    <t>[19금] 동갑내기 여교수 1권</t>
  </si>
  <si>
    <t>J.로빈</t>
  </si>
  <si>
    <t>ID:1196166886772729</t>
  </si>
  <si>
    <t>ID:1120522730254204</t>
  </si>
  <si>
    <t>ID:3194-6925-9764-30740</t>
  </si>
  <si>
    <t>[10%할인] [19금] 이계치우 4권</t>
  </si>
  <si>
    <t>[10%할인] [19금] 이계치우 5권 (완결)</t>
  </si>
  <si>
    <t>ID:1152272711607789</t>
  </si>
  <si>
    <t>ID:1151263942769113</t>
  </si>
  <si>
    <t>ID:3149-8640-6795-23482</t>
  </si>
  <si>
    <t>[10%할인] 무적천년 1권</t>
  </si>
  <si>
    <t>ID:3172-8112-9497-34501</t>
  </si>
  <si>
    <t>[10%할인] 환생했더니 정령군주 4권</t>
  </si>
  <si>
    <t>ID:1160303671069195</t>
  </si>
  <si>
    <t>ID:1108527621170594</t>
  </si>
  <si>
    <t>ID:1114173776740809</t>
  </si>
  <si>
    <t>[19금] 쉿! 그만 잘 시간이야 1권</t>
  </si>
  <si>
    <t>ID:1148874208733504</t>
  </si>
  <si>
    <t>ID:1140152498966133</t>
  </si>
  <si>
    <t>ID:1190818594158360</t>
  </si>
  <si>
    <t>아버지가 남긴 USB 1권</t>
  </si>
  <si>
    <t>ID:3163-5929-1480-48840</t>
  </si>
  <si>
    <t>[10%할인] 낙방학사 8권</t>
  </si>
  <si>
    <t>ID:1131371017165715</t>
  </si>
  <si>
    <t>ID:1182396320039935</t>
  </si>
  <si>
    <t>ID:1194925547903981</t>
  </si>
  <si>
    <t>ID:1115636215834858</t>
  </si>
  <si>
    <t>ID:3103-1777-6366-64080</t>
  </si>
  <si>
    <t>ID:1123867084480737</t>
  </si>
  <si>
    <t>ID:3162-4698-1826-35965</t>
  </si>
  <si>
    <t>ID:3173-9863-0419-68010</t>
  </si>
  <si>
    <t>[10%할인] 동백유엽검 2권</t>
  </si>
  <si>
    <t>ID:3116-0302-3575-10295</t>
  </si>
  <si>
    <t>PKEY:31388</t>
  </si>
  <si>
    <t>[10%할인] 상문령 제1권</t>
  </si>
  <si>
    <t>PKEY:31389</t>
  </si>
  <si>
    <t>[10%할인] 상문령 제2권</t>
  </si>
  <si>
    <t>PKEY:31390</t>
  </si>
  <si>
    <t>[10%할인] 상문령 제3권</t>
  </si>
  <si>
    <t>ID:1180809588734172</t>
  </si>
  <si>
    <t>ID:3182-6565-6484-96766</t>
  </si>
  <si>
    <t>[10%할인] 전장의 군주 14권</t>
  </si>
  <si>
    <t>ID:3194-3603-0326-48870</t>
  </si>
  <si>
    <t>[10%할인] 만렙요원 : 재벌이 되다 9권</t>
  </si>
  <si>
    <t>ID:3116-0953-6911-46076</t>
  </si>
  <si>
    <t>[10%할인] 황궁의 정원에는 개가 산다 2권</t>
  </si>
  <si>
    <t>ID:1190335992928442</t>
  </si>
  <si>
    <t>전장의 군주 1권</t>
  </si>
  <si>
    <t>ID:3108-5751-9026-97166</t>
  </si>
  <si>
    <t>ID:3173-0840-5510-35492</t>
  </si>
  <si>
    <t>[10%할인] 복마지존(무삭제판) 4권 완결</t>
  </si>
  <si>
    <t>ID:1148414241534366</t>
  </si>
  <si>
    <t>ID:1122557175794561</t>
  </si>
  <si>
    <t>ID:3185-8550-9715-65221</t>
  </si>
  <si>
    <t>[10%할인] 혈무연 3 (완결)</t>
  </si>
  <si>
    <t>ID:1154244143028728</t>
  </si>
  <si>
    <t>코인 게이트를 열었다 1권</t>
  </si>
  <si>
    <t>ID:3180-0668-1164-49792</t>
  </si>
  <si>
    <t>[10%할인] 만렙요원 : 재벌이 되다 10권</t>
  </si>
  <si>
    <t>ID:3194-3851-7421-80946</t>
  </si>
  <si>
    <t>[10%할인] 타격의 신 2권</t>
  </si>
  <si>
    <t>말리브 해적</t>
  </si>
  <si>
    <t>ID:1107981857458924</t>
  </si>
  <si>
    <t>EPL-프리미어 리그 1권</t>
  </si>
  <si>
    <t>ID:3133-2032-9301-79880</t>
  </si>
  <si>
    <t>[10%할인] 나는 재벌이다 4권</t>
  </si>
  <si>
    <t>ID:1175647068645456</t>
  </si>
  <si>
    <t>타격의 신 1권</t>
  </si>
  <si>
    <t>ID:1121981867915616</t>
  </si>
  <si>
    <t>ID:1130867334548665</t>
  </si>
  <si>
    <t>전설신검 1권</t>
  </si>
  <si>
    <t>ID:1194162239119453</t>
  </si>
  <si>
    <t>PKEY:94214</t>
  </si>
  <si>
    <t>검공비사 1권</t>
  </si>
  <si>
    <t>ID:3174-8254-4246-58290</t>
  </si>
  <si>
    <t>[10%할인] 코드네임 사신 14권</t>
  </si>
  <si>
    <t>ID:1181640162887810</t>
  </si>
  <si>
    <t>ID:3192-4402-2881-66920</t>
  </si>
  <si>
    <t>[10%할인] MLB-메이저 리그 2권</t>
  </si>
  <si>
    <t>ID:3147-4863-6061-80554</t>
  </si>
  <si>
    <t>[10%할인] MLB-메이저 리그 3권</t>
  </si>
  <si>
    <t>ID:3146-7140-9434-23865</t>
  </si>
  <si>
    <t>[10%할인] MLB-메이저 리그 4권</t>
  </si>
  <si>
    <t>ID:1118985273594306</t>
  </si>
  <si>
    <t>ID:1131985140645124</t>
  </si>
  <si>
    <t>ID:1103383325712600</t>
  </si>
  <si>
    <t>ID:1197618661429845</t>
  </si>
  <si>
    <t>무림영웅 때려칩니다 1권</t>
  </si>
  <si>
    <t>ID:1156238296325059</t>
  </si>
  <si>
    <t>ID:1162677174735060</t>
  </si>
  <si>
    <t>ID:3105-6300-4426-73756</t>
  </si>
  <si>
    <t>절대고수 1권</t>
  </si>
  <si>
    <t>[10%할인] 절대고수 2권</t>
  </si>
  <si>
    <t>절대고수 3권</t>
  </si>
  <si>
    <t>[10%할인] 절대고수 4권 완결</t>
  </si>
  <si>
    <t>ID:1125860444751251</t>
  </si>
  <si>
    <t>ID:1178680966832718</t>
  </si>
  <si>
    <t>SSS급 괴물 사냥꾼 1권</t>
  </si>
  <si>
    <t>ID:1127450298069718</t>
  </si>
  <si>
    <t>역대급 야구 천재의 탄생 1권</t>
  </si>
  <si>
    <t>ID:1178748588575637</t>
  </si>
  <si>
    <t>광풍의 전사 1권</t>
  </si>
  <si>
    <t>ID:3174-3914-1179-96244</t>
  </si>
  <si>
    <t>[10%할인] 코드네임 사신 15권</t>
  </si>
  <si>
    <t>ID:3149-9758-2141-90743</t>
  </si>
  <si>
    <t>[10%할인] 십왕책(개정판) 2권</t>
  </si>
  <si>
    <t>ID:3136-8984-0338-40563</t>
  </si>
  <si>
    <t>[10%할인] 전장의 군주 15권</t>
  </si>
  <si>
    <t>ID:1106957562807478</t>
  </si>
  <si>
    <t>ID:1141738307953327</t>
  </si>
  <si>
    <t>아내와 나의 네토라세 1권</t>
  </si>
  <si>
    <t>총총K</t>
  </si>
  <si>
    <t>ID:3146-1504-5651-92001</t>
  </si>
  <si>
    <t>[10%할인] 전설신검 2권</t>
  </si>
  <si>
    <t>ID:1141003861256092</t>
  </si>
  <si>
    <t>PKEY:75904</t>
  </si>
  <si>
    <t>화령의 제왕 1</t>
  </si>
  <si>
    <t>ID:3153-8703-9509-37157</t>
  </si>
  <si>
    <t>[10%할인] 달마묵장 5권</t>
  </si>
  <si>
    <t>ID:3159-6584-7393-34736</t>
  </si>
  <si>
    <t>[10%할인] 황금백수 9권</t>
  </si>
  <si>
    <t>ID:1191039997186314</t>
  </si>
  <si>
    <t>ID:1189913784511846</t>
  </si>
  <si>
    <t>ID:1102320615589201</t>
  </si>
  <si>
    <t>ID:1135215260893686</t>
  </si>
  <si>
    <t>ID:1169354516711515</t>
  </si>
  <si>
    <t>ID:1136594445687758</t>
  </si>
  <si>
    <t>내 나이 90살에 회귀라니! 1권</t>
  </si>
  <si>
    <t>커피와함께</t>
  </si>
  <si>
    <t>ID:1143748478443276</t>
  </si>
  <si>
    <t>진천뇌협 1권</t>
  </si>
  <si>
    <t>동윤</t>
  </si>
  <si>
    <t>ID:1121345475885783</t>
  </si>
  <si>
    <t>26. 2. 4.</t>
  </si>
  <si>
    <t>ID:1109676771913743</t>
  </si>
  <si>
    <t>ID:1162900708563989</t>
  </si>
  <si>
    <t>친구 엄마와 친구 먹기 1권</t>
  </si>
  <si>
    <t>ID:3140-8110-0234-88273</t>
  </si>
  <si>
    <t>[10%할인] 낙방학사 9권</t>
  </si>
  <si>
    <t>ID:1138043911499385</t>
  </si>
  <si>
    <t>도시의 주인 1권</t>
  </si>
  <si>
    <t>ID:1170705728797047</t>
  </si>
  <si>
    <t>PKEY:77429</t>
  </si>
  <si>
    <t>항룡유회 1</t>
  </si>
  <si>
    <t>ID:1108613417888821</t>
  </si>
  <si>
    <t>ID:1140116157950327</t>
  </si>
  <si>
    <t>보수적이라며 팬티는 왜 벗어? 1권</t>
  </si>
  <si>
    <t>ID:1113223885284452</t>
  </si>
  <si>
    <t>ID:1120495948061158</t>
  </si>
  <si>
    <t>ID:1124675032846685</t>
  </si>
  <si>
    <t>무인도 하렘 생활기 1권</t>
  </si>
  <si>
    <t>ID:1111072253617326</t>
  </si>
  <si>
    <t>ID:3106-3161-0162-01882</t>
  </si>
  <si>
    <t>[10%할인] 무신, 돌아오다 1권</t>
  </si>
  <si>
    <t>ID:1119376276829055</t>
  </si>
  <si>
    <t>ID:1166867652978348</t>
  </si>
  <si>
    <t>ID:1177853134856984</t>
  </si>
  <si>
    <t>ID:1123803153350579</t>
  </si>
  <si>
    <t>ID:3128-8257-4941-79697</t>
  </si>
  <si>
    <t>[10%할인] 코드네임 사신 16권</t>
  </si>
  <si>
    <t>ID:1188324025586437</t>
  </si>
  <si>
    <t>영혼과의 사랑 1권</t>
  </si>
  <si>
    <t>ID:3162-9554-2615-74600</t>
  </si>
  <si>
    <t>PKEY:96083</t>
  </si>
  <si>
    <t>[10%할인] 알바트로스 2권</t>
  </si>
  <si>
    <t>ID:1118050986925515</t>
  </si>
  <si>
    <t>[19금] 은밀한 유혹 1권</t>
  </si>
  <si>
    <t>ID:3158-5971-4269-71827</t>
  </si>
  <si>
    <t>[10%할인] 구자패왕(무삭제판) 3권</t>
  </si>
  <si>
    <t>[10%할인] 구자패왕(무삭제판) 4권 완결</t>
  </si>
  <si>
    <t>ID:3167-4167-7030-72387</t>
  </si>
  <si>
    <t>[10%할인] 나는 재벌이다 5권</t>
  </si>
  <si>
    <t>ID:3145-2269-4647-27194</t>
  </si>
  <si>
    <t>[10%할인] MLB-메이저 리그 5권</t>
  </si>
  <si>
    <t>[10%할인] MLB-메이저 리그 6권</t>
  </si>
  <si>
    <t>[10%할인] MLB-메이저 리그 7권</t>
  </si>
  <si>
    <t>[10%할인] MLB-메이저 리그 8권</t>
  </si>
  <si>
    <t>[10%할인] MLB-메이저 리그 9권</t>
  </si>
  <si>
    <t>[10%할인] MLB-메이저 리그 10권</t>
  </si>
  <si>
    <t>ID:3185-6257-2411-03286</t>
  </si>
  <si>
    <t>[10%할인] 환생했더니 정령군주 5권</t>
  </si>
  <si>
    <t>ID:1172169913516758</t>
  </si>
  <si>
    <t>ID:1116179397596869</t>
  </si>
  <si>
    <t>ID:1162402598914513</t>
  </si>
  <si>
    <t>[BL] Gloomy Sky 1권</t>
  </si>
  <si>
    <t>Riyakho</t>
  </si>
  <si>
    <t>ID:3165-7123-8743-66025</t>
  </si>
  <si>
    <t>ID:1176257827360454</t>
  </si>
  <si>
    <t>구자패왕(무삭제판) 1권</t>
  </si>
  <si>
    <t>ID:1144022210576257</t>
  </si>
  <si>
    <t>패배 용사 - 약골 용사의 에로 대모험! - 1권</t>
  </si>
  <si>
    <t>ID:1117338619579442</t>
  </si>
  <si>
    <t>ID:1182019253211219</t>
  </si>
  <si>
    <t>E급부터 시작하는 대마법사 1권</t>
  </si>
  <si>
    <t>연암</t>
  </si>
  <si>
    <t>ID:1176667121653737</t>
  </si>
  <si>
    <t>ID:1171205546705706</t>
  </si>
  <si>
    <t>ID:1177591286403181</t>
  </si>
  <si>
    <t>ID:1138138259482732</t>
  </si>
  <si>
    <t>ID:1140832998636790</t>
  </si>
  <si>
    <t>ID:1112027482651556</t>
  </si>
  <si>
    <t>ID:3172-9601-0309-70520</t>
  </si>
  <si>
    <t>[10%할인] 전설신검 3권</t>
  </si>
  <si>
    <t>ID:1144439318975908</t>
  </si>
  <si>
    <t>CAD</t>
  </si>
  <si>
    <t>CA</t>
  </si>
  <si>
    <t>ID:3194-5740-3957-03875</t>
  </si>
  <si>
    <t>[10%할인] 대한민국 절대 재벌 4권</t>
  </si>
  <si>
    <t>ID:1104883249564574</t>
  </si>
  <si>
    <t>ID:1171672942796130</t>
  </si>
  <si>
    <t>ID:1177609178697890</t>
  </si>
  <si>
    <t>ID:1101949715944392</t>
  </si>
  <si>
    <t>무림미녀전기 1권</t>
  </si>
  <si>
    <t>ID:1161594853907472</t>
  </si>
  <si>
    <t>ID:3165-3138-2453-87150</t>
  </si>
  <si>
    <t>[10%할인] 전설신검 1권</t>
  </si>
  <si>
    <t>ID:1174562242995684</t>
  </si>
  <si>
    <t>ID:1173532533440012</t>
  </si>
  <si>
    <t>ID:1178196994082200</t>
  </si>
  <si>
    <t>[BL] 내 동생은 xx새끼 1권</t>
  </si>
  <si>
    <t>lilly05</t>
  </si>
  <si>
    <t>ID:3118-0271-5765-04400</t>
  </si>
  <si>
    <t>[10%할인] 코드네임 사신 17권(완결)</t>
  </si>
  <si>
    <t>ID:1173010269883839</t>
  </si>
  <si>
    <t>ID:1178372339567882</t>
  </si>
  <si>
    <t>고구려 르네상스 1권</t>
  </si>
  <si>
    <t>Lucubro</t>
  </si>
  <si>
    <t>ID:3164-9708-2607-38338</t>
  </si>
  <si>
    <t>PKEY:96084</t>
  </si>
  <si>
    <t>[10%할인] 알바트로스 3권</t>
  </si>
  <si>
    <t>ID:1146394480398444</t>
  </si>
  <si>
    <t>이 요리사는 계속 회귀합니다! 1권</t>
  </si>
  <si>
    <t>ID:1181196754686691</t>
  </si>
  <si>
    <t>ID:3145-0139-0096-07343</t>
  </si>
  <si>
    <t>[10%할인] 구천마신 8권</t>
  </si>
  <si>
    <t>ID:3139-2668-9465-74422</t>
  </si>
  <si>
    <t>[10%할인] 전설신검 12권</t>
  </si>
  <si>
    <t>[10%할인] 전설신검 13권</t>
  </si>
  <si>
    <t>[10%할인] 전설신검 14권</t>
  </si>
  <si>
    <t>[10%할인] 전설신검 4권</t>
  </si>
  <si>
    <t>[10%할인] 전설신검 6권</t>
  </si>
  <si>
    <t>[10%할인] 전설신검 7권</t>
  </si>
  <si>
    <t>[10%할인] 전설신검 8권</t>
  </si>
  <si>
    <t>[10%할인] 전설신검 9권</t>
  </si>
  <si>
    <t>[10%할인] 전설신검 10권</t>
  </si>
  <si>
    <t>[10%할인] 전설신검 11권</t>
  </si>
  <si>
    <t>ID:1122633231261502</t>
  </si>
  <si>
    <t>ID:3144-7023-6046-34576</t>
  </si>
  <si>
    <t>ID:1184847580297449</t>
  </si>
  <si>
    <t>[BL] 나의 에덴 1권</t>
  </si>
  <si>
    <t>르교</t>
  </si>
  <si>
    <t>INR</t>
  </si>
  <si>
    <t>IN</t>
  </si>
  <si>
    <t>ID:1176612942451444</t>
  </si>
  <si>
    <t>나 혼자 쿨타임 제로 1권</t>
  </si>
  <si>
    <t>소구장</t>
  </si>
  <si>
    <t>ID:1101051567807046</t>
  </si>
  <si>
    <t>ID:1112352742972063</t>
  </si>
  <si>
    <t>용사무적 1권</t>
  </si>
  <si>
    <t>만선</t>
  </si>
  <si>
    <t>ID:3182-3961-1866-99793</t>
  </si>
  <si>
    <t>ID:1169861686943240</t>
  </si>
  <si>
    <t>ID:1119118566450150</t>
  </si>
  <si>
    <t>걸황무적 1권</t>
  </si>
  <si>
    <t>ID:1134355359050348</t>
  </si>
  <si>
    <t>ID:1119354612397959</t>
  </si>
  <si>
    <t>AUD</t>
  </si>
  <si>
    <t>AU</t>
  </si>
  <si>
    <t>ID:3129-3302-9298-03071</t>
  </si>
  <si>
    <t>[10%할인] 무당학사전 2권</t>
  </si>
  <si>
    <t>ID:1178519578202105</t>
  </si>
  <si>
    <t>ID:1110988413898214</t>
  </si>
  <si>
    <t>ID:1130668793678559</t>
  </si>
  <si>
    <t>ID:1146059519175339</t>
  </si>
  <si>
    <t>ID:1180555737899995</t>
  </si>
  <si>
    <t>ID:1190203573641259</t>
  </si>
  <si>
    <t>ID:1110474284725267</t>
  </si>
  <si>
    <t>ID:3125-9235-2997-90363</t>
  </si>
  <si>
    <t>[10%할인] 환생했더니 정령군주 6권</t>
  </si>
  <si>
    <t>ID:3175-8412-4304-53236</t>
  </si>
  <si>
    <t>ID:1182752166014360</t>
  </si>
  <si>
    <t>ID:3154-0954-2540-04127</t>
  </si>
  <si>
    <t>[10%할인] 파공검제 11권</t>
  </si>
  <si>
    <t>눈매</t>
  </si>
  <si>
    <t>ID:1140501251600196</t>
  </si>
  <si>
    <t>ID:3110-8484-0861-74860</t>
  </si>
  <si>
    <t>[10%할인] 동백유엽검 3권</t>
  </si>
  <si>
    <t>ID:1130139432970208</t>
  </si>
  <si>
    <t>ID:1141419718595576</t>
  </si>
  <si>
    <t>ID:3119-9764-4847-52241</t>
  </si>
  <si>
    <t>[10%할인] 천년만에 귀환한 대마검사 2권</t>
  </si>
  <si>
    <t>ID:1148204115495520</t>
  </si>
  <si>
    <t>ID:1151508154892701</t>
  </si>
  <si>
    <t>ID:3102-8789-1716-90672</t>
  </si>
  <si>
    <t>ID:1185632903836033</t>
  </si>
  <si>
    <t>ID:1131833148338515</t>
  </si>
  <si>
    <t>ID:1174178977133922</t>
  </si>
  <si>
    <t>ID:1168121669245762</t>
  </si>
  <si>
    <t>ID:1192116364613419</t>
  </si>
  <si>
    <t>PKEY:87812</t>
  </si>
  <si>
    <t>악중협 1</t>
  </si>
  <si>
    <t>ID:3138-5988-4707-94667</t>
  </si>
  <si>
    <t>[10%할인] 고독천년 무삭제본 2권</t>
  </si>
  <si>
    <t>ID:3109-3899-3457-77791</t>
  </si>
  <si>
    <t>[10%할인] 나는 재벌이다 6권</t>
  </si>
  <si>
    <t>ID:1170997879239597</t>
  </si>
  <si>
    <t>ID:1157369278800770</t>
  </si>
  <si>
    <t>누나를 길들이다 1권</t>
  </si>
  <si>
    <t>ID:3153-6507-9713-03553</t>
  </si>
  <si>
    <t>PKEY:31353</t>
  </si>
  <si>
    <t>[10%할인] 무림어사 제1권</t>
  </si>
  <si>
    <t>PKEY:31354</t>
  </si>
  <si>
    <t>[10%할인] 무림어사 제2권</t>
  </si>
  <si>
    <t>PKEY:31355</t>
  </si>
  <si>
    <t>[10%할인] 무림어사 제3권</t>
  </si>
  <si>
    <t>ID:1137744124895572</t>
  </si>
  <si>
    <t>PKEY:149257</t>
  </si>
  <si>
    <t>천애비검 1권</t>
  </si>
  <si>
    <t>ID:3196-5540-1823-02520</t>
  </si>
  <si>
    <t>PKEY:150140</t>
  </si>
  <si>
    <t>[10%할인] 와룡성수 1권</t>
  </si>
  <si>
    <t>ID:1107981711934081</t>
  </si>
  <si>
    <t>ID:1161074189698349</t>
  </si>
  <si>
    <t>ID:1121316136530086</t>
  </si>
  <si>
    <t>[19금] 스패셜 힐러 1권</t>
  </si>
  <si>
    <t>트리</t>
  </si>
  <si>
    <t>ID:1106572407561720</t>
  </si>
  <si>
    <t>ID:1141731484904145</t>
  </si>
  <si>
    <t>ID:1172855461078926</t>
  </si>
  <si>
    <t>외도 전설 -마법소녀 조교기- 1권</t>
  </si>
  <si>
    <t>ID:3108-6237-1248-10295</t>
  </si>
  <si>
    <t>[10%할인] 대마불사 3권</t>
  </si>
  <si>
    <t>ID:1145611328290732</t>
  </si>
  <si>
    <t>실명천하 1권</t>
  </si>
  <si>
    <t>ID:1125576384494564</t>
  </si>
  <si>
    <t>ID:1117043688062962</t>
  </si>
  <si>
    <t>ID:1103681320808488</t>
  </si>
  <si>
    <t>ID:1124522611859370</t>
  </si>
  <si>
    <t>ID:1138925799943670</t>
  </si>
  <si>
    <t>색황귀환 1권</t>
  </si>
  <si>
    <t>ID:1105449171203850</t>
  </si>
  <si>
    <t>ID:1106107885647053</t>
  </si>
  <si>
    <t>광풍무 1권</t>
  </si>
  <si>
    <t>ID:1104123468735009</t>
  </si>
  <si>
    <t>랜덤뽑기로 학원최강 1권</t>
  </si>
  <si>
    <t>ID:1153510118219418</t>
  </si>
  <si>
    <t>흙수저, 회귀로 재벌되다! 1권</t>
  </si>
  <si>
    <t>커피와 함께</t>
  </si>
  <si>
    <t>ID:3175-2642-8394-92425</t>
  </si>
  <si>
    <t>ID:1128868151771837</t>
  </si>
  <si>
    <t>ID:1128546919004510</t>
  </si>
  <si>
    <t>ID:1154007282592838</t>
  </si>
  <si>
    <t>담천 1권</t>
  </si>
  <si>
    <t>ID:1190057659567266</t>
  </si>
  <si>
    <t>PKEY:96042</t>
  </si>
  <si>
    <t>행운(Luck) 1권</t>
  </si>
  <si>
    <t>ID:1196338317009983</t>
  </si>
  <si>
    <t>천년전쟁 1권</t>
  </si>
  <si>
    <t>ID:1117377493345812</t>
  </si>
  <si>
    <t>올바른 방패 사용법 1권</t>
  </si>
  <si>
    <t>준준</t>
  </si>
  <si>
    <t>ID:3157-1564-7575-67533</t>
  </si>
  <si>
    <t>[10%할인] MLB-메이저 리그 13권</t>
  </si>
  <si>
    <t>ID:1183714055456373</t>
  </si>
  <si>
    <t>ID:1124786224574310</t>
  </si>
  <si>
    <t>ID:1148139726223707</t>
  </si>
  <si>
    <t>바보 영주 로이 1권</t>
  </si>
  <si>
    <t>ID:1193931351812904</t>
  </si>
  <si>
    <t>ID:1180478309874581</t>
  </si>
  <si>
    <t>ID:1148794664515077</t>
  </si>
  <si>
    <t>ID:1193256739168673</t>
  </si>
  <si>
    <t>ID:1169772070795144</t>
  </si>
  <si>
    <t>ID:1182987282566187</t>
  </si>
  <si>
    <t>ID:1148399734398648</t>
  </si>
  <si>
    <t>무당학사전 1권</t>
  </si>
  <si>
    <t>ID:1106006947755701</t>
  </si>
  <si>
    <t>[19금] 최강호 1권</t>
  </si>
  <si>
    <t>ID:1161306484821785</t>
  </si>
  <si>
    <t>ID:1177805280829736</t>
  </si>
  <si>
    <t>색정괴의 1권</t>
  </si>
  <si>
    <t>ID:3166-6550-7420-20621</t>
  </si>
  <si>
    <t>[10%할인] 타격의 신 3권</t>
  </si>
  <si>
    <t>[10%할인] 타격의 신 4권</t>
  </si>
  <si>
    <t>[10%할인] 타격의 신 5권</t>
  </si>
  <si>
    <t>[10%할인] 타격의 신 6권</t>
  </si>
  <si>
    <t>ID:1108151879343157</t>
  </si>
  <si>
    <t>ID:1103219063439017</t>
  </si>
  <si>
    <t>ID:1113188052804133</t>
  </si>
  <si>
    <t>ID:1135330345174436</t>
  </si>
  <si>
    <t>ID:1118064826379714</t>
  </si>
  <si>
    <t>[19금] 래드판타지 1권</t>
  </si>
  <si>
    <t>레이시in150</t>
  </si>
  <si>
    <t>ID:1111005585729891</t>
  </si>
  <si>
    <t>ID:1179409470687120</t>
  </si>
  <si>
    <t>게임 속 기갑함대에 들어갔다 1권</t>
  </si>
  <si>
    <t>환상개발자</t>
  </si>
  <si>
    <t>ID:1132709969352047</t>
  </si>
  <si>
    <t>말년에 이계라니 1권</t>
  </si>
  <si>
    <t>ID:1101979758516465</t>
  </si>
  <si>
    <t>SM클럽 1권</t>
  </si>
  <si>
    <t>푸른산붉은꽃</t>
  </si>
  <si>
    <t>ID:1108521889334179</t>
  </si>
  <si>
    <t>ID:1102095287236479</t>
  </si>
  <si>
    <t>ID:3155-8106-3328-38106</t>
  </si>
  <si>
    <t>[10%할인] 나는 재벌이다 7권</t>
  </si>
  <si>
    <t>ID:1148152570951197</t>
  </si>
  <si>
    <t>천추공자(개정판) 1권</t>
  </si>
  <si>
    <t>ID:1101702006703354</t>
  </si>
  <si>
    <t>태양전기 1권</t>
  </si>
  <si>
    <t>ID:1125083868333717</t>
  </si>
  <si>
    <t>ID:1112918052774471</t>
  </si>
  <si>
    <t>ID:1157903218106882</t>
  </si>
  <si>
    <t>ID:1156236271684968</t>
  </si>
  <si>
    <t>슈퍼스타, 누구도 막을 수 없어 !!!!!! 1권</t>
  </si>
  <si>
    <t>구라천재</t>
  </si>
  <si>
    <t>ID:3134-9052-0637-13190</t>
  </si>
  <si>
    <t>[10%할인] 천왕무 1권</t>
  </si>
  <si>
    <t>26. 2. 5.</t>
  </si>
  <si>
    <t>ID:1113215309987646</t>
  </si>
  <si>
    <t>ID:1134822712564158</t>
  </si>
  <si>
    <t>ID:1157777419308165</t>
  </si>
  <si>
    <t>ID:3133-3310-8123-99079</t>
  </si>
  <si>
    <t>PKEY:2397</t>
  </si>
  <si>
    <t>[10%할인] 고검광무 1</t>
  </si>
  <si>
    <t>ID:1117924590043976</t>
  </si>
  <si>
    <t>ID:1143232740569366</t>
  </si>
  <si>
    <t>PKEY:84321</t>
  </si>
  <si>
    <t>야수의 제왕 1</t>
  </si>
  <si>
    <t>무영</t>
  </si>
  <si>
    <t>ID:1143912485775064</t>
  </si>
  <si>
    <t>리턴 에이스 1권</t>
  </si>
  <si>
    <t>ID:1130746104520513</t>
  </si>
  <si>
    <t>ID:1154915957764954</t>
  </si>
  <si>
    <t>ID:3157-3096-1972-50178</t>
  </si>
  <si>
    <t>[10%할인] 선검 2권</t>
  </si>
  <si>
    <t>ID:1143993811815792</t>
  </si>
  <si>
    <t>천마대전 1권</t>
  </si>
  <si>
    <t>ID:1176876260192079</t>
  </si>
  <si>
    <t>ID:3194-8820-3940-06631</t>
  </si>
  <si>
    <t>[10%할인] 대한민국 절대 재벌 5권</t>
  </si>
  <si>
    <t>ID:1125578552207168</t>
  </si>
  <si>
    <t>ID:1145901054495921</t>
  </si>
  <si>
    <t>ID:1140326898632720</t>
  </si>
  <si>
    <t>무신, 돌아오다 1권</t>
  </si>
  <si>
    <t>ID:1147940662792147</t>
  </si>
  <si>
    <t>ID:1126408398132269</t>
  </si>
  <si>
    <t>ID:1167909465920970</t>
  </si>
  <si>
    <t>ID:3185-9764-7218-06249</t>
  </si>
  <si>
    <t>[12월할인이벤트]섹스로 지배한다 1권</t>
  </si>
  <si>
    <t>[10%할인] 코인 게이트를 열었다 1권</t>
  </si>
  <si>
    <t>[12월할인이벤트]코인 무한 능력으로 BJ 따먹기 1권</t>
  </si>
  <si>
    <t>ID:1189423593707433</t>
  </si>
  <si>
    <t>명품공자 1권</t>
  </si>
  <si>
    <t>ID:1167570827259142</t>
  </si>
  <si>
    <t>ID:1137730978850653</t>
  </si>
  <si>
    <t>ID:1108496300378522</t>
  </si>
  <si>
    <t>PKEY:96098</t>
  </si>
  <si>
    <t>브레이슬릿 1권</t>
  </si>
  <si>
    <t>ID:1198100475184742</t>
  </si>
  <si>
    <t>ID:1142066520943169</t>
  </si>
  <si>
    <t>무적지존 1권</t>
  </si>
  <si>
    <t>ID:3122-7400-5522-93894</t>
  </si>
  <si>
    <t>본레로</t>
  </si>
  <si>
    <t>[10%할인] 킬러 비트 외전</t>
  </si>
  <si>
    <t>티디</t>
  </si>
  <si>
    <t>NZD</t>
  </si>
  <si>
    <t>NZ</t>
  </si>
  <si>
    <t>ID:3155-8871-5132-46539</t>
  </si>
  <si>
    <t>[10%할인] 환생했더니 정령군주 7권</t>
  </si>
  <si>
    <t>ID:3155-6491-2168-02301</t>
  </si>
  <si>
    <t>[10%할인] 더 게이트 2권</t>
  </si>
  <si>
    <t>조건상</t>
  </si>
  <si>
    <t>ID:3121-4762-3269-48567</t>
  </si>
  <si>
    <t>PKEY:2398</t>
  </si>
  <si>
    <t>[10%할인] 고검광무 2</t>
  </si>
  <si>
    <t>ID:1152687838151216</t>
  </si>
  <si>
    <t>ID:1161118433558184</t>
  </si>
  <si>
    <t>ID:1199137354212517</t>
  </si>
  <si>
    <t>ID:1176491247436867</t>
  </si>
  <si>
    <t>ID:1138540492418725</t>
  </si>
  <si>
    <t>ID:1106581999056694</t>
  </si>
  <si>
    <t>PKEY:84330</t>
  </si>
  <si>
    <t>풍운전설 1</t>
  </si>
  <si>
    <t>ID:1166668435829256</t>
  </si>
  <si>
    <t>광풍가 1권</t>
  </si>
  <si>
    <t>ID:1195847050126437</t>
  </si>
  <si>
    <t>성형무공, 가슴 키워드림 1권</t>
  </si>
  <si>
    <t>ID:1122488071036920</t>
  </si>
  <si>
    <t>천왕무 1권</t>
  </si>
  <si>
    <t>ID:3127-8225-7767-05416</t>
  </si>
  <si>
    <t>ID:1136763963946627</t>
  </si>
  <si>
    <t>대마불사 1권</t>
  </si>
  <si>
    <t>ID:1115488738836995</t>
  </si>
  <si>
    <t>ID:1198199110611414</t>
  </si>
  <si>
    <t>ID:1161030387793662</t>
  </si>
  <si>
    <t>PKEY:147364</t>
  </si>
  <si>
    <t>신전을 털어라 1권</t>
  </si>
  <si>
    <t>ID:1116139320018177</t>
  </si>
  <si>
    <t>ID:1117370376179844</t>
  </si>
  <si>
    <t>THB</t>
  </si>
  <si>
    <t>TH</t>
  </si>
  <si>
    <t>ID:3182-8796-8938-88561</t>
  </si>
  <si>
    <t>[10%할인] 황금백수 5권</t>
  </si>
  <si>
    <t>ID:1140160395809894</t>
  </si>
  <si>
    <t>ID:1196515147646196</t>
  </si>
  <si>
    <t>[19금] 무릎과 무릎사이 1권</t>
  </si>
  <si>
    <t>FR</t>
  </si>
  <si>
    <t>ID:1118553773264577</t>
  </si>
  <si>
    <t>ID:3117-7805-0641-03014</t>
  </si>
  <si>
    <t>[10%할인] 노병은 죽지 않는다 2권</t>
  </si>
  <si>
    <t>ROHRAN</t>
  </si>
  <si>
    <t>ID:3134-4400-4334-85554</t>
  </si>
  <si>
    <t>ID:1168580324485993</t>
  </si>
  <si>
    <t>ID:1116559919901382</t>
  </si>
  <si>
    <t>ID:3177-1540-4859-75886</t>
  </si>
  <si>
    <t>[10%할인] 대한민국 절대 재벌 6권</t>
  </si>
  <si>
    <t>ID:3149-8469-9955-66289</t>
  </si>
  <si>
    <t>[10%할인] [19금] 악마의 주인 2권</t>
  </si>
  <si>
    <t>알그레브</t>
  </si>
  <si>
    <t>[10%할인] [19금] 악마의 주인 3권</t>
  </si>
  <si>
    <t>ID:1103129580818240</t>
  </si>
  <si>
    <t>ID:1189375195851081</t>
  </si>
  <si>
    <t>내 안에 몬스터있다 1권</t>
  </si>
  <si>
    <t>ID:3157-1708-2788-78295</t>
  </si>
  <si>
    <t>[10%할인] 리턴 에이스 2권</t>
  </si>
  <si>
    <t>ID:1150132824126791</t>
  </si>
  <si>
    <t>ID:1104217612297365</t>
  </si>
  <si>
    <t>던전팜! 1권</t>
  </si>
  <si>
    <t>ID:3124-2686-8653-30427</t>
  </si>
  <si>
    <t>[10%할인] 재벌가 차남은 먼치킨 2권</t>
  </si>
  <si>
    <t>ID:3148-6441-4169-82553</t>
  </si>
  <si>
    <t>[10%할인] 선검 3권</t>
  </si>
  <si>
    <t>ID:1150822015536173</t>
  </si>
  <si>
    <t>태산북두 1권</t>
  </si>
  <si>
    <t>ID:1177367355936734</t>
  </si>
  <si>
    <t>ID:1100258783726908</t>
  </si>
  <si>
    <t>파공검제 1권</t>
  </si>
  <si>
    <t>ID:1185352100668609</t>
  </si>
  <si>
    <t>ID:1182959072020876</t>
  </si>
  <si>
    <t>ID:1119124205286043</t>
  </si>
  <si>
    <t>ID:3190-5732-9961-72472</t>
  </si>
  <si>
    <t>[10%할인] 던전팜! 2권</t>
  </si>
  <si>
    <t>ID:1125959546286437</t>
  </si>
  <si>
    <t>ID:1119209430304698</t>
  </si>
  <si>
    <t>ID:1140825553863566</t>
  </si>
  <si>
    <t>ID:1113380836508531</t>
  </si>
  <si>
    <t>재벌가 장남은 가치를 본다! 1권</t>
  </si>
  <si>
    <t>ID:1173009279852814</t>
  </si>
  <si>
    <t>ID:1163881993352816</t>
  </si>
  <si>
    <t>ID:1189231154133997</t>
  </si>
  <si>
    <t>헌드레드 헤븐 1권</t>
  </si>
  <si>
    <t>이경영</t>
  </si>
  <si>
    <t>ID:1142684863760612</t>
  </si>
  <si>
    <t>ID:3173-7628-4253-63173</t>
  </si>
  <si>
    <t>[10%할인] [대여할인이벤트]지존독보 (至尊獨步) 1</t>
  </si>
  <si>
    <t>[10%할인] 지존독보 (至尊獨步) 2</t>
  </si>
  <si>
    <t>[10%할인] 지존독보 (至尊獨步) 3</t>
  </si>
  <si>
    <t>[10%할인] 지존독보 (至尊獨步) 4</t>
  </si>
  <si>
    <t>[10%할인] 지존독보 (至尊獨步) 5 (완결)</t>
  </si>
  <si>
    <t>ID:3167-8405-0558-36713</t>
  </si>
  <si>
    <t>[10%할인] 리턴 에이스 3권</t>
  </si>
  <si>
    <t>ID:3178-0393-6408-74597</t>
  </si>
  <si>
    <t>[10%할인] 검풍연가 1권</t>
  </si>
  <si>
    <t>사마달</t>
  </si>
  <si>
    <t>ID:1124786146240842</t>
  </si>
  <si>
    <t>ID:3125-6870-0693-78874</t>
  </si>
  <si>
    <t>[10%할인] 구천마신 2권</t>
  </si>
  <si>
    <t>ID:1184214907706986</t>
  </si>
  <si>
    <t>ID:1128256323825325</t>
  </si>
  <si>
    <t>나만의 마조 선생님 1권</t>
  </si>
  <si>
    <t>순애의망나니</t>
  </si>
  <si>
    <t>ID:3191-3871-6865-17602</t>
  </si>
  <si>
    <t>[10%할인] 환생했더니 정령군주 8권</t>
  </si>
  <si>
    <t>ID:3109-7192-0850-82301</t>
  </si>
  <si>
    <t>ID:3143-8553-6918-46627</t>
  </si>
  <si>
    <t>[10%할인] 던전팜! 3권</t>
  </si>
  <si>
    <t>ID:3198-8416-4948-44599</t>
  </si>
  <si>
    <t>[10%할인] 만렙요원 : 재벌이 되다 11권</t>
  </si>
  <si>
    <t>ID:3199-3687-4939-35948</t>
  </si>
  <si>
    <t>[10%할인] 검풍연가 2권</t>
  </si>
  <si>
    <t>ID:1146270012898657</t>
  </si>
  <si>
    <t>ID:1156834128652532</t>
  </si>
  <si>
    <t>ID:1184723228770783</t>
  </si>
  <si>
    <t>ID:1187691156979401</t>
  </si>
  <si>
    <t>ID:1118294560399660</t>
  </si>
  <si>
    <t>주식의 신 1권</t>
  </si>
  <si>
    <t>ID:1135491380231623</t>
  </si>
  <si>
    <t>PKEY:95619</t>
  </si>
  <si>
    <t>그랜져 1권</t>
  </si>
  <si>
    <t>홍정태</t>
  </si>
  <si>
    <t>ID:1104305102300895</t>
  </si>
  <si>
    <t>ID:1188268452363078</t>
  </si>
  <si>
    <t>ID:1143239869852534</t>
  </si>
  <si>
    <t>ID:1178175252978201</t>
  </si>
  <si>
    <t>풀백이 축구를 너무 잘함 1부 1권</t>
  </si>
  <si>
    <t>ID:1144828162171821</t>
  </si>
  <si>
    <t>ID:3188-1410-7398-71503</t>
  </si>
  <si>
    <t>[10%할인] 선검 4권</t>
  </si>
  <si>
    <t>ID:1178947758594728</t>
  </si>
  <si>
    <t>ID:1106518333483705</t>
  </si>
  <si>
    <t>ID:3156-5575-9836-88860</t>
  </si>
  <si>
    <t>ID:1128763801587625</t>
  </si>
  <si>
    <t>ID:3165-5195-7482-73055</t>
  </si>
  <si>
    <t>[10%할인] 두목무적 2권</t>
  </si>
  <si>
    <t>ID:1161802052213778</t>
  </si>
  <si>
    <t>ID:3179-6626-7290-57035</t>
  </si>
  <si>
    <t>[10%할인] 천마대전 2권</t>
  </si>
  <si>
    <t>ID:1172905353207196</t>
  </si>
  <si>
    <t>ID:1186874469665901</t>
  </si>
  <si>
    <t>ID:1138666805417494</t>
  </si>
  <si>
    <t>ID:1115322171362761</t>
  </si>
  <si>
    <t>부활의 시간 1권</t>
  </si>
  <si>
    <t>26. 2. 6.</t>
  </si>
  <si>
    <t>ID:1187810034187982</t>
  </si>
  <si>
    <t>ID:1125731962644533</t>
  </si>
  <si>
    <t>ID:1193688425102629</t>
  </si>
  <si>
    <t>ID:1167595244334948</t>
  </si>
  <si>
    <t>ID:1178371789005093</t>
  </si>
  <si>
    <t>ID:1109331730785093</t>
  </si>
  <si>
    <t>환생혈마 1권</t>
  </si>
  <si>
    <t>파인블루</t>
  </si>
  <si>
    <t>ID:1142737441375394</t>
  </si>
  <si>
    <t>ID:3197-9657-1605-66192</t>
  </si>
  <si>
    <t>[10%할인] 만렙요원 : 재벌이 되다 12권</t>
  </si>
  <si>
    <t>ID:1143833826829500</t>
  </si>
  <si>
    <t>ID:1141969406799304</t>
  </si>
  <si>
    <t>ID:1186647180439044</t>
  </si>
  <si>
    <t>ID:1193693075300529</t>
  </si>
  <si>
    <t>ID:3199-9597-9648-41877</t>
  </si>
  <si>
    <t>러브홀릭</t>
  </si>
  <si>
    <t>[10%할인] 패악질 1권</t>
  </si>
  <si>
    <t>계바비</t>
  </si>
  <si>
    <t>ID:3110-5196-8394-17149</t>
  </si>
  <si>
    <t>[10%할인] 수를 읽는 남자, 세상을 바꾸는 컨설턴트 2권</t>
  </si>
  <si>
    <t>ID:1123943610300056</t>
  </si>
  <si>
    <t>ID:3182-0976-8133-54410</t>
  </si>
  <si>
    <t>PKEY:2399</t>
  </si>
  <si>
    <t>[10%할인] 고검광무 3</t>
  </si>
  <si>
    <t>ID:1146510700669778</t>
  </si>
  <si>
    <t>ID:1130915730163412</t>
  </si>
  <si>
    <t>ID:1155560301640515</t>
  </si>
  <si>
    <t>ID:1192794393437437</t>
  </si>
  <si>
    <t>ID:1107384475188269</t>
  </si>
  <si>
    <t>ID:1109358176677133</t>
  </si>
  <si>
    <t>ID:1154039657372517</t>
  </si>
  <si>
    <t>ID:3110-1197-2380-35052</t>
  </si>
  <si>
    <t>[10%할인] 구천마신 3권</t>
  </si>
  <si>
    <t>[10%할인] 구천마신 4권</t>
  </si>
  <si>
    <t>[10%할인] 구천마신 5권</t>
  </si>
  <si>
    <t>[10%할인] 구천마신 6권</t>
  </si>
  <si>
    <t>[10%할인] 구천마신 7권</t>
  </si>
  <si>
    <t>[10%할인] 구천마신 9권</t>
  </si>
  <si>
    <t>[10%할인] 구천마신 10권</t>
  </si>
  <si>
    <t>ID:3156-9106-0022-19262</t>
  </si>
  <si>
    <t>[10%할인] 패악질 2권</t>
  </si>
  <si>
    <t>ID:1140366231741874</t>
  </si>
  <si>
    <t>ID:1146744737018481</t>
  </si>
  <si>
    <t>ID:1175297047272906</t>
  </si>
  <si>
    <t>ID:1153544801600733</t>
  </si>
  <si>
    <t>ID:1106754324088763</t>
  </si>
  <si>
    <t>[19금] Long Live The Queen 1권</t>
  </si>
  <si>
    <t>밝지</t>
  </si>
  <si>
    <t>ID:1103099421263464</t>
  </si>
  <si>
    <t>ID:1174159815002604</t>
  </si>
  <si>
    <t>ID:3105-4816-1063-40483</t>
  </si>
  <si>
    <t>[10%할인] 금수저 생활백서 2권</t>
  </si>
  <si>
    <t>강동호</t>
  </si>
  <si>
    <t>ID:1124207661569790</t>
  </si>
  <si>
    <t>ID:1136304871619430</t>
  </si>
  <si>
    <t>ID:1174064519600683</t>
  </si>
  <si>
    <t>신흥재벌 1권</t>
  </si>
  <si>
    <t>ID:3197-8857-3583-91699</t>
  </si>
  <si>
    <t>ID:3183-7031-4346-63055</t>
  </si>
  <si>
    <t>[10%할인] 검풍연가 3권</t>
  </si>
  <si>
    <t>ID:1124782476379569</t>
  </si>
  <si>
    <t>ID:1161917467207570</t>
  </si>
  <si>
    <t>ID:1195440402841864</t>
  </si>
  <si>
    <t>ID:1181943710396761</t>
  </si>
  <si>
    <t>ID:3164-2972-7715-27899</t>
  </si>
  <si>
    <t>[10%할인] 대한민국 절대 재벌 7권</t>
  </si>
  <si>
    <t>ID:1179732205101240</t>
  </si>
  <si>
    <t>ID:1166971089092043</t>
  </si>
  <si>
    <t>ID:3180-4995-4409-73584</t>
  </si>
  <si>
    <t>[10% 할인] 레드 코너 메리지 1권</t>
  </si>
  <si>
    <t>아르곤18</t>
  </si>
  <si>
    <t>ID:1131146417788847</t>
  </si>
  <si>
    <t>ID:3121-1244-6726-03436</t>
  </si>
  <si>
    <t>PKEY:96099</t>
  </si>
  <si>
    <t>[10%할인] 브레이슬릿 2권</t>
  </si>
  <si>
    <t>ID:1199832828464501</t>
  </si>
  <si>
    <t>ID:1103776886495376</t>
  </si>
  <si>
    <t>ID:1139135805566991</t>
  </si>
  <si>
    <t>ID:1102237543429845</t>
  </si>
  <si>
    <t>너희가 정령을 아느냐 1권</t>
  </si>
  <si>
    <t>철백</t>
  </si>
  <si>
    <t>ID:1187926782583395</t>
  </si>
  <si>
    <t>ID:1166690266206297</t>
  </si>
  <si>
    <t>IDR</t>
  </si>
  <si>
    <t>ID</t>
  </si>
  <si>
    <t>ID:1104459244769362</t>
  </si>
  <si>
    <t>ID:1164321423782436</t>
  </si>
  <si>
    <t>ID:3138-7341-8348-09976</t>
  </si>
  <si>
    <t>[10%할인] 더 게이트 1권</t>
  </si>
  <si>
    <t>ID:1146660224775575</t>
  </si>
  <si>
    <t>ID:1104826671633701</t>
  </si>
  <si>
    <t>ID:1170298142557307</t>
  </si>
  <si>
    <t>ID:1161845008421421</t>
  </si>
  <si>
    <t>ID:1164219480618821</t>
  </si>
  <si>
    <t>ID:1157252904228428</t>
  </si>
  <si>
    <t>ID:1176345634017036</t>
  </si>
  <si>
    <t>ID:1137918348116261</t>
  </si>
  <si>
    <t>눈으로 보는 광고 천재 1권</t>
  </si>
  <si>
    <t>킹묵</t>
  </si>
  <si>
    <t>ID:3153-6944-9122-90885</t>
  </si>
  <si>
    <t>[10%할인] [19금] 스패셜 힐러 2권</t>
  </si>
  <si>
    <t>ID:1110470369845861</t>
  </si>
  <si>
    <t>ID:3166-8163-3942-53896</t>
  </si>
  <si>
    <t>[10%할인] 태양전기 1권</t>
  </si>
  <si>
    <t>ID:3199-6414-8126-24277</t>
  </si>
  <si>
    <t>PKEY:77486</t>
  </si>
  <si>
    <t>[10%할인] 뇌정혈(雷霆穴)1</t>
  </si>
  <si>
    <t>PKEY:77487</t>
  </si>
  <si>
    <t>[10%할인] 뇌정혈(雷霆穴)2</t>
  </si>
  <si>
    <t>PKEY:77488</t>
  </si>
  <si>
    <t>[10%할인] 뇌정혈(雷霆穴)3</t>
  </si>
  <si>
    <t>PKEY:77489</t>
  </si>
  <si>
    <t>[10%할인] 뇌정혈(雷霆穴)4 완결</t>
  </si>
  <si>
    <t>ID:3146-3419-9038-34626</t>
  </si>
  <si>
    <t>[10%할인] 고인물, 무림에 가다 1권</t>
  </si>
  <si>
    <t>ID:3158-0267-9839-95909</t>
  </si>
  <si>
    <t>[10%할인] [19금] 스패셜 힐러 3권</t>
  </si>
  <si>
    <t>ID:3194-3460-7443-72392</t>
  </si>
  <si>
    <t>[10% 할인] 레드 코너 메리지 2권</t>
  </si>
  <si>
    <t>ID:1164231784133738</t>
  </si>
  <si>
    <t>ID:3197-3067-3312-94744</t>
  </si>
  <si>
    <t>[10%할인] 성형무공, 가슴 키워드림 4권</t>
  </si>
  <si>
    <t>ID:1121925262341227</t>
  </si>
  <si>
    <t>ID:1129145612434987</t>
  </si>
  <si>
    <t>ID:1169985844181747</t>
  </si>
  <si>
    <t>이혼 후 재벌 각성! 1권</t>
  </si>
  <si>
    <t>ID:3135-1437-9240-92985</t>
  </si>
  <si>
    <t>[10% 할인] 레드 코너 메리지 3권</t>
  </si>
  <si>
    <t>ID:1132496398842878</t>
  </si>
  <si>
    <t>ID:1113726640913691</t>
  </si>
  <si>
    <t>ID:1109405479650723</t>
  </si>
  <si>
    <t>PKEY:149250</t>
  </si>
  <si>
    <t>십검애사 1권</t>
  </si>
  <si>
    <t>ID:3183-4709-0961-53865</t>
  </si>
  <si>
    <t>[10%할인] [19금] 스패셜 힐러 4권</t>
  </si>
  <si>
    <t>ID:1184842723646900</t>
  </si>
  <si>
    <t>전능의 팔찌 1권</t>
  </si>
  <si>
    <t>ID:1187057769303067</t>
  </si>
  <si>
    <t>전설 속 검신의 재림 1권</t>
  </si>
  <si>
    <t>김조선</t>
  </si>
  <si>
    <t>ID:1135454922599567</t>
  </si>
  <si>
    <t>MLB-메이저 리그 1권</t>
  </si>
  <si>
    <t>ID:3152-6875-4960-34669</t>
  </si>
  <si>
    <t>[10% 할인] 레드 코너 메리지 4권</t>
  </si>
  <si>
    <t>[10% 할인] 레드 코너 메리지 5권</t>
  </si>
  <si>
    <t>[10% 할인] 레드 코너 메리지 6권</t>
  </si>
  <si>
    <t>ID:3100-1666-3296-45576</t>
  </si>
  <si>
    <t>PKEY:149252</t>
  </si>
  <si>
    <t>[10%할인] 십검애사 2권</t>
  </si>
  <si>
    <t>ID:1111896856939792</t>
  </si>
  <si>
    <t>ID:3132-1094-7218-34363</t>
  </si>
  <si>
    <t>[10% 할인] 노가다 김씨, 자동사냥으로 꿀 빱니다 1권</t>
  </si>
  <si>
    <t>ID:1135260780331759</t>
  </si>
  <si>
    <t>도사 청수 1권</t>
  </si>
  <si>
    <t>ID:3128-5249-3860-46963</t>
  </si>
  <si>
    <t>[10%할인] 수를 읽는 남자, 세상을 바꾸는 컨설턴트 3권</t>
  </si>
  <si>
    <t>ID:1161886297182194</t>
  </si>
  <si>
    <t>ID:3193-0281-0874-46118</t>
  </si>
  <si>
    <t>PKEY:96100</t>
  </si>
  <si>
    <t>[10%할인] 브레이슬릿 3권</t>
  </si>
  <si>
    <t>ID:1139433948748965</t>
  </si>
  <si>
    <t>ID:3189-3947-0659-12070</t>
  </si>
  <si>
    <t>PKEY:78430</t>
  </si>
  <si>
    <t>[10%할인] 풍류자객 1</t>
  </si>
  <si>
    <t>ID:3179-1233-3523-07811</t>
  </si>
  <si>
    <t>[10%할인] 대무사 2권</t>
  </si>
  <si>
    <t>ID:1105879804711957</t>
  </si>
  <si>
    <t>ID:1179605951830145</t>
  </si>
  <si>
    <t>ID:3137-8341-1596-12702</t>
  </si>
  <si>
    <t>ID:1177953114019758</t>
  </si>
  <si>
    <t>ID:1188141810236372</t>
  </si>
  <si>
    <t>ID:3122-1155-8810-83384</t>
  </si>
  <si>
    <t>ID:3116-1845-8394-83044</t>
  </si>
  <si>
    <t>[10%할인] 무당학사전 6권</t>
  </si>
  <si>
    <t>ID:3199-4300-2152-20174</t>
  </si>
  <si>
    <t>[10%할인] 던전팜! 4권</t>
  </si>
  <si>
    <t>ID:1134521754348605</t>
  </si>
  <si>
    <t>ID:1191714271588344</t>
  </si>
  <si>
    <t>환상구현자 1권</t>
  </si>
  <si>
    <t>ID:1187550858616007</t>
  </si>
  <si>
    <t>초능력활용법 1권</t>
  </si>
  <si>
    <t>ID:1199416817632646</t>
  </si>
  <si>
    <t>ID:1164758447545070</t>
  </si>
  <si>
    <t>[19금] 오크의 능욕 1권</t>
  </si>
  <si>
    <t>타스케</t>
  </si>
  <si>
    <t>ID:1127757757688770</t>
  </si>
  <si>
    <t>VND</t>
  </si>
  <si>
    <t>VN</t>
  </si>
  <si>
    <t>ID:1194971914072741</t>
  </si>
  <si>
    <t>ID:1193433107359306</t>
  </si>
  <si>
    <t>HKD</t>
  </si>
  <si>
    <t>HK</t>
  </si>
  <si>
    <t>ID:1166961444698377</t>
  </si>
  <si>
    <t>26. 2. 7.</t>
  </si>
  <si>
    <t>ID:3196-0096-5192-26814</t>
  </si>
  <si>
    <t>ID:3113-6788-1142-73102</t>
  </si>
  <si>
    <t>[10%할인] 동백유엽검 6권</t>
  </si>
  <si>
    <t>ID:3134-2217-3895-28996</t>
  </si>
  <si>
    <t>[10%할인] 슈퍼스타, 누구도 막을 수 없어 !!!!!! 2권</t>
  </si>
  <si>
    <t>ID:1120307715811443</t>
  </si>
  <si>
    <t>ID:1146818451650415</t>
  </si>
  <si>
    <t>ID:3101-7383-7251-47069</t>
  </si>
  <si>
    <t>[10%할인] 선검 5권</t>
  </si>
  <si>
    <t>ID:3182-7450-5619-18744</t>
  </si>
  <si>
    <t>[10%할인] 무적천년 2권</t>
  </si>
  <si>
    <t>[10%할인] 무적천년 3권 완결</t>
  </si>
  <si>
    <t>ID:3169-0015-5585-63651</t>
  </si>
  <si>
    <t>[10%할인] 던전팜! 5권</t>
  </si>
  <si>
    <t>ID:1120774135895847</t>
  </si>
  <si>
    <t>ID:1179600045341530</t>
  </si>
  <si>
    <t>ID:3122-9789-4136-56087</t>
  </si>
  <si>
    <t>[10%할인] 환상구현자 2권</t>
  </si>
  <si>
    <t>ID:1184307078531861</t>
  </si>
  <si>
    <t>ID:1119101821575644</t>
  </si>
  <si>
    <t>ID:1147279756568301</t>
  </si>
  <si>
    <t>ID:1121578016333175</t>
  </si>
  <si>
    <t>ID:1193125525992001</t>
  </si>
  <si>
    <t>ID:1118412111856415</t>
  </si>
  <si>
    <t>뉴 월드 1권</t>
  </si>
  <si>
    <t>ID:1126013411823426</t>
  </si>
  <si>
    <t>PKEY:96057</t>
  </si>
  <si>
    <t>빈센트(Vincent) 1권</t>
  </si>
  <si>
    <t>ID:3184-8708-2154-65444</t>
  </si>
  <si>
    <t>[10%할인] 던전팜! 6권</t>
  </si>
  <si>
    <t>ID:3191-3046-9102-04939</t>
  </si>
  <si>
    <t>ID:1193985224051145</t>
  </si>
  <si>
    <t>공작 성의 비밀 1권</t>
  </si>
  <si>
    <t>우주나무</t>
  </si>
  <si>
    <t>ID:1132934472285343</t>
  </si>
  <si>
    <t>ID:1136535060216084</t>
  </si>
  <si>
    <t>ID:1115803773679906</t>
  </si>
  <si>
    <t>ID:1181783322409491</t>
  </si>
  <si>
    <t>ID:1192675308353601</t>
  </si>
  <si>
    <t>ID:1120601333761916</t>
  </si>
  <si>
    <t>ID:3145-7221-0815-69465</t>
  </si>
  <si>
    <t>[10%할인] 슈퍼스타, 누구도 막을 수 없어 !!!!!! 3권</t>
  </si>
  <si>
    <t>ID:3128-3874-4561-13192</t>
  </si>
  <si>
    <t>[10%할인] 파공검제 12권</t>
  </si>
  <si>
    <t>ID:1168262080605125</t>
  </si>
  <si>
    <t>9클래스 소드 마스터 : 검의 구도자 1권</t>
  </si>
  <si>
    <t>이형석</t>
  </si>
  <si>
    <t>ID:3137-4520-2510-35739</t>
  </si>
  <si>
    <t>[10%할인] 무당학사전 4권</t>
  </si>
  <si>
    <t>ID:1172532740525769</t>
  </si>
  <si>
    <t>ID:1195566243365930</t>
  </si>
  <si>
    <t>ID:1190642564163104</t>
  </si>
  <si>
    <t>ID:1119629836462161</t>
  </si>
  <si>
    <t>ID:1169150696707410</t>
  </si>
  <si>
    <t>[19금] 사기의 신 1권</t>
  </si>
  <si>
    <t>차새</t>
  </si>
  <si>
    <t>ID:1147011332656383</t>
  </si>
  <si>
    <t>ID:1174682273654606</t>
  </si>
  <si>
    <t>ID:1182901816256881</t>
  </si>
  <si>
    <t>천마강림 1권</t>
  </si>
  <si>
    <t>ID:3120-3044-0182-07212</t>
  </si>
  <si>
    <t>[10%할인] 대한민국 절대 재벌 8권</t>
  </si>
  <si>
    <t>ID:1123887516680984</t>
  </si>
  <si>
    <t>ID:3186-8965-2612-35646</t>
  </si>
  <si>
    <t>[10%할인] 선검 6권</t>
  </si>
  <si>
    <t>ID:1125911680562436</t>
  </si>
  <si>
    <t>ID:3100-7508-9422-35379</t>
  </si>
  <si>
    <t>[10%할인] 슈퍼스타, 누구도 막을 수 없어 !!!!!! 4권</t>
  </si>
  <si>
    <t>ID:1173807054779844</t>
  </si>
  <si>
    <t>ID:1168740920599375</t>
  </si>
  <si>
    <t>ID:1163800031817387</t>
  </si>
  <si>
    <t>ID:1190400609571281</t>
  </si>
  <si>
    <t>[19금] 이계치우 1권</t>
  </si>
  <si>
    <t>ID:1160948900941993</t>
  </si>
  <si>
    <t>ID:3143-4570-9247-63404</t>
  </si>
  <si>
    <t>[10%할인] 무당학사전 5권</t>
  </si>
  <si>
    <t>ID:3114-7814-6214-66796</t>
  </si>
  <si>
    <t>[10%할인] 무당학사전 7권 완결</t>
  </si>
  <si>
    <t>ID:3144-3145-5027-30040</t>
  </si>
  <si>
    <t>[10%할인] 구자패왕(무삭제판) 2권</t>
  </si>
  <si>
    <t>ID:1125022673237908</t>
  </si>
  <si>
    <t>ID:1100192104785604</t>
  </si>
  <si>
    <t>듀얼 레전드 1권</t>
  </si>
  <si>
    <t>ID:3191-7333-1215-80975</t>
  </si>
  <si>
    <t>[10%할인] 그 기억의 끝에 1권</t>
  </si>
  <si>
    <t>오늘봄</t>
  </si>
  <si>
    <t>[10%할인] 그 기억의 끝에 2권</t>
  </si>
  <si>
    <t>[10%할인] 그 기억의 끝에 3권</t>
  </si>
  <si>
    <t>[10%할인] 그 기억의 끝에 4권</t>
  </si>
  <si>
    <t>[10%할인] 그 기억의 끝에 5권</t>
  </si>
  <si>
    <t>[10%할인] 그 기억의 끝에 외전</t>
  </si>
  <si>
    <t>ID:1134508426789066</t>
  </si>
  <si>
    <t>PKEY:126752</t>
  </si>
  <si>
    <t>검마전기 그라인더 1권</t>
  </si>
  <si>
    <t>남수아</t>
  </si>
  <si>
    <t>ID:3127-8718-2002-35110</t>
  </si>
  <si>
    <t>ID:1146402239630693</t>
  </si>
  <si>
    <t>ID:1127743410138050</t>
  </si>
  <si>
    <t>ID:3192-4396-2962-61917</t>
  </si>
  <si>
    <t>ID:1130159240671645</t>
  </si>
  <si>
    <t>ID:1188126051172641</t>
  </si>
  <si>
    <t>ID:1119067651852913</t>
  </si>
  <si>
    <t>코스모스 1권</t>
  </si>
  <si>
    <t>ID:1122203235803445</t>
  </si>
  <si>
    <t>ID:1146877221740760</t>
  </si>
  <si>
    <t>ID:1173686928644053</t>
  </si>
  <si>
    <t>ID:1116227971696603</t>
  </si>
  <si>
    <t>ID:1189744193935848</t>
  </si>
  <si>
    <t>ID:1173263367924056</t>
  </si>
  <si>
    <t>ID:1121779230196029</t>
  </si>
  <si>
    <t>ID:1176520089771282</t>
  </si>
  <si>
    <t>Refund</t>
  </si>
  <si>
    <t>ID:3173-9156-4847-86291</t>
  </si>
  <si>
    <t>ID:1130231319778361</t>
  </si>
  <si>
    <t>ID:3180-3632-0375-53484</t>
  </si>
  <si>
    <t>[10%할인] 환상구현자 3권</t>
  </si>
  <si>
    <t>ID:1119132519876233</t>
  </si>
  <si>
    <t>PKEY:83350</t>
  </si>
  <si>
    <t>천재가문 1</t>
  </si>
  <si>
    <t>ID:1169389230227831</t>
  </si>
  <si>
    <t>[19금] 나는 악의 무리 1권</t>
  </si>
  <si>
    <t>ID:1139653198015137</t>
  </si>
  <si>
    <t>ID:3170-8617-2802-63921</t>
  </si>
  <si>
    <t>ID:3113-2114-9404-44828</t>
  </si>
  <si>
    <t>PKEY:149253</t>
  </si>
  <si>
    <t>[10%할인] 십검애사 3권</t>
  </si>
  <si>
    <t>ID:3194-1532-5216-60087</t>
  </si>
  <si>
    <t>오드아이</t>
  </si>
  <si>
    <t>[10%할인] 왕자님은 양파 따위에 울지 않는다 5권</t>
  </si>
  <si>
    <t>제과제뼈</t>
  </si>
  <si>
    <t>ID:1112328177085528</t>
  </si>
  <si>
    <t>ID:1121896541848226</t>
  </si>
  <si>
    <t>PKEY:96090</t>
  </si>
  <si>
    <t>아티팩트 1권</t>
  </si>
  <si>
    <t>ID:1127750729331140</t>
  </si>
  <si>
    <t>ID:1124504592088833</t>
  </si>
  <si>
    <t>하늘에서 내리는 카드 1권</t>
  </si>
  <si>
    <t>허풍선</t>
  </si>
  <si>
    <t>ID:1169732904647817</t>
  </si>
  <si>
    <t>ID:3184-8435-4640-95976</t>
  </si>
  <si>
    <t>[10%할인] 대무사 3권</t>
  </si>
  <si>
    <t>ID:3105-7764-2998-89560</t>
  </si>
  <si>
    <t>[10%할인] 달마묵장 7권</t>
  </si>
  <si>
    <t>ID:1137989018984375</t>
  </si>
  <si>
    <t>ID:1138608188623028</t>
  </si>
  <si>
    <t>ID:1134109699899411</t>
  </si>
  <si>
    <t>ID:1181738949998748</t>
  </si>
  <si>
    <t>ID:1175656648038924</t>
  </si>
  <si>
    <t>ID:1118641799598827</t>
  </si>
  <si>
    <t>ID:1157871743406862</t>
  </si>
  <si>
    <t>ID:1154377093443681</t>
  </si>
  <si>
    <t>ID:1146399764018427</t>
  </si>
  <si>
    <t>ID:1127210149975559</t>
  </si>
  <si>
    <t>ID:3123-3545-7139-23811</t>
  </si>
  <si>
    <t>[10%할인] 만렙요원 : 재벌이 되다 13권</t>
  </si>
  <si>
    <t>ID:1136568861545263</t>
  </si>
  <si>
    <t>ID:1172151733966954</t>
  </si>
  <si>
    <t>ID:1149750721160849</t>
  </si>
  <si>
    <t>ID:1116454799258239</t>
  </si>
  <si>
    <t>ID:1121516410758268</t>
  </si>
  <si>
    <t>ID:1170428147334270</t>
  </si>
  <si>
    <t>데일리 히어로 1권</t>
  </si>
  <si>
    <t>ID:1130191677334473</t>
  </si>
  <si>
    <t>ID:1138082010718869</t>
  </si>
  <si>
    <t>ID:1147397364310623</t>
  </si>
  <si>
    <t>타이거맨 1권</t>
  </si>
  <si>
    <t>ID:1128430499503949</t>
  </si>
  <si>
    <t>ID:1159460783369341</t>
  </si>
  <si>
    <t>PKEY:77761</t>
  </si>
  <si>
    <t>철혈의 제왕1</t>
  </si>
  <si>
    <t>ID:3140-4855-1547-57481</t>
  </si>
  <si>
    <t>[10%할인] [BL] 커피를 부르는 노래 1권</t>
  </si>
  <si>
    <t>ID:1151138399671179</t>
  </si>
  <si>
    <t>ID:1117207803087435</t>
  </si>
  <si>
    <t>ID:1136878279280913</t>
  </si>
  <si>
    <t>ID:1193428741496125</t>
  </si>
  <si>
    <t>ID:1102396261020175</t>
  </si>
  <si>
    <t>ID:1155436408690137</t>
  </si>
  <si>
    <t>패왕마검사 1권</t>
  </si>
  <si>
    <t>ID:3127-7524-2707-97753</t>
  </si>
  <si>
    <t>[10%할인] 군림몽 4권 완결</t>
  </si>
  <si>
    <t>ID:1192538025756203</t>
  </si>
  <si>
    <t>미후전기 1권</t>
  </si>
  <si>
    <t>ID:1152935299066359</t>
  </si>
  <si>
    <t>ID:1170279235837427</t>
  </si>
  <si>
    <t>ID:1131353167191705</t>
  </si>
  <si>
    <t>ID:3154-5616-5849-22319</t>
  </si>
  <si>
    <t>[10%할인] 천룡파황보 1권</t>
  </si>
  <si>
    <t>ID:3195-6413-5410-97412</t>
  </si>
  <si>
    <t>ID:1154433525147233</t>
  </si>
  <si>
    <t>ID:3155-6509-0109-59851</t>
  </si>
  <si>
    <t>ID:1185475176508530</t>
  </si>
  <si>
    <t>ID:3115-1685-5682-94433</t>
  </si>
  <si>
    <t>[10%할인] 만렙요원 : 재벌이 되다 2권</t>
  </si>
  <si>
    <t>ID:3158-9503-6244-41601</t>
  </si>
  <si>
    <t>[10%할인] 만렙요원 : 재벌이 되다 14권</t>
  </si>
  <si>
    <t>ID:1137128166330918</t>
  </si>
  <si>
    <t>ID:1186948344358411</t>
  </si>
  <si>
    <t>ID:1123879803835990</t>
  </si>
  <si>
    <t>ID:1186144027676440</t>
  </si>
  <si>
    <t>ID:3150-5820-6035-87893</t>
  </si>
  <si>
    <t>[10%할인] 내 몸은 무한재생 2권</t>
  </si>
  <si>
    <t>라마현</t>
  </si>
  <si>
    <t>ID:1125779170522443</t>
  </si>
  <si>
    <t>ID:3126-5980-1709-83492</t>
  </si>
  <si>
    <t>[10% 할인] 노가다 김씨, 자동사냥으로 꿀 빱니다 2권</t>
  </si>
  <si>
    <t>[10% 할인] 노가다 김씨, 자동사냥으로 꿀 빱니다 3권</t>
  </si>
  <si>
    <t>[10% 할인] 노가다 김씨, 자동사냥으로 꿀 빱니다 4권</t>
  </si>
  <si>
    <t>[10% 할인] 노가다 김씨, 자동사냥으로 꿀 빱니다 5권</t>
  </si>
  <si>
    <t>[10% 할인] 노가다 김씨, 자동사냥으로 꿀 빱니다 6권</t>
  </si>
  <si>
    <t>[10% 할인] 노가다 김씨, 자동사냥으로 꿀 빱니다 7권</t>
  </si>
  <si>
    <t>[10% 할인] 노가다 김씨, 자동사냥으로 꿀 빱니다 8권</t>
  </si>
  <si>
    <t>ID:3159-4140-9132-08426</t>
  </si>
  <si>
    <t>ID:3188-0913-5621-97199</t>
  </si>
  <si>
    <t>ID:3176-6398-9830-56900</t>
  </si>
  <si>
    <t>[10%할인] 만렙요원 : 재벌이 되다 15권</t>
  </si>
  <si>
    <t>ID:3120-9001-6285-53852</t>
  </si>
  <si>
    <t>PKEY:149254</t>
  </si>
  <si>
    <t>[10%할인] 십검애사 4권</t>
  </si>
  <si>
    <t>ID:1137552559117508</t>
  </si>
  <si>
    <t>ID:1197471637811405</t>
  </si>
  <si>
    <t>ID:1161622786541499</t>
  </si>
  <si>
    <t>ID:1126752511729599</t>
  </si>
  <si>
    <t>ID:1151920089810271</t>
  </si>
  <si>
    <t>ID:1140813388414018</t>
  </si>
  <si>
    <t>정자부터 레벨 업! 1권</t>
  </si>
  <si>
    <t>범탈</t>
  </si>
  <si>
    <t>ID:1131809499351832</t>
  </si>
  <si>
    <t>ID:1132131932108166</t>
  </si>
  <si>
    <t>ID:3186-4896-3288-94754</t>
  </si>
  <si>
    <t>PKEY:96101</t>
  </si>
  <si>
    <t>[10%할인] 브레이슬릿 4권</t>
  </si>
  <si>
    <t>ID:1106675605005561</t>
  </si>
  <si>
    <t>ID:3105-4037-6973-04672</t>
  </si>
  <si>
    <t>[12월할인이벤트]친구 엄마와 친구 먹기 7권</t>
  </si>
  <si>
    <t>ID:3124-5302-3447-52024</t>
  </si>
  <si>
    <t>[10%할인] 던전팜! 7권</t>
  </si>
  <si>
    <t>ID:1106012162115673</t>
  </si>
  <si>
    <t>ID:3185-3193-6314-60396</t>
  </si>
  <si>
    <t>[10%할인] 만렙요원 : 재벌이 되다 16권</t>
  </si>
  <si>
    <t>ID:3156-9699-2705-27738</t>
  </si>
  <si>
    <t>ID:1120528995765221</t>
  </si>
  <si>
    <t>ID:1112485725173605</t>
  </si>
  <si>
    <t>ID:1119413778831091</t>
  </si>
  <si>
    <t>ID:1133033595700703</t>
  </si>
  <si>
    <t>서큐버스 하렘 1권</t>
  </si>
  <si>
    <t>ID:1137906874717425</t>
  </si>
  <si>
    <t>ID:1163300444222190</t>
  </si>
  <si>
    <t>ID:1103637102346762</t>
  </si>
  <si>
    <t>ID:1100745889725722</t>
  </si>
  <si>
    <t>ID:1197744296669420</t>
  </si>
  <si>
    <t>ID:1119814260658116</t>
  </si>
  <si>
    <t>전신의체 1권</t>
  </si>
  <si>
    <t>26. 2. 8.</t>
  </si>
  <si>
    <t>ID:1142215632545461</t>
  </si>
  <si>
    <t>[19금] 서큐버스와 인큐버스， 그들의 수행기 1권</t>
  </si>
  <si>
    <t>나무</t>
  </si>
  <si>
    <t>ID:1105959269848674</t>
  </si>
  <si>
    <t>[19금] 류타로 이야기 1권</t>
  </si>
  <si>
    <t>ID:1187775880534143</t>
  </si>
  <si>
    <t>[19금] 악마의 주인 1권</t>
  </si>
  <si>
    <t>ID:1116984291826438</t>
  </si>
  <si>
    <t>ID:1150478363492049</t>
  </si>
  <si>
    <t>ID:1132025256695345</t>
  </si>
  <si>
    <t>ID:1136051866000304</t>
  </si>
  <si>
    <t>ID:1149071071667155</t>
  </si>
  <si>
    <t>ID:1122113036571552</t>
  </si>
  <si>
    <t>ID:3130-6919-3835-87967</t>
  </si>
  <si>
    <t>[10%할인] 던전팜! 8권</t>
  </si>
  <si>
    <t>ID:1115361894151676</t>
  </si>
  <si>
    <t>ID:1139943536267799</t>
  </si>
  <si>
    <t>ID:1139867546342791</t>
  </si>
  <si>
    <t>ID:3172-6946-2662-25801</t>
  </si>
  <si>
    <t>PKEY:31310</t>
  </si>
  <si>
    <t>[10%할인] 검호 제1권</t>
  </si>
  <si>
    <t>PKEY:31311</t>
  </si>
  <si>
    <t>[10%할인] 검호 제2권</t>
  </si>
  <si>
    <t>PKEY:31428</t>
  </si>
  <si>
    <t>[10%할인] 검호 제3권</t>
  </si>
  <si>
    <t>ID:1152716033729616</t>
  </si>
  <si>
    <t>ID:1160928832662957</t>
  </si>
  <si>
    <t>ID:1149648532607038</t>
  </si>
  <si>
    <t>ID:3160-9853-1303-22957</t>
  </si>
  <si>
    <t>PKEY:77515</t>
  </si>
  <si>
    <t>[10%할인] 혈루몽(血淚夢)1</t>
  </si>
  <si>
    <t>ID:1141871543085730</t>
  </si>
  <si>
    <t>ID:3160-0269-3110-59510</t>
  </si>
  <si>
    <t>ID:1181569118078594</t>
  </si>
  <si>
    <t>ID:1183065348089104</t>
  </si>
  <si>
    <t>PKEY:139794</t>
  </si>
  <si>
    <t>시검서생(詩劍書生) 1권</t>
  </si>
  <si>
    <t>ID:3122-3266-5455-97603</t>
  </si>
  <si>
    <t>[10%할인] 던전팜! 9권</t>
  </si>
  <si>
    <t>ID:1153053755892044</t>
  </si>
  <si>
    <t>ID:1175974515628103</t>
  </si>
  <si>
    <t>ID:3108-0046-1932-95920</t>
  </si>
  <si>
    <t>[10%할인] 성형무공, 가슴 키워드림 2권</t>
  </si>
  <si>
    <t>[10%할인] 성형무공, 가슴 키워드림 3권</t>
  </si>
  <si>
    <t>[10%할인] 성형무공, 가슴 키워드림 5권</t>
  </si>
  <si>
    <t>[10%할인] 성형무공, 가슴 키워드림 6권</t>
  </si>
  <si>
    <t>[10%할인] 성형무공, 가슴 키워드림 7권</t>
  </si>
  <si>
    <t>[10%할인] 성형무공, 가슴 키워드림 8권</t>
  </si>
  <si>
    <t>ID:1168464079278402</t>
  </si>
  <si>
    <t>ID:1104873684887606</t>
  </si>
  <si>
    <t>ID:3138-8276-3354-12696</t>
  </si>
  <si>
    <t>[10%할인] 환상구현자 4권</t>
  </si>
  <si>
    <t>ID:1197352569090377</t>
  </si>
  <si>
    <t>[19금] 현지인 1권</t>
  </si>
  <si>
    <t>가면인</t>
  </si>
  <si>
    <t>ID:1115141227483239</t>
  </si>
  <si>
    <t>ID:1117106264569825</t>
  </si>
  <si>
    <t>ID:1195956297574934</t>
  </si>
  <si>
    <t>ID:3109-3833-3156-68830</t>
  </si>
  <si>
    <t>[10%할인] 대한민국 절대 재벌 9권</t>
  </si>
  <si>
    <t>ID:3187-8732-8684-75596</t>
  </si>
  <si>
    <t>[10%할인] 곤륜패선(崑崙覇仙) 1권</t>
  </si>
  <si>
    <t>ID:3159-9854-2276-76766</t>
  </si>
  <si>
    <t>[10%할인] 효종 2권</t>
  </si>
  <si>
    <t>ID:1186728684987405</t>
  </si>
  <si>
    <t>ID:3177-2731-7261-59311</t>
  </si>
  <si>
    <t>ID:1102026096070454</t>
  </si>
  <si>
    <t>ID:3162-5840-7368-48126</t>
  </si>
  <si>
    <t>[10%할인] 두목무적 3권</t>
  </si>
  <si>
    <t>ID:3144-0087-4830-95766</t>
  </si>
  <si>
    <t>[10%할인] 이혼 후 재벌 각성! 2권</t>
  </si>
  <si>
    <t>ID:1131698626597220</t>
  </si>
  <si>
    <t>ID:1161347904760937</t>
  </si>
  <si>
    <t>ID:1132511704058849</t>
  </si>
  <si>
    <t>ID:3149-0957-1603-55775</t>
  </si>
  <si>
    <t>ID:1112317065463688</t>
  </si>
  <si>
    <t>ID:1131573631053651</t>
  </si>
  <si>
    <t>ID:1123654700065957</t>
  </si>
  <si>
    <t>노병은 죽지 않는다 1권</t>
  </si>
  <si>
    <t>ID:1185499477235527</t>
  </si>
  <si>
    <t>ID:1109929942714306</t>
  </si>
  <si>
    <t>ID:1141341018994160</t>
  </si>
  <si>
    <t>ID:1164432685043259</t>
  </si>
  <si>
    <t>SGD</t>
  </si>
  <si>
    <t>SG</t>
  </si>
  <si>
    <t>ID:3167-2423-5738-51279</t>
  </si>
  <si>
    <t>[10%할인] 대무사 4권</t>
  </si>
  <si>
    <t>[10%할인] 대무사 5권</t>
  </si>
  <si>
    <t>ID:1144208454610829</t>
  </si>
  <si>
    <t>ID:1155019929201699</t>
  </si>
  <si>
    <t>ID:3128-4926-3340-12883</t>
  </si>
  <si>
    <t>ID:1113434512749072</t>
  </si>
  <si>
    <t>ID:3110-6292-9610-44024</t>
  </si>
  <si>
    <t>ID:3102-9281-2914-44098</t>
  </si>
  <si>
    <t>ID:3149-1616-3534-42522</t>
  </si>
  <si>
    <t>ID:1156541929853456</t>
  </si>
  <si>
    <t>ID:1155592497913147</t>
  </si>
  <si>
    <t>야성의 전설 1권</t>
  </si>
  <si>
    <t>ID:1129291144652836</t>
  </si>
  <si>
    <t>ID:3194-7622-1471-48539</t>
  </si>
  <si>
    <t>ID:1171201946298243</t>
  </si>
  <si>
    <t>ID:3174-5476-5708-87858</t>
  </si>
  <si>
    <t>PKEY:96102</t>
  </si>
  <si>
    <t>[10%할인] 브레이슬릿 5권</t>
  </si>
  <si>
    <t>ID:3165-4399-0684-11451</t>
  </si>
  <si>
    <t>ID:1172150018798479</t>
  </si>
  <si>
    <t>ID:3142-4990-0143-03574</t>
  </si>
  <si>
    <t>ID:3190-2102-3151-39011</t>
  </si>
  <si>
    <t>[10%할인] 환상구현자 5권</t>
  </si>
  <si>
    <t>ID:3150-3048-2285-47286</t>
  </si>
  <si>
    <t>ID:1198536168171288</t>
  </si>
  <si>
    <t>ID:1169224282916554</t>
  </si>
  <si>
    <t>역천귀 1권</t>
  </si>
  <si>
    <t>ID:1186875622387032</t>
  </si>
  <si>
    <t>ID:1179396675291544</t>
  </si>
  <si>
    <t>ID:1153216276697148</t>
  </si>
  <si>
    <t>ID:3108-8758-7361-34818</t>
  </si>
  <si>
    <t>[10%할인] 구천마신 1권</t>
  </si>
  <si>
    <t>ID:3146-4925-5749-51799</t>
  </si>
  <si>
    <t>ID:3177-4815-5091-90724</t>
  </si>
  <si>
    <t>ID:1129023513389333</t>
  </si>
  <si>
    <t>ID:1145251181650316</t>
  </si>
  <si>
    <t>ID:1100133115831933</t>
  </si>
  <si>
    <t>ID:1123115115426724</t>
  </si>
  <si>
    <t>ID:1152642170255850</t>
  </si>
  <si>
    <t>ID:1162515295762033</t>
  </si>
  <si>
    <t>ID:3130-4331-2530-21934</t>
  </si>
  <si>
    <t>PKEY:149255</t>
  </si>
  <si>
    <t>[10%할인] 십검애사 5권</t>
  </si>
  <si>
    <t>ID:1152217369455021</t>
  </si>
  <si>
    <t>ID:3163-7647-0369-36277</t>
  </si>
  <si>
    <t>[10%할인] 십왕책(개정판) 1권</t>
  </si>
  <si>
    <t>ID:1188728600157819</t>
  </si>
  <si>
    <t>ID:3118-7765-9621-78142</t>
  </si>
  <si>
    <t>ID:1188490185878578</t>
  </si>
  <si>
    <t>ID:1140505299299891</t>
  </si>
  <si>
    <t>ID:3112-3629-6421-63031</t>
  </si>
  <si>
    <t>달콤한 최면 2권</t>
  </si>
  <si>
    <t>꾸밍크</t>
  </si>
  <si>
    <t>ID:1126493166373346</t>
  </si>
  <si>
    <t>ID:1176076614089662</t>
  </si>
  <si>
    <t>ID:1116162732574010</t>
  </si>
  <si>
    <t>PKEY:83344</t>
  </si>
  <si>
    <t>마왕출사 1</t>
  </si>
  <si>
    <t>ID:1114688115694451</t>
  </si>
  <si>
    <t>명성명운 1권</t>
  </si>
  <si>
    <t>ID:1186694871440125</t>
  </si>
  <si>
    <t>청성지검 1권</t>
  </si>
  <si>
    <t>ID:1168971646203914</t>
  </si>
  <si>
    <t>둔재무적 1권</t>
  </si>
  <si>
    <t>ID:1140390976021697</t>
  </si>
  <si>
    <t>ID:1191966399692125</t>
  </si>
  <si>
    <t>ID:1117630179849254</t>
  </si>
  <si>
    <t>화산대도 1권</t>
  </si>
  <si>
    <t>ID:1135527434019604</t>
  </si>
  <si>
    <t>ID:1128713054095974</t>
  </si>
  <si>
    <t>ID:1195962279351060</t>
  </si>
  <si>
    <t>ID:3106-0393-0087-22557</t>
  </si>
  <si>
    <t>[10%할인] 재벌집 막내 도련님은 악당입니다! 2권</t>
  </si>
  <si>
    <t>ID:1121399397454452</t>
  </si>
  <si>
    <t>ID:3184-2705-0513-24634</t>
  </si>
  <si>
    <t>ID:1102571988337607</t>
  </si>
  <si>
    <t>ID:1153329597269789</t>
  </si>
  <si>
    <t>ID:1112194260215068</t>
  </si>
  <si>
    <t>ID:3186-0312-0147-88344</t>
  </si>
  <si>
    <t>ID:1147701981682636</t>
  </si>
  <si>
    <t>ID:1199187443669038</t>
  </si>
  <si>
    <t>ID:3137-4763-4388-43747</t>
  </si>
  <si>
    <t>[10%할인] 9클래스 소드 마스터 : 검의 구도자 2권</t>
  </si>
  <si>
    <t>ID:1161154065696429</t>
  </si>
  <si>
    <t>ID:1107634858185466</t>
  </si>
  <si>
    <t>ID:3187-6680-4317-80602</t>
  </si>
  <si>
    <t>ID:1179768049611473</t>
  </si>
  <si>
    <t>ID:1106694351115819</t>
  </si>
  <si>
    <t>ID:3179-8848-2478-81681</t>
  </si>
  <si>
    <t>ID:1167498149181746</t>
  </si>
  <si>
    <t>26. 2. 9.</t>
  </si>
  <si>
    <t>ID:1169316972551709</t>
  </si>
  <si>
    <t>ID:3112-3129-2670-65102</t>
  </si>
  <si>
    <t>ID:1113305600437317</t>
  </si>
  <si>
    <t>ID:1114202484473375</t>
  </si>
  <si>
    <t>ID:1153785121127039</t>
  </si>
  <si>
    <t>ID:1145305137369639</t>
  </si>
  <si>
    <t>ID:1178917275181489</t>
  </si>
  <si>
    <t>ID:1153666078800175</t>
  </si>
  <si>
    <t>ID:3186-4046-1516-97591</t>
  </si>
  <si>
    <t>신풍기협(神風奇俠) 1권</t>
  </si>
  <si>
    <t>ID:3154-1822-2072-45580</t>
  </si>
  <si>
    <t>ID:3106-9910-0138-53663</t>
  </si>
  <si>
    <t>[BL] 악마의 파수꾼 3권 (완결)</t>
  </si>
  <si>
    <t>in정</t>
  </si>
  <si>
    <t>ID:1121679796359107</t>
  </si>
  <si>
    <t>PKEY:87877</t>
  </si>
  <si>
    <t>바람의 아스란 1</t>
  </si>
  <si>
    <t>초몽</t>
  </si>
  <si>
    <t>ID:1127257677662343</t>
  </si>
  <si>
    <t>ID:1180809635941843</t>
  </si>
  <si>
    <t>똥녀 가고 여신 온다 1권</t>
  </si>
  <si>
    <t>ID:1111460298867841</t>
  </si>
  <si>
    <t>ID:1142124718476483</t>
  </si>
  <si>
    <t>ID:3113-2075-7067-46372</t>
  </si>
  <si>
    <t>천마강림 8권</t>
  </si>
  <si>
    <t>ID:3103-1293-1843-25619</t>
  </si>
  <si>
    <t>이혼 후 재벌 각성! 3권</t>
  </si>
  <si>
    <t>ID:1183280202164493</t>
  </si>
  <si>
    <t>ID:1145006603300580</t>
  </si>
  <si>
    <t>ID:3144-7814-2140-32432</t>
  </si>
  <si>
    <t>전능의 팔찌 9권</t>
  </si>
  <si>
    <t>ID:3132-4487-3048-40051</t>
  </si>
  <si>
    <t>고독천년 무삭제본 2권</t>
  </si>
  <si>
    <t>ID:3159-3946-7555-40266</t>
  </si>
  <si>
    <t>천년전쟁 2권</t>
  </si>
  <si>
    <t>천년전쟁 3권</t>
  </si>
  <si>
    <t>천년전쟁 4권</t>
  </si>
  <si>
    <t>천년전쟁 5권</t>
  </si>
  <si>
    <t>천년전쟁 6권</t>
  </si>
  <si>
    <t>천년전쟁 7권</t>
  </si>
  <si>
    <t>천년전쟁 8권</t>
  </si>
  <si>
    <t>천년전쟁 9권</t>
  </si>
  <si>
    <t>천년전쟁 10권</t>
  </si>
  <si>
    <t>천년전쟁 11권</t>
  </si>
  <si>
    <t>ID:3184-6104-4348-87038</t>
  </si>
  <si>
    <t>지존독보 (至尊獨步) 2</t>
  </si>
  <si>
    <t>지존독보 (至尊獨步) 3</t>
  </si>
  <si>
    <t>지존독보 (至尊獨步) 4</t>
  </si>
  <si>
    <t>지존독보 (至尊獨步) 5 (완결)</t>
  </si>
  <si>
    <t>ID:1102945129809510</t>
  </si>
  <si>
    <t>대망 1권</t>
  </si>
  <si>
    <t>ID:1109016556176726</t>
  </si>
  <si>
    <t>ID:1183607956397246</t>
  </si>
  <si>
    <t>ID:1174692878373413</t>
  </si>
  <si>
    <t>ID:3109-7275-1865-43616</t>
  </si>
  <si>
    <t>고독천년 무삭제본 3권</t>
  </si>
  <si>
    <t>고독천년 무삭제본 4권</t>
  </si>
  <si>
    <t>ID:1100246410282445</t>
  </si>
  <si>
    <t>뇌전의 군주 1권</t>
  </si>
  <si>
    <t>ID:3194-6250-2201-04625</t>
  </si>
  <si>
    <t>PKEY:149256</t>
  </si>
  <si>
    <t>십검애사 6권 완결</t>
  </si>
  <si>
    <t>ID:1111124788406214</t>
  </si>
  <si>
    <t>ID:1148248798775187</t>
  </si>
  <si>
    <t>[19금] 두 남편과 사는 여자 1권</t>
  </si>
  <si>
    <t>ID:1187914042338596</t>
  </si>
  <si>
    <t>[19금] 붉은 심장에 올라탄 중사 1권</t>
  </si>
  <si>
    <t>리틀곰</t>
  </si>
  <si>
    <t>ID:1198704818231345</t>
  </si>
  <si>
    <t>ID:1133130451722599</t>
  </si>
  <si>
    <t>ID:3174-7016-3135-60413</t>
  </si>
  <si>
    <t>환상구현자 6권 (완결)</t>
  </si>
  <si>
    <t>ID:1175001480951257</t>
  </si>
  <si>
    <t>ID:3165-6624-0492-31172</t>
  </si>
  <si>
    <t>아카데미의 두 번 사는 네크로맨서 1권</t>
  </si>
  <si>
    <t>그린글</t>
  </si>
  <si>
    <t>ID:1118279141479767</t>
  </si>
  <si>
    <t>[19금] The Metamorphosis 1권</t>
  </si>
  <si>
    <t>위험한 호두</t>
  </si>
  <si>
    <t>ID:1169141526340644</t>
  </si>
  <si>
    <t>ID:1184851649723700</t>
  </si>
  <si>
    <t>ID:3100-9896-0869-99060</t>
  </si>
  <si>
    <t>엑시덴탈 베이비(Accidental baby) 외전</t>
  </si>
  <si>
    <t>ID:3175-3826-2498-28101</t>
  </si>
  <si>
    <t>프리즘</t>
  </si>
  <si>
    <t>짝사랑 또 하면 내가 개다 2권</t>
  </si>
  <si>
    <t>구슬윤</t>
  </si>
  <si>
    <t>ID:1161889289442028</t>
  </si>
  <si>
    <t>각인 예속의 사냥꾼 1권</t>
  </si>
  <si>
    <t>오시안</t>
  </si>
  <si>
    <t>ID:1170660002532341</t>
  </si>
  <si>
    <t>ID:1185071494440043</t>
  </si>
  <si>
    <t>ID:3115-2162-3837-64658</t>
  </si>
  <si>
    <t>대한민국 절대 재벌 10권</t>
  </si>
  <si>
    <t>ID:1188828740004343</t>
  </si>
  <si>
    <t>ID:1159832376889903</t>
  </si>
  <si>
    <t>ID:1126323989701666</t>
  </si>
  <si>
    <t>ID:3151-0344-5020-79505</t>
  </si>
  <si>
    <t>엑시덴탈 베이비(Accidental baby) 5권</t>
  </si>
  <si>
    <t>ID:1197381556732265</t>
  </si>
  <si>
    <t>ID:3194-5621-1404-31211</t>
  </si>
  <si>
    <t>정의되지 않은 XX 2권</t>
  </si>
  <si>
    <t>룽다</t>
  </si>
  <si>
    <t>ID:1196195733103990</t>
  </si>
  <si>
    <t>ID:1117339218246658</t>
  </si>
  <si>
    <t>ID:1110810680677023</t>
  </si>
  <si>
    <t>ID:3178-8635-8735-81886</t>
  </si>
  <si>
    <t>재벌가 막둥이는 만능천재 6권</t>
  </si>
  <si>
    <t>ID:1179808623476865</t>
  </si>
  <si>
    <t>ID:3164-5864-6154-21515</t>
  </si>
  <si>
    <t>ID:1120812409007378</t>
  </si>
  <si>
    <t>ID:1193820584893916</t>
  </si>
  <si>
    <t>나태한 연기 천재 1권</t>
  </si>
  <si>
    <t>빅피쉬</t>
  </si>
  <si>
    <t>ID:3185-8234-7946-76837</t>
  </si>
  <si>
    <t>전능의 팔찌 10권</t>
  </si>
  <si>
    <t>ID:3172-3725-7491-64462</t>
  </si>
  <si>
    <t>황금백수 6권</t>
  </si>
  <si>
    <t>ID:3123-7073-2828-57783</t>
  </si>
  <si>
    <t>무림미녀전기 8권</t>
  </si>
  <si>
    <t>ID:1176694835278176</t>
  </si>
  <si>
    <t>ID:3171-5903-2591-19334</t>
  </si>
  <si>
    <t>무림미녀전기 7권</t>
  </si>
  <si>
    <t>ID:3152-1231-2785-17099</t>
  </si>
  <si>
    <t>구천마신 2권</t>
  </si>
  <si>
    <t>ID:1168069205184223</t>
  </si>
  <si>
    <t>조선혁명군주 1권</t>
  </si>
  <si>
    <t>ID:3108-0929-5429-23757</t>
  </si>
  <si>
    <t>대무사 6권</t>
  </si>
  <si>
    <t>대무사 7권</t>
  </si>
  <si>
    <t>대무사 8권</t>
  </si>
  <si>
    <t>ID:1126857939647888</t>
  </si>
  <si>
    <t>ID:1175121255637208</t>
  </si>
  <si>
    <t>ID:1177467351517907</t>
  </si>
  <si>
    <t>미러클 테이머 1권</t>
  </si>
  <si>
    <t>ID:1170954448133838</t>
  </si>
  <si>
    <t>ID:1111181251705438</t>
  </si>
  <si>
    <t>ID:3193-0911-6285-65921</t>
  </si>
  <si>
    <t>내 몸은 무한재생 3권</t>
  </si>
  <si>
    <t>ID:3195-7351-4725-93887</t>
  </si>
  <si>
    <t>전직 랭커는 템빨로 레벨 업! 2권</t>
  </si>
  <si>
    <t>ID:1116325396335754</t>
  </si>
  <si>
    <t>ID:1108507190586014</t>
  </si>
  <si>
    <t>ID:3161-7250-5213-84033</t>
  </si>
  <si>
    <t>재벌집 막내 도련님은 악당입니다! 3권</t>
  </si>
  <si>
    <t>ID:1192965433608939</t>
  </si>
  <si>
    <t>ID:1146735570990704</t>
  </si>
  <si>
    <t>ID:1153073403190015</t>
  </si>
  <si>
    <t>음공천하 1권</t>
  </si>
  <si>
    <t>서호</t>
  </si>
  <si>
    <t>ID:3139-4967-4898-50385</t>
  </si>
  <si>
    <t>황궁의 정원에는 개가 산다 1권</t>
  </si>
  <si>
    <t>황궁의 정원에는 개가 산다 2권</t>
  </si>
  <si>
    <t>황궁의 정원에는 개가 산다 3권</t>
  </si>
  <si>
    <t>황궁의 정원에는 개가 산다 외전</t>
  </si>
  <si>
    <t>황궁의 정원에는 개가 산다 특별 외전1</t>
  </si>
  <si>
    <t>황궁의 정원에는 개가 산다 특별 외전2</t>
  </si>
  <si>
    <t>ID:3186-0701-1892-24128</t>
  </si>
  <si>
    <t>재벌가 막둥이는 만능천재 7권</t>
  </si>
  <si>
    <t>ID:3125-6406-4099-66639</t>
  </si>
  <si>
    <t>[19금] 가족의 사생활 2권</t>
  </si>
  <si>
    <t>ID:3173-4879-0194-59111</t>
  </si>
  <si>
    <t>PKEY:31209</t>
  </si>
  <si>
    <t>철혈마혼 제1권</t>
  </si>
  <si>
    <t>ID:3128-8632-7721-47255</t>
  </si>
  <si>
    <t>비정혈(무삭제판) 2권</t>
  </si>
  <si>
    <t>ID:1127019036644325</t>
  </si>
  <si>
    <t>ID:1163095800137670</t>
  </si>
  <si>
    <t>ID:1189859530216484</t>
  </si>
  <si>
    <t>ID:1172110279970555</t>
  </si>
  <si>
    <t>ID:3182-6078-2641-91468</t>
  </si>
  <si>
    <t>비정혈(무삭제판) 3권</t>
  </si>
  <si>
    <t>ID:1137110763143059</t>
  </si>
  <si>
    <t>ID:3118-0354-7482-83574</t>
  </si>
  <si>
    <t>이혼 후 재벌 각성! 4권</t>
  </si>
  <si>
    <t>ID:1163488221592160</t>
  </si>
  <si>
    <t>ID:3186-1380-4562-02847</t>
  </si>
  <si>
    <t>[19금] 가족의 사생활 3권 (완결)</t>
  </si>
  <si>
    <t>ID:3183-3396-3133-67993</t>
  </si>
  <si>
    <t>던전팜! 10권</t>
  </si>
  <si>
    <t>ID:1137426928008135</t>
  </si>
  <si>
    <t>ID:1161250948774137</t>
  </si>
  <si>
    <t>26. 2. 10.</t>
  </si>
  <si>
    <t>ID:3154-5387-5246-01058</t>
  </si>
  <si>
    <t>실명마제 1권</t>
  </si>
  <si>
    <t>ID:3167-4641-4323-09861</t>
  </si>
  <si>
    <t>ID:3197-2791-8366-33462</t>
  </si>
  <si>
    <t>구천마신 3권</t>
  </si>
  <si>
    <t>ID:3171-6631-4779-94284</t>
  </si>
  <si>
    <t>만렙요원 : 재벌이 되다 3권</t>
  </si>
  <si>
    <t>ID:3183-4273-1853-98487</t>
  </si>
  <si>
    <t>무혈 제2권</t>
  </si>
  <si>
    <t>ID:1142401316292956</t>
  </si>
  <si>
    <t>ID:1171666793729950</t>
  </si>
  <si>
    <t>ID:1192045119115010</t>
  </si>
  <si>
    <t>ID:1129662012369402</t>
  </si>
  <si>
    <t>ID:1109139850225587</t>
  </si>
  <si>
    <t>ID:1130031758066963</t>
  </si>
  <si>
    <t>ID:1142372538065664</t>
  </si>
  <si>
    <t>ID:1146247448831137</t>
  </si>
  <si>
    <t>ID:1170422570035055</t>
  </si>
  <si>
    <t>PKEY:87807</t>
  </si>
  <si>
    <t>무적투왕 1</t>
  </si>
  <si>
    <t>ID:1162995358386585</t>
  </si>
  <si>
    <t>ID:3175-5574-4086-70657</t>
  </si>
  <si>
    <t>애검몽 1권</t>
  </si>
  <si>
    <t>ID:3139-0479-0171-80384</t>
  </si>
  <si>
    <t>ID:3126-8312-4322-26830</t>
  </si>
  <si>
    <t>ID:1103002952343486</t>
  </si>
  <si>
    <t>ID:3193-6247-4040-67508</t>
  </si>
  <si>
    <t>ID:3115-9590-8229-35728</t>
  </si>
  <si>
    <t>ID:3165-9433-4387-18510</t>
  </si>
  <si>
    <t>남자의 길 2권</t>
  </si>
  <si>
    <t>남자의 길 3권</t>
  </si>
  <si>
    <t>남자의 길 4권</t>
  </si>
  <si>
    <t>남자의 길 5권</t>
  </si>
  <si>
    <t>ID:1173887441464986</t>
  </si>
  <si>
    <t>ID:3197-3367-7412-01637</t>
  </si>
  <si>
    <t>고독천년 무삭제본 5권</t>
  </si>
  <si>
    <t>ID:1131669235425013</t>
  </si>
  <si>
    <t>천검 1권</t>
  </si>
  <si>
    <t>박현수</t>
  </si>
  <si>
    <t>ID:1163471102589491</t>
  </si>
  <si>
    <t>ID:1102188229038938</t>
  </si>
  <si>
    <t>ID:3110-4317-3513-70480</t>
  </si>
  <si>
    <t>PKEY:96048</t>
  </si>
  <si>
    <t>허리케인(Hurricane) 2권</t>
  </si>
  <si>
    <t>ID:3124-7737-7874-36595</t>
  </si>
  <si>
    <t>실명마제 2권</t>
  </si>
  <si>
    <t>ID:3105-3290-1252-36193</t>
  </si>
  <si>
    <t>ID:3161-6347-3089-71807</t>
  </si>
  <si>
    <t>역지사지 외전</t>
  </si>
  <si>
    <t>폴닉</t>
  </si>
  <si>
    <t>ID:1195647420945096</t>
  </si>
  <si>
    <t>ID:1152127733654901</t>
  </si>
  <si>
    <t>ID:1124177116057697</t>
  </si>
  <si>
    <t>고려는 천조국이 되기로 하였습니다 1권</t>
  </si>
  <si>
    <t>소라게</t>
  </si>
  <si>
    <t>ID:1154362864294044</t>
  </si>
  <si>
    <t>PKEY:147357</t>
  </si>
  <si>
    <t>보험왕 1권</t>
  </si>
  <si>
    <t>ID:3183-6315-6774-72218</t>
  </si>
  <si>
    <t>대한민국 절대 재벌 11권</t>
  </si>
  <si>
    <t>ID:1193622235987238</t>
  </si>
  <si>
    <t>ID:1155879140167224</t>
  </si>
  <si>
    <t>ID:1126285524626093</t>
  </si>
  <si>
    <t>ID:1118352454029527</t>
  </si>
  <si>
    <t>ID:1122186889082070</t>
  </si>
  <si>
    <t>ID:1162274111673087</t>
  </si>
  <si>
    <t>카드빨로 축구 스타 1권</t>
  </si>
  <si>
    <t>ID:1168664317087236</t>
  </si>
  <si>
    <t>ID:3146-4801-7060-52180</t>
  </si>
  <si>
    <t>전능의 팔찌 11권</t>
  </si>
  <si>
    <t>ID:1165582551587837</t>
  </si>
  <si>
    <t>ID:1185645295476476</t>
  </si>
  <si>
    <t>ID:1199990916544155</t>
  </si>
  <si>
    <t>ID:1152888846793328</t>
  </si>
  <si>
    <t>ID:3122-3929-5071-78932</t>
  </si>
  <si>
    <t>ID:3188-8753-7786-72537</t>
  </si>
  <si>
    <t>기적의 사나이 2권</t>
  </si>
  <si>
    <t>ID:3140-1597-9447-97688</t>
  </si>
  <si>
    <t>대공의 아이를 가졌다 3권</t>
  </si>
  <si>
    <t>채도아</t>
  </si>
  <si>
    <t>ID:3144-2780-1798-69375</t>
  </si>
  <si>
    <t>낙방학사 10권 완결</t>
  </si>
  <si>
    <t>ID:1140950876131151</t>
  </si>
  <si>
    <t>ID:1144495995396041</t>
  </si>
  <si>
    <t>ID:1107005774110996</t>
  </si>
  <si>
    <t>ID:1120451664976327</t>
  </si>
  <si>
    <t>ID:1166478501661402</t>
  </si>
  <si>
    <t>ID:1156369944215335</t>
  </si>
  <si>
    <t>ID:1150007099576319</t>
  </si>
  <si>
    <t>ID:1163989571136384</t>
  </si>
  <si>
    <t>ID:1144885781186497</t>
  </si>
  <si>
    <t>ID:1114187320086574</t>
  </si>
  <si>
    <t>ID:1123319474264405</t>
  </si>
  <si>
    <t>ID:1161611915359851</t>
  </si>
  <si>
    <t>ID:3120-0713-8532-26136</t>
  </si>
  <si>
    <t>ID:3181-7399-5106-44397</t>
  </si>
  <si>
    <t>기적의 사나이 3권</t>
  </si>
  <si>
    <t>ID:1154566341301502</t>
  </si>
  <si>
    <t>ID:1176118404126655</t>
  </si>
  <si>
    <t>ID:3127-0632-6610-15544</t>
  </si>
  <si>
    <t>재벌집 막내 도련님은 악당입니다! 4권</t>
  </si>
  <si>
    <t>ID:3199-0444-4777-01578</t>
  </si>
  <si>
    <t>ID:1161626942346878</t>
  </si>
  <si>
    <t>ID:1191927139448215</t>
  </si>
  <si>
    <t>ID:1165382758283245</t>
  </si>
  <si>
    <t>ID:3128-3759-9244-98400</t>
  </si>
  <si>
    <t>PKEY:75905</t>
  </si>
  <si>
    <t>화령의 제왕 2</t>
  </si>
  <si>
    <t>ID:1194452530787192</t>
  </si>
  <si>
    <t>ID:1171825839211758</t>
  </si>
  <si>
    <t>PEN</t>
  </si>
  <si>
    <t>PE</t>
  </si>
  <si>
    <t>ID:1158763009702172</t>
  </si>
  <si>
    <t>ID:3104-6379-9966-61753</t>
  </si>
  <si>
    <t>구천마신 4권</t>
  </si>
  <si>
    <t>ID:3151-3029-1457-55906</t>
  </si>
  <si>
    <t>ID:1192208112762890</t>
  </si>
  <si>
    <t>ID:1101813105673303</t>
  </si>
  <si>
    <t>ID:1190975458081217</t>
  </si>
  <si>
    <t>ID:3171-8335-5717-04825</t>
  </si>
  <si>
    <t>무당학사전 3권</t>
  </si>
  <si>
    <t>ID:3103-5179-7721-29358</t>
  </si>
  <si>
    <t>기적의 사나이 4권</t>
  </si>
  <si>
    <t>ID:1166260664536703</t>
  </si>
  <si>
    <t>ID:1190780312886082</t>
  </si>
  <si>
    <t>ID:1153302127235619</t>
  </si>
  <si>
    <t>ID:1133502883560734</t>
  </si>
  <si>
    <t>ID:1147066362906463</t>
  </si>
  <si>
    <t>ID:1102474407357010</t>
  </si>
  <si>
    <t>ID:1157120213422695</t>
  </si>
  <si>
    <t>ID:3144-9359-7629-32720</t>
  </si>
  <si>
    <t>고독천년 무삭제본 6권</t>
  </si>
  <si>
    <t>고독천년 무삭제본 7권</t>
  </si>
  <si>
    <t>고독천년 무삭제본 8권</t>
  </si>
  <si>
    <t>고독천년 무삭제본 9권</t>
  </si>
  <si>
    <t>ID:3168-5836-1414-37964</t>
  </si>
  <si>
    <t>파공검제 13권</t>
  </si>
  <si>
    <t>ID:1158816685541878</t>
  </si>
  <si>
    <t>ID:1190278161433147</t>
  </si>
  <si>
    <t>ID:3114-7143-5328-65258</t>
  </si>
  <si>
    <t>재벌집 막내 도련님은 악당입니다! 5권</t>
  </si>
  <si>
    <t>ID:1137210317702274</t>
  </si>
  <si>
    <t>ID:1134761985912310</t>
  </si>
  <si>
    <t>PKEY:127823</t>
  </si>
  <si>
    <t>운명이 전설로 이끌다 1권</t>
  </si>
  <si>
    <t>ID:3163-5359-0145-05752</t>
  </si>
  <si>
    <t>달마묵장 8권</t>
  </si>
  <si>
    <t>ID:1182012579659805</t>
  </si>
  <si>
    <t>ID:3105-2451-0033-11515</t>
  </si>
  <si>
    <t>전능의 팔찌 12권</t>
  </si>
  <si>
    <t>ID:1102639854423100</t>
  </si>
  <si>
    <t>COP</t>
  </si>
  <si>
    <t>CO</t>
  </si>
  <si>
    <t>ID:3141-5695-0530-09429</t>
  </si>
  <si>
    <t>ID:3194-6407-1544-49557</t>
  </si>
  <si>
    <t>엑시덴탈 베이비(Accidental baby) 3권</t>
  </si>
  <si>
    <t>엑시덴탈 베이비(Accidental baby) 4권</t>
  </si>
  <si>
    <t>ID:1106780973935242</t>
  </si>
  <si>
    <t>ID:1148914613807095</t>
  </si>
  <si>
    <t>ID:3147-8963-8622-59817</t>
  </si>
  <si>
    <t>ID:3126-8927-0326-12024</t>
  </si>
  <si>
    <t>24/7 1권</t>
  </si>
  <si>
    <t>이내리</t>
  </si>
  <si>
    <t>ID:1177594483733235</t>
  </si>
  <si>
    <t>ID:1174169726846920</t>
  </si>
  <si>
    <t>ID:3158-5270-6573-28711</t>
  </si>
  <si>
    <t>PKEY:96049</t>
  </si>
  <si>
    <t>허리케인(Hurricane) 3권</t>
  </si>
  <si>
    <t>ID:1149843429106412</t>
  </si>
  <si>
    <t>ID:1153440012848156</t>
  </si>
  <si>
    <t>ID:1139787976448746</t>
  </si>
  <si>
    <t>ID:3148-1738-1918-80714</t>
  </si>
  <si>
    <t>신체가 강화됨 4권</t>
  </si>
  <si>
    <t>ID:1196665269566800</t>
  </si>
  <si>
    <t>ID:1174135539952955</t>
  </si>
  <si>
    <t>[BL] 담배를 부르는 노래 1권</t>
  </si>
  <si>
    <t>ID:1194676144437443</t>
  </si>
  <si>
    <t>[BL] 비일비재한 이야기 1권</t>
  </si>
  <si>
    <t>얌몽이</t>
  </si>
  <si>
    <t>ID:1169849391564889</t>
  </si>
  <si>
    <t>[BL] 그래도 사랑할 수 있어? 1권</t>
  </si>
  <si>
    <t>에라브레</t>
  </si>
  <si>
    <t>ID:1108560083171450</t>
  </si>
  <si>
    <t>[BL] 9교시 연애영역 1권</t>
  </si>
  <si>
    <t>소금벌꿀</t>
  </si>
  <si>
    <t>ID:1133436616887768</t>
  </si>
  <si>
    <t>[BL] 봄이 오기까지 1권</t>
  </si>
  <si>
    <t>김귤</t>
  </si>
  <si>
    <t>ID:1147149204992560</t>
  </si>
  <si>
    <t>[BL] 그 남자와 그의 이야기 1권</t>
  </si>
  <si>
    <t>후도우이</t>
  </si>
  <si>
    <t>ID:1160608716850291</t>
  </si>
  <si>
    <t>[BL] 하룻밤의 유희 1권</t>
  </si>
  <si>
    <t>서나</t>
  </si>
  <si>
    <t>ID:1132263195525822</t>
  </si>
  <si>
    <t>[BL] 음란서생 1권</t>
  </si>
  <si>
    <t>니은</t>
  </si>
  <si>
    <t>ID:1101947541524764</t>
  </si>
  <si>
    <t>ID:1122419395654945</t>
  </si>
  <si>
    <t>무자천서 1권</t>
  </si>
  <si>
    <t>ID:1172628144469478</t>
  </si>
  <si>
    <t>ID:1189683086303860</t>
  </si>
  <si>
    <t>ID:1144115600161484</t>
  </si>
  <si>
    <t>회귀한 아포칼립스의 폭군 1권</t>
  </si>
  <si>
    <t>ID:1179579006706670</t>
  </si>
  <si>
    <t>ID:1102135176142447</t>
  </si>
  <si>
    <t>ID:1108521058332511</t>
  </si>
  <si>
    <t>현대 강림 마스터 1권</t>
  </si>
  <si>
    <t>ID:1178291564467767</t>
  </si>
  <si>
    <t>ID:1130723253194526</t>
  </si>
  <si>
    <t>ID:1130317323798186</t>
  </si>
  <si>
    <t>ID:3111-6494-0549-77742</t>
  </si>
  <si>
    <t>ID:1112655118386415</t>
  </si>
  <si>
    <t>ID:1181523344220191</t>
  </si>
  <si>
    <t>ID:1177424257405368</t>
  </si>
  <si>
    <t>ID:3128-8762-2900-58979</t>
  </si>
  <si>
    <t>엑시덴탈 베이비(Accidental baby) 1권</t>
  </si>
  <si>
    <t>ID:1131250527566984</t>
  </si>
  <si>
    <t>ID:1191033013646393</t>
  </si>
  <si>
    <t>ID:3153-2868-3462-94517</t>
  </si>
  <si>
    <t>구천마신 5권</t>
  </si>
  <si>
    <t>ID:1109253280925770</t>
  </si>
  <si>
    <t>ID:1183955754005356</t>
  </si>
  <si>
    <t>ID:1178586876197208</t>
  </si>
  <si>
    <t>ID:1105050554292778</t>
  </si>
  <si>
    <t>26. 2. 11.</t>
  </si>
  <si>
    <t>ID:1158979241675138</t>
  </si>
  <si>
    <t>ID:3125-8951-6701-81002</t>
  </si>
  <si>
    <t>천마강림 9권</t>
  </si>
  <si>
    <t>ID:1155472550241297</t>
  </si>
  <si>
    <t>ID:1153733535295761</t>
  </si>
  <si>
    <t>ID:1188070670804922</t>
  </si>
  <si>
    <t>PKEY:147220</t>
  </si>
  <si>
    <t>사채업자 1권</t>
  </si>
  <si>
    <t>ID:1120591037762353</t>
  </si>
  <si>
    <t>ID:1149885111093551</t>
  </si>
  <si>
    <t>ID:1154969761249632</t>
  </si>
  <si>
    <t>ID:1114350381109465</t>
  </si>
  <si>
    <t>레벨 업! 하는 식당 1권</t>
  </si>
  <si>
    <t>ID:1138166917671399</t>
  </si>
  <si>
    <t>호감 받고 성공 더! 1권</t>
  </si>
  <si>
    <t>ID:1151940324592641</t>
  </si>
  <si>
    <t>리턴 레이드 헌터 1권</t>
  </si>
  <si>
    <t>ID:1106342898373115</t>
  </si>
  <si>
    <t>ID:1181605415162560</t>
  </si>
  <si>
    <t>식사하고 가세요! 1권</t>
  </si>
  <si>
    <t>ID:1134070363939796</t>
  </si>
  <si>
    <t>ID:1175396380307932</t>
  </si>
  <si>
    <t>ID:3186-4615-0890-17811</t>
  </si>
  <si>
    <t>만렙요원 : 재벌이 되다 4권</t>
  </si>
  <si>
    <t>ID:1193162662280835</t>
  </si>
  <si>
    <t>ID:1160210999441195</t>
  </si>
  <si>
    <t>ID:1111125667521590</t>
  </si>
  <si>
    <t>ID:3166-6229-7978-75848</t>
  </si>
  <si>
    <t>PKEY:75906</t>
  </si>
  <si>
    <t>화령의 제왕 3</t>
  </si>
  <si>
    <t>ID:1155927477171922</t>
  </si>
  <si>
    <t>ID:3180-9248-8658-61299</t>
  </si>
  <si>
    <t>전능의 팔찌 13권</t>
  </si>
  <si>
    <t>ID:1153708960266613</t>
  </si>
  <si>
    <t>ID:1182631391800701</t>
  </si>
  <si>
    <t>ID:1169831711431838</t>
  </si>
  <si>
    <t>ID:1172923917922130</t>
  </si>
  <si>
    <t>ID:1103752607223392</t>
  </si>
  <si>
    <t>독식하는 재벌 3세 1권</t>
  </si>
  <si>
    <t>ID:1168490160483198</t>
  </si>
  <si>
    <t>ID:1164878570291914</t>
  </si>
  <si>
    <t>ID:1160054533777618</t>
  </si>
  <si>
    <t>PKEY:147209</t>
  </si>
  <si>
    <t>밀매업자 1권</t>
  </si>
  <si>
    <t>ID:1182791292282531</t>
  </si>
  <si>
    <t>ID:1136330734728928</t>
  </si>
  <si>
    <t>ID:3140-0492-7512-07265</t>
  </si>
  <si>
    <t>ID:1118303516083890</t>
  </si>
  <si>
    <t>ID:3198-6550-5870-20367</t>
  </si>
  <si>
    <t>이혼 후 재벌 각성! 2권</t>
  </si>
  <si>
    <t>ID:1159517105101619</t>
  </si>
  <si>
    <t>ID:3184-4604-5593-08072</t>
  </si>
  <si>
    <t>실명마제 3권 완결</t>
  </si>
  <si>
    <t>ID:1146835436989200</t>
  </si>
  <si>
    <t>내가 키운 용사가 나에게 집착한다 1권</t>
  </si>
  <si>
    <t>그림</t>
  </si>
  <si>
    <t>ID:3194-6840-8481-26584</t>
  </si>
  <si>
    <t>아카데미의 두 번 사는 네크로맨서 2권</t>
  </si>
  <si>
    <t>ID:1146053156495090</t>
  </si>
  <si>
    <t>ID:1191619024519554</t>
  </si>
  <si>
    <t>재벌 3세 탑 프로듀서 되다 1권</t>
  </si>
  <si>
    <t>팔월오일</t>
  </si>
  <si>
    <t>ID:1162453163169366</t>
  </si>
  <si>
    <t>ID:1150453232450715</t>
  </si>
  <si>
    <t>ID:1145528913993881</t>
  </si>
  <si>
    <t>ID:1104773126832133</t>
  </si>
  <si>
    <t>ID:1147340498018068</t>
  </si>
  <si>
    <t>ID:3150-4637-1810-18175</t>
  </si>
  <si>
    <t>ID:1141251679819135</t>
  </si>
  <si>
    <t>ID:1170331721951759</t>
  </si>
  <si>
    <t>ID:1159616913063523</t>
  </si>
  <si>
    <t>ID:3122-2173-2527-84448</t>
  </si>
  <si>
    <t>ID:1192874315802451</t>
  </si>
  <si>
    <t>ID:1119316601440884</t>
  </si>
  <si>
    <t>ID:3179-6844-8780-44619</t>
  </si>
  <si>
    <t>ID:3105-7892-2018-62568</t>
  </si>
  <si>
    <t>검신재림(劍神再臨) 2권</t>
  </si>
  <si>
    <t>검신재림(劍神再臨) 3권</t>
  </si>
  <si>
    <t>검신재림(劍神再臨) 4권</t>
  </si>
  <si>
    <t>검신재림(劍神再臨) 5권</t>
  </si>
  <si>
    <t>검신재림(劍神再臨) 6권</t>
  </si>
  <si>
    <t>검신재림(劍神再臨) 7권</t>
  </si>
  <si>
    <t>검신재림(劍神再臨) 8권</t>
  </si>
  <si>
    <t>검신재림(劍神再臨) 9권</t>
  </si>
  <si>
    <t>검신재림(劍神再臨) 10권</t>
  </si>
  <si>
    <t>ID:1119760303651531</t>
  </si>
  <si>
    <t>[BL] 파란 별 1권</t>
  </si>
  <si>
    <t>솔솔부는바람</t>
  </si>
  <si>
    <t>ID:1178453824128969</t>
  </si>
  <si>
    <t>ID:1128721725383837</t>
  </si>
  <si>
    <t>[BL] 더티 섹시 로맨스 1권</t>
  </si>
  <si>
    <t>상호구</t>
  </si>
  <si>
    <t>ID:1115264600658941</t>
  </si>
  <si>
    <t>[BL] 실형 1년 8개월 1권</t>
  </si>
  <si>
    <t>아진Ajin</t>
  </si>
  <si>
    <t>ID:1163515317828548</t>
  </si>
  <si>
    <t>ID:1100673479296622</t>
  </si>
  <si>
    <t>[BL] 신의 아이 1권</t>
  </si>
  <si>
    <t>혜담윤</t>
  </si>
  <si>
    <t>ID:1114629104629542</t>
  </si>
  <si>
    <t>ID:1143442059931837</t>
  </si>
  <si>
    <t>ID:1198456499278062</t>
  </si>
  <si>
    <t>ID:1169662958328728</t>
  </si>
  <si>
    <t>ID:1189298665080521</t>
  </si>
  <si>
    <t>ID:1176632932901208</t>
  </si>
  <si>
    <t>ID:1156052176909138</t>
  </si>
  <si>
    <t>ID:1186617472485947</t>
  </si>
  <si>
    <t>ID:1113235077814751</t>
  </si>
  <si>
    <t>ID:1126235582803797</t>
  </si>
  <si>
    <t>ID:1152696762812124</t>
  </si>
  <si>
    <t>ID:3186-2106-7224-64505</t>
  </si>
  <si>
    <t>전능의 팔찌 14권</t>
  </si>
  <si>
    <t>ID:3148-0566-6524-56159</t>
  </si>
  <si>
    <t>재벌집 막내 도련님은 악당입니다! 6권</t>
  </si>
  <si>
    <t>ID:3148-2213-9923-80371</t>
  </si>
  <si>
    <t>ID:3122-9760-7743-49531</t>
  </si>
  <si>
    <t>독존패왕 1권</t>
  </si>
  <si>
    <t>ID:1133598483985657</t>
  </si>
  <si>
    <t>ID:3111-0013-5641-20680</t>
  </si>
  <si>
    <t>코드네임 사신 3권</t>
  </si>
  <si>
    <t>ID:1127786398940897</t>
  </si>
  <si>
    <t>광무록 제1권</t>
  </si>
  <si>
    <t>검궁인</t>
  </si>
  <si>
    <t>ID:3191-9785-3208-95515</t>
  </si>
  <si>
    <t>전직 랭커는 템빨로 레벨 업! 3권</t>
  </si>
  <si>
    <t>ID:1102631346914582</t>
  </si>
  <si>
    <t>ID:1156056430179299</t>
  </si>
  <si>
    <t>ID:1180262784016163</t>
  </si>
  <si>
    <t>ID:1150506510897058</t>
  </si>
  <si>
    <t>ID:1124724765295219</t>
  </si>
  <si>
    <t>ID:1124359946150091</t>
  </si>
  <si>
    <t>ID:1179801159456277</t>
  </si>
  <si>
    <t>ID:1110308911391660</t>
  </si>
  <si>
    <t>ID:1114715769114050</t>
  </si>
  <si>
    <t>ID:1120424703854567</t>
  </si>
  <si>
    <t>ID:1152588417962297</t>
  </si>
  <si>
    <t>ID:1137605330398734</t>
  </si>
  <si>
    <t>ID:1191396271888292</t>
  </si>
  <si>
    <t>ID:1149723682192677</t>
  </si>
  <si>
    <t>ID:1154628829867746</t>
  </si>
  <si>
    <t>ID:1121910716893788</t>
  </si>
  <si>
    <t>ID:1188136156346210</t>
  </si>
  <si>
    <t>ID:1153302050564327</t>
  </si>
  <si>
    <t>ID:1140011368456813</t>
  </si>
  <si>
    <t>ID:1132247414547641</t>
  </si>
  <si>
    <t>PKEY:139740</t>
  </si>
  <si>
    <t>강자(强者) 1권</t>
  </si>
  <si>
    <t>ID:3110-1550-1309-12517</t>
  </si>
  <si>
    <t>구천마신 6권</t>
  </si>
  <si>
    <t>ID:3107-1473-1701-67220</t>
  </si>
  <si>
    <t>금수저 생활백서 3권</t>
  </si>
  <si>
    <t>ID:1128071064996175</t>
  </si>
  <si>
    <t>국세청 망나니 1권</t>
  </si>
  <si>
    <t>동면거북이</t>
  </si>
  <si>
    <t>ID:1177964922925616</t>
  </si>
  <si>
    <t>ID:1112353038730550</t>
  </si>
  <si>
    <t>ID:3112-3365-6946-75589</t>
  </si>
  <si>
    <t>ID:3106-3279-4922-71859</t>
  </si>
  <si>
    <t>PKEY:96050</t>
  </si>
  <si>
    <t>허리케인(Hurricane) 4권</t>
  </si>
  <si>
    <t>ID:3138-6045-4525-12730</t>
  </si>
  <si>
    <t>ID:1177339412018413</t>
  </si>
  <si>
    <t>ID:3111-2465-1671-54507</t>
  </si>
  <si>
    <t>재벌집 막내 도련님은 악당입니다! 7권</t>
  </si>
  <si>
    <t>ID:1126782170123499</t>
  </si>
  <si>
    <t>ID:1156063107459122</t>
  </si>
  <si>
    <t>ID:1134173077230748</t>
  </si>
  <si>
    <t>불량의원 1권</t>
  </si>
  <si>
    <t>ID:1144055781296469</t>
  </si>
  <si>
    <t>ID:1114155103389495</t>
  </si>
  <si>
    <t>ID:1165968166539511</t>
  </si>
  <si>
    <t>ID:1151851116784602</t>
  </si>
  <si>
    <t>무적문주 1권</t>
  </si>
  <si>
    <t>ID:1113428596626239</t>
  </si>
  <si>
    <t>ID:1182881520510364</t>
  </si>
  <si>
    <t>초월자 어빈 1권</t>
  </si>
  <si>
    <t>ID:1180512242958475</t>
  </si>
  <si>
    <t>ID:1169850597909463</t>
  </si>
  <si>
    <t>ID:1195913191804981</t>
  </si>
  <si>
    <t>ID:3128-2166-1621-47998</t>
  </si>
  <si>
    <t>던전팜! 11권</t>
  </si>
  <si>
    <t>ID:3194-3171-0984-10386</t>
  </si>
  <si>
    <t>PKEY:147947</t>
  </si>
  <si>
    <t>갤럭시(the Galaxy) 2권 [추적]</t>
  </si>
  <si>
    <t>ID:1119074394458821</t>
  </si>
  <si>
    <t>ID:3177-0444-8309-28841</t>
  </si>
  <si>
    <t>전직 랭커는 템빨로 레벨 업! 4권</t>
  </si>
  <si>
    <t>ID:1125451617259278</t>
  </si>
  <si>
    <t>ID:1112529446807456</t>
  </si>
  <si>
    <t>ID:3123-4775-7917-88238</t>
  </si>
  <si>
    <t>금수저 생활백서 4권</t>
  </si>
  <si>
    <t>ID:1114404187132698</t>
  </si>
  <si>
    <t>ID:1183426093371982</t>
  </si>
  <si>
    <t>PKEY:139757</t>
  </si>
  <si>
    <t>더 메모리(The Memory) 1권</t>
  </si>
  <si>
    <t>ID:1108595860731983</t>
  </si>
  <si>
    <t>ID:1174055542414763</t>
  </si>
  <si>
    <t>ID:1143213917374859</t>
  </si>
  <si>
    <t>ID:1141355139325928</t>
  </si>
  <si>
    <t>ID:1145712304106061</t>
  </si>
  <si>
    <t>ID:1189680862301368</t>
  </si>
  <si>
    <t>ID:3140-1093-6671-62276</t>
  </si>
  <si>
    <t>전능의 팔찌 15권</t>
  </si>
  <si>
    <t>ID:1112945077406407</t>
  </si>
  <si>
    <t>ID:3106-8385-2698-72829</t>
  </si>
  <si>
    <t>재벌집 막내 도련님은 악당입니다! 8권</t>
  </si>
  <si>
    <t>ID:1187389392138289</t>
  </si>
  <si>
    <t>ID:1196504787552791</t>
  </si>
  <si>
    <t>ID:1166898100443848</t>
  </si>
  <si>
    <t>ID:3199-1766-3609-94452</t>
  </si>
  <si>
    <t>무혈 제3권</t>
  </si>
  <si>
    <t>ID:1131037248240364</t>
  </si>
  <si>
    <t>ID:3178-1638-3473-87207</t>
  </si>
  <si>
    <t>곤륜패선(崑崙覇仙) 2권</t>
  </si>
  <si>
    <t>ID:3118-9251-8183-07933</t>
  </si>
  <si>
    <t>만렙요원 : 재벌이 되다 2권</t>
  </si>
  <si>
    <t>ID:3153-2180-5218-77000</t>
  </si>
  <si>
    <t>대한민국 절대 재벌 12권</t>
  </si>
  <si>
    <t>ID:3156-6028-5275-94617</t>
  </si>
  <si>
    <t>십왕책(개정판) 2권</t>
  </si>
  <si>
    <t>26. 2. 12.</t>
  </si>
  <si>
    <t>ID:1150216620130035</t>
  </si>
  <si>
    <t>ID:1176982172088940</t>
  </si>
  <si>
    <t>ID:3117-0280-1818-30980</t>
  </si>
  <si>
    <t>구천마신 7권</t>
  </si>
  <si>
    <t>ID:3199-3275-7167-40395</t>
  </si>
  <si>
    <t>전설신검 13권</t>
  </si>
  <si>
    <t>ID:1135597793793628</t>
  </si>
  <si>
    <t>ID:1173103819556310</t>
  </si>
  <si>
    <t>ID:1181993557855140</t>
  </si>
  <si>
    <t>ID:3176-2398-9019-50997</t>
  </si>
  <si>
    <t>던전팜! 12권</t>
  </si>
  <si>
    <t>ID:1137888221333453</t>
  </si>
  <si>
    <t>ID:1136778838172266</t>
  </si>
  <si>
    <t>ID:1190366733791477</t>
  </si>
  <si>
    <t>ID:1174266078756721</t>
  </si>
  <si>
    <t>PKEY:73801</t>
  </si>
  <si>
    <t>디멘션 워리어 1</t>
  </si>
  <si>
    <t>빙하</t>
  </si>
  <si>
    <t>ID:1161454500406767</t>
  </si>
  <si>
    <t>ID:1133464531536105</t>
  </si>
  <si>
    <t>ID:1105669465966037</t>
  </si>
  <si>
    <t>ID:1199356522132422</t>
  </si>
  <si>
    <t>ID:1190640815577569</t>
  </si>
  <si>
    <t>ID:1123772979598390</t>
  </si>
  <si>
    <t>ID:1190472234179675</t>
  </si>
  <si>
    <t>ID:3197-8053-3711-20464</t>
  </si>
  <si>
    <t>천마강림 10권</t>
  </si>
  <si>
    <t>ID:3101-3879-5452-38914</t>
  </si>
  <si>
    <t>전능의 팔찌 16권</t>
  </si>
  <si>
    <t>ID:1107342257033823</t>
  </si>
  <si>
    <t>ID:1191094475560364</t>
  </si>
  <si>
    <t>최강을 꿈꾸다 1권</t>
  </si>
  <si>
    <t>오토샷</t>
  </si>
  <si>
    <t>ID:1196739849686235</t>
  </si>
  <si>
    <t>ID:1180192159353645</t>
  </si>
  <si>
    <t>영웅부활전 1권</t>
  </si>
  <si>
    <t>ID:1161431858719118</t>
  </si>
  <si>
    <t>ID:1139298860385998</t>
  </si>
  <si>
    <t>[19금] 나는 타짜다 1권</t>
  </si>
  <si>
    <t>ID:1113868346259992</t>
  </si>
  <si>
    <t>ID:1166663450148451</t>
  </si>
  <si>
    <t>ID:3152-9385-4378-29267</t>
  </si>
  <si>
    <t>ID:1171887003210977</t>
  </si>
  <si>
    <t>ID:1190174400852545</t>
  </si>
  <si>
    <t>아르디엔 전기 1권</t>
  </si>
  <si>
    <t>ID:1112976848923260</t>
  </si>
  <si>
    <t>어센딩 블레이드 1권</t>
  </si>
  <si>
    <t>ID:3163-0207-8645-19566</t>
  </si>
  <si>
    <t>ID:1122490931778240</t>
  </si>
  <si>
    <t>ID:1176244099702720</t>
  </si>
  <si>
    <t>ID:1133861485571343</t>
  </si>
  <si>
    <t>ID:1188063881843984</t>
  </si>
  <si>
    <t>ID:3162-0202-6742-84436</t>
  </si>
  <si>
    <t>PKEY:77729</t>
  </si>
  <si>
    <t>포춘 쿠키</t>
  </si>
  <si>
    <t>최은경</t>
  </si>
  <si>
    <t>ID:3195-9246-9134-47442</t>
  </si>
  <si>
    <t>구천마신 8권</t>
  </si>
  <si>
    <t>ID:1167243485607892</t>
  </si>
  <si>
    <t>ID:3152-6833-1954-69120</t>
  </si>
  <si>
    <t>만렙요원 : 재벌이 되다 5권</t>
  </si>
  <si>
    <t>ID:1176637252256269</t>
  </si>
  <si>
    <t>ID:3165-0081-2316-74032</t>
  </si>
  <si>
    <t>PKEY:75907</t>
  </si>
  <si>
    <t>화령의 제왕 4</t>
  </si>
  <si>
    <t>ID:1196950960966288</t>
  </si>
  <si>
    <t>ID:1137342289490029</t>
  </si>
  <si>
    <t>ID:1150147318755291</t>
  </si>
  <si>
    <t>ID:1150238212792781</t>
  </si>
  <si>
    <t>ID:1193647626098465</t>
  </si>
  <si>
    <t>ID:1148001257422709</t>
  </si>
  <si>
    <t>ID:3144-2946-0854-17106</t>
  </si>
  <si>
    <t>그렇게, 그 괴물과 두 번 결혼했다 1권</t>
  </si>
  <si>
    <t>성혜림</t>
  </si>
  <si>
    <t>그렇게, 그 괴물과 두 번 결혼했다 2권</t>
  </si>
  <si>
    <t>그렇게, 그 괴물과 두 번 결혼했다 3권</t>
  </si>
  <si>
    <t>그렇게, 그 괴물과 두 번 결혼했다 4권</t>
  </si>
  <si>
    <t>ID:1159072891097111</t>
  </si>
  <si>
    <t>ID:3151-0099-4269-30852</t>
  </si>
  <si>
    <t>MYR</t>
  </si>
  <si>
    <t>MY</t>
  </si>
  <si>
    <t>ID:1121386805320965</t>
  </si>
  <si>
    <t>PKEY:139765</t>
  </si>
  <si>
    <t>더 스토리(The story) 1권</t>
  </si>
  <si>
    <t>ID:3129-2308-1549-99557</t>
  </si>
  <si>
    <t>ID:3127-3164-6660-90370</t>
  </si>
  <si>
    <t>신풍기협(神風奇俠) 2권</t>
  </si>
  <si>
    <t>ID:3143-3963-8612-34014</t>
  </si>
  <si>
    <t>ID:3186-3137-4027-05858</t>
  </si>
  <si>
    <t>ID:3177-1586-7011-87153</t>
  </si>
  <si>
    <t>코드네임 사신 4권</t>
  </si>
  <si>
    <t>ID:3162-0549-3299-77975</t>
  </si>
  <si>
    <t>아기 삵을 낳아줘, 나 미치는 꼴 보기 싫으면! 1권</t>
  </si>
  <si>
    <t>ID:1125327597930459</t>
  </si>
  <si>
    <t>ID:3103-9729-2662-42390</t>
  </si>
  <si>
    <t>PKEY:147948</t>
  </si>
  <si>
    <t>갤럭시(the Galaxy) 3권 [새로운 적]</t>
  </si>
  <si>
    <t>ID:1175372653126231</t>
  </si>
  <si>
    <t>웰컴 투 메모리 1권</t>
  </si>
  <si>
    <t>ID:1170862721588004</t>
  </si>
  <si>
    <t>[19금] 우주를 바꾸는 이 1권</t>
  </si>
  <si>
    <t>ID:1113383945719103</t>
  </si>
  <si>
    <t>내 딸은 천재화백 1권</t>
  </si>
  <si>
    <t>택이아빠</t>
  </si>
  <si>
    <t>ID:1174093440354823</t>
  </si>
  <si>
    <t>ID:1161883238317057</t>
  </si>
  <si>
    <t>ID:1113492542868758</t>
  </si>
  <si>
    <t>ID:3129-1626-5338-66308</t>
  </si>
  <si>
    <t>신체가 강화됨 2권</t>
  </si>
  <si>
    <t>ID:1117668665529158</t>
  </si>
  <si>
    <t>ID:1193888212157487</t>
  </si>
  <si>
    <t>대무사 1권</t>
  </si>
  <si>
    <t>ID:1176580931513619</t>
  </si>
  <si>
    <t>ID:1175563119988954</t>
  </si>
  <si>
    <t>ID:1184493516805740</t>
  </si>
  <si>
    <t>ID:1180192186852577</t>
  </si>
  <si>
    <t>ID:1150670427278358</t>
  </si>
  <si>
    <t>ID:1132390861671560</t>
  </si>
  <si>
    <t>ID:3156-2958-9344-45590</t>
  </si>
  <si>
    <t>전능의 팔찌 17권</t>
  </si>
  <si>
    <t>ID:3116-3034-8946-88056</t>
  </si>
  <si>
    <t>재벌집 막내 도련님은 악당입니다! 9권</t>
  </si>
  <si>
    <t>ID:1159528307118092</t>
  </si>
  <si>
    <t>ID:3155-0202-6827-34188</t>
  </si>
  <si>
    <t>PKEY:75908</t>
  </si>
  <si>
    <t>화령의 제왕 5</t>
  </si>
  <si>
    <t>ID:3197-2640-6461-71347</t>
  </si>
  <si>
    <t>PKEY:96051</t>
  </si>
  <si>
    <t>허리케인(Hurricane) 5권</t>
  </si>
  <si>
    <t>ID:1133426287778716</t>
  </si>
  <si>
    <t>ID:1150836139290846</t>
  </si>
  <si>
    <t>ID:3156-4347-8052-46447</t>
  </si>
  <si>
    <t>무림미녀전기 5권</t>
  </si>
  <si>
    <t>ID:3116-0016-8015-34179</t>
  </si>
  <si>
    <t>무적문주 2권</t>
  </si>
  <si>
    <t>ID:1107851362987168</t>
  </si>
  <si>
    <t>ID:1199662148450435</t>
  </si>
  <si>
    <t>ID:1126028718004959</t>
  </si>
  <si>
    <t>PKEY:147945</t>
  </si>
  <si>
    <t>갤럭시(the Galaxy) 1권 [은하여행]</t>
  </si>
  <si>
    <t>ID:3159-1433-4487-05482</t>
  </si>
  <si>
    <t>금수저 생활백서 5권</t>
  </si>
  <si>
    <t>ID:1152478012233120</t>
  </si>
  <si>
    <t>ID:3113-8212-9113-57619</t>
  </si>
  <si>
    <t>전직 랭커는 템빨로 레벨 업! 5권</t>
  </si>
  <si>
    <t>ID:1197537072964130</t>
  </si>
  <si>
    <t>ID:1129750580209406</t>
  </si>
  <si>
    <t>ID:3142-0631-9180-85286</t>
  </si>
  <si>
    <t>구천마신 9권</t>
  </si>
  <si>
    <t>ID:3100-6773-1719-36728</t>
  </si>
  <si>
    <t>무림미녀전기 6권</t>
  </si>
  <si>
    <t>ID:1194921791540789</t>
  </si>
  <si>
    <t>ID:1125911212860984</t>
  </si>
  <si>
    <t>ID:1170264106493132</t>
  </si>
  <si>
    <t>ID:1143263152384190</t>
  </si>
  <si>
    <t>ID:3172-5417-2701-10418</t>
  </si>
  <si>
    <t>황태자의 노리개는 그만두겠어요 4권</t>
  </si>
  <si>
    <t>현노</t>
  </si>
  <si>
    <t>ID:3106-8414-9461-68030</t>
  </si>
  <si>
    <t>황태자의 노리개는 그만두겠어요 외전</t>
  </si>
  <si>
    <t>ID:1174807322107138</t>
  </si>
  <si>
    <t>ID:3183-0643-9537-71323</t>
  </si>
  <si>
    <t>황태자의 노리개는 그만두겠어요 3권</t>
  </si>
  <si>
    <t>ID:1129380310947708</t>
  </si>
  <si>
    <t>ID:3190-7683-5572-13580</t>
  </si>
  <si>
    <t>ID:1117798596093086</t>
  </si>
  <si>
    <t>ID:1164904846269830</t>
  </si>
  <si>
    <t>ID:1177580027783665</t>
  </si>
  <si>
    <t>ID:1104656331147092</t>
  </si>
  <si>
    <t>ID:1146177497113443</t>
  </si>
  <si>
    <t>ID:3136-4307-8117-27855</t>
  </si>
  <si>
    <t>전능의 팔찌 18권</t>
  </si>
  <si>
    <t>ID:3142-0542-7541-24848</t>
  </si>
  <si>
    <t>구천마신 10권</t>
  </si>
  <si>
    <t>ID:1183832200786857</t>
  </si>
  <si>
    <t>ID:1142841297633739</t>
  </si>
  <si>
    <t>ID:1152182789900966</t>
  </si>
  <si>
    <t>ID:1134421981217544</t>
  </si>
  <si>
    <t>ID:1147060692959814</t>
  </si>
  <si>
    <t>E급 탱커의 비상 1권</t>
  </si>
  <si>
    <t>류다</t>
  </si>
  <si>
    <t>ID:3144-8465-9287-34825</t>
  </si>
  <si>
    <t>ID:1164593097993879</t>
  </si>
  <si>
    <t>ID:1121210765808772</t>
  </si>
  <si>
    <t>ID:1156089653754405</t>
  </si>
  <si>
    <t>썬더버드 1권</t>
  </si>
  <si>
    <t>ID:1116862744085003</t>
  </si>
  <si>
    <t>[BL] 춘월여인 1권</t>
  </si>
  <si>
    <t>ID:3141-8328-4495-51634</t>
  </si>
  <si>
    <t>ID:3101-8045-8196-11104</t>
  </si>
  <si>
    <t>ID:1168150583821489</t>
  </si>
  <si>
    <t>ID:1137556291306103</t>
  </si>
  <si>
    <t>ID:1167923855895806</t>
  </si>
  <si>
    <t>ID:3123-5803-4019-69596</t>
  </si>
  <si>
    <t>ID:3153-4174-8499-06448</t>
  </si>
  <si>
    <t>ID:3196-7244-2707-59056</t>
  </si>
  <si>
    <t>십왕책(개정판) 3권 완결</t>
  </si>
  <si>
    <t>ID:3132-1729-5690-25838</t>
  </si>
  <si>
    <t>전능의 팔찌 19권</t>
  </si>
  <si>
    <t>ID:1146202837758504</t>
  </si>
  <si>
    <t>ID:3119-5442-3378-65795</t>
  </si>
  <si>
    <t>무당제자 2권</t>
  </si>
  <si>
    <t>ID:1171693650702505</t>
  </si>
  <si>
    <t>26. 2. 13.</t>
  </si>
  <si>
    <t>ID:1111676312698120</t>
  </si>
  <si>
    <t>ID:3156-9069-7003-88214</t>
  </si>
  <si>
    <t>달마묵장 9권</t>
  </si>
  <si>
    <t>ID:3103-9491-7451-02980</t>
  </si>
  <si>
    <t>PKEY:91359</t>
  </si>
  <si>
    <t>애흔</t>
  </si>
  <si>
    <t>ID:3130-6119-3181-22098</t>
  </si>
  <si>
    <t>ID:1104151173385250</t>
  </si>
  <si>
    <t>ID:1172527271456960</t>
  </si>
  <si>
    <t>ID:3159-0804-4031-08267</t>
  </si>
  <si>
    <t>미러클 테이머 2권</t>
  </si>
  <si>
    <t>ID:1186012664931918</t>
  </si>
  <si>
    <t>ID:1164626217214298</t>
  </si>
  <si>
    <t>리턴 오브 로드 1권</t>
  </si>
  <si>
    <t>ID:1115937737340511</t>
  </si>
  <si>
    <t>나 혼자만 올마스터 1권</t>
  </si>
  <si>
    <t>성덕聲德</t>
  </si>
  <si>
    <t>ID:1123367662796840</t>
  </si>
  <si>
    <t>ID:1151822086239031</t>
  </si>
  <si>
    <t>ID:3135-4498-4383-38298</t>
  </si>
  <si>
    <t>신체가 강화됨 5권</t>
  </si>
  <si>
    <t>ID:1101168040849112</t>
  </si>
  <si>
    <t>매지컬 써전(개정판) 1권</t>
  </si>
  <si>
    <t>ID:3179-1373-7577-73565</t>
  </si>
  <si>
    <t>영원한 불사자들의 생존전략 1권</t>
  </si>
  <si>
    <t>이미누</t>
  </si>
  <si>
    <t>ID:3123-1228-6104-76332</t>
  </si>
  <si>
    <t>천마강림 11권</t>
  </si>
  <si>
    <t>ID:1135652781819151</t>
  </si>
  <si>
    <t>ID:1190850655738534</t>
  </si>
  <si>
    <t>와룡성수 1권</t>
  </si>
  <si>
    <t>ID:1147172424769253</t>
  </si>
  <si>
    <t>PKEY:63866</t>
  </si>
  <si>
    <t>타락공자 1</t>
  </si>
  <si>
    <t>ID:1172718977920968</t>
  </si>
  <si>
    <t>ID:3158-3668-9702-86534</t>
  </si>
  <si>
    <t>천마강림 12권</t>
  </si>
  <si>
    <t>ID:3119-8708-4614-79986</t>
  </si>
  <si>
    <t>천마강림 13권</t>
  </si>
  <si>
    <t>ID:3154-8807-2999-55292</t>
  </si>
  <si>
    <t>ID:3196-1022-6309-39587</t>
  </si>
  <si>
    <t>전능의 팔찌 20권</t>
  </si>
  <si>
    <t>ID:1110662935747477</t>
  </si>
  <si>
    <t>ID:1106679879793328</t>
  </si>
  <si>
    <t>ID:1196407850018349</t>
  </si>
  <si>
    <t>ID:1151257862803308</t>
  </si>
  <si>
    <t>ID:3196-2829-6799-55613</t>
  </si>
  <si>
    <t>천룡파황보 2권</t>
  </si>
  <si>
    <t>ID:1134345604754057</t>
  </si>
  <si>
    <t>ID:1112952785612978</t>
  </si>
  <si>
    <t>ID:1197474052621331</t>
  </si>
  <si>
    <t>ID:1175513511476340</t>
  </si>
  <si>
    <t>ID:1155371653663728</t>
  </si>
  <si>
    <t>늙은 경비에게 조교당하는 스튜어디스의 이야기 1권</t>
  </si>
  <si>
    <t>ID:1128424980467868</t>
  </si>
  <si>
    <t>ID:1156071601933752</t>
  </si>
  <si>
    <t>ID:1192876422968436</t>
  </si>
  <si>
    <t>ID:3107-5271-4333-58337</t>
  </si>
  <si>
    <t>무당학사전 4권</t>
  </si>
  <si>
    <t>ID:3197-6246-8514-99551</t>
  </si>
  <si>
    <t>무당학사전 5권</t>
  </si>
  <si>
    <t>ID:3182-6210-9720-80907</t>
  </si>
  <si>
    <t>ID:3164-6320-4476-86780</t>
  </si>
  <si>
    <t>곤륜패선(崑崙覇仙) 3권</t>
  </si>
  <si>
    <t>ID:3103-0455-5011-28847</t>
  </si>
  <si>
    <t>만렙요원 : 재벌이 되다 6권</t>
  </si>
  <si>
    <t>ID:3124-4415-5008-64545</t>
  </si>
  <si>
    <t>구자패왕(무삭제판) 2권</t>
  </si>
  <si>
    <t>구자패왕(무삭제판) 3권</t>
  </si>
  <si>
    <t>구자패왕(무삭제판) 4권 완결</t>
  </si>
  <si>
    <t>ID:3192-4971-9760-96867</t>
  </si>
  <si>
    <t>ID:1114065588827036</t>
  </si>
  <si>
    <t>ID:3127-9448-6802-38143</t>
  </si>
  <si>
    <t>대한민국 절대 재벌 13권</t>
  </si>
  <si>
    <t>ID:3182-7099-4460-75696</t>
  </si>
  <si>
    <t>PKEY:147949</t>
  </si>
  <si>
    <t>갤럭시(the Galaxy) 4권 [영지 전쟁]</t>
  </si>
  <si>
    <t>PKEY:147950</t>
  </si>
  <si>
    <t>갤럭시(the Galaxy) 5권 [휴먼 탑]</t>
  </si>
  <si>
    <t>PKEY:153641</t>
  </si>
  <si>
    <t>갤럭시(the Galaxy) 6권 [산업혁명]</t>
  </si>
  <si>
    <t>ID:1160802919651105</t>
  </si>
  <si>
    <t>ID:1145893070534726</t>
  </si>
  <si>
    <t>ID:3170-4200-9845-40995</t>
  </si>
  <si>
    <t>초능력활용법 4권</t>
  </si>
  <si>
    <t>ID:1196517218540098</t>
  </si>
  <si>
    <t>ID:1152248671655416</t>
  </si>
  <si>
    <t>PKEY:76237</t>
  </si>
  <si>
    <t>패왕전설 1</t>
  </si>
  <si>
    <t>ID:1186781012362431</t>
  </si>
  <si>
    <t>ID:1176419868674684</t>
  </si>
  <si>
    <t>ID:1181343070848271</t>
  </si>
  <si>
    <t>ID:1197675514664854</t>
  </si>
  <si>
    <t>ID:1105675776369546</t>
  </si>
  <si>
    <t>ID:1163284033579269</t>
  </si>
  <si>
    <t>ID:1184407999143667</t>
  </si>
  <si>
    <t>ID:1133576559848393</t>
  </si>
  <si>
    <t>ID:1112254738538008</t>
  </si>
  <si>
    <t>ID:1126686154207444</t>
  </si>
  <si>
    <t>ID:1146579717460890</t>
  </si>
  <si>
    <t>ID:1152972794540333</t>
  </si>
  <si>
    <t>ID:3141-1248-3461-47503</t>
  </si>
  <si>
    <t>PKEY:75909</t>
  </si>
  <si>
    <t>화령의 제왕 6</t>
  </si>
  <si>
    <t>ID:3176-8858-6414-41988</t>
  </si>
  <si>
    <t>전능의 팔찌 21권</t>
  </si>
  <si>
    <t>ID:1107223656580698</t>
  </si>
  <si>
    <t>ID:1123107659306150</t>
  </si>
  <si>
    <t>ID:1109832267720776</t>
  </si>
  <si>
    <t>ID:1177586014226063</t>
  </si>
  <si>
    <t>ID:1190017533446317</t>
  </si>
  <si>
    <t>ID:1139376915929418</t>
  </si>
  <si>
    <t>PKEY:76224</t>
  </si>
  <si>
    <t>용병불패 1</t>
  </si>
  <si>
    <t>ID:1160261375221358</t>
  </si>
  <si>
    <t>ID:1126296978590517</t>
  </si>
  <si>
    <t>ID:1120086493166318</t>
  </si>
  <si>
    <t>ID:1170093850135187</t>
  </si>
  <si>
    <t>ID:1181242435672820</t>
  </si>
  <si>
    <t>ID:1153221699009573</t>
  </si>
  <si>
    <t>ID:3105-9859-1254-43578</t>
  </si>
  <si>
    <t>미러클 테이머 3권</t>
  </si>
  <si>
    <t>ID:1125404640605634</t>
  </si>
  <si>
    <t>ID:1188848727471035</t>
  </si>
  <si>
    <t>ID:1190339434637771</t>
  </si>
  <si>
    <t>ID:3114-0340-5091-45373</t>
  </si>
  <si>
    <t>ID:3146-8018-6129-35369</t>
  </si>
  <si>
    <t>미러클 테이머 4권</t>
  </si>
  <si>
    <t>ID:1106057327799823</t>
  </si>
  <si>
    <t>ID:1186027753428556</t>
  </si>
  <si>
    <t>돈 주면 힐 해준다 1권</t>
  </si>
  <si>
    <t>환수림</t>
  </si>
  <si>
    <t>ID:3187-3589-3527-02678</t>
  </si>
  <si>
    <t>무적지존 2권</t>
  </si>
  <si>
    <t>ID:1133504256365189</t>
  </si>
  <si>
    <t>ID:1109140629324976</t>
  </si>
  <si>
    <t>ID:1106144106401463</t>
  </si>
  <si>
    <t>ID:3155-9376-4829-08209</t>
  </si>
  <si>
    <t>ID:1194733938609408</t>
  </si>
  <si>
    <t>ID:3150-8311-6757-91575</t>
  </si>
  <si>
    <t>ID:3178-0527-7294-97358</t>
  </si>
  <si>
    <t>리턴 레이드 헌터 2권</t>
  </si>
  <si>
    <t>ID:1185257392053463</t>
  </si>
  <si>
    <t>ID:3140-4229-1174-29156</t>
  </si>
  <si>
    <t>ID:3193-1046-3564-26133</t>
  </si>
  <si>
    <t>현대 귀환 마법사 1권</t>
  </si>
  <si>
    <t>ID:1188721939479743</t>
  </si>
  <si>
    <t>ID:3144-0256-5767-59400</t>
  </si>
  <si>
    <t>PKEY:131929</t>
  </si>
  <si>
    <t>검(劍) 1권</t>
  </si>
  <si>
    <t>ID:1167530211659992</t>
  </si>
  <si>
    <t>ID:1198549851037720</t>
  </si>
  <si>
    <t>ID:1191568501946785</t>
  </si>
  <si>
    <t>VE</t>
  </si>
  <si>
    <t>ID:1171375723353544</t>
  </si>
  <si>
    <t>ID:1124693163298117</t>
  </si>
  <si>
    <t>ID:1156511333729160</t>
  </si>
  <si>
    <t>ID:1173364784117513</t>
  </si>
  <si>
    <t>ID:1110396095023892</t>
  </si>
  <si>
    <t>ID:1105393079412034</t>
  </si>
  <si>
    <t>ID:1103581538205821</t>
  </si>
  <si>
    <t>ID:1108695280527744</t>
  </si>
  <si>
    <t>ID:3106-7467-2068-39445</t>
  </si>
  <si>
    <t>신풍기협(神風奇俠) 3권</t>
  </si>
  <si>
    <t>ID:1160826993889112</t>
  </si>
  <si>
    <t>ID:1151367384434379</t>
  </si>
  <si>
    <t>[BL] 거짓말로 시작된 사랑 1권</t>
  </si>
  <si>
    <t>주깡</t>
  </si>
  <si>
    <t>BOB</t>
  </si>
  <si>
    <t>BO</t>
  </si>
  <si>
    <t>ID:1185530156412184</t>
  </si>
  <si>
    <t>ID:1107250222006256</t>
  </si>
  <si>
    <t>[19금] 집사와 수상한 계약을 1권</t>
  </si>
  <si>
    <t>구름옷</t>
  </si>
  <si>
    <t>ID:1189957863963846</t>
  </si>
  <si>
    <t>[19금] 590씨의 비극 1권</t>
  </si>
  <si>
    <t>초코끼리</t>
  </si>
  <si>
    <t>ID:1170171284619174</t>
  </si>
  <si>
    <t>금수저 생활백서 1권</t>
  </si>
  <si>
    <t>ID:1121409094768030</t>
  </si>
  <si>
    <t>[19금] 4년의 실종， 재회 그리고 1권</t>
  </si>
  <si>
    <t>Apusana</t>
  </si>
  <si>
    <t>ID:1147341617949735</t>
  </si>
  <si>
    <t>PKEY:83270</t>
  </si>
  <si>
    <t>롬베른의 영주 1</t>
  </si>
  <si>
    <t>김정민</t>
  </si>
  <si>
    <t>ID:1128001425425898</t>
  </si>
  <si>
    <t>ID:1143670088398903</t>
  </si>
  <si>
    <t>ID:3112-5750-2799-39092</t>
  </si>
  <si>
    <t>ID:1166232513626606</t>
  </si>
  <si>
    <t>ID:1126668407743091</t>
  </si>
  <si>
    <t>ID:3171-7450-0705-38483</t>
  </si>
  <si>
    <t>돈 주면 힐 해준다 2권</t>
  </si>
  <si>
    <t>ID:3168-1753-0540-84276</t>
  </si>
  <si>
    <t>ID:3147-3696-3115-55560</t>
  </si>
  <si>
    <t>ID:1172561491190267</t>
  </si>
  <si>
    <t>[19금] 별을 삼키다 1권</t>
  </si>
  <si>
    <t>율도</t>
  </si>
  <si>
    <t>ID:1179406432350294</t>
  </si>
  <si>
    <t>ID:3114-3386-2145-41626</t>
  </si>
  <si>
    <t>[19금] 별을 삼키다 2권(완결)</t>
  </si>
  <si>
    <t>ID:3129-7600-4276-03142</t>
  </si>
  <si>
    <t>ID:1126412827154545</t>
  </si>
  <si>
    <t>ID:1156565559794472</t>
  </si>
  <si>
    <t>ID:1103911004678347</t>
  </si>
  <si>
    <t>ID:1107235183586797</t>
  </si>
  <si>
    <t>더 게이트 1권</t>
  </si>
  <si>
    <t>ID:1116389218256561</t>
  </si>
  <si>
    <t>ID:1187239733470795</t>
  </si>
  <si>
    <t>ID:3108-0496-8991-91385</t>
  </si>
  <si>
    <t>ID:1166381332794674</t>
  </si>
  <si>
    <t>PKEY:93950</t>
  </si>
  <si>
    <t>용병왕 루크 1권</t>
  </si>
  <si>
    <t>현자림</t>
  </si>
  <si>
    <t>ID:1164832034613900</t>
  </si>
  <si>
    <t>ID:3121-9814-5662-47416</t>
  </si>
  <si>
    <t>ID:1163224951028393</t>
  </si>
  <si>
    <t>ID:1155267940208124</t>
  </si>
  <si>
    <t>ID:1108620137079201</t>
  </si>
  <si>
    <t>ID:1146035257944544</t>
  </si>
  <si>
    <t>ID:1121470570928929</t>
  </si>
  <si>
    <t>ID:1123195765815645</t>
  </si>
  <si>
    <t>ID:1130559291664097</t>
  </si>
  <si>
    <t>ID:1166579115839062</t>
  </si>
  <si>
    <t>ID:3146-2968-1756-13300</t>
  </si>
  <si>
    <t>ID:1173095145500816</t>
  </si>
  <si>
    <t>차원을 넘나들며 재벌 되기! 1권</t>
  </si>
  <si>
    <t>ID:1160054368880402</t>
  </si>
  <si>
    <t>ID:1141040360998276</t>
  </si>
  <si>
    <t>ID:1131325588250994</t>
  </si>
  <si>
    <t>ID:3183-1213-0249-97771</t>
  </si>
  <si>
    <t>효종 3권</t>
  </si>
  <si>
    <t>ID:1170048144046464</t>
  </si>
  <si>
    <t>ID:1180585818501337</t>
  </si>
  <si>
    <t>ID:1113797573967129</t>
  </si>
  <si>
    <t>ID:1167361431131900</t>
  </si>
  <si>
    <t>ID:1112213106121064</t>
  </si>
  <si>
    <t>차원기업 고구려 1권</t>
  </si>
  <si>
    <t>ID:1191707156027863</t>
  </si>
  <si>
    <t>ID:1133649368295654</t>
  </si>
  <si>
    <t>ID:1173657123011107</t>
  </si>
  <si>
    <t>ID:1195460358337220</t>
  </si>
  <si>
    <t>ID:1161143956094399</t>
  </si>
  <si>
    <t>ID:3169-2739-4920-40042</t>
  </si>
  <si>
    <t>전능의 팔찌 22권</t>
  </si>
  <si>
    <t>ID:1111292673178084</t>
  </si>
  <si>
    <t>ID:1154592210519871</t>
  </si>
  <si>
    <t>핵무기도 만들어 드릴까요? 1권</t>
  </si>
  <si>
    <t>북홀릭</t>
  </si>
  <si>
    <t>ID:3124-6774-8739-50612</t>
  </si>
  <si>
    <t>ID:1109661156677562</t>
  </si>
  <si>
    <t>ID:1178093575179518</t>
  </si>
  <si>
    <t>ID:1144784760445058</t>
  </si>
  <si>
    <t>전사몽(무삭제판) 1권</t>
  </si>
  <si>
    <t>ID:1141497533306351</t>
  </si>
  <si>
    <t>노룡탄(무삭제판) 1권</t>
  </si>
  <si>
    <t>26. 2. 14.</t>
  </si>
  <si>
    <t>ID:1178305679485782</t>
  </si>
  <si>
    <t>ID:3182-4313-9824-83621</t>
  </si>
  <si>
    <t>신체가 강화됨 6권</t>
  </si>
  <si>
    <t>ID:1192126292466500</t>
  </si>
  <si>
    <t>ID:1177312149640827</t>
  </si>
  <si>
    <t>ID:1137843070300844</t>
  </si>
  <si>
    <t>ID:1137411828878376</t>
  </si>
  <si>
    <t>ID:3161-2965-6170-04846</t>
  </si>
  <si>
    <t>두목무적 4권</t>
  </si>
  <si>
    <t>ID:1191084021615644</t>
  </si>
  <si>
    <t>ID:1125212151939268</t>
  </si>
  <si>
    <t>ID:1133065920843160</t>
  </si>
  <si>
    <t>ID:1143258381260080</t>
  </si>
  <si>
    <t>ID:3177-7326-1558-64162</t>
  </si>
  <si>
    <t>던전팜! 13권</t>
  </si>
  <si>
    <t>ID:1102576157034562</t>
  </si>
  <si>
    <t>ID:1165869763575589</t>
  </si>
  <si>
    <t>ID:1113615113105070</t>
  </si>
  <si>
    <t>ID:1155510226743090</t>
  </si>
  <si>
    <t>ID:1159030777296030</t>
  </si>
  <si>
    <t>다시 태어난 야구 천재 1권</t>
  </si>
  <si>
    <t>ID:1193681283094099</t>
  </si>
  <si>
    <t>ID:1126799315614071</t>
  </si>
  <si>
    <t>ID:3117-5226-7337-00873</t>
  </si>
  <si>
    <t>ID:1145263270170657</t>
  </si>
  <si>
    <t>독조혈인(무삭제판) 1권</t>
  </si>
  <si>
    <t>ID:1131372260790533</t>
  </si>
  <si>
    <t>ID:3192-3047-1582-39689</t>
  </si>
  <si>
    <t>전능의 팔찌 23권</t>
  </si>
  <si>
    <t>ID:1154754555902083</t>
  </si>
  <si>
    <t>ID:1196550344305635</t>
  </si>
  <si>
    <t>ID:3126-1673-5297-52155</t>
  </si>
  <si>
    <t>ID:1114060957069156</t>
  </si>
  <si>
    <t>ID:1160992867070309</t>
  </si>
  <si>
    <t>ID:1172947491195340</t>
  </si>
  <si>
    <t>ID:1143812382326360</t>
  </si>
  <si>
    <t>ID:3125-8698-0253-98458</t>
  </si>
  <si>
    <t>남자의 길 6권</t>
  </si>
  <si>
    <t>ID:3120-2953-0540-00583</t>
  </si>
  <si>
    <t>이혼 후 재벌 각성! 5권</t>
  </si>
  <si>
    <t>ID:3153-4641-1919-26852</t>
  </si>
  <si>
    <t>신체가 강화됨 3권</t>
  </si>
  <si>
    <t>ID:1186486506654847</t>
  </si>
  <si>
    <t>베스트 원 1권</t>
  </si>
  <si>
    <t>한세</t>
  </si>
  <si>
    <t>ID:1127235811794910</t>
  </si>
  <si>
    <t>ID:1171345397565571</t>
  </si>
  <si>
    <t>ID:1121637108748846</t>
  </si>
  <si>
    <t>ID:1170935393129359</t>
  </si>
  <si>
    <t>ID:3187-7022-4615-75215</t>
  </si>
  <si>
    <t>벽력후 제1권</t>
  </si>
  <si>
    <t>ID:3140-9809-5068-95114</t>
  </si>
  <si>
    <t>남자의 길 7권</t>
  </si>
  <si>
    <t>ID:1183794263419295</t>
  </si>
  <si>
    <t>ID:3134-4497-9577-59807</t>
  </si>
  <si>
    <t>ID:1112944269103847</t>
  </si>
  <si>
    <t>ID:1140410731666625</t>
  </si>
  <si>
    <t>ID:1123541878471526</t>
  </si>
  <si>
    <t>ID:3175-7368-2205-84521</t>
  </si>
  <si>
    <t>카드빨로 축구 스타 2권</t>
  </si>
  <si>
    <t>ID:1146577480729872</t>
  </si>
  <si>
    <t>ID:1175343480568957</t>
  </si>
  <si>
    <t>ID:1175070820659463</t>
  </si>
  <si>
    <t>ID:3137-4211-0390-94259</t>
  </si>
  <si>
    <t>대한민국 절대 재벌 14권</t>
  </si>
  <si>
    <t>ID:1118611310096789</t>
  </si>
  <si>
    <t>ID:1139894828512803</t>
  </si>
  <si>
    <t>ID:1176850034661539</t>
  </si>
  <si>
    <t>ID:1135516849407561</t>
  </si>
  <si>
    <t>ID:3150-8550-5847-44597</t>
  </si>
  <si>
    <t>DO</t>
  </si>
  <si>
    <t>ID:1169377724492417</t>
  </si>
  <si>
    <t>ID:3161-2087-0429-59961</t>
  </si>
  <si>
    <t>무자천서 2권</t>
  </si>
  <si>
    <t>ID:3152-3251-9463-05349</t>
  </si>
  <si>
    <t>카드빨로 축구 스타 3권</t>
  </si>
  <si>
    <t>ID:1157073165783925</t>
  </si>
  <si>
    <t>ID:1127669777392641</t>
  </si>
  <si>
    <t>ID:1130257285967266</t>
  </si>
  <si>
    <t>ID:1121110418240972</t>
  </si>
  <si>
    <t>ID:1176843139761794</t>
  </si>
  <si>
    <t>ID:1108791200299879</t>
  </si>
  <si>
    <t>ID:1107545906315151</t>
  </si>
  <si>
    <t>ID:1116235475480560</t>
  </si>
  <si>
    <t>ID:1139003072763272</t>
  </si>
  <si>
    <t>ID:1122772833368286</t>
  </si>
  <si>
    <t>ID:1131027415807810</t>
  </si>
  <si>
    <t>ID:1172132638285883</t>
  </si>
  <si>
    <t>ID:1154655995637457</t>
  </si>
  <si>
    <t>ID:1137521122030062</t>
  </si>
  <si>
    <t>ID:3184-5235-0969-08195</t>
  </si>
  <si>
    <t>무자천서 3권</t>
  </si>
  <si>
    <t>ID:3177-1769-7957-52322</t>
  </si>
  <si>
    <t>패악질 1권</t>
  </si>
  <si>
    <t>패악질 2권</t>
  </si>
  <si>
    <t>ID:1127939625590011</t>
  </si>
  <si>
    <t>ID:1137844267411158</t>
  </si>
  <si>
    <t>ID:1192171940487371</t>
  </si>
  <si>
    <t>Baseball Country 1권</t>
  </si>
  <si>
    <t>ES</t>
  </si>
  <si>
    <t>ID:1100976734233187</t>
  </si>
  <si>
    <t>ID:3185-7499-2023-34236</t>
  </si>
  <si>
    <t>리턴 레이드 헌터 3권</t>
  </si>
  <si>
    <t>ID:3105-8522-2546-62198</t>
  </si>
  <si>
    <t>전능의 팔찌 24권</t>
  </si>
  <si>
    <t>ID:1129387021752678</t>
  </si>
  <si>
    <t>ID:1158171895991602</t>
  </si>
  <si>
    <t>ID:1189159118008047</t>
  </si>
  <si>
    <t>ID:1182909493023690</t>
  </si>
  <si>
    <t>ID:3121-8200-4761-78359</t>
  </si>
  <si>
    <t>[19금] 복종 2권</t>
  </si>
  <si>
    <t>ID:3155-4425-6091-46698</t>
  </si>
  <si>
    <t>ID:1110512794083933</t>
  </si>
  <si>
    <t>ID:1192529431029326</t>
  </si>
  <si>
    <t>ID:1129201736752763</t>
  </si>
  <si>
    <t>내 몸은 무한재생 1권</t>
  </si>
  <si>
    <t>ID:1152868233768130</t>
  </si>
  <si>
    <t>ID:1119379622401014</t>
  </si>
  <si>
    <t>ID:1139457879484743</t>
  </si>
  <si>
    <t>ID:1160101945495205</t>
  </si>
  <si>
    <t>ID:1136845193512027</t>
  </si>
  <si>
    <t>ID:1176503876894077</t>
  </si>
  <si>
    <t>ID:1176687372321361</t>
  </si>
  <si>
    <t>ID:1160342181858365</t>
  </si>
  <si>
    <t>ID:3154-7913-7629-65261</t>
  </si>
  <si>
    <t>ID:3122-7090-4046-92013</t>
  </si>
  <si>
    <t>리턴 레이드 헌터 4권</t>
  </si>
  <si>
    <t>ID:3113-7194-4389-77248</t>
  </si>
  <si>
    <t>조선혁명군주 2권</t>
  </si>
  <si>
    <t>ID:1146503830165613</t>
  </si>
  <si>
    <t>ID:1149426533178319</t>
  </si>
  <si>
    <t>ID:1159286192699036</t>
  </si>
  <si>
    <t>ID:3127-9891-0037-83188</t>
  </si>
  <si>
    <t>달마묵장 10권</t>
  </si>
  <si>
    <t>ID:1168860018916020</t>
  </si>
  <si>
    <t>ID:1116636612506657</t>
  </si>
  <si>
    <t>ID:3161-3901-2286-99098</t>
  </si>
  <si>
    <t>[12월할인이벤트]친구 엄마와 친구 먹기 1권</t>
  </si>
  <si>
    <t>ID:1151144980733951</t>
  </si>
  <si>
    <t>ID:1136480738901836</t>
  </si>
  <si>
    <t>ID:3127-1169-7598-44277</t>
  </si>
  <si>
    <t>[19금] 스패셜 힐러 2권</t>
  </si>
  <si>
    <t>ID:3103-2345-9301-86562</t>
  </si>
  <si>
    <t>무림미녀전기 2권</t>
  </si>
  <si>
    <t>ID:3140-2497-0053-72013</t>
  </si>
  <si>
    <t>카드빨로 축구 스타 4권</t>
  </si>
  <si>
    <t>ID:1123042220866737</t>
  </si>
  <si>
    <t>마법 배운 재벌집 늦둥이 1권</t>
  </si>
  <si>
    <t>ID:1165762842021602</t>
  </si>
  <si>
    <t>ID:1110482671193127</t>
  </si>
  <si>
    <t>ID:1130136897367260</t>
  </si>
  <si>
    <t>ID:1103605931870018</t>
  </si>
  <si>
    <t>ID:1156665144110817</t>
  </si>
  <si>
    <t>ID:3130-4686-7769-00997</t>
  </si>
  <si>
    <t>차원을 넘나들며 재벌 되기! 3권</t>
  </si>
  <si>
    <t>ID:1102190668748153</t>
  </si>
  <si>
    <t>ID:3133-0369-6689-25943</t>
  </si>
  <si>
    <t>천룡파황보 3권</t>
  </si>
  <si>
    <t>ID:1164707658626934</t>
  </si>
  <si>
    <t>ID:1194763829296517</t>
  </si>
  <si>
    <t>ID:3124-2698-4029-84513</t>
  </si>
  <si>
    <t>동백유엽검 2권</t>
  </si>
  <si>
    <t>ID:1103383721759694</t>
  </si>
  <si>
    <t>ID:3123-0091-7794-46242</t>
  </si>
  <si>
    <t>전능의 팔찌 25권</t>
  </si>
  <si>
    <t>ID:3173-8649-1706-67681</t>
  </si>
  <si>
    <t>ID:1192864367994911</t>
  </si>
  <si>
    <t>ID:1179533249599056</t>
  </si>
  <si>
    <t>ID:1191738307102468</t>
  </si>
  <si>
    <t>ID:1190934757005367</t>
  </si>
  <si>
    <t>ID:3198-1894-8316-61874</t>
  </si>
  <si>
    <t>리턴 레이드 헌터 5권</t>
  </si>
  <si>
    <t>ID:3140-6139-6220-16632</t>
  </si>
  <si>
    <t>카드빨로 축구 스타 5권</t>
  </si>
  <si>
    <t>ID:1181413806113251</t>
  </si>
  <si>
    <t>ID:3117-7789-6896-54255</t>
  </si>
  <si>
    <t>ID:1160847158847560</t>
  </si>
  <si>
    <t>ID:1175735055761997</t>
  </si>
  <si>
    <t>ID:1190222437809038</t>
  </si>
  <si>
    <t>ID:1130555985332555</t>
  </si>
  <si>
    <t>ID:1144208572237128</t>
  </si>
  <si>
    <t>ID:1167385394736617</t>
  </si>
  <si>
    <t>ID:1100143105875964</t>
  </si>
  <si>
    <t>26. 2. 15.</t>
  </si>
  <si>
    <t>ID:1122232055528277</t>
  </si>
  <si>
    <t>ID:1156717517664039</t>
  </si>
  <si>
    <t>ID:1186406138516812</t>
  </si>
  <si>
    <t>ID:1163153206092982</t>
  </si>
  <si>
    <t>ID:1152361277052157</t>
  </si>
  <si>
    <t>ID:1125048604722947</t>
  </si>
  <si>
    <t>[BL] 호모포비아가 게이가 되는 과정 1권</t>
  </si>
  <si>
    <t>ID:1117283350170933</t>
  </si>
  <si>
    <t>[BL] 달달물이라며 1권</t>
  </si>
  <si>
    <t>라듀레티</t>
  </si>
  <si>
    <t>ID:1117273407526858</t>
  </si>
  <si>
    <t>ID:1147845325096344</t>
  </si>
  <si>
    <t>ID:3197-8860-8772-80132</t>
  </si>
  <si>
    <t>ID:1106415460925464</t>
  </si>
  <si>
    <t>ID:3104-1094-3750-85162</t>
  </si>
  <si>
    <t>ID:1179801612400050</t>
  </si>
  <si>
    <t>ID:1134521060020897</t>
  </si>
  <si>
    <t>ID:3171-2800-8922-53954</t>
  </si>
  <si>
    <t>전능의 팔찌 26권</t>
  </si>
  <si>
    <t>ID:1169661093888832</t>
  </si>
  <si>
    <t>ID:1111260239008294</t>
  </si>
  <si>
    <t>ID:3189-9604-5295-54365</t>
  </si>
  <si>
    <t>ID:1180260497391593</t>
  </si>
  <si>
    <t>ID:3157-6804-0248-25324</t>
  </si>
  <si>
    <t>이혼 후 재벌 각성! 6권</t>
  </si>
  <si>
    <t>ID:1179975300278892</t>
  </si>
  <si>
    <t>ID:3142-7926-0707-92332</t>
  </si>
  <si>
    <t>ID:1144252110660919</t>
  </si>
  <si>
    <t>불굴의 손가락 1권</t>
  </si>
  <si>
    <t>임누리</t>
  </si>
  <si>
    <t>ID:1188623646125453</t>
  </si>
  <si>
    <t>ID:3100-5269-3030-63984</t>
  </si>
  <si>
    <t>아기 삵을 낳아줘, 나 미치는 꼴 보기 싫으면! 2권</t>
  </si>
  <si>
    <t>아기 삵을 낳아줘, 나 미치는 꼴 보기 싫으면! 3권</t>
  </si>
  <si>
    <t>ID:3121-3545-1593-31080</t>
  </si>
  <si>
    <t>ID:3156-2139-8738-19424</t>
  </si>
  <si>
    <t>그랜드 크로스 3권</t>
  </si>
  <si>
    <t>ID:1141778394524314</t>
  </si>
  <si>
    <t>ID:3181-0749-4140-48512</t>
  </si>
  <si>
    <t>차원을 넘나들며 재벌 되기! 2권</t>
  </si>
  <si>
    <t>차원을 넘나들며 재벌 되기! 4권</t>
  </si>
  <si>
    <t>ID:1106451327339960</t>
  </si>
  <si>
    <t>ID:1103363251295776</t>
  </si>
  <si>
    <t>ID:1127483836552605</t>
  </si>
  <si>
    <t>유희 1권</t>
  </si>
  <si>
    <t>ID:1125632562633309</t>
  </si>
  <si>
    <t>멸망한 세계의 생존지침서 1권</t>
  </si>
  <si>
    <t>담배태우는 고양이</t>
  </si>
  <si>
    <t>ID:3129-3473-3021-90061</t>
  </si>
  <si>
    <t>카드빨로 축구 스타 6권</t>
  </si>
  <si>
    <t>ID:1132584760735270</t>
  </si>
  <si>
    <t>ID:3145-5968-7716-35357</t>
  </si>
  <si>
    <t>이혼 후 재벌 각성! 7권</t>
  </si>
  <si>
    <t>ID:1110746721995689</t>
  </si>
  <si>
    <t>ID:3100-7538-6856-81058</t>
  </si>
  <si>
    <t>신풍기협(神風奇俠) 4권</t>
  </si>
  <si>
    <t>ID:1195831187841031</t>
  </si>
  <si>
    <t>ID:1131464496197528</t>
  </si>
  <si>
    <t>ID:3173-1751-7121-98807</t>
  </si>
  <si>
    <t>ID:1116920687081465</t>
  </si>
  <si>
    <t>ID:1110110695627706</t>
  </si>
  <si>
    <t>ID:1191478874580222</t>
  </si>
  <si>
    <t>ID:3117-0670-4639-28566</t>
  </si>
  <si>
    <t>너희가 정령을 아느냐 2권</t>
  </si>
  <si>
    <t>ID:3199-0073-1986-06367</t>
  </si>
  <si>
    <t>PKEY:91357</t>
  </si>
  <si>
    <t>여우보다 늑대 1</t>
  </si>
  <si>
    <t>ID:1173024195025995</t>
  </si>
  <si>
    <t>ID:1141222188648133</t>
  </si>
  <si>
    <t>[19금] 세 명의 병신과 나 1권</t>
  </si>
  <si>
    <t>로베키스</t>
  </si>
  <si>
    <t>ID:1112934414333728</t>
  </si>
  <si>
    <t>ID:1154901086114798</t>
  </si>
  <si>
    <t>[19금] addiction 1권</t>
  </si>
  <si>
    <t>정진엽</t>
  </si>
  <si>
    <t>ID:1199130404862858</t>
  </si>
  <si>
    <t>[19금] 3개월 약정 관계 1권</t>
  </si>
  <si>
    <t>ID:1117906172855839</t>
  </si>
  <si>
    <t>ID:1177747267422153</t>
  </si>
  <si>
    <t>ID:1163864144763031</t>
  </si>
  <si>
    <t>ID:3115-9034-5828-32063</t>
  </si>
  <si>
    <t>조선혁명군주 3권</t>
  </si>
  <si>
    <t>ID:1100661230817149</t>
  </si>
  <si>
    <t>ID:1187422222734373</t>
  </si>
  <si>
    <t>ID:1170858630120916</t>
  </si>
  <si>
    <t>ID:1175911399854675</t>
  </si>
  <si>
    <t>ID:1102782234002478</t>
  </si>
  <si>
    <t>ID:3170-4816-3252-56523</t>
  </si>
  <si>
    <t>ID:1112690243052375</t>
  </si>
  <si>
    <t>ID:1147078089163703</t>
  </si>
  <si>
    <t>ID:3146-8751-6479-32172</t>
  </si>
  <si>
    <t>전설신검 2권</t>
  </si>
  <si>
    <t>ID:1197978782849840</t>
  </si>
  <si>
    <t>ID:1134252718436294</t>
  </si>
  <si>
    <t>ID:1110196049623677</t>
  </si>
  <si>
    <t>ID:1167132198124883</t>
  </si>
  <si>
    <t>ID:1192213553358674</t>
  </si>
  <si>
    <t>PKEY:147379</t>
  </si>
  <si>
    <t>점창파(點蒼派) 1권</t>
  </si>
  <si>
    <t>ID:1123885786969903</t>
  </si>
  <si>
    <t>ID:1164850591619824</t>
  </si>
  <si>
    <t>대걸물 1권</t>
  </si>
  <si>
    <t>ID:1127861676998054</t>
  </si>
  <si>
    <t>ID:1197575528675845</t>
  </si>
  <si>
    <t>ID:3150-7316-4519-81193</t>
  </si>
  <si>
    <t>대한민국 절대 재벌 15권</t>
  </si>
  <si>
    <t>ID:3168-6389-9843-28076</t>
  </si>
  <si>
    <t>전설신검 14권</t>
  </si>
  <si>
    <t>ID:1110576179754186</t>
  </si>
  <si>
    <t>정의구현으로 레벨 업! 1권</t>
  </si>
  <si>
    <t>휴헤</t>
  </si>
  <si>
    <t>ID:3113-1840-3025-26162</t>
  </si>
  <si>
    <t>전능의 팔찌 27권</t>
  </si>
  <si>
    <t>ID:1135975987378894</t>
  </si>
  <si>
    <t>ID:1139382896291691</t>
  </si>
  <si>
    <t>ID:3154-6582-9479-52041</t>
  </si>
  <si>
    <t>차원을 넘나들며 재벌 되기! 5권</t>
  </si>
  <si>
    <t>차원을 넘나들며 재벌 되기! 6권</t>
  </si>
  <si>
    <t>차원을 넘나들며 재벌 되기! 7권</t>
  </si>
  <si>
    <t>ID:1144216105218492</t>
  </si>
  <si>
    <t>ID:1117957092238082</t>
  </si>
  <si>
    <t>ID:1111790900390898</t>
  </si>
  <si>
    <t>ID:3198-4562-3135-67258</t>
  </si>
  <si>
    <t>이혼 후 재벌 각성! 8권</t>
  </si>
  <si>
    <t>ID:1157806972685169</t>
  </si>
  <si>
    <t>ID:3194-7147-4583-25834</t>
  </si>
  <si>
    <t>무림미녀전기 3권</t>
  </si>
  <si>
    <t>ID:3186-0353-0451-22058</t>
  </si>
  <si>
    <t>무림미녀전기 4권</t>
  </si>
  <si>
    <t>ID:3184-8623-6992-72180</t>
  </si>
  <si>
    <t>카드빨로 축구 스타 7권</t>
  </si>
  <si>
    <t>ID:1173110238428003</t>
  </si>
  <si>
    <t>ID:1100248681814883</t>
  </si>
  <si>
    <t>ID:1119858935362728</t>
  </si>
  <si>
    <t>ID:1100644154118476</t>
  </si>
  <si>
    <t>ID:1171823595838415</t>
  </si>
  <si>
    <t>ID:3143-3044-0064-31580</t>
  </si>
  <si>
    <t>유혹하는 여인들 3권 (완결)</t>
  </si>
  <si>
    <t>여명이슬</t>
  </si>
  <si>
    <t>ID:3168-8255-7318-19609</t>
  </si>
  <si>
    <t>ID:3167-2380-2544-93114</t>
  </si>
  <si>
    <t>리턴 레이드 헌터 6권</t>
  </si>
  <si>
    <t>ID:3112-0660-9631-11714</t>
  </si>
  <si>
    <t>남자의 길 8권</t>
  </si>
  <si>
    <t>ID:1137099702991563</t>
  </si>
  <si>
    <t>ID:3179-1184-4835-63682</t>
  </si>
  <si>
    <t>ID:1145753916596218</t>
  </si>
  <si>
    <t>ID:1155247000357740</t>
  </si>
  <si>
    <t>ID:3176-8642-4858-31712</t>
  </si>
  <si>
    <t>ID:1138274308871759</t>
  </si>
  <si>
    <t>PKEY:96651</t>
  </si>
  <si>
    <t>대괴선 1권</t>
  </si>
  <si>
    <t>정성민</t>
  </si>
  <si>
    <t>ID:1134114150733964</t>
  </si>
  <si>
    <t>ID:1185958014658200</t>
  </si>
  <si>
    <t>ID:1126004897359251</t>
  </si>
  <si>
    <t>ID:3172-1852-2468-82962</t>
  </si>
  <si>
    <t>ID:3134-9526-0222-87753</t>
  </si>
  <si>
    <t>무자천서 4권</t>
  </si>
  <si>
    <t>ID:1127564768964790</t>
  </si>
  <si>
    <t>ID:3107-0604-5404-40910</t>
  </si>
  <si>
    <t>무당제자 3권</t>
  </si>
  <si>
    <t>ID:1143668859175251</t>
  </si>
  <si>
    <t>ID:1104360695762177</t>
  </si>
  <si>
    <t>ID:1174237068095288</t>
  </si>
  <si>
    <t>ID:1179646299891126</t>
  </si>
  <si>
    <t>ID:1151743683455763</t>
  </si>
  <si>
    <t>ID:1149776020449068</t>
  </si>
  <si>
    <t>ID:1146768762290708</t>
  </si>
  <si>
    <t>ID:1133914455690628</t>
  </si>
  <si>
    <t>ID:3196-4509-9337-42867</t>
  </si>
  <si>
    <t>던전팜! 14권</t>
  </si>
  <si>
    <t>ID:1155409355469659</t>
  </si>
  <si>
    <t>ID:1123517395914549</t>
  </si>
  <si>
    <t>ID:1128826365128685</t>
  </si>
  <si>
    <t>ID:1186813510699516</t>
  </si>
  <si>
    <t>ID:3106-6757-9002-10199</t>
  </si>
  <si>
    <t>흙수저, 회귀로 재벌되다! 2권</t>
  </si>
  <si>
    <t>ID:1180365428139499</t>
  </si>
  <si>
    <t>ID:1132039647020392</t>
  </si>
  <si>
    <t>ID:1176487298405684</t>
  </si>
  <si>
    <t>ID:1191119988584230</t>
  </si>
  <si>
    <t>ID:1187418619103247</t>
  </si>
  <si>
    <t>ID:1156710910960963</t>
  </si>
  <si>
    <t>회귀했더니 쩔더라 1권</t>
  </si>
  <si>
    <t>쌈마이</t>
  </si>
  <si>
    <t>ID:3168-6191-8068-42479</t>
  </si>
  <si>
    <t>PKEY:91358</t>
  </si>
  <si>
    <t>여우보다 늑대 2 완결</t>
  </si>
  <si>
    <t>ID:3168-4851-7402-92151</t>
  </si>
  <si>
    <t>코인 게이트를 열었다 4권</t>
  </si>
  <si>
    <t>ID:3105-9137-5816-11895</t>
  </si>
  <si>
    <t>던전팜! 15권</t>
  </si>
  <si>
    <t>ID:1136396589764993</t>
  </si>
  <si>
    <t>26. 2. 16.</t>
  </si>
  <si>
    <t>ID:3114-3418-4658-13126</t>
  </si>
  <si>
    <t>이혼 후 재벌 각성! 9권</t>
  </si>
  <si>
    <t>ID:1151778647876181</t>
  </si>
  <si>
    <t>ID:1118651693536564</t>
  </si>
  <si>
    <t>ID:3107-0273-7450-98666</t>
  </si>
  <si>
    <t>KZT</t>
  </si>
  <si>
    <t>KZ</t>
  </si>
  <si>
    <t>ID:1194897957669911</t>
  </si>
  <si>
    <t>ID:1140519710541663</t>
  </si>
  <si>
    <t>ID:1136122791033207</t>
  </si>
  <si>
    <t>ID:1139622495354032</t>
  </si>
  <si>
    <t>미식축구가 너무 쉬움 1부 1권</t>
  </si>
  <si>
    <t>ID:1115646148216544</t>
  </si>
  <si>
    <t>ID:3150-1738-2082-31420</t>
  </si>
  <si>
    <t>현대영웅전 1권</t>
  </si>
  <si>
    <t>ID:1132154586112336</t>
  </si>
  <si>
    <t>ID:1125666894731096</t>
  </si>
  <si>
    <t>ID:1193774696012743</t>
  </si>
  <si>
    <t>ID:1147173047417838</t>
  </si>
  <si>
    <t>ID:1104790919967174</t>
  </si>
  <si>
    <t>ID:1131631482958219</t>
  </si>
  <si>
    <t>ID:1120810281181735</t>
  </si>
  <si>
    <t>ID:1184732791960173</t>
  </si>
  <si>
    <t>ID:3129-0234-3931-02459</t>
  </si>
  <si>
    <t>전능의 팔찌 28권</t>
  </si>
  <si>
    <t>ID:1198289681254105</t>
  </si>
  <si>
    <t>ID:1198659543619686</t>
  </si>
  <si>
    <t>ID:1150205374180510</t>
  </si>
  <si>
    <t>ID:1181825489582414</t>
  </si>
  <si>
    <t>풍류자객 1</t>
  </si>
  <si>
    <t>ID:1110769824748580</t>
  </si>
  <si>
    <t>ID:1108783827520785</t>
  </si>
  <si>
    <t>ID:1186791862005913</t>
  </si>
  <si>
    <t>19금 속으로 1권</t>
  </si>
  <si>
    <t>쉐도우스</t>
  </si>
  <si>
    <t>CHF</t>
  </si>
  <si>
    <t>CH</t>
  </si>
  <si>
    <t>ID:1143799176648971</t>
  </si>
  <si>
    <t>PKEY:144477</t>
  </si>
  <si>
    <t>지배의 법칙 1권</t>
  </si>
  <si>
    <t>민서</t>
  </si>
  <si>
    <t>ID:1161142864232264</t>
  </si>
  <si>
    <t>ID:3161-2822-2834-69780</t>
  </si>
  <si>
    <t>무적천년 2권</t>
  </si>
  <si>
    <t>ID:1195241468141554</t>
  </si>
  <si>
    <t>ID:1183678346351513</t>
  </si>
  <si>
    <t>ID:3138-9701-2268-02999</t>
  </si>
  <si>
    <t>흙수저, 회귀로 재벌되다! 3권</t>
  </si>
  <si>
    <t>ID:3170-5531-5499-36021</t>
  </si>
  <si>
    <t>ID:1136749404049871</t>
  </si>
  <si>
    <t>ID:1146896687256933</t>
  </si>
  <si>
    <t>ID:3172-8552-4020-93137</t>
  </si>
  <si>
    <t>ID:1192113570100724</t>
  </si>
  <si>
    <t>ID:1105981921062003</t>
  </si>
  <si>
    <t>ID:3135-3507-6388-11581</t>
  </si>
  <si>
    <t>전능의 팔찌 29권</t>
  </si>
  <si>
    <t>ID:3137-7355-6468-49512</t>
  </si>
  <si>
    <t>ID:1154222698369687</t>
  </si>
  <si>
    <t>ID:1123708220980048</t>
  </si>
  <si>
    <t>ID:1119129142226781</t>
  </si>
  <si>
    <t>ID:1152559968692220</t>
  </si>
  <si>
    <t>ID:3175-4393-3317-38407</t>
  </si>
  <si>
    <t>조선혁명군주 4권</t>
  </si>
  <si>
    <t>ID:1109074504820147</t>
  </si>
  <si>
    <t>테니스 코트 위의 절대자 1부 1권</t>
  </si>
  <si>
    <t>ID:3111-9939-0107-71043</t>
  </si>
  <si>
    <t>차원을 넘나들며 재벌 되기! 8권</t>
  </si>
  <si>
    <t>차원을 넘나들며 재벌 되기! 9권</t>
  </si>
  <si>
    <t>차원을 넘나들며 재벌 되기! 10권</t>
  </si>
  <si>
    <t>ID:1110304327139374</t>
  </si>
  <si>
    <t>PKEY:96072</t>
  </si>
  <si>
    <t>프리맨 1권</t>
  </si>
  <si>
    <t>ID:3152-3941-8694-50232</t>
  </si>
  <si>
    <t>ID:1134586102744712</t>
  </si>
  <si>
    <t>성노예 코딩 어플 1권</t>
  </si>
  <si>
    <t>ID:3142-6770-6144-01284</t>
  </si>
  <si>
    <t>궁지에 몰린 쥐는 앙하고 문다 4권</t>
  </si>
  <si>
    <t>왕해나</t>
  </si>
  <si>
    <t>ID:1151320534497368</t>
  </si>
  <si>
    <t>ID:1108335325675385</t>
  </si>
  <si>
    <t>ID:1155957901129096</t>
  </si>
  <si>
    <t>ID:1128314716962584</t>
  </si>
  <si>
    <t>ID:1133481811366964</t>
  </si>
  <si>
    <t>ID:1190521472164856</t>
  </si>
  <si>
    <t>ID:1192275509773066</t>
  </si>
  <si>
    <t>ID:1125599165072812</t>
  </si>
  <si>
    <t>ID:1178533587885202</t>
  </si>
  <si>
    <t>ID:1132099720652783</t>
  </si>
  <si>
    <t>ID:1173912517627483</t>
  </si>
  <si>
    <t>ID:1195605068470883</t>
  </si>
  <si>
    <t>ID:1125480513046255</t>
  </si>
  <si>
    <t>ID:1157844978486015</t>
  </si>
  <si>
    <t>ID:1145792992581753</t>
  </si>
  <si>
    <t>ID:1139820899147492</t>
  </si>
  <si>
    <t>ID:1107139923096420</t>
  </si>
  <si>
    <t>ID:1173542331911106</t>
  </si>
  <si>
    <t>ID:3107-2719-0731-99130</t>
  </si>
  <si>
    <t>흙수저, 회귀로 재벌되다! 4권</t>
  </si>
  <si>
    <t>ID:3137-9956-4269-31599</t>
  </si>
  <si>
    <t>ID:3120-9014-3433-01660</t>
  </si>
  <si>
    <t>조선혁명군주 5권</t>
  </si>
  <si>
    <t>ID:1112205670303435</t>
  </si>
  <si>
    <t>ID:1170707853412080</t>
  </si>
  <si>
    <t>ID:1175973388623144</t>
  </si>
  <si>
    <t>ID:1167819454762836</t>
  </si>
  <si>
    <t>ID:3190-1792-1910-00162</t>
  </si>
  <si>
    <t>사랑보다 먼, 증오보다 가까운 외전</t>
  </si>
  <si>
    <t>님도르신</t>
  </si>
  <si>
    <t>ID:3174-0453-8497-67072</t>
  </si>
  <si>
    <t>ID:3163-5181-2549-91113</t>
  </si>
  <si>
    <t>친구 엄마와 친구 먹기 10권</t>
  </si>
  <si>
    <t>ID:1105990026696638</t>
  </si>
  <si>
    <t>ID:1159701299446142</t>
  </si>
  <si>
    <t>ID:1138421151661256</t>
  </si>
  <si>
    <t>ID:3139-4327-7030-31865</t>
  </si>
  <si>
    <t>ID:1147249615536392</t>
  </si>
  <si>
    <t>ID:3197-7073-5935-41647</t>
  </si>
  <si>
    <t>효종 4권</t>
  </si>
  <si>
    <t>ID:1130636451076717</t>
  </si>
  <si>
    <t>야한 연극의 TS 주인공이 되었다 1권</t>
  </si>
  <si>
    <t>파워레인젖</t>
  </si>
  <si>
    <t>ID:3106-4966-5166-13365</t>
  </si>
  <si>
    <t>ID:3185-9275-4891-21853</t>
  </si>
  <si>
    <t>성노예 코딩 어플 2권</t>
  </si>
  <si>
    <t>ID:3185-2957-8872-71892</t>
  </si>
  <si>
    <t>ID:1182328300483961</t>
  </si>
  <si>
    <t>ID:1138324291584422</t>
  </si>
  <si>
    <t>ID:1175659621636306</t>
  </si>
  <si>
    <t>ID:1168534551722758</t>
  </si>
  <si>
    <t>ID:1193908776320156</t>
  </si>
  <si>
    <t>ID:3135-9759-8780-09715</t>
  </si>
  <si>
    <t>ID:1154369388846720</t>
  </si>
  <si>
    <t>ID:3175-2186-6378-98816</t>
  </si>
  <si>
    <t>무적천년 합본 (전3권)</t>
  </si>
  <si>
    <t>ID:1103302018752146</t>
  </si>
  <si>
    <t>ID:3187-8979-3102-10935</t>
  </si>
  <si>
    <t>ID:1161214115790447</t>
  </si>
  <si>
    <t>ID:1105500413293221</t>
  </si>
  <si>
    <t>ID:1149634406397707</t>
  </si>
  <si>
    <t>ID:1154246780853380</t>
  </si>
  <si>
    <t>ID:3160-0783-7623-08481</t>
  </si>
  <si>
    <t>수를 읽는 남자, 세상을 바꾸는 컨설턴트 2권</t>
  </si>
  <si>
    <t>ID:1122761037804179</t>
  </si>
  <si>
    <t>ID:3190-6353-4611-59999</t>
  </si>
  <si>
    <t>무당제자 4권</t>
  </si>
  <si>
    <t>ID:3163-2612-8281-57451</t>
  </si>
  <si>
    <t>전능의 팔찌 30권</t>
  </si>
  <si>
    <t>ID:1199064207059618</t>
  </si>
  <si>
    <t>ID:3119-5954-3154-12997</t>
  </si>
  <si>
    <t>리턴 레이드 헌터 7권</t>
  </si>
  <si>
    <t>ID:1189286271213636</t>
  </si>
  <si>
    <t>ID:1153015964218395</t>
  </si>
  <si>
    <t>ID:1185776706327075</t>
  </si>
  <si>
    <t>ID:3182-4695-7823-17579</t>
  </si>
  <si>
    <t>신풍기협(神風奇俠) 5권</t>
  </si>
  <si>
    <t>ID:1131829701595436</t>
  </si>
  <si>
    <t>ID:1189767985154928</t>
  </si>
  <si>
    <t>ID:1197936232216693</t>
  </si>
  <si>
    <t>ID:1195394700413646</t>
  </si>
  <si>
    <t>ID:3111-4742-7725-86256</t>
  </si>
  <si>
    <t>ID:3123-2365-1721-26085</t>
  </si>
  <si>
    <t>ID:3122-7977-4642-63851</t>
  </si>
  <si>
    <t>전설신검 5권</t>
  </si>
  <si>
    <t>ID:1151571864831908</t>
  </si>
  <si>
    <t>ID:3165-0169-7945-42314</t>
  </si>
  <si>
    <t>무림영웅 때려칩니다 2권</t>
  </si>
  <si>
    <t>ID:3186-1206-6564-61229</t>
  </si>
  <si>
    <t>ID:3118-1259-7074-69984</t>
  </si>
  <si>
    <t>흙수저, 회귀로 재벌되다! 5권</t>
  </si>
  <si>
    <t>흙수저, 회귀로 재벌되다! 6권</t>
  </si>
  <si>
    <t>흙수저, 회귀로 재벌되다! 7권</t>
  </si>
  <si>
    <t>ID:3175-5331-0383-70468</t>
  </si>
  <si>
    <t>소(笑) 1권</t>
  </si>
  <si>
    <t>ID:3171-1384-2135-79599</t>
  </si>
  <si>
    <t>뇌전의 군주 3권</t>
  </si>
  <si>
    <t>ID:1139352811442987</t>
  </si>
  <si>
    <t>ID:3137-1125-9384-51243</t>
  </si>
  <si>
    <t>ID:3109-2454-6476-01316</t>
  </si>
  <si>
    <t>마왕이 나노머신을 숨김 2권</t>
  </si>
  <si>
    <t>ID:1183423572736479</t>
  </si>
  <si>
    <t>ID:3167-7460-3135-15876</t>
  </si>
  <si>
    <t>성노예 코딩 어플 3권</t>
  </si>
  <si>
    <t>ID:3178-5737-4660-52662</t>
  </si>
  <si>
    <t>26. 2. 17.</t>
  </si>
  <si>
    <t>ID:1179494039049902</t>
  </si>
  <si>
    <t>ID:3173-7647-4130-17340</t>
  </si>
  <si>
    <t>ID:1145060421266584</t>
  </si>
  <si>
    <t>ID:1128790888278098</t>
  </si>
  <si>
    <t>[19금] 프로게이머 노블레스 1권</t>
  </si>
  <si>
    <t>임동욱</t>
  </si>
  <si>
    <t>ID:1157529372380012</t>
  </si>
  <si>
    <t>ID:3158-4437-6687-55603</t>
  </si>
  <si>
    <t>ID:1130773475422936</t>
  </si>
  <si>
    <t>위풍당당 스토리 1권</t>
  </si>
  <si>
    <t>ID:3145-2816-9217-32520</t>
  </si>
  <si>
    <t>전능의 팔찌 31권</t>
  </si>
  <si>
    <t>ID:3184-6178-9734-10415</t>
  </si>
  <si>
    <t>19금 피폐 역하렘 게임의 여주인공이 되었다! 1권</t>
  </si>
  <si>
    <t>금나래</t>
  </si>
  <si>
    <t>ID:1112659381560752</t>
  </si>
  <si>
    <t>PKEY:96036</t>
  </si>
  <si>
    <t>뉴 스타트 1권</t>
  </si>
  <si>
    <t>ID:3151-5612-2943-38778</t>
  </si>
  <si>
    <t>ID:1181458851898149</t>
  </si>
  <si>
    <t>ID:1164707673223767</t>
  </si>
  <si>
    <t>ID:1198491164210514</t>
  </si>
  <si>
    <t>ID:1104734204143523</t>
  </si>
  <si>
    <t>ID:1121987197229871</t>
  </si>
  <si>
    <t>ID:1193182992327818</t>
  </si>
  <si>
    <t>ID:1186910747145339</t>
  </si>
  <si>
    <t>ONE GAME 1권</t>
  </si>
  <si>
    <t>ID:3105-4407-4514-98225</t>
  </si>
  <si>
    <t>성노예 코딩 어플 4권</t>
  </si>
  <si>
    <t>ID:3141-0593-3950-78082</t>
  </si>
  <si>
    <t>무당제자 5권</t>
  </si>
  <si>
    <t>ID:1119586396119202</t>
  </si>
  <si>
    <t>ID:1166342538773072</t>
  </si>
  <si>
    <t>ID:3117-1630-7778-97570</t>
  </si>
  <si>
    <t>만렙요원 : 재벌이 되다 7권</t>
  </si>
  <si>
    <t>ID:1175213418372715</t>
  </si>
  <si>
    <t>ID:3107-7669-1095-65452</t>
  </si>
  <si>
    <t>뇌전의 군주 5권</t>
  </si>
  <si>
    <t>ID:3116-8331-0945-44355</t>
  </si>
  <si>
    <t>공작 형제의 오메가 외전</t>
  </si>
  <si>
    <t>두나래</t>
  </si>
  <si>
    <t>ID:1117455711578435</t>
  </si>
  <si>
    <t>ID:1149817353044088</t>
  </si>
  <si>
    <t>ID:1182157848220321</t>
  </si>
  <si>
    <t>ID:1102673826417517</t>
  </si>
  <si>
    <t>ID:1161300463834486</t>
  </si>
  <si>
    <t>PKEY:88692</t>
  </si>
  <si>
    <t>피 끓는 산하 1</t>
  </si>
  <si>
    <t>ID:3161-5180-4360-03138</t>
  </si>
  <si>
    <t>전설신검 6권</t>
  </si>
  <si>
    <t>ID:1176858251672641</t>
  </si>
  <si>
    <t>ID:1141084150530052</t>
  </si>
  <si>
    <t>ID:1128013938529579</t>
  </si>
  <si>
    <t>ID:1114293784385926</t>
  </si>
  <si>
    <t>ID:3142-7620-5025-97286</t>
  </si>
  <si>
    <t>ID:3156-3078-8665-91144</t>
  </si>
  <si>
    <t>ID:1145086511559970</t>
  </si>
  <si>
    <t>ID:1157397545439965</t>
  </si>
  <si>
    <t>ID:1134585296592362</t>
  </si>
  <si>
    <t>PKEY:96082</t>
  </si>
  <si>
    <t>알바트로스 1권</t>
  </si>
  <si>
    <t>ID:1149465862332150</t>
  </si>
  <si>
    <t>ID:1142431566985645</t>
  </si>
  <si>
    <t>ID:3128-5939-8706-23539</t>
  </si>
  <si>
    <t>무림영웅 때려칩니다 3권</t>
  </si>
  <si>
    <t>ID:1134437715753371</t>
  </si>
  <si>
    <t>ID:1145929143141533</t>
  </si>
  <si>
    <t>절망하고 복종하라 1권</t>
  </si>
  <si>
    <t>베노맨서</t>
  </si>
  <si>
    <t>ID:3169-0051-5945-58688</t>
  </si>
  <si>
    <t>성노예 코딩 어플 5권</t>
  </si>
  <si>
    <t>ID:1109041881506731</t>
  </si>
  <si>
    <t>ID:3113-7907-2374-54276</t>
  </si>
  <si>
    <t>만렙요원 : 재벌이 되다 8권</t>
  </si>
  <si>
    <t>ID:1147549358693488</t>
  </si>
  <si>
    <t>ID:1113475747552757</t>
  </si>
  <si>
    <t>ID:1104509928375691</t>
  </si>
  <si>
    <t>ID:1194714817919211</t>
  </si>
  <si>
    <t>ID:3171-9519-0364-72267</t>
  </si>
  <si>
    <t>신풍기협(神風奇俠) 6권</t>
  </si>
  <si>
    <t>ID:1194718364889319</t>
  </si>
  <si>
    <t>ID:1193986212510019</t>
  </si>
  <si>
    <t>ID:1129114921383033</t>
  </si>
  <si>
    <t>ID:3194-7959-2965-91816</t>
  </si>
  <si>
    <t>대륙독보 1권</t>
  </si>
  <si>
    <t>ID:3191-5158-7109-35767</t>
  </si>
  <si>
    <t>PKEY:91355</t>
  </si>
  <si>
    <t>디스코 1</t>
  </si>
  <si>
    <t>ID:3115-7261-9735-16039</t>
  </si>
  <si>
    <t>차원을 넘나들며 재벌 되기! 11권</t>
  </si>
  <si>
    <t>차원을 넘나들며 재벌 되기! 12권</t>
  </si>
  <si>
    <t>차원을 넘나들며 재벌 되기! 13권</t>
  </si>
  <si>
    <t>ID:1104237876984406</t>
  </si>
  <si>
    <t>ID:3154-7963-3712-71760</t>
  </si>
  <si>
    <t>신체가 강화됨 7권</t>
  </si>
  <si>
    <t>ID:1115687728546183</t>
  </si>
  <si>
    <t>ID:1120351243210841</t>
  </si>
  <si>
    <t>ID:3157-9938-1715-15183</t>
  </si>
  <si>
    <t>ID:1188953198457270</t>
  </si>
  <si>
    <t>황금수 1권</t>
  </si>
  <si>
    <t>ID:3130-1299-4489-71763</t>
  </si>
  <si>
    <t>ID:3190-0338-6003-67781</t>
  </si>
  <si>
    <t>다시 태어난 야구 천재 2권</t>
  </si>
  <si>
    <t>ID:1177530474569959</t>
  </si>
  <si>
    <t>ID:3184-0726-1962-95960</t>
  </si>
  <si>
    <t>PKEY:76232</t>
  </si>
  <si>
    <t>중원정벌 2</t>
  </si>
  <si>
    <t>ID:1156187024510587</t>
  </si>
  <si>
    <t>ID:3187-4014-1449-07803</t>
  </si>
  <si>
    <t>야설로 보는 그리스 로마 신화 2권</t>
  </si>
  <si>
    <t>ID:1184518304751901</t>
  </si>
  <si>
    <t>ID:1175026905222760</t>
  </si>
  <si>
    <t>[19금] 결국 나는 그 게임에서 벗어나지 못한다 1권</t>
  </si>
  <si>
    <t>R!S!a</t>
  </si>
  <si>
    <t>ID:1106378308911715</t>
  </si>
  <si>
    <t>ID:1119326163229259</t>
  </si>
  <si>
    <t>ID:1138351063403256</t>
  </si>
  <si>
    <t>ID:1124739452704610</t>
  </si>
  <si>
    <t>ID:1127207501985093</t>
  </si>
  <si>
    <t>ID:1168159183628697</t>
  </si>
  <si>
    <t>ID:1125798514888310</t>
  </si>
  <si>
    <t>ID:1139565133612888</t>
  </si>
  <si>
    <t>ID:1165156068419054</t>
  </si>
  <si>
    <t>ID:1183742055033693</t>
  </si>
  <si>
    <t>ID:1135621434569279</t>
  </si>
  <si>
    <t>ID:1160050829477432</t>
  </si>
  <si>
    <t>ID:1101925553096676</t>
  </si>
  <si>
    <t>ID:1141263167329893</t>
  </si>
  <si>
    <t>ID:1196189682501577</t>
  </si>
  <si>
    <t>ID:1181740811090326</t>
  </si>
  <si>
    <t>ID:3134-7163-6008-79058</t>
  </si>
  <si>
    <t>ID:1118178927681957</t>
  </si>
  <si>
    <t>ID:3128-4015-6102-11936</t>
  </si>
  <si>
    <t>ID:3131-4338-1655-22282</t>
  </si>
  <si>
    <t>동백유엽검 3권</t>
  </si>
  <si>
    <t>ID:1132938854444715</t>
  </si>
  <si>
    <t>ID:1169748052053241</t>
  </si>
  <si>
    <t>유혹하는 여인들 1권</t>
  </si>
  <si>
    <t>ID:1111484264722607</t>
  </si>
  <si>
    <t>ID:1106780373987443</t>
  </si>
  <si>
    <t>ID:3105-6306-4436-77202</t>
  </si>
  <si>
    <t>데일리 히어로 2권</t>
  </si>
  <si>
    <t>ID:1135262094526396</t>
  </si>
  <si>
    <t>ID:1140294089746183</t>
  </si>
  <si>
    <t>ID:1188888175783587</t>
  </si>
  <si>
    <t>ID:1189614921324445</t>
  </si>
  <si>
    <t>ID:3130-7164-1546-82216</t>
  </si>
  <si>
    <t>대륙독보 2권</t>
  </si>
  <si>
    <t>ID:1163400679017311</t>
  </si>
  <si>
    <t>ID:3101-6652-1657-48740</t>
  </si>
  <si>
    <t>무당학사전 6권</t>
  </si>
  <si>
    <t>ID:1149374297283861</t>
  </si>
  <si>
    <t>ID:1197203673637581</t>
  </si>
  <si>
    <t>ID:1153095576364879</t>
  </si>
  <si>
    <t>ID:1122872347167584</t>
  </si>
  <si>
    <t>ID:3139-9533-3180-19863</t>
  </si>
  <si>
    <t>ID:1149450853907019</t>
  </si>
  <si>
    <t>ID:1147613333921820</t>
  </si>
  <si>
    <t>ID:1164075388370017</t>
  </si>
  <si>
    <t>ID:1114131535993324</t>
  </si>
  <si>
    <t>ID:1127319855069269</t>
  </si>
  <si>
    <t>ID:1178842676882437</t>
  </si>
  <si>
    <t>야랑 1권</t>
  </si>
  <si>
    <t>ID:1153758542344664</t>
  </si>
  <si>
    <t>ID:1174158190076155</t>
  </si>
  <si>
    <t>ID:3141-4523-8019-62052</t>
  </si>
  <si>
    <t>ID:1103308007989494</t>
  </si>
  <si>
    <t>ID:3138-1881-3460-70229</t>
  </si>
  <si>
    <t>차원을 넘나들며 재벌 되기! 14권</t>
  </si>
  <si>
    <t>차원을 넘나들며 재벌 되기! 15권</t>
  </si>
  <si>
    <t>차원을 넘나들며 재벌 되기! 16권</t>
  </si>
  <si>
    <t>차원을 넘나들며 재벌 되기! 17권</t>
  </si>
  <si>
    <t>차원을 넘나들며 재벌 되기! 18권</t>
  </si>
  <si>
    <t>ID:1185231584314027</t>
  </si>
  <si>
    <t>ID:1169602272317792</t>
  </si>
  <si>
    <t>ID:3136-6773-8288-01567</t>
  </si>
  <si>
    <t>ID:3134-6605-9725-57141</t>
  </si>
  <si>
    <t>무당제자 6권</t>
  </si>
  <si>
    <t>ID:3149-9587-2239-89082</t>
  </si>
  <si>
    <t>ID:1181077101738426</t>
  </si>
  <si>
    <t>ID:3194-1511-9711-80724</t>
  </si>
  <si>
    <t>만렙요원 : 재벌이 되다 9권</t>
  </si>
  <si>
    <t>만렙요원 : 재벌이 되다 10권</t>
  </si>
  <si>
    <t>만렙요원 : 재벌이 되다 11권</t>
  </si>
  <si>
    <t>만렙요원 : 재벌이 되다 12권</t>
  </si>
  <si>
    <t>ID:1182193659360241</t>
  </si>
  <si>
    <t>ID:1138445294136767</t>
  </si>
  <si>
    <t>ID:1117330173895899</t>
  </si>
  <si>
    <t>ID:3171-1138-3103-33870</t>
  </si>
  <si>
    <t>PKEY:31157</t>
  </si>
  <si>
    <t>붕성 제1권</t>
  </si>
  <si>
    <t>PKEY:31158</t>
  </si>
  <si>
    <t>붕성 제2권</t>
  </si>
  <si>
    <t>PKEY:31159</t>
  </si>
  <si>
    <t>붕성 제3권</t>
  </si>
  <si>
    <t>ID:3178-4187-5660-08855</t>
  </si>
  <si>
    <t>늙은 경비에게 조교당하는 스튜어디스의 이야기 2권</t>
  </si>
  <si>
    <t>늙은 경비에게 조교당하는 스튜어디스의 이야기 3권</t>
  </si>
  <si>
    <t>늙은 경비에게 조교당하는 스튜어디스의 이야기 4권</t>
  </si>
  <si>
    <t>늙은 경비에게 조교당하는 스튜어디스의 이야기 5권</t>
  </si>
  <si>
    <t>늙은 경비에게 조교당하는 스튜어디스의 이야기 6권</t>
  </si>
  <si>
    <t>늙은 경비에게 조교당하는 스튜어디스의 이야기 7권</t>
  </si>
  <si>
    <t>늙은 경비에게 조교당하는 스튜어디스의 이야기 8권</t>
  </si>
  <si>
    <t>ID:3182-7818-5749-39056</t>
  </si>
  <si>
    <t>뇌전의 군주 6권</t>
  </si>
  <si>
    <t>ID:1111991303814150</t>
  </si>
  <si>
    <t>ID:1179728575091849</t>
  </si>
  <si>
    <t>ID:1119870206025970</t>
  </si>
  <si>
    <t>ID:1192615639974734</t>
  </si>
  <si>
    <t>ID:1149164667669530</t>
  </si>
  <si>
    <t>ID:1163175629594875</t>
  </si>
  <si>
    <t>ID:1179230166235538</t>
  </si>
  <si>
    <t>ID:1122633772194247</t>
  </si>
  <si>
    <t>ID:1102370582060504</t>
  </si>
  <si>
    <t>ID:3138-8484-5594-04691</t>
  </si>
  <si>
    <t>ID:3135-9356-1775-64120</t>
  </si>
  <si>
    <t>동백유엽검 4권</t>
  </si>
  <si>
    <t>ID:1144141683444291</t>
  </si>
  <si>
    <t>PKEY:83338</t>
  </si>
  <si>
    <t>스톰 블레이드 1</t>
  </si>
  <si>
    <t>진현</t>
  </si>
  <si>
    <t>ID:1192447771067910</t>
  </si>
  <si>
    <t>ID:1144500122884473</t>
  </si>
  <si>
    <t>PKEY:143898</t>
  </si>
  <si>
    <t>초월인간 1권</t>
  </si>
  <si>
    <t>ID:1141584682193724</t>
  </si>
  <si>
    <t>ID:1122049398397904</t>
  </si>
  <si>
    <t>ID:1193827950631339</t>
  </si>
  <si>
    <t>ID:3134-1342-3650-41620</t>
  </si>
  <si>
    <t>ID:1182794799573258</t>
  </si>
  <si>
    <t>성공시대 1권</t>
  </si>
  <si>
    <t>ID:1158532329197814</t>
  </si>
  <si>
    <t>망한 세상에서 나 혼자 각성 1권</t>
  </si>
  <si>
    <t>민작가</t>
  </si>
  <si>
    <t>ID:3104-6050-4979-21043</t>
  </si>
  <si>
    <t>달마묵장 4권</t>
  </si>
  <si>
    <t>ID:1130958738753579</t>
  </si>
  <si>
    <t>ID:3100-0286-7888-00465</t>
  </si>
  <si>
    <t>던전팜! 16권</t>
  </si>
  <si>
    <t>ID:3147-5631-5332-01059</t>
  </si>
  <si>
    <t>ID:3137-8639-9972-73626</t>
  </si>
  <si>
    <t>26. 2. 18.</t>
  </si>
  <si>
    <t>ID:3151-6618-7852-80822</t>
  </si>
  <si>
    <t>무당학사전 2권</t>
  </si>
  <si>
    <t>ID:1158417441693899</t>
  </si>
  <si>
    <t>ID:1172294076397532</t>
  </si>
  <si>
    <t>ID:1186510929232553</t>
  </si>
  <si>
    <t>ID:1122657919406972</t>
  </si>
  <si>
    <t>ID:3130-2026-1116-93543</t>
  </si>
  <si>
    <t>소(笑) 2권</t>
  </si>
  <si>
    <t>ID:1107045487301166</t>
  </si>
  <si>
    <t>ID:3143-7952-0770-08537</t>
  </si>
  <si>
    <t>PKEY:91356</t>
  </si>
  <si>
    <t>디스코 2 완결</t>
  </si>
  <si>
    <t>ID:1152438460673083</t>
  </si>
  <si>
    <t>ID:1186821661887640</t>
  </si>
  <si>
    <t>ID:1188219865223790</t>
  </si>
  <si>
    <t>ID:3111-1288-6986-77529</t>
  </si>
  <si>
    <t>마왕이 나노머신을 숨김 3권</t>
  </si>
  <si>
    <t>ID:1137799610236111</t>
  </si>
  <si>
    <t>ID:1151232544293717</t>
  </si>
  <si>
    <t>ID:1114650993802986</t>
  </si>
  <si>
    <t>ID:1186277408559171</t>
  </si>
  <si>
    <t>ID:3191-8192-8696-08099</t>
  </si>
  <si>
    <t>ID:1197344690847084</t>
  </si>
  <si>
    <t>PKEY:139514</t>
  </si>
  <si>
    <t>진조무쌍(秦祚無雙) 1권</t>
  </si>
  <si>
    <t>ID:1175378048028466</t>
  </si>
  <si>
    <t>ID:1129708249196610</t>
  </si>
  <si>
    <t>ID:3112-7172-2628-74864</t>
  </si>
  <si>
    <t>무당제자 7권</t>
  </si>
  <si>
    <t>ID:3116-8902-0861-21819</t>
  </si>
  <si>
    <t>달마묵장 5권</t>
  </si>
  <si>
    <t>ID:3167-7077-1525-99544</t>
  </si>
  <si>
    <t>효종 5권</t>
  </si>
  <si>
    <t>ID:1104415128987434</t>
  </si>
  <si>
    <t>ID:1127291883596351</t>
  </si>
  <si>
    <t>무엇이든(?) 만들어 드립니다 1권</t>
  </si>
  <si>
    <t>ID:1195765622505771</t>
  </si>
  <si>
    <t>ID:1116632629850378</t>
  </si>
  <si>
    <t>ID:1165637191408113</t>
  </si>
  <si>
    <t>ID:3149-6818-9159-23730</t>
  </si>
  <si>
    <t>달마묵장 6권</t>
  </si>
  <si>
    <t>ID:3185-1739-3844-46080</t>
  </si>
  <si>
    <t>ID:1169648955578340</t>
  </si>
  <si>
    <t>ID:1180484922830706</t>
  </si>
  <si>
    <t>ID:1173355869821602</t>
  </si>
  <si>
    <t>ID:1126459211760293</t>
  </si>
  <si>
    <t>ID:1165118854792391</t>
  </si>
  <si>
    <t>ID:1150444845174900</t>
  </si>
  <si>
    <t>평화로운 먼치킨 영지 1권</t>
  </si>
  <si>
    <t>ID:1103778407915493</t>
  </si>
  <si>
    <t>ID:3115-9144-5405-58685</t>
  </si>
  <si>
    <t>ID:1127276027551088</t>
  </si>
  <si>
    <t>ID:3159-0782-4458-77305</t>
  </si>
  <si>
    <t>동백유엽검 5권</t>
  </si>
  <si>
    <t>ID:1152042680068471</t>
  </si>
  <si>
    <t>ID:1118742266310957</t>
  </si>
  <si>
    <t>ID:3148-2195-1182-65930</t>
  </si>
  <si>
    <t>달마묵장 7권</t>
  </si>
  <si>
    <t>ID:1134672570551484</t>
  </si>
  <si>
    <t>ID:1194493193777293</t>
  </si>
  <si>
    <t>제국의 꿈 1권</t>
  </si>
  <si>
    <t>ID:1173689892059989</t>
  </si>
  <si>
    <t>ID:1108569869961680</t>
  </si>
  <si>
    <t>ID:3148-3347-0912-53420</t>
  </si>
  <si>
    <t>금수저 생활백서 6권</t>
  </si>
  <si>
    <t>ID:1136027320487169</t>
  </si>
  <si>
    <t>ID:1170672127383319</t>
  </si>
  <si>
    <t>ID:1127316075380509</t>
  </si>
  <si>
    <t>ID:1152142363220611</t>
  </si>
  <si>
    <t>ID:3122-6989-9368-83470</t>
  </si>
  <si>
    <t>ID:1178410968886392</t>
  </si>
  <si>
    <t>PKEY:126765</t>
  </si>
  <si>
    <t>크라스니, 눈물이 내리는 숲 1권</t>
  </si>
  <si>
    <t>ID:1180350426574796</t>
  </si>
  <si>
    <t>ID:1183461403850124</t>
  </si>
  <si>
    <t>ID:1128322179779439</t>
  </si>
  <si>
    <t>ID:3190-6040-3152-54467</t>
  </si>
  <si>
    <t>ID:1189142523577370</t>
  </si>
  <si>
    <t>ID:1162560218741045</t>
  </si>
  <si>
    <t>ID:1196470835889271</t>
  </si>
  <si>
    <t>ID:1155126610039268</t>
  </si>
  <si>
    <t>ID:1185893491195163</t>
  </si>
  <si>
    <t>ID:1187496597238037</t>
  </si>
  <si>
    <t>ID:1183114352374894</t>
  </si>
  <si>
    <t>ID:3122-6455-2053-93614</t>
  </si>
  <si>
    <t>ID:1195108127623658</t>
  </si>
  <si>
    <t>ID:1124384297693237</t>
  </si>
  <si>
    <t>ID:1125318672976461</t>
  </si>
  <si>
    <t>ID:3172-6012-4447-47753</t>
  </si>
  <si>
    <t>레드 코너 메리지 1권</t>
  </si>
  <si>
    <t>레드 코너 메리지 2권</t>
  </si>
  <si>
    <t>레드 코너 메리지 3권</t>
  </si>
  <si>
    <t>레드 코너 메리지 4권</t>
  </si>
  <si>
    <t>레드 코너 메리지 5권</t>
  </si>
  <si>
    <t>레드 코너 메리지 6권</t>
  </si>
  <si>
    <t>ID:3140-5326-5794-05471</t>
  </si>
  <si>
    <t>그 알파의 사정 1권</t>
  </si>
  <si>
    <t>그 알파의 사정 2권</t>
  </si>
  <si>
    <t>그 알파의 사정 3권</t>
  </si>
  <si>
    <t>ID:3137-1035-5911-44134</t>
  </si>
  <si>
    <t>아가레스를 떠나는 사람들 1권</t>
  </si>
  <si>
    <t>ID:3170-3581-7831-62307</t>
  </si>
  <si>
    <t>아가레스를 떠나는 사람들 2권</t>
  </si>
  <si>
    <t>ID:3105-0696-6004-64194</t>
  </si>
  <si>
    <t>ID:3190-2261-4932-26031</t>
  </si>
  <si>
    <t>영원한 불사자들의 생존전략 2권</t>
  </si>
  <si>
    <t>ID:3107-3798-8639-14660</t>
  </si>
  <si>
    <t>영원한 불사자들의 생존전략 3권</t>
  </si>
  <si>
    <t>ID:3149-2413-3896-52135</t>
  </si>
  <si>
    <t>영원한 불사자들의 생존전략 외전</t>
  </si>
  <si>
    <t>ID:1177766644118625</t>
  </si>
  <si>
    <t>ID:1196554049479008</t>
  </si>
  <si>
    <t>ID:1122631734723689</t>
  </si>
  <si>
    <t>ID:3124-4496-2240-77109</t>
  </si>
  <si>
    <t>조선혁명군주 6권</t>
  </si>
  <si>
    <t>ID:3153-0721-6846-83366</t>
  </si>
  <si>
    <t>[19금] 쉿! 그만 잘 시간이야 2권</t>
  </si>
  <si>
    <t>ID:3118-0563-4597-34869</t>
  </si>
  <si>
    <t>[19금] 쉿! 그만 잘 시간이야 3권 (완결)</t>
  </si>
  <si>
    <t>ID:3193-4656-5478-58479</t>
  </si>
  <si>
    <t>꽃, 피우다 1권</t>
  </si>
  <si>
    <t>탱탱볼</t>
  </si>
  <si>
    <t>꽃, 피우다 2권</t>
  </si>
  <si>
    <t>꽃, 피우다 3권</t>
  </si>
  <si>
    <t>ID:1125994877868687</t>
  </si>
  <si>
    <t>ID:1134352562805145</t>
  </si>
  <si>
    <t>ID:1178945871057127</t>
  </si>
  <si>
    <t>ID:1115989013150289</t>
  </si>
  <si>
    <t>ID:1121534152171347</t>
  </si>
  <si>
    <t>ID:1133402235006638</t>
  </si>
  <si>
    <t>ID:3191-5255-4688-76214</t>
  </si>
  <si>
    <t>동백유엽검 6권</t>
  </si>
  <si>
    <t>ID:1107278195832088</t>
  </si>
  <si>
    <t>ID:1151632739130564</t>
  </si>
  <si>
    <t>ID:1168200366697263</t>
  </si>
  <si>
    <t>임모탈 1권</t>
  </si>
  <si>
    <t>ID:1136900636027583</t>
  </si>
  <si>
    <t>PKEY:114518</t>
  </si>
  <si>
    <t>파문제자 1권</t>
  </si>
  <si>
    <t>한성수</t>
  </si>
  <si>
    <t>ID:1185748853594255</t>
  </si>
  <si>
    <t>ID:1127641822584304</t>
  </si>
  <si>
    <t>ID:3197-1941-0932-15420</t>
  </si>
  <si>
    <t>ID:3105-8700-2561-94388</t>
  </si>
  <si>
    <t>ID:3101-3047-8166-74129</t>
  </si>
  <si>
    <t>기적의 사나이 5권</t>
  </si>
  <si>
    <t>ID:3190-3429-8028-81835</t>
  </si>
  <si>
    <t>기적의 사나이 6권</t>
  </si>
  <si>
    <t>기적의 사나이 7권</t>
  </si>
  <si>
    <t>기적의 사나이 8권</t>
  </si>
  <si>
    <t>기적의 사나이 9권</t>
  </si>
  <si>
    <t>기적의 사나이 10권 완결</t>
  </si>
  <si>
    <t>ID:1124492792310116</t>
  </si>
  <si>
    <t>ID:1170452068238530</t>
  </si>
  <si>
    <t>ID:1193551205541480</t>
  </si>
  <si>
    <t>ID:1124897048377880</t>
  </si>
  <si>
    <t>ID:1173171444472225</t>
  </si>
  <si>
    <t>ID:3118-6521-2399-64094</t>
  </si>
  <si>
    <t>천마대전 2권</t>
  </si>
  <si>
    <t>ID:1144837307599920</t>
  </si>
  <si>
    <t>ID:1137073007740852</t>
  </si>
  <si>
    <t>ID:1180655076537196</t>
  </si>
  <si>
    <t>ID:3105-1857-7651-58426</t>
  </si>
  <si>
    <t>ID:3153-8174-1641-23297</t>
  </si>
  <si>
    <t>ID:1168405965283968</t>
  </si>
  <si>
    <t>ID:3126-6845-1393-11474</t>
  </si>
  <si>
    <t>ID:1131424948001583</t>
  </si>
  <si>
    <t>ID:3156-6608-7346-45925</t>
  </si>
  <si>
    <t>검신재림(劍神再臨) 11권</t>
  </si>
  <si>
    <t>검신재림(劍神再臨) 12권</t>
  </si>
  <si>
    <t>검신재림(劍神再臨) 13권</t>
  </si>
  <si>
    <t>검신재림(劍神再臨) 14권</t>
  </si>
  <si>
    <t>검신재림(劍神再臨) 15권</t>
  </si>
  <si>
    <t>검신재림(劍神再臨) 16권</t>
  </si>
  <si>
    <t>검신재림(劍神再臨) 17권</t>
  </si>
  <si>
    <t>검신재림(劍神再臨) 18권</t>
  </si>
  <si>
    <t>검신재림(劍神再臨) 19권</t>
  </si>
  <si>
    <t>ID:1137601060169479</t>
  </si>
  <si>
    <t>ID:1193358430365429</t>
  </si>
  <si>
    <t>ID:3112-0527-0899-60373</t>
  </si>
  <si>
    <t>나는 재벌이다 3권</t>
  </si>
  <si>
    <t>ID:1149571792996723</t>
  </si>
  <si>
    <t>ID:3108-5616-9785-73298</t>
  </si>
  <si>
    <t>ID:3195-5825-9955-91546</t>
  </si>
  <si>
    <t>ID:1138009206339532</t>
  </si>
  <si>
    <t>ID:1148856598082171</t>
  </si>
  <si>
    <t>ID:1149053771390047</t>
  </si>
  <si>
    <t>ID:3132-6261-4620-21410</t>
  </si>
  <si>
    <t>ID:3143-8117-6949-02201</t>
  </si>
  <si>
    <t>다시 태어난 야구 천재 3권</t>
  </si>
  <si>
    <t>ID:1178560707303724</t>
  </si>
  <si>
    <t>ID:3156-1943-9516-68825</t>
  </si>
  <si>
    <t>ID:1174402482674052</t>
  </si>
  <si>
    <t>추억， 순간의 바람이 되어 1권</t>
  </si>
  <si>
    <t>ID:3162-3544-6642-54800</t>
  </si>
  <si>
    <t>ID:3140-4626-7885-50076</t>
  </si>
  <si>
    <t>조선혁명군주 7권</t>
  </si>
  <si>
    <t>ID:1140450098230014</t>
  </si>
  <si>
    <t>ID:1108302563639618</t>
  </si>
  <si>
    <t>ID:1196211393132253</t>
  </si>
  <si>
    <t>ID:1122839630434997</t>
  </si>
  <si>
    <t>ID:3188-1116-8165-28934</t>
  </si>
  <si>
    <t>ID:3121-1937-8014-32659</t>
  </si>
  <si>
    <t>ID:1121901444308316</t>
  </si>
  <si>
    <t>ID:1137263980272459</t>
  </si>
  <si>
    <t>ID:1167208903621577</t>
  </si>
  <si>
    <t>ID:1138631914892035</t>
  </si>
  <si>
    <t>ID:1189051762650891</t>
  </si>
  <si>
    <t>ID:1160889548410892</t>
  </si>
  <si>
    <t>ID:1109429129678881</t>
  </si>
  <si>
    <t>ID:1135160268005805</t>
  </si>
  <si>
    <t>ID:3158-4643-0230-17710</t>
  </si>
  <si>
    <t>황금백수 2권</t>
  </si>
  <si>
    <t>ID:3180-3318-5562-55529</t>
  </si>
  <si>
    <t>ID:1137698959086480</t>
  </si>
  <si>
    <t>ID:1140578111472165</t>
  </si>
  <si>
    <t>ID:1120680827953355</t>
  </si>
  <si>
    <t>ID:1127020567157573</t>
  </si>
  <si>
    <t>ID:1194295823915411</t>
  </si>
  <si>
    <t>26. 2. 19.</t>
  </si>
  <si>
    <t>ID:1140827365634081</t>
  </si>
  <si>
    <t>ID:1182421250203836</t>
  </si>
  <si>
    <t>ID:1199014712256020</t>
  </si>
  <si>
    <t>ID:1149980533724434</t>
  </si>
  <si>
    <t>SSS급 천재 1권</t>
  </si>
  <si>
    <t>ID:1151463926365145</t>
  </si>
  <si>
    <t>ID:1153341783070237</t>
  </si>
  <si>
    <t>ID:3101-4509-1532-85950</t>
  </si>
  <si>
    <t>효종 6권</t>
  </si>
  <si>
    <t>ID:1154280912405927</t>
  </si>
  <si>
    <t>ID:3120-2994-3923-78868</t>
  </si>
  <si>
    <t>패왕독보(覇王獨步) 1</t>
  </si>
  <si>
    <t>ID:1192957459642607</t>
  </si>
  <si>
    <t>ID:1154592647843791</t>
  </si>
  <si>
    <t>[19금] 경비병 한스 1권</t>
  </si>
  <si>
    <t>Hawoon</t>
  </si>
  <si>
    <t>ID:1139858517187697</t>
  </si>
  <si>
    <t>PKEY:92871</t>
  </si>
  <si>
    <t>봉마전설 아레스 1권</t>
  </si>
  <si>
    <t>김하준</t>
  </si>
  <si>
    <t>ID:3161-7501-3259-76252</t>
  </si>
  <si>
    <t>무적천년 3권 완결</t>
  </si>
  <si>
    <t>ID:3102-7248-3281-01422</t>
  </si>
  <si>
    <t>레벨 업! 하는 식당 2권</t>
  </si>
  <si>
    <t>ID:1158916334344391</t>
  </si>
  <si>
    <t>ID:3174-5307-3356-01243</t>
  </si>
  <si>
    <t>황금백수 3권</t>
  </si>
  <si>
    <t>ID:1178322685142774</t>
  </si>
  <si>
    <t>ID:1100908021567831</t>
  </si>
  <si>
    <t>[BL] 술을 부르는 노래 1권</t>
  </si>
  <si>
    <t>ID:1136814504408407</t>
  </si>
  <si>
    <t>ID:1186356741175739</t>
  </si>
  <si>
    <t>ID:1175907482545866</t>
  </si>
  <si>
    <t>ID:1159632232318802</t>
  </si>
  <si>
    <t>하오대문 1권</t>
  </si>
  <si>
    <t>ID:1122889370931488</t>
  </si>
  <si>
    <t>ID:1185848767339675</t>
  </si>
  <si>
    <t>[BL] 너의 빛깔 너의 향기 1권</t>
  </si>
  <si>
    <t>셀러브리</t>
  </si>
  <si>
    <t>ID:1158087410193280</t>
  </si>
  <si>
    <t>[BL] 오래전에 1권</t>
  </si>
  <si>
    <t>달필</t>
  </si>
  <si>
    <t>ID:1173913949006864</t>
  </si>
  <si>
    <t>ID:3143-7933-9644-50156</t>
  </si>
  <si>
    <t>무당학사전 7권 완결</t>
  </si>
  <si>
    <t>ID:1103805593417994</t>
  </si>
  <si>
    <t>ID:1187584080743033</t>
  </si>
  <si>
    <t>ID:1149870531851028</t>
  </si>
  <si>
    <t>ID:3116-4127-0326-21356</t>
  </si>
  <si>
    <t>ID:3128-0056-8247-35090</t>
  </si>
  <si>
    <t>레벨 업! 하는 식당 3권</t>
  </si>
  <si>
    <t>ID:1102538997075998</t>
  </si>
  <si>
    <t>ID:3164-7753-3785-67109</t>
  </si>
  <si>
    <t>달마묵장 2권</t>
  </si>
  <si>
    <t>ID:1198178322946652</t>
  </si>
  <si>
    <t>ID:1107805060706056</t>
  </si>
  <si>
    <t>ID:1147283876001004</t>
  </si>
  <si>
    <t>ID:1189970897149835</t>
  </si>
  <si>
    <t>ID:3169-7039-9711-92237</t>
  </si>
  <si>
    <t>ID:1185038413995424</t>
  </si>
  <si>
    <t>ID:1186424689043411</t>
  </si>
  <si>
    <t>ID:1131331966732962</t>
  </si>
  <si>
    <t>ID:3124-2646-8083-82961</t>
  </si>
  <si>
    <t>신체가 강화됨 8권</t>
  </si>
  <si>
    <t>ID:3155-9742-2695-56977</t>
  </si>
  <si>
    <t>ID:1181727172936057</t>
  </si>
  <si>
    <t>ID:3174-6761-9436-87275</t>
  </si>
  <si>
    <t>패왕독보(覇王獨步) 2</t>
  </si>
  <si>
    <t>ID:1122902633769266</t>
  </si>
  <si>
    <t>ID:1188753171324710</t>
  </si>
  <si>
    <t>ID:1105099653922410</t>
  </si>
  <si>
    <t>ID:1177881216234283</t>
  </si>
  <si>
    <t>ID:1118301335044783</t>
  </si>
  <si>
    <t>ID:1116536832309496</t>
  </si>
  <si>
    <t>여대생 길들이기 1권</t>
  </si>
  <si>
    <t>O링</t>
  </si>
  <si>
    <t>ID:3105-8993-0835-45994</t>
  </si>
  <si>
    <t>레벨 업! 하는 식당 4권</t>
  </si>
  <si>
    <t>ID:1133488668150433</t>
  </si>
  <si>
    <t>ID:3100-7004-6829-15650</t>
  </si>
  <si>
    <t>달마묵장 3권</t>
  </si>
  <si>
    <t>ID:1187562369306742</t>
  </si>
  <si>
    <t>ID:1170960449733077</t>
  </si>
  <si>
    <t>ID:1135229993837925</t>
  </si>
  <si>
    <t>ID:1190334487744903</t>
  </si>
  <si>
    <t>ID:1170881664397831</t>
  </si>
  <si>
    <t>ID:1195005611162419</t>
  </si>
  <si>
    <t>ID:1141245748893107</t>
  </si>
  <si>
    <t>ID:1196664208513832</t>
  </si>
  <si>
    <t>ID:1158914812321774</t>
  </si>
  <si>
    <t>ID:1137717746847607</t>
  </si>
  <si>
    <t>ID:3197-0610-6166-44225</t>
  </si>
  <si>
    <t>신흥재벌 2권</t>
  </si>
  <si>
    <t>ID:3110-8073-9842-29179</t>
  </si>
  <si>
    <t>ID:3121-4191-0940-22152</t>
  </si>
  <si>
    <t>황금백수 4권</t>
  </si>
  <si>
    <t>ID:1173229611854177</t>
  </si>
  <si>
    <t>HUF</t>
  </si>
  <si>
    <t>HU</t>
  </si>
  <si>
    <t>ID:3176-4037-0435-90162</t>
  </si>
  <si>
    <t>ID:3183-6377-4951-89669</t>
  </si>
  <si>
    <t>ID:1100429832131194</t>
  </si>
  <si>
    <t>ID:1157047245156481</t>
  </si>
  <si>
    <t>ID:3135-9247-5273-22475</t>
  </si>
  <si>
    <t>ID:1172104345410298</t>
  </si>
  <si>
    <t>ID:1129466131650292</t>
  </si>
  <si>
    <t>ID:1129884378123304</t>
  </si>
  <si>
    <t>ID:1194953413555423</t>
  </si>
  <si>
    <t>ID:1198665956980161</t>
  </si>
  <si>
    <t>PKEY:87872</t>
  </si>
  <si>
    <t>리와인드 1</t>
  </si>
  <si>
    <t>ID:3138-9871-8330-81331</t>
  </si>
  <si>
    <t>ID:1198527266286494</t>
  </si>
  <si>
    <t>ID:3100-5213-9508-52550</t>
  </si>
  <si>
    <t>PKEY:130396</t>
  </si>
  <si>
    <t>공공도수 2권</t>
  </si>
  <si>
    <t>ID:3130-8553-3756-60754</t>
  </si>
  <si>
    <t>도시의 주인 2권</t>
  </si>
  <si>
    <t>ID:3135-6220-4154-39591</t>
  </si>
  <si>
    <t>ID:1104704665364626</t>
  </si>
  <si>
    <t>ID:1189269272232660</t>
  </si>
  <si>
    <t>ID:1105429004431895</t>
  </si>
  <si>
    <t>ID:1173939993199421</t>
  </si>
  <si>
    <t>ID:1126831069317960</t>
  </si>
  <si>
    <t>ID:3139-4666-9533-51360</t>
  </si>
  <si>
    <t>ID:1150197732707449</t>
  </si>
  <si>
    <t>ID:3125-6154-2343-05546</t>
  </si>
  <si>
    <t>레벨 업! 하는 식당 5권</t>
  </si>
  <si>
    <t>ID:3100-4448-8269-35544</t>
  </si>
  <si>
    <t>ID:1154318088765650</t>
  </si>
  <si>
    <t>ID:1129648358099249</t>
  </si>
  <si>
    <t>ID:1181611517311334</t>
  </si>
  <si>
    <t>ID:3115-0976-2274-09105</t>
  </si>
  <si>
    <t>ID:1190588266193893</t>
  </si>
  <si>
    <t>ID:3196-6956-2758-14047</t>
  </si>
  <si>
    <t>ID:3173-7186-7408-18717</t>
  </si>
  <si>
    <t>ID:3157-8042-8882-14015</t>
  </si>
  <si>
    <t>ID:3134-2926-0874-28683</t>
  </si>
  <si>
    <t>무당제자 8권</t>
  </si>
  <si>
    <t>ID:1123130798434200</t>
  </si>
  <si>
    <t>ID:1135916421003546</t>
  </si>
  <si>
    <t>ID:1167896944779477</t>
  </si>
  <si>
    <t>ID:3109-6531-0215-17943</t>
  </si>
  <si>
    <t>ID:3134-1215-9561-07330</t>
  </si>
  <si>
    <t>레벨 업! 하는 식당 6권</t>
  </si>
  <si>
    <t>ID:1118015198013442</t>
  </si>
  <si>
    <t>효종 1권</t>
  </si>
  <si>
    <t>ID:1120280806204421</t>
  </si>
  <si>
    <t>ID:1176869619852666</t>
  </si>
  <si>
    <t>ID:1189447290530746</t>
  </si>
  <si>
    <t>ID:3176-1924-4526-24291</t>
  </si>
  <si>
    <t>패왕독보(覇王獨步) 3</t>
  </si>
  <si>
    <t>ID:3151-0801-3678-65870</t>
  </si>
  <si>
    <t>ID:3123-2709-6156-18097</t>
  </si>
  <si>
    <t>ID:1195919385219255</t>
  </si>
  <si>
    <t>ID:1169296875163604</t>
  </si>
  <si>
    <t>ID:3102-8646-3489-13225</t>
  </si>
  <si>
    <t>레벨 업! 하는 식당 7권</t>
  </si>
  <si>
    <t>ID:1138874204272378</t>
  </si>
  <si>
    <t>ID:1186169159190337</t>
  </si>
  <si>
    <t>ID:3153-2473-1874-54738</t>
  </si>
  <si>
    <t>황금백수 5권</t>
  </si>
  <si>
    <t>ID:1170185719440929</t>
  </si>
  <si>
    <t>ID:1186600813023763</t>
  </si>
  <si>
    <t>ID:1103032834035144</t>
  </si>
  <si>
    <t>ID:1174016279408843</t>
  </si>
  <si>
    <t>ID:1121908864263902</t>
  </si>
  <si>
    <t>ID:1168739660882394</t>
  </si>
  <si>
    <t>ID:1118614048300148</t>
  </si>
  <si>
    <t>PKEY:83409</t>
  </si>
  <si>
    <t>라오스 루이시안 1</t>
  </si>
  <si>
    <t>ID:3191-7494-5139-59118</t>
  </si>
  <si>
    <t>ID:1174205018798287</t>
  </si>
  <si>
    <t>ID:3101-7248-6345-44675</t>
  </si>
  <si>
    <t>레벨 업! 하는 식당 8권</t>
  </si>
  <si>
    <t>ID:3104-1109-3353-21925</t>
  </si>
  <si>
    <t>도시의 주인 3권</t>
  </si>
  <si>
    <t>ID:3196-3919-4375-09471</t>
  </si>
  <si>
    <t>ID:3189-2307-7695-81163</t>
  </si>
  <si>
    <t>ID:3112-0211-6506-29844</t>
  </si>
  <si>
    <t>ID:3100-5709-0504-88033</t>
  </si>
  <si>
    <t>ID:3160-4116-7983-23860</t>
  </si>
  <si>
    <t>ID:3130-6232-5803-30157</t>
  </si>
  <si>
    <t>ID:3191-5466-2859-38041</t>
  </si>
  <si>
    <t>ID:1104857521543883</t>
  </si>
  <si>
    <t>26. 2. 20.</t>
  </si>
  <si>
    <t>ID:3173-8864-0862-00231</t>
  </si>
  <si>
    <t>ID:1164103860723081</t>
  </si>
  <si>
    <t>ID:1190056834214640</t>
  </si>
  <si>
    <t>ID:3161-8773-5160-16730</t>
  </si>
  <si>
    <t>화신 1권</t>
  </si>
  <si>
    <t>ID:3130-1142-7126-76364</t>
  </si>
  <si>
    <t>ID:1165666165580258</t>
  </si>
  <si>
    <t>ID:3169-4784-0852-24930</t>
  </si>
  <si>
    <t>레벨 업! 하는 식당 9권</t>
  </si>
  <si>
    <t>ID:1178095441288278</t>
  </si>
  <si>
    <t>ID:1158245352035809</t>
  </si>
  <si>
    <t>ID:1138208255929559</t>
  </si>
  <si>
    <t>ID:1181545949276683</t>
  </si>
  <si>
    <t>ID:3132-2957-8036-61844</t>
  </si>
  <si>
    <t>광풍의 전사 2권</t>
  </si>
  <si>
    <t>ID:1110924315405369</t>
  </si>
  <si>
    <t>ID:3128-4661-8980-46527</t>
  </si>
  <si>
    <t>만렙요원 : 재벌이 되다 13권</t>
  </si>
  <si>
    <t>만렙요원 : 재벌이 되다 14권</t>
  </si>
  <si>
    <t>만렙요원 : 재벌이 되다 15권</t>
  </si>
  <si>
    <t>만렙요원 : 재벌이 되다 16권</t>
  </si>
  <si>
    <t>ID:3173-3481-5602-53907</t>
  </si>
  <si>
    <t>효종 7권</t>
  </si>
  <si>
    <t>ID:1135011116512405</t>
  </si>
  <si>
    <t>ID:1152007696818595</t>
  </si>
  <si>
    <t>ID:3125-3533-2711-95498</t>
  </si>
  <si>
    <t>S2급 결혼 헌터 2권</t>
  </si>
  <si>
    <t>S2급 결혼 헌터 3권</t>
  </si>
  <si>
    <t>S2급 결혼 헌터 4권</t>
  </si>
  <si>
    <t>ID:1179047830220832</t>
  </si>
  <si>
    <t>ID:1109832378077370</t>
  </si>
  <si>
    <t>ID:1140055392044323</t>
  </si>
  <si>
    <t>ID:1142536323879883</t>
  </si>
  <si>
    <t>검향도살(개정판) 1권</t>
  </si>
  <si>
    <t>ID:3117-2442-4709-96162</t>
  </si>
  <si>
    <t>ID:3175-3376-0421-74125</t>
  </si>
  <si>
    <t>브레이슬릿 2권</t>
  </si>
  <si>
    <t>ID:1103250758744032</t>
  </si>
  <si>
    <t>ID:1160911530660291</t>
  </si>
  <si>
    <t>ID:1115634045728703</t>
  </si>
  <si>
    <t>ID:3157-4858-1781-84063</t>
  </si>
  <si>
    <t>재벌가 차남은 먼치킨 2권</t>
  </si>
  <si>
    <t>ID:1111818213220226</t>
  </si>
  <si>
    <t>ID:1117494440714199</t>
  </si>
  <si>
    <t>ID:1102948149927862</t>
  </si>
  <si>
    <t>ID:1166653104996502</t>
  </si>
  <si>
    <t>PKEY:79841</t>
  </si>
  <si>
    <t>질풍의 류 1</t>
  </si>
  <si>
    <t>ID:1117491856939830</t>
  </si>
  <si>
    <t>ID:1125466751864056</t>
  </si>
  <si>
    <t>PKEY:129601</t>
  </si>
  <si>
    <t>마왕협녀기 1권</t>
  </si>
  <si>
    <t>ID:3170-1126-3964-03218</t>
  </si>
  <si>
    <t>성형무공, 가슴 키워드림 2권</t>
  </si>
  <si>
    <t>ID:1163844487458502</t>
  </si>
  <si>
    <t>ID:1133302840903297</t>
  </si>
  <si>
    <t>ID:1190388831482073</t>
  </si>
  <si>
    <t>ID:1152716986068009</t>
  </si>
  <si>
    <t>ID:1196280064172565</t>
  </si>
  <si>
    <t>ID:1150382980914569</t>
  </si>
  <si>
    <t>ID:1163708760288820</t>
  </si>
  <si>
    <t>ID:3135-7676-4207-06334</t>
  </si>
  <si>
    <t>곤륜패선(崑崙覇仙) 4권</t>
  </si>
  <si>
    <t>ID:3195-3132-4919-72645</t>
  </si>
  <si>
    <t>결혼하지 않으면 세계가 멸망한다 1권</t>
  </si>
  <si>
    <t>레나샤</t>
  </si>
  <si>
    <t>ID:1185705099254416</t>
  </si>
  <si>
    <t>ID:3145-1028-2647-17458</t>
  </si>
  <si>
    <t>걸황무적 2권</t>
  </si>
  <si>
    <t>ID:3119-6865-3828-61570</t>
  </si>
  <si>
    <t>ID:1174805351722686</t>
  </si>
  <si>
    <t>스킬 복사로 꿀 빱니다 1권</t>
  </si>
  <si>
    <t>김현준</t>
  </si>
  <si>
    <t>ID:3187-3973-5078-91484</t>
  </si>
  <si>
    <t>신풍기협(神風奇俠) 7권</t>
  </si>
  <si>
    <t>ID:3147-3439-6900-40713</t>
  </si>
  <si>
    <t>ID:1149457965992688</t>
  </si>
  <si>
    <t>ID:3144-6465-6376-61252</t>
  </si>
  <si>
    <t>패왕독보(覇王獨步) 4</t>
  </si>
  <si>
    <t>ID:1162953609852629</t>
  </si>
  <si>
    <t>ID:1128919404532344</t>
  </si>
  <si>
    <t>ID:3179-7210-9856-13171</t>
  </si>
  <si>
    <t>브레이슬릿 3권</t>
  </si>
  <si>
    <t>ID:3160-3926-0387-70778</t>
  </si>
  <si>
    <t>재벌가 차남은 먼치킨 3권</t>
  </si>
  <si>
    <t>ID:1124305586181581</t>
  </si>
  <si>
    <t>ID:1177759845763224</t>
  </si>
  <si>
    <t>ID:1124324236582774</t>
  </si>
  <si>
    <t>ID:1114842263730061</t>
  </si>
  <si>
    <t>ID:1150706046199060</t>
  </si>
  <si>
    <t>ID:1168336841064243</t>
  </si>
  <si>
    <t>ID:1143498494695090</t>
  </si>
  <si>
    <t>ID:1107886300341439</t>
  </si>
  <si>
    <t>ID:3121-4986-4540-72674</t>
  </si>
  <si>
    <t>성형무공, 가슴 키워드림 3권</t>
  </si>
  <si>
    <t>ID:3155-6762-7945-74202</t>
  </si>
  <si>
    <t>패왕독보(覇王獨步) 5</t>
  </si>
  <si>
    <t>ID:3156-4245-2749-08884</t>
  </si>
  <si>
    <t>ID:1178020284392813</t>
  </si>
  <si>
    <t>ID:3164-8386-7488-92012</t>
  </si>
  <si>
    <t>ID:1168845967178386</t>
  </si>
  <si>
    <t>ID:3152-8904-2923-81632</t>
  </si>
  <si>
    <t>패왕독보(覇王獨步) 6 (완결)</t>
  </si>
  <si>
    <t>ID:1126475450780026</t>
  </si>
  <si>
    <t>ID:3187-4029-5688-39596</t>
  </si>
  <si>
    <t>무혈 제1권</t>
  </si>
  <si>
    <t>ID:3184-6717-5477-94742</t>
  </si>
  <si>
    <t>ID:3191-7323-9894-65713</t>
  </si>
  <si>
    <t>브레이슬릿 4권</t>
  </si>
  <si>
    <t>ID:1172763363606572</t>
  </si>
  <si>
    <t>ID:1182906561228904</t>
  </si>
  <si>
    <t>ID:1129549996755247</t>
  </si>
  <si>
    <t>ID:1132960486331138</t>
  </si>
  <si>
    <t>ID:3104-2193-5685-62481</t>
  </si>
  <si>
    <t>ID:1139791835605536</t>
  </si>
  <si>
    <t>ID:1189987227070688</t>
  </si>
  <si>
    <t>ID:3125-5068-3250-04533</t>
  </si>
  <si>
    <t>ID:1104946208872723</t>
  </si>
  <si>
    <t>ID:1195520965453965</t>
  </si>
  <si>
    <t>ID:1140028822376559</t>
  </si>
  <si>
    <t>ID:1104699606361867</t>
  </si>
  <si>
    <t>ID:3126-5102-6367-54201</t>
  </si>
  <si>
    <t>도시의 주인 4권</t>
  </si>
  <si>
    <t>ID:1128224655042328</t>
  </si>
  <si>
    <t>ID:1129984159590622</t>
  </si>
  <si>
    <t>ID:1167415026424032</t>
  </si>
  <si>
    <t>ID:1135822970852910</t>
  </si>
  <si>
    <t>ID:1118141980334529</t>
  </si>
  <si>
    <t>ID:3177-4956-0423-78959</t>
  </si>
  <si>
    <t>레벨 업! 하는 식당 10권</t>
  </si>
  <si>
    <t>ID:1166933430114276</t>
  </si>
  <si>
    <t>ID:3171-4865-4171-08475</t>
  </si>
  <si>
    <t>ID:3103-7925-4897-08436</t>
  </si>
  <si>
    <t>ID:1147253371174611</t>
  </si>
  <si>
    <t>ID:1130065991592592</t>
  </si>
  <si>
    <t>ID:1182318978716716</t>
  </si>
  <si>
    <t>ID:1146167634093908</t>
  </si>
  <si>
    <t>ID:1110554568525569</t>
  </si>
  <si>
    <t>남자의 길 1권</t>
  </si>
  <si>
    <t>ID:1192662807731693</t>
  </si>
  <si>
    <t>자본주의가 낳은 괴물 헌터 1권</t>
  </si>
  <si>
    <t>ID:3153-3350-2888-33545</t>
  </si>
  <si>
    <t>ID:1118895958571228</t>
  </si>
  <si>
    <t>ID:1138361961622556</t>
  </si>
  <si>
    <t>ID:3102-3285-9658-58079</t>
  </si>
  <si>
    <t>재벌집 막내 도련님은 악당입니다! 2권</t>
  </si>
  <si>
    <t>ID:1154602260044353</t>
  </si>
  <si>
    <t>ID:3122-9470-2995-32805</t>
  </si>
  <si>
    <t>성형무공, 가슴 키워드림 4권</t>
  </si>
  <si>
    <t>ID:3149-7859-8374-94989</t>
  </si>
  <si>
    <t>ID:3117-5125-8869-82802</t>
  </si>
  <si>
    <t>초능력활용법 2권</t>
  </si>
  <si>
    <t>ID:1100364044323088</t>
  </si>
  <si>
    <t>ID:1158362696153291</t>
  </si>
  <si>
    <t>ID:1148325828088914</t>
  </si>
  <si>
    <t>ID:3113-5214-1267-52803</t>
  </si>
  <si>
    <t>뇌전의 군주 7권</t>
  </si>
  <si>
    <t>ID:1187298124048078</t>
  </si>
  <si>
    <t>ID:3193-8185-8408-06025</t>
  </si>
  <si>
    <t>레벨 업! 하는 식당 11권</t>
  </si>
  <si>
    <t>ID:3138-3094-3279-14971</t>
  </si>
  <si>
    <t>무당제자 9권</t>
  </si>
  <si>
    <t>ID:3137-3567-0716-43633</t>
  </si>
  <si>
    <t>도시의 주인 5권</t>
  </si>
  <si>
    <t>ID:1163239254986048</t>
  </si>
  <si>
    <t>ID:1132964634451328</t>
  </si>
  <si>
    <t>ID:3105-7532-7354-80691</t>
  </si>
  <si>
    <t>환골탈태(換骨奪胎)5</t>
  </si>
  <si>
    <t>ID:1142079725915927</t>
  </si>
  <si>
    <t>ID:1180647817227305</t>
  </si>
  <si>
    <t>ID:1167506105593587</t>
  </si>
  <si>
    <t>ID:1193954294762659</t>
  </si>
  <si>
    <t>ID:1162227782494946</t>
  </si>
  <si>
    <t>ID:1100576113894539</t>
  </si>
  <si>
    <t>ID:3116-1255-5010-89083</t>
  </si>
  <si>
    <t>레벨 업! 하는 식당 12권</t>
  </si>
  <si>
    <t>ID:1169675332929731</t>
  </si>
  <si>
    <t>ID:3147-7761-5894-19370</t>
  </si>
  <si>
    <t>망한 세상에서 나 혼자 각성 2권</t>
  </si>
  <si>
    <t>망한 세상에서 나 혼자 각성 3권</t>
  </si>
  <si>
    <t>망한 세상에서 나 혼자 각성 4권</t>
  </si>
  <si>
    <t>망한 세상에서 나 혼자 각성 5권</t>
  </si>
  <si>
    <t>망한 세상에서 나 혼자 각성 6권</t>
  </si>
  <si>
    <t>ID:3152-1869-1357-68780</t>
  </si>
  <si>
    <t>성형무공, 가슴 키워드림 5권</t>
  </si>
  <si>
    <t>ID:3187-8369-5937-71913</t>
  </si>
  <si>
    <t>ID:1170342069374840</t>
  </si>
  <si>
    <t>ID:3178-0967-6652-28455</t>
  </si>
  <si>
    <t>초능력활용법 3권</t>
  </si>
  <si>
    <t>ID:1141580891084399</t>
  </si>
  <si>
    <t>ID:3168-2616-9170-48095</t>
  </si>
  <si>
    <t>내 나이 90살에 회귀라니! 2권</t>
  </si>
  <si>
    <t>ID:1110979328942343</t>
  </si>
  <si>
    <t>ID:1137661915140060</t>
  </si>
  <si>
    <t>ID:1188380938805961</t>
  </si>
  <si>
    <t>ID:1105106477042622</t>
  </si>
  <si>
    <t>ID:1170116541744186</t>
  </si>
  <si>
    <t>ID:1135007159704301</t>
  </si>
  <si>
    <t>26. 2. 21.</t>
  </si>
  <si>
    <t>ID:1105745289894882</t>
  </si>
  <si>
    <t>ID:3157-7011-7865-78818</t>
  </si>
  <si>
    <t>ID:3143-1923-3737-38884</t>
  </si>
  <si>
    <t>ID:3190-1239-5700-53800</t>
  </si>
  <si>
    <t>ID:1111008974619676</t>
  </si>
  <si>
    <t>ID:1171186572717820</t>
  </si>
  <si>
    <t>PKEY:114571</t>
  </si>
  <si>
    <t>아이리스 1부 1권</t>
  </si>
  <si>
    <t>박성호</t>
  </si>
  <si>
    <t>ID:1184893140665982</t>
  </si>
  <si>
    <t>ID:3115-6376-8101-09352</t>
  </si>
  <si>
    <t>ID:1184902641435362</t>
  </si>
  <si>
    <t>ID:1161783391967040</t>
  </si>
  <si>
    <t>ID:1174336933134291</t>
  </si>
  <si>
    <t>ID:3169-6741-6250-79170</t>
  </si>
  <si>
    <t>무당제자 10권 완결</t>
  </si>
  <si>
    <t>ID:1165568443447510</t>
  </si>
  <si>
    <t>ID:3180-4225-8848-82922</t>
  </si>
  <si>
    <t>ID:3132-3785-2333-71328</t>
  </si>
  <si>
    <t>성형무공, 가슴 키워드림 6권</t>
  </si>
  <si>
    <t>ID:1133418315168426</t>
  </si>
  <si>
    <t>ID:1182373400649738</t>
  </si>
  <si>
    <t>ID:1193365308781761</t>
  </si>
  <si>
    <t>ID:1146094128800964</t>
  </si>
  <si>
    <t>ID:3103-6112-4414-46332</t>
  </si>
  <si>
    <t>ID:3139-9040-4056-92303</t>
  </si>
  <si>
    <t>ID:3165-6821-6673-98280</t>
  </si>
  <si>
    <t>마왕이 나노머신을 숨김 4권</t>
  </si>
  <si>
    <t>ID:1144418861209286</t>
  </si>
  <si>
    <t>ID:1167891265190138</t>
  </si>
  <si>
    <t>PKEY:139803</t>
  </si>
  <si>
    <t>신룡전설(新龍傳說) 1권</t>
  </si>
  <si>
    <t>ID:3131-0764-5844-19772</t>
  </si>
  <si>
    <t>효종 8권</t>
  </si>
  <si>
    <t>ID:1126702561462632</t>
  </si>
  <si>
    <t>ID:3189-0611-9710-25745</t>
  </si>
  <si>
    <t>황금백수 7권</t>
  </si>
  <si>
    <t>ID:3185-7990-9000-85340</t>
  </si>
  <si>
    <t>남자의 길 9권</t>
  </si>
  <si>
    <t>ID:1121219663605207</t>
  </si>
  <si>
    <t>ID:3134-1869-9745-71987</t>
  </si>
  <si>
    <t>ID:1165023491696593</t>
  </si>
  <si>
    <t>ID:1130340101874573</t>
  </si>
  <si>
    <t>ID:1146897097345451</t>
  </si>
  <si>
    <t>ID:1157563467386134</t>
  </si>
  <si>
    <t>ID:3173-3691-2004-87984</t>
  </si>
  <si>
    <t>ID:3141-5959-7451-14466</t>
  </si>
  <si>
    <t>걸황무적 3권</t>
  </si>
  <si>
    <t>ID:1168808709801338</t>
  </si>
  <si>
    <t>ID:1138148848062199</t>
  </si>
  <si>
    <t>ID:1199682017263395</t>
  </si>
  <si>
    <t>ID:3132-5414-6603-77682</t>
  </si>
  <si>
    <t>성형무공, 가슴 키워드림 7권</t>
  </si>
  <si>
    <t>ID:3146-3278-1818-41585</t>
  </si>
  <si>
    <t>신풍기협(神風奇俠) 8권</t>
  </si>
  <si>
    <t>ID:1167928438650393</t>
  </si>
  <si>
    <t>ID:1115464358177281</t>
  </si>
  <si>
    <t>ID:1113880956816021</t>
  </si>
  <si>
    <t>ID:1125940723548111</t>
  </si>
  <si>
    <t>ID:3187-1249-4977-52586</t>
  </si>
  <si>
    <t>ID:1190588770482283</t>
  </si>
  <si>
    <t>ID:1140744711757818</t>
  </si>
  <si>
    <t>ID:3197-8821-9695-77389</t>
  </si>
  <si>
    <t>ID:3171-2979-1351-59007</t>
  </si>
  <si>
    <t>재벌가 차남은 먼치킨 4권</t>
  </si>
  <si>
    <t>ID:1181032324382811</t>
  </si>
  <si>
    <t>우리 가문의 노예는 만능이랍니다 1권</t>
  </si>
  <si>
    <t>소설은마음</t>
  </si>
  <si>
    <t>ID:1184678113761193</t>
  </si>
  <si>
    <t>ID:1141323392485228</t>
  </si>
  <si>
    <t>ID:1104197936511809</t>
  </si>
  <si>
    <t>ID:1160791970507094</t>
  </si>
  <si>
    <t>ID:1136141805607042</t>
  </si>
  <si>
    <t>ID:1132182639070655</t>
  </si>
  <si>
    <t>ID:1100612532967656</t>
  </si>
  <si>
    <t>ID:1128951261678348</t>
  </si>
  <si>
    <t>ID:3191-1563-9249-98039</t>
  </si>
  <si>
    <t>ID:3158-4807-7020-75070</t>
  </si>
  <si>
    <t>PKEY:96043</t>
  </si>
  <si>
    <t>행운(Luck) 2권</t>
  </si>
  <si>
    <t>ID:1115316372916574</t>
  </si>
  <si>
    <t>ID:1138734520434783</t>
  </si>
  <si>
    <t>ID:1168155758003143</t>
  </si>
  <si>
    <t>ID:1151036536657153</t>
  </si>
  <si>
    <t>ID:1193544924059386</t>
  </si>
  <si>
    <t>ID:1197197745933002</t>
  </si>
  <si>
    <t>ID:1128975187750043</t>
  </si>
  <si>
    <t>ID:1171317866675256</t>
  </si>
  <si>
    <t>SV</t>
  </si>
  <si>
    <t>ID:1153745454529203</t>
  </si>
  <si>
    <t>여자들이 집착하는 축구 선수가 되었다 1권</t>
  </si>
  <si>
    <t>쓰고또쓰고</t>
  </si>
  <si>
    <t>ID:1112840008124738</t>
  </si>
  <si>
    <t>ID:1122646808864105</t>
  </si>
  <si>
    <t>ID:3118-5237-5681-37618</t>
  </si>
  <si>
    <t>ID:3128-1824-7785-55158</t>
  </si>
  <si>
    <t>황금백수 8권</t>
  </si>
  <si>
    <t>ID:1199755377404601</t>
  </si>
  <si>
    <t>ID:1163981677462469</t>
  </si>
  <si>
    <t>ID:1183670199287611</t>
  </si>
  <si>
    <t>황금신수 1권</t>
  </si>
  <si>
    <t>ID:1181520746366653</t>
  </si>
  <si>
    <t>ID:1182790562886473</t>
  </si>
  <si>
    <t>ID:3120-1542-1245-06238</t>
  </si>
  <si>
    <t>PKEY:96063</t>
  </si>
  <si>
    <t>도시의 지배자 2권</t>
  </si>
  <si>
    <t>ID:1105737794085605</t>
  </si>
  <si>
    <t>ID:3186-0471-1906-48425</t>
  </si>
  <si>
    <t>PKEY:96044</t>
  </si>
  <si>
    <t>행운(Luck) 3권</t>
  </si>
  <si>
    <t>ID:3165-1119-0385-71444</t>
  </si>
  <si>
    <t>ID:1100123583048204</t>
  </si>
  <si>
    <t>PKEY:92898</t>
  </si>
  <si>
    <t>쟈이칸 1권</t>
  </si>
  <si>
    <t>ID:1113375266522777</t>
  </si>
  <si>
    <t>ID:1109151618915308</t>
  </si>
  <si>
    <t>ID:1122366032964965</t>
  </si>
  <si>
    <t>ID:1119727456427993</t>
  </si>
  <si>
    <t>ID:1138080754022478</t>
  </si>
  <si>
    <t>ID:1118058204264024</t>
  </si>
  <si>
    <t>ID:1129125821539546</t>
  </si>
  <si>
    <t>ID:1131810162431189</t>
  </si>
  <si>
    <t>ID:1121117772226244</t>
  </si>
  <si>
    <t>ID:3178-6113-1880-08446</t>
  </si>
  <si>
    <t>다시 태어난 야구 천재 4권</t>
  </si>
  <si>
    <t>ID:1103614407947632</t>
  </si>
  <si>
    <t>ID:3103-0593-7084-14757</t>
  </si>
  <si>
    <t>레벨 업! 하는 식당 13권</t>
  </si>
  <si>
    <t>ID:3144-3520-3874-22582</t>
  </si>
  <si>
    <t>ID:1176316330906646</t>
  </si>
  <si>
    <t>ID:1156667038500255</t>
  </si>
  <si>
    <t>ID:3190-2176-7395-42038</t>
  </si>
  <si>
    <t>ID:3185-9944-9471-53145</t>
  </si>
  <si>
    <t>성형무공, 가슴 키워드림 8권</t>
  </si>
  <si>
    <t>ID:1177778847135167</t>
  </si>
  <si>
    <t>ID:1194550052039737</t>
  </si>
  <si>
    <t>ID:1175263963816793</t>
  </si>
  <si>
    <t>ID:3179-7627-4638-38939</t>
  </si>
  <si>
    <t>효종 9권</t>
  </si>
  <si>
    <t>ID:1179371343828979</t>
  </si>
  <si>
    <t>[19금] 세자르씨의 유쾌한 정원생활 1권</t>
  </si>
  <si>
    <t>jlo</t>
  </si>
  <si>
    <t>ID:1136244360362706</t>
  </si>
  <si>
    <t>ID:1182975313116832</t>
  </si>
  <si>
    <t>ID:3178-2672-9389-74775</t>
  </si>
  <si>
    <t>초능력활용법 5권</t>
  </si>
  <si>
    <t>ID:1115185835723980</t>
  </si>
  <si>
    <t>ID:1168690426823499</t>
  </si>
  <si>
    <t>ID:1123989462105996</t>
  </si>
  <si>
    <t>ID:3187-8423-3865-26358</t>
  </si>
  <si>
    <t>제국의 꿈 2권</t>
  </si>
  <si>
    <t>ID:3152-9955-6163-23774</t>
  </si>
  <si>
    <t>신체가 강화됨 9권</t>
  </si>
  <si>
    <t>ID:1134108943335256</t>
  </si>
  <si>
    <t>ID:1104773156659653</t>
  </si>
  <si>
    <t>ID:1127125342304684</t>
  </si>
  <si>
    <t>ID:1101769634038405</t>
  </si>
  <si>
    <t>ID:1151517681693001</t>
  </si>
  <si>
    <t>ID:1195848230817461</t>
  </si>
  <si>
    <t>ID:1102362058893118</t>
  </si>
  <si>
    <t>ID:1126157509878205</t>
  </si>
  <si>
    <t>ID:1168634295273151</t>
  </si>
  <si>
    <t>ID:1161221189245657</t>
  </si>
  <si>
    <t>ID:1143187778177060</t>
  </si>
  <si>
    <t>ID:1173765008012048</t>
  </si>
  <si>
    <t>ID:3136-0993-6446-54270</t>
  </si>
  <si>
    <t>광풍의 전사 3권</t>
  </si>
  <si>
    <t>ID:3169-7217-3478-32712</t>
  </si>
  <si>
    <t>검향도살(개정판) 2권</t>
  </si>
  <si>
    <t>ID:1151174533063768</t>
  </si>
  <si>
    <t>ID:3194-2409-2954-95161</t>
  </si>
  <si>
    <t>ID:3122-8966-7183-09773</t>
  </si>
  <si>
    <t>ID:1124732021112400</t>
  </si>
  <si>
    <t>ID:1159382092468840</t>
  </si>
  <si>
    <t>ID:1110494285403320</t>
  </si>
  <si>
    <t>ID:3167-8557-0223-75946</t>
  </si>
  <si>
    <t>레벨 업! 하는 식당 14권</t>
  </si>
  <si>
    <t>ID:3177-9468-5926-83670</t>
  </si>
  <si>
    <t>슈퍼스타, 누구도 막을 수 없어 !!!!!! 2권</t>
  </si>
  <si>
    <t>ID:1177894928151151</t>
  </si>
  <si>
    <t>ID:3100-1995-2791-94105</t>
  </si>
  <si>
    <t>검향도살(개정판) 3권</t>
  </si>
  <si>
    <t>ID:1180810475749793</t>
  </si>
  <si>
    <t>26. 2. 22.</t>
  </si>
  <si>
    <t>ID:1169306153799415</t>
  </si>
  <si>
    <t>ID:3144-3517-7213-19701</t>
  </si>
  <si>
    <t>재벌가 차남은 먼치킨 5권</t>
  </si>
  <si>
    <t>ID:1171710996824171</t>
  </si>
  <si>
    <t>ID:1129292280294248</t>
  </si>
  <si>
    <t>ID:3156-1053-1223-19732</t>
  </si>
  <si>
    <t>마교주의 첩으로 살아남기 1권</t>
  </si>
  <si>
    <t>한유담</t>
  </si>
  <si>
    <t>마교주의 첩으로 살아남기 2권</t>
  </si>
  <si>
    <t>마교주의 첩으로 살아남기 3권</t>
  </si>
  <si>
    <t>마교주의 첩으로 살아남기 외전</t>
  </si>
  <si>
    <t>ID:1142448389926053</t>
  </si>
  <si>
    <t>ID:1146357997639500</t>
  </si>
  <si>
    <t>ID:3116-0876-2493-21057</t>
  </si>
  <si>
    <t>검은 머리 미국 대재벌! 2권</t>
  </si>
  <si>
    <t>ID:1189446823496996</t>
  </si>
  <si>
    <t>ID:1188351474624564</t>
  </si>
  <si>
    <t>ID:1112529045492685</t>
  </si>
  <si>
    <t>ID:3191-2976-0594-88768</t>
  </si>
  <si>
    <t>ID:1143325712654695</t>
  </si>
  <si>
    <t>[19금] 호위무사 1권</t>
  </si>
  <si>
    <t>구태</t>
  </si>
  <si>
    <t>ID:1135678016188924</t>
  </si>
  <si>
    <t>[19금] 카페 트랜스 1권</t>
  </si>
  <si>
    <t>ID:1173709037124029</t>
  </si>
  <si>
    <t>ID:1197525677806853</t>
  </si>
  <si>
    <t>ID:1146605368270006</t>
  </si>
  <si>
    <t>ID:3184-1370-8278-93062</t>
  </si>
  <si>
    <t>노가다 김씨, 자동사냥으로 꿀 빱니다 2권</t>
  </si>
  <si>
    <t>노가다 김씨, 자동사냥으로 꿀 빱니다 3권</t>
  </si>
  <si>
    <t>노가다 김씨, 자동사냥으로 꿀 빱니다 4권</t>
  </si>
  <si>
    <t>노가다 김씨, 자동사냥으로 꿀 빱니다 5권</t>
  </si>
  <si>
    <t>노가다 김씨, 자동사냥으로 꿀 빱니다 6권</t>
  </si>
  <si>
    <t>노가다 김씨, 자동사냥으로 꿀 빱니다 7권</t>
  </si>
  <si>
    <t>노가다 김씨, 자동사냥으로 꿀 빱니다 8권</t>
  </si>
  <si>
    <t>ID:3168-0180-2497-94184</t>
  </si>
  <si>
    <t>레벨 업! 하는 식당 15권 (완)</t>
  </si>
  <si>
    <t>ID:3107-4749-0189-24295</t>
  </si>
  <si>
    <t>ID:1187741231209923</t>
  </si>
  <si>
    <t>ID:3152-5921-5792-39886</t>
  </si>
  <si>
    <t>그 기억의 끝에 외전</t>
  </si>
  <si>
    <t>ID:1193296745065957</t>
  </si>
  <si>
    <t>ID:1122632154043680</t>
  </si>
  <si>
    <t>ID:3195-0355-5401-38203</t>
  </si>
  <si>
    <t>효종 10권</t>
  </si>
  <si>
    <t>ID:1176247719293210</t>
  </si>
  <si>
    <t>ID:1139514993901801</t>
  </si>
  <si>
    <t>ID:1111805089256969</t>
  </si>
  <si>
    <t>ID:1178396722495941</t>
  </si>
  <si>
    <t>ID:1148437063303343</t>
  </si>
  <si>
    <t>ID:1112169731319845</t>
  </si>
  <si>
    <t>ID:3143-8149-8109-70420</t>
  </si>
  <si>
    <t>AT</t>
  </si>
  <si>
    <t>ID:1195174031382340</t>
  </si>
  <si>
    <t>ID:1184444262864724</t>
  </si>
  <si>
    <t>ID:1199036038897972</t>
  </si>
  <si>
    <t>ID:3187-7603-2396-94572</t>
  </si>
  <si>
    <t>ID:3132-6057-0063-16712</t>
  </si>
  <si>
    <t>대걸물 2권</t>
  </si>
  <si>
    <t>ID:1175421325869451</t>
  </si>
  <si>
    <t>ID:1178719479526419</t>
  </si>
  <si>
    <t>ID:1184038098739988</t>
  </si>
  <si>
    <t>ID:1182323220344689</t>
  </si>
  <si>
    <t>ID:1175081574284354</t>
  </si>
  <si>
    <t>각성자 위탁관리인 1권</t>
  </si>
  <si>
    <t>ID:3131-8038-1335-92875</t>
  </si>
  <si>
    <t>AR</t>
  </si>
  <si>
    <t>ID:1148739195520332</t>
  </si>
  <si>
    <t>ID:1135341541010176</t>
  </si>
  <si>
    <t>ID:1185939700107280</t>
  </si>
  <si>
    <t>ID:3152-1958-4443-17068</t>
  </si>
  <si>
    <t>제국의 꿈 3권</t>
  </si>
  <si>
    <t>ID:3186-6358-4954-39453</t>
  </si>
  <si>
    <t>ID:3190-5977-6147-96498</t>
  </si>
  <si>
    <t>하늘에서 내리는 카드 2권</t>
  </si>
  <si>
    <t>ID:1128626106449145</t>
  </si>
  <si>
    <t>ID:1154504279710452</t>
  </si>
  <si>
    <t>ID:1137668836337135</t>
  </si>
  <si>
    <t>ID:3137-5639-0380-15213</t>
  </si>
  <si>
    <t>ID:3140-3951-8186-80305</t>
  </si>
  <si>
    <t>ID:1128017502391853</t>
  </si>
  <si>
    <t>영웅은 쉬고 싶다 1권</t>
  </si>
  <si>
    <t>ID:3188-7127-8265-47208</t>
  </si>
  <si>
    <t>ID:3150-8320-0557-93368</t>
  </si>
  <si>
    <t>하늘에서 내리는 카드 3권</t>
  </si>
  <si>
    <t>ID:3129-0892-1945-81164</t>
  </si>
  <si>
    <t>ID:1142141772591595</t>
  </si>
  <si>
    <t>ID:1187372803378801</t>
  </si>
  <si>
    <t>ID:1174546451309193</t>
  </si>
  <si>
    <t>ID:3195-1024-3523-52439</t>
  </si>
  <si>
    <t>검은 머리 미국 대재벌! 3권</t>
  </si>
  <si>
    <t>ID:3158-3533-2201-16167</t>
  </si>
  <si>
    <t>ID:1193203476304963</t>
  </si>
  <si>
    <t>ID:1112177320152887</t>
  </si>
  <si>
    <t>ID:1173177115863681</t>
  </si>
  <si>
    <t>ID:3184-6062-6560-86863</t>
  </si>
  <si>
    <t>말년에 이계라니 2권</t>
  </si>
  <si>
    <t>ID:3124-1820-5669-90184</t>
  </si>
  <si>
    <t>코드네임 사신 13권</t>
  </si>
  <si>
    <t>코드네임 사신 14권</t>
  </si>
  <si>
    <t>코드네임 사신 15권</t>
  </si>
  <si>
    <t>코드네임 사신 16권</t>
  </si>
  <si>
    <t>코드네임 사신 17권(완결)</t>
  </si>
  <si>
    <t>코드네임 사신 5권</t>
  </si>
  <si>
    <t>코드네임 사신 6권</t>
  </si>
  <si>
    <t>코드네임 사신 7권</t>
  </si>
  <si>
    <t>코드네임 사신 8권</t>
  </si>
  <si>
    <t>코드네임 사신 9권</t>
  </si>
  <si>
    <t>코드네임 사신 10권</t>
  </si>
  <si>
    <t>코드네임 사신 11권</t>
  </si>
  <si>
    <t>코드네임 사신 12권</t>
  </si>
  <si>
    <t>ID:1160581724787955</t>
  </si>
  <si>
    <t>ID:1183058751286038</t>
  </si>
  <si>
    <t>ID:3125-5195-9345-99190</t>
  </si>
  <si>
    <t>ID:3102-0930-0488-07599</t>
  </si>
  <si>
    <t>걸황무적 4권</t>
  </si>
  <si>
    <t>ID:1136215918175644</t>
  </si>
  <si>
    <t>ID:1199716276714612</t>
  </si>
  <si>
    <t>ID:1107309566567994</t>
  </si>
  <si>
    <t>ID:1149542066158453</t>
  </si>
  <si>
    <t>ID:1129052532229687</t>
  </si>
  <si>
    <t>ID:1168924458923106</t>
  </si>
  <si>
    <t>ID:1100685033976611</t>
  </si>
  <si>
    <t>ID:1172451947124445</t>
  </si>
  <si>
    <t>ID:1141992189131571</t>
  </si>
  <si>
    <t>ID:1152110792265092</t>
  </si>
  <si>
    <t>ID:3105-9652-7333-11201</t>
  </si>
  <si>
    <t>ID:3103-9629-2074-42083</t>
  </si>
  <si>
    <t>그 기억의 끝에 1권</t>
  </si>
  <si>
    <t>그 기억의 끝에 2권</t>
  </si>
  <si>
    <t>그 기억의 끝에 3권</t>
  </si>
  <si>
    <t>그 기억의 끝에 4권</t>
  </si>
  <si>
    <t>그 기억의 끝에 5권</t>
  </si>
  <si>
    <t>ID:1141139547333176</t>
  </si>
  <si>
    <t>현대 왕의 표본 1권</t>
  </si>
  <si>
    <t>ID:3104-1310-5387-41687</t>
  </si>
  <si>
    <t>파공검제 14권</t>
  </si>
  <si>
    <t>ID:3112-1239-6131-40625</t>
  </si>
  <si>
    <t>M녀 조교 6권</t>
  </si>
  <si>
    <t>ID:1147830633542317</t>
  </si>
  <si>
    <t>ID:3133-9970-4401-55706</t>
  </si>
  <si>
    <t>ID:3175-3146-3261-59879</t>
  </si>
  <si>
    <t>ID:1181648496530063</t>
  </si>
  <si>
    <t>ID:1127530081747704</t>
  </si>
  <si>
    <t>ID:3155-9694-7066-56034</t>
  </si>
  <si>
    <t>검향도살(개정판) 5권</t>
  </si>
  <si>
    <t>ID:3124-4220-1082-42229</t>
  </si>
  <si>
    <t>ID:1197942012920120</t>
  </si>
  <si>
    <t>ID:1156776055763255</t>
  </si>
  <si>
    <t>ID:1105226247637647</t>
  </si>
  <si>
    <t>ID:3148-2578-8917-15297</t>
  </si>
  <si>
    <t>IE</t>
  </si>
  <si>
    <t>ID:1157665471487539</t>
  </si>
  <si>
    <t>ID:1138691700512934</t>
  </si>
  <si>
    <t>ID:1164292729054081</t>
  </si>
  <si>
    <t>ID:3159-0637-1017-97892</t>
  </si>
  <si>
    <t>ID:1181710259630765</t>
  </si>
  <si>
    <t>ID:1124985788297805</t>
  </si>
  <si>
    <t>ID:1123019456342468</t>
  </si>
  <si>
    <t>ID:1176536065188335</t>
  </si>
  <si>
    <t>ID:1128471601937048</t>
  </si>
  <si>
    <t>ID:3114-7204-0675-06477</t>
  </si>
  <si>
    <t>흑백강호 2권</t>
  </si>
  <si>
    <t>ID:1170431974660367</t>
  </si>
  <si>
    <t>ID:1160123101727935</t>
  </si>
  <si>
    <t>ID:3173-0937-1734-84627</t>
  </si>
  <si>
    <t>마왕이 나노머신을 숨김 5권</t>
  </si>
  <si>
    <t>ID:1136722037872460</t>
  </si>
  <si>
    <t>ID:1152528694989270</t>
  </si>
  <si>
    <t>ID:1120889177401218</t>
  </si>
  <si>
    <t>ID:1125340988787225</t>
  </si>
  <si>
    <t>ID:1120529175492002</t>
  </si>
  <si>
    <t>ID:1186481250338463</t>
  </si>
  <si>
    <t>ID:1113142238640505</t>
  </si>
  <si>
    <t>유산 받아 레벨 업! 1권</t>
  </si>
  <si>
    <t>ID:1177340413255348</t>
  </si>
  <si>
    <t>ID:1137887425176369</t>
  </si>
  <si>
    <t>ID:1150392025485791</t>
  </si>
  <si>
    <t>ID:3189-3132-9335-79176</t>
  </si>
  <si>
    <t>슈퍼스타, 누구도 막을 수 없어 !!!!!! 3권</t>
  </si>
  <si>
    <t>ID:1135353108521474</t>
  </si>
  <si>
    <t>ID:3193-3706-1913-61543</t>
  </si>
  <si>
    <t>재벌가 차남은 먼치킨 6권</t>
  </si>
  <si>
    <t>ID:1108839504035220</t>
  </si>
  <si>
    <t>ID:1136699319287334</t>
  </si>
  <si>
    <t>ID:3125-7247-1526-03388</t>
  </si>
  <si>
    <t>군림몽 합본 (전4권 완결)</t>
  </si>
  <si>
    <t>ID:3146-7319-3251-74156</t>
  </si>
  <si>
    <t>ID:1153386287575230</t>
  </si>
  <si>
    <t>ID:1157185634220652</t>
  </si>
  <si>
    <t>ID:3189-3900-6030-36340</t>
  </si>
  <si>
    <t>ID:1170541225580507</t>
  </si>
  <si>
    <t>ID:1172398838465615</t>
  </si>
  <si>
    <t>ID:1175204406451073</t>
  </si>
  <si>
    <t>용병왕 칼리 1권</t>
  </si>
  <si>
    <t>ID:1132228908819751</t>
  </si>
  <si>
    <t>ID:1114092327681798</t>
  </si>
  <si>
    <t>ID:1161853035681982</t>
  </si>
  <si>
    <t>ID:3194-6304-0206-28089</t>
  </si>
  <si>
    <t>검은 머리 미국 대재벌! 4권</t>
  </si>
  <si>
    <t>ID:1161402197606809</t>
  </si>
  <si>
    <t>ID:1181717788566098</t>
  </si>
  <si>
    <t>ID:3100-9036-7710-58034</t>
  </si>
  <si>
    <t>마왕이 나노머신을 숨김 6권</t>
  </si>
  <si>
    <t>ID:1103621871743302</t>
  </si>
  <si>
    <t>ID:1125874757296582</t>
  </si>
  <si>
    <t>ID:1147382936224883</t>
  </si>
  <si>
    <t>ID:1105111115102770</t>
  </si>
  <si>
    <t>ID:1184031953085151</t>
  </si>
  <si>
    <t>ID:3110-6884-1519-78419</t>
  </si>
  <si>
    <t>ID:3193-8016-4586-88320</t>
  </si>
  <si>
    <t>ID:1127017551482055</t>
  </si>
  <si>
    <t>ID:1104320031788898</t>
  </si>
  <si>
    <t>ID:1134640650733116</t>
  </si>
  <si>
    <t>ID:1107181881461829</t>
  </si>
  <si>
    <t>ID:1125119550927708</t>
  </si>
  <si>
    <t>ID:1180411219231768</t>
  </si>
  <si>
    <t>ID:1123565242141027</t>
  </si>
  <si>
    <t>PKEY:92831</t>
  </si>
  <si>
    <t>천강천하 1권</t>
  </si>
  <si>
    <t>ID:1133085287488494</t>
  </si>
  <si>
    <t>PKEY:92836</t>
  </si>
  <si>
    <t>혈존무적 1권</t>
  </si>
  <si>
    <t>ID:3100-8090-4759-31341</t>
  </si>
  <si>
    <t>효종 11권</t>
  </si>
  <si>
    <t>ID:1144955045884312</t>
  </si>
  <si>
    <t>ID:1171414168980191</t>
  </si>
  <si>
    <t>ID:1119956419553417</t>
  </si>
  <si>
    <t>천재가문(개정판) 1권</t>
  </si>
  <si>
    <t>ID:1126050087243441</t>
  </si>
  <si>
    <t>ID:1159148154325231</t>
  </si>
  <si>
    <t>ID:1146935515705293</t>
  </si>
  <si>
    <t>26. 2. 23.</t>
  </si>
  <si>
    <t>ID:3132-4290-0550-31540</t>
  </si>
  <si>
    <t>ID:1113554539785089</t>
  </si>
  <si>
    <t>ID:1158355392057330</t>
  </si>
  <si>
    <t>ID:3166-7295-5211-06965</t>
  </si>
  <si>
    <t>검향도살(개정판) 6권</t>
  </si>
  <si>
    <t>ID:1117671042471473</t>
  </si>
  <si>
    <t>ID:3115-7577-1674-70752</t>
  </si>
  <si>
    <t>남자의 길 10권</t>
  </si>
  <si>
    <t>ID:1199354582876699</t>
  </si>
  <si>
    <t>ID:3111-3465-5641-81927</t>
  </si>
  <si>
    <t>하늘에서 내리는 카드 4권</t>
  </si>
  <si>
    <t>ID:3171-3766-3350-69330</t>
  </si>
  <si>
    <t>야설로 보는 그리스 로마 신화 13권</t>
  </si>
  <si>
    <t>ID:3101-5331-7673-43214</t>
  </si>
  <si>
    <t>ID:3120-2218-4155-59125</t>
  </si>
  <si>
    <t>마법 형님 1권</t>
  </si>
  <si>
    <t>아노르이실</t>
  </si>
  <si>
    <t>ID:1146688744969296</t>
  </si>
  <si>
    <t>ID:3189-6548-3926-67182</t>
  </si>
  <si>
    <t>PKEY:31312</t>
  </si>
  <si>
    <t>규한록 제1권</t>
  </si>
  <si>
    <t>ID:1179860943336118</t>
  </si>
  <si>
    <t>ID:1170575101379302</t>
  </si>
  <si>
    <t>ID:1122324480188917</t>
  </si>
  <si>
    <t>ID:3167-6261-7614-81286</t>
  </si>
  <si>
    <t>검향도살(개정판) 7권</t>
  </si>
  <si>
    <t>ID:1111582067796364</t>
  </si>
  <si>
    <t>ID:1138038742647439</t>
  </si>
  <si>
    <t>ID:1199489140743013</t>
  </si>
  <si>
    <t>ID:3173-1011-2637-66846</t>
  </si>
  <si>
    <t>검은 머리 미국 대재벌! 5권</t>
  </si>
  <si>
    <t>ID:3135-1827-0042-45776</t>
  </si>
  <si>
    <t>ID:1149535372293877</t>
  </si>
  <si>
    <t>ID:1198037880002219</t>
  </si>
  <si>
    <t>ID:1137223129755393</t>
  </si>
  <si>
    <t>ID:3125-8223-9489-04646</t>
  </si>
  <si>
    <t>황금백수 9권</t>
  </si>
  <si>
    <t>ID:3127-1289-8163-74310</t>
  </si>
  <si>
    <t>남편, 공개수배! 1권</t>
  </si>
  <si>
    <t>르릅</t>
  </si>
  <si>
    <t>ID:3184-9213-8379-05139</t>
  </si>
  <si>
    <t>ID:3125-7090-0725-02118</t>
  </si>
  <si>
    <t>마법 형님 2권</t>
  </si>
  <si>
    <t>ID:3156-7981-6439-79109</t>
  </si>
  <si>
    <t>ID:3125-3867-6478-68823</t>
  </si>
  <si>
    <t>재벌가 차남은 먼치킨 7권</t>
  </si>
  <si>
    <t>ID:1130361843553974</t>
  </si>
  <si>
    <t>ID:1145392843149876</t>
  </si>
  <si>
    <t>ID:1180519998125208</t>
  </si>
  <si>
    <t>ID:1105301926227323</t>
  </si>
  <si>
    <t>ID:3163-7846-0857-79888</t>
  </si>
  <si>
    <t>검향도살(개정판) 8권</t>
  </si>
  <si>
    <t>ID:3168-1262-9690-10537</t>
  </si>
  <si>
    <t>나는 재벌이다 2권</t>
  </si>
  <si>
    <t>ID:3146-7762-6154-07544</t>
  </si>
  <si>
    <t>폭군에게 차이는 10가지 방법 1권</t>
  </si>
  <si>
    <t>서귀조</t>
  </si>
  <si>
    <t>ID:3183-4732-1261-69893</t>
  </si>
  <si>
    <t>히트 가이딩 1권</t>
  </si>
  <si>
    <t>도라방스</t>
  </si>
  <si>
    <t>ID:1110520257422602</t>
  </si>
  <si>
    <t>ID:1154611689990116</t>
  </si>
  <si>
    <t>ID:3130-9614-3802-25460</t>
  </si>
  <si>
    <t>환락요새 1권</t>
  </si>
  <si>
    <t>밤밤맨</t>
  </si>
  <si>
    <t>ID:1186897970053451</t>
  </si>
  <si>
    <t>ID:3166-1955-1995-77079</t>
  </si>
  <si>
    <t>PKEY:31313</t>
  </si>
  <si>
    <t>규한록 제2권</t>
  </si>
  <si>
    <t>ID:1177097015202623</t>
  </si>
  <si>
    <t>ID:1176114497525855</t>
  </si>
  <si>
    <t>ID:3158-5242-0259-00112</t>
  </si>
  <si>
    <t>폭군에게 차이는 10가지 방법 2권</t>
  </si>
  <si>
    <t>ID:3119-1417-4353-84532</t>
  </si>
  <si>
    <t>ID:3171-7101-5830-69247</t>
  </si>
  <si>
    <t>신풍기협(神風奇俠) 9권</t>
  </si>
  <si>
    <t>ID:1153206947974761</t>
  </si>
  <si>
    <t>ID:3184-0090-5808-81134</t>
  </si>
  <si>
    <t>재벌가 차남은 먼치킨 8권</t>
  </si>
  <si>
    <t>ID:1170219680139690</t>
  </si>
  <si>
    <t>ID:1177405913839664</t>
  </si>
  <si>
    <t>ID:3107-0578-1501-02609</t>
  </si>
  <si>
    <t>환락요새 2권</t>
  </si>
  <si>
    <t>ID:1136487470999843</t>
  </si>
  <si>
    <t>ID:3143-7846-2215-77187</t>
  </si>
  <si>
    <t>마왕이 나노머신을 숨김 7권</t>
  </si>
  <si>
    <t>ID:1178045318695964</t>
  </si>
  <si>
    <t>ID:1199203405653097</t>
  </si>
  <si>
    <t>ID:1174766010996067</t>
  </si>
  <si>
    <t>ID:1144708219653820</t>
  </si>
  <si>
    <t>ID:3192-2596-0501-51845</t>
  </si>
  <si>
    <t>ID:3118-9278-9425-85325</t>
  </si>
  <si>
    <t>유산 받아 레벨 업! 2권</t>
  </si>
  <si>
    <t>ID:3154-1736-5764-52750</t>
  </si>
  <si>
    <t>[19금] 나는 악의 무리 2권</t>
  </si>
  <si>
    <t>[19금] 나는 악의 무리 3권</t>
  </si>
  <si>
    <t>ID:3142-6668-3301-68597</t>
  </si>
  <si>
    <t>효종 12권</t>
  </si>
  <si>
    <t>ID:1190204442839303</t>
  </si>
  <si>
    <t>ID:1169423651635656</t>
  </si>
  <si>
    <t>ID:1133352501286815</t>
  </si>
  <si>
    <t>ID:1163219464478295</t>
  </si>
  <si>
    <t>ID:3192-3495-0436-69143</t>
  </si>
  <si>
    <t>ID:3168-1949-4456-75992</t>
  </si>
  <si>
    <t>검은 머리 미국 대재벌! 6권</t>
  </si>
  <si>
    <t>ID:1190878547663895</t>
  </si>
  <si>
    <t>ID:3139-8988-6687-98192</t>
  </si>
  <si>
    <t>환락요새 3권</t>
  </si>
  <si>
    <t>ID:3185-4890-6368-88810</t>
  </si>
  <si>
    <t>코인 게이트를 열었다 5권</t>
  </si>
  <si>
    <t>ID:1134229990305291</t>
  </si>
  <si>
    <t>ID:3115-0646-3617-00567</t>
  </si>
  <si>
    <t>인간 사육 3권</t>
  </si>
  <si>
    <t>묘월아</t>
  </si>
  <si>
    <t>ID:1140331982031803</t>
  </si>
  <si>
    <t>ID:1105275802376946</t>
  </si>
  <si>
    <t>ID:1100845370270281</t>
  </si>
  <si>
    <t>ID:1100839604490278</t>
  </si>
  <si>
    <t>ID:1173433919654533</t>
  </si>
  <si>
    <t>ID:1149312095538835</t>
  </si>
  <si>
    <t>ID:1148488382147907</t>
  </si>
  <si>
    <t>ID:3138-1146-6142-15636</t>
  </si>
  <si>
    <t>Rental 24 Hours</t>
  </si>
  <si>
    <t>[19금] 은밀한 유혹 2권</t>
  </si>
  <si>
    <t>ID:1120375489170775</t>
  </si>
  <si>
    <t>ID:3104-1210-9959-06156</t>
  </si>
  <si>
    <t>PKEY:83351</t>
  </si>
  <si>
    <t>천재가문 2</t>
  </si>
  <si>
    <t>PKEY:83352</t>
  </si>
  <si>
    <t>천재가문 3</t>
  </si>
  <si>
    <t>PKEY:83353</t>
  </si>
  <si>
    <t>천재가문 4</t>
  </si>
  <si>
    <t>PKEY:83354</t>
  </si>
  <si>
    <t>천재가문 5</t>
  </si>
  <si>
    <t>PKEY:83355</t>
  </si>
  <si>
    <t>천재가문 6</t>
  </si>
  <si>
    <t>PKEY:83356</t>
  </si>
  <si>
    <t>천재가문 7 완결</t>
  </si>
  <si>
    <t>ID:1166975210120404</t>
  </si>
  <si>
    <t>ID:3124-9114-7937-54076</t>
  </si>
  <si>
    <t>럭키 다이스 1권</t>
  </si>
  <si>
    <t>삐삐</t>
  </si>
  <si>
    <t>ID:3172-0662-9588-94421</t>
  </si>
  <si>
    <t>럭키 다이스 2권</t>
  </si>
  <si>
    <t>ID:3111-9735-1260-00294</t>
  </si>
  <si>
    <t>럭키 다이스 외전</t>
  </si>
  <si>
    <t>ID:3127-4239-8398-16023</t>
  </si>
  <si>
    <t>현대 귀환 마법사 2권</t>
  </si>
  <si>
    <t>ID:3193-9088-4803-68413</t>
  </si>
  <si>
    <t>무림영웅 때려칩니다 4권</t>
  </si>
  <si>
    <t>ID:1142544235327164</t>
  </si>
  <si>
    <t>ID:3179-7954-4381-39993</t>
  </si>
  <si>
    <t>ID:3104-1826-3435-19519</t>
  </si>
  <si>
    <t>[19금] 은밀한 유혹 3권 (완결)</t>
  </si>
  <si>
    <t>ID:1165223143517730</t>
  </si>
  <si>
    <t>ID:3162-7635-7558-75765</t>
  </si>
  <si>
    <t>ID:3191-2386-8544-49803</t>
  </si>
  <si>
    <t>유산 받아 레벨 업! 3권</t>
  </si>
  <si>
    <t>ID:3134-9743-5942-86142</t>
  </si>
  <si>
    <t>ID:1182834428133506</t>
  </si>
  <si>
    <t>ID:1108407899468832</t>
  </si>
  <si>
    <t>ID:1173133483557611</t>
  </si>
  <si>
    <t>ID:1141614398845541</t>
  </si>
  <si>
    <t>ID:1138948039315003</t>
  </si>
  <si>
    <t>ID:1143455186929973</t>
  </si>
  <si>
    <t>게임 속 무기 소환사로 살아남기 1권</t>
  </si>
  <si>
    <t>쩡킴</t>
  </si>
  <si>
    <t>ID:3169-2885-3506-17304</t>
  </si>
  <si>
    <t>환락요새 4권</t>
  </si>
  <si>
    <t>ID:1171005405705027</t>
  </si>
  <si>
    <t>ID:1144303248013800</t>
  </si>
  <si>
    <t>ID:3118-8523-1409-89591</t>
  </si>
  <si>
    <t>검향도살(개정판) 9권</t>
  </si>
  <si>
    <t>ID:1125636141074273</t>
  </si>
  <si>
    <t>ID:1195757480979669</t>
  </si>
  <si>
    <t>ID:1147893713406743</t>
  </si>
  <si>
    <t>회귀해서 천재 PD 1권</t>
  </si>
  <si>
    <t>조도모</t>
  </si>
  <si>
    <t>ID:1199911336002236</t>
  </si>
  <si>
    <t>ID:1134211619467559</t>
  </si>
  <si>
    <t>ID:1196747878427097</t>
  </si>
  <si>
    <t>ID:1100753713157876</t>
  </si>
  <si>
    <t>ID:1166935008348411</t>
  </si>
  <si>
    <t>ID:1198089142694610</t>
  </si>
  <si>
    <t>ID:1121072981864812</t>
  </si>
  <si>
    <t>ID:1186020306034098</t>
  </si>
  <si>
    <t>ID:1112424971538019</t>
  </si>
  <si>
    <t>ID:1151015580601521</t>
  </si>
  <si>
    <t>ID:1154020174714802</t>
  </si>
  <si>
    <t>ID:1132578212303755</t>
  </si>
  <si>
    <t>ID:1193745763746140</t>
  </si>
  <si>
    <t>ID:1101220038087626</t>
  </si>
  <si>
    <t>ID:1109237767417148</t>
  </si>
  <si>
    <t>ID:1168459062911677</t>
  </si>
  <si>
    <t>ID:1126065752885251</t>
  </si>
  <si>
    <t>ID:1165661454321339</t>
  </si>
  <si>
    <t>ID:1143552308451142</t>
  </si>
  <si>
    <t>ID:3171-2220-6338-52274</t>
  </si>
  <si>
    <t>슈퍼스타, 누구도 막을 수 없어 !!!!!! 4권</t>
  </si>
  <si>
    <t>ID:1120345351036772</t>
  </si>
  <si>
    <t>ID:1185084824968717</t>
  </si>
  <si>
    <t>ID:1104515851066466</t>
  </si>
  <si>
    <t>ID:1133494457280235</t>
  </si>
  <si>
    <t>ID:1179194197789354</t>
  </si>
  <si>
    <t>ID:1168760203096273</t>
  </si>
  <si>
    <t>ID:3107-9345-5072-20160</t>
  </si>
  <si>
    <t>ID:1131660636751184</t>
  </si>
  <si>
    <t>ID:1106954466226855</t>
  </si>
  <si>
    <t>ID:1113337455362021</t>
  </si>
  <si>
    <t>ID:3101-0549-4791-13865</t>
  </si>
  <si>
    <t>남자의 길 11권</t>
  </si>
  <si>
    <t>ID:1153916567062459</t>
  </si>
  <si>
    <t>ID:1108122303390734</t>
  </si>
  <si>
    <t>ID:1110949468181826</t>
  </si>
  <si>
    <t>ID:3159-1137-7655-35671</t>
  </si>
  <si>
    <t>ID:3139-1104-5478-03192</t>
  </si>
  <si>
    <t>ID:1185250739590392</t>
  </si>
  <si>
    <t>ID:1169087994758525</t>
  </si>
  <si>
    <t>ID:1117609215009587</t>
  </si>
  <si>
    <t>ID:1141180825539558</t>
  </si>
  <si>
    <t>ID:1120973916243315</t>
  </si>
  <si>
    <t>ID:1114269829075953</t>
  </si>
  <si>
    <t>ID:3136-6461-5025-93913</t>
  </si>
  <si>
    <t>검은 머리 미국 대재벌! 7권</t>
  </si>
  <si>
    <t>ID:1128572922943521</t>
  </si>
  <si>
    <t>ID:3151-4192-2003-68784</t>
  </si>
  <si>
    <t>ID:3180-2218-5774-41314</t>
  </si>
  <si>
    <t>M녀 조교 7권</t>
  </si>
  <si>
    <t>ID:1132640844849283</t>
  </si>
  <si>
    <t>ID:3123-5827-9500-69495</t>
  </si>
  <si>
    <t>26. 2. 24.</t>
  </si>
  <si>
    <t>ID:1173437033204254</t>
  </si>
  <si>
    <t>ID:1145724365223321</t>
  </si>
  <si>
    <t>ID:1150950867888224</t>
  </si>
  <si>
    <t>ID:3174-0231-8737-43538</t>
  </si>
  <si>
    <t>검향도살(개정판) 10권(완결)</t>
  </si>
  <si>
    <t>ID:3117-9032-9702-99115</t>
  </si>
  <si>
    <t>마왕이 나노머신을 숨김 8권</t>
  </si>
  <si>
    <t>ID:3142-7916-2690-35002</t>
  </si>
  <si>
    <t>ID:3160-6752-2805-40431</t>
  </si>
  <si>
    <t>ID:1109682514065694</t>
  </si>
  <si>
    <t>ID:1151349550823383</t>
  </si>
  <si>
    <t>ID:1141900778085402</t>
  </si>
  <si>
    <t>ID:1119081881941726</t>
  </si>
  <si>
    <t>ID:1139845581103080</t>
  </si>
  <si>
    <t>ID:1169663601605580</t>
  </si>
  <si>
    <t>ID:1151796346729953</t>
  </si>
  <si>
    <t>ID:1136095587823660</t>
  </si>
  <si>
    <t>ID:1176705884695733</t>
  </si>
  <si>
    <t>ID:1162063485884280</t>
  </si>
  <si>
    <t>ID:1125313021347686</t>
  </si>
  <si>
    <t>PKEY:151149</t>
  </si>
  <si>
    <t>흑도전사 1권</t>
  </si>
  <si>
    <t>임이모</t>
  </si>
  <si>
    <t>ID:1176638798004293</t>
  </si>
  <si>
    <t>ID:1175197340365650</t>
  </si>
  <si>
    <t>ID:1181349975908129</t>
  </si>
  <si>
    <t>ID:1121455316572186</t>
  </si>
  <si>
    <t>ID:3159-0314-2996-04384</t>
  </si>
  <si>
    <t>금수저 생활백서 7권</t>
  </si>
  <si>
    <t>ID:1176962126195540</t>
  </si>
  <si>
    <t>ID:1163421022341586</t>
  </si>
  <si>
    <t>ID:3188-8644-2084-39795</t>
  </si>
  <si>
    <t>재벌가 차남은 먼치킨 9권</t>
  </si>
  <si>
    <t>ID:1170623657465921</t>
  </si>
  <si>
    <t>PKEY:92844</t>
  </si>
  <si>
    <t>바람둥이 쿠루터 일기 1권</t>
  </si>
  <si>
    <t>ID:1155294593709846</t>
  </si>
  <si>
    <t>ID:1185992138391312</t>
  </si>
  <si>
    <t>ID:1112117790090509</t>
  </si>
  <si>
    <t>ID:1122666596585812</t>
  </si>
  <si>
    <t>ID:1182428280876635</t>
  </si>
  <si>
    <t>ID:3128-9847-2838-66736</t>
  </si>
  <si>
    <t>ID:1181892587888394</t>
  </si>
  <si>
    <t>ID:1171512597374066</t>
  </si>
  <si>
    <t>ID:1155773590357746</t>
  </si>
  <si>
    <t>ID:3157-7066-5464-44543</t>
  </si>
  <si>
    <t>무림영웅 때려칩니다 5권</t>
  </si>
  <si>
    <t>ID:1162138450962146</t>
  </si>
  <si>
    <t>ID:1156246098220477</t>
  </si>
  <si>
    <t>ID:3118-5409-4552-49279</t>
  </si>
  <si>
    <t>ID:1135664671557383</t>
  </si>
  <si>
    <t>ID:1124169322967109</t>
  </si>
  <si>
    <t>ID:1198110032619456</t>
  </si>
  <si>
    <t>ID:3128-7621-9835-26313</t>
  </si>
  <si>
    <t>검은 머리 미국 대재벌! 8권</t>
  </si>
  <si>
    <t>ID:3167-3805-1229-73449</t>
  </si>
  <si>
    <t>PKEY:31314</t>
  </si>
  <si>
    <t>규한록 제3권</t>
  </si>
  <si>
    <t>ID:3140-9398-8844-23681</t>
  </si>
  <si>
    <t>마왕이 나노머신을 숨김 9권</t>
  </si>
  <si>
    <t>ID:1126074510591015</t>
  </si>
  <si>
    <t>ID:1158869431686378</t>
  </si>
  <si>
    <t>ID:1129003152441051</t>
  </si>
  <si>
    <t>ID:3131-6444-4265-17663</t>
  </si>
  <si>
    <t>코인 게이트를 열었다 6권</t>
  </si>
  <si>
    <t>ID:1129520997793518</t>
  </si>
  <si>
    <t>ID:1180860276463232</t>
  </si>
  <si>
    <t>ID:1183293000665768</t>
  </si>
  <si>
    <t>ID:1186499024014021</t>
  </si>
  <si>
    <t>ID:1133194361434003</t>
  </si>
  <si>
    <t>ID:3129-4466-9573-09901</t>
  </si>
  <si>
    <t>재벌가 차남은 먼치킨 10권</t>
  </si>
  <si>
    <t>ID:3180-2961-8581-25098</t>
  </si>
  <si>
    <t>다시 태어난 야구 천재 5권</t>
  </si>
  <si>
    <t>ID:1132699314955752</t>
  </si>
  <si>
    <t>ID:1177916072083928</t>
  </si>
  <si>
    <t>ID:1124577663501736</t>
  </si>
  <si>
    <t>ID:1169222376535236</t>
  </si>
  <si>
    <t>ID:1143192270837586</t>
  </si>
  <si>
    <t>ID:1136691288786327</t>
  </si>
  <si>
    <t>ID:1109980797181892</t>
  </si>
  <si>
    <t>ID:3137-0498-0554-51995</t>
  </si>
  <si>
    <t>효종 13권</t>
  </si>
  <si>
    <t>ID:1121814280023057</t>
  </si>
  <si>
    <t>ID:1109704630940219</t>
  </si>
  <si>
    <t>ID:1174309150066743</t>
  </si>
  <si>
    <t>ID:1185802971303526</t>
  </si>
  <si>
    <t>ID:1163158820839445</t>
  </si>
  <si>
    <t>ID:1130779821505209</t>
  </si>
  <si>
    <t>ID:1165177619509094</t>
  </si>
  <si>
    <t>ID:1160757838924238</t>
  </si>
  <si>
    <t>ID:1198402101120954</t>
  </si>
  <si>
    <t>ID:1124675349820164</t>
  </si>
  <si>
    <t>ID:3192-2505-4948-00936</t>
  </si>
  <si>
    <t>걸황무적 5권</t>
  </si>
  <si>
    <t>ID:1174789478778157</t>
  </si>
  <si>
    <t>ID:3141-5381-9489-45997</t>
  </si>
  <si>
    <t>ID:3195-3348-5378-99659</t>
  </si>
  <si>
    <t>ID:1170904904379035</t>
  </si>
  <si>
    <t>ID:1161546556719468</t>
  </si>
  <si>
    <t>ID:1163039697710167</t>
  </si>
  <si>
    <t>ID:1142191253450049</t>
  </si>
  <si>
    <t>ID:3142-1987-8819-36368</t>
  </si>
  <si>
    <t>무림영웅 때려칩니다 6권</t>
  </si>
  <si>
    <t>ID:1155296015861411</t>
  </si>
  <si>
    <t>ID:3131-6613-3880-64227</t>
  </si>
  <si>
    <t>ID:1103822293142309</t>
  </si>
  <si>
    <t>ID:1159485901197441</t>
  </si>
  <si>
    <t>ID:3125-4063-7032-18802</t>
  </si>
  <si>
    <t>ID:1192365992054936</t>
  </si>
  <si>
    <t>ID:1141845717902910</t>
  </si>
  <si>
    <t>ID:1191579973095177</t>
  </si>
  <si>
    <t>ID:1143630375215173</t>
  </si>
  <si>
    <t>ID:3196-2443-8996-09470</t>
  </si>
  <si>
    <t>ID:3194-1141-6185-34783</t>
  </si>
  <si>
    <t>ID:1112652780886075</t>
  </si>
  <si>
    <t>ID:1190207446009026</t>
  </si>
  <si>
    <t>ID:1196748880213268</t>
  </si>
  <si>
    <t>ID:3118-7721-9744-53071</t>
  </si>
  <si>
    <t>ID:1116381908033588</t>
  </si>
  <si>
    <t>ID:3175-5641-1263-77959</t>
  </si>
  <si>
    <t>마왕이 나노머신을 숨김 10권</t>
  </si>
  <si>
    <t>ID:3118-7410-2788-48405</t>
  </si>
  <si>
    <t>ID:1109160745042971</t>
  </si>
  <si>
    <t>ID:1160751194003062</t>
  </si>
  <si>
    <t>ID:1106142917400050</t>
  </si>
  <si>
    <t>ID:3195-6468-2046-94169</t>
  </si>
  <si>
    <t>ID:3180-7053-6310-06161</t>
  </si>
  <si>
    <t>ID:1130744631630290</t>
  </si>
  <si>
    <t>ID:3178-8203-8578-40188</t>
  </si>
  <si>
    <t>무림영웅 때려칩니다 7권</t>
  </si>
  <si>
    <t>ID:1174302964088123</t>
  </si>
  <si>
    <t>ID:3157-0437-6706-85310</t>
  </si>
  <si>
    <t>ID:3164-5702-0545-11888</t>
  </si>
  <si>
    <t>ID:3104-7435-3779-89210</t>
  </si>
  <si>
    <t>천방지축(무삭제판) 1권</t>
  </si>
  <si>
    <t>ID:3101-2035-9217-70612</t>
  </si>
  <si>
    <t>ID:3184-4601-5445-81588</t>
  </si>
  <si>
    <t>최강을 꿈꾸다 2권</t>
  </si>
  <si>
    <t>ID:3181-5817-2357-94790</t>
  </si>
  <si>
    <t>ID:3100-9809-4588-10213</t>
  </si>
  <si>
    <t>야성의 전설 40권</t>
  </si>
  <si>
    <t>ID:3129-7169-9121-92086</t>
  </si>
  <si>
    <t>ID:1138794354155465</t>
  </si>
  <si>
    <t>ID:3157-5404-2711-98885</t>
  </si>
  <si>
    <t>ID:1158095099494009</t>
  </si>
  <si>
    <t>ID:1186634979527371</t>
  </si>
  <si>
    <t>ID:3150-1385-9295-26690</t>
  </si>
  <si>
    <t>슈퍼스타, 누구도 막을 수 없어 !!!!!! 5권</t>
  </si>
  <si>
    <t>ID:1113836015236367</t>
  </si>
  <si>
    <t>ID:1178328766291950</t>
  </si>
  <si>
    <t>ID:1105230093289850</t>
  </si>
  <si>
    <t>ID:3180-7543-4448-28252</t>
  </si>
  <si>
    <t>황금백수 10권</t>
  </si>
  <si>
    <t>ID:1158641428816449</t>
  </si>
  <si>
    <t>ID:3195-8614-4325-37722</t>
  </si>
  <si>
    <t>ID:1140558324332588</t>
  </si>
  <si>
    <t>ID:1116316961330674</t>
  </si>
  <si>
    <t>ID:1124099085883462</t>
  </si>
  <si>
    <t>ID:1181188751575743</t>
  </si>
  <si>
    <t>ID:3142-5122-7284-46479</t>
  </si>
  <si>
    <t>ID:1178448052511916</t>
  </si>
  <si>
    <t>ID:3166-9908-7858-72281</t>
  </si>
  <si>
    <t>최강을 꿈꾸다 3권</t>
  </si>
  <si>
    <t>ID:1104625631604841</t>
  </si>
  <si>
    <t>ID:3165-8089-3226-33500</t>
  </si>
  <si>
    <t>ID:3190-7250-8684-23691</t>
  </si>
  <si>
    <t>검은 머리 미국 대재벌! 9권</t>
  </si>
  <si>
    <t>ID:1132204164589304</t>
  </si>
  <si>
    <t>ID:1109133894451737</t>
  </si>
  <si>
    <t>ID:3120-2802-7540-46891</t>
  </si>
  <si>
    <t>무림영웅 때려칩니다 8권</t>
  </si>
  <si>
    <t>ID:3103-1132-6925-42150</t>
  </si>
  <si>
    <t>ID:1176304504948842</t>
  </si>
  <si>
    <t>ID:1175665744556770</t>
  </si>
  <si>
    <t>1980 독식하는 재벌! 1권</t>
  </si>
  <si>
    <t>ID:1173835304179711</t>
  </si>
  <si>
    <t>ID:3159-7938-6779-90500</t>
  </si>
  <si>
    <t>ID:1113259071716359</t>
  </si>
  <si>
    <t>ID:3149-8866-7520-67752</t>
  </si>
  <si>
    <t>효종 14권</t>
  </si>
  <si>
    <t>26. 2. 25.</t>
  </si>
  <si>
    <t>ID:3197-4090-7594-00001</t>
  </si>
  <si>
    <t>둔재무적 3권</t>
  </si>
  <si>
    <t>ID:3166-6393-9616-01171</t>
  </si>
  <si>
    <t>ID:1152230866006934</t>
  </si>
  <si>
    <t>ID:1165703281384123</t>
  </si>
  <si>
    <t>ID:3127-9600-3972-30346</t>
  </si>
  <si>
    <t>신체가 강화됨 10권</t>
  </si>
  <si>
    <t>ID:1161554032103405</t>
  </si>
  <si>
    <t>ID:1116046788582211</t>
  </si>
  <si>
    <t>ID:1103492029258907</t>
  </si>
  <si>
    <t>ID:1144932779080732</t>
  </si>
  <si>
    <t>ID:1127248984237074</t>
  </si>
  <si>
    <t>ID:1150586626017097</t>
  </si>
  <si>
    <t>ID:1122296056662640</t>
  </si>
  <si>
    <t>ID:1174600762644054</t>
  </si>
  <si>
    <t>ID:1123091086729183</t>
  </si>
  <si>
    <t>ID:1149211362484531</t>
  </si>
  <si>
    <t>ID:3174-3791-6083-16055</t>
  </si>
  <si>
    <t>ID:1164658458763603</t>
  </si>
  <si>
    <t>ID:1122160155896714</t>
  </si>
  <si>
    <t>ID:1142439571764096</t>
  </si>
  <si>
    <t>ID:1174548839181493</t>
  </si>
  <si>
    <t>ID:1186770719469622</t>
  </si>
  <si>
    <t>ID:1148708434739277</t>
  </si>
  <si>
    <t>ID:1106862946370269</t>
  </si>
  <si>
    <t>[BL] 당신의 지옥 1권</t>
  </si>
  <si>
    <t>ID:1160133905894994</t>
  </si>
  <si>
    <t>ID:1185524579613187</t>
  </si>
  <si>
    <t>ID:1130666967367530</t>
  </si>
  <si>
    <t>ID:3151-0671-2519-21830</t>
  </si>
  <si>
    <t>재벌가 차남은 먼치킨 11권</t>
  </si>
  <si>
    <t>ID:1172200808253749</t>
  </si>
  <si>
    <t>ID:1142978993229851</t>
  </si>
  <si>
    <t>ID:1140735397147695</t>
  </si>
  <si>
    <t>ID:1120450437295729</t>
  </si>
  <si>
    <t>ID:3128-0625-6180-70440</t>
  </si>
  <si>
    <t>ID:3156-9328-9008-40578</t>
  </si>
  <si>
    <t>ID:1122677826137221</t>
  </si>
  <si>
    <t>ID:1174067867833564</t>
  </si>
  <si>
    <t>ID:1188961524529740</t>
  </si>
  <si>
    <t>ID:1138101764423304</t>
  </si>
  <si>
    <t>ID:1132498259494387</t>
  </si>
  <si>
    <t>ID:1191104239217509</t>
  </si>
  <si>
    <t>ID:3195-6375-9957-92636</t>
  </si>
  <si>
    <t>ID:1104204913167596</t>
  </si>
  <si>
    <t>ID:1193291489142115</t>
  </si>
  <si>
    <t>역전세계의 금태양 1권</t>
  </si>
  <si>
    <t>나물반찬</t>
  </si>
  <si>
    <t>ID:3178-6014-6362-22694</t>
  </si>
  <si>
    <t>ID:3178-1946-6013-72186</t>
  </si>
  <si>
    <t>EPL-프리미어 리그 2권</t>
  </si>
  <si>
    <t>ID:3118-0931-4994-55667</t>
  </si>
  <si>
    <t>ID:1113109155918624</t>
  </si>
  <si>
    <t>ID:1123841899673973</t>
  </si>
  <si>
    <t>ID:1125508371733543</t>
  </si>
  <si>
    <t>ID:3116-0608-4890-11376</t>
  </si>
  <si>
    <t>ID:3147-9284-6774-30401</t>
  </si>
  <si>
    <t>ID:1152464887862678</t>
  </si>
  <si>
    <t>ID:1157859296665143</t>
  </si>
  <si>
    <t>ID:3174-8635-0205-88956</t>
  </si>
  <si>
    <t>ID:1109676382649201</t>
  </si>
  <si>
    <t>ID:1149977116074708</t>
  </si>
  <si>
    <t>ID:1170729556007188</t>
  </si>
  <si>
    <t>ID:1101481675622487</t>
  </si>
  <si>
    <t>ID:1126988446629564</t>
  </si>
  <si>
    <t>PKEY:93207</t>
  </si>
  <si>
    <t>리쎌암즈 1권</t>
  </si>
  <si>
    <t>강우진</t>
  </si>
  <si>
    <t>ID:3182-2182-0956-27132</t>
  </si>
  <si>
    <t>ID:3104-7355-0704-04053</t>
  </si>
  <si>
    <t>[19금] 스패셜 힐러 3권</t>
  </si>
  <si>
    <t>ID:1147978186000908</t>
  </si>
  <si>
    <t>ID:1100051868203325</t>
  </si>
  <si>
    <t>ID:1173752443060717</t>
  </si>
  <si>
    <t>ID:1175767699969979</t>
  </si>
  <si>
    <t>ID:1187737402405788</t>
  </si>
  <si>
    <t>ID:1136236974826167</t>
  </si>
  <si>
    <t>ID:1111670735503810</t>
  </si>
  <si>
    <t>ID:1123760572351043</t>
  </si>
  <si>
    <t>ID:1197846936091247</t>
  </si>
  <si>
    <t>ID:1158135589424383</t>
  </si>
  <si>
    <t>ID:1159233918613743</t>
  </si>
  <si>
    <t>ID:1183125830222579</t>
  </si>
  <si>
    <t>ID:1139467878760849</t>
  </si>
  <si>
    <t>ID:3111-6511-6094-77714</t>
  </si>
  <si>
    <t>ID:3159-3665-8260-45358</t>
  </si>
  <si>
    <t>ID:1145410314617393</t>
  </si>
  <si>
    <t>ID:3189-2312-8720-76062</t>
  </si>
  <si>
    <t>ID:1192889285246297</t>
  </si>
  <si>
    <t>PKEY:139778</t>
  </si>
  <si>
    <t>소천무쌍(小天無雙) 1권</t>
  </si>
  <si>
    <t>ID:1118316689295669</t>
  </si>
  <si>
    <t>ID:3134-5165-6084-72535</t>
  </si>
  <si>
    <t>PKEY:93208</t>
  </si>
  <si>
    <t>리쎌암즈 2권</t>
  </si>
  <si>
    <t>ID:1139929179499543</t>
  </si>
  <si>
    <t>ID:1116459606786099</t>
  </si>
  <si>
    <t>ID:1145506475633213</t>
  </si>
  <si>
    <t>ID:1100171954252842</t>
  </si>
  <si>
    <t>ID:3166-4715-9080-85194</t>
  </si>
  <si>
    <t>ID:1140072772828761</t>
  </si>
  <si>
    <t>ID:1109621290587214</t>
  </si>
  <si>
    <t>ID:3171-8738-1407-41520</t>
  </si>
  <si>
    <t>슈퍼스타, 누구도 막을 수 없어 !!!!!! 6권</t>
  </si>
  <si>
    <t>ID:1189276690870733</t>
  </si>
  <si>
    <t>ID:1130871950757880</t>
  </si>
  <si>
    <t>ID:3112-2885-8129-16860</t>
  </si>
  <si>
    <t>ID:1169542224900433</t>
  </si>
  <si>
    <t>ID:3135-6327-6740-74384</t>
  </si>
  <si>
    <t>ID:3183-7539-4188-88528</t>
  </si>
  <si>
    <t>ID:3113-0297-0307-81232</t>
  </si>
  <si>
    <t>ID:1104826442478923</t>
  </si>
  <si>
    <t>ID:3194-5749-7458-90862</t>
  </si>
  <si>
    <t>코인 게이트를 열었다 7권</t>
  </si>
  <si>
    <t>ID:1115661111875914</t>
  </si>
  <si>
    <t>ID:1152965299067545</t>
  </si>
  <si>
    <t>ID:1100647132408328</t>
  </si>
  <si>
    <t>ID:1183078283777148</t>
  </si>
  <si>
    <t>ID:1129313191670478</t>
  </si>
  <si>
    <t>ID:1102884191771753</t>
  </si>
  <si>
    <t>ID:1125088105102083</t>
  </si>
  <si>
    <t>ID:1127037931886628</t>
  </si>
  <si>
    <t>ID:1154852919768566</t>
  </si>
  <si>
    <t>ID:1100326671107800</t>
  </si>
  <si>
    <t>ID:1146630930163964</t>
  </si>
  <si>
    <t>ID:3106-2751-9806-20179</t>
  </si>
  <si>
    <t>슈가 트랩 1권</t>
  </si>
  <si>
    <t>ID:3112-7290-8247-70465</t>
  </si>
  <si>
    <t>슈가 트랩 2권</t>
  </si>
  <si>
    <t>슈가 트랩 3권</t>
  </si>
  <si>
    <t>슈가 트랩 4권</t>
  </si>
  <si>
    <t>슈가 트랩 외전</t>
  </si>
  <si>
    <t>ID:1163157993402128</t>
  </si>
  <si>
    <t>ID:3186-0846-1909-87409</t>
  </si>
  <si>
    <t>코인 게이트를 열었다 8권</t>
  </si>
  <si>
    <t>ID:1196271333819737</t>
  </si>
  <si>
    <t>ID:1184465746515476</t>
  </si>
  <si>
    <t>ID:3169-9383-0889-43066</t>
  </si>
  <si>
    <t>남자의 길 12권</t>
  </si>
  <si>
    <t>ID:1151954648300833</t>
  </si>
  <si>
    <t>26. 2. 26.</t>
  </si>
  <si>
    <t>ID:1127727415260137</t>
  </si>
  <si>
    <t>ID:1159743137391355</t>
  </si>
  <si>
    <t>PKEY:90949</t>
  </si>
  <si>
    <t>아크리안 1</t>
  </si>
  <si>
    <t>김민</t>
  </si>
  <si>
    <t>ID:1166966296701154</t>
  </si>
  <si>
    <t>ID:1173270291658575</t>
  </si>
  <si>
    <t>PKEY:87631</t>
  </si>
  <si>
    <t>리메모리 1</t>
  </si>
  <si>
    <t>김민우</t>
  </si>
  <si>
    <t>ID:1186260957450459</t>
  </si>
  <si>
    <t>ID:3171-6634-6400-46560</t>
  </si>
  <si>
    <t>코인 게이트를 열었다 9권</t>
  </si>
  <si>
    <t>ID:3172-6695-6476-48900</t>
  </si>
  <si>
    <t>ID:3109-5536-0015-34317</t>
  </si>
  <si>
    <t>광풍의 전사 5권</t>
  </si>
  <si>
    <t>ID:3125-4890-2203-18869</t>
  </si>
  <si>
    <t>ID:1151157438332510</t>
  </si>
  <si>
    <t>ID:1143691064526194</t>
  </si>
  <si>
    <t>ID:3182-4438-9952-72481</t>
  </si>
  <si>
    <t>ID:1148713223550671</t>
  </si>
  <si>
    <t>ID:3171-4511-5609-98416</t>
  </si>
  <si>
    <t>코인 게이트를 열었다 10권</t>
  </si>
  <si>
    <t>ID:1103933467495570</t>
  </si>
  <si>
    <t>ID:1146615938777943</t>
  </si>
  <si>
    <t>ID:1150361544232068</t>
  </si>
  <si>
    <t>ID:1160912019043737</t>
  </si>
  <si>
    <t>ID:1187704823602042</t>
  </si>
  <si>
    <t>ID:3118-9134-8907-78533</t>
  </si>
  <si>
    <t>ID:1191000235846896</t>
  </si>
  <si>
    <t>ID:1139864182462671</t>
  </si>
  <si>
    <t>ID:1100959324918359</t>
  </si>
  <si>
    <t>ID:1156989607264652</t>
  </si>
  <si>
    <t>ID:1130646717147618</t>
  </si>
  <si>
    <t>ID:3192-2287-5894-29501</t>
  </si>
  <si>
    <t>효종 15권</t>
  </si>
  <si>
    <t>ID:3151-1154-3958-59531</t>
  </si>
  <si>
    <t>절대고수 2권</t>
  </si>
  <si>
    <t>ID:1152666038393247</t>
  </si>
  <si>
    <t>ID:3107-1302-6197-93971</t>
  </si>
  <si>
    <t>ID:3115-5624-7891-04960</t>
  </si>
  <si>
    <t>걸황무적 6권</t>
  </si>
  <si>
    <t>ID:1157470687007194</t>
  </si>
  <si>
    <t>ID:3192-9764-4702-70856</t>
  </si>
  <si>
    <t>ID:1199087588984724</t>
  </si>
  <si>
    <t>카레인 1권</t>
  </si>
  <si>
    <t>ID:1182831175384487</t>
  </si>
  <si>
    <t>ID:3154-0057-8690-43802</t>
  </si>
  <si>
    <t>ID:3163-6697-2903-95899</t>
  </si>
  <si>
    <t>ID:3132-3844-5198-01529</t>
  </si>
  <si>
    <t>ID:1152292212604890</t>
  </si>
  <si>
    <t>ID:1170601040875363</t>
  </si>
  <si>
    <t>ID:1121493322703118</t>
  </si>
  <si>
    <t>ID:1179708694332799</t>
  </si>
  <si>
    <t>ID:1162153385969812</t>
  </si>
  <si>
    <t>ID:1191706956674678</t>
  </si>
  <si>
    <t>ID:1107384548162539</t>
  </si>
  <si>
    <t>ID:1146798961327180</t>
  </si>
  <si>
    <t>ID:1106107680761179</t>
  </si>
  <si>
    <t>ID:3119-6536-4231-67834</t>
  </si>
  <si>
    <t>서브공이 메인공수의 첫사랑이어도 괜찮은 건가요? 1권</t>
  </si>
  <si>
    <t>하주인</t>
  </si>
  <si>
    <t>ID:3120-4970-9212-58065</t>
  </si>
  <si>
    <t>ID:3122-9269-6554-60898</t>
  </si>
  <si>
    <t>ID:3174-1213-7774-30382</t>
  </si>
  <si>
    <t>서브공이 메인공수의 첫사랑이어도 괜찮은 건가요? 외전</t>
  </si>
  <si>
    <t>ID:1176391314424977</t>
  </si>
  <si>
    <t>ID:3118-6549-5518-49900</t>
  </si>
  <si>
    <t>ID:1171494615922794</t>
  </si>
  <si>
    <t>ID:1184137724604842</t>
  </si>
  <si>
    <t>ID:3137-9808-4667-16248</t>
  </si>
  <si>
    <t>ID:1172141067967297</t>
  </si>
  <si>
    <t>ID:1100562787674628</t>
  </si>
  <si>
    <t>극악 연쇄간살마로 회귀했다 1권</t>
  </si>
  <si>
    <t>ID:1160100451950621</t>
  </si>
  <si>
    <t>ID:1183656879975731</t>
  </si>
  <si>
    <t>ID:1173685464743116</t>
  </si>
  <si>
    <t>ID:1170514457849544</t>
  </si>
  <si>
    <t>ID:1140423805336505</t>
  </si>
  <si>
    <t>ID:3178-3327-2252-18922</t>
  </si>
  <si>
    <t>ID:1101978867832573</t>
  </si>
  <si>
    <t>ID:1118520184150355</t>
  </si>
  <si>
    <t>ID:1118432429129068</t>
  </si>
  <si>
    <t>ID:1161625550973084</t>
  </si>
  <si>
    <t>ID:3126-9930-4872-37252</t>
  </si>
  <si>
    <t>황금백수 11권</t>
  </si>
  <si>
    <t>ID:1116281168881939</t>
  </si>
  <si>
    <t>ID:1108788686541932</t>
  </si>
  <si>
    <t>ID:1125953695368863</t>
  </si>
  <si>
    <t>ID:3120-3933-0609-57792</t>
  </si>
  <si>
    <t>M녀 조교 8권</t>
  </si>
  <si>
    <t>ID:1138140604530162</t>
  </si>
  <si>
    <t>ID:1195875638145978</t>
  </si>
  <si>
    <t>ID:1111596986210373</t>
  </si>
  <si>
    <t>ID:1109236940639915</t>
  </si>
  <si>
    <t>ID:3192-8443-7928-11567</t>
  </si>
  <si>
    <t>ID:3115-9614-4612-55524</t>
  </si>
  <si>
    <t>ID:1119225192729874</t>
  </si>
  <si>
    <t>ID:1181424896192728</t>
  </si>
  <si>
    <t>ID:1146194989639269</t>
  </si>
  <si>
    <t>ID:1128958299545319</t>
  </si>
  <si>
    <t>ID:1139760186241449</t>
  </si>
  <si>
    <t>ID:3143-8789-7570-59887</t>
  </si>
  <si>
    <t>둔재무적 4권</t>
  </si>
  <si>
    <t>ID:3169-7120-4309-10075</t>
  </si>
  <si>
    <t>ID:1113124774765799</t>
  </si>
  <si>
    <t>ID:1196400132931337</t>
  </si>
  <si>
    <t>ID:1179103346433720</t>
  </si>
  <si>
    <t>ID:1166451769443714</t>
  </si>
  <si>
    <t>ID:1120445574579969</t>
  </si>
  <si>
    <t>플라스틱 먹고 살면 생활비 0원 1권</t>
  </si>
  <si>
    <t>ID:3107-4994-6961-98475</t>
  </si>
  <si>
    <t>ID:3151-1189-5291-29608</t>
  </si>
  <si>
    <t>환상구현자 2권</t>
  </si>
  <si>
    <t>환상구현자 3권</t>
  </si>
  <si>
    <t>ID:1199399507495521</t>
  </si>
  <si>
    <t>ID:3161-9042-8550-72927</t>
  </si>
  <si>
    <t>주식의 신 2권</t>
  </si>
  <si>
    <t>ID:1114088615014065</t>
  </si>
  <si>
    <t>ID:1156516442945409</t>
  </si>
  <si>
    <t>ID:1133701683165306</t>
  </si>
  <si>
    <t>ID:3159-8265-7308-38518</t>
  </si>
  <si>
    <t>슈퍼스타, 누구도 막을 수 없어 !!!!!! 8권</t>
  </si>
  <si>
    <t>ID:1179037510520536</t>
  </si>
  <si>
    <t>ID:3195-3155-4982-92666</t>
  </si>
  <si>
    <t>ID:3192-8095-7819-94188</t>
  </si>
  <si>
    <t>ID:1197622077288716</t>
  </si>
  <si>
    <t>ID:1133155405754110</t>
  </si>
  <si>
    <t>ID:1198083859144335</t>
  </si>
  <si>
    <t>ID:1169152280981521</t>
  </si>
  <si>
    <t>ID:1176070075626684</t>
  </si>
  <si>
    <t>ID:1192427043619660</t>
  </si>
  <si>
    <t>ID:3105-9697-9705-34598</t>
  </si>
  <si>
    <t>남편, 공개수배! 2권</t>
  </si>
  <si>
    <t>ID:1121529790240870</t>
  </si>
  <si>
    <t>ID:3150-0551-8279-56840</t>
  </si>
  <si>
    <t>ID:1103560352070356</t>
  </si>
  <si>
    <t>ID:1192579487001867</t>
  </si>
  <si>
    <t>ID:1184290743664995</t>
  </si>
  <si>
    <t>ID:3161-2515-5359-35307</t>
  </si>
  <si>
    <t>ID:1132385063891563</t>
  </si>
  <si>
    <t>26. 2. 27.</t>
  </si>
  <si>
    <t>ID:1124668442162477</t>
  </si>
  <si>
    <t>ID:3103-2636-0089-10034</t>
  </si>
  <si>
    <t>ID:1143785544650440</t>
  </si>
  <si>
    <t>ID:1154718394140447</t>
  </si>
  <si>
    <t>ID:3192-0441-9936-89838</t>
  </si>
  <si>
    <t>ID:3119-1841-9133-40777</t>
  </si>
  <si>
    <t>ID:1107310174549145</t>
  </si>
  <si>
    <t>ID:1141520426054896</t>
  </si>
  <si>
    <t>ID:1194048516854197</t>
  </si>
  <si>
    <t>ID:3140-2815-8592-90242</t>
  </si>
  <si>
    <t>폭군에게 차이는 10가지 방법 3권</t>
  </si>
  <si>
    <t>폭군에게 차이는 10가지 방법 4권</t>
  </si>
  <si>
    <t>ID:1165511455163601</t>
  </si>
  <si>
    <t>ID:1101112446036765</t>
  </si>
  <si>
    <t>ID:3157-9465-9141-06169</t>
  </si>
  <si>
    <t>ID:1172882943495494</t>
  </si>
  <si>
    <t>ID:1141838907243312</t>
  </si>
  <si>
    <t>ID:1149003387540726</t>
  </si>
  <si>
    <t>ID:1175302976291774</t>
  </si>
  <si>
    <t>ID:1168146138637373</t>
  </si>
  <si>
    <t>ID:3166-9787-8951-03132</t>
  </si>
  <si>
    <t>ID:1183800034865940</t>
  </si>
  <si>
    <t>ID:3103-6877-3474-64419</t>
  </si>
  <si>
    <t>ID:3129-1437-6232-85006</t>
  </si>
  <si>
    <t>ID:3173-7534-6579-30393</t>
  </si>
  <si>
    <t>주식의 신 3권</t>
  </si>
  <si>
    <t>ID:3114-4956-5143-83029</t>
  </si>
  <si>
    <t>효종 16권</t>
  </si>
  <si>
    <t>ID:3160-4647-5897-60016</t>
  </si>
  <si>
    <t>ID:3159-5202-9585-31254</t>
  </si>
  <si>
    <t>ID:1127650367086228</t>
  </si>
  <si>
    <t>ID:1176512598189959</t>
  </si>
  <si>
    <t>ID:1112790519910161</t>
  </si>
  <si>
    <t>PKEY:76615</t>
  </si>
  <si>
    <t>마창1</t>
  </si>
  <si>
    <t>류운</t>
  </si>
  <si>
    <t>ID:1145956362127571</t>
  </si>
  <si>
    <t>ID:1161896769744327</t>
  </si>
  <si>
    <t>빌어먹을 메테오 1권</t>
  </si>
  <si>
    <t>ID:3131-2463-4015-36661</t>
  </si>
  <si>
    <t>ID:3147-8401-8079-21331</t>
  </si>
  <si>
    <t>천마무 2</t>
  </si>
  <si>
    <t>ID:3197-7485-5807-76448</t>
  </si>
  <si>
    <t>광풍의 전사 6권 완결</t>
  </si>
  <si>
    <t>ID:3112-1832-0963-76073</t>
  </si>
  <si>
    <t>ID:3108-5367-5100-85052</t>
  </si>
  <si>
    <t>ID:3199-4935-6397-43393</t>
  </si>
  <si>
    <t>금수저 생활백서 8권</t>
  </si>
  <si>
    <t>ID:1136727270726379</t>
  </si>
  <si>
    <t>ID:1168713217387224</t>
  </si>
  <si>
    <t>ID:1178633039463177</t>
  </si>
  <si>
    <t>ID:1183512272119674</t>
  </si>
  <si>
    <t>ID:1137930827515892</t>
  </si>
  <si>
    <t>PKEY:84716</t>
  </si>
  <si>
    <t>오렌다의 제국 1</t>
  </si>
  <si>
    <t>권우현</t>
  </si>
  <si>
    <t>ID:1171768898355108</t>
  </si>
  <si>
    <t>ID:1151230349505052</t>
  </si>
  <si>
    <t>ID:3121-0547-4410-11269</t>
  </si>
  <si>
    <t>ID:1185469722580947</t>
  </si>
  <si>
    <t>ID:1160309592548241</t>
  </si>
  <si>
    <t>ID:1103148487523045</t>
  </si>
  <si>
    <t>ID:1136010103970478</t>
  </si>
  <si>
    <t>ID:1175116340249865</t>
  </si>
  <si>
    <t>ID:3199-0577-9396-30663</t>
  </si>
  <si>
    <t>신체가 강화됨 11권</t>
  </si>
  <si>
    <t>ID:1100764323102374</t>
  </si>
  <si>
    <t>ID:1158197623005368</t>
  </si>
  <si>
    <t>ID:1148156105042312</t>
  </si>
  <si>
    <t>ID:3171-2350-7121-03908</t>
  </si>
  <si>
    <t>ID:1109248033258631</t>
  </si>
  <si>
    <t>ID:1136658356814753</t>
  </si>
  <si>
    <t>ID:3129-8401-4717-62653</t>
  </si>
  <si>
    <t>ID:1153769835988916</t>
  </si>
  <si>
    <t>ID:1146919334170890</t>
  </si>
  <si>
    <t>ID:3118-4193-2080-78294</t>
  </si>
  <si>
    <t>ID:1157917437385829</t>
  </si>
  <si>
    <t>ID:1120827465706387</t>
  </si>
  <si>
    <t>ID:1174095795801045</t>
  </si>
  <si>
    <t>ID:1117834554716846</t>
  </si>
  <si>
    <t>ID:1140806846057256</t>
  </si>
  <si>
    <t>[BL] 실버 애플 1권</t>
  </si>
  <si>
    <t>찬사</t>
  </si>
  <si>
    <t>ID:1177961260888852</t>
  </si>
  <si>
    <t>ID:1185978101940274</t>
  </si>
  <si>
    <t>[BL] 여름 이야기 1권</t>
  </si>
  <si>
    <t>우주</t>
  </si>
  <si>
    <t>ID:1141022350525488</t>
  </si>
  <si>
    <t>ID:1122340086654930</t>
  </si>
  <si>
    <t>ID:3177-7445-9721-35462</t>
  </si>
  <si>
    <t>24/7 2권</t>
  </si>
  <si>
    <t>ID:1102162115288848</t>
  </si>
  <si>
    <t>ID:1155632651681067</t>
  </si>
  <si>
    <t>ID:1104493500139085</t>
  </si>
  <si>
    <t>ID:1193797937405452</t>
  </si>
  <si>
    <t>ID:3140-5506-1190-26713</t>
  </si>
  <si>
    <t>ID:1108553699068497</t>
  </si>
  <si>
    <t>PKEY:90311</t>
  </si>
  <si>
    <t>천추공자 1</t>
  </si>
  <si>
    <t>ID:1166421124891962</t>
  </si>
  <si>
    <t>[19금] 시간 여행자 1권</t>
  </si>
  <si>
    <t>Tove</t>
  </si>
  <si>
    <t>ID:3169-6969-1038-98397</t>
  </si>
  <si>
    <t>주식의 신 4권</t>
  </si>
  <si>
    <t>ID:1101760223136774</t>
  </si>
  <si>
    <t>ID:1179076803903810</t>
  </si>
  <si>
    <t>ID:3172-3295-1527-16177</t>
  </si>
  <si>
    <t>ID:1171756803249235</t>
  </si>
  <si>
    <t>ID:1195393990698472</t>
  </si>
  <si>
    <t>ID:3124-8363-6382-14239</t>
  </si>
  <si>
    <t>ID:1142576686686435</t>
  </si>
  <si>
    <t>ID:1199282586856861</t>
  </si>
  <si>
    <t>ID:1119789668317847</t>
  </si>
  <si>
    <t>ID:3119-2221-0058-67784</t>
  </si>
  <si>
    <t>ID:1187801557840335</t>
  </si>
  <si>
    <t>ID:3190-1052-4462-95428</t>
  </si>
  <si>
    <t>후원에 핀 제비꽃 4권</t>
  </si>
  <si>
    <t>ID:3112-8037-3804-19002</t>
  </si>
  <si>
    <t>후원에 핀 제비꽃 5권</t>
  </si>
  <si>
    <t>ID:1126419842950806</t>
  </si>
  <si>
    <t>ID:1184118572779396</t>
  </si>
  <si>
    <t>ID:3182-3363-7745-96243</t>
  </si>
  <si>
    <t>ID:3193-0151-3552-42179</t>
  </si>
  <si>
    <t>신풍기협(神風奇俠) 10권</t>
  </si>
  <si>
    <t>ID:1121696424695535</t>
  </si>
  <si>
    <t>ID:1188867415117338</t>
  </si>
  <si>
    <t>ID:1131688636448102</t>
  </si>
  <si>
    <t>ID:3126-0149-1634-74754</t>
  </si>
  <si>
    <t>ID:1187125351513976</t>
  </si>
  <si>
    <t>ID:1115774659071207</t>
  </si>
  <si>
    <t>ID:3111-9876-7561-47789</t>
  </si>
  <si>
    <t>ID:1127597681103377</t>
  </si>
  <si>
    <t>ID:1186131466980293</t>
  </si>
  <si>
    <t>ID:3123-8152-0413-27411</t>
  </si>
  <si>
    <t>주식의 신 5권</t>
  </si>
  <si>
    <t>ID:1168234427612593</t>
  </si>
  <si>
    <t>ID:1195680348397278</t>
  </si>
  <si>
    <t>ID:1105552623761894</t>
  </si>
  <si>
    <t>ID:1166003146129578</t>
  </si>
  <si>
    <t>ID:3115-8069-0930-86261</t>
  </si>
  <si>
    <t>ID:3130-3132-7692-63751</t>
  </si>
  <si>
    <t>ID:3154-5659-8486-36195</t>
  </si>
  <si>
    <t>대마불사 4권</t>
  </si>
  <si>
    <t>ID:1182986949421677</t>
  </si>
  <si>
    <t>ID:1191442918004550</t>
  </si>
  <si>
    <t>ID:1141064680148058</t>
  </si>
  <si>
    <t>ID:3109-7910-1295-52454</t>
  </si>
  <si>
    <t>ID:1190382891843046</t>
  </si>
  <si>
    <t>ID:1139138060097512</t>
  </si>
  <si>
    <t>NI</t>
  </si>
  <si>
    <t>ID:1183620227325959</t>
  </si>
  <si>
    <t>ID:1188362170938625</t>
  </si>
  <si>
    <t>ID:1170977076297186</t>
  </si>
  <si>
    <t>ID:3197-8254-9874-54712</t>
  </si>
  <si>
    <t>ID:3125-1661-7088-82974</t>
  </si>
  <si>
    <t>슈퍼스타, 누구도 막을 수 없어 !!!!!! 9권</t>
  </si>
  <si>
    <t>ID:1118027076484594</t>
  </si>
  <si>
    <t>ID:3100-5959-5400-91282</t>
  </si>
  <si>
    <t>ID:1145976797730290</t>
  </si>
  <si>
    <t>ID:3188-6674-8384-80714</t>
  </si>
  <si>
    <t>ID:1147655448417508</t>
  </si>
  <si>
    <t>ID:1198302294374931</t>
  </si>
  <si>
    <t>ID:3130-2538-5729-61592</t>
  </si>
  <si>
    <t>ID:1185529936849007</t>
  </si>
  <si>
    <t>ID:1125560503298434</t>
  </si>
  <si>
    <t>ID:1152990921405942</t>
  </si>
  <si>
    <t>ID:1180825738535295</t>
  </si>
  <si>
    <t>ID:3144-0673-1853-23200</t>
  </si>
  <si>
    <t>ID:3133-9898-8549-33534</t>
  </si>
  <si>
    <t>ID:1100416677313160</t>
  </si>
  <si>
    <t>ID:3111-8267-9074-64217</t>
  </si>
  <si>
    <t>환상구현자 4권</t>
  </si>
  <si>
    <t>환상구현자 5권</t>
  </si>
  <si>
    <t>ID:1199146058030513</t>
  </si>
  <si>
    <t>ID:3130-0806-8798-61455</t>
  </si>
  <si>
    <t>주식의 신 6권</t>
  </si>
  <si>
    <t>ID:1111441691325102</t>
  </si>
  <si>
    <t>ID:1165663305951056</t>
  </si>
  <si>
    <t>ID:3147-3273-3628-57816</t>
  </si>
  <si>
    <t>전설신검 3권</t>
  </si>
  <si>
    <t>ID:1189763303578845</t>
  </si>
  <si>
    <t>ID:3147-1896-9080-24498</t>
  </si>
  <si>
    <t>ID:1123959970675265</t>
  </si>
  <si>
    <t>ID:1157286169869426</t>
  </si>
  <si>
    <t>ID:1117539629281651</t>
  </si>
  <si>
    <t>ID:1118093979526536</t>
  </si>
  <si>
    <t>ID:1146581695711589</t>
  </si>
  <si>
    <t>ID:1156220857136830</t>
  </si>
  <si>
    <t>26. 2. 28.</t>
  </si>
  <si>
    <t>ID:1198088811150513</t>
  </si>
  <si>
    <t>ID:1108167882085877</t>
  </si>
  <si>
    <t>ID:1100697489617866</t>
  </si>
  <si>
    <t>ID:1165573840197506</t>
  </si>
  <si>
    <t>ID:1123143655644845</t>
  </si>
  <si>
    <t>ID:1186578410953032</t>
  </si>
  <si>
    <t>ID:1131135526681876</t>
  </si>
  <si>
    <t>ID:1156556653862886</t>
  </si>
  <si>
    <t>ID:1190249067937616</t>
  </si>
  <si>
    <t>ID:1196178543009484</t>
  </si>
  <si>
    <t>ID:1116301047310437</t>
  </si>
  <si>
    <t>ID:3188-9425-7108-82371</t>
  </si>
  <si>
    <t>PKEY:31050</t>
  </si>
  <si>
    <t>추야우색혼검 제1권</t>
  </si>
  <si>
    <t>ID:1160865199873267</t>
  </si>
  <si>
    <t>ID:3138-1272-2220-19186</t>
  </si>
  <si>
    <t>삼절지존(三絶至尊) 1권</t>
  </si>
  <si>
    <t>삼절지존(三絶至尊) 2권</t>
  </si>
  <si>
    <t>삼절지존(三絶至尊) 3권</t>
  </si>
  <si>
    <t>삼절지존(三絶至尊) 4권 (완결)</t>
  </si>
  <si>
    <t>ID:1112630069328591</t>
  </si>
  <si>
    <t>ID:1160940511116082</t>
  </si>
  <si>
    <t>ID:1138750200559257</t>
  </si>
  <si>
    <t>ID:1147432192356620</t>
  </si>
  <si>
    <t>ID:1179047661868382</t>
  </si>
  <si>
    <t>ID:1192898969789814</t>
  </si>
  <si>
    <t>ID:1185890091062927</t>
  </si>
  <si>
    <t>ID:1152166167694949</t>
  </si>
  <si>
    <t>ID:1144968496489619</t>
  </si>
  <si>
    <t>ID:1154690303845613</t>
  </si>
  <si>
    <t>ID:1107208871597619</t>
  </si>
  <si>
    <t>ID:1103037703174266</t>
  </si>
  <si>
    <t>ID:1130342697454132</t>
  </si>
  <si>
    <t>ID:1196122288138236</t>
  </si>
  <si>
    <t>ID:1121873171389540</t>
  </si>
  <si>
    <t>ID:1101142634954020</t>
  </si>
  <si>
    <t>ID:1165304522669414</t>
  </si>
  <si>
    <t>ID:1163048468154309</t>
  </si>
  <si>
    <t>ID:1150706252214558</t>
  </si>
  <si>
    <t>ID:1187222392892514</t>
  </si>
  <si>
    <t>ID:3151-2342-6607-55671</t>
  </si>
  <si>
    <t>ID:3114-5359-0443-93703</t>
  </si>
  <si>
    <t>황금백수 12권</t>
  </si>
  <si>
    <t>ID:1169286746320753</t>
  </si>
  <si>
    <t>ID:1102121264396323</t>
  </si>
  <si>
    <t>PKEY:92218</t>
  </si>
  <si>
    <t>지옥파천황 1</t>
  </si>
  <si>
    <t>ID:3194-8969-7378-49560</t>
  </si>
  <si>
    <t>금수저 생활백서 9권</t>
  </si>
  <si>
    <t>ID:1184374359337098</t>
  </si>
  <si>
    <t>ID:3112-9852-1717-39569</t>
  </si>
  <si>
    <t>19금 피폐 역하렘 게임의 여주인공이 되었다! 2권</t>
  </si>
  <si>
    <t>ID:3165-2237-4404-94970</t>
  </si>
  <si>
    <t>전설신검 4권</t>
  </si>
  <si>
    <t>ID:1170809032905130</t>
  </si>
  <si>
    <t>ID:1166480153825100</t>
  </si>
  <si>
    <t>ID:1178667150778062</t>
  </si>
  <si>
    <t>ID:1162188162042464</t>
  </si>
  <si>
    <t>ID:3154-7097-2576-75973</t>
  </si>
  <si>
    <t>후원에 핀 제비꽃 6권</t>
  </si>
  <si>
    <t>ID:1181573534106086</t>
  </si>
  <si>
    <t>ID:3101-6780-5445-57447</t>
  </si>
  <si>
    <t>다시 태어난 야구 천재 6권</t>
  </si>
  <si>
    <t>ID:3118-2168-1540-93075</t>
  </si>
  <si>
    <t>슈퍼스타, 누구도 막을 수 없어 !!!!!! 10권</t>
  </si>
  <si>
    <t>ID:1185512012120115</t>
  </si>
  <si>
    <t>ID:1126873410948616</t>
  </si>
  <si>
    <t>ID:1185673778444717</t>
  </si>
  <si>
    <t>ID:3161-8136-4799-43098</t>
  </si>
  <si>
    <t>ID:1120122729263228</t>
  </si>
  <si>
    <t>ID:1128560415803325</t>
  </si>
  <si>
    <t>ID:3176-5918-9447-85847</t>
  </si>
  <si>
    <t>타이거맨 2권</t>
  </si>
  <si>
    <t>타이거맨 3권</t>
  </si>
  <si>
    <t>타이거맨 4권</t>
  </si>
  <si>
    <t>타이거맨 5권</t>
  </si>
  <si>
    <t>타이거맨 6권</t>
  </si>
  <si>
    <t>타이거맨 7권</t>
  </si>
  <si>
    <t>타이거맨 8권 완결</t>
  </si>
  <si>
    <t>ID:1108056015363846</t>
  </si>
  <si>
    <t>ID:1199399480874670</t>
  </si>
  <si>
    <t>ID:1176855438143333</t>
  </si>
  <si>
    <t>ID:3192-5509-2780-57310</t>
  </si>
  <si>
    <t>걸황무적 7권</t>
  </si>
  <si>
    <t>ID:1197459077266872</t>
  </si>
  <si>
    <t>ID:1167573976938846</t>
  </si>
  <si>
    <t>ID:1144796182149124</t>
  </si>
  <si>
    <t>ID:3158-1858-6495-67919</t>
  </si>
  <si>
    <t>ID:1192587115011886</t>
  </si>
  <si>
    <t>ID:1123181303007764</t>
  </si>
  <si>
    <t>ID:1188949455911115</t>
  </si>
  <si>
    <t>ID:1109955450924013</t>
  </si>
  <si>
    <t>ID:1170207538032468</t>
  </si>
  <si>
    <t>ID:1148830952177635</t>
  </si>
  <si>
    <t>ID:3172-3652-8473-44332</t>
  </si>
  <si>
    <t>태양전기 2권</t>
  </si>
  <si>
    <t>ID:1185057124456159</t>
  </si>
  <si>
    <t>ID:1196249893401187</t>
  </si>
  <si>
    <t>ID:1181738074600860</t>
  </si>
  <si>
    <t>ID:1137626606352450</t>
  </si>
  <si>
    <t>ID:1155156978774890</t>
  </si>
  <si>
    <t>PKEY:76527</t>
  </si>
  <si>
    <t>이매전사 1</t>
  </si>
  <si>
    <t>ID:1149965294277580</t>
  </si>
  <si>
    <t>ID:1180750835569113</t>
  </si>
  <si>
    <t>ID:1102447141672038</t>
  </si>
  <si>
    <t>PYG</t>
  </si>
  <si>
    <t>PY</t>
  </si>
  <si>
    <t>ID:1124239285701016</t>
  </si>
  <si>
    <t>ID:1124296631808389</t>
  </si>
  <si>
    <t>ID:3112-5473-4469-33227</t>
  </si>
  <si>
    <t>ID:1125296238114598</t>
  </si>
  <si>
    <t>ID:1185699282097733</t>
  </si>
  <si>
    <t>ID:1170926460251189</t>
  </si>
  <si>
    <t>ID:1147232396375732</t>
  </si>
  <si>
    <t>ID:1169326715586942</t>
  </si>
  <si>
    <t>ID:1172729832156338</t>
  </si>
  <si>
    <t>ID:3126-4516-5936-55312</t>
  </si>
  <si>
    <t>ID:1190731798772767</t>
  </si>
  <si>
    <t>ID:3159-5997-0220-30391</t>
  </si>
  <si>
    <t>군신 제1권</t>
  </si>
  <si>
    <t>ID:3180-8976-6298-84780</t>
  </si>
  <si>
    <t>ID:1190772877181698</t>
  </si>
  <si>
    <t>ID:3195-9072-3429-07491</t>
  </si>
  <si>
    <t>ID:1184909717420278</t>
  </si>
  <si>
    <t>ID:1138120295475216</t>
  </si>
  <si>
    <t>ID:1182669186436366</t>
  </si>
  <si>
    <t>ID:1186981239068691</t>
  </si>
  <si>
    <t>ID:1128389602935150</t>
  </si>
  <si>
    <t>ID:1136467638917209</t>
  </si>
  <si>
    <t>ID:1151169932525980</t>
  </si>
  <si>
    <t>ID:3179-7723-7953-64243</t>
  </si>
  <si>
    <t>ID:3175-3449-9396-38758</t>
  </si>
  <si>
    <t>ID:1114986430728604</t>
  </si>
  <si>
    <t>ID:1124794243926855</t>
  </si>
  <si>
    <t>ID:1185490772564556</t>
  </si>
  <si>
    <t>ID:1162773484655180</t>
  </si>
  <si>
    <t>ID:1161156052905220</t>
  </si>
  <si>
    <t>ID:3192-1436-3239-41115</t>
  </si>
  <si>
    <t>태양전기 3권</t>
  </si>
  <si>
    <t>ID:3140-8923-0696-86441</t>
  </si>
  <si>
    <t>ID:1133601332107190</t>
  </si>
  <si>
    <t>ID:3101-3872-9798-94627</t>
  </si>
  <si>
    <t>ID:1137518162673162</t>
  </si>
  <si>
    <t>ID:1149921851319429</t>
  </si>
  <si>
    <t>메탈헌터 1권</t>
  </si>
  <si>
    <t>와이번스</t>
  </si>
  <si>
    <t>ID:3164-8163-9093-14528</t>
  </si>
  <si>
    <t>내 나이 90살에 회귀라니! 3권</t>
  </si>
  <si>
    <t>ID:3141-9212-0792-82051</t>
  </si>
  <si>
    <t>ID:1121980249441955</t>
  </si>
  <si>
    <t>ID:3112-7305-3026-57370</t>
  </si>
  <si>
    <t>ID:1116187428682116</t>
  </si>
  <si>
    <t>ID:1161307082931262</t>
  </si>
  <si>
    <t>ID:1172764626204803</t>
  </si>
  <si>
    <t>ID:1167072292249909</t>
  </si>
  <si>
    <t>ID:3106-2008-9621-39413</t>
  </si>
  <si>
    <t>PKEY:77503</t>
  </si>
  <si>
    <t>북두천왕(北斗天王)1</t>
  </si>
  <si>
    <t>PKEY:77504</t>
  </si>
  <si>
    <t>북두천왕(北斗天王)2</t>
  </si>
  <si>
    <t>PKEY:77505</t>
  </si>
  <si>
    <t>북두천왕(北斗天王)3 완결</t>
  </si>
  <si>
    <t>ID:3158-9727-4204-22489</t>
  </si>
  <si>
    <t>전설신검 7권</t>
  </si>
  <si>
    <t>ID:1180783952907697</t>
  </si>
  <si>
    <t>ID:1129521727171212</t>
  </si>
  <si>
    <t>ID:1163368010913433</t>
  </si>
  <si>
    <t>ID:1134914088573457</t>
  </si>
  <si>
    <t>ID:1161568944049560</t>
  </si>
  <si>
    <t>ID:1178465023432248</t>
  </si>
  <si>
    <t>ID:1105513158892525</t>
  </si>
  <si>
    <t>ID:1173789167184012</t>
  </si>
  <si>
    <t>ID:1186758057963493</t>
  </si>
  <si>
    <t>ID:1170238992777555</t>
  </si>
  <si>
    <t>ID:1145654941529243</t>
  </si>
  <si>
    <t>ID:1144420852281216</t>
  </si>
  <si>
    <t>ID:1142453395467488</t>
  </si>
  <si>
    <t>담당팀</t>
    <phoneticPr fontId="18" type="noConversion"/>
  </si>
  <si>
    <t>미국 원천징수세</t>
    <phoneticPr fontId="18" type="noConversion"/>
  </si>
  <si>
    <t>법인세 차감 후 금액</t>
    <phoneticPr fontId="18" type="noConversion"/>
  </si>
  <si>
    <t>WHT</t>
    <phoneticPr fontId="18" type="noConversion"/>
  </si>
  <si>
    <t>최종지불액</t>
    <phoneticPr fontId="18" type="noConversion"/>
  </si>
  <si>
    <t>정산기준액</t>
    <phoneticPr fontId="18" type="noConversion"/>
  </si>
  <si>
    <t>당사매출액</t>
    <phoneticPr fontId="18" type="noConversion"/>
  </si>
  <si>
    <t>소설1팀</t>
    <phoneticPr fontId="18" type="noConversion"/>
  </si>
  <si>
    <t>소설2팀</t>
    <phoneticPr fontId="18" type="noConversion"/>
  </si>
  <si>
    <t>법인세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</si>
</sst>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indexed="81"/>
      <name val="돋움"/>
      <family val="3"/>
      <charset val="129"/>
    </font>
    <font>
      <sz val="9"/>
      <color indexed="81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3" fontId="0" fillId="0" borderId="0" xfId="0" applyNumberFormat="1">
      <alignment vertical="center"/>
    </xf>
    <xf numFmtId="10" fontId="0" fillId="0" borderId="0" xfId="0" applyNumberFormat="1">
      <alignment vertical="center"/>
    </xf>
    <xf numFmtId="4" fontId="0" fillId="0" borderId="0" xfId="0" applyNumberFormat="1">
      <alignment vertical="center"/>
    </xf>
    <xf numFmtId="0" fontId="0" fillId="33" borderId="0" xfId="0" applyFill="1">
      <alignment vertical="center"/>
    </xf>
    <xf numFmtId="41" fontId="0" fillId="33" borderId="0" xfId="42" applyFont="1" applyFill="1">
      <alignment vertical="center"/>
    </xf>
    <xf numFmtId="41" fontId="0" fillId="0" borderId="0" xfId="42" applyFont="1">
      <alignment vertical="center"/>
    </xf>
    <xf numFmtId="0" fontId="0" fillId="34" borderId="10" xfId="0" applyFill="1" applyBorder="1" applyAlignment="1">
      <alignment horizontal="center" vertical="center"/>
    </xf>
    <xf numFmtId="41" fontId="0" fillId="0" borderId="10" xfId="42" applyFont="1" applyBorder="1">
      <alignment vertical="center"/>
    </xf>
    <xf numFmtId="41" fontId="0" fillId="0" borderId="0" xfId="0" applyNumberFormat="1">
      <alignment vertical="center"/>
    </xf>
    <xf numFmtId="0" fontId="19" fillId="35" borderId="0" xfId="0" applyFont="1" applyFill="1">
      <alignment vertical="center"/>
    </xf>
    <xf numFmtId="0" fontId="19" fillId="0" borderId="0" xfId="0" applyFon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47588;&#54609;/&#44396;&#44544;/&#48277;&#51064;&#49464;/2025&#45380;%201&#50900;%20&#44396;&#44544;%20&#51221;&#49328;&#49345;&#4946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oogleSalesTransactionReport"/>
      <sheetName val="팀별 출판사"/>
    </sheetNames>
    <sheetDataSet>
      <sheetData sheetId="0"/>
      <sheetData sheetId="1">
        <row r="1">
          <cell r="A1" t="str">
            <v>출판사</v>
          </cell>
          <cell r="B1" t="str">
            <v>담당팀</v>
          </cell>
        </row>
        <row r="2">
          <cell r="A2" t="str">
            <v>B&amp;M</v>
          </cell>
          <cell r="B2" t="str">
            <v>소설1팀</v>
          </cell>
        </row>
        <row r="3">
          <cell r="A3" t="str">
            <v>바로북</v>
          </cell>
          <cell r="B3" t="str">
            <v>소설1팀</v>
          </cell>
        </row>
        <row r="4">
          <cell r="A4" t="str">
            <v>올나이트노벨</v>
          </cell>
          <cell r="B4" t="str">
            <v>소설1팀</v>
          </cell>
        </row>
        <row r="5">
          <cell r="A5" t="str">
            <v>포텐</v>
          </cell>
          <cell r="B5" t="str">
            <v>소설1팀</v>
          </cell>
        </row>
        <row r="6">
          <cell r="A6" t="str">
            <v>프로무림</v>
          </cell>
          <cell r="B6" t="str">
            <v>소설1팀</v>
          </cell>
        </row>
        <row r="7">
          <cell r="A7" t="str">
            <v>현나라</v>
          </cell>
          <cell r="B7" t="str">
            <v>소설1팀</v>
          </cell>
        </row>
        <row r="8">
          <cell r="A8" t="str">
            <v>러브홀릭</v>
          </cell>
          <cell r="B8" t="str">
            <v>소설2팀</v>
          </cell>
        </row>
        <row r="9">
          <cell r="A9" t="str">
            <v>본레로</v>
          </cell>
          <cell r="B9" t="str">
            <v>소설2팀</v>
          </cell>
        </row>
        <row r="10">
          <cell r="A10" t="str">
            <v>블루브</v>
          </cell>
          <cell r="B10" t="str">
            <v>소설2팀</v>
          </cell>
        </row>
        <row r="11">
          <cell r="A11" t="str">
            <v>오드아이</v>
          </cell>
          <cell r="B11" t="str">
            <v>소설2팀</v>
          </cell>
        </row>
        <row r="12">
          <cell r="A12" t="str">
            <v>프리즘</v>
          </cell>
          <cell r="B12" t="str">
            <v>소설2팀</v>
          </cell>
        </row>
        <row r="13">
          <cell r="A13" t="str">
            <v>플랫뷰</v>
          </cell>
          <cell r="B13" t="str">
            <v>소설2팀</v>
          </cell>
        </row>
        <row r="14">
          <cell r="A14" t="str">
            <v>키다리스튜디오</v>
          </cell>
          <cell r="B14" t="str">
            <v>소설1팀</v>
          </cell>
        </row>
        <row r="15">
          <cell r="A15" t="str">
            <v>아이작가</v>
          </cell>
          <cell r="B15" t="str">
            <v>소설1팀</v>
          </cell>
        </row>
        <row r="16">
          <cell r="A16" t="str">
            <v xml:space="preserve">B&amp;M   </v>
          </cell>
          <cell r="B16" t="str">
            <v>소설2팀</v>
          </cell>
        </row>
        <row r="17">
          <cell r="A17" t="str">
            <v>스칼렛</v>
          </cell>
          <cell r="B17" t="str">
            <v>소설2팀</v>
          </cell>
        </row>
        <row r="18">
          <cell r="A18" t="str">
            <v>씩(Sick)</v>
          </cell>
          <cell r="B18" t="str">
            <v>소설2팀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6660"/>
  <sheetViews>
    <sheetView tabSelected="1" topLeftCell="G1" workbookViewId="0">
      <selection activeCell="X12" sqref="X12"/>
    </sheetView>
  </sheetViews>
  <sheetFormatPr defaultRowHeight="16.5" x14ac:dyDescent="0.3"/>
  <cols>
    <col min="22" max="22" width="9.125" bestFit="1" customWidth="1"/>
    <col min="23" max="23" width="17.875" style="6" bestFit="1" customWidth="1"/>
    <col min="24" max="24" width="21.25" style="6" bestFit="1" customWidth="1"/>
    <col min="26" max="26" width="10.875" bestFit="1" customWidth="1"/>
    <col min="27" max="28" width="11.2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4" t="s">
        <v>5902</v>
      </c>
      <c r="W1" s="5" t="s">
        <v>5903</v>
      </c>
      <c r="X1" s="5" t="s">
        <v>5904</v>
      </c>
    </row>
    <row r="2" spans="1:28" x14ac:dyDescent="0.3">
      <c r="A2" t="s">
        <v>21</v>
      </c>
      <c r="B2" t="s">
        <v>22</v>
      </c>
      <c r="C2" t="s">
        <v>23</v>
      </c>
      <c r="D2" t="s">
        <v>24</v>
      </c>
      <c r="E2" t="s">
        <v>25</v>
      </c>
      <c r="F2">
        <v>1</v>
      </c>
      <c r="G2">
        <v>9791136946867</v>
      </c>
      <c r="H2" t="s">
        <v>26</v>
      </c>
      <c r="I2" t="s">
        <v>27</v>
      </c>
      <c r="J2" t="s">
        <v>28</v>
      </c>
      <c r="K2" t="s">
        <v>29</v>
      </c>
      <c r="L2" s="1">
        <v>3200</v>
      </c>
      <c r="M2" t="s">
        <v>29</v>
      </c>
      <c r="N2" s="1">
        <v>3200</v>
      </c>
      <c r="O2" s="1">
        <v>3200</v>
      </c>
      <c r="P2" t="s">
        <v>30</v>
      </c>
      <c r="Q2" s="2">
        <v>0.7</v>
      </c>
      <c r="R2" s="1">
        <v>2240</v>
      </c>
      <c r="S2" t="s">
        <v>29</v>
      </c>
      <c r="T2" s="1">
        <v>2240</v>
      </c>
      <c r="V2" t="str">
        <f>VLOOKUP(H2,'[1]팀별 출판사'!A:B,2,0)</f>
        <v>소설1팀</v>
      </c>
      <c r="W2" s="6">
        <f t="shared" ref="W2:W65" si="0">IF(P2="US", T2*30%, 0)</f>
        <v>0</v>
      </c>
      <c r="X2" s="6">
        <f t="shared" ref="X2:X65" si="1">T2-W2</f>
        <v>2240</v>
      </c>
      <c r="Z2" s="7" t="s">
        <v>5905</v>
      </c>
      <c r="AA2" s="7" t="s">
        <v>5906</v>
      </c>
    </row>
    <row r="3" spans="1:28" x14ac:dyDescent="0.3">
      <c r="A3" t="s">
        <v>21</v>
      </c>
      <c r="B3" t="s">
        <v>31</v>
      </c>
      <c r="C3" t="s">
        <v>23</v>
      </c>
      <c r="D3" t="s">
        <v>24</v>
      </c>
      <c r="E3" t="s">
        <v>25</v>
      </c>
      <c r="F3">
        <v>1</v>
      </c>
      <c r="G3">
        <v>9791136930361</v>
      </c>
      <c r="H3" t="s">
        <v>32</v>
      </c>
      <c r="I3" t="s">
        <v>33</v>
      </c>
      <c r="J3" t="s">
        <v>34</v>
      </c>
      <c r="K3" t="s">
        <v>29</v>
      </c>
      <c r="L3">
        <v>0</v>
      </c>
      <c r="M3" t="s">
        <v>29</v>
      </c>
      <c r="N3">
        <v>0</v>
      </c>
      <c r="O3">
        <v>0</v>
      </c>
      <c r="P3" t="s">
        <v>30</v>
      </c>
      <c r="Q3" s="2">
        <v>0.7</v>
      </c>
      <c r="R3">
        <v>0</v>
      </c>
      <c r="V3" t="str">
        <f>VLOOKUP(H3,'[1]팀별 출판사'!A:B,2,0)</f>
        <v>소설1팀</v>
      </c>
      <c r="W3" s="6">
        <f t="shared" si="0"/>
        <v>0</v>
      </c>
      <c r="X3" s="6">
        <f t="shared" si="1"/>
        <v>0</v>
      </c>
      <c r="Z3" s="8">
        <f>ROUND(SUMIF($P:$P,"US",$T:$T)*30%,)</f>
        <v>93826</v>
      </c>
      <c r="AA3" s="8">
        <f>SUM($T:$T)-Z3</f>
        <v>2987067</v>
      </c>
    </row>
    <row r="4" spans="1:28" x14ac:dyDescent="0.3">
      <c r="A4" t="s">
        <v>21</v>
      </c>
      <c r="B4" t="s">
        <v>35</v>
      </c>
      <c r="C4" t="s">
        <v>23</v>
      </c>
      <c r="D4" t="s">
        <v>24</v>
      </c>
      <c r="E4" t="s">
        <v>25</v>
      </c>
      <c r="F4">
        <v>1</v>
      </c>
      <c r="G4">
        <v>9791136927248</v>
      </c>
      <c r="H4" t="s">
        <v>36</v>
      </c>
      <c r="I4" t="s">
        <v>37</v>
      </c>
      <c r="J4" t="s">
        <v>38</v>
      </c>
      <c r="K4" t="s">
        <v>29</v>
      </c>
      <c r="L4" s="1">
        <v>3300</v>
      </c>
      <c r="M4" t="s">
        <v>39</v>
      </c>
      <c r="N4">
        <v>2.08</v>
      </c>
      <c r="O4">
        <v>1.94</v>
      </c>
      <c r="P4" t="s">
        <v>40</v>
      </c>
      <c r="Q4" s="2">
        <v>0.7</v>
      </c>
      <c r="R4">
        <v>1.36</v>
      </c>
      <c r="S4" t="s">
        <v>29</v>
      </c>
      <c r="T4" s="1">
        <v>2328</v>
      </c>
      <c r="U4" s="3">
        <v>1715.52315</v>
      </c>
      <c r="V4" t="str">
        <f>VLOOKUP(H4,'[1]팀별 출판사'!A:B,2,0)</f>
        <v>소설2팀</v>
      </c>
      <c r="W4" s="6">
        <f t="shared" si="0"/>
        <v>0</v>
      </c>
      <c r="X4" s="6">
        <f t="shared" si="1"/>
        <v>2328</v>
      </c>
      <c r="Z4" s="9">
        <f>AA9-Z3</f>
        <v>2987067</v>
      </c>
    </row>
    <row r="5" spans="1:28" x14ac:dyDescent="0.3">
      <c r="A5" t="s">
        <v>21</v>
      </c>
      <c r="B5" t="s">
        <v>41</v>
      </c>
      <c r="C5" t="s">
        <v>23</v>
      </c>
      <c r="D5" t="s">
        <v>24</v>
      </c>
      <c r="E5" t="s">
        <v>25</v>
      </c>
      <c r="F5">
        <v>1</v>
      </c>
      <c r="G5">
        <v>9791133140954</v>
      </c>
      <c r="H5" t="s">
        <v>32</v>
      </c>
      <c r="I5" t="s">
        <v>42</v>
      </c>
      <c r="J5" t="s">
        <v>43</v>
      </c>
      <c r="K5" t="s">
        <v>29</v>
      </c>
      <c r="L5">
        <v>0</v>
      </c>
      <c r="M5" t="s">
        <v>29</v>
      </c>
      <c r="N5">
        <v>0</v>
      </c>
      <c r="O5">
        <v>0</v>
      </c>
      <c r="P5" t="s">
        <v>30</v>
      </c>
      <c r="Q5" s="2">
        <v>0.7</v>
      </c>
      <c r="R5">
        <v>0</v>
      </c>
      <c r="V5" t="str">
        <f>VLOOKUP(H5,'[1]팀별 출판사'!A:B,2,0)</f>
        <v>소설1팀</v>
      </c>
      <c r="W5" s="6">
        <f t="shared" si="0"/>
        <v>0</v>
      </c>
      <c r="X5" s="6">
        <f t="shared" si="1"/>
        <v>0</v>
      </c>
    </row>
    <row r="6" spans="1:28" x14ac:dyDescent="0.3">
      <c r="A6" t="s">
        <v>21</v>
      </c>
      <c r="B6" t="s">
        <v>44</v>
      </c>
      <c r="C6" t="s">
        <v>23</v>
      </c>
      <c r="D6" t="s">
        <v>24</v>
      </c>
      <c r="E6" t="s">
        <v>25</v>
      </c>
      <c r="F6">
        <v>1</v>
      </c>
      <c r="G6">
        <v>9791136930552</v>
      </c>
      <c r="H6" t="s">
        <v>26</v>
      </c>
      <c r="I6" t="s">
        <v>45</v>
      </c>
      <c r="J6" t="s">
        <v>46</v>
      </c>
      <c r="K6" t="s">
        <v>29</v>
      </c>
      <c r="L6">
        <v>0</v>
      </c>
      <c r="M6" t="s">
        <v>47</v>
      </c>
      <c r="N6">
        <v>0</v>
      </c>
      <c r="O6">
        <v>0</v>
      </c>
      <c r="P6" t="s">
        <v>48</v>
      </c>
      <c r="Q6" s="2">
        <v>0.7</v>
      </c>
      <c r="R6">
        <v>0</v>
      </c>
      <c r="V6" t="str">
        <f>VLOOKUP(H6,'[1]팀별 출판사'!A:B,2,0)</f>
        <v>소설1팀</v>
      </c>
      <c r="W6" s="6">
        <f t="shared" si="0"/>
        <v>0</v>
      </c>
      <c r="X6" s="6">
        <f t="shared" si="1"/>
        <v>0</v>
      </c>
    </row>
    <row r="7" spans="1:28" x14ac:dyDescent="0.3">
      <c r="A7" t="s">
        <v>21</v>
      </c>
      <c r="B7" t="s">
        <v>49</v>
      </c>
      <c r="C7" t="s">
        <v>23</v>
      </c>
      <c r="D7" t="s">
        <v>24</v>
      </c>
      <c r="E7" t="s">
        <v>25</v>
      </c>
      <c r="F7">
        <v>1</v>
      </c>
      <c r="G7">
        <v>9791133102846</v>
      </c>
      <c r="H7" t="s">
        <v>32</v>
      </c>
      <c r="I7" t="s">
        <v>50</v>
      </c>
      <c r="J7" t="s">
        <v>51</v>
      </c>
      <c r="K7" t="s">
        <v>29</v>
      </c>
      <c r="L7">
        <v>0</v>
      </c>
      <c r="M7" t="s">
        <v>29</v>
      </c>
      <c r="N7">
        <v>0</v>
      </c>
      <c r="O7">
        <v>0</v>
      </c>
      <c r="P7" t="s">
        <v>30</v>
      </c>
      <c r="Q7" s="2">
        <v>0.7</v>
      </c>
      <c r="R7">
        <v>0</v>
      </c>
      <c r="V7" t="str">
        <f>VLOOKUP(H7,'[1]팀별 출판사'!A:B,2,0)</f>
        <v>소설1팀</v>
      </c>
      <c r="W7" s="6">
        <f t="shared" si="0"/>
        <v>0</v>
      </c>
      <c r="X7" s="6">
        <f t="shared" si="1"/>
        <v>0</v>
      </c>
    </row>
    <row r="8" spans="1:28" x14ac:dyDescent="0.3">
      <c r="A8" t="s">
        <v>21</v>
      </c>
      <c r="B8" t="s">
        <v>52</v>
      </c>
      <c r="C8" t="s">
        <v>23</v>
      </c>
      <c r="D8" t="s">
        <v>24</v>
      </c>
      <c r="E8" t="s">
        <v>25</v>
      </c>
      <c r="F8">
        <v>1</v>
      </c>
      <c r="G8" t="s">
        <v>53</v>
      </c>
      <c r="H8" t="s">
        <v>32</v>
      </c>
      <c r="I8" t="s">
        <v>54</v>
      </c>
      <c r="J8" t="s">
        <v>55</v>
      </c>
      <c r="K8" t="s">
        <v>29</v>
      </c>
      <c r="L8">
        <v>0</v>
      </c>
      <c r="M8" t="s">
        <v>29</v>
      </c>
      <c r="N8">
        <v>0</v>
      </c>
      <c r="O8">
        <v>0</v>
      </c>
      <c r="P8" t="s">
        <v>30</v>
      </c>
      <c r="Q8" s="2">
        <v>0.7</v>
      </c>
      <c r="R8">
        <v>0</v>
      </c>
      <c r="V8" t="str">
        <f>VLOOKUP(H8,'[1]팀별 출판사'!A:B,2,0)</f>
        <v>소설1팀</v>
      </c>
      <c r="W8" s="6">
        <f t="shared" si="0"/>
        <v>0</v>
      </c>
      <c r="X8" s="6">
        <f t="shared" si="1"/>
        <v>0</v>
      </c>
      <c r="AA8" t="b">
        <f>AA9=AA3+Z3</f>
        <v>1</v>
      </c>
    </row>
    <row r="9" spans="1:28" x14ac:dyDescent="0.3">
      <c r="A9" t="s">
        <v>21</v>
      </c>
      <c r="B9" t="s">
        <v>56</v>
      </c>
      <c r="C9" t="s">
        <v>23</v>
      </c>
      <c r="D9" t="s">
        <v>24</v>
      </c>
      <c r="E9" t="s">
        <v>25</v>
      </c>
      <c r="F9">
        <v>1</v>
      </c>
      <c r="G9">
        <v>9791136930613</v>
      </c>
      <c r="H9" t="s">
        <v>32</v>
      </c>
      <c r="I9" t="s">
        <v>57</v>
      </c>
      <c r="J9" t="s">
        <v>34</v>
      </c>
      <c r="K9" t="s">
        <v>29</v>
      </c>
      <c r="L9">
        <v>0</v>
      </c>
      <c r="M9" t="s">
        <v>29</v>
      </c>
      <c r="N9">
        <v>0</v>
      </c>
      <c r="O9">
        <v>0</v>
      </c>
      <c r="P9" t="s">
        <v>30</v>
      </c>
      <c r="Q9" s="2">
        <v>0.7</v>
      </c>
      <c r="R9">
        <v>0</v>
      </c>
      <c r="V9" t="str">
        <f>VLOOKUP(H9,'[1]팀별 출판사'!A:B,2,0)</f>
        <v>소설1팀</v>
      </c>
      <c r="W9" s="6">
        <f t="shared" si="0"/>
        <v>0</v>
      </c>
      <c r="X9" s="6">
        <f t="shared" si="1"/>
        <v>0</v>
      </c>
      <c r="AA9" s="9">
        <f>SUM(AA11:AA12)</f>
        <v>3080893</v>
      </c>
      <c r="AB9" s="9">
        <f>SUM(AB11:AB12)</f>
        <v>2987067.0999999987</v>
      </c>
    </row>
    <row r="10" spans="1:28" x14ac:dyDescent="0.3">
      <c r="A10" t="s">
        <v>21</v>
      </c>
      <c r="B10" t="s">
        <v>58</v>
      </c>
      <c r="C10" t="s">
        <v>23</v>
      </c>
      <c r="D10" t="s">
        <v>24</v>
      </c>
      <c r="E10" t="s">
        <v>25</v>
      </c>
      <c r="F10">
        <v>1</v>
      </c>
      <c r="G10">
        <v>9791136930880</v>
      </c>
      <c r="H10" t="s">
        <v>32</v>
      </c>
      <c r="I10" t="s">
        <v>59</v>
      </c>
      <c r="J10" t="s">
        <v>34</v>
      </c>
      <c r="K10" t="s">
        <v>29</v>
      </c>
      <c r="L10">
        <v>0</v>
      </c>
      <c r="M10" t="s">
        <v>29</v>
      </c>
      <c r="N10">
        <v>0</v>
      </c>
      <c r="O10">
        <v>0</v>
      </c>
      <c r="P10" t="s">
        <v>30</v>
      </c>
      <c r="Q10" s="2">
        <v>0.7</v>
      </c>
      <c r="R10">
        <v>0</v>
      </c>
      <c r="V10" t="str">
        <f>VLOOKUP(H10,'[1]팀별 출판사'!A:B,2,0)</f>
        <v>소설1팀</v>
      </c>
      <c r="W10" s="6">
        <f t="shared" si="0"/>
        <v>0</v>
      </c>
      <c r="X10" s="6">
        <f t="shared" si="1"/>
        <v>0</v>
      </c>
      <c r="AA10" s="10" t="s">
        <v>5907</v>
      </c>
      <c r="AB10" s="10" t="s">
        <v>5908</v>
      </c>
    </row>
    <row r="11" spans="1:28" x14ac:dyDescent="0.3">
      <c r="A11" t="s">
        <v>21</v>
      </c>
      <c r="B11" t="s">
        <v>60</v>
      </c>
      <c r="C11" t="s">
        <v>23</v>
      </c>
      <c r="D11" t="s">
        <v>24</v>
      </c>
      <c r="E11" t="s">
        <v>25</v>
      </c>
      <c r="F11">
        <v>1</v>
      </c>
      <c r="G11">
        <v>9791172924850</v>
      </c>
      <c r="H11" t="s">
        <v>26</v>
      </c>
      <c r="I11" t="s">
        <v>61</v>
      </c>
      <c r="J11" t="s">
        <v>62</v>
      </c>
      <c r="K11" t="s">
        <v>29</v>
      </c>
      <c r="L11">
        <v>0</v>
      </c>
      <c r="M11" t="s">
        <v>29</v>
      </c>
      <c r="N11">
        <v>0</v>
      </c>
      <c r="O11">
        <v>0</v>
      </c>
      <c r="P11" t="s">
        <v>30</v>
      </c>
      <c r="Q11" s="2">
        <v>0.7</v>
      </c>
      <c r="R11">
        <v>0</v>
      </c>
      <c r="V11" t="str">
        <f>VLOOKUP(H11,'[1]팀별 출판사'!A:B,2,0)</f>
        <v>소설1팀</v>
      </c>
      <c r="W11" s="6">
        <f t="shared" si="0"/>
        <v>0</v>
      </c>
      <c r="X11" s="6">
        <f t="shared" si="1"/>
        <v>0</v>
      </c>
      <c r="Z11" s="11" t="s">
        <v>5909</v>
      </c>
      <c r="AA11" s="6">
        <f>SUMIFS($T:$T, $V:$V, Z11)</f>
        <v>2506120</v>
      </c>
      <c r="AB11" s="6">
        <f>SUMIFS($X:$X, $V:$V, Z11)</f>
        <v>2435554.2999999984</v>
      </c>
    </row>
    <row r="12" spans="1:28" x14ac:dyDescent="0.3">
      <c r="A12" t="s">
        <v>21</v>
      </c>
      <c r="B12" t="s">
        <v>63</v>
      </c>
      <c r="C12" t="s">
        <v>23</v>
      </c>
      <c r="D12" t="s">
        <v>24</v>
      </c>
      <c r="E12" t="s">
        <v>25</v>
      </c>
      <c r="F12">
        <v>1</v>
      </c>
      <c r="G12">
        <v>9791133186501</v>
      </c>
      <c r="H12" t="s">
        <v>26</v>
      </c>
      <c r="I12" t="s">
        <v>64</v>
      </c>
      <c r="J12" t="s">
        <v>65</v>
      </c>
      <c r="K12" t="s">
        <v>29</v>
      </c>
      <c r="L12">
        <v>0</v>
      </c>
      <c r="M12" t="s">
        <v>29</v>
      </c>
      <c r="N12">
        <v>0</v>
      </c>
      <c r="O12">
        <v>0</v>
      </c>
      <c r="P12" t="s">
        <v>30</v>
      </c>
      <c r="Q12" s="2">
        <v>0.7</v>
      </c>
      <c r="R12">
        <v>0</v>
      </c>
      <c r="V12" t="str">
        <f>VLOOKUP(H12,'[1]팀별 출판사'!A:B,2,0)</f>
        <v>소설1팀</v>
      </c>
      <c r="W12" s="6">
        <f t="shared" si="0"/>
        <v>0</v>
      </c>
      <c r="X12" s="6">
        <f t="shared" si="1"/>
        <v>0</v>
      </c>
      <c r="Z12" s="11" t="s">
        <v>5910</v>
      </c>
      <c r="AA12" s="6">
        <f>SUMIFS($T:$T, $V:$V, Z12)</f>
        <v>574773</v>
      </c>
      <c r="AB12" s="6">
        <f>SUMIFS($X:$X, $V:$V, Z12)</f>
        <v>551512.80000000005</v>
      </c>
    </row>
    <row r="13" spans="1:28" x14ac:dyDescent="0.3">
      <c r="A13" t="s">
        <v>21</v>
      </c>
      <c r="B13" t="s">
        <v>66</v>
      </c>
      <c r="C13" t="s">
        <v>23</v>
      </c>
      <c r="D13" t="s">
        <v>24</v>
      </c>
      <c r="E13" t="s">
        <v>25</v>
      </c>
      <c r="F13">
        <v>1</v>
      </c>
      <c r="G13">
        <v>9791170106715</v>
      </c>
      <c r="H13" t="s">
        <v>67</v>
      </c>
      <c r="I13" t="s">
        <v>68</v>
      </c>
      <c r="J13" t="s">
        <v>69</v>
      </c>
      <c r="K13" t="s">
        <v>29</v>
      </c>
      <c r="L13">
        <v>0</v>
      </c>
      <c r="M13" t="s">
        <v>70</v>
      </c>
      <c r="N13">
        <v>0</v>
      </c>
      <c r="O13">
        <v>0</v>
      </c>
      <c r="P13" t="s">
        <v>71</v>
      </c>
      <c r="Q13" s="2">
        <v>0.7</v>
      </c>
      <c r="R13">
        <v>0</v>
      </c>
      <c r="V13" t="str">
        <f>VLOOKUP(H13,'[1]팀별 출판사'!A:B,2,0)</f>
        <v>소설1팀</v>
      </c>
      <c r="W13" s="6">
        <f t="shared" si="0"/>
        <v>0</v>
      </c>
      <c r="X13" s="6">
        <f t="shared" si="1"/>
        <v>0</v>
      </c>
    </row>
    <row r="14" spans="1:28" x14ac:dyDescent="0.3">
      <c r="A14" t="s">
        <v>21</v>
      </c>
      <c r="B14" t="s">
        <v>72</v>
      </c>
      <c r="C14" t="s">
        <v>23</v>
      </c>
      <c r="D14" t="s">
        <v>24</v>
      </c>
      <c r="E14" t="s">
        <v>25</v>
      </c>
      <c r="F14">
        <v>1</v>
      </c>
      <c r="G14">
        <v>9791133105298</v>
      </c>
      <c r="H14" t="s">
        <v>32</v>
      </c>
      <c r="I14" t="s">
        <v>73</v>
      </c>
      <c r="J14" t="s">
        <v>43</v>
      </c>
      <c r="K14" t="s">
        <v>29</v>
      </c>
      <c r="L14" s="1">
        <v>3200</v>
      </c>
      <c r="M14" t="s">
        <v>29</v>
      </c>
      <c r="N14" s="1">
        <v>3200</v>
      </c>
      <c r="O14" s="1">
        <v>3200</v>
      </c>
      <c r="P14" t="s">
        <v>30</v>
      </c>
      <c r="Q14" s="2">
        <v>0.7</v>
      </c>
      <c r="R14" s="1">
        <v>2240</v>
      </c>
      <c r="S14" t="s">
        <v>29</v>
      </c>
      <c r="T14" s="1">
        <v>2240</v>
      </c>
      <c r="V14" t="str">
        <f>VLOOKUP(H14,'[1]팀별 출판사'!A:B,2,0)</f>
        <v>소설1팀</v>
      </c>
      <c r="W14" s="6">
        <f t="shared" si="0"/>
        <v>0</v>
      </c>
      <c r="X14" s="6">
        <f t="shared" si="1"/>
        <v>2240</v>
      </c>
      <c r="Z14" s="10" t="s">
        <v>5911</v>
      </c>
      <c r="AA14" s="9">
        <f>Z3</f>
        <v>93826</v>
      </c>
    </row>
    <row r="15" spans="1:28" x14ac:dyDescent="0.3">
      <c r="A15" t="s">
        <v>21</v>
      </c>
      <c r="B15" t="s">
        <v>72</v>
      </c>
      <c r="C15" t="s">
        <v>23</v>
      </c>
      <c r="D15" t="s">
        <v>24</v>
      </c>
      <c r="E15" t="s">
        <v>25</v>
      </c>
      <c r="F15">
        <v>1</v>
      </c>
      <c r="G15">
        <v>9791133105304</v>
      </c>
      <c r="H15" t="s">
        <v>32</v>
      </c>
      <c r="I15" t="s">
        <v>74</v>
      </c>
      <c r="J15" t="s">
        <v>43</v>
      </c>
      <c r="K15" t="s">
        <v>29</v>
      </c>
      <c r="L15" s="1">
        <v>3200</v>
      </c>
      <c r="M15" t="s">
        <v>29</v>
      </c>
      <c r="N15" s="1">
        <v>3200</v>
      </c>
      <c r="O15" s="1">
        <v>3200</v>
      </c>
      <c r="P15" t="s">
        <v>30</v>
      </c>
      <c r="Q15" s="2">
        <v>0.7</v>
      </c>
      <c r="R15" s="1">
        <v>2240</v>
      </c>
      <c r="S15" t="s">
        <v>29</v>
      </c>
      <c r="T15" s="1">
        <v>2240</v>
      </c>
      <c r="V15" t="str">
        <f>VLOOKUP(H15,'[1]팀별 출판사'!A:B,2,0)</f>
        <v>소설1팀</v>
      </c>
      <c r="W15" s="6">
        <f t="shared" si="0"/>
        <v>0</v>
      </c>
      <c r="X15" s="6">
        <f t="shared" si="1"/>
        <v>2240</v>
      </c>
    </row>
    <row r="16" spans="1:28" x14ac:dyDescent="0.3">
      <c r="A16" t="s">
        <v>21</v>
      </c>
      <c r="B16" t="s">
        <v>72</v>
      </c>
      <c r="C16" t="s">
        <v>23</v>
      </c>
      <c r="D16" t="s">
        <v>24</v>
      </c>
      <c r="E16" t="s">
        <v>25</v>
      </c>
      <c r="F16">
        <v>1</v>
      </c>
      <c r="G16">
        <v>9791133105311</v>
      </c>
      <c r="H16" t="s">
        <v>32</v>
      </c>
      <c r="I16" t="s">
        <v>75</v>
      </c>
      <c r="J16" t="s">
        <v>43</v>
      </c>
      <c r="K16" t="s">
        <v>29</v>
      </c>
      <c r="L16" s="1">
        <v>3200</v>
      </c>
      <c r="M16" t="s">
        <v>29</v>
      </c>
      <c r="N16" s="1">
        <v>3200</v>
      </c>
      <c r="O16" s="1">
        <v>3200</v>
      </c>
      <c r="P16" t="s">
        <v>30</v>
      </c>
      <c r="Q16" s="2">
        <v>0.7</v>
      </c>
      <c r="R16" s="1">
        <v>2240</v>
      </c>
      <c r="S16" t="s">
        <v>29</v>
      </c>
      <c r="T16" s="1">
        <v>2240</v>
      </c>
      <c r="V16" t="str">
        <f>VLOOKUP(H16,'[1]팀별 출판사'!A:B,2,0)</f>
        <v>소설1팀</v>
      </c>
      <c r="W16" s="6">
        <f t="shared" si="0"/>
        <v>0</v>
      </c>
      <c r="X16" s="6">
        <f t="shared" si="1"/>
        <v>2240</v>
      </c>
    </row>
    <row r="17" spans="1:24" x14ac:dyDescent="0.3">
      <c r="A17" t="s">
        <v>21</v>
      </c>
      <c r="B17" t="s">
        <v>76</v>
      </c>
      <c r="C17" t="s">
        <v>23</v>
      </c>
      <c r="D17" t="s">
        <v>24</v>
      </c>
      <c r="E17" t="s">
        <v>25</v>
      </c>
      <c r="F17">
        <v>1</v>
      </c>
      <c r="G17">
        <v>9791136988256</v>
      </c>
      <c r="H17" t="s">
        <v>26</v>
      </c>
      <c r="I17" t="s">
        <v>77</v>
      </c>
      <c r="J17" t="s">
        <v>28</v>
      </c>
      <c r="K17" t="s">
        <v>29</v>
      </c>
      <c r="L17" s="1">
        <v>3200</v>
      </c>
      <c r="M17" t="s">
        <v>29</v>
      </c>
      <c r="N17" s="1">
        <v>3200</v>
      </c>
      <c r="O17" s="1">
        <v>3200</v>
      </c>
      <c r="P17" t="s">
        <v>30</v>
      </c>
      <c r="Q17" s="2">
        <v>0.7</v>
      </c>
      <c r="R17" s="1">
        <v>2240</v>
      </c>
      <c r="S17" t="s">
        <v>29</v>
      </c>
      <c r="T17" s="1">
        <v>2240</v>
      </c>
      <c r="V17" t="str">
        <f>VLOOKUP(H17,'[1]팀별 출판사'!A:B,2,0)</f>
        <v>소설1팀</v>
      </c>
      <c r="W17" s="6">
        <f t="shared" si="0"/>
        <v>0</v>
      </c>
      <c r="X17" s="6">
        <f t="shared" si="1"/>
        <v>2240</v>
      </c>
    </row>
    <row r="18" spans="1:24" x14ac:dyDescent="0.3">
      <c r="A18" t="s">
        <v>21</v>
      </c>
      <c r="B18" t="s">
        <v>78</v>
      </c>
      <c r="C18" t="s">
        <v>23</v>
      </c>
      <c r="D18" t="s">
        <v>24</v>
      </c>
      <c r="E18" t="s">
        <v>25</v>
      </c>
      <c r="F18">
        <v>1</v>
      </c>
      <c r="G18">
        <v>9791172920937</v>
      </c>
      <c r="H18" t="s">
        <v>79</v>
      </c>
      <c r="I18" t="s">
        <v>80</v>
      </c>
      <c r="J18" t="s">
        <v>81</v>
      </c>
      <c r="K18" t="s">
        <v>29</v>
      </c>
      <c r="L18">
        <v>0</v>
      </c>
      <c r="M18" t="s">
        <v>29</v>
      </c>
      <c r="N18">
        <v>0</v>
      </c>
      <c r="O18">
        <v>0</v>
      </c>
      <c r="P18" t="s">
        <v>30</v>
      </c>
      <c r="Q18" s="2">
        <v>0.7</v>
      </c>
      <c r="R18">
        <v>0</v>
      </c>
      <c r="V18" t="str">
        <f>VLOOKUP(H18,'[1]팀별 출판사'!A:B,2,0)</f>
        <v>소설1팀</v>
      </c>
      <c r="W18" s="6">
        <f t="shared" si="0"/>
        <v>0</v>
      </c>
      <c r="X18" s="6">
        <f t="shared" si="1"/>
        <v>0</v>
      </c>
    </row>
    <row r="19" spans="1:24" x14ac:dyDescent="0.3">
      <c r="A19" t="s">
        <v>21</v>
      </c>
      <c r="B19" t="s">
        <v>82</v>
      </c>
      <c r="C19" t="s">
        <v>23</v>
      </c>
      <c r="D19" t="s">
        <v>24</v>
      </c>
      <c r="E19" t="s">
        <v>25</v>
      </c>
      <c r="F19">
        <v>1</v>
      </c>
      <c r="G19">
        <v>9791136927248</v>
      </c>
      <c r="H19" t="s">
        <v>36</v>
      </c>
      <c r="I19" t="s">
        <v>37</v>
      </c>
      <c r="J19" t="s">
        <v>38</v>
      </c>
      <c r="K19" t="s">
        <v>29</v>
      </c>
      <c r="L19" s="1">
        <v>3300</v>
      </c>
      <c r="M19" t="s">
        <v>83</v>
      </c>
      <c r="N19">
        <v>115.62</v>
      </c>
      <c r="O19">
        <v>96.35</v>
      </c>
      <c r="P19" t="s">
        <v>84</v>
      </c>
      <c r="Q19" s="2">
        <v>0.7</v>
      </c>
      <c r="R19">
        <v>67.44</v>
      </c>
      <c r="S19" t="s">
        <v>29</v>
      </c>
      <c r="T19" s="1">
        <v>2272</v>
      </c>
      <c r="U19">
        <v>33.752290000000002</v>
      </c>
      <c r="V19" t="str">
        <f>VLOOKUP(H19,'[1]팀별 출판사'!A:B,2,0)</f>
        <v>소설2팀</v>
      </c>
      <c r="W19" s="6">
        <f t="shared" si="0"/>
        <v>0</v>
      </c>
      <c r="X19" s="6">
        <f t="shared" si="1"/>
        <v>2272</v>
      </c>
    </row>
    <row r="20" spans="1:24" x14ac:dyDescent="0.3">
      <c r="A20" t="s">
        <v>21</v>
      </c>
      <c r="B20" t="s">
        <v>85</v>
      </c>
      <c r="C20" t="s">
        <v>23</v>
      </c>
      <c r="D20" t="s">
        <v>24</v>
      </c>
      <c r="E20" t="s">
        <v>25</v>
      </c>
      <c r="F20">
        <v>1</v>
      </c>
      <c r="G20" t="s">
        <v>86</v>
      </c>
      <c r="H20" t="s">
        <v>32</v>
      </c>
      <c r="I20" t="s">
        <v>87</v>
      </c>
      <c r="J20" t="s">
        <v>88</v>
      </c>
      <c r="K20" t="s">
        <v>29</v>
      </c>
      <c r="L20" s="1">
        <v>3200</v>
      </c>
      <c r="M20" t="s">
        <v>29</v>
      </c>
      <c r="N20" s="1">
        <v>3200</v>
      </c>
      <c r="O20" s="1">
        <v>3200</v>
      </c>
      <c r="P20" t="s">
        <v>30</v>
      </c>
      <c r="Q20" s="2">
        <v>0.7</v>
      </c>
      <c r="R20" s="1">
        <v>2240</v>
      </c>
      <c r="S20" t="s">
        <v>29</v>
      </c>
      <c r="T20" s="1">
        <v>2240</v>
      </c>
      <c r="V20" t="str">
        <f>VLOOKUP(H20,'[1]팀별 출판사'!A:B,2,0)</f>
        <v>소설1팀</v>
      </c>
      <c r="W20" s="6">
        <f t="shared" si="0"/>
        <v>0</v>
      </c>
      <c r="X20" s="6">
        <f t="shared" si="1"/>
        <v>2240</v>
      </c>
    </row>
    <row r="21" spans="1:24" x14ac:dyDescent="0.3">
      <c r="A21" t="s">
        <v>21</v>
      </c>
      <c r="B21" t="s">
        <v>89</v>
      </c>
      <c r="C21" t="s">
        <v>23</v>
      </c>
      <c r="D21" t="s">
        <v>24</v>
      </c>
      <c r="E21" t="s">
        <v>25</v>
      </c>
      <c r="F21">
        <v>1</v>
      </c>
      <c r="G21">
        <v>9791136927248</v>
      </c>
      <c r="H21" t="s">
        <v>36</v>
      </c>
      <c r="I21" t="s">
        <v>37</v>
      </c>
      <c r="J21" t="s">
        <v>38</v>
      </c>
      <c r="K21" t="s">
        <v>29</v>
      </c>
      <c r="L21" s="1">
        <v>3300</v>
      </c>
      <c r="M21" t="s">
        <v>29</v>
      </c>
      <c r="N21" s="1">
        <v>3300</v>
      </c>
      <c r="O21" s="1">
        <v>3300</v>
      </c>
      <c r="P21" t="s">
        <v>30</v>
      </c>
      <c r="Q21" s="2">
        <v>0.7</v>
      </c>
      <c r="R21" s="1">
        <v>2310</v>
      </c>
      <c r="S21" t="s">
        <v>29</v>
      </c>
      <c r="T21" s="1">
        <v>2310</v>
      </c>
      <c r="V21" t="str">
        <f>VLOOKUP(H21,'[1]팀별 출판사'!A:B,2,0)</f>
        <v>소설2팀</v>
      </c>
      <c r="W21" s="6">
        <f t="shared" si="0"/>
        <v>0</v>
      </c>
      <c r="X21" s="6">
        <f t="shared" si="1"/>
        <v>2310</v>
      </c>
    </row>
    <row r="22" spans="1:24" x14ac:dyDescent="0.3">
      <c r="A22" t="s">
        <v>21</v>
      </c>
      <c r="B22" t="s">
        <v>89</v>
      </c>
      <c r="C22" t="s">
        <v>23</v>
      </c>
      <c r="D22" t="s">
        <v>24</v>
      </c>
      <c r="E22" t="s">
        <v>25</v>
      </c>
      <c r="F22">
        <v>1</v>
      </c>
      <c r="G22">
        <v>9791136927255</v>
      </c>
      <c r="H22" t="s">
        <v>36</v>
      </c>
      <c r="I22" t="s">
        <v>90</v>
      </c>
      <c r="J22" t="s">
        <v>38</v>
      </c>
      <c r="K22" t="s">
        <v>29</v>
      </c>
      <c r="L22" s="1">
        <v>3300</v>
      </c>
      <c r="M22" t="s">
        <v>29</v>
      </c>
      <c r="N22" s="1">
        <v>3300</v>
      </c>
      <c r="O22" s="1">
        <v>3300</v>
      </c>
      <c r="P22" t="s">
        <v>30</v>
      </c>
      <c r="Q22" s="2">
        <v>0.7</v>
      </c>
      <c r="R22" s="1">
        <v>2310</v>
      </c>
      <c r="S22" t="s">
        <v>29</v>
      </c>
      <c r="T22" s="1">
        <v>2310</v>
      </c>
      <c r="V22" t="str">
        <f>VLOOKUP(H22,'[1]팀별 출판사'!A:B,2,0)</f>
        <v>소설2팀</v>
      </c>
      <c r="W22" s="6">
        <f t="shared" si="0"/>
        <v>0</v>
      </c>
      <c r="X22" s="6">
        <f t="shared" si="1"/>
        <v>2310</v>
      </c>
    </row>
    <row r="23" spans="1:24" x14ac:dyDescent="0.3">
      <c r="A23" t="s">
        <v>21</v>
      </c>
      <c r="B23" t="s">
        <v>89</v>
      </c>
      <c r="C23" t="s">
        <v>23</v>
      </c>
      <c r="D23" t="s">
        <v>24</v>
      </c>
      <c r="E23" t="s">
        <v>25</v>
      </c>
      <c r="F23">
        <v>1</v>
      </c>
      <c r="G23">
        <v>9791136927675</v>
      </c>
      <c r="H23" t="s">
        <v>36</v>
      </c>
      <c r="I23" t="s">
        <v>91</v>
      </c>
      <c r="J23" t="s">
        <v>38</v>
      </c>
      <c r="K23" t="s">
        <v>29</v>
      </c>
      <c r="L23" s="1">
        <v>3300</v>
      </c>
      <c r="M23" t="s">
        <v>29</v>
      </c>
      <c r="N23" s="1">
        <v>3300</v>
      </c>
      <c r="O23" s="1">
        <v>3300</v>
      </c>
      <c r="P23" t="s">
        <v>30</v>
      </c>
      <c r="Q23" s="2">
        <v>0.7</v>
      </c>
      <c r="R23" s="1">
        <v>2310</v>
      </c>
      <c r="S23" t="s">
        <v>29</v>
      </c>
      <c r="T23" s="1">
        <v>2310</v>
      </c>
      <c r="V23" t="str">
        <f>VLOOKUP(H23,'[1]팀별 출판사'!A:B,2,0)</f>
        <v>소설2팀</v>
      </c>
      <c r="W23" s="6">
        <f t="shared" si="0"/>
        <v>0</v>
      </c>
      <c r="X23" s="6">
        <f t="shared" si="1"/>
        <v>2310</v>
      </c>
    </row>
    <row r="24" spans="1:24" x14ac:dyDescent="0.3">
      <c r="A24" t="s">
        <v>21</v>
      </c>
      <c r="B24" t="s">
        <v>89</v>
      </c>
      <c r="C24" t="s">
        <v>23</v>
      </c>
      <c r="D24" t="s">
        <v>24</v>
      </c>
      <c r="E24" t="s">
        <v>25</v>
      </c>
      <c r="F24">
        <v>1</v>
      </c>
      <c r="G24">
        <v>9791136940704</v>
      </c>
      <c r="H24" t="s">
        <v>36</v>
      </c>
      <c r="I24" t="s">
        <v>92</v>
      </c>
      <c r="J24" t="s">
        <v>38</v>
      </c>
      <c r="K24" t="s">
        <v>29</v>
      </c>
      <c r="L24" s="1">
        <v>3300</v>
      </c>
      <c r="M24" t="s">
        <v>29</v>
      </c>
      <c r="N24" s="1">
        <v>3300</v>
      </c>
      <c r="O24" s="1">
        <v>3300</v>
      </c>
      <c r="P24" t="s">
        <v>30</v>
      </c>
      <c r="Q24" s="2">
        <v>0.7</v>
      </c>
      <c r="R24" s="1">
        <v>2310</v>
      </c>
      <c r="S24" t="s">
        <v>29</v>
      </c>
      <c r="T24" s="1">
        <v>2310</v>
      </c>
      <c r="V24" t="str">
        <f>VLOOKUP(H24,'[1]팀별 출판사'!A:B,2,0)</f>
        <v>소설2팀</v>
      </c>
      <c r="W24" s="6">
        <f t="shared" si="0"/>
        <v>0</v>
      </c>
      <c r="X24" s="6">
        <f t="shared" si="1"/>
        <v>2310</v>
      </c>
    </row>
    <row r="25" spans="1:24" x14ac:dyDescent="0.3">
      <c r="A25" t="s">
        <v>21</v>
      </c>
      <c r="B25" t="s">
        <v>89</v>
      </c>
      <c r="C25" t="s">
        <v>23</v>
      </c>
      <c r="D25" t="s">
        <v>24</v>
      </c>
      <c r="E25" t="s">
        <v>25</v>
      </c>
      <c r="F25">
        <v>1</v>
      </c>
      <c r="G25">
        <v>9791136940728</v>
      </c>
      <c r="H25" t="s">
        <v>36</v>
      </c>
      <c r="I25" t="s">
        <v>93</v>
      </c>
      <c r="J25" t="s">
        <v>38</v>
      </c>
      <c r="K25" t="s">
        <v>29</v>
      </c>
      <c r="L25" s="1">
        <v>3300</v>
      </c>
      <c r="M25" t="s">
        <v>29</v>
      </c>
      <c r="N25" s="1">
        <v>3300</v>
      </c>
      <c r="O25" s="1">
        <v>3300</v>
      </c>
      <c r="P25" t="s">
        <v>30</v>
      </c>
      <c r="Q25" s="2">
        <v>0.7</v>
      </c>
      <c r="R25" s="1">
        <v>2310</v>
      </c>
      <c r="S25" t="s">
        <v>29</v>
      </c>
      <c r="T25" s="1">
        <v>2310</v>
      </c>
      <c r="V25" t="str">
        <f>VLOOKUP(H25,'[1]팀별 출판사'!A:B,2,0)</f>
        <v>소설2팀</v>
      </c>
      <c r="W25" s="6">
        <f t="shared" si="0"/>
        <v>0</v>
      </c>
      <c r="X25" s="6">
        <f t="shared" si="1"/>
        <v>2310</v>
      </c>
    </row>
    <row r="26" spans="1:24" x14ac:dyDescent="0.3">
      <c r="A26" t="s">
        <v>21</v>
      </c>
      <c r="B26" t="s">
        <v>89</v>
      </c>
      <c r="C26" t="s">
        <v>23</v>
      </c>
      <c r="D26" t="s">
        <v>24</v>
      </c>
      <c r="E26" t="s">
        <v>25</v>
      </c>
      <c r="F26">
        <v>1</v>
      </c>
      <c r="G26">
        <v>9791173786648</v>
      </c>
      <c r="H26" t="s">
        <v>36</v>
      </c>
      <c r="I26" t="s">
        <v>94</v>
      </c>
      <c r="J26" t="s">
        <v>38</v>
      </c>
      <c r="K26" t="s">
        <v>29</v>
      </c>
      <c r="L26" s="1">
        <v>1800</v>
      </c>
      <c r="M26" t="s">
        <v>29</v>
      </c>
      <c r="N26" s="1">
        <v>1800</v>
      </c>
      <c r="O26" s="1">
        <v>1800</v>
      </c>
      <c r="P26" t="s">
        <v>30</v>
      </c>
      <c r="Q26" s="2">
        <v>0.7</v>
      </c>
      <c r="R26" s="1">
        <v>1260</v>
      </c>
      <c r="S26" t="s">
        <v>29</v>
      </c>
      <c r="T26" s="1">
        <v>1260</v>
      </c>
      <c r="V26" t="str">
        <f>VLOOKUP(H26,'[1]팀별 출판사'!A:B,2,0)</f>
        <v>소설2팀</v>
      </c>
      <c r="W26" s="6">
        <f t="shared" si="0"/>
        <v>0</v>
      </c>
      <c r="X26" s="6">
        <f t="shared" si="1"/>
        <v>1260</v>
      </c>
    </row>
    <row r="27" spans="1:24" x14ac:dyDescent="0.3">
      <c r="A27" t="s">
        <v>21</v>
      </c>
      <c r="B27" t="s">
        <v>95</v>
      </c>
      <c r="C27" t="s">
        <v>23</v>
      </c>
      <c r="D27" t="s">
        <v>24</v>
      </c>
      <c r="E27" t="s">
        <v>25</v>
      </c>
      <c r="F27">
        <v>1</v>
      </c>
      <c r="G27">
        <v>9791133198924</v>
      </c>
      <c r="H27" t="s">
        <v>26</v>
      </c>
      <c r="I27" t="s">
        <v>96</v>
      </c>
      <c r="J27" t="s">
        <v>97</v>
      </c>
      <c r="K27" t="s">
        <v>29</v>
      </c>
      <c r="L27">
        <v>0</v>
      </c>
      <c r="M27" t="s">
        <v>29</v>
      </c>
      <c r="N27">
        <v>0</v>
      </c>
      <c r="O27">
        <v>0</v>
      </c>
      <c r="P27" t="s">
        <v>30</v>
      </c>
      <c r="Q27" s="2">
        <v>0.7</v>
      </c>
      <c r="R27">
        <v>0</v>
      </c>
      <c r="V27" t="str">
        <f>VLOOKUP(H27,'[1]팀별 출판사'!A:B,2,0)</f>
        <v>소설1팀</v>
      </c>
      <c r="W27" s="6">
        <f t="shared" si="0"/>
        <v>0</v>
      </c>
      <c r="X27" s="6">
        <f t="shared" si="1"/>
        <v>0</v>
      </c>
    </row>
    <row r="28" spans="1:24" x14ac:dyDescent="0.3">
      <c r="A28" t="s">
        <v>21</v>
      </c>
      <c r="B28" t="s">
        <v>98</v>
      </c>
      <c r="C28" t="s">
        <v>23</v>
      </c>
      <c r="D28" t="s">
        <v>24</v>
      </c>
      <c r="E28" t="s">
        <v>25</v>
      </c>
      <c r="F28">
        <v>1</v>
      </c>
      <c r="G28">
        <v>9791133102563</v>
      </c>
      <c r="H28" t="s">
        <v>32</v>
      </c>
      <c r="I28" t="s">
        <v>99</v>
      </c>
      <c r="J28" t="s">
        <v>51</v>
      </c>
      <c r="K28" t="s">
        <v>29</v>
      </c>
      <c r="L28" s="1">
        <v>3000</v>
      </c>
      <c r="M28" t="s">
        <v>29</v>
      </c>
      <c r="N28" s="1">
        <v>3000</v>
      </c>
      <c r="O28" s="1">
        <v>3000</v>
      </c>
      <c r="P28" t="s">
        <v>30</v>
      </c>
      <c r="Q28" s="2">
        <v>0.7</v>
      </c>
      <c r="R28" s="1">
        <v>2100</v>
      </c>
      <c r="S28" t="s">
        <v>29</v>
      </c>
      <c r="T28" s="1">
        <v>2100</v>
      </c>
      <c r="V28" t="str">
        <f>VLOOKUP(H28,'[1]팀별 출판사'!A:B,2,0)</f>
        <v>소설1팀</v>
      </c>
      <c r="W28" s="6">
        <f t="shared" si="0"/>
        <v>0</v>
      </c>
      <c r="X28" s="6">
        <f t="shared" si="1"/>
        <v>2100</v>
      </c>
    </row>
    <row r="29" spans="1:24" x14ac:dyDescent="0.3">
      <c r="A29" t="s">
        <v>21</v>
      </c>
      <c r="B29" t="s">
        <v>100</v>
      </c>
      <c r="C29" t="s">
        <v>23</v>
      </c>
      <c r="D29" t="s">
        <v>24</v>
      </c>
      <c r="E29" t="s">
        <v>25</v>
      </c>
      <c r="F29">
        <v>1</v>
      </c>
      <c r="G29">
        <v>9791175302594</v>
      </c>
      <c r="H29" t="s">
        <v>26</v>
      </c>
      <c r="I29" t="s">
        <v>101</v>
      </c>
      <c r="J29" t="s">
        <v>102</v>
      </c>
      <c r="K29" t="s">
        <v>29</v>
      </c>
      <c r="L29">
        <v>0</v>
      </c>
      <c r="M29" t="s">
        <v>29</v>
      </c>
      <c r="N29">
        <v>0</v>
      </c>
      <c r="O29">
        <v>0</v>
      </c>
      <c r="P29" t="s">
        <v>30</v>
      </c>
      <c r="Q29" s="2">
        <v>0.7</v>
      </c>
      <c r="R29">
        <v>0</v>
      </c>
      <c r="V29" t="str">
        <f>VLOOKUP(H29,'[1]팀별 출판사'!A:B,2,0)</f>
        <v>소설1팀</v>
      </c>
      <c r="W29" s="6">
        <f t="shared" si="0"/>
        <v>0</v>
      </c>
      <c r="X29" s="6">
        <f t="shared" si="1"/>
        <v>0</v>
      </c>
    </row>
    <row r="30" spans="1:24" x14ac:dyDescent="0.3">
      <c r="A30" t="s">
        <v>21</v>
      </c>
      <c r="B30" t="s">
        <v>103</v>
      </c>
      <c r="C30" t="s">
        <v>23</v>
      </c>
      <c r="D30" t="s">
        <v>24</v>
      </c>
      <c r="E30" t="s">
        <v>25</v>
      </c>
      <c r="F30">
        <v>1</v>
      </c>
      <c r="G30">
        <v>9791133102723</v>
      </c>
      <c r="H30" t="s">
        <v>32</v>
      </c>
      <c r="I30" t="s">
        <v>104</v>
      </c>
      <c r="J30" t="s">
        <v>51</v>
      </c>
      <c r="K30" t="s">
        <v>29</v>
      </c>
      <c r="L30" s="1">
        <v>3000</v>
      </c>
      <c r="M30" t="s">
        <v>29</v>
      </c>
      <c r="N30" s="1">
        <v>3000</v>
      </c>
      <c r="O30" s="1">
        <v>3000</v>
      </c>
      <c r="P30" t="s">
        <v>30</v>
      </c>
      <c r="Q30" s="2">
        <v>0.7</v>
      </c>
      <c r="R30" s="1">
        <v>2100</v>
      </c>
      <c r="S30" t="s">
        <v>29</v>
      </c>
      <c r="T30" s="1">
        <v>2100</v>
      </c>
      <c r="V30" t="str">
        <f>VLOOKUP(H30,'[1]팀별 출판사'!A:B,2,0)</f>
        <v>소설1팀</v>
      </c>
      <c r="W30" s="6">
        <f t="shared" si="0"/>
        <v>0</v>
      </c>
      <c r="X30" s="6">
        <f t="shared" si="1"/>
        <v>2100</v>
      </c>
    </row>
    <row r="31" spans="1:24" x14ac:dyDescent="0.3">
      <c r="A31" t="s">
        <v>21</v>
      </c>
      <c r="B31" t="s">
        <v>105</v>
      </c>
      <c r="C31" t="s">
        <v>23</v>
      </c>
      <c r="D31" t="s">
        <v>24</v>
      </c>
      <c r="E31" t="s">
        <v>25</v>
      </c>
      <c r="F31">
        <v>1</v>
      </c>
      <c r="G31">
        <v>9791170100164</v>
      </c>
      <c r="H31" t="s">
        <v>67</v>
      </c>
      <c r="I31" t="s">
        <v>106</v>
      </c>
      <c r="J31" t="s">
        <v>107</v>
      </c>
      <c r="K31" t="s">
        <v>29</v>
      </c>
      <c r="L31">
        <v>0</v>
      </c>
      <c r="M31" t="s">
        <v>29</v>
      </c>
      <c r="N31">
        <v>0</v>
      </c>
      <c r="O31">
        <v>0</v>
      </c>
      <c r="P31" t="s">
        <v>30</v>
      </c>
      <c r="Q31" s="2">
        <v>0.7</v>
      </c>
      <c r="R31">
        <v>0</v>
      </c>
      <c r="V31" t="str">
        <f>VLOOKUP(H31,'[1]팀별 출판사'!A:B,2,0)</f>
        <v>소설1팀</v>
      </c>
      <c r="W31" s="6">
        <f t="shared" si="0"/>
        <v>0</v>
      </c>
      <c r="X31" s="6">
        <f t="shared" si="1"/>
        <v>0</v>
      </c>
    </row>
    <row r="32" spans="1:24" x14ac:dyDescent="0.3">
      <c r="A32" t="s">
        <v>21</v>
      </c>
      <c r="B32" t="s">
        <v>108</v>
      </c>
      <c r="C32" t="s">
        <v>23</v>
      </c>
      <c r="D32" t="s">
        <v>24</v>
      </c>
      <c r="E32" t="s">
        <v>25</v>
      </c>
      <c r="F32">
        <v>1</v>
      </c>
      <c r="G32">
        <v>9791133105533</v>
      </c>
      <c r="H32" t="s">
        <v>32</v>
      </c>
      <c r="I32" t="s">
        <v>109</v>
      </c>
      <c r="J32" t="s">
        <v>88</v>
      </c>
      <c r="K32" t="s">
        <v>29</v>
      </c>
      <c r="L32" s="1">
        <v>3200</v>
      </c>
      <c r="M32" t="s">
        <v>29</v>
      </c>
      <c r="N32" s="1">
        <v>3200</v>
      </c>
      <c r="O32" s="1">
        <v>3200</v>
      </c>
      <c r="P32" t="s">
        <v>30</v>
      </c>
      <c r="Q32" s="2">
        <v>0.7</v>
      </c>
      <c r="R32" s="1">
        <v>2240</v>
      </c>
      <c r="S32" t="s">
        <v>29</v>
      </c>
      <c r="T32" s="1">
        <v>2240</v>
      </c>
      <c r="V32" t="str">
        <f>VLOOKUP(H32,'[1]팀별 출판사'!A:B,2,0)</f>
        <v>소설1팀</v>
      </c>
      <c r="W32" s="6">
        <f t="shared" si="0"/>
        <v>0</v>
      </c>
      <c r="X32" s="6">
        <f t="shared" si="1"/>
        <v>2240</v>
      </c>
    </row>
    <row r="33" spans="1:24" x14ac:dyDescent="0.3">
      <c r="A33" t="s">
        <v>21</v>
      </c>
      <c r="B33" t="s">
        <v>110</v>
      </c>
      <c r="C33" t="s">
        <v>23</v>
      </c>
      <c r="D33" t="s">
        <v>24</v>
      </c>
      <c r="E33" t="s">
        <v>25</v>
      </c>
      <c r="F33">
        <v>1</v>
      </c>
      <c r="G33">
        <v>9791157532162</v>
      </c>
      <c r="H33" t="s">
        <v>32</v>
      </c>
      <c r="I33" t="s">
        <v>111</v>
      </c>
      <c r="J33" t="s">
        <v>112</v>
      </c>
      <c r="K33" t="s">
        <v>29</v>
      </c>
      <c r="L33" s="1">
        <v>3200</v>
      </c>
      <c r="M33" t="s">
        <v>29</v>
      </c>
      <c r="N33" s="1">
        <v>3200</v>
      </c>
      <c r="O33" s="1">
        <v>3200</v>
      </c>
      <c r="P33" t="s">
        <v>30</v>
      </c>
      <c r="Q33" s="2">
        <v>0.7</v>
      </c>
      <c r="R33" s="1">
        <v>2240</v>
      </c>
      <c r="S33" t="s">
        <v>29</v>
      </c>
      <c r="T33" s="1">
        <v>2240</v>
      </c>
      <c r="V33" t="str">
        <f>VLOOKUP(H33,'[1]팀별 출판사'!A:B,2,0)</f>
        <v>소설1팀</v>
      </c>
      <c r="W33" s="6">
        <f t="shared" si="0"/>
        <v>0</v>
      </c>
      <c r="X33" s="6">
        <f t="shared" si="1"/>
        <v>2240</v>
      </c>
    </row>
    <row r="34" spans="1:24" x14ac:dyDescent="0.3">
      <c r="A34" t="s">
        <v>21</v>
      </c>
      <c r="B34" t="s">
        <v>113</v>
      </c>
      <c r="C34" t="s">
        <v>23</v>
      </c>
      <c r="D34" t="s">
        <v>24</v>
      </c>
      <c r="E34" t="s">
        <v>25</v>
      </c>
      <c r="F34">
        <v>1</v>
      </c>
      <c r="G34">
        <v>9791172924898</v>
      </c>
      <c r="H34" t="s">
        <v>26</v>
      </c>
      <c r="I34" t="s">
        <v>114</v>
      </c>
      <c r="J34" t="s">
        <v>62</v>
      </c>
      <c r="K34" t="s">
        <v>29</v>
      </c>
      <c r="L34" s="1">
        <v>3200</v>
      </c>
      <c r="M34" t="s">
        <v>29</v>
      </c>
      <c r="N34" s="1">
        <v>3200</v>
      </c>
      <c r="O34" s="1">
        <v>3200</v>
      </c>
      <c r="P34" t="s">
        <v>30</v>
      </c>
      <c r="Q34" s="2">
        <v>0.7</v>
      </c>
      <c r="R34" s="1">
        <v>2240</v>
      </c>
      <c r="S34" t="s">
        <v>29</v>
      </c>
      <c r="T34" s="1">
        <v>2240</v>
      </c>
      <c r="V34" t="str">
        <f>VLOOKUP(H34,'[1]팀별 출판사'!A:B,2,0)</f>
        <v>소설1팀</v>
      </c>
      <c r="W34" s="6">
        <f t="shared" si="0"/>
        <v>0</v>
      </c>
      <c r="X34" s="6">
        <f t="shared" si="1"/>
        <v>2240</v>
      </c>
    </row>
    <row r="35" spans="1:24" x14ac:dyDescent="0.3">
      <c r="A35" t="s">
        <v>21</v>
      </c>
      <c r="B35" t="s">
        <v>115</v>
      </c>
      <c r="C35" t="s">
        <v>23</v>
      </c>
      <c r="D35" t="s">
        <v>24</v>
      </c>
      <c r="E35" t="s">
        <v>25</v>
      </c>
      <c r="F35">
        <v>1</v>
      </c>
      <c r="G35">
        <v>9791133105441</v>
      </c>
      <c r="H35" t="s">
        <v>32</v>
      </c>
      <c r="I35" t="s">
        <v>116</v>
      </c>
      <c r="J35" t="s">
        <v>88</v>
      </c>
      <c r="K35" t="s">
        <v>29</v>
      </c>
      <c r="L35">
        <v>0</v>
      </c>
      <c r="M35" t="s">
        <v>29</v>
      </c>
      <c r="N35">
        <v>0</v>
      </c>
      <c r="O35">
        <v>0</v>
      </c>
      <c r="P35" t="s">
        <v>30</v>
      </c>
      <c r="Q35" s="2">
        <v>0.7</v>
      </c>
      <c r="R35">
        <v>0</v>
      </c>
      <c r="V35" t="str">
        <f>VLOOKUP(H35,'[1]팀별 출판사'!A:B,2,0)</f>
        <v>소설1팀</v>
      </c>
      <c r="W35" s="6">
        <f t="shared" si="0"/>
        <v>0</v>
      </c>
      <c r="X35" s="6">
        <f t="shared" si="1"/>
        <v>0</v>
      </c>
    </row>
    <row r="36" spans="1:24" x14ac:dyDescent="0.3">
      <c r="A36" t="s">
        <v>21</v>
      </c>
      <c r="B36" t="s">
        <v>117</v>
      </c>
      <c r="C36" t="s">
        <v>23</v>
      </c>
      <c r="D36" t="s">
        <v>24</v>
      </c>
      <c r="E36" t="s">
        <v>25</v>
      </c>
      <c r="F36">
        <v>1</v>
      </c>
      <c r="G36">
        <v>9791173783722</v>
      </c>
      <c r="H36" t="s">
        <v>36</v>
      </c>
      <c r="I36" t="s">
        <v>118</v>
      </c>
      <c r="J36" t="s">
        <v>119</v>
      </c>
      <c r="K36" t="s">
        <v>29</v>
      </c>
      <c r="L36" s="1">
        <v>3600</v>
      </c>
      <c r="M36" t="s">
        <v>120</v>
      </c>
      <c r="N36">
        <v>1.85</v>
      </c>
      <c r="O36">
        <v>1.85</v>
      </c>
      <c r="P36" t="s">
        <v>121</v>
      </c>
      <c r="Q36" s="2">
        <v>0.7</v>
      </c>
      <c r="R36">
        <v>1.29</v>
      </c>
      <c r="S36" t="s">
        <v>29</v>
      </c>
      <c r="T36" s="1">
        <v>2550</v>
      </c>
      <c r="U36" s="3">
        <v>1980.9903899999999</v>
      </c>
      <c r="V36" t="str">
        <f>VLOOKUP(H36,'[1]팀별 출판사'!A:B,2,0)</f>
        <v>소설2팀</v>
      </c>
      <c r="W36" s="6">
        <f t="shared" si="0"/>
        <v>0</v>
      </c>
      <c r="X36" s="6">
        <f t="shared" si="1"/>
        <v>2550</v>
      </c>
    </row>
    <row r="37" spans="1:24" x14ac:dyDescent="0.3">
      <c r="A37" t="s">
        <v>21</v>
      </c>
      <c r="B37" t="s">
        <v>122</v>
      </c>
      <c r="C37" t="s">
        <v>23</v>
      </c>
      <c r="D37" t="s">
        <v>24</v>
      </c>
      <c r="E37" t="s">
        <v>25</v>
      </c>
      <c r="F37">
        <v>1</v>
      </c>
      <c r="G37">
        <v>9791173786136</v>
      </c>
      <c r="H37" t="s">
        <v>79</v>
      </c>
      <c r="I37" t="s">
        <v>123</v>
      </c>
      <c r="J37" t="s">
        <v>81</v>
      </c>
      <c r="K37" t="s">
        <v>29</v>
      </c>
      <c r="L37">
        <v>0</v>
      </c>
      <c r="M37" t="s">
        <v>29</v>
      </c>
      <c r="N37">
        <v>0</v>
      </c>
      <c r="O37">
        <v>0</v>
      </c>
      <c r="P37" t="s">
        <v>30</v>
      </c>
      <c r="Q37" s="2">
        <v>0.7</v>
      </c>
      <c r="R37">
        <v>0</v>
      </c>
      <c r="V37" t="str">
        <f>VLOOKUP(H37,'[1]팀별 출판사'!A:B,2,0)</f>
        <v>소설1팀</v>
      </c>
      <c r="W37" s="6">
        <f t="shared" si="0"/>
        <v>0</v>
      </c>
      <c r="X37" s="6">
        <f t="shared" si="1"/>
        <v>0</v>
      </c>
    </row>
    <row r="38" spans="1:24" x14ac:dyDescent="0.3">
      <c r="A38" t="s">
        <v>21</v>
      </c>
      <c r="B38" t="s">
        <v>124</v>
      </c>
      <c r="C38" t="s">
        <v>23</v>
      </c>
      <c r="D38" t="s">
        <v>24</v>
      </c>
      <c r="E38" t="s">
        <v>25</v>
      </c>
      <c r="F38">
        <v>1</v>
      </c>
      <c r="G38">
        <v>9791136945013</v>
      </c>
      <c r="H38" t="s">
        <v>26</v>
      </c>
      <c r="I38" t="s">
        <v>125</v>
      </c>
      <c r="J38" t="s">
        <v>126</v>
      </c>
      <c r="K38" t="s">
        <v>29</v>
      </c>
      <c r="L38">
        <v>0</v>
      </c>
      <c r="M38" t="s">
        <v>127</v>
      </c>
      <c r="N38">
        <v>0</v>
      </c>
      <c r="O38">
        <v>0</v>
      </c>
      <c r="P38" t="s">
        <v>128</v>
      </c>
      <c r="Q38" s="2">
        <v>0.7</v>
      </c>
      <c r="R38">
        <v>0</v>
      </c>
      <c r="V38" t="str">
        <f>VLOOKUP(H38,'[1]팀별 출판사'!A:B,2,0)</f>
        <v>소설1팀</v>
      </c>
      <c r="W38" s="6">
        <f t="shared" si="0"/>
        <v>0</v>
      </c>
      <c r="X38" s="6">
        <f t="shared" si="1"/>
        <v>0</v>
      </c>
    </row>
    <row r="39" spans="1:24" x14ac:dyDescent="0.3">
      <c r="A39" t="s">
        <v>21</v>
      </c>
      <c r="B39" t="s">
        <v>129</v>
      </c>
      <c r="C39" t="s">
        <v>23</v>
      </c>
      <c r="D39" t="s">
        <v>24</v>
      </c>
      <c r="E39" t="s">
        <v>25</v>
      </c>
      <c r="F39">
        <v>1</v>
      </c>
      <c r="G39">
        <v>9791133145348</v>
      </c>
      <c r="H39" t="s">
        <v>32</v>
      </c>
      <c r="I39" t="s">
        <v>130</v>
      </c>
      <c r="J39" t="s">
        <v>51</v>
      </c>
      <c r="K39" t="s">
        <v>29</v>
      </c>
      <c r="L39">
        <v>0</v>
      </c>
      <c r="M39" t="s">
        <v>29</v>
      </c>
      <c r="N39">
        <v>0</v>
      </c>
      <c r="O39">
        <v>0</v>
      </c>
      <c r="P39" t="s">
        <v>30</v>
      </c>
      <c r="Q39" s="2">
        <v>0.7</v>
      </c>
      <c r="R39">
        <v>0</v>
      </c>
      <c r="V39" t="str">
        <f>VLOOKUP(H39,'[1]팀별 출판사'!A:B,2,0)</f>
        <v>소설1팀</v>
      </c>
      <c r="W39" s="6">
        <f t="shared" si="0"/>
        <v>0</v>
      </c>
      <c r="X39" s="6">
        <f t="shared" si="1"/>
        <v>0</v>
      </c>
    </row>
    <row r="40" spans="1:24" x14ac:dyDescent="0.3">
      <c r="A40" t="s">
        <v>21</v>
      </c>
      <c r="B40" t="s">
        <v>131</v>
      </c>
      <c r="C40" t="s">
        <v>23</v>
      </c>
      <c r="D40" t="s">
        <v>24</v>
      </c>
      <c r="E40" t="s">
        <v>25</v>
      </c>
      <c r="F40">
        <v>1</v>
      </c>
      <c r="G40">
        <v>9791133102761</v>
      </c>
      <c r="H40" t="s">
        <v>32</v>
      </c>
      <c r="I40" t="s">
        <v>132</v>
      </c>
      <c r="J40" t="s">
        <v>51</v>
      </c>
      <c r="K40" t="s">
        <v>29</v>
      </c>
      <c r="L40">
        <v>0</v>
      </c>
      <c r="M40" t="s">
        <v>29</v>
      </c>
      <c r="N40">
        <v>0</v>
      </c>
      <c r="O40">
        <v>0</v>
      </c>
      <c r="P40" t="s">
        <v>30</v>
      </c>
      <c r="Q40" s="2">
        <v>0.7</v>
      </c>
      <c r="R40">
        <v>0</v>
      </c>
      <c r="V40" t="str">
        <f>VLOOKUP(H40,'[1]팀별 출판사'!A:B,2,0)</f>
        <v>소설1팀</v>
      </c>
      <c r="W40" s="6">
        <f t="shared" si="0"/>
        <v>0</v>
      </c>
      <c r="X40" s="6">
        <f t="shared" si="1"/>
        <v>0</v>
      </c>
    </row>
    <row r="41" spans="1:24" x14ac:dyDescent="0.3">
      <c r="A41" t="s">
        <v>21</v>
      </c>
      <c r="B41" t="s">
        <v>133</v>
      </c>
      <c r="C41" t="s">
        <v>23</v>
      </c>
      <c r="D41" t="s">
        <v>24</v>
      </c>
      <c r="E41" t="s">
        <v>25</v>
      </c>
      <c r="F41">
        <v>1</v>
      </c>
      <c r="G41">
        <v>9791136995032</v>
      </c>
      <c r="H41" t="s">
        <v>36</v>
      </c>
      <c r="I41" t="s">
        <v>134</v>
      </c>
      <c r="J41" t="s">
        <v>135</v>
      </c>
      <c r="K41" t="s">
        <v>29</v>
      </c>
      <c r="L41" s="1">
        <v>3800</v>
      </c>
      <c r="M41" t="s">
        <v>136</v>
      </c>
      <c r="N41">
        <v>412</v>
      </c>
      <c r="O41">
        <v>375</v>
      </c>
      <c r="P41" t="s">
        <v>137</v>
      </c>
      <c r="Q41" s="2">
        <v>0.7</v>
      </c>
      <c r="R41">
        <v>262</v>
      </c>
      <c r="S41" t="s">
        <v>29</v>
      </c>
      <c r="T41" s="1">
        <v>2445</v>
      </c>
      <c r="U41">
        <v>9.3432700000000004</v>
      </c>
      <c r="V41" t="str">
        <f>VLOOKUP(H41,'[1]팀별 출판사'!A:B,2,0)</f>
        <v>소설2팀</v>
      </c>
      <c r="W41" s="6">
        <f t="shared" si="0"/>
        <v>0</v>
      </c>
      <c r="X41" s="6">
        <f t="shared" si="1"/>
        <v>2445</v>
      </c>
    </row>
    <row r="42" spans="1:24" x14ac:dyDescent="0.3">
      <c r="A42" t="s">
        <v>21</v>
      </c>
      <c r="B42" t="s">
        <v>133</v>
      </c>
      <c r="C42" t="s">
        <v>23</v>
      </c>
      <c r="D42" t="s">
        <v>24</v>
      </c>
      <c r="E42" t="s">
        <v>25</v>
      </c>
      <c r="F42">
        <v>1</v>
      </c>
      <c r="G42">
        <v>9791136994578</v>
      </c>
      <c r="H42" t="s">
        <v>36</v>
      </c>
      <c r="I42" t="s">
        <v>138</v>
      </c>
      <c r="J42" t="s">
        <v>135</v>
      </c>
      <c r="K42" t="s">
        <v>29</v>
      </c>
      <c r="L42" s="1">
        <v>3800</v>
      </c>
      <c r="M42" t="s">
        <v>136</v>
      </c>
      <c r="N42">
        <v>412</v>
      </c>
      <c r="O42">
        <v>375</v>
      </c>
      <c r="P42" t="s">
        <v>137</v>
      </c>
      <c r="Q42" s="2">
        <v>0.7</v>
      </c>
      <c r="R42">
        <v>262</v>
      </c>
      <c r="S42" t="s">
        <v>29</v>
      </c>
      <c r="T42" s="1">
        <v>2445</v>
      </c>
      <c r="U42">
        <v>9.3432700000000004</v>
      </c>
      <c r="V42" t="str">
        <f>VLOOKUP(H42,'[1]팀별 출판사'!A:B,2,0)</f>
        <v>소설2팀</v>
      </c>
      <c r="W42" s="6">
        <f t="shared" si="0"/>
        <v>0</v>
      </c>
      <c r="X42" s="6">
        <f t="shared" si="1"/>
        <v>2445</v>
      </c>
    </row>
    <row r="43" spans="1:24" x14ac:dyDescent="0.3">
      <c r="A43" t="s">
        <v>21</v>
      </c>
      <c r="B43" t="s">
        <v>133</v>
      </c>
      <c r="C43" t="s">
        <v>23</v>
      </c>
      <c r="D43" t="s">
        <v>24</v>
      </c>
      <c r="E43" t="s">
        <v>25</v>
      </c>
      <c r="F43">
        <v>1</v>
      </c>
      <c r="G43">
        <v>9791136995155</v>
      </c>
      <c r="H43" t="s">
        <v>36</v>
      </c>
      <c r="I43" t="s">
        <v>139</v>
      </c>
      <c r="J43" t="s">
        <v>135</v>
      </c>
      <c r="K43" t="s">
        <v>29</v>
      </c>
      <c r="L43" s="1">
        <v>3800</v>
      </c>
      <c r="M43" t="s">
        <v>136</v>
      </c>
      <c r="N43">
        <v>412</v>
      </c>
      <c r="O43">
        <v>375</v>
      </c>
      <c r="P43" t="s">
        <v>137</v>
      </c>
      <c r="Q43" s="2">
        <v>0.7</v>
      </c>
      <c r="R43">
        <v>262</v>
      </c>
      <c r="S43" t="s">
        <v>29</v>
      </c>
      <c r="T43" s="1">
        <v>2445</v>
      </c>
      <c r="U43">
        <v>9.3432700000000004</v>
      </c>
      <c r="V43" t="str">
        <f>VLOOKUP(H43,'[1]팀별 출판사'!A:B,2,0)</f>
        <v>소설2팀</v>
      </c>
      <c r="W43" s="6">
        <f t="shared" si="0"/>
        <v>0</v>
      </c>
      <c r="X43" s="6">
        <f t="shared" si="1"/>
        <v>2445</v>
      </c>
    </row>
    <row r="44" spans="1:24" x14ac:dyDescent="0.3">
      <c r="A44" t="s">
        <v>21</v>
      </c>
      <c r="B44" t="s">
        <v>133</v>
      </c>
      <c r="C44" t="s">
        <v>23</v>
      </c>
      <c r="D44" t="s">
        <v>24</v>
      </c>
      <c r="E44" t="s">
        <v>25</v>
      </c>
      <c r="F44">
        <v>1</v>
      </c>
      <c r="G44">
        <v>9791136995193</v>
      </c>
      <c r="H44" t="s">
        <v>36</v>
      </c>
      <c r="I44" t="s">
        <v>140</v>
      </c>
      <c r="J44" t="s">
        <v>135</v>
      </c>
      <c r="K44" t="s">
        <v>29</v>
      </c>
      <c r="L44" s="1">
        <v>3800</v>
      </c>
      <c r="M44" t="s">
        <v>136</v>
      </c>
      <c r="N44">
        <v>412</v>
      </c>
      <c r="O44">
        <v>375</v>
      </c>
      <c r="P44" t="s">
        <v>137</v>
      </c>
      <c r="Q44" s="2">
        <v>0.7</v>
      </c>
      <c r="R44">
        <v>262</v>
      </c>
      <c r="S44" t="s">
        <v>29</v>
      </c>
      <c r="T44" s="1">
        <v>2445</v>
      </c>
      <c r="U44">
        <v>9.3432700000000004</v>
      </c>
      <c r="V44" t="str">
        <f>VLOOKUP(H44,'[1]팀별 출판사'!A:B,2,0)</f>
        <v>소설2팀</v>
      </c>
      <c r="W44" s="6">
        <f t="shared" si="0"/>
        <v>0</v>
      </c>
      <c r="X44" s="6">
        <f t="shared" si="1"/>
        <v>2445</v>
      </c>
    </row>
    <row r="45" spans="1:24" x14ac:dyDescent="0.3">
      <c r="A45" t="s">
        <v>21</v>
      </c>
      <c r="B45" t="s">
        <v>133</v>
      </c>
      <c r="C45" t="s">
        <v>23</v>
      </c>
      <c r="D45" t="s">
        <v>24</v>
      </c>
      <c r="E45" t="s">
        <v>25</v>
      </c>
      <c r="F45">
        <v>1</v>
      </c>
      <c r="G45">
        <v>9791194664222</v>
      </c>
      <c r="H45" t="s">
        <v>36</v>
      </c>
      <c r="I45" t="s">
        <v>141</v>
      </c>
      <c r="J45" t="s">
        <v>135</v>
      </c>
      <c r="K45" t="s">
        <v>29</v>
      </c>
      <c r="L45" s="1">
        <v>2000</v>
      </c>
      <c r="M45" t="s">
        <v>136</v>
      </c>
      <c r="N45">
        <v>217</v>
      </c>
      <c r="O45">
        <v>197</v>
      </c>
      <c r="P45" t="s">
        <v>137</v>
      </c>
      <c r="Q45" s="2">
        <v>0.7</v>
      </c>
      <c r="R45">
        <v>138</v>
      </c>
      <c r="S45" t="s">
        <v>29</v>
      </c>
      <c r="T45" s="1">
        <v>1288</v>
      </c>
      <c r="U45">
        <v>9.3432700000000004</v>
      </c>
      <c r="V45" t="str">
        <f>VLOOKUP(H45,'[1]팀별 출판사'!A:B,2,0)</f>
        <v>소설2팀</v>
      </c>
      <c r="W45" s="6">
        <f t="shared" si="0"/>
        <v>0</v>
      </c>
      <c r="X45" s="6">
        <f t="shared" si="1"/>
        <v>1288</v>
      </c>
    </row>
    <row r="46" spans="1:24" x14ac:dyDescent="0.3">
      <c r="A46" t="s">
        <v>21</v>
      </c>
      <c r="B46" t="s">
        <v>142</v>
      </c>
      <c r="C46" t="s">
        <v>23</v>
      </c>
      <c r="D46" t="s">
        <v>24</v>
      </c>
      <c r="E46" t="s">
        <v>25</v>
      </c>
      <c r="F46">
        <v>1</v>
      </c>
      <c r="G46">
        <v>9791133108879</v>
      </c>
      <c r="H46" t="s">
        <v>32</v>
      </c>
      <c r="I46" t="s">
        <v>143</v>
      </c>
      <c r="J46" t="s">
        <v>144</v>
      </c>
      <c r="K46" t="s">
        <v>29</v>
      </c>
      <c r="L46">
        <v>0</v>
      </c>
      <c r="M46" t="s">
        <v>29</v>
      </c>
      <c r="N46">
        <v>0</v>
      </c>
      <c r="O46">
        <v>0</v>
      </c>
      <c r="P46" t="s">
        <v>30</v>
      </c>
      <c r="Q46" s="2">
        <v>0.7</v>
      </c>
      <c r="R46">
        <v>0</v>
      </c>
      <c r="V46" t="str">
        <f>VLOOKUP(H46,'[1]팀별 출판사'!A:B,2,0)</f>
        <v>소설1팀</v>
      </c>
      <c r="W46" s="6">
        <f t="shared" si="0"/>
        <v>0</v>
      </c>
      <c r="X46" s="6">
        <f t="shared" si="1"/>
        <v>0</v>
      </c>
    </row>
    <row r="47" spans="1:24" x14ac:dyDescent="0.3">
      <c r="A47" t="s">
        <v>21</v>
      </c>
      <c r="B47" t="s">
        <v>145</v>
      </c>
      <c r="C47" t="s">
        <v>23</v>
      </c>
      <c r="D47" t="s">
        <v>24</v>
      </c>
      <c r="E47" t="s">
        <v>25</v>
      </c>
      <c r="F47">
        <v>1</v>
      </c>
      <c r="G47">
        <v>9791194664567</v>
      </c>
      <c r="H47" t="s">
        <v>26</v>
      </c>
      <c r="I47" t="s">
        <v>146</v>
      </c>
      <c r="J47" t="s">
        <v>147</v>
      </c>
      <c r="K47" t="s">
        <v>29</v>
      </c>
      <c r="L47" s="1">
        <v>3200</v>
      </c>
      <c r="M47" t="s">
        <v>148</v>
      </c>
      <c r="N47">
        <v>22.34</v>
      </c>
      <c r="O47">
        <v>22.34</v>
      </c>
      <c r="P47" t="s">
        <v>149</v>
      </c>
      <c r="Q47" s="2">
        <v>0.7</v>
      </c>
      <c r="R47">
        <v>15.64</v>
      </c>
      <c r="S47" t="s">
        <v>29</v>
      </c>
      <c r="T47" s="1">
        <v>2344</v>
      </c>
      <c r="U47">
        <v>150.13052999999999</v>
      </c>
      <c r="V47" t="str">
        <f>VLOOKUP(H47,'[1]팀별 출판사'!A:B,2,0)</f>
        <v>소설1팀</v>
      </c>
      <c r="W47" s="6">
        <f t="shared" si="0"/>
        <v>0</v>
      </c>
      <c r="X47" s="6">
        <f t="shared" si="1"/>
        <v>2344</v>
      </c>
    </row>
    <row r="48" spans="1:24" x14ac:dyDescent="0.3">
      <c r="A48" t="s">
        <v>21</v>
      </c>
      <c r="B48" t="s">
        <v>150</v>
      </c>
      <c r="C48" t="s">
        <v>23</v>
      </c>
      <c r="D48" t="s">
        <v>24</v>
      </c>
      <c r="E48" t="s">
        <v>25</v>
      </c>
      <c r="F48">
        <v>1</v>
      </c>
      <c r="G48">
        <v>9791136930491</v>
      </c>
      <c r="H48" t="s">
        <v>26</v>
      </c>
      <c r="I48" t="s">
        <v>151</v>
      </c>
      <c r="J48" t="s">
        <v>46</v>
      </c>
      <c r="K48" t="s">
        <v>29</v>
      </c>
      <c r="L48">
        <v>0</v>
      </c>
      <c r="M48" t="s">
        <v>152</v>
      </c>
      <c r="N48">
        <v>0</v>
      </c>
      <c r="O48">
        <v>0</v>
      </c>
      <c r="P48" t="s">
        <v>153</v>
      </c>
      <c r="Q48" s="2">
        <v>0.7</v>
      </c>
      <c r="R48">
        <v>0</v>
      </c>
      <c r="V48" t="str">
        <f>VLOOKUP(H48,'[1]팀별 출판사'!A:B,2,0)</f>
        <v>소설1팀</v>
      </c>
      <c r="W48" s="6">
        <f t="shared" si="0"/>
        <v>0</v>
      </c>
      <c r="X48" s="6">
        <f t="shared" si="1"/>
        <v>0</v>
      </c>
    </row>
    <row r="49" spans="1:24" x14ac:dyDescent="0.3">
      <c r="A49" t="s">
        <v>21</v>
      </c>
      <c r="B49" t="s">
        <v>154</v>
      </c>
      <c r="C49" t="s">
        <v>23</v>
      </c>
      <c r="D49" t="s">
        <v>24</v>
      </c>
      <c r="E49" t="s">
        <v>25</v>
      </c>
      <c r="F49">
        <v>1</v>
      </c>
      <c r="G49">
        <v>9791136945013</v>
      </c>
      <c r="H49" t="s">
        <v>26</v>
      </c>
      <c r="I49" t="s">
        <v>125</v>
      </c>
      <c r="J49" t="s">
        <v>126</v>
      </c>
      <c r="K49" t="s">
        <v>29</v>
      </c>
      <c r="L49">
        <v>0</v>
      </c>
      <c r="M49" t="s">
        <v>152</v>
      </c>
      <c r="N49">
        <v>0</v>
      </c>
      <c r="O49">
        <v>0</v>
      </c>
      <c r="P49" t="s">
        <v>153</v>
      </c>
      <c r="Q49" s="2">
        <v>0.7</v>
      </c>
      <c r="R49">
        <v>0</v>
      </c>
      <c r="V49" t="str">
        <f>VLOOKUP(H49,'[1]팀별 출판사'!A:B,2,0)</f>
        <v>소설1팀</v>
      </c>
      <c r="W49" s="6">
        <f t="shared" si="0"/>
        <v>0</v>
      </c>
      <c r="X49" s="6">
        <f t="shared" si="1"/>
        <v>0</v>
      </c>
    </row>
    <row r="50" spans="1:24" x14ac:dyDescent="0.3">
      <c r="A50" t="s">
        <v>21</v>
      </c>
      <c r="B50" t="s">
        <v>155</v>
      </c>
      <c r="C50" t="s">
        <v>23</v>
      </c>
      <c r="D50" t="s">
        <v>24</v>
      </c>
      <c r="E50" t="s">
        <v>25</v>
      </c>
      <c r="F50">
        <v>1</v>
      </c>
      <c r="G50">
        <v>9791194664369</v>
      </c>
      <c r="H50" t="s">
        <v>79</v>
      </c>
      <c r="I50" t="s">
        <v>156</v>
      </c>
      <c r="J50" t="s">
        <v>157</v>
      </c>
      <c r="K50" t="s">
        <v>29</v>
      </c>
      <c r="L50">
        <v>0</v>
      </c>
      <c r="M50" t="s">
        <v>152</v>
      </c>
      <c r="N50">
        <v>0</v>
      </c>
      <c r="O50">
        <v>0</v>
      </c>
      <c r="P50" t="s">
        <v>153</v>
      </c>
      <c r="Q50" s="2">
        <v>0.7</v>
      </c>
      <c r="R50">
        <v>0</v>
      </c>
      <c r="V50" t="str">
        <f>VLOOKUP(H50,'[1]팀별 출판사'!A:B,2,0)</f>
        <v>소설1팀</v>
      </c>
      <c r="W50" s="6">
        <f t="shared" si="0"/>
        <v>0</v>
      </c>
      <c r="X50" s="6">
        <f t="shared" si="1"/>
        <v>0</v>
      </c>
    </row>
    <row r="51" spans="1:24" x14ac:dyDescent="0.3">
      <c r="A51" t="s">
        <v>21</v>
      </c>
      <c r="B51" t="s">
        <v>158</v>
      </c>
      <c r="C51" t="s">
        <v>23</v>
      </c>
      <c r="D51" t="s">
        <v>24</v>
      </c>
      <c r="E51" t="s">
        <v>25</v>
      </c>
      <c r="F51">
        <v>1</v>
      </c>
      <c r="G51">
        <v>9791133101863</v>
      </c>
      <c r="H51" t="s">
        <v>32</v>
      </c>
      <c r="I51" t="s">
        <v>159</v>
      </c>
      <c r="J51" t="s">
        <v>160</v>
      </c>
      <c r="K51" t="s">
        <v>29</v>
      </c>
      <c r="L51">
        <v>0</v>
      </c>
      <c r="M51" t="s">
        <v>29</v>
      </c>
      <c r="N51">
        <v>0</v>
      </c>
      <c r="O51">
        <v>0</v>
      </c>
      <c r="P51" t="s">
        <v>30</v>
      </c>
      <c r="Q51" s="2">
        <v>0.7</v>
      </c>
      <c r="R51">
        <v>0</v>
      </c>
      <c r="V51" t="str">
        <f>VLOOKUP(H51,'[1]팀별 출판사'!A:B,2,0)</f>
        <v>소설1팀</v>
      </c>
      <c r="W51" s="6">
        <f t="shared" si="0"/>
        <v>0</v>
      </c>
      <c r="X51" s="6">
        <f t="shared" si="1"/>
        <v>0</v>
      </c>
    </row>
    <row r="52" spans="1:24" x14ac:dyDescent="0.3">
      <c r="A52" t="s">
        <v>21</v>
      </c>
      <c r="B52" t="s">
        <v>161</v>
      </c>
      <c r="C52" t="s">
        <v>23</v>
      </c>
      <c r="D52" t="s">
        <v>24</v>
      </c>
      <c r="E52" t="s">
        <v>25</v>
      </c>
      <c r="F52">
        <v>1</v>
      </c>
      <c r="G52">
        <v>9791136958662</v>
      </c>
      <c r="H52" t="s">
        <v>79</v>
      </c>
      <c r="I52" t="s">
        <v>162</v>
      </c>
      <c r="J52" t="s">
        <v>81</v>
      </c>
      <c r="K52" t="s">
        <v>29</v>
      </c>
      <c r="L52">
        <v>0</v>
      </c>
      <c r="M52" t="s">
        <v>29</v>
      </c>
      <c r="N52">
        <v>0</v>
      </c>
      <c r="O52">
        <v>0</v>
      </c>
      <c r="P52" t="s">
        <v>30</v>
      </c>
      <c r="Q52" s="2">
        <v>0.7</v>
      </c>
      <c r="R52">
        <v>0</v>
      </c>
      <c r="V52" t="str">
        <f>VLOOKUP(H52,'[1]팀별 출판사'!A:B,2,0)</f>
        <v>소설1팀</v>
      </c>
      <c r="W52" s="6">
        <f t="shared" si="0"/>
        <v>0</v>
      </c>
      <c r="X52" s="6">
        <f t="shared" si="1"/>
        <v>0</v>
      </c>
    </row>
    <row r="53" spans="1:24" x14ac:dyDescent="0.3">
      <c r="A53" t="s">
        <v>21</v>
      </c>
      <c r="B53" t="s">
        <v>163</v>
      </c>
      <c r="C53" t="s">
        <v>23</v>
      </c>
      <c r="D53" t="s">
        <v>24</v>
      </c>
      <c r="E53" t="s">
        <v>25</v>
      </c>
      <c r="F53">
        <v>1</v>
      </c>
      <c r="G53" t="s">
        <v>164</v>
      </c>
      <c r="H53" t="s">
        <v>32</v>
      </c>
      <c r="I53" t="s">
        <v>165</v>
      </c>
      <c r="J53" t="s">
        <v>166</v>
      </c>
      <c r="K53" t="s">
        <v>29</v>
      </c>
      <c r="L53">
        <v>0</v>
      </c>
      <c r="M53" t="s">
        <v>29</v>
      </c>
      <c r="N53">
        <v>0</v>
      </c>
      <c r="O53">
        <v>0</v>
      </c>
      <c r="P53" t="s">
        <v>30</v>
      </c>
      <c r="Q53" s="2">
        <v>0.7</v>
      </c>
      <c r="R53">
        <v>0</v>
      </c>
      <c r="V53" t="str">
        <f>VLOOKUP(H53,'[1]팀별 출판사'!A:B,2,0)</f>
        <v>소설1팀</v>
      </c>
      <c r="W53" s="6">
        <f t="shared" si="0"/>
        <v>0</v>
      </c>
      <c r="X53" s="6">
        <f t="shared" si="1"/>
        <v>0</v>
      </c>
    </row>
    <row r="54" spans="1:24" x14ac:dyDescent="0.3">
      <c r="A54" t="s">
        <v>21</v>
      </c>
      <c r="B54" t="s">
        <v>167</v>
      </c>
      <c r="C54" t="s">
        <v>23</v>
      </c>
      <c r="D54" t="s">
        <v>24</v>
      </c>
      <c r="E54" t="s">
        <v>25</v>
      </c>
      <c r="F54">
        <v>1</v>
      </c>
      <c r="G54">
        <v>9791157532179</v>
      </c>
      <c r="H54" t="s">
        <v>32</v>
      </c>
      <c r="I54" t="s">
        <v>168</v>
      </c>
      <c r="J54" t="s">
        <v>112</v>
      </c>
      <c r="K54" t="s">
        <v>29</v>
      </c>
      <c r="L54" s="1">
        <v>3200</v>
      </c>
      <c r="M54" t="s">
        <v>29</v>
      </c>
      <c r="N54" s="1">
        <v>3200</v>
      </c>
      <c r="O54" s="1">
        <v>3200</v>
      </c>
      <c r="P54" t="s">
        <v>30</v>
      </c>
      <c r="Q54" s="2">
        <v>0.7</v>
      </c>
      <c r="R54" s="1">
        <v>2240</v>
      </c>
      <c r="S54" t="s">
        <v>29</v>
      </c>
      <c r="T54" s="1">
        <v>2240</v>
      </c>
      <c r="V54" t="str">
        <f>VLOOKUP(H54,'[1]팀별 출판사'!A:B,2,0)</f>
        <v>소설1팀</v>
      </c>
      <c r="W54" s="6">
        <f t="shared" si="0"/>
        <v>0</v>
      </c>
      <c r="X54" s="6">
        <f t="shared" si="1"/>
        <v>2240</v>
      </c>
    </row>
    <row r="55" spans="1:24" x14ac:dyDescent="0.3">
      <c r="A55" t="s">
        <v>21</v>
      </c>
      <c r="B55" t="s">
        <v>169</v>
      </c>
      <c r="C55" t="s">
        <v>23</v>
      </c>
      <c r="D55" t="s">
        <v>24</v>
      </c>
      <c r="E55" t="s">
        <v>25</v>
      </c>
      <c r="F55">
        <v>1</v>
      </c>
      <c r="G55">
        <v>9791172924911</v>
      </c>
      <c r="H55" t="s">
        <v>26</v>
      </c>
      <c r="I55" t="s">
        <v>170</v>
      </c>
      <c r="J55" t="s">
        <v>62</v>
      </c>
      <c r="K55" t="s">
        <v>29</v>
      </c>
      <c r="L55" s="1">
        <v>3200</v>
      </c>
      <c r="M55" t="s">
        <v>29</v>
      </c>
      <c r="N55" s="1">
        <v>3200</v>
      </c>
      <c r="O55" s="1">
        <v>3200</v>
      </c>
      <c r="P55" t="s">
        <v>30</v>
      </c>
      <c r="Q55" s="2">
        <v>0.7</v>
      </c>
      <c r="R55" s="1">
        <v>2240</v>
      </c>
      <c r="S55" t="s">
        <v>29</v>
      </c>
      <c r="T55" s="1">
        <v>2240</v>
      </c>
      <c r="V55" t="str">
        <f>VLOOKUP(H55,'[1]팀별 출판사'!A:B,2,0)</f>
        <v>소설1팀</v>
      </c>
      <c r="W55" s="6">
        <f t="shared" si="0"/>
        <v>0</v>
      </c>
      <c r="X55" s="6">
        <f t="shared" si="1"/>
        <v>2240</v>
      </c>
    </row>
    <row r="56" spans="1:24" x14ac:dyDescent="0.3">
      <c r="A56" t="s">
        <v>21</v>
      </c>
      <c r="B56" t="s">
        <v>171</v>
      </c>
      <c r="C56" t="s">
        <v>23</v>
      </c>
      <c r="D56" t="s">
        <v>24</v>
      </c>
      <c r="E56" t="s">
        <v>25</v>
      </c>
      <c r="F56">
        <v>1</v>
      </c>
      <c r="G56">
        <v>9791136930224</v>
      </c>
      <c r="H56" t="s">
        <v>32</v>
      </c>
      <c r="I56" t="s">
        <v>172</v>
      </c>
      <c r="J56" t="s">
        <v>46</v>
      </c>
      <c r="K56" t="s">
        <v>29</v>
      </c>
      <c r="L56">
        <v>0</v>
      </c>
      <c r="M56" t="s">
        <v>47</v>
      </c>
      <c r="N56">
        <v>0</v>
      </c>
      <c r="O56">
        <v>0</v>
      </c>
      <c r="P56" t="s">
        <v>48</v>
      </c>
      <c r="Q56" s="2">
        <v>0.7</v>
      </c>
      <c r="R56">
        <v>0</v>
      </c>
      <c r="V56" t="str">
        <f>VLOOKUP(H56,'[1]팀별 출판사'!A:B,2,0)</f>
        <v>소설1팀</v>
      </c>
      <c r="W56" s="6">
        <f t="shared" si="0"/>
        <v>0</v>
      </c>
      <c r="X56" s="6">
        <f t="shared" si="1"/>
        <v>0</v>
      </c>
    </row>
    <row r="57" spans="1:24" x14ac:dyDescent="0.3">
      <c r="A57" t="s">
        <v>21</v>
      </c>
      <c r="B57" t="s">
        <v>173</v>
      </c>
      <c r="C57" t="s">
        <v>23</v>
      </c>
      <c r="D57" t="s">
        <v>24</v>
      </c>
      <c r="E57" t="s">
        <v>25</v>
      </c>
      <c r="F57">
        <v>1</v>
      </c>
      <c r="G57">
        <v>9791170105619</v>
      </c>
      <c r="H57" t="s">
        <v>67</v>
      </c>
      <c r="I57" t="s">
        <v>174</v>
      </c>
      <c r="J57" t="s">
        <v>175</v>
      </c>
      <c r="K57" t="s">
        <v>29</v>
      </c>
      <c r="L57">
        <v>0</v>
      </c>
      <c r="M57" t="s">
        <v>83</v>
      </c>
      <c r="N57">
        <v>0</v>
      </c>
      <c r="O57">
        <v>0</v>
      </c>
      <c r="P57" t="s">
        <v>84</v>
      </c>
      <c r="Q57" s="2">
        <v>0.7</v>
      </c>
      <c r="R57">
        <v>0</v>
      </c>
      <c r="V57" t="str">
        <f>VLOOKUP(H57,'[1]팀별 출판사'!A:B,2,0)</f>
        <v>소설1팀</v>
      </c>
      <c r="W57" s="6">
        <f t="shared" si="0"/>
        <v>0</v>
      </c>
      <c r="X57" s="6">
        <f t="shared" si="1"/>
        <v>0</v>
      </c>
    </row>
    <row r="58" spans="1:24" x14ac:dyDescent="0.3">
      <c r="A58" t="s">
        <v>21</v>
      </c>
      <c r="B58" t="s">
        <v>176</v>
      </c>
      <c r="C58" t="s">
        <v>23</v>
      </c>
      <c r="D58" t="s">
        <v>24</v>
      </c>
      <c r="E58" t="s">
        <v>25</v>
      </c>
      <c r="F58">
        <v>1</v>
      </c>
      <c r="G58">
        <v>9791133145782</v>
      </c>
      <c r="H58" t="s">
        <v>32</v>
      </c>
      <c r="I58" t="s">
        <v>177</v>
      </c>
      <c r="J58" t="s">
        <v>178</v>
      </c>
      <c r="K58" t="s">
        <v>29</v>
      </c>
      <c r="L58">
        <v>0</v>
      </c>
      <c r="M58" t="s">
        <v>29</v>
      </c>
      <c r="N58">
        <v>0</v>
      </c>
      <c r="O58">
        <v>0</v>
      </c>
      <c r="P58" t="s">
        <v>30</v>
      </c>
      <c r="Q58" s="2">
        <v>0.7</v>
      </c>
      <c r="R58">
        <v>0</v>
      </c>
      <c r="V58" t="str">
        <f>VLOOKUP(H58,'[1]팀별 출판사'!A:B,2,0)</f>
        <v>소설1팀</v>
      </c>
      <c r="W58" s="6">
        <f t="shared" si="0"/>
        <v>0</v>
      </c>
      <c r="X58" s="6">
        <f t="shared" si="1"/>
        <v>0</v>
      </c>
    </row>
    <row r="59" spans="1:24" x14ac:dyDescent="0.3">
      <c r="A59" t="s">
        <v>21</v>
      </c>
      <c r="B59" t="s">
        <v>179</v>
      </c>
      <c r="C59" t="s">
        <v>23</v>
      </c>
      <c r="D59" t="s">
        <v>24</v>
      </c>
      <c r="E59" t="s">
        <v>25</v>
      </c>
      <c r="F59">
        <v>1</v>
      </c>
      <c r="G59">
        <v>9791136942142</v>
      </c>
      <c r="H59" t="s">
        <v>26</v>
      </c>
      <c r="I59" t="s">
        <v>180</v>
      </c>
      <c r="J59" t="s">
        <v>46</v>
      </c>
      <c r="K59" t="s">
        <v>29</v>
      </c>
      <c r="L59">
        <v>0</v>
      </c>
      <c r="M59" t="s">
        <v>47</v>
      </c>
      <c r="N59">
        <v>0</v>
      </c>
      <c r="O59">
        <v>0</v>
      </c>
      <c r="P59" t="s">
        <v>48</v>
      </c>
      <c r="Q59" s="2">
        <v>0.7</v>
      </c>
      <c r="R59">
        <v>0</v>
      </c>
      <c r="V59" t="str">
        <f>VLOOKUP(H59,'[1]팀별 출판사'!A:B,2,0)</f>
        <v>소설1팀</v>
      </c>
      <c r="W59" s="6">
        <f t="shared" si="0"/>
        <v>0</v>
      </c>
      <c r="X59" s="6">
        <f t="shared" si="1"/>
        <v>0</v>
      </c>
    </row>
    <row r="60" spans="1:24" x14ac:dyDescent="0.3">
      <c r="A60" t="s">
        <v>21</v>
      </c>
      <c r="B60" t="s">
        <v>181</v>
      </c>
      <c r="C60" t="s">
        <v>23</v>
      </c>
      <c r="D60" t="s">
        <v>24</v>
      </c>
      <c r="E60" t="s">
        <v>25</v>
      </c>
      <c r="F60">
        <v>1</v>
      </c>
      <c r="G60">
        <v>9791136989055</v>
      </c>
      <c r="H60" t="s">
        <v>79</v>
      </c>
      <c r="I60" t="s">
        <v>182</v>
      </c>
      <c r="J60" t="s">
        <v>183</v>
      </c>
      <c r="K60" t="s">
        <v>29</v>
      </c>
      <c r="L60">
        <v>0</v>
      </c>
      <c r="M60" t="s">
        <v>29</v>
      </c>
      <c r="N60">
        <v>0</v>
      </c>
      <c r="O60">
        <v>0</v>
      </c>
      <c r="P60" t="s">
        <v>30</v>
      </c>
      <c r="Q60" s="2">
        <v>0.7</v>
      </c>
      <c r="R60">
        <v>0</v>
      </c>
      <c r="V60" t="str">
        <f>VLOOKUP(H60,'[1]팀별 출판사'!A:B,2,0)</f>
        <v>소설1팀</v>
      </c>
      <c r="W60" s="6">
        <f t="shared" si="0"/>
        <v>0</v>
      </c>
      <c r="X60" s="6">
        <f t="shared" si="1"/>
        <v>0</v>
      </c>
    </row>
    <row r="61" spans="1:24" x14ac:dyDescent="0.3">
      <c r="A61" t="s">
        <v>21</v>
      </c>
      <c r="B61" t="s">
        <v>184</v>
      </c>
      <c r="C61" t="s">
        <v>23</v>
      </c>
      <c r="D61" t="s">
        <v>24</v>
      </c>
      <c r="E61" t="s">
        <v>25</v>
      </c>
      <c r="F61">
        <v>1</v>
      </c>
      <c r="G61">
        <v>9791136930552</v>
      </c>
      <c r="H61" t="s">
        <v>26</v>
      </c>
      <c r="I61" t="s">
        <v>45</v>
      </c>
      <c r="J61" t="s">
        <v>46</v>
      </c>
      <c r="K61" t="s">
        <v>29</v>
      </c>
      <c r="L61">
        <v>0</v>
      </c>
      <c r="M61" t="s">
        <v>47</v>
      </c>
      <c r="N61">
        <v>0</v>
      </c>
      <c r="O61">
        <v>0</v>
      </c>
      <c r="P61" t="s">
        <v>48</v>
      </c>
      <c r="Q61" s="2">
        <v>0.7</v>
      </c>
      <c r="R61">
        <v>0</v>
      </c>
      <c r="V61" t="str">
        <f>VLOOKUP(H61,'[1]팀별 출판사'!A:B,2,0)</f>
        <v>소설1팀</v>
      </c>
      <c r="W61" s="6">
        <f t="shared" si="0"/>
        <v>0</v>
      </c>
      <c r="X61" s="6">
        <f t="shared" si="1"/>
        <v>0</v>
      </c>
    </row>
    <row r="62" spans="1:24" x14ac:dyDescent="0.3">
      <c r="A62" t="s">
        <v>21</v>
      </c>
      <c r="B62" t="s">
        <v>185</v>
      </c>
      <c r="C62" t="s">
        <v>23</v>
      </c>
      <c r="D62" t="s">
        <v>24</v>
      </c>
      <c r="E62" t="s">
        <v>25</v>
      </c>
      <c r="F62">
        <v>1</v>
      </c>
      <c r="G62">
        <v>9791157533572</v>
      </c>
      <c r="H62" t="s">
        <v>32</v>
      </c>
      <c r="I62" t="s">
        <v>186</v>
      </c>
      <c r="J62" t="s">
        <v>187</v>
      </c>
      <c r="K62" t="s">
        <v>29</v>
      </c>
      <c r="L62" s="1">
        <v>3200</v>
      </c>
      <c r="M62" t="s">
        <v>29</v>
      </c>
      <c r="N62" s="1">
        <v>3200</v>
      </c>
      <c r="O62" s="1">
        <v>3200</v>
      </c>
      <c r="P62" t="s">
        <v>30</v>
      </c>
      <c r="Q62" s="2">
        <v>0.7</v>
      </c>
      <c r="R62" s="1">
        <v>2240</v>
      </c>
      <c r="S62" t="s">
        <v>29</v>
      </c>
      <c r="T62" s="1">
        <v>2240</v>
      </c>
      <c r="V62" t="str">
        <f>VLOOKUP(H62,'[1]팀별 출판사'!A:B,2,0)</f>
        <v>소설1팀</v>
      </c>
      <c r="W62" s="6">
        <f t="shared" si="0"/>
        <v>0</v>
      </c>
      <c r="X62" s="6">
        <f t="shared" si="1"/>
        <v>2240</v>
      </c>
    </row>
    <row r="63" spans="1:24" x14ac:dyDescent="0.3">
      <c r="A63" t="s">
        <v>21</v>
      </c>
      <c r="B63" t="s">
        <v>188</v>
      </c>
      <c r="C63" t="s">
        <v>23</v>
      </c>
      <c r="D63" t="s">
        <v>24</v>
      </c>
      <c r="E63" t="s">
        <v>25</v>
      </c>
      <c r="F63">
        <v>1</v>
      </c>
      <c r="G63">
        <v>9791136931375</v>
      </c>
      <c r="H63" t="s">
        <v>32</v>
      </c>
      <c r="I63" t="s">
        <v>189</v>
      </c>
      <c r="J63" t="s">
        <v>46</v>
      </c>
      <c r="K63" t="s">
        <v>29</v>
      </c>
      <c r="L63">
        <v>0</v>
      </c>
      <c r="M63" t="s">
        <v>152</v>
      </c>
      <c r="N63">
        <v>0</v>
      </c>
      <c r="O63">
        <v>0</v>
      </c>
      <c r="P63" t="s">
        <v>153</v>
      </c>
      <c r="Q63" s="2">
        <v>0.7</v>
      </c>
      <c r="R63">
        <v>0</v>
      </c>
      <c r="V63" t="str">
        <f>VLOOKUP(H63,'[1]팀별 출판사'!A:B,2,0)</f>
        <v>소설1팀</v>
      </c>
      <c r="W63" s="6">
        <f t="shared" si="0"/>
        <v>0</v>
      </c>
      <c r="X63" s="6">
        <f t="shared" si="1"/>
        <v>0</v>
      </c>
    </row>
    <row r="64" spans="1:24" x14ac:dyDescent="0.3">
      <c r="A64" t="s">
        <v>21</v>
      </c>
      <c r="B64" t="s">
        <v>190</v>
      </c>
      <c r="C64" t="s">
        <v>23</v>
      </c>
      <c r="D64" t="s">
        <v>24</v>
      </c>
      <c r="E64" t="s">
        <v>25</v>
      </c>
      <c r="F64">
        <v>1</v>
      </c>
      <c r="G64">
        <v>9791173783739</v>
      </c>
      <c r="H64" t="s">
        <v>36</v>
      </c>
      <c r="I64" t="s">
        <v>191</v>
      </c>
      <c r="J64" t="s">
        <v>119</v>
      </c>
      <c r="K64" t="s">
        <v>29</v>
      </c>
      <c r="L64" s="1">
        <v>3600</v>
      </c>
      <c r="M64" t="s">
        <v>120</v>
      </c>
      <c r="N64">
        <v>1.85</v>
      </c>
      <c r="O64">
        <v>1.85</v>
      </c>
      <c r="P64" t="s">
        <v>121</v>
      </c>
      <c r="Q64" s="2">
        <v>0.7</v>
      </c>
      <c r="R64">
        <v>1.29</v>
      </c>
      <c r="S64" t="s">
        <v>29</v>
      </c>
      <c r="T64" s="1">
        <v>2550</v>
      </c>
      <c r="U64" s="3">
        <v>1980.9903899999999</v>
      </c>
      <c r="V64" t="str">
        <f>VLOOKUP(H64,'[1]팀별 출판사'!A:B,2,0)</f>
        <v>소설2팀</v>
      </c>
      <c r="W64" s="6">
        <f t="shared" si="0"/>
        <v>0</v>
      </c>
      <c r="X64" s="6">
        <f t="shared" si="1"/>
        <v>2550</v>
      </c>
    </row>
    <row r="65" spans="1:24" x14ac:dyDescent="0.3">
      <c r="A65" t="s">
        <v>21</v>
      </c>
      <c r="B65" t="s">
        <v>192</v>
      </c>
      <c r="C65" t="s">
        <v>23</v>
      </c>
      <c r="D65" t="s">
        <v>24</v>
      </c>
      <c r="E65" t="s">
        <v>25</v>
      </c>
      <c r="F65">
        <v>1</v>
      </c>
      <c r="G65">
        <v>9791170106715</v>
      </c>
      <c r="H65" t="s">
        <v>67</v>
      </c>
      <c r="I65" t="s">
        <v>68</v>
      </c>
      <c r="J65" t="s">
        <v>69</v>
      </c>
      <c r="K65" t="s">
        <v>29</v>
      </c>
      <c r="L65">
        <v>0</v>
      </c>
      <c r="M65" t="s">
        <v>193</v>
      </c>
      <c r="N65">
        <v>0</v>
      </c>
      <c r="O65">
        <v>0</v>
      </c>
      <c r="P65" t="s">
        <v>194</v>
      </c>
      <c r="Q65" s="2">
        <v>0.7</v>
      </c>
      <c r="R65">
        <v>0</v>
      </c>
      <c r="V65" t="str">
        <f>VLOOKUP(H65,'[1]팀별 출판사'!A:B,2,0)</f>
        <v>소설1팀</v>
      </c>
      <c r="W65" s="6">
        <f t="shared" si="0"/>
        <v>0</v>
      </c>
      <c r="X65" s="6">
        <f t="shared" si="1"/>
        <v>0</v>
      </c>
    </row>
    <row r="66" spans="1:24" x14ac:dyDescent="0.3">
      <c r="A66" t="s">
        <v>21</v>
      </c>
      <c r="B66" t="s">
        <v>195</v>
      </c>
      <c r="C66" t="s">
        <v>23</v>
      </c>
      <c r="D66" t="s">
        <v>24</v>
      </c>
      <c r="E66" t="s">
        <v>25</v>
      </c>
      <c r="F66">
        <v>1</v>
      </c>
      <c r="G66">
        <v>9791172924928</v>
      </c>
      <c r="H66" t="s">
        <v>26</v>
      </c>
      <c r="I66" t="s">
        <v>196</v>
      </c>
      <c r="J66" t="s">
        <v>62</v>
      </c>
      <c r="K66" t="s">
        <v>29</v>
      </c>
      <c r="L66" s="1">
        <v>3200</v>
      </c>
      <c r="M66" t="s">
        <v>29</v>
      </c>
      <c r="N66" s="1">
        <v>3200</v>
      </c>
      <c r="O66" s="1">
        <v>3200</v>
      </c>
      <c r="P66" t="s">
        <v>30</v>
      </c>
      <c r="Q66" s="2">
        <v>0.7</v>
      </c>
      <c r="R66" s="1">
        <v>2240</v>
      </c>
      <c r="S66" t="s">
        <v>29</v>
      </c>
      <c r="T66" s="1">
        <v>2240</v>
      </c>
      <c r="V66" t="str">
        <f>VLOOKUP(H66,'[1]팀별 출판사'!A:B,2,0)</f>
        <v>소설1팀</v>
      </c>
      <c r="W66" s="6">
        <f t="shared" ref="W66:W129" si="2">IF(P66="US", T66*30%, 0)</f>
        <v>0</v>
      </c>
      <c r="X66" s="6">
        <f t="shared" ref="X66:X129" si="3">T66-W66</f>
        <v>2240</v>
      </c>
    </row>
    <row r="67" spans="1:24" x14ac:dyDescent="0.3">
      <c r="A67" t="s">
        <v>21</v>
      </c>
      <c r="B67" t="s">
        <v>197</v>
      </c>
      <c r="C67" t="s">
        <v>23</v>
      </c>
      <c r="D67" t="s">
        <v>24</v>
      </c>
      <c r="E67" t="s">
        <v>25</v>
      </c>
      <c r="F67">
        <v>1</v>
      </c>
      <c r="G67">
        <v>9791136946874</v>
      </c>
      <c r="H67" t="s">
        <v>26</v>
      </c>
      <c r="I67" t="s">
        <v>198</v>
      </c>
      <c r="J67" t="s">
        <v>28</v>
      </c>
      <c r="K67" t="s">
        <v>29</v>
      </c>
      <c r="L67" s="1">
        <v>3200</v>
      </c>
      <c r="M67" t="s">
        <v>29</v>
      </c>
      <c r="N67" s="1">
        <v>3200</v>
      </c>
      <c r="O67" s="1">
        <v>3200</v>
      </c>
      <c r="P67" t="s">
        <v>30</v>
      </c>
      <c r="Q67" s="2">
        <v>0.7</v>
      </c>
      <c r="R67" s="1">
        <v>2240</v>
      </c>
      <c r="S67" t="s">
        <v>29</v>
      </c>
      <c r="T67" s="1">
        <v>2240</v>
      </c>
      <c r="V67" t="str">
        <f>VLOOKUP(H67,'[1]팀별 출판사'!A:B,2,0)</f>
        <v>소설1팀</v>
      </c>
      <c r="W67" s="6">
        <f t="shared" si="2"/>
        <v>0</v>
      </c>
      <c r="X67" s="6">
        <f t="shared" si="3"/>
        <v>2240</v>
      </c>
    </row>
    <row r="68" spans="1:24" x14ac:dyDescent="0.3">
      <c r="A68" t="s">
        <v>21</v>
      </c>
      <c r="B68" t="s">
        <v>199</v>
      </c>
      <c r="C68" t="s">
        <v>23</v>
      </c>
      <c r="D68" t="s">
        <v>24</v>
      </c>
      <c r="E68" t="s">
        <v>25</v>
      </c>
      <c r="F68">
        <v>1</v>
      </c>
      <c r="G68" t="s">
        <v>200</v>
      </c>
      <c r="H68" t="s">
        <v>32</v>
      </c>
      <c r="I68" t="s">
        <v>201</v>
      </c>
      <c r="J68" t="s">
        <v>202</v>
      </c>
      <c r="K68" t="s">
        <v>29</v>
      </c>
      <c r="L68" s="1">
        <v>3200</v>
      </c>
      <c r="M68" t="s">
        <v>29</v>
      </c>
      <c r="N68" s="1">
        <v>3200</v>
      </c>
      <c r="O68" s="1">
        <v>3200</v>
      </c>
      <c r="P68" t="s">
        <v>30</v>
      </c>
      <c r="Q68" s="2">
        <v>0.7</v>
      </c>
      <c r="R68" s="1">
        <v>2240</v>
      </c>
      <c r="S68" t="s">
        <v>29</v>
      </c>
      <c r="T68" s="1">
        <v>2240</v>
      </c>
      <c r="V68" t="str">
        <f>VLOOKUP(H68,'[1]팀별 출판사'!A:B,2,0)</f>
        <v>소설1팀</v>
      </c>
      <c r="W68" s="6">
        <f t="shared" si="2"/>
        <v>0</v>
      </c>
      <c r="X68" s="6">
        <f t="shared" si="3"/>
        <v>2240</v>
      </c>
    </row>
    <row r="69" spans="1:24" x14ac:dyDescent="0.3">
      <c r="A69" t="s">
        <v>21</v>
      </c>
      <c r="B69" t="s">
        <v>203</v>
      </c>
      <c r="C69" t="s">
        <v>23</v>
      </c>
      <c r="D69" t="s">
        <v>24</v>
      </c>
      <c r="E69" t="s">
        <v>25</v>
      </c>
      <c r="F69">
        <v>1</v>
      </c>
      <c r="G69" t="s">
        <v>204</v>
      </c>
      <c r="H69" t="s">
        <v>32</v>
      </c>
      <c r="I69" t="s">
        <v>205</v>
      </c>
      <c r="J69" t="s">
        <v>202</v>
      </c>
      <c r="K69" t="s">
        <v>29</v>
      </c>
      <c r="L69" s="1">
        <v>3200</v>
      </c>
      <c r="M69" t="s">
        <v>29</v>
      </c>
      <c r="N69" s="1">
        <v>3200</v>
      </c>
      <c r="O69" s="1">
        <v>3200</v>
      </c>
      <c r="P69" t="s">
        <v>30</v>
      </c>
      <c r="Q69" s="2">
        <v>0.7</v>
      </c>
      <c r="R69" s="1">
        <v>2240</v>
      </c>
      <c r="S69" t="s">
        <v>29</v>
      </c>
      <c r="T69" s="1">
        <v>2240</v>
      </c>
      <c r="V69" t="str">
        <f>VLOOKUP(H69,'[1]팀별 출판사'!A:B,2,0)</f>
        <v>소설1팀</v>
      </c>
      <c r="W69" s="6">
        <f t="shared" si="2"/>
        <v>0</v>
      </c>
      <c r="X69" s="6">
        <f t="shared" si="3"/>
        <v>2240</v>
      </c>
    </row>
    <row r="70" spans="1:24" x14ac:dyDescent="0.3">
      <c r="A70" t="s">
        <v>21</v>
      </c>
      <c r="B70" t="s">
        <v>206</v>
      </c>
      <c r="C70" t="s">
        <v>23</v>
      </c>
      <c r="D70" t="s">
        <v>24</v>
      </c>
      <c r="E70" t="s">
        <v>25</v>
      </c>
      <c r="F70">
        <v>1</v>
      </c>
      <c r="G70" t="s">
        <v>207</v>
      </c>
      <c r="H70" t="s">
        <v>208</v>
      </c>
      <c r="I70" t="s">
        <v>209</v>
      </c>
      <c r="J70" t="s">
        <v>210</v>
      </c>
      <c r="K70" t="s">
        <v>29</v>
      </c>
      <c r="L70" s="1">
        <v>2000</v>
      </c>
      <c r="M70" t="s">
        <v>29</v>
      </c>
      <c r="N70" s="1">
        <v>2000</v>
      </c>
      <c r="O70" s="1">
        <v>2000</v>
      </c>
      <c r="P70" t="s">
        <v>30</v>
      </c>
      <c r="Q70" s="2">
        <v>0.7</v>
      </c>
      <c r="R70" s="1">
        <v>1400</v>
      </c>
      <c r="S70" t="s">
        <v>29</v>
      </c>
      <c r="T70" s="1">
        <v>1400</v>
      </c>
      <c r="V70" t="str">
        <f>VLOOKUP(H70,'[1]팀별 출판사'!A:B,2,0)</f>
        <v>소설1팀</v>
      </c>
      <c r="W70" s="6">
        <f t="shared" si="2"/>
        <v>0</v>
      </c>
      <c r="X70" s="6">
        <f t="shared" si="3"/>
        <v>1400</v>
      </c>
    </row>
    <row r="71" spans="1:24" x14ac:dyDescent="0.3">
      <c r="A71" t="s">
        <v>21</v>
      </c>
      <c r="B71" t="s">
        <v>211</v>
      </c>
      <c r="C71" t="s">
        <v>23</v>
      </c>
      <c r="D71" t="s">
        <v>24</v>
      </c>
      <c r="E71" t="s">
        <v>25</v>
      </c>
      <c r="F71">
        <v>1</v>
      </c>
      <c r="G71">
        <v>9791136931375</v>
      </c>
      <c r="H71" t="s">
        <v>32</v>
      </c>
      <c r="I71" t="s">
        <v>189</v>
      </c>
      <c r="J71" t="s">
        <v>46</v>
      </c>
      <c r="K71" t="s">
        <v>29</v>
      </c>
      <c r="L71">
        <v>0</v>
      </c>
      <c r="M71" t="s">
        <v>152</v>
      </c>
      <c r="N71">
        <v>0</v>
      </c>
      <c r="O71">
        <v>0</v>
      </c>
      <c r="P71" t="s">
        <v>153</v>
      </c>
      <c r="Q71" s="2">
        <v>0.7</v>
      </c>
      <c r="R71">
        <v>0</v>
      </c>
      <c r="V71" t="str">
        <f>VLOOKUP(H71,'[1]팀별 출판사'!A:B,2,0)</f>
        <v>소설1팀</v>
      </c>
      <c r="W71" s="6">
        <f t="shared" si="2"/>
        <v>0</v>
      </c>
      <c r="X71" s="6">
        <f t="shared" si="3"/>
        <v>0</v>
      </c>
    </row>
    <row r="72" spans="1:24" x14ac:dyDescent="0.3">
      <c r="A72" t="s">
        <v>21</v>
      </c>
      <c r="B72" t="s">
        <v>212</v>
      </c>
      <c r="C72" t="s">
        <v>23</v>
      </c>
      <c r="D72" t="s">
        <v>24</v>
      </c>
      <c r="E72" t="s">
        <v>25</v>
      </c>
      <c r="F72">
        <v>1</v>
      </c>
      <c r="G72">
        <v>9791136931375</v>
      </c>
      <c r="H72" t="s">
        <v>32</v>
      </c>
      <c r="I72" t="s">
        <v>189</v>
      </c>
      <c r="J72" t="s">
        <v>46</v>
      </c>
      <c r="K72" t="s">
        <v>29</v>
      </c>
      <c r="L72">
        <v>0</v>
      </c>
      <c r="M72" t="s">
        <v>47</v>
      </c>
      <c r="N72">
        <v>0</v>
      </c>
      <c r="O72">
        <v>0</v>
      </c>
      <c r="P72" t="s">
        <v>48</v>
      </c>
      <c r="Q72" s="2">
        <v>0.7</v>
      </c>
      <c r="R72">
        <v>0</v>
      </c>
      <c r="V72" t="str">
        <f>VLOOKUP(H72,'[1]팀별 출판사'!A:B,2,0)</f>
        <v>소설1팀</v>
      </c>
      <c r="W72" s="6">
        <f t="shared" si="2"/>
        <v>0</v>
      </c>
      <c r="X72" s="6">
        <f t="shared" si="3"/>
        <v>0</v>
      </c>
    </row>
    <row r="73" spans="1:24" x14ac:dyDescent="0.3">
      <c r="A73" t="s">
        <v>21</v>
      </c>
      <c r="B73" t="s">
        <v>213</v>
      </c>
      <c r="C73" t="s">
        <v>23</v>
      </c>
      <c r="D73" t="s">
        <v>24</v>
      </c>
      <c r="E73" t="s">
        <v>25</v>
      </c>
      <c r="F73">
        <v>1</v>
      </c>
      <c r="G73">
        <v>9791136931375</v>
      </c>
      <c r="H73" t="s">
        <v>32</v>
      </c>
      <c r="I73" t="s">
        <v>189</v>
      </c>
      <c r="J73" t="s">
        <v>46</v>
      </c>
      <c r="K73" t="s">
        <v>29</v>
      </c>
      <c r="L73">
        <v>0</v>
      </c>
      <c r="M73" t="s">
        <v>152</v>
      </c>
      <c r="N73">
        <v>0</v>
      </c>
      <c r="O73">
        <v>0</v>
      </c>
      <c r="P73" t="s">
        <v>153</v>
      </c>
      <c r="Q73" s="2">
        <v>0.7</v>
      </c>
      <c r="R73">
        <v>0</v>
      </c>
      <c r="V73" t="str">
        <f>VLOOKUP(H73,'[1]팀별 출판사'!A:B,2,0)</f>
        <v>소설1팀</v>
      </c>
      <c r="W73" s="6">
        <f t="shared" si="2"/>
        <v>0</v>
      </c>
      <c r="X73" s="6">
        <f t="shared" si="3"/>
        <v>0</v>
      </c>
    </row>
    <row r="74" spans="1:24" x14ac:dyDescent="0.3">
      <c r="A74" t="s">
        <v>21</v>
      </c>
      <c r="B74" t="s">
        <v>214</v>
      </c>
      <c r="C74" t="s">
        <v>23</v>
      </c>
      <c r="D74" t="s">
        <v>24</v>
      </c>
      <c r="E74" t="s">
        <v>25</v>
      </c>
      <c r="F74">
        <v>1</v>
      </c>
      <c r="G74">
        <v>9791136930224</v>
      </c>
      <c r="H74" t="s">
        <v>32</v>
      </c>
      <c r="I74" t="s">
        <v>172</v>
      </c>
      <c r="J74" t="s">
        <v>46</v>
      </c>
      <c r="K74" t="s">
        <v>29</v>
      </c>
      <c r="L74">
        <v>0</v>
      </c>
      <c r="M74" t="s">
        <v>47</v>
      </c>
      <c r="N74">
        <v>0</v>
      </c>
      <c r="O74">
        <v>0</v>
      </c>
      <c r="P74" t="s">
        <v>48</v>
      </c>
      <c r="Q74" s="2">
        <v>0.7</v>
      </c>
      <c r="R74">
        <v>0</v>
      </c>
      <c r="V74" t="str">
        <f>VLOOKUP(H74,'[1]팀별 출판사'!A:B,2,0)</f>
        <v>소설1팀</v>
      </c>
      <c r="W74" s="6">
        <f t="shared" si="2"/>
        <v>0</v>
      </c>
      <c r="X74" s="6">
        <f t="shared" si="3"/>
        <v>0</v>
      </c>
    </row>
    <row r="75" spans="1:24" x14ac:dyDescent="0.3">
      <c r="A75" t="s">
        <v>21</v>
      </c>
      <c r="B75" t="s">
        <v>215</v>
      </c>
      <c r="C75" t="s">
        <v>23</v>
      </c>
      <c r="D75" t="s">
        <v>24</v>
      </c>
      <c r="E75" t="s">
        <v>25</v>
      </c>
      <c r="F75">
        <v>1</v>
      </c>
      <c r="G75">
        <v>9791136931375</v>
      </c>
      <c r="H75" t="s">
        <v>32</v>
      </c>
      <c r="I75" t="s">
        <v>189</v>
      </c>
      <c r="J75" t="s">
        <v>46</v>
      </c>
      <c r="K75" t="s">
        <v>29</v>
      </c>
      <c r="L75">
        <v>0</v>
      </c>
      <c r="M75" t="s">
        <v>47</v>
      </c>
      <c r="N75">
        <v>0</v>
      </c>
      <c r="O75">
        <v>0</v>
      </c>
      <c r="P75" t="s">
        <v>48</v>
      </c>
      <c r="Q75" s="2">
        <v>0.7</v>
      </c>
      <c r="R75">
        <v>0</v>
      </c>
      <c r="V75" t="str">
        <f>VLOOKUP(H75,'[1]팀별 출판사'!A:B,2,0)</f>
        <v>소설1팀</v>
      </c>
      <c r="W75" s="6">
        <f t="shared" si="2"/>
        <v>0</v>
      </c>
      <c r="X75" s="6">
        <f t="shared" si="3"/>
        <v>0</v>
      </c>
    </row>
    <row r="76" spans="1:24" x14ac:dyDescent="0.3">
      <c r="A76" t="s">
        <v>21</v>
      </c>
      <c r="B76" t="s">
        <v>216</v>
      </c>
      <c r="C76" t="s">
        <v>23</v>
      </c>
      <c r="D76" t="s">
        <v>24</v>
      </c>
      <c r="E76" t="s">
        <v>25</v>
      </c>
      <c r="F76">
        <v>1</v>
      </c>
      <c r="G76">
        <v>9791136930224</v>
      </c>
      <c r="H76" t="s">
        <v>32</v>
      </c>
      <c r="I76" t="s">
        <v>172</v>
      </c>
      <c r="J76" t="s">
        <v>46</v>
      </c>
      <c r="K76" t="s">
        <v>29</v>
      </c>
      <c r="L76">
        <v>0</v>
      </c>
      <c r="M76" t="s">
        <v>47</v>
      </c>
      <c r="N76">
        <v>0</v>
      </c>
      <c r="O76">
        <v>0</v>
      </c>
      <c r="P76" t="s">
        <v>48</v>
      </c>
      <c r="Q76" s="2">
        <v>0.7</v>
      </c>
      <c r="R76">
        <v>0</v>
      </c>
      <c r="V76" t="str">
        <f>VLOOKUP(H76,'[1]팀별 출판사'!A:B,2,0)</f>
        <v>소설1팀</v>
      </c>
      <c r="W76" s="6">
        <f t="shared" si="2"/>
        <v>0</v>
      </c>
      <c r="X76" s="6">
        <f t="shared" si="3"/>
        <v>0</v>
      </c>
    </row>
    <row r="77" spans="1:24" x14ac:dyDescent="0.3">
      <c r="A77" t="s">
        <v>21</v>
      </c>
      <c r="B77" t="s">
        <v>217</v>
      </c>
      <c r="C77" t="s">
        <v>23</v>
      </c>
      <c r="D77" t="s">
        <v>24</v>
      </c>
      <c r="E77" t="s">
        <v>25</v>
      </c>
      <c r="F77">
        <v>1</v>
      </c>
      <c r="G77" t="s">
        <v>218</v>
      </c>
      <c r="H77" t="s">
        <v>32</v>
      </c>
      <c r="I77" t="s">
        <v>219</v>
      </c>
      <c r="J77" t="s">
        <v>220</v>
      </c>
      <c r="K77" t="s">
        <v>29</v>
      </c>
      <c r="L77">
        <v>0</v>
      </c>
      <c r="M77" t="s">
        <v>29</v>
      </c>
      <c r="N77">
        <v>0</v>
      </c>
      <c r="O77">
        <v>0</v>
      </c>
      <c r="P77" t="s">
        <v>30</v>
      </c>
      <c r="Q77" s="2">
        <v>0.7</v>
      </c>
      <c r="R77">
        <v>0</v>
      </c>
      <c r="V77" t="str">
        <f>VLOOKUP(H77,'[1]팀별 출판사'!A:B,2,0)</f>
        <v>소설1팀</v>
      </c>
      <c r="W77" s="6">
        <f t="shared" si="2"/>
        <v>0</v>
      </c>
      <c r="X77" s="6">
        <f t="shared" si="3"/>
        <v>0</v>
      </c>
    </row>
    <row r="78" spans="1:24" x14ac:dyDescent="0.3">
      <c r="A78" t="s">
        <v>21</v>
      </c>
      <c r="B78" t="s">
        <v>221</v>
      </c>
      <c r="C78" t="s">
        <v>23</v>
      </c>
      <c r="D78" t="s">
        <v>24</v>
      </c>
      <c r="E78" t="s">
        <v>25</v>
      </c>
      <c r="F78">
        <v>1</v>
      </c>
      <c r="G78">
        <v>9791136931375</v>
      </c>
      <c r="H78" t="s">
        <v>32</v>
      </c>
      <c r="I78" t="s">
        <v>189</v>
      </c>
      <c r="J78" t="s">
        <v>46</v>
      </c>
      <c r="K78" t="s">
        <v>29</v>
      </c>
      <c r="L78">
        <v>0</v>
      </c>
      <c r="M78" t="s">
        <v>152</v>
      </c>
      <c r="N78">
        <v>0</v>
      </c>
      <c r="O78">
        <v>0</v>
      </c>
      <c r="P78" t="s">
        <v>153</v>
      </c>
      <c r="Q78" s="2">
        <v>0.7</v>
      </c>
      <c r="R78">
        <v>0</v>
      </c>
      <c r="V78" t="str">
        <f>VLOOKUP(H78,'[1]팀별 출판사'!A:B,2,0)</f>
        <v>소설1팀</v>
      </c>
      <c r="W78" s="6">
        <f t="shared" si="2"/>
        <v>0</v>
      </c>
      <c r="X78" s="6">
        <f t="shared" si="3"/>
        <v>0</v>
      </c>
    </row>
    <row r="79" spans="1:24" x14ac:dyDescent="0.3">
      <c r="A79" t="s">
        <v>21</v>
      </c>
      <c r="B79" t="s">
        <v>222</v>
      </c>
      <c r="C79" t="s">
        <v>23</v>
      </c>
      <c r="D79" t="s">
        <v>24</v>
      </c>
      <c r="E79" t="s">
        <v>25</v>
      </c>
      <c r="F79">
        <v>1</v>
      </c>
      <c r="G79">
        <v>9791133144792</v>
      </c>
      <c r="H79" t="s">
        <v>32</v>
      </c>
      <c r="I79" t="s">
        <v>223</v>
      </c>
      <c r="J79" t="s">
        <v>88</v>
      </c>
      <c r="K79" t="s">
        <v>29</v>
      </c>
      <c r="L79">
        <v>0</v>
      </c>
      <c r="M79" t="s">
        <v>29</v>
      </c>
      <c r="N79">
        <v>0</v>
      </c>
      <c r="O79">
        <v>0</v>
      </c>
      <c r="P79" t="s">
        <v>30</v>
      </c>
      <c r="Q79" s="2">
        <v>0.7</v>
      </c>
      <c r="R79">
        <v>0</v>
      </c>
      <c r="V79" t="str">
        <f>VLOOKUP(H79,'[1]팀별 출판사'!A:B,2,0)</f>
        <v>소설1팀</v>
      </c>
      <c r="W79" s="6">
        <f t="shared" si="2"/>
        <v>0</v>
      </c>
      <c r="X79" s="6">
        <f t="shared" si="3"/>
        <v>0</v>
      </c>
    </row>
    <row r="80" spans="1:24" x14ac:dyDescent="0.3">
      <c r="A80" t="s">
        <v>21</v>
      </c>
      <c r="B80" t="s">
        <v>224</v>
      </c>
      <c r="C80" t="s">
        <v>23</v>
      </c>
      <c r="D80" t="s">
        <v>24</v>
      </c>
      <c r="E80" t="s">
        <v>25</v>
      </c>
      <c r="F80">
        <v>1</v>
      </c>
      <c r="G80">
        <v>9791133101870</v>
      </c>
      <c r="H80" t="s">
        <v>32</v>
      </c>
      <c r="I80" t="s">
        <v>225</v>
      </c>
      <c r="J80" t="s">
        <v>160</v>
      </c>
      <c r="K80" t="s">
        <v>29</v>
      </c>
      <c r="L80" s="1">
        <v>3000</v>
      </c>
      <c r="M80" t="s">
        <v>29</v>
      </c>
      <c r="N80" s="1">
        <v>3000</v>
      </c>
      <c r="O80" s="1">
        <v>3000</v>
      </c>
      <c r="P80" t="s">
        <v>30</v>
      </c>
      <c r="Q80" s="2">
        <v>0.7</v>
      </c>
      <c r="R80" s="1">
        <v>2100</v>
      </c>
      <c r="S80" t="s">
        <v>29</v>
      </c>
      <c r="T80" s="1">
        <v>2100</v>
      </c>
      <c r="V80" t="str">
        <f>VLOOKUP(H80,'[1]팀별 출판사'!A:B,2,0)</f>
        <v>소설1팀</v>
      </c>
      <c r="W80" s="6">
        <f t="shared" si="2"/>
        <v>0</v>
      </c>
      <c r="X80" s="6">
        <f t="shared" si="3"/>
        <v>2100</v>
      </c>
    </row>
    <row r="81" spans="1:24" x14ac:dyDescent="0.3">
      <c r="A81" t="s">
        <v>21</v>
      </c>
      <c r="B81" t="s">
        <v>226</v>
      </c>
      <c r="C81" t="s">
        <v>23</v>
      </c>
      <c r="D81" t="s">
        <v>24</v>
      </c>
      <c r="E81" t="s">
        <v>25</v>
      </c>
      <c r="F81">
        <v>1</v>
      </c>
      <c r="G81" t="s">
        <v>227</v>
      </c>
      <c r="H81" t="s">
        <v>32</v>
      </c>
      <c r="I81" t="s">
        <v>228</v>
      </c>
      <c r="J81" t="s">
        <v>166</v>
      </c>
      <c r="K81" t="s">
        <v>29</v>
      </c>
      <c r="L81" s="1">
        <v>3500</v>
      </c>
      <c r="M81" t="s">
        <v>29</v>
      </c>
      <c r="N81" s="1">
        <v>3500</v>
      </c>
      <c r="O81" s="1">
        <v>3500</v>
      </c>
      <c r="P81" t="s">
        <v>30</v>
      </c>
      <c r="Q81" s="2">
        <v>0.7</v>
      </c>
      <c r="R81" s="1">
        <v>2450</v>
      </c>
      <c r="S81" t="s">
        <v>29</v>
      </c>
      <c r="T81" s="1">
        <v>2450</v>
      </c>
      <c r="V81" t="str">
        <f>VLOOKUP(H81,'[1]팀별 출판사'!A:B,2,0)</f>
        <v>소설1팀</v>
      </c>
      <c r="W81" s="6">
        <f t="shared" si="2"/>
        <v>0</v>
      </c>
      <c r="X81" s="6">
        <f t="shared" si="3"/>
        <v>2450</v>
      </c>
    </row>
    <row r="82" spans="1:24" x14ac:dyDescent="0.3">
      <c r="A82" t="s">
        <v>21</v>
      </c>
      <c r="B82" t="s">
        <v>229</v>
      </c>
      <c r="C82" t="s">
        <v>23</v>
      </c>
      <c r="D82" t="s">
        <v>24</v>
      </c>
      <c r="E82" t="s">
        <v>25</v>
      </c>
      <c r="F82">
        <v>1</v>
      </c>
      <c r="G82">
        <v>9791136931375</v>
      </c>
      <c r="H82" t="s">
        <v>32</v>
      </c>
      <c r="I82" t="s">
        <v>189</v>
      </c>
      <c r="J82" t="s">
        <v>46</v>
      </c>
      <c r="K82" t="s">
        <v>29</v>
      </c>
      <c r="L82">
        <v>0</v>
      </c>
      <c r="M82" t="s">
        <v>47</v>
      </c>
      <c r="N82">
        <v>0</v>
      </c>
      <c r="O82">
        <v>0</v>
      </c>
      <c r="P82" t="s">
        <v>48</v>
      </c>
      <c r="Q82" s="2">
        <v>0.7</v>
      </c>
      <c r="R82">
        <v>0</v>
      </c>
      <c r="V82" t="str">
        <f>VLOOKUP(H82,'[1]팀별 출판사'!A:B,2,0)</f>
        <v>소설1팀</v>
      </c>
      <c r="W82" s="6">
        <f t="shared" si="2"/>
        <v>0</v>
      </c>
      <c r="X82" s="6">
        <f t="shared" si="3"/>
        <v>0</v>
      </c>
    </row>
    <row r="83" spans="1:24" x14ac:dyDescent="0.3">
      <c r="A83" t="s">
        <v>21</v>
      </c>
      <c r="B83" t="s">
        <v>230</v>
      </c>
      <c r="C83" t="s">
        <v>23</v>
      </c>
      <c r="D83" t="s">
        <v>24</v>
      </c>
      <c r="E83" t="s">
        <v>25</v>
      </c>
      <c r="F83">
        <v>1</v>
      </c>
      <c r="G83">
        <v>9791136911063</v>
      </c>
      <c r="H83" t="s">
        <v>32</v>
      </c>
      <c r="I83" t="s">
        <v>231</v>
      </c>
      <c r="J83" t="s">
        <v>160</v>
      </c>
      <c r="K83" t="s">
        <v>29</v>
      </c>
      <c r="L83" s="1">
        <v>3200</v>
      </c>
      <c r="M83" t="s">
        <v>29</v>
      </c>
      <c r="N83" s="1">
        <v>3200</v>
      </c>
      <c r="O83" s="1">
        <v>3200</v>
      </c>
      <c r="P83" t="s">
        <v>30</v>
      </c>
      <c r="Q83" s="2">
        <v>0.7</v>
      </c>
      <c r="R83" s="1">
        <v>2240</v>
      </c>
      <c r="S83" t="s">
        <v>29</v>
      </c>
      <c r="T83" s="1">
        <v>2240</v>
      </c>
      <c r="V83" t="str">
        <f>VLOOKUP(H83,'[1]팀별 출판사'!A:B,2,0)</f>
        <v>소설1팀</v>
      </c>
      <c r="W83" s="6">
        <f t="shared" si="2"/>
        <v>0</v>
      </c>
      <c r="X83" s="6">
        <f t="shared" si="3"/>
        <v>2240</v>
      </c>
    </row>
    <row r="84" spans="1:24" x14ac:dyDescent="0.3">
      <c r="A84" t="s">
        <v>21</v>
      </c>
      <c r="B84" t="s">
        <v>232</v>
      </c>
      <c r="C84" t="s">
        <v>23</v>
      </c>
      <c r="D84" t="s">
        <v>24</v>
      </c>
      <c r="E84" t="s">
        <v>25</v>
      </c>
      <c r="F84">
        <v>1</v>
      </c>
      <c r="G84">
        <v>9791136958686</v>
      </c>
      <c r="H84" t="s">
        <v>79</v>
      </c>
      <c r="I84" t="s">
        <v>233</v>
      </c>
      <c r="J84" t="s">
        <v>81</v>
      </c>
      <c r="K84" t="s">
        <v>29</v>
      </c>
      <c r="L84" s="1">
        <v>3200</v>
      </c>
      <c r="M84" t="s">
        <v>29</v>
      </c>
      <c r="N84" s="1">
        <v>3200</v>
      </c>
      <c r="O84" s="1">
        <v>3200</v>
      </c>
      <c r="P84" t="s">
        <v>30</v>
      </c>
      <c r="Q84" s="2">
        <v>0.7</v>
      </c>
      <c r="R84" s="1">
        <v>2240</v>
      </c>
      <c r="S84" t="s">
        <v>29</v>
      </c>
      <c r="T84" s="1">
        <v>2240</v>
      </c>
      <c r="V84" t="str">
        <f>VLOOKUP(H84,'[1]팀별 출판사'!A:B,2,0)</f>
        <v>소설1팀</v>
      </c>
      <c r="W84" s="6">
        <f t="shared" si="2"/>
        <v>0</v>
      </c>
      <c r="X84" s="6">
        <f t="shared" si="3"/>
        <v>2240</v>
      </c>
    </row>
    <row r="85" spans="1:24" x14ac:dyDescent="0.3">
      <c r="A85" t="s">
        <v>21</v>
      </c>
      <c r="B85" t="s">
        <v>232</v>
      </c>
      <c r="C85" t="s">
        <v>23</v>
      </c>
      <c r="D85" t="s">
        <v>24</v>
      </c>
      <c r="E85" t="s">
        <v>25</v>
      </c>
      <c r="F85">
        <v>1</v>
      </c>
      <c r="G85">
        <v>9791136958709</v>
      </c>
      <c r="H85" t="s">
        <v>79</v>
      </c>
      <c r="I85" t="s">
        <v>234</v>
      </c>
      <c r="J85" t="s">
        <v>81</v>
      </c>
      <c r="K85" t="s">
        <v>29</v>
      </c>
      <c r="L85" s="1">
        <v>3200</v>
      </c>
      <c r="M85" t="s">
        <v>29</v>
      </c>
      <c r="N85" s="1">
        <v>3200</v>
      </c>
      <c r="O85" s="1">
        <v>3200</v>
      </c>
      <c r="P85" t="s">
        <v>30</v>
      </c>
      <c r="Q85" s="2">
        <v>0.7</v>
      </c>
      <c r="R85" s="1">
        <v>2240</v>
      </c>
      <c r="S85" t="s">
        <v>29</v>
      </c>
      <c r="T85" s="1">
        <v>2240</v>
      </c>
      <c r="V85" t="str">
        <f>VLOOKUP(H85,'[1]팀별 출판사'!A:B,2,0)</f>
        <v>소설1팀</v>
      </c>
      <c r="W85" s="6">
        <f t="shared" si="2"/>
        <v>0</v>
      </c>
      <c r="X85" s="6">
        <f t="shared" si="3"/>
        <v>2240</v>
      </c>
    </row>
    <row r="86" spans="1:24" x14ac:dyDescent="0.3">
      <c r="A86" t="s">
        <v>21</v>
      </c>
      <c r="B86" t="s">
        <v>235</v>
      </c>
      <c r="C86" t="s">
        <v>23</v>
      </c>
      <c r="D86" t="s">
        <v>24</v>
      </c>
      <c r="E86" t="s">
        <v>25</v>
      </c>
      <c r="F86">
        <v>1</v>
      </c>
      <c r="G86">
        <v>9791157532117</v>
      </c>
      <c r="H86" t="s">
        <v>32</v>
      </c>
      <c r="I86" t="s">
        <v>236</v>
      </c>
      <c r="J86" t="s">
        <v>112</v>
      </c>
      <c r="K86" t="s">
        <v>29</v>
      </c>
      <c r="L86" s="1">
        <v>3200</v>
      </c>
      <c r="M86" t="s">
        <v>29</v>
      </c>
      <c r="N86" s="1">
        <v>3200</v>
      </c>
      <c r="O86" s="1">
        <v>3200</v>
      </c>
      <c r="P86" t="s">
        <v>30</v>
      </c>
      <c r="Q86" s="2">
        <v>0.7</v>
      </c>
      <c r="R86" s="1">
        <v>2240</v>
      </c>
      <c r="S86" t="s">
        <v>29</v>
      </c>
      <c r="T86" s="1">
        <v>2240</v>
      </c>
      <c r="V86" t="str">
        <f>VLOOKUP(H86,'[1]팀별 출판사'!A:B,2,0)</f>
        <v>소설1팀</v>
      </c>
      <c r="W86" s="6">
        <f t="shared" si="2"/>
        <v>0</v>
      </c>
      <c r="X86" s="6">
        <f t="shared" si="3"/>
        <v>2240</v>
      </c>
    </row>
    <row r="87" spans="1:24" x14ac:dyDescent="0.3">
      <c r="A87" t="s">
        <v>21</v>
      </c>
      <c r="B87" t="s">
        <v>237</v>
      </c>
      <c r="C87" t="s">
        <v>23</v>
      </c>
      <c r="D87" t="s">
        <v>24</v>
      </c>
      <c r="E87" t="s">
        <v>25</v>
      </c>
      <c r="F87">
        <v>1</v>
      </c>
      <c r="G87">
        <v>9791136946775</v>
      </c>
      <c r="H87" t="s">
        <v>26</v>
      </c>
      <c r="I87" t="s">
        <v>238</v>
      </c>
      <c r="J87" t="s">
        <v>28</v>
      </c>
      <c r="K87" t="s">
        <v>29</v>
      </c>
      <c r="L87">
        <v>0</v>
      </c>
      <c r="M87" t="s">
        <v>29</v>
      </c>
      <c r="N87">
        <v>0</v>
      </c>
      <c r="O87">
        <v>0</v>
      </c>
      <c r="P87" t="s">
        <v>30</v>
      </c>
      <c r="Q87" s="2">
        <v>0.7</v>
      </c>
      <c r="R87">
        <v>0</v>
      </c>
      <c r="V87" t="str">
        <f>VLOOKUP(H87,'[1]팀별 출판사'!A:B,2,0)</f>
        <v>소설1팀</v>
      </c>
      <c r="W87" s="6">
        <f t="shared" si="2"/>
        <v>0</v>
      </c>
      <c r="X87" s="6">
        <f t="shared" si="3"/>
        <v>0</v>
      </c>
    </row>
    <row r="88" spans="1:24" x14ac:dyDescent="0.3">
      <c r="A88" t="s">
        <v>21</v>
      </c>
      <c r="B88" t="s">
        <v>239</v>
      </c>
      <c r="C88" t="s">
        <v>23</v>
      </c>
      <c r="D88" t="s">
        <v>24</v>
      </c>
      <c r="E88" t="s">
        <v>25</v>
      </c>
      <c r="F88">
        <v>1</v>
      </c>
      <c r="G88">
        <v>9791170104605</v>
      </c>
      <c r="H88" t="s">
        <v>67</v>
      </c>
      <c r="I88" t="s">
        <v>240</v>
      </c>
      <c r="J88" t="s">
        <v>241</v>
      </c>
      <c r="K88" t="s">
        <v>29</v>
      </c>
      <c r="L88" s="1">
        <v>2500</v>
      </c>
      <c r="M88" t="s">
        <v>70</v>
      </c>
      <c r="N88">
        <v>1.73</v>
      </c>
      <c r="O88">
        <v>1.73</v>
      </c>
      <c r="P88" t="s">
        <v>71</v>
      </c>
      <c r="Q88" s="2">
        <v>0.7</v>
      </c>
      <c r="R88">
        <v>1.21</v>
      </c>
      <c r="S88" t="s">
        <v>29</v>
      </c>
      <c r="T88" s="1">
        <v>1748</v>
      </c>
      <c r="U88" s="3">
        <v>1447.1698899999999</v>
      </c>
      <c r="V88" t="str">
        <f>VLOOKUP(H88,'[1]팀별 출판사'!A:B,2,0)</f>
        <v>소설1팀</v>
      </c>
      <c r="W88" s="6">
        <f t="shared" si="2"/>
        <v>524.4</v>
      </c>
      <c r="X88" s="6">
        <f t="shared" si="3"/>
        <v>1223.5999999999999</v>
      </c>
    </row>
    <row r="89" spans="1:24" x14ac:dyDescent="0.3">
      <c r="A89" t="s">
        <v>21</v>
      </c>
      <c r="B89" t="s">
        <v>239</v>
      </c>
      <c r="C89" t="s">
        <v>23</v>
      </c>
      <c r="D89" t="s">
        <v>24</v>
      </c>
      <c r="E89" t="s">
        <v>25</v>
      </c>
      <c r="F89">
        <v>1</v>
      </c>
      <c r="G89">
        <v>9791170104612</v>
      </c>
      <c r="H89" t="s">
        <v>67</v>
      </c>
      <c r="I89" t="s">
        <v>242</v>
      </c>
      <c r="J89" t="s">
        <v>241</v>
      </c>
      <c r="K89" t="s">
        <v>29</v>
      </c>
      <c r="L89" s="1">
        <v>2500</v>
      </c>
      <c r="M89" t="s">
        <v>70</v>
      </c>
      <c r="N89">
        <v>1.73</v>
      </c>
      <c r="O89">
        <v>1.73</v>
      </c>
      <c r="P89" t="s">
        <v>71</v>
      </c>
      <c r="Q89" s="2">
        <v>0.7</v>
      </c>
      <c r="R89">
        <v>1.21</v>
      </c>
      <c r="S89" t="s">
        <v>29</v>
      </c>
      <c r="T89" s="1">
        <v>1748</v>
      </c>
      <c r="U89" s="3">
        <v>1447.1698899999999</v>
      </c>
      <c r="V89" t="str">
        <f>VLOOKUP(H89,'[1]팀별 출판사'!A:B,2,0)</f>
        <v>소설1팀</v>
      </c>
      <c r="W89" s="6">
        <f t="shared" si="2"/>
        <v>524.4</v>
      </c>
      <c r="X89" s="6">
        <f t="shared" si="3"/>
        <v>1223.5999999999999</v>
      </c>
    </row>
    <row r="90" spans="1:24" x14ac:dyDescent="0.3">
      <c r="A90" t="s">
        <v>21</v>
      </c>
      <c r="B90" t="s">
        <v>243</v>
      </c>
      <c r="C90" t="s">
        <v>23</v>
      </c>
      <c r="D90" t="s">
        <v>24</v>
      </c>
      <c r="E90" t="s">
        <v>25</v>
      </c>
      <c r="F90">
        <v>1</v>
      </c>
      <c r="G90">
        <v>9791133186501</v>
      </c>
      <c r="H90" t="s">
        <v>26</v>
      </c>
      <c r="I90" t="s">
        <v>64</v>
      </c>
      <c r="J90" t="s">
        <v>65</v>
      </c>
      <c r="K90" t="s">
        <v>29</v>
      </c>
      <c r="L90">
        <v>0</v>
      </c>
      <c r="M90" t="s">
        <v>29</v>
      </c>
      <c r="N90">
        <v>0</v>
      </c>
      <c r="O90">
        <v>0</v>
      </c>
      <c r="P90" t="s">
        <v>30</v>
      </c>
      <c r="Q90" s="2">
        <v>0.7</v>
      </c>
      <c r="R90">
        <v>0</v>
      </c>
      <c r="V90" t="str">
        <f>VLOOKUP(H90,'[1]팀별 출판사'!A:B,2,0)</f>
        <v>소설1팀</v>
      </c>
      <c r="W90" s="6">
        <f t="shared" si="2"/>
        <v>0</v>
      </c>
      <c r="X90" s="6">
        <f t="shared" si="3"/>
        <v>0</v>
      </c>
    </row>
    <row r="91" spans="1:24" x14ac:dyDescent="0.3">
      <c r="A91" t="s">
        <v>21</v>
      </c>
      <c r="B91" t="s">
        <v>244</v>
      </c>
      <c r="C91" t="s">
        <v>23</v>
      </c>
      <c r="D91" t="s">
        <v>24</v>
      </c>
      <c r="E91" t="s">
        <v>25</v>
      </c>
      <c r="F91">
        <v>1</v>
      </c>
      <c r="G91" t="s">
        <v>245</v>
      </c>
      <c r="H91" t="s">
        <v>32</v>
      </c>
      <c r="I91" t="s">
        <v>246</v>
      </c>
      <c r="J91" t="s">
        <v>166</v>
      </c>
      <c r="K91" t="s">
        <v>29</v>
      </c>
      <c r="L91">
        <v>0</v>
      </c>
      <c r="M91" t="s">
        <v>29</v>
      </c>
      <c r="N91">
        <v>0</v>
      </c>
      <c r="O91">
        <v>0</v>
      </c>
      <c r="P91" t="s">
        <v>30</v>
      </c>
      <c r="Q91" s="2">
        <v>0.7</v>
      </c>
      <c r="R91">
        <v>0</v>
      </c>
      <c r="V91" t="str">
        <f>VLOOKUP(H91,'[1]팀별 출판사'!A:B,2,0)</f>
        <v>소설1팀</v>
      </c>
      <c r="W91" s="6">
        <f t="shared" si="2"/>
        <v>0</v>
      </c>
      <c r="X91" s="6">
        <f t="shared" si="3"/>
        <v>0</v>
      </c>
    </row>
    <row r="92" spans="1:24" x14ac:dyDescent="0.3">
      <c r="A92" t="s">
        <v>21</v>
      </c>
      <c r="B92" t="s">
        <v>247</v>
      </c>
      <c r="C92" t="s">
        <v>23</v>
      </c>
      <c r="D92" t="s">
        <v>24</v>
      </c>
      <c r="E92" t="s">
        <v>25</v>
      </c>
      <c r="F92">
        <v>1</v>
      </c>
      <c r="G92">
        <v>9791133102730</v>
      </c>
      <c r="H92" t="s">
        <v>32</v>
      </c>
      <c r="I92" t="s">
        <v>248</v>
      </c>
      <c r="J92" t="s">
        <v>51</v>
      </c>
      <c r="K92" t="s">
        <v>29</v>
      </c>
      <c r="L92" s="1">
        <v>3000</v>
      </c>
      <c r="M92" t="s">
        <v>29</v>
      </c>
      <c r="N92" s="1">
        <v>3000</v>
      </c>
      <c r="O92" s="1">
        <v>3000</v>
      </c>
      <c r="P92" t="s">
        <v>30</v>
      </c>
      <c r="Q92" s="2">
        <v>0.7</v>
      </c>
      <c r="R92" s="1">
        <v>2100</v>
      </c>
      <c r="S92" t="s">
        <v>29</v>
      </c>
      <c r="T92" s="1">
        <v>2100</v>
      </c>
      <c r="V92" t="str">
        <f>VLOOKUP(H92,'[1]팀별 출판사'!A:B,2,0)</f>
        <v>소설1팀</v>
      </c>
      <c r="W92" s="6">
        <f t="shared" si="2"/>
        <v>0</v>
      </c>
      <c r="X92" s="6">
        <f t="shared" si="3"/>
        <v>2100</v>
      </c>
    </row>
    <row r="93" spans="1:24" x14ac:dyDescent="0.3">
      <c r="A93" t="s">
        <v>21</v>
      </c>
      <c r="B93" t="s">
        <v>249</v>
      </c>
      <c r="C93" t="s">
        <v>23</v>
      </c>
      <c r="D93" t="s">
        <v>24</v>
      </c>
      <c r="E93" t="s">
        <v>25</v>
      </c>
      <c r="F93">
        <v>1</v>
      </c>
      <c r="G93">
        <v>9791133126668</v>
      </c>
      <c r="H93" t="s">
        <v>32</v>
      </c>
      <c r="I93" t="s">
        <v>250</v>
      </c>
      <c r="J93" t="s">
        <v>160</v>
      </c>
      <c r="K93" t="s">
        <v>29</v>
      </c>
      <c r="L93" s="1">
        <v>3500</v>
      </c>
      <c r="M93" t="s">
        <v>29</v>
      </c>
      <c r="N93" s="1">
        <v>3500</v>
      </c>
      <c r="O93" s="1">
        <v>3500</v>
      </c>
      <c r="P93" t="s">
        <v>30</v>
      </c>
      <c r="Q93" s="2">
        <v>0.7</v>
      </c>
      <c r="R93" s="1">
        <v>2450</v>
      </c>
      <c r="S93" t="s">
        <v>29</v>
      </c>
      <c r="T93" s="1">
        <v>2450</v>
      </c>
      <c r="V93" t="str">
        <f>VLOOKUP(H93,'[1]팀별 출판사'!A:B,2,0)</f>
        <v>소설1팀</v>
      </c>
      <c r="W93" s="6">
        <f t="shared" si="2"/>
        <v>0</v>
      </c>
      <c r="X93" s="6">
        <f t="shared" si="3"/>
        <v>2450</v>
      </c>
    </row>
    <row r="94" spans="1:24" x14ac:dyDescent="0.3">
      <c r="A94" t="s">
        <v>21</v>
      </c>
      <c r="B94" t="s">
        <v>251</v>
      </c>
      <c r="C94" t="s">
        <v>23</v>
      </c>
      <c r="D94" t="s">
        <v>24</v>
      </c>
      <c r="E94" t="s">
        <v>25</v>
      </c>
      <c r="F94">
        <v>1</v>
      </c>
      <c r="G94">
        <v>9791136930880</v>
      </c>
      <c r="H94" t="s">
        <v>32</v>
      </c>
      <c r="I94" t="s">
        <v>59</v>
      </c>
      <c r="J94" t="s">
        <v>34</v>
      </c>
      <c r="K94" t="s">
        <v>29</v>
      </c>
      <c r="L94">
        <v>0</v>
      </c>
      <c r="M94" t="s">
        <v>252</v>
      </c>
      <c r="N94">
        <v>0</v>
      </c>
      <c r="O94">
        <v>0</v>
      </c>
      <c r="P94" t="s">
        <v>253</v>
      </c>
      <c r="Q94" s="2">
        <v>0.7</v>
      </c>
      <c r="R94">
        <v>0</v>
      </c>
      <c r="V94" t="str">
        <f>VLOOKUP(H94,'[1]팀별 출판사'!A:B,2,0)</f>
        <v>소설1팀</v>
      </c>
      <c r="W94" s="6">
        <f t="shared" si="2"/>
        <v>0</v>
      </c>
      <c r="X94" s="6">
        <f t="shared" si="3"/>
        <v>0</v>
      </c>
    </row>
    <row r="95" spans="1:24" x14ac:dyDescent="0.3">
      <c r="A95" t="s">
        <v>21</v>
      </c>
      <c r="B95" t="s">
        <v>254</v>
      </c>
      <c r="C95" t="s">
        <v>23</v>
      </c>
      <c r="D95" t="s">
        <v>24</v>
      </c>
      <c r="E95" t="s">
        <v>25</v>
      </c>
      <c r="F95">
        <v>1</v>
      </c>
      <c r="G95">
        <v>9791173787027</v>
      </c>
      <c r="H95" t="s">
        <v>26</v>
      </c>
      <c r="I95" t="s">
        <v>255</v>
      </c>
      <c r="J95" t="s">
        <v>256</v>
      </c>
      <c r="K95" t="s">
        <v>29</v>
      </c>
      <c r="L95">
        <v>0</v>
      </c>
      <c r="M95" t="s">
        <v>29</v>
      </c>
      <c r="N95">
        <v>0</v>
      </c>
      <c r="O95">
        <v>0</v>
      </c>
      <c r="P95" t="s">
        <v>30</v>
      </c>
      <c r="Q95" s="2">
        <v>0.7</v>
      </c>
      <c r="R95">
        <v>0</v>
      </c>
      <c r="V95" t="str">
        <f>VLOOKUP(H95,'[1]팀별 출판사'!A:B,2,0)</f>
        <v>소설1팀</v>
      </c>
      <c r="W95" s="6">
        <f t="shared" si="2"/>
        <v>0</v>
      </c>
      <c r="X95" s="6">
        <f t="shared" si="3"/>
        <v>0</v>
      </c>
    </row>
    <row r="96" spans="1:24" x14ac:dyDescent="0.3">
      <c r="A96" t="s">
        <v>21</v>
      </c>
      <c r="B96" t="s">
        <v>257</v>
      </c>
      <c r="C96" t="s">
        <v>23</v>
      </c>
      <c r="D96" t="s">
        <v>24</v>
      </c>
      <c r="E96" t="s">
        <v>25</v>
      </c>
      <c r="F96">
        <v>1</v>
      </c>
      <c r="G96">
        <v>9791133125531</v>
      </c>
      <c r="H96" t="s">
        <v>32</v>
      </c>
      <c r="I96" t="s">
        <v>258</v>
      </c>
      <c r="J96" t="s">
        <v>160</v>
      </c>
      <c r="K96" t="s">
        <v>29</v>
      </c>
      <c r="L96" s="1">
        <v>3500</v>
      </c>
      <c r="M96" t="s">
        <v>29</v>
      </c>
      <c r="N96" s="1">
        <v>3500</v>
      </c>
      <c r="O96" s="1">
        <v>3500</v>
      </c>
      <c r="P96" t="s">
        <v>30</v>
      </c>
      <c r="Q96" s="2">
        <v>0.7</v>
      </c>
      <c r="R96" s="1">
        <v>2450</v>
      </c>
      <c r="S96" t="s">
        <v>29</v>
      </c>
      <c r="T96" s="1">
        <v>2450</v>
      </c>
      <c r="V96" t="str">
        <f>VLOOKUP(H96,'[1]팀별 출판사'!A:B,2,0)</f>
        <v>소설1팀</v>
      </c>
      <c r="W96" s="6">
        <f t="shared" si="2"/>
        <v>0</v>
      </c>
      <c r="X96" s="6">
        <f t="shared" si="3"/>
        <v>2450</v>
      </c>
    </row>
    <row r="97" spans="1:24" x14ac:dyDescent="0.3">
      <c r="A97" t="s">
        <v>21</v>
      </c>
      <c r="B97" t="s">
        <v>259</v>
      </c>
      <c r="C97" t="s">
        <v>23</v>
      </c>
      <c r="D97" t="s">
        <v>24</v>
      </c>
      <c r="E97" t="s">
        <v>25</v>
      </c>
      <c r="F97">
        <v>1</v>
      </c>
      <c r="G97">
        <v>9791133126422</v>
      </c>
      <c r="H97" t="s">
        <v>32</v>
      </c>
      <c r="I97" t="s">
        <v>260</v>
      </c>
      <c r="J97" t="s">
        <v>160</v>
      </c>
      <c r="K97" t="s">
        <v>29</v>
      </c>
      <c r="L97" s="1">
        <v>3500</v>
      </c>
      <c r="M97" t="s">
        <v>29</v>
      </c>
      <c r="N97" s="1">
        <v>3500</v>
      </c>
      <c r="O97" s="1">
        <v>3500</v>
      </c>
      <c r="P97" t="s">
        <v>30</v>
      </c>
      <c r="Q97" s="2">
        <v>0.7</v>
      </c>
      <c r="R97" s="1">
        <v>2450</v>
      </c>
      <c r="S97" t="s">
        <v>29</v>
      </c>
      <c r="T97" s="1">
        <v>2450</v>
      </c>
      <c r="V97" t="str">
        <f>VLOOKUP(H97,'[1]팀별 출판사'!A:B,2,0)</f>
        <v>소설1팀</v>
      </c>
      <c r="W97" s="6">
        <f t="shared" si="2"/>
        <v>0</v>
      </c>
      <c r="X97" s="6">
        <f t="shared" si="3"/>
        <v>2450</v>
      </c>
    </row>
    <row r="98" spans="1:24" x14ac:dyDescent="0.3">
      <c r="A98" t="s">
        <v>21</v>
      </c>
      <c r="B98" t="s">
        <v>261</v>
      </c>
      <c r="C98" t="s">
        <v>23</v>
      </c>
      <c r="D98" t="s">
        <v>24</v>
      </c>
      <c r="E98" t="s">
        <v>25</v>
      </c>
      <c r="F98">
        <v>1</v>
      </c>
      <c r="G98">
        <v>9791133186501</v>
      </c>
      <c r="H98" t="s">
        <v>26</v>
      </c>
      <c r="I98" t="s">
        <v>64</v>
      </c>
      <c r="J98" t="s">
        <v>65</v>
      </c>
      <c r="K98" t="s">
        <v>29</v>
      </c>
      <c r="L98">
        <v>0</v>
      </c>
      <c r="M98" t="s">
        <v>29</v>
      </c>
      <c r="N98">
        <v>0</v>
      </c>
      <c r="O98">
        <v>0</v>
      </c>
      <c r="P98" t="s">
        <v>30</v>
      </c>
      <c r="Q98" s="2">
        <v>0.7</v>
      </c>
      <c r="R98">
        <v>0</v>
      </c>
      <c r="V98" t="str">
        <f>VLOOKUP(H98,'[1]팀별 출판사'!A:B,2,0)</f>
        <v>소설1팀</v>
      </c>
      <c r="W98" s="6">
        <f t="shared" si="2"/>
        <v>0</v>
      </c>
      <c r="X98" s="6">
        <f t="shared" si="3"/>
        <v>0</v>
      </c>
    </row>
    <row r="99" spans="1:24" x14ac:dyDescent="0.3">
      <c r="A99" t="s">
        <v>21</v>
      </c>
      <c r="B99" t="s">
        <v>262</v>
      </c>
      <c r="C99" t="s">
        <v>23</v>
      </c>
      <c r="D99" t="s">
        <v>24</v>
      </c>
      <c r="E99" t="s">
        <v>25</v>
      </c>
      <c r="F99">
        <v>1</v>
      </c>
      <c r="G99">
        <v>9791136938091</v>
      </c>
      <c r="H99" t="s">
        <v>263</v>
      </c>
      <c r="I99" t="s">
        <v>264</v>
      </c>
      <c r="J99" t="s">
        <v>265</v>
      </c>
      <c r="K99" t="s">
        <v>29</v>
      </c>
      <c r="L99" s="1">
        <v>3700</v>
      </c>
      <c r="M99" t="s">
        <v>70</v>
      </c>
      <c r="N99">
        <v>2.56</v>
      </c>
      <c r="O99">
        <v>2.56</v>
      </c>
      <c r="P99" t="s">
        <v>71</v>
      </c>
      <c r="Q99" s="2">
        <v>0.7</v>
      </c>
      <c r="R99">
        <v>1.79</v>
      </c>
      <c r="S99" t="s">
        <v>29</v>
      </c>
      <c r="T99" s="1">
        <v>2604</v>
      </c>
      <c r="U99" s="3">
        <v>1447.1698899999999</v>
      </c>
      <c r="V99" t="str">
        <f>VLOOKUP(H99,'[1]팀별 출판사'!A:B,2,0)</f>
        <v>소설2팀</v>
      </c>
      <c r="W99" s="6">
        <f t="shared" si="2"/>
        <v>781.19999999999993</v>
      </c>
      <c r="X99" s="6">
        <f t="shared" si="3"/>
        <v>1822.8000000000002</v>
      </c>
    </row>
    <row r="100" spans="1:24" x14ac:dyDescent="0.3">
      <c r="A100" t="s">
        <v>21</v>
      </c>
      <c r="B100" t="s">
        <v>266</v>
      </c>
      <c r="C100" t="s">
        <v>23</v>
      </c>
      <c r="D100" t="s">
        <v>24</v>
      </c>
      <c r="E100" t="s">
        <v>25</v>
      </c>
      <c r="F100">
        <v>1</v>
      </c>
      <c r="G100">
        <v>9791136931375</v>
      </c>
      <c r="H100" t="s">
        <v>32</v>
      </c>
      <c r="I100" t="s">
        <v>189</v>
      </c>
      <c r="J100" t="s">
        <v>46</v>
      </c>
      <c r="K100" t="s">
        <v>29</v>
      </c>
      <c r="L100">
        <v>0</v>
      </c>
      <c r="M100" t="s">
        <v>47</v>
      </c>
      <c r="N100">
        <v>0</v>
      </c>
      <c r="O100">
        <v>0</v>
      </c>
      <c r="P100" t="s">
        <v>48</v>
      </c>
      <c r="Q100" s="2">
        <v>0.7</v>
      </c>
      <c r="R100">
        <v>0</v>
      </c>
      <c r="V100" t="str">
        <f>VLOOKUP(H100,'[1]팀별 출판사'!A:B,2,0)</f>
        <v>소설1팀</v>
      </c>
      <c r="W100" s="6">
        <f t="shared" si="2"/>
        <v>0</v>
      </c>
      <c r="X100" s="6">
        <f t="shared" si="3"/>
        <v>0</v>
      </c>
    </row>
    <row r="101" spans="1:24" x14ac:dyDescent="0.3">
      <c r="A101" t="s">
        <v>21</v>
      </c>
      <c r="B101" t="s">
        <v>267</v>
      </c>
      <c r="C101" t="s">
        <v>23</v>
      </c>
      <c r="D101" t="s">
        <v>24</v>
      </c>
      <c r="E101" t="s">
        <v>25</v>
      </c>
      <c r="F101">
        <v>1</v>
      </c>
      <c r="G101">
        <v>9791170107880</v>
      </c>
      <c r="H101" t="s">
        <v>67</v>
      </c>
      <c r="I101" t="s">
        <v>268</v>
      </c>
      <c r="J101" t="s">
        <v>269</v>
      </c>
      <c r="K101" t="s">
        <v>29</v>
      </c>
      <c r="L101">
        <v>0</v>
      </c>
      <c r="M101" t="s">
        <v>29</v>
      </c>
      <c r="N101">
        <v>0</v>
      </c>
      <c r="O101">
        <v>0</v>
      </c>
      <c r="P101" t="s">
        <v>30</v>
      </c>
      <c r="Q101" s="2">
        <v>0.7</v>
      </c>
      <c r="R101">
        <v>0</v>
      </c>
      <c r="V101" t="str">
        <f>VLOOKUP(H101,'[1]팀별 출판사'!A:B,2,0)</f>
        <v>소설1팀</v>
      </c>
      <c r="W101" s="6">
        <f t="shared" si="2"/>
        <v>0</v>
      </c>
      <c r="X101" s="6">
        <f t="shared" si="3"/>
        <v>0</v>
      </c>
    </row>
    <row r="102" spans="1:24" x14ac:dyDescent="0.3">
      <c r="A102" t="s">
        <v>21</v>
      </c>
      <c r="B102" t="s">
        <v>270</v>
      </c>
      <c r="C102" t="s">
        <v>23</v>
      </c>
      <c r="D102" t="s">
        <v>24</v>
      </c>
      <c r="E102" t="s">
        <v>25</v>
      </c>
      <c r="F102">
        <v>1</v>
      </c>
      <c r="G102">
        <v>9791157533589</v>
      </c>
      <c r="H102" t="s">
        <v>32</v>
      </c>
      <c r="I102" t="s">
        <v>271</v>
      </c>
      <c r="J102" t="s">
        <v>187</v>
      </c>
      <c r="K102" t="s">
        <v>29</v>
      </c>
      <c r="L102" s="1">
        <v>3200</v>
      </c>
      <c r="M102" t="s">
        <v>29</v>
      </c>
      <c r="N102" s="1">
        <v>3200</v>
      </c>
      <c r="O102" s="1">
        <v>3200</v>
      </c>
      <c r="P102" t="s">
        <v>30</v>
      </c>
      <c r="Q102" s="2">
        <v>0.7</v>
      </c>
      <c r="R102" s="1">
        <v>2240</v>
      </c>
      <c r="S102" t="s">
        <v>29</v>
      </c>
      <c r="T102" s="1">
        <v>2240</v>
      </c>
      <c r="V102" t="str">
        <f>VLOOKUP(H102,'[1]팀별 출판사'!A:B,2,0)</f>
        <v>소설1팀</v>
      </c>
      <c r="W102" s="6">
        <f t="shared" si="2"/>
        <v>0</v>
      </c>
      <c r="X102" s="6">
        <f t="shared" si="3"/>
        <v>2240</v>
      </c>
    </row>
    <row r="103" spans="1:24" x14ac:dyDescent="0.3">
      <c r="A103" t="s">
        <v>21</v>
      </c>
      <c r="B103" t="s">
        <v>272</v>
      </c>
      <c r="C103" t="s">
        <v>23</v>
      </c>
      <c r="D103" t="s">
        <v>24</v>
      </c>
      <c r="E103" t="s">
        <v>25</v>
      </c>
      <c r="F103">
        <v>1</v>
      </c>
      <c r="G103">
        <v>9791136946881</v>
      </c>
      <c r="H103" t="s">
        <v>26</v>
      </c>
      <c r="I103" t="s">
        <v>273</v>
      </c>
      <c r="J103" t="s">
        <v>28</v>
      </c>
      <c r="K103" t="s">
        <v>29</v>
      </c>
      <c r="L103" s="1">
        <v>3200</v>
      </c>
      <c r="M103" t="s">
        <v>29</v>
      </c>
      <c r="N103" s="1">
        <v>3200</v>
      </c>
      <c r="O103" s="1">
        <v>3200</v>
      </c>
      <c r="P103" t="s">
        <v>30</v>
      </c>
      <c r="Q103" s="2">
        <v>0.7</v>
      </c>
      <c r="R103" s="1">
        <v>2240</v>
      </c>
      <c r="S103" t="s">
        <v>29</v>
      </c>
      <c r="T103" s="1">
        <v>2240</v>
      </c>
      <c r="V103" t="str">
        <f>VLOOKUP(H103,'[1]팀별 출판사'!A:B,2,0)</f>
        <v>소설1팀</v>
      </c>
      <c r="W103" s="6">
        <f t="shared" si="2"/>
        <v>0</v>
      </c>
      <c r="X103" s="6">
        <f t="shared" si="3"/>
        <v>2240</v>
      </c>
    </row>
    <row r="104" spans="1:24" x14ac:dyDescent="0.3">
      <c r="A104" t="s">
        <v>21</v>
      </c>
      <c r="B104" t="s">
        <v>274</v>
      </c>
      <c r="C104" t="s">
        <v>23</v>
      </c>
      <c r="D104" t="s">
        <v>24</v>
      </c>
      <c r="E104" t="s">
        <v>25</v>
      </c>
      <c r="F104">
        <v>1</v>
      </c>
      <c r="G104">
        <v>9791136941589</v>
      </c>
      <c r="H104" t="s">
        <v>26</v>
      </c>
      <c r="I104" t="s">
        <v>275</v>
      </c>
      <c r="J104" t="s">
        <v>276</v>
      </c>
      <c r="K104" t="s">
        <v>29</v>
      </c>
      <c r="L104">
        <v>0</v>
      </c>
      <c r="M104" t="s">
        <v>29</v>
      </c>
      <c r="N104">
        <v>0</v>
      </c>
      <c r="O104">
        <v>0</v>
      </c>
      <c r="P104" t="s">
        <v>30</v>
      </c>
      <c r="Q104" s="2">
        <v>0.7</v>
      </c>
      <c r="R104">
        <v>0</v>
      </c>
      <c r="V104" t="str">
        <f>VLOOKUP(H104,'[1]팀별 출판사'!A:B,2,0)</f>
        <v>소설1팀</v>
      </c>
      <c r="W104" s="6">
        <f t="shared" si="2"/>
        <v>0</v>
      </c>
      <c r="X104" s="6">
        <f t="shared" si="3"/>
        <v>0</v>
      </c>
    </row>
    <row r="105" spans="1:24" x14ac:dyDescent="0.3">
      <c r="A105" t="s">
        <v>21</v>
      </c>
      <c r="B105" t="s">
        <v>277</v>
      </c>
      <c r="C105" t="s">
        <v>23</v>
      </c>
      <c r="D105" t="s">
        <v>24</v>
      </c>
      <c r="E105" t="s">
        <v>25</v>
      </c>
      <c r="F105">
        <v>1</v>
      </c>
      <c r="G105">
        <v>9791172920135</v>
      </c>
      <c r="H105" t="s">
        <v>26</v>
      </c>
      <c r="I105" t="s">
        <v>278</v>
      </c>
      <c r="J105" t="s">
        <v>276</v>
      </c>
      <c r="K105" t="s">
        <v>29</v>
      </c>
      <c r="L105">
        <v>0</v>
      </c>
      <c r="M105" t="s">
        <v>29</v>
      </c>
      <c r="N105">
        <v>0</v>
      </c>
      <c r="O105">
        <v>0</v>
      </c>
      <c r="P105" t="s">
        <v>30</v>
      </c>
      <c r="Q105" s="2">
        <v>0.7</v>
      </c>
      <c r="R105">
        <v>0</v>
      </c>
      <c r="V105" t="str">
        <f>VLOOKUP(H105,'[1]팀별 출판사'!A:B,2,0)</f>
        <v>소설1팀</v>
      </c>
      <c r="W105" s="6">
        <f t="shared" si="2"/>
        <v>0</v>
      </c>
      <c r="X105" s="6">
        <f t="shared" si="3"/>
        <v>0</v>
      </c>
    </row>
    <row r="106" spans="1:24" x14ac:dyDescent="0.3">
      <c r="A106" t="s">
        <v>21</v>
      </c>
      <c r="B106" t="s">
        <v>279</v>
      </c>
      <c r="C106" t="s">
        <v>23</v>
      </c>
      <c r="D106" t="s">
        <v>24</v>
      </c>
      <c r="E106" t="s">
        <v>25</v>
      </c>
      <c r="F106">
        <v>1</v>
      </c>
      <c r="G106">
        <v>9791136945013</v>
      </c>
      <c r="H106" t="s">
        <v>26</v>
      </c>
      <c r="I106" t="s">
        <v>125</v>
      </c>
      <c r="J106" t="s">
        <v>126</v>
      </c>
      <c r="K106" t="s">
        <v>29</v>
      </c>
      <c r="L106">
        <v>0</v>
      </c>
      <c r="M106" t="s">
        <v>152</v>
      </c>
      <c r="N106">
        <v>0</v>
      </c>
      <c r="O106">
        <v>0</v>
      </c>
      <c r="P106" t="s">
        <v>153</v>
      </c>
      <c r="Q106" s="2">
        <v>0.7</v>
      </c>
      <c r="R106">
        <v>0</v>
      </c>
      <c r="V106" t="str">
        <f>VLOOKUP(H106,'[1]팀별 출판사'!A:B,2,0)</f>
        <v>소설1팀</v>
      </c>
      <c r="W106" s="6">
        <f t="shared" si="2"/>
        <v>0</v>
      </c>
      <c r="X106" s="6">
        <f t="shared" si="3"/>
        <v>0</v>
      </c>
    </row>
    <row r="107" spans="1:24" x14ac:dyDescent="0.3">
      <c r="A107" t="s">
        <v>21</v>
      </c>
      <c r="B107" t="s">
        <v>280</v>
      </c>
      <c r="C107" t="s">
        <v>23</v>
      </c>
      <c r="D107" t="s">
        <v>24</v>
      </c>
      <c r="E107" t="s">
        <v>25</v>
      </c>
      <c r="F107">
        <v>1</v>
      </c>
      <c r="G107">
        <v>9791136931375</v>
      </c>
      <c r="H107" t="s">
        <v>32</v>
      </c>
      <c r="I107" t="s">
        <v>189</v>
      </c>
      <c r="J107" t="s">
        <v>46</v>
      </c>
      <c r="K107" t="s">
        <v>29</v>
      </c>
      <c r="L107">
        <v>0</v>
      </c>
      <c r="M107" t="s">
        <v>152</v>
      </c>
      <c r="N107">
        <v>0</v>
      </c>
      <c r="O107">
        <v>0</v>
      </c>
      <c r="P107" t="s">
        <v>153</v>
      </c>
      <c r="Q107" s="2">
        <v>0.7</v>
      </c>
      <c r="R107">
        <v>0</v>
      </c>
      <c r="V107" t="str">
        <f>VLOOKUP(H107,'[1]팀별 출판사'!A:B,2,0)</f>
        <v>소설1팀</v>
      </c>
      <c r="W107" s="6">
        <f t="shared" si="2"/>
        <v>0</v>
      </c>
      <c r="X107" s="6">
        <f t="shared" si="3"/>
        <v>0</v>
      </c>
    </row>
    <row r="108" spans="1:24" x14ac:dyDescent="0.3">
      <c r="A108" t="s">
        <v>21</v>
      </c>
      <c r="B108" t="s">
        <v>281</v>
      </c>
      <c r="C108" t="s">
        <v>23</v>
      </c>
      <c r="D108" t="s">
        <v>24</v>
      </c>
      <c r="E108" t="s">
        <v>25</v>
      </c>
      <c r="F108">
        <v>1</v>
      </c>
      <c r="G108">
        <v>9791136930491</v>
      </c>
      <c r="H108" t="s">
        <v>26</v>
      </c>
      <c r="I108" t="s">
        <v>151</v>
      </c>
      <c r="J108" t="s">
        <v>46</v>
      </c>
      <c r="K108" t="s">
        <v>29</v>
      </c>
      <c r="L108">
        <v>0</v>
      </c>
      <c r="M108" t="s">
        <v>47</v>
      </c>
      <c r="N108">
        <v>0</v>
      </c>
      <c r="O108">
        <v>0</v>
      </c>
      <c r="P108" t="s">
        <v>48</v>
      </c>
      <c r="Q108" s="2">
        <v>0.7</v>
      </c>
      <c r="R108">
        <v>0</v>
      </c>
      <c r="V108" t="str">
        <f>VLOOKUP(H108,'[1]팀별 출판사'!A:B,2,0)</f>
        <v>소설1팀</v>
      </c>
      <c r="W108" s="6">
        <f t="shared" si="2"/>
        <v>0</v>
      </c>
      <c r="X108" s="6">
        <f t="shared" si="3"/>
        <v>0</v>
      </c>
    </row>
    <row r="109" spans="1:24" x14ac:dyDescent="0.3">
      <c r="A109" t="s">
        <v>21</v>
      </c>
      <c r="B109" t="s">
        <v>282</v>
      </c>
      <c r="C109" t="s">
        <v>23</v>
      </c>
      <c r="D109" t="s">
        <v>24</v>
      </c>
      <c r="E109" t="s">
        <v>25</v>
      </c>
      <c r="F109">
        <v>1</v>
      </c>
      <c r="G109">
        <v>9791133148240</v>
      </c>
      <c r="H109" t="s">
        <v>32</v>
      </c>
      <c r="I109" t="s">
        <v>283</v>
      </c>
      <c r="J109" t="s">
        <v>284</v>
      </c>
      <c r="K109" t="s">
        <v>29</v>
      </c>
      <c r="L109">
        <v>0</v>
      </c>
      <c r="M109" t="s">
        <v>29</v>
      </c>
      <c r="N109">
        <v>0</v>
      </c>
      <c r="O109">
        <v>0</v>
      </c>
      <c r="P109" t="s">
        <v>30</v>
      </c>
      <c r="Q109" s="2">
        <v>0.7</v>
      </c>
      <c r="R109">
        <v>0</v>
      </c>
      <c r="V109" t="str">
        <f>VLOOKUP(H109,'[1]팀별 출판사'!A:B,2,0)</f>
        <v>소설1팀</v>
      </c>
      <c r="W109" s="6">
        <f t="shared" si="2"/>
        <v>0</v>
      </c>
      <c r="X109" s="6">
        <f t="shared" si="3"/>
        <v>0</v>
      </c>
    </row>
    <row r="110" spans="1:24" x14ac:dyDescent="0.3">
      <c r="A110" t="s">
        <v>21</v>
      </c>
      <c r="B110" t="s">
        <v>285</v>
      </c>
      <c r="C110" t="s">
        <v>23</v>
      </c>
      <c r="D110" t="s">
        <v>24</v>
      </c>
      <c r="E110" t="s">
        <v>25</v>
      </c>
      <c r="F110">
        <v>1</v>
      </c>
      <c r="G110">
        <v>9791133171439</v>
      </c>
      <c r="H110" t="s">
        <v>26</v>
      </c>
      <c r="I110" t="s">
        <v>286</v>
      </c>
      <c r="J110" t="s">
        <v>287</v>
      </c>
      <c r="K110" t="s">
        <v>29</v>
      </c>
      <c r="L110">
        <v>0</v>
      </c>
      <c r="M110" t="s">
        <v>29</v>
      </c>
      <c r="N110">
        <v>0</v>
      </c>
      <c r="O110">
        <v>0</v>
      </c>
      <c r="P110" t="s">
        <v>30</v>
      </c>
      <c r="Q110" s="2">
        <v>0.7</v>
      </c>
      <c r="R110">
        <v>0</v>
      </c>
      <c r="V110" t="str">
        <f>VLOOKUP(H110,'[1]팀별 출판사'!A:B,2,0)</f>
        <v>소설1팀</v>
      </c>
      <c r="W110" s="6">
        <f t="shared" si="2"/>
        <v>0</v>
      </c>
      <c r="X110" s="6">
        <f t="shared" si="3"/>
        <v>0</v>
      </c>
    </row>
    <row r="111" spans="1:24" x14ac:dyDescent="0.3">
      <c r="A111" t="s">
        <v>21</v>
      </c>
      <c r="B111" t="s">
        <v>288</v>
      </c>
      <c r="C111" t="s">
        <v>23</v>
      </c>
      <c r="D111" t="s">
        <v>24</v>
      </c>
      <c r="E111" t="s">
        <v>25</v>
      </c>
      <c r="F111">
        <v>1</v>
      </c>
      <c r="G111">
        <v>9791172924935</v>
      </c>
      <c r="H111" t="s">
        <v>26</v>
      </c>
      <c r="I111" t="s">
        <v>289</v>
      </c>
      <c r="J111" t="s">
        <v>62</v>
      </c>
      <c r="K111" t="s">
        <v>29</v>
      </c>
      <c r="L111" s="1">
        <v>3200</v>
      </c>
      <c r="M111" t="s">
        <v>29</v>
      </c>
      <c r="N111" s="1">
        <v>3200</v>
      </c>
      <c r="O111" s="1">
        <v>3200</v>
      </c>
      <c r="P111" t="s">
        <v>30</v>
      </c>
      <c r="Q111" s="2">
        <v>0.7</v>
      </c>
      <c r="R111" s="1">
        <v>2240</v>
      </c>
      <c r="S111" t="s">
        <v>29</v>
      </c>
      <c r="T111" s="1">
        <v>2240</v>
      </c>
      <c r="V111" t="str">
        <f>VLOOKUP(H111,'[1]팀별 출판사'!A:B,2,0)</f>
        <v>소설1팀</v>
      </c>
      <c r="W111" s="6">
        <f t="shared" si="2"/>
        <v>0</v>
      </c>
      <c r="X111" s="6">
        <f t="shared" si="3"/>
        <v>2240</v>
      </c>
    </row>
    <row r="112" spans="1:24" x14ac:dyDescent="0.3">
      <c r="A112" t="s">
        <v>21</v>
      </c>
      <c r="B112" t="s">
        <v>290</v>
      </c>
      <c r="C112" t="s">
        <v>23</v>
      </c>
      <c r="D112" t="s">
        <v>24</v>
      </c>
      <c r="E112" t="s">
        <v>25</v>
      </c>
      <c r="F112">
        <v>1</v>
      </c>
      <c r="G112">
        <v>9791136946782</v>
      </c>
      <c r="H112" t="s">
        <v>26</v>
      </c>
      <c r="I112" t="s">
        <v>291</v>
      </c>
      <c r="J112" t="s">
        <v>28</v>
      </c>
      <c r="K112" t="s">
        <v>29</v>
      </c>
      <c r="L112">
        <v>0</v>
      </c>
      <c r="M112" t="s">
        <v>29</v>
      </c>
      <c r="N112">
        <v>0</v>
      </c>
      <c r="O112">
        <v>0</v>
      </c>
      <c r="P112" t="s">
        <v>30</v>
      </c>
      <c r="Q112" s="2">
        <v>0.7</v>
      </c>
      <c r="R112">
        <v>0</v>
      </c>
      <c r="V112" t="str">
        <f>VLOOKUP(H112,'[1]팀별 출판사'!A:B,2,0)</f>
        <v>소설1팀</v>
      </c>
      <c r="W112" s="6">
        <f t="shared" si="2"/>
        <v>0</v>
      </c>
      <c r="X112" s="6">
        <f t="shared" si="3"/>
        <v>0</v>
      </c>
    </row>
    <row r="113" spans="1:24" x14ac:dyDescent="0.3">
      <c r="A113" t="s">
        <v>21</v>
      </c>
      <c r="B113" t="s">
        <v>292</v>
      </c>
      <c r="C113" t="s">
        <v>23</v>
      </c>
      <c r="D113" t="s">
        <v>24</v>
      </c>
      <c r="E113" t="s">
        <v>25</v>
      </c>
      <c r="F113">
        <v>1</v>
      </c>
      <c r="G113">
        <v>9791157532124</v>
      </c>
      <c r="H113" t="s">
        <v>32</v>
      </c>
      <c r="I113" t="s">
        <v>293</v>
      </c>
      <c r="J113" t="s">
        <v>112</v>
      </c>
      <c r="K113" t="s">
        <v>29</v>
      </c>
      <c r="L113" s="1">
        <v>3200</v>
      </c>
      <c r="M113" t="s">
        <v>29</v>
      </c>
      <c r="N113" s="1">
        <v>3200</v>
      </c>
      <c r="O113" s="1">
        <v>3200</v>
      </c>
      <c r="P113" t="s">
        <v>30</v>
      </c>
      <c r="Q113" s="2">
        <v>0.7</v>
      </c>
      <c r="R113" s="1">
        <v>2240</v>
      </c>
      <c r="S113" t="s">
        <v>29</v>
      </c>
      <c r="T113" s="1">
        <v>2240</v>
      </c>
      <c r="V113" t="str">
        <f>VLOOKUP(H113,'[1]팀별 출판사'!A:B,2,0)</f>
        <v>소설1팀</v>
      </c>
      <c r="W113" s="6">
        <f t="shared" si="2"/>
        <v>0</v>
      </c>
      <c r="X113" s="6">
        <f t="shared" si="3"/>
        <v>2240</v>
      </c>
    </row>
    <row r="114" spans="1:24" x14ac:dyDescent="0.3">
      <c r="A114" t="s">
        <v>21</v>
      </c>
      <c r="B114" t="s">
        <v>294</v>
      </c>
      <c r="C114" t="s">
        <v>23</v>
      </c>
      <c r="D114" t="s">
        <v>24</v>
      </c>
      <c r="E114" t="s">
        <v>25</v>
      </c>
      <c r="F114">
        <v>1</v>
      </c>
      <c r="G114">
        <v>9791133155330</v>
      </c>
      <c r="H114" t="s">
        <v>32</v>
      </c>
      <c r="I114" t="s">
        <v>295</v>
      </c>
      <c r="J114" t="s">
        <v>160</v>
      </c>
      <c r="K114" t="s">
        <v>29</v>
      </c>
      <c r="L114" s="1">
        <v>3000</v>
      </c>
      <c r="M114" t="s">
        <v>29</v>
      </c>
      <c r="N114" s="1">
        <v>3000</v>
      </c>
      <c r="O114" s="1">
        <v>3000</v>
      </c>
      <c r="P114" t="s">
        <v>30</v>
      </c>
      <c r="Q114" s="2">
        <v>0.7</v>
      </c>
      <c r="R114" s="1">
        <v>2100</v>
      </c>
      <c r="S114" t="s">
        <v>29</v>
      </c>
      <c r="T114" s="1">
        <v>2100</v>
      </c>
      <c r="V114" t="str">
        <f>VLOOKUP(H114,'[1]팀별 출판사'!A:B,2,0)</f>
        <v>소설1팀</v>
      </c>
      <c r="W114" s="6">
        <f t="shared" si="2"/>
        <v>0</v>
      </c>
      <c r="X114" s="6">
        <f t="shared" si="3"/>
        <v>2100</v>
      </c>
    </row>
    <row r="115" spans="1:24" x14ac:dyDescent="0.3">
      <c r="A115" t="s">
        <v>21</v>
      </c>
      <c r="B115" t="s">
        <v>296</v>
      </c>
      <c r="C115" t="s">
        <v>23</v>
      </c>
      <c r="D115" t="s">
        <v>24</v>
      </c>
      <c r="E115" t="s">
        <v>25</v>
      </c>
      <c r="F115">
        <v>1</v>
      </c>
      <c r="G115">
        <v>9791136958716</v>
      </c>
      <c r="H115" t="s">
        <v>79</v>
      </c>
      <c r="I115" t="s">
        <v>297</v>
      </c>
      <c r="J115" t="s">
        <v>81</v>
      </c>
      <c r="K115" t="s">
        <v>29</v>
      </c>
      <c r="L115" s="1">
        <v>3200</v>
      </c>
      <c r="M115" t="s">
        <v>29</v>
      </c>
      <c r="N115" s="1">
        <v>3200</v>
      </c>
      <c r="O115" s="1">
        <v>3200</v>
      </c>
      <c r="P115" t="s">
        <v>30</v>
      </c>
      <c r="Q115" s="2">
        <v>0.7</v>
      </c>
      <c r="R115" s="1">
        <v>2240</v>
      </c>
      <c r="S115" t="s">
        <v>29</v>
      </c>
      <c r="T115" s="1">
        <v>2240</v>
      </c>
      <c r="V115" t="str">
        <f>VLOOKUP(H115,'[1]팀별 출판사'!A:B,2,0)</f>
        <v>소설1팀</v>
      </c>
      <c r="W115" s="6">
        <f t="shared" si="2"/>
        <v>0</v>
      </c>
      <c r="X115" s="6">
        <f t="shared" si="3"/>
        <v>2240</v>
      </c>
    </row>
    <row r="116" spans="1:24" x14ac:dyDescent="0.3">
      <c r="A116" t="s">
        <v>21</v>
      </c>
      <c r="B116" t="s">
        <v>298</v>
      </c>
      <c r="C116" t="s">
        <v>23</v>
      </c>
      <c r="D116" t="s">
        <v>24</v>
      </c>
      <c r="E116" t="s">
        <v>25</v>
      </c>
      <c r="F116">
        <v>1</v>
      </c>
      <c r="G116">
        <v>9791136914286</v>
      </c>
      <c r="H116" t="s">
        <v>26</v>
      </c>
      <c r="I116" t="s">
        <v>299</v>
      </c>
      <c r="J116" t="s">
        <v>300</v>
      </c>
      <c r="K116" t="s">
        <v>29</v>
      </c>
      <c r="L116">
        <v>0</v>
      </c>
      <c r="M116" t="s">
        <v>70</v>
      </c>
      <c r="N116">
        <v>0</v>
      </c>
      <c r="O116">
        <v>0</v>
      </c>
      <c r="P116" t="s">
        <v>71</v>
      </c>
      <c r="Q116" s="2">
        <v>0.7</v>
      </c>
      <c r="R116">
        <v>0</v>
      </c>
      <c r="V116" t="str">
        <f>VLOOKUP(H116,'[1]팀별 출판사'!A:B,2,0)</f>
        <v>소설1팀</v>
      </c>
      <c r="W116" s="6">
        <f t="shared" si="2"/>
        <v>0</v>
      </c>
      <c r="X116" s="6">
        <f t="shared" si="3"/>
        <v>0</v>
      </c>
    </row>
    <row r="117" spans="1:24" x14ac:dyDescent="0.3">
      <c r="A117" t="s">
        <v>21</v>
      </c>
      <c r="B117" t="s">
        <v>301</v>
      </c>
      <c r="C117" t="s">
        <v>23</v>
      </c>
      <c r="D117" t="s">
        <v>24</v>
      </c>
      <c r="E117" t="s">
        <v>25</v>
      </c>
      <c r="F117">
        <v>1</v>
      </c>
      <c r="G117">
        <v>9791133151943</v>
      </c>
      <c r="H117" t="s">
        <v>32</v>
      </c>
      <c r="I117" t="s">
        <v>302</v>
      </c>
      <c r="J117" t="s">
        <v>51</v>
      </c>
      <c r="K117" t="s">
        <v>29</v>
      </c>
      <c r="L117">
        <v>0</v>
      </c>
      <c r="M117" t="s">
        <v>29</v>
      </c>
      <c r="N117">
        <v>0</v>
      </c>
      <c r="O117">
        <v>0</v>
      </c>
      <c r="P117" t="s">
        <v>30</v>
      </c>
      <c r="Q117" s="2">
        <v>0.7</v>
      </c>
      <c r="R117">
        <v>0</v>
      </c>
      <c r="V117" t="str">
        <f>VLOOKUP(H117,'[1]팀별 출판사'!A:B,2,0)</f>
        <v>소설1팀</v>
      </c>
      <c r="W117" s="6">
        <f t="shared" si="2"/>
        <v>0</v>
      </c>
      <c r="X117" s="6">
        <f t="shared" si="3"/>
        <v>0</v>
      </c>
    </row>
    <row r="118" spans="1:24" x14ac:dyDescent="0.3">
      <c r="A118" t="s">
        <v>21</v>
      </c>
      <c r="B118" t="s">
        <v>303</v>
      </c>
      <c r="C118" t="s">
        <v>23</v>
      </c>
      <c r="D118" t="s">
        <v>24</v>
      </c>
      <c r="E118" t="s">
        <v>25</v>
      </c>
      <c r="F118">
        <v>1</v>
      </c>
      <c r="G118">
        <v>9791136930552</v>
      </c>
      <c r="H118" t="s">
        <v>26</v>
      </c>
      <c r="I118" t="s">
        <v>45</v>
      </c>
      <c r="J118" t="s">
        <v>46</v>
      </c>
      <c r="K118" t="s">
        <v>29</v>
      </c>
      <c r="L118">
        <v>0</v>
      </c>
      <c r="M118" t="s">
        <v>47</v>
      </c>
      <c r="N118">
        <v>0</v>
      </c>
      <c r="O118">
        <v>0</v>
      </c>
      <c r="P118" t="s">
        <v>48</v>
      </c>
      <c r="Q118" s="2">
        <v>0.7</v>
      </c>
      <c r="R118">
        <v>0</v>
      </c>
      <c r="V118" t="str">
        <f>VLOOKUP(H118,'[1]팀별 출판사'!A:B,2,0)</f>
        <v>소설1팀</v>
      </c>
      <c r="W118" s="6">
        <f t="shared" si="2"/>
        <v>0</v>
      </c>
      <c r="X118" s="6">
        <f t="shared" si="3"/>
        <v>0</v>
      </c>
    </row>
    <row r="119" spans="1:24" x14ac:dyDescent="0.3">
      <c r="A119" t="s">
        <v>21</v>
      </c>
      <c r="B119" t="s">
        <v>304</v>
      </c>
      <c r="C119" t="s">
        <v>23</v>
      </c>
      <c r="D119" t="s">
        <v>24</v>
      </c>
      <c r="E119" t="s">
        <v>25</v>
      </c>
      <c r="F119">
        <v>1</v>
      </c>
      <c r="G119">
        <v>9791136916655</v>
      </c>
      <c r="H119" t="s">
        <v>26</v>
      </c>
      <c r="I119" t="s">
        <v>305</v>
      </c>
      <c r="J119" t="s">
        <v>62</v>
      </c>
      <c r="K119" t="s">
        <v>29</v>
      </c>
      <c r="L119">
        <v>0</v>
      </c>
      <c r="M119" t="s">
        <v>29</v>
      </c>
      <c r="N119">
        <v>0</v>
      </c>
      <c r="O119">
        <v>0</v>
      </c>
      <c r="P119" t="s">
        <v>30</v>
      </c>
      <c r="Q119" s="2">
        <v>0.7</v>
      </c>
      <c r="R119">
        <v>0</v>
      </c>
      <c r="V119" t="str">
        <f>VLOOKUP(H119,'[1]팀별 출판사'!A:B,2,0)</f>
        <v>소설1팀</v>
      </c>
      <c r="W119" s="6">
        <f t="shared" si="2"/>
        <v>0</v>
      </c>
      <c r="X119" s="6">
        <f t="shared" si="3"/>
        <v>0</v>
      </c>
    </row>
    <row r="120" spans="1:24" x14ac:dyDescent="0.3">
      <c r="A120" t="s">
        <v>21</v>
      </c>
      <c r="B120" t="s">
        <v>306</v>
      </c>
      <c r="C120" t="s">
        <v>23</v>
      </c>
      <c r="D120" t="s">
        <v>24</v>
      </c>
      <c r="E120" t="s">
        <v>25</v>
      </c>
      <c r="F120">
        <v>1</v>
      </c>
      <c r="G120">
        <v>9791170103387</v>
      </c>
      <c r="H120" t="s">
        <v>67</v>
      </c>
      <c r="I120" t="s">
        <v>307</v>
      </c>
      <c r="J120" t="s">
        <v>308</v>
      </c>
      <c r="K120" t="s">
        <v>29</v>
      </c>
      <c r="L120">
        <v>0</v>
      </c>
      <c r="M120" t="s">
        <v>47</v>
      </c>
      <c r="N120">
        <v>0</v>
      </c>
      <c r="O120">
        <v>0</v>
      </c>
      <c r="P120" t="s">
        <v>48</v>
      </c>
      <c r="Q120" s="2">
        <v>0.7</v>
      </c>
      <c r="R120">
        <v>0</v>
      </c>
      <c r="V120" t="str">
        <f>VLOOKUP(H120,'[1]팀별 출판사'!A:B,2,0)</f>
        <v>소설1팀</v>
      </c>
      <c r="W120" s="6">
        <f t="shared" si="2"/>
        <v>0</v>
      </c>
      <c r="X120" s="6">
        <f t="shared" si="3"/>
        <v>0</v>
      </c>
    </row>
    <row r="121" spans="1:24" x14ac:dyDescent="0.3">
      <c r="A121" t="s">
        <v>21</v>
      </c>
      <c r="B121" t="s">
        <v>309</v>
      </c>
      <c r="C121" t="s">
        <v>23</v>
      </c>
      <c r="D121" t="s">
        <v>24</v>
      </c>
      <c r="E121" t="s">
        <v>25</v>
      </c>
      <c r="F121">
        <v>1</v>
      </c>
      <c r="G121">
        <v>9788928005826</v>
      </c>
      <c r="H121" t="s">
        <v>32</v>
      </c>
      <c r="I121" t="s">
        <v>310</v>
      </c>
      <c r="J121" t="s">
        <v>311</v>
      </c>
      <c r="K121" t="s">
        <v>29</v>
      </c>
      <c r="L121">
        <v>0</v>
      </c>
      <c r="M121" t="s">
        <v>29</v>
      </c>
      <c r="N121">
        <v>0</v>
      </c>
      <c r="O121">
        <v>0</v>
      </c>
      <c r="P121" t="s">
        <v>30</v>
      </c>
      <c r="Q121" s="2">
        <v>0.7</v>
      </c>
      <c r="R121">
        <v>0</v>
      </c>
      <c r="V121" t="str">
        <f>VLOOKUP(H121,'[1]팀별 출판사'!A:B,2,0)</f>
        <v>소설1팀</v>
      </c>
      <c r="W121" s="6">
        <f t="shared" si="2"/>
        <v>0</v>
      </c>
      <c r="X121" s="6">
        <f t="shared" si="3"/>
        <v>0</v>
      </c>
    </row>
    <row r="122" spans="1:24" x14ac:dyDescent="0.3">
      <c r="A122" t="s">
        <v>21</v>
      </c>
      <c r="B122" t="s">
        <v>312</v>
      </c>
      <c r="C122" t="s">
        <v>23</v>
      </c>
      <c r="D122" t="s">
        <v>24</v>
      </c>
      <c r="E122" t="s">
        <v>25</v>
      </c>
      <c r="F122">
        <v>1</v>
      </c>
      <c r="G122">
        <v>9791133167227</v>
      </c>
      <c r="H122" t="s">
        <v>32</v>
      </c>
      <c r="I122" t="s">
        <v>313</v>
      </c>
      <c r="J122" t="s">
        <v>160</v>
      </c>
      <c r="K122" t="s">
        <v>29</v>
      </c>
      <c r="L122">
        <v>0</v>
      </c>
      <c r="M122" t="s">
        <v>70</v>
      </c>
      <c r="N122">
        <v>0</v>
      </c>
      <c r="O122">
        <v>0</v>
      </c>
      <c r="P122" t="s">
        <v>71</v>
      </c>
      <c r="Q122" s="2">
        <v>0.7</v>
      </c>
      <c r="R122">
        <v>0</v>
      </c>
      <c r="V122" t="str">
        <f>VLOOKUP(H122,'[1]팀별 출판사'!A:B,2,0)</f>
        <v>소설1팀</v>
      </c>
      <c r="W122" s="6">
        <f t="shared" si="2"/>
        <v>0</v>
      </c>
      <c r="X122" s="6">
        <f t="shared" si="3"/>
        <v>0</v>
      </c>
    </row>
    <row r="123" spans="1:24" x14ac:dyDescent="0.3">
      <c r="A123" t="s">
        <v>21</v>
      </c>
      <c r="B123" t="s">
        <v>314</v>
      </c>
      <c r="C123" t="s">
        <v>23</v>
      </c>
      <c r="D123" t="s">
        <v>24</v>
      </c>
      <c r="E123" t="s">
        <v>25</v>
      </c>
      <c r="F123">
        <v>1</v>
      </c>
      <c r="G123">
        <v>9791157532131</v>
      </c>
      <c r="H123" t="s">
        <v>32</v>
      </c>
      <c r="I123" t="s">
        <v>315</v>
      </c>
      <c r="J123" t="s">
        <v>112</v>
      </c>
      <c r="K123" t="s">
        <v>29</v>
      </c>
      <c r="L123" s="1">
        <v>3200</v>
      </c>
      <c r="M123" t="s">
        <v>29</v>
      </c>
      <c r="N123" s="1">
        <v>3200</v>
      </c>
      <c r="O123" s="1">
        <v>3200</v>
      </c>
      <c r="P123" t="s">
        <v>30</v>
      </c>
      <c r="Q123" s="2">
        <v>0.7</v>
      </c>
      <c r="R123" s="1">
        <v>2240</v>
      </c>
      <c r="S123" t="s">
        <v>29</v>
      </c>
      <c r="T123" s="1">
        <v>2240</v>
      </c>
      <c r="V123" t="str">
        <f>VLOOKUP(H123,'[1]팀별 출판사'!A:B,2,0)</f>
        <v>소설1팀</v>
      </c>
      <c r="W123" s="6">
        <f t="shared" si="2"/>
        <v>0</v>
      </c>
      <c r="X123" s="6">
        <f t="shared" si="3"/>
        <v>2240</v>
      </c>
    </row>
    <row r="124" spans="1:24" x14ac:dyDescent="0.3">
      <c r="A124" t="s">
        <v>21</v>
      </c>
      <c r="B124" t="s">
        <v>316</v>
      </c>
      <c r="C124" t="s">
        <v>23</v>
      </c>
      <c r="D124" t="s">
        <v>24</v>
      </c>
      <c r="E124" t="s">
        <v>25</v>
      </c>
      <c r="F124">
        <v>1</v>
      </c>
      <c r="G124">
        <v>9791133181810</v>
      </c>
      <c r="H124" t="s">
        <v>32</v>
      </c>
      <c r="I124" t="s">
        <v>317</v>
      </c>
      <c r="J124" t="s">
        <v>318</v>
      </c>
      <c r="K124" t="s">
        <v>29</v>
      </c>
      <c r="L124">
        <v>0</v>
      </c>
      <c r="M124" t="s">
        <v>29</v>
      </c>
      <c r="N124">
        <v>0</v>
      </c>
      <c r="O124">
        <v>0</v>
      </c>
      <c r="P124" t="s">
        <v>30</v>
      </c>
      <c r="Q124" s="2">
        <v>0.7</v>
      </c>
      <c r="R124">
        <v>0</v>
      </c>
      <c r="V124" t="str">
        <f>VLOOKUP(H124,'[1]팀별 출판사'!A:B,2,0)</f>
        <v>소설1팀</v>
      </c>
      <c r="W124" s="6">
        <f t="shared" si="2"/>
        <v>0</v>
      </c>
      <c r="X124" s="6">
        <f t="shared" si="3"/>
        <v>0</v>
      </c>
    </row>
    <row r="125" spans="1:24" x14ac:dyDescent="0.3">
      <c r="A125" t="s">
        <v>21</v>
      </c>
      <c r="B125" t="s">
        <v>319</v>
      </c>
      <c r="C125" t="s">
        <v>23</v>
      </c>
      <c r="D125" t="s">
        <v>24</v>
      </c>
      <c r="E125" t="s">
        <v>25</v>
      </c>
      <c r="F125">
        <v>1</v>
      </c>
      <c r="G125">
        <v>9791133180066</v>
      </c>
      <c r="H125" t="s">
        <v>26</v>
      </c>
      <c r="I125" t="s">
        <v>320</v>
      </c>
      <c r="J125" t="s">
        <v>321</v>
      </c>
      <c r="K125" t="s">
        <v>29</v>
      </c>
      <c r="L125">
        <v>0</v>
      </c>
      <c r="M125" t="s">
        <v>29</v>
      </c>
      <c r="N125">
        <v>0</v>
      </c>
      <c r="O125">
        <v>0</v>
      </c>
      <c r="P125" t="s">
        <v>30</v>
      </c>
      <c r="Q125" s="2">
        <v>0.7</v>
      </c>
      <c r="R125">
        <v>0</v>
      </c>
      <c r="V125" t="str">
        <f>VLOOKUP(H125,'[1]팀별 출판사'!A:B,2,0)</f>
        <v>소설1팀</v>
      </c>
      <c r="W125" s="6">
        <f t="shared" si="2"/>
        <v>0</v>
      </c>
      <c r="X125" s="6">
        <f t="shared" si="3"/>
        <v>0</v>
      </c>
    </row>
    <row r="126" spans="1:24" x14ac:dyDescent="0.3">
      <c r="A126" t="s">
        <v>21</v>
      </c>
      <c r="B126" t="s">
        <v>322</v>
      </c>
      <c r="C126" t="s">
        <v>23</v>
      </c>
      <c r="D126" t="s">
        <v>24</v>
      </c>
      <c r="E126" t="s">
        <v>25</v>
      </c>
      <c r="F126">
        <v>1</v>
      </c>
      <c r="G126">
        <v>9791136988324</v>
      </c>
      <c r="H126" t="s">
        <v>26</v>
      </c>
      <c r="I126" t="s">
        <v>323</v>
      </c>
      <c r="J126" t="s">
        <v>28</v>
      </c>
      <c r="K126" t="s">
        <v>29</v>
      </c>
      <c r="L126" s="1">
        <v>3200</v>
      </c>
      <c r="M126" t="s">
        <v>29</v>
      </c>
      <c r="N126" s="1">
        <v>3200</v>
      </c>
      <c r="O126" s="1">
        <v>3200</v>
      </c>
      <c r="P126" t="s">
        <v>30</v>
      </c>
      <c r="Q126" s="2">
        <v>0.7</v>
      </c>
      <c r="R126" s="1">
        <v>2240</v>
      </c>
      <c r="S126" t="s">
        <v>29</v>
      </c>
      <c r="T126" s="1">
        <v>2240</v>
      </c>
      <c r="V126" t="str">
        <f>VLOOKUP(H126,'[1]팀별 출판사'!A:B,2,0)</f>
        <v>소설1팀</v>
      </c>
      <c r="W126" s="6">
        <f t="shared" si="2"/>
        <v>0</v>
      </c>
      <c r="X126" s="6">
        <f t="shared" si="3"/>
        <v>2240</v>
      </c>
    </row>
    <row r="127" spans="1:24" x14ac:dyDescent="0.3">
      <c r="A127" t="s">
        <v>21</v>
      </c>
      <c r="B127" t="s">
        <v>324</v>
      </c>
      <c r="C127" t="s">
        <v>23</v>
      </c>
      <c r="D127" t="s">
        <v>24</v>
      </c>
      <c r="E127" t="s">
        <v>25</v>
      </c>
      <c r="F127">
        <v>1</v>
      </c>
      <c r="G127">
        <v>9791136904799</v>
      </c>
      <c r="H127" t="s">
        <v>26</v>
      </c>
      <c r="I127" t="s">
        <v>325</v>
      </c>
      <c r="J127" t="s">
        <v>166</v>
      </c>
      <c r="K127" t="s">
        <v>29</v>
      </c>
      <c r="L127" s="1">
        <v>3200</v>
      </c>
      <c r="M127" t="s">
        <v>29</v>
      </c>
      <c r="N127" s="1">
        <v>3200</v>
      </c>
      <c r="O127" s="1">
        <v>3200</v>
      </c>
      <c r="P127" t="s">
        <v>30</v>
      </c>
      <c r="Q127" s="2">
        <v>0.7</v>
      </c>
      <c r="R127" s="1">
        <v>2240</v>
      </c>
      <c r="S127" t="s">
        <v>29</v>
      </c>
      <c r="T127" s="1">
        <v>2240</v>
      </c>
      <c r="V127" t="str">
        <f>VLOOKUP(H127,'[1]팀별 출판사'!A:B,2,0)</f>
        <v>소설1팀</v>
      </c>
      <c r="W127" s="6">
        <f t="shared" si="2"/>
        <v>0</v>
      </c>
      <c r="X127" s="6">
        <f t="shared" si="3"/>
        <v>2240</v>
      </c>
    </row>
    <row r="128" spans="1:24" x14ac:dyDescent="0.3">
      <c r="A128" t="s">
        <v>21</v>
      </c>
      <c r="B128" t="s">
        <v>326</v>
      </c>
      <c r="C128" t="s">
        <v>23</v>
      </c>
      <c r="D128" t="s">
        <v>24</v>
      </c>
      <c r="E128" t="s">
        <v>25</v>
      </c>
      <c r="F128">
        <v>1</v>
      </c>
      <c r="G128">
        <v>9791173785092</v>
      </c>
      <c r="H128" t="s">
        <v>26</v>
      </c>
      <c r="I128" t="s">
        <v>327</v>
      </c>
      <c r="J128" t="s">
        <v>62</v>
      </c>
      <c r="K128" t="s">
        <v>29</v>
      </c>
      <c r="L128">
        <v>0</v>
      </c>
      <c r="M128" t="s">
        <v>29</v>
      </c>
      <c r="N128">
        <v>0</v>
      </c>
      <c r="O128">
        <v>0</v>
      </c>
      <c r="P128" t="s">
        <v>30</v>
      </c>
      <c r="Q128" s="2">
        <v>0.7</v>
      </c>
      <c r="R128">
        <v>0</v>
      </c>
      <c r="V128" t="str">
        <f>VLOOKUP(H128,'[1]팀별 출판사'!A:B,2,0)</f>
        <v>소설1팀</v>
      </c>
      <c r="W128" s="6">
        <f t="shared" si="2"/>
        <v>0</v>
      </c>
      <c r="X128" s="6">
        <f t="shared" si="3"/>
        <v>0</v>
      </c>
    </row>
    <row r="129" spans="1:24" x14ac:dyDescent="0.3">
      <c r="A129" t="s">
        <v>21</v>
      </c>
      <c r="B129" t="s">
        <v>328</v>
      </c>
      <c r="C129" t="s">
        <v>23</v>
      </c>
      <c r="D129" t="s">
        <v>24</v>
      </c>
      <c r="E129" t="s">
        <v>25</v>
      </c>
      <c r="F129">
        <v>1</v>
      </c>
      <c r="G129">
        <v>9791136930224</v>
      </c>
      <c r="H129" t="s">
        <v>32</v>
      </c>
      <c r="I129" t="s">
        <v>172</v>
      </c>
      <c r="J129" t="s">
        <v>46</v>
      </c>
      <c r="K129" t="s">
        <v>29</v>
      </c>
      <c r="L129">
        <v>0</v>
      </c>
      <c r="M129" t="s">
        <v>47</v>
      </c>
      <c r="N129">
        <v>0</v>
      </c>
      <c r="O129">
        <v>0</v>
      </c>
      <c r="P129" t="s">
        <v>48</v>
      </c>
      <c r="Q129" s="2">
        <v>0.7</v>
      </c>
      <c r="R129">
        <v>0</v>
      </c>
      <c r="V129" t="str">
        <f>VLOOKUP(H129,'[1]팀별 출판사'!A:B,2,0)</f>
        <v>소설1팀</v>
      </c>
      <c r="W129" s="6">
        <f t="shared" si="2"/>
        <v>0</v>
      </c>
      <c r="X129" s="6">
        <f t="shared" si="3"/>
        <v>0</v>
      </c>
    </row>
    <row r="130" spans="1:24" x14ac:dyDescent="0.3">
      <c r="A130" t="s">
        <v>21</v>
      </c>
      <c r="B130" t="s">
        <v>329</v>
      </c>
      <c r="C130" t="s">
        <v>23</v>
      </c>
      <c r="D130" t="s">
        <v>24</v>
      </c>
      <c r="E130" t="s">
        <v>25</v>
      </c>
      <c r="F130">
        <v>1</v>
      </c>
      <c r="G130">
        <v>9791172926991</v>
      </c>
      <c r="H130" t="s">
        <v>26</v>
      </c>
      <c r="I130" t="s">
        <v>330</v>
      </c>
      <c r="J130" t="s">
        <v>28</v>
      </c>
      <c r="K130" t="s">
        <v>29</v>
      </c>
      <c r="L130">
        <v>0</v>
      </c>
      <c r="M130" t="s">
        <v>29</v>
      </c>
      <c r="N130">
        <v>0</v>
      </c>
      <c r="O130">
        <v>0</v>
      </c>
      <c r="P130" t="s">
        <v>30</v>
      </c>
      <c r="Q130" s="2">
        <v>0.7</v>
      </c>
      <c r="R130">
        <v>0</v>
      </c>
      <c r="V130" t="str">
        <f>VLOOKUP(H130,'[1]팀별 출판사'!A:B,2,0)</f>
        <v>소설1팀</v>
      </c>
      <c r="W130" s="6">
        <f t="shared" ref="W130:W193" si="4">IF(P130="US", T130*30%, 0)</f>
        <v>0</v>
      </c>
      <c r="X130" s="6">
        <f t="shared" ref="X130:X193" si="5">T130-W130</f>
        <v>0</v>
      </c>
    </row>
    <row r="131" spans="1:24" x14ac:dyDescent="0.3">
      <c r="A131" t="s">
        <v>21</v>
      </c>
      <c r="B131" t="s">
        <v>331</v>
      </c>
      <c r="C131" t="s">
        <v>23</v>
      </c>
      <c r="D131" t="s">
        <v>24</v>
      </c>
      <c r="E131" t="s">
        <v>25</v>
      </c>
      <c r="F131">
        <v>1</v>
      </c>
      <c r="G131">
        <v>9791133186501</v>
      </c>
      <c r="H131" t="s">
        <v>26</v>
      </c>
      <c r="I131" t="s">
        <v>64</v>
      </c>
      <c r="J131" t="s">
        <v>65</v>
      </c>
      <c r="K131" t="s">
        <v>29</v>
      </c>
      <c r="L131">
        <v>0</v>
      </c>
      <c r="M131" t="s">
        <v>29</v>
      </c>
      <c r="N131">
        <v>0</v>
      </c>
      <c r="O131">
        <v>0</v>
      </c>
      <c r="P131" t="s">
        <v>30</v>
      </c>
      <c r="Q131" s="2">
        <v>0.7</v>
      </c>
      <c r="R131">
        <v>0</v>
      </c>
      <c r="V131" t="str">
        <f>VLOOKUP(H131,'[1]팀별 출판사'!A:B,2,0)</f>
        <v>소설1팀</v>
      </c>
      <c r="W131" s="6">
        <f t="shared" si="4"/>
        <v>0</v>
      </c>
      <c r="X131" s="6">
        <f t="shared" si="5"/>
        <v>0</v>
      </c>
    </row>
    <row r="132" spans="1:24" x14ac:dyDescent="0.3">
      <c r="A132" t="s">
        <v>21</v>
      </c>
      <c r="B132" t="s">
        <v>332</v>
      </c>
      <c r="C132" t="s">
        <v>23</v>
      </c>
      <c r="D132" t="s">
        <v>24</v>
      </c>
      <c r="E132" t="s">
        <v>25</v>
      </c>
      <c r="F132">
        <v>1</v>
      </c>
      <c r="G132">
        <v>9791133186501</v>
      </c>
      <c r="H132" t="s">
        <v>26</v>
      </c>
      <c r="I132" t="s">
        <v>64</v>
      </c>
      <c r="J132" t="s">
        <v>65</v>
      </c>
      <c r="K132" t="s">
        <v>29</v>
      </c>
      <c r="L132">
        <v>0</v>
      </c>
      <c r="M132" t="s">
        <v>29</v>
      </c>
      <c r="N132">
        <v>0</v>
      </c>
      <c r="O132">
        <v>0</v>
      </c>
      <c r="P132" t="s">
        <v>30</v>
      </c>
      <c r="Q132" s="2">
        <v>0.7</v>
      </c>
      <c r="R132">
        <v>0</v>
      </c>
      <c r="V132" t="str">
        <f>VLOOKUP(H132,'[1]팀별 출판사'!A:B,2,0)</f>
        <v>소설1팀</v>
      </c>
      <c r="W132" s="6">
        <f t="shared" si="4"/>
        <v>0</v>
      </c>
      <c r="X132" s="6">
        <f t="shared" si="5"/>
        <v>0</v>
      </c>
    </row>
    <row r="133" spans="1:24" x14ac:dyDescent="0.3">
      <c r="A133" t="s">
        <v>21</v>
      </c>
      <c r="B133" t="s">
        <v>333</v>
      </c>
      <c r="C133" t="s">
        <v>23</v>
      </c>
      <c r="D133" t="s">
        <v>24</v>
      </c>
      <c r="E133" t="s">
        <v>25</v>
      </c>
      <c r="F133">
        <v>1</v>
      </c>
      <c r="G133" t="s">
        <v>334</v>
      </c>
      <c r="H133" t="s">
        <v>32</v>
      </c>
      <c r="I133" t="s">
        <v>335</v>
      </c>
      <c r="J133" t="s">
        <v>210</v>
      </c>
      <c r="K133" t="s">
        <v>29</v>
      </c>
      <c r="L133" s="1">
        <v>2000</v>
      </c>
      <c r="M133" t="s">
        <v>29</v>
      </c>
      <c r="N133" s="1">
        <v>2000</v>
      </c>
      <c r="O133" s="1">
        <v>2000</v>
      </c>
      <c r="P133" t="s">
        <v>30</v>
      </c>
      <c r="Q133" s="2">
        <v>0.7</v>
      </c>
      <c r="R133" s="1">
        <v>1400</v>
      </c>
      <c r="S133" t="s">
        <v>29</v>
      </c>
      <c r="T133" s="1">
        <v>1400</v>
      </c>
      <c r="V133" t="str">
        <f>VLOOKUP(H133,'[1]팀별 출판사'!A:B,2,0)</f>
        <v>소설1팀</v>
      </c>
      <c r="W133" s="6">
        <f t="shared" si="4"/>
        <v>0</v>
      </c>
      <c r="X133" s="6">
        <f t="shared" si="5"/>
        <v>1400</v>
      </c>
    </row>
    <row r="134" spans="1:24" x14ac:dyDescent="0.3">
      <c r="A134" t="s">
        <v>21</v>
      </c>
      <c r="B134" t="s">
        <v>333</v>
      </c>
      <c r="C134" t="s">
        <v>23</v>
      </c>
      <c r="D134" t="s">
        <v>24</v>
      </c>
      <c r="E134" t="s">
        <v>25</v>
      </c>
      <c r="F134">
        <v>1</v>
      </c>
      <c r="G134" t="s">
        <v>336</v>
      </c>
      <c r="H134" t="s">
        <v>32</v>
      </c>
      <c r="I134" t="s">
        <v>337</v>
      </c>
      <c r="J134" t="s">
        <v>210</v>
      </c>
      <c r="K134" t="s">
        <v>29</v>
      </c>
      <c r="L134" s="1">
        <v>2000</v>
      </c>
      <c r="M134" t="s">
        <v>29</v>
      </c>
      <c r="N134" s="1">
        <v>2000</v>
      </c>
      <c r="O134" s="1">
        <v>2000</v>
      </c>
      <c r="P134" t="s">
        <v>30</v>
      </c>
      <c r="Q134" s="2">
        <v>0.7</v>
      </c>
      <c r="R134" s="1">
        <v>1400</v>
      </c>
      <c r="S134" t="s">
        <v>29</v>
      </c>
      <c r="T134" s="1">
        <v>1400</v>
      </c>
      <c r="V134" t="str">
        <f>VLOOKUP(H134,'[1]팀별 출판사'!A:B,2,0)</f>
        <v>소설1팀</v>
      </c>
      <c r="W134" s="6">
        <f t="shared" si="4"/>
        <v>0</v>
      </c>
      <c r="X134" s="6">
        <f t="shared" si="5"/>
        <v>1400</v>
      </c>
    </row>
    <row r="135" spans="1:24" x14ac:dyDescent="0.3">
      <c r="A135" t="s">
        <v>21</v>
      </c>
      <c r="B135" t="s">
        <v>333</v>
      </c>
      <c r="C135" t="s">
        <v>23</v>
      </c>
      <c r="D135" t="s">
        <v>24</v>
      </c>
      <c r="E135" t="s">
        <v>25</v>
      </c>
      <c r="F135">
        <v>1</v>
      </c>
      <c r="G135" t="s">
        <v>338</v>
      </c>
      <c r="H135" t="s">
        <v>32</v>
      </c>
      <c r="I135" t="s">
        <v>339</v>
      </c>
      <c r="J135" t="s">
        <v>210</v>
      </c>
      <c r="K135" t="s">
        <v>29</v>
      </c>
      <c r="L135" s="1">
        <v>2000</v>
      </c>
      <c r="M135" t="s">
        <v>29</v>
      </c>
      <c r="N135" s="1">
        <v>2000</v>
      </c>
      <c r="O135" s="1">
        <v>2000</v>
      </c>
      <c r="P135" t="s">
        <v>30</v>
      </c>
      <c r="Q135" s="2">
        <v>0.7</v>
      </c>
      <c r="R135" s="1">
        <v>1400</v>
      </c>
      <c r="S135" t="s">
        <v>29</v>
      </c>
      <c r="T135" s="1">
        <v>1400</v>
      </c>
      <c r="V135" t="str">
        <f>VLOOKUP(H135,'[1]팀별 출판사'!A:B,2,0)</f>
        <v>소설1팀</v>
      </c>
      <c r="W135" s="6">
        <f t="shared" si="4"/>
        <v>0</v>
      </c>
      <c r="X135" s="6">
        <f t="shared" si="5"/>
        <v>1400</v>
      </c>
    </row>
    <row r="136" spans="1:24" x14ac:dyDescent="0.3">
      <c r="A136" t="s">
        <v>21</v>
      </c>
      <c r="B136" t="s">
        <v>340</v>
      </c>
      <c r="C136" t="s">
        <v>23</v>
      </c>
      <c r="D136" t="s">
        <v>24</v>
      </c>
      <c r="E136" t="s">
        <v>25</v>
      </c>
      <c r="F136">
        <v>1</v>
      </c>
      <c r="G136">
        <v>9791136930361</v>
      </c>
      <c r="H136" t="s">
        <v>32</v>
      </c>
      <c r="I136" t="s">
        <v>33</v>
      </c>
      <c r="J136" t="s">
        <v>34</v>
      </c>
      <c r="K136" t="s">
        <v>29</v>
      </c>
      <c r="L136">
        <v>0</v>
      </c>
      <c r="M136" t="s">
        <v>29</v>
      </c>
      <c r="N136">
        <v>0</v>
      </c>
      <c r="O136">
        <v>0</v>
      </c>
      <c r="P136" t="s">
        <v>30</v>
      </c>
      <c r="Q136" s="2">
        <v>0.7</v>
      </c>
      <c r="R136">
        <v>0</v>
      </c>
      <c r="V136" t="str">
        <f>VLOOKUP(H136,'[1]팀별 출판사'!A:B,2,0)</f>
        <v>소설1팀</v>
      </c>
      <c r="W136" s="6">
        <f t="shared" si="4"/>
        <v>0</v>
      </c>
      <c r="X136" s="6">
        <f t="shared" si="5"/>
        <v>0</v>
      </c>
    </row>
    <row r="137" spans="1:24" x14ac:dyDescent="0.3">
      <c r="A137" t="s">
        <v>21</v>
      </c>
      <c r="B137" t="s">
        <v>341</v>
      </c>
      <c r="C137" t="s">
        <v>23</v>
      </c>
      <c r="D137" t="s">
        <v>24</v>
      </c>
      <c r="E137" t="s">
        <v>25</v>
      </c>
      <c r="F137">
        <v>1</v>
      </c>
      <c r="G137" t="s">
        <v>342</v>
      </c>
      <c r="H137" t="s">
        <v>32</v>
      </c>
      <c r="I137" t="s">
        <v>343</v>
      </c>
      <c r="J137" t="s">
        <v>88</v>
      </c>
      <c r="K137" t="s">
        <v>29</v>
      </c>
      <c r="L137" s="1">
        <v>3200</v>
      </c>
      <c r="M137" t="s">
        <v>29</v>
      </c>
      <c r="N137" s="1">
        <v>3200</v>
      </c>
      <c r="O137" s="1">
        <v>3200</v>
      </c>
      <c r="P137" t="s">
        <v>30</v>
      </c>
      <c r="Q137" s="2">
        <v>0.7</v>
      </c>
      <c r="R137" s="1">
        <v>2240</v>
      </c>
      <c r="S137" t="s">
        <v>29</v>
      </c>
      <c r="T137" s="1">
        <v>2240</v>
      </c>
      <c r="V137" t="str">
        <f>VLOOKUP(H137,'[1]팀별 출판사'!A:B,2,0)</f>
        <v>소설1팀</v>
      </c>
      <c r="W137" s="6">
        <f t="shared" si="4"/>
        <v>0</v>
      </c>
      <c r="X137" s="6">
        <f t="shared" si="5"/>
        <v>2240</v>
      </c>
    </row>
    <row r="138" spans="1:24" x14ac:dyDescent="0.3">
      <c r="A138" t="s">
        <v>21</v>
      </c>
      <c r="B138" t="s">
        <v>344</v>
      </c>
      <c r="C138" t="s">
        <v>23</v>
      </c>
      <c r="D138" t="s">
        <v>24</v>
      </c>
      <c r="E138" t="s">
        <v>25</v>
      </c>
      <c r="F138">
        <v>1</v>
      </c>
      <c r="G138">
        <v>9791136946782</v>
      </c>
      <c r="H138" t="s">
        <v>26</v>
      </c>
      <c r="I138" t="s">
        <v>291</v>
      </c>
      <c r="J138" t="s">
        <v>28</v>
      </c>
      <c r="K138" t="s">
        <v>29</v>
      </c>
      <c r="L138">
        <v>0</v>
      </c>
      <c r="M138" t="s">
        <v>29</v>
      </c>
      <c r="N138">
        <v>0</v>
      </c>
      <c r="O138">
        <v>0</v>
      </c>
      <c r="P138" t="s">
        <v>30</v>
      </c>
      <c r="Q138" s="2">
        <v>0.7</v>
      </c>
      <c r="R138">
        <v>0</v>
      </c>
      <c r="V138" t="str">
        <f>VLOOKUP(H138,'[1]팀별 출판사'!A:B,2,0)</f>
        <v>소설1팀</v>
      </c>
      <c r="W138" s="6">
        <f t="shared" si="4"/>
        <v>0</v>
      </c>
      <c r="X138" s="6">
        <f t="shared" si="5"/>
        <v>0</v>
      </c>
    </row>
    <row r="139" spans="1:24" x14ac:dyDescent="0.3">
      <c r="A139" t="s">
        <v>21</v>
      </c>
      <c r="B139" t="s">
        <v>345</v>
      </c>
      <c r="C139" t="s">
        <v>23</v>
      </c>
      <c r="D139" t="s">
        <v>24</v>
      </c>
      <c r="E139" t="s">
        <v>25</v>
      </c>
      <c r="F139">
        <v>1</v>
      </c>
      <c r="G139">
        <v>9791170100041</v>
      </c>
      <c r="H139" t="s">
        <v>67</v>
      </c>
      <c r="I139" t="s">
        <v>346</v>
      </c>
      <c r="J139" t="s">
        <v>347</v>
      </c>
      <c r="K139" t="s">
        <v>29</v>
      </c>
      <c r="L139">
        <v>0</v>
      </c>
      <c r="M139" t="s">
        <v>29</v>
      </c>
      <c r="N139">
        <v>0</v>
      </c>
      <c r="O139">
        <v>0</v>
      </c>
      <c r="P139" t="s">
        <v>30</v>
      </c>
      <c r="Q139" s="2">
        <v>0.7</v>
      </c>
      <c r="R139">
        <v>0</v>
      </c>
      <c r="V139" t="str">
        <f>VLOOKUP(H139,'[1]팀별 출판사'!A:B,2,0)</f>
        <v>소설1팀</v>
      </c>
      <c r="W139" s="6">
        <f t="shared" si="4"/>
        <v>0</v>
      </c>
      <c r="X139" s="6">
        <f t="shared" si="5"/>
        <v>0</v>
      </c>
    </row>
    <row r="140" spans="1:24" x14ac:dyDescent="0.3">
      <c r="A140" t="s">
        <v>348</v>
      </c>
      <c r="B140" t="s">
        <v>349</v>
      </c>
      <c r="C140" t="s">
        <v>23</v>
      </c>
      <c r="D140" t="s">
        <v>24</v>
      </c>
      <c r="E140" t="s">
        <v>25</v>
      </c>
      <c r="F140">
        <v>1</v>
      </c>
      <c r="G140" t="s">
        <v>350</v>
      </c>
      <c r="H140" t="s">
        <v>208</v>
      </c>
      <c r="I140" t="s">
        <v>351</v>
      </c>
      <c r="J140" t="s">
        <v>210</v>
      </c>
      <c r="K140" t="s">
        <v>29</v>
      </c>
      <c r="L140" s="1">
        <v>2000</v>
      </c>
      <c r="M140" t="s">
        <v>29</v>
      </c>
      <c r="N140" s="1">
        <v>2000</v>
      </c>
      <c r="O140" s="1">
        <v>2000</v>
      </c>
      <c r="P140" t="s">
        <v>30</v>
      </c>
      <c r="Q140" s="2">
        <v>0.7</v>
      </c>
      <c r="R140" s="1">
        <v>1400</v>
      </c>
      <c r="S140" t="s">
        <v>29</v>
      </c>
      <c r="T140" s="1">
        <v>1400</v>
      </c>
      <c r="V140" t="str">
        <f>VLOOKUP(H140,'[1]팀별 출판사'!A:B,2,0)</f>
        <v>소설1팀</v>
      </c>
      <c r="W140" s="6">
        <f t="shared" si="4"/>
        <v>0</v>
      </c>
      <c r="X140" s="6">
        <f t="shared" si="5"/>
        <v>1400</v>
      </c>
    </row>
    <row r="141" spans="1:24" x14ac:dyDescent="0.3">
      <c r="A141" t="s">
        <v>348</v>
      </c>
      <c r="B141" t="s">
        <v>352</v>
      </c>
      <c r="C141" t="s">
        <v>23</v>
      </c>
      <c r="D141" t="s">
        <v>24</v>
      </c>
      <c r="E141" t="s">
        <v>25</v>
      </c>
      <c r="F141">
        <v>1</v>
      </c>
      <c r="G141">
        <v>9791136931375</v>
      </c>
      <c r="H141" t="s">
        <v>32</v>
      </c>
      <c r="I141" t="s">
        <v>189</v>
      </c>
      <c r="J141" t="s">
        <v>46</v>
      </c>
      <c r="K141" t="s">
        <v>29</v>
      </c>
      <c r="L141">
        <v>0</v>
      </c>
      <c r="M141" t="s">
        <v>152</v>
      </c>
      <c r="N141">
        <v>0</v>
      </c>
      <c r="O141">
        <v>0</v>
      </c>
      <c r="P141" t="s">
        <v>153</v>
      </c>
      <c r="Q141" s="2">
        <v>0.7</v>
      </c>
      <c r="R141">
        <v>0</v>
      </c>
      <c r="V141" t="str">
        <f>VLOOKUP(H141,'[1]팀별 출판사'!A:B,2,0)</f>
        <v>소설1팀</v>
      </c>
      <c r="W141" s="6">
        <f t="shared" si="4"/>
        <v>0</v>
      </c>
      <c r="X141" s="6">
        <f t="shared" si="5"/>
        <v>0</v>
      </c>
    </row>
    <row r="142" spans="1:24" x14ac:dyDescent="0.3">
      <c r="A142" t="s">
        <v>348</v>
      </c>
      <c r="B142" t="s">
        <v>353</v>
      </c>
      <c r="C142" t="s">
        <v>23</v>
      </c>
      <c r="D142" t="s">
        <v>24</v>
      </c>
      <c r="E142" t="s">
        <v>25</v>
      </c>
      <c r="F142">
        <v>1</v>
      </c>
      <c r="G142">
        <v>9791136910431</v>
      </c>
      <c r="H142" t="s">
        <v>26</v>
      </c>
      <c r="I142" t="s">
        <v>354</v>
      </c>
      <c r="J142" t="s">
        <v>355</v>
      </c>
      <c r="K142" t="s">
        <v>29</v>
      </c>
      <c r="L142">
        <v>0</v>
      </c>
      <c r="M142" t="s">
        <v>29</v>
      </c>
      <c r="N142">
        <v>0</v>
      </c>
      <c r="O142">
        <v>0</v>
      </c>
      <c r="P142" t="s">
        <v>30</v>
      </c>
      <c r="Q142" s="2">
        <v>0.7</v>
      </c>
      <c r="R142">
        <v>0</v>
      </c>
      <c r="V142" t="str">
        <f>VLOOKUP(H142,'[1]팀별 출판사'!A:B,2,0)</f>
        <v>소설1팀</v>
      </c>
      <c r="W142" s="6">
        <f t="shared" si="4"/>
        <v>0</v>
      </c>
      <c r="X142" s="6">
        <f t="shared" si="5"/>
        <v>0</v>
      </c>
    </row>
    <row r="143" spans="1:24" x14ac:dyDescent="0.3">
      <c r="A143" t="s">
        <v>348</v>
      </c>
      <c r="B143" t="s">
        <v>356</v>
      </c>
      <c r="C143" t="s">
        <v>23</v>
      </c>
      <c r="D143" t="s">
        <v>24</v>
      </c>
      <c r="E143" t="s">
        <v>25</v>
      </c>
      <c r="F143">
        <v>1</v>
      </c>
      <c r="G143">
        <v>9791133144792</v>
      </c>
      <c r="H143" t="s">
        <v>32</v>
      </c>
      <c r="I143" t="s">
        <v>223</v>
      </c>
      <c r="J143" t="s">
        <v>88</v>
      </c>
      <c r="K143" t="s">
        <v>29</v>
      </c>
      <c r="L143">
        <v>0</v>
      </c>
      <c r="M143" t="s">
        <v>29</v>
      </c>
      <c r="N143">
        <v>0</v>
      </c>
      <c r="O143">
        <v>0</v>
      </c>
      <c r="P143" t="s">
        <v>30</v>
      </c>
      <c r="Q143" s="2">
        <v>0.7</v>
      </c>
      <c r="R143">
        <v>0</v>
      </c>
      <c r="V143" t="str">
        <f>VLOOKUP(H143,'[1]팀별 출판사'!A:B,2,0)</f>
        <v>소설1팀</v>
      </c>
      <c r="W143" s="6">
        <f t="shared" si="4"/>
        <v>0</v>
      </c>
      <c r="X143" s="6">
        <f t="shared" si="5"/>
        <v>0</v>
      </c>
    </row>
    <row r="144" spans="1:24" x14ac:dyDescent="0.3">
      <c r="A144" t="s">
        <v>348</v>
      </c>
      <c r="B144" t="s">
        <v>357</v>
      </c>
      <c r="C144" t="s">
        <v>23</v>
      </c>
      <c r="D144" t="s">
        <v>24</v>
      </c>
      <c r="E144" t="s">
        <v>25</v>
      </c>
      <c r="F144">
        <v>1</v>
      </c>
      <c r="G144">
        <v>9791133198382</v>
      </c>
      <c r="H144" t="s">
        <v>26</v>
      </c>
      <c r="I144" t="s">
        <v>358</v>
      </c>
      <c r="J144" t="s">
        <v>359</v>
      </c>
      <c r="K144" t="s">
        <v>29</v>
      </c>
      <c r="L144">
        <v>0</v>
      </c>
      <c r="M144" t="s">
        <v>29</v>
      </c>
      <c r="N144">
        <v>0</v>
      </c>
      <c r="O144">
        <v>0</v>
      </c>
      <c r="P144" t="s">
        <v>30</v>
      </c>
      <c r="Q144" s="2">
        <v>0.7</v>
      </c>
      <c r="R144">
        <v>0</v>
      </c>
      <c r="V144" t="str">
        <f>VLOOKUP(H144,'[1]팀별 출판사'!A:B,2,0)</f>
        <v>소설1팀</v>
      </c>
      <c r="W144" s="6">
        <f t="shared" si="4"/>
        <v>0</v>
      </c>
      <c r="X144" s="6">
        <f t="shared" si="5"/>
        <v>0</v>
      </c>
    </row>
    <row r="145" spans="1:24" x14ac:dyDescent="0.3">
      <c r="A145" t="s">
        <v>348</v>
      </c>
      <c r="B145" t="s">
        <v>360</v>
      </c>
      <c r="C145" t="s">
        <v>23</v>
      </c>
      <c r="D145" t="s">
        <v>24</v>
      </c>
      <c r="E145" t="s">
        <v>25</v>
      </c>
      <c r="F145">
        <v>1</v>
      </c>
      <c r="G145">
        <v>9791136903754</v>
      </c>
      <c r="H145" t="s">
        <v>26</v>
      </c>
      <c r="I145" t="s">
        <v>361</v>
      </c>
      <c r="J145" t="s">
        <v>256</v>
      </c>
      <c r="K145" t="s">
        <v>29</v>
      </c>
      <c r="L145">
        <v>0</v>
      </c>
      <c r="M145" t="s">
        <v>362</v>
      </c>
      <c r="N145">
        <v>0</v>
      </c>
      <c r="O145">
        <v>0</v>
      </c>
      <c r="P145" t="s">
        <v>363</v>
      </c>
      <c r="Q145" s="2">
        <v>0.7</v>
      </c>
      <c r="R145">
        <v>0</v>
      </c>
      <c r="V145" t="str">
        <f>VLOOKUP(H145,'[1]팀별 출판사'!A:B,2,0)</f>
        <v>소설1팀</v>
      </c>
      <c r="W145" s="6">
        <f t="shared" si="4"/>
        <v>0</v>
      </c>
      <c r="X145" s="6">
        <f t="shared" si="5"/>
        <v>0</v>
      </c>
    </row>
    <row r="146" spans="1:24" x14ac:dyDescent="0.3">
      <c r="A146" t="s">
        <v>348</v>
      </c>
      <c r="B146" t="s">
        <v>364</v>
      </c>
      <c r="C146" t="s">
        <v>23</v>
      </c>
      <c r="D146" t="s">
        <v>24</v>
      </c>
      <c r="E146" t="s">
        <v>25</v>
      </c>
      <c r="F146">
        <v>1</v>
      </c>
      <c r="G146">
        <v>9791133102846</v>
      </c>
      <c r="H146" t="s">
        <v>32</v>
      </c>
      <c r="I146" t="s">
        <v>50</v>
      </c>
      <c r="J146" t="s">
        <v>51</v>
      </c>
      <c r="K146" t="s">
        <v>29</v>
      </c>
      <c r="L146">
        <v>0</v>
      </c>
      <c r="M146" t="s">
        <v>29</v>
      </c>
      <c r="N146">
        <v>0</v>
      </c>
      <c r="O146">
        <v>0</v>
      </c>
      <c r="P146" t="s">
        <v>30</v>
      </c>
      <c r="Q146" s="2">
        <v>0.7</v>
      </c>
      <c r="R146">
        <v>0</v>
      </c>
      <c r="V146" t="str">
        <f>VLOOKUP(H146,'[1]팀별 출판사'!A:B,2,0)</f>
        <v>소설1팀</v>
      </c>
      <c r="W146" s="6">
        <f t="shared" si="4"/>
        <v>0</v>
      </c>
      <c r="X146" s="6">
        <f t="shared" si="5"/>
        <v>0</v>
      </c>
    </row>
    <row r="147" spans="1:24" x14ac:dyDescent="0.3">
      <c r="A147" t="s">
        <v>348</v>
      </c>
      <c r="B147" t="s">
        <v>365</v>
      </c>
      <c r="C147" t="s">
        <v>23</v>
      </c>
      <c r="D147" t="s">
        <v>24</v>
      </c>
      <c r="E147" t="s">
        <v>25</v>
      </c>
      <c r="F147">
        <v>1</v>
      </c>
      <c r="G147">
        <v>9791136928030</v>
      </c>
      <c r="H147" t="s">
        <v>26</v>
      </c>
      <c r="I147" t="s">
        <v>366</v>
      </c>
      <c r="J147" t="s">
        <v>367</v>
      </c>
      <c r="K147" t="s">
        <v>29</v>
      </c>
      <c r="L147">
        <v>0</v>
      </c>
      <c r="M147" t="s">
        <v>29</v>
      </c>
      <c r="N147">
        <v>0</v>
      </c>
      <c r="O147">
        <v>0</v>
      </c>
      <c r="P147" t="s">
        <v>30</v>
      </c>
      <c r="Q147" s="2">
        <v>0.7</v>
      </c>
      <c r="R147">
        <v>0</v>
      </c>
      <c r="V147" t="str">
        <f>VLOOKUP(H147,'[1]팀별 출판사'!A:B,2,0)</f>
        <v>소설1팀</v>
      </c>
      <c r="W147" s="6">
        <f t="shared" si="4"/>
        <v>0</v>
      </c>
      <c r="X147" s="6">
        <f t="shared" si="5"/>
        <v>0</v>
      </c>
    </row>
    <row r="148" spans="1:24" x14ac:dyDescent="0.3">
      <c r="A148" t="s">
        <v>348</v>
      </c>
      <c r="B148" t="s">
        <v>368</v>
      </c>
      <c r="C148" t="s">
        <v>23</v>
      </c>
      <c r="D148" t="s">
        <v>24</v>
      </c>
      <c r="E148" t="s">
        <v>25</v>
      </c>
      <c r="F148">
        <v>1</v>
      </c>
      <c r="G148">
        <v>9791172920029</v>
      </c>
      <c r="H148" t="s">
        <v>26</v>
      </c>
      <c r="I148" t="s">
        <v>369</v>
      </c>
      <c r="J148" t="s">
        <v>276</v>
      </c>
      <c r="K148" t="s">
        <v>29</v>
      </c>
      <c r="L148">
        <v>0</v>
      </c>
      <c r="M148" t="s">
        <v>29</v>
      </c>
      <c r="N148">
        <v>0</v>
      </c>
      <c r="O148">
        <v>0</v>
      </c>
      <c r="P148" t="s">
        <v>30</v>
      </c>
      <c r="Q148" s="2">
        <v>0.7</v>
      </c>
      <c r="R148">
        <v>0</v>
      </c>
      <c r="V148" t="str">
        <f>VLOOKUP(H148,'[1]팀별 출판사'!A:B,2,0)</f>
        <v>소설1팀</v>
      </c>
      <c r="W148" s="6">
        <f t="shared" si="4"/>
        <v>0</v>
      </c>
      <c r="X148" s="6">
        <f t="shared" si="5"/>
        <v>0</v>
      </c>
    </row>
    <row r="149" spans="1:24" x14ac:dyDescent="0.3">
      <c r="A149" t="s">
        <v>348</v>
      </c>
      <c r="B149" t="s">
        <v>370</v>
      </c>
      <c r="C149" t="s">
        <v>23</v>
      </c>
      <c r="D149" t="s">
        <v>24</v>
      </c>
      <c r="E149" t="s">
        <v>25</v>
      </c>
      <c r="F149">
        <v>1</v>
      </c>
      <c r="G149">
        <v>9791133186501</v>
      </c>
      <c r="H149" t="s">
        <v>26</v>
      </c>
      <c r="I149" t="s">
        <v>64</v>
      </c>
      <c r="J149" t="s">
        <v>65</v>
      </c>
      <c r="K149" t="s">
        <v>29</v>
      </c>
      <c r="L149">
        <v>0</v>
      </c>
      <c r="M149" t="s">
        <v>29</v>
      </c>
      <c r="N149">
        <v>0</v>
      </c>
      <c r="O149">
        <v>0</v>
      </c>
      <c r="P149" t="s">
        <v>30</v>
      </c>
      <c r="Q149" s="2">
        <v>0.7</v>
      </c>
      <c r="R149">
        <v>0</v>
      </c>
      <c r="V149" t="str">
        <f>VLOOKUP(H149,'[1]팀별 출판사'!A:B,2,0)</f>
        <v>소설1팀</v>
      </c>
      <c r="W149" s="6">
        <f t="shared" si="4"/>
        <v>0</v>
      </c>
      <c r="X149" s="6">
        <f t="shared" si="5"/>
        <v>0</v>
      </c>
    </row>
    <row r="150" spans="1:24" x14ac:dyDescent="0.3">
      <c r="A150" t="s">
        <v>348</v>
      </c>
      <c r="B150" t="s">
        <v>371</v>
      </c>
      <c r="C150" t="s">
        <v>23</v>
      </c>
      <c r="D150" t="s">
        <v>24</v>
      </c>
      <c r="E150" t="s">
        <v>25</v>
      </c>
      <c r="F150">
        <v>1</v>
      </c>
      <c r="G150">
        <v>9791136988331</v>
      </c>
      <c r="H150" t="s">
        <v>26</v>
      </c>
      <c r="I150" t="s">
        <v>372</v>
      </c>
      <c r="J150" t="s">
        <v>28</v>
      </c>
      <c r="K150" t="s">
        <v>29</v>
      </c>
      <c r="L150" s="1">
        <v>3200</v>
      </c>
      <c r="M150" t="s">
        <v>29</v>
      </c>
      <c r="N150" s="1">
        <v>3200</v>
      </c>
      <c r="O150" s="1">
        <v>3200</v>
      </c>
      <c r="P150" t="s">
        <v>30</v>
      </c>
      <c r="Q150" s="2">
        <v>0.7</v>
      </c>
      <c r="R150" s="1">
        <v>2240</v>
      </c>
      <c r="S150" t="s">
        <v>29</v>
      </c>
      <c r="T150" s="1">
        <v>2240</v>
      </c>
      <c r="V150" t="str">
        <f>VLOOKUP(H150,'[1]팀별 출판사'!A:B,2,0)</f>
        <v>소설1팀</v>
      </c>
      <c r="W150" s="6">
        <f t="shared" si="4"/>
        <v>0</v>
      </c>
      <c r="X150" s="6">
        <f t="shared" si="5"/>
        <v>2240</v>
      </c>
    </row>
    <row r="151" spans="1:24" x14ac:dyDescent="0.3">
      <c r="A151" t="s">
        <v>348</v>
      </c>
      <c r="B151" t="s">
        <v>373</v>
      </c>
      <c r="C151" t="s">
        <v>23</v>
      </c>
      <c r="D151" t="s">
        <v>24</v>
      </c>
      <c r="E151" t="s">
        <v>25</v>
      </c>
      <c r="F151">
        <v>1</v>
      </c>
      <c r="G151">
        <v>9791136905642</v>
      </c>
      <c r="H151" t="s">
        <v>26</v>
      </c>
      <c r="I151" t="s">
        <v>374</v>
      </c>
      <c r="J151" t="s">
        <v>311</v>
      </c>
      <c r="K151" t="s">
        <v>29</v>
      </c>
      <c r="L151">
        <v>0</v>
      </c>
      <c r="M151" t="s">
        <v>29</v>
      </c>
      <c r="N151">
        <v>0</v>
      </c>
      <c r="O151">
        <v>0</v>
      </c>
      <c r="P151" t="s">
        <v>30</v>
      </c>
      <c r="Q151" s="2">
        <v>0.7</v>
      </c>
      <c r="R151">
        <v>0</v>
      </c>
      <c r="V151" t="str">
        <f>VLOOKUP(H151,'[1]팀별 출판사'!A:B,2,0)</f>
        <v>소설1팀</v>
      </c>
      <c r="W151" s="6">
        <f t="shared" si="4"/>
        <v>0</v>
      </c>
      <c r="X151" s="6">
        <f t="shared" si="5"/>
        <v>0</v>
      </c>
    </row>
    <row r="152" spans="1:24" x14ac:dyDescent="0.3">
      <c r="A152" t="s">
        <v>348</v>
      </c>
      <c r="B152" t="s">
        <v>375</v>
      </c>
      <c r="C152" t="s">
        <v>23</v>
      </c>
      <c r="D152" t="s">
        <v>24</v>
      </c>
      <c r="E152" t="s">
        <v>25</v>
      </c>
      <c r="F152">
        <v>1</v>
      </c>
      <c r="G152">
        <v>9791157532148</v>
      </c>
      <c r="H152" t="s">
        <v>32</v>
      </c>
      <c r="I152" t="s">
        <v>376</v>
      </c>
      <c r="J152" t="s">
        <v>112</v>
      </c>
      <c r="K152" t="s">
        <v>29</v>
      </c>
      <c r="L152" s="1">
        <v>3200</v>
      </c>
      <c r="M152" t="s">
        <v>29</v>
      </c>
      <c r="N152" s="1">
        <v>3200</v>
      </c>
      <c r="O152" s="1">
        <v>3200</v>
      </c>
      <c r="P152" t="s">
        <v>30</v>
      </c>
      <c r="Q152" s="2">
        <v>0.7</v>
      </c>
      <c r="R152" s="1">
        <v>2240</v>
      </c>
      <c r="S152" t="s">
        <v>29</v>
      </c>
      <c r="T152" s="1">
        <v>2240</v>
      </c>
      <c r="V152" t="str">
        <f>VLOOKUP(H152,'[1]팀별 출판사'!A:B,2,0)</f>
        <v>소설1팀</v>
      </c>
      <c r="W152" s="6">
        <f t="shared" si="4"/>
        <v>0</v>
      </c>
      <c r="X152" s="6">
        <f t="shared" si="5"/>
        <v>2240</v>
      </c>
    </row>
    <row r="153" spans="1:24" x14ac:dyDescent="0.3">
      <c r="A153" t="s">
        <v>348</v>
      </c>
      <c r="B153" t="s">
        <v>377</v>
      </c>
      <c r="C153" t="s">
        <v>23</v>
      </c>
      <c r="D153" t="s">
        <v>24</v>
      </c>
      <c r="E153" t="s">
        <v>25</v>
      </c>
      <c r="F153">
        <v>1</v>
      </c>
      <c r="G153">
        <v>9791173784477</v>
      </c>
      <c r="H153" t="s">
        <v>26</v>
      </c>
      <c r="I153" t="s">
        <v>378</v>
      </c>
      <c r="J153" t="s">
        <v>284</v>
      </c>
      <c r="K153" t="s">
        <v>29</v>
      </c>
      <c r="L153">
        <v>0</v>
      </c>
      <c r="M153" t="s">
        <v>29</v>
      </c>
      <c r="N153">
        <v>0</v>
      </c>
      <c r="O153">
        <v>0</v>
      </c>
      <c r="P153" t="s">
        <v>30</v>
      </c>
      <c r="Q153" s="2">
        <v>0.7</v>
      </c>
      <c r="R153">
        <v>0</v>
      </c>
      <c r="V153" t="str">
        <f>VLOOKUP(H153,'[1]팀별 출판사'!A:B,2,0)</f>
        <v>소설1팀</v>
      </c>
      <c r="W153" s="6">
        <f t="shared" si="4"/>
        <v>0</v>
      </c>
      <c r="X153" s="6">
        <f t="shared" si="5"/>
        <v>0</v>
      </c>
    </row>
    <row r="154" spans="1:24" x14ac:dyDescent="0.3">
      <c r="A154" t="s">
        <v>348</v>
      </c>
      <c r="B154" t="s">
        <v>379</v>
      </c>
      <c r="C154" t="s">
        <v>23</v>
      </c>
      <c r="D154" t="s">
        <v>24</v>
      </c>
      <c r="E154" t="s">
        <v>25</v>
      </c>
      <c r="F154">
        <v>1</v>
      </c>
      <c r="G154">
        <v>9791133186501</v>
      </c>
      <c r="H154" t="s">
        <v>26</v>
      </c>
      <c r="I154" t="s">
        <v>64</v>
      </c>
      <c r="J154" t="s">
        <v>65</v>
      </c>
      <c r="K154" t="s">
        <v>29</v>
      </c>
      <c r="L154">
        <v>0</v>
      </c>
      <c r="M154" t="s">
        <v>29</v>
      </c>
      <c r="N154">
        <v>0</v>
      </c>
      <c r="O154">
        <v>0</v>
      </c>
      <c r="P154" t="s">
        <v>30</v>
      </c>
      <c r="Q154" s="2">
        <v>0.7</v>
      </c>
      <c r="R154">
        <v>0</v>
      </c>
      <c r="V154" t="str">
        <f>VLOOKUP(H154,'[1]팀별 출판사'!A:B,2,0)</f>
        <v>소설1팀</v>
      </c>
      <c r="W154" s="6">
        <f t="shared" si="4"/>
        <v>0</v>
      </c>
      <c r="X154" s="6">
        <f t="shared" si="5"/>
        <v>0</v>
      </c>
    </row>
    <row r="155" spans="1:24" x14ac:dyDescent="0.3">
      <c r="A155" t="s">
        <v>348</v>
      </c>
      <c r="B155" t="s">
        <v>380</v>
      </c>
      <c r="C155" t="s">
        <v>23</v>
      </c>
      <c r="D155" t="s">
        <v>24</v>
      </c>
      <c r="E155" t="s">
        <v>25</v>
      </c>
      <c r="F155">
        <v>1</v>
      </c>
      <c r="G155">
        <v>9791157532186</v>
      </c>
      <c r="H155" t="s">
        <v>32</v>
      </c>
      <c r="I155" t="s">
        <v>381</v>
      </c>
      <c r="J155" t="s">
        <v>112</v>
      </c>
      <c r="K155" t="s">
        <v>29</v>
      </c>
      <c r="L155" s="1">
        <v>3200</v>
      </c>
      <c r="M155" t="s">
        <v>29</v>
      </c>
      <c r="N155" s="1">
        <v>3200</v>
      </c>
      <c r="O155" s="1">
        <v>3200</v>
      </c>
      <c r="P155" t="s">
        <v>30</v>
      </c>
      <c r="Q155" s="2">
        <v>0.7</v>
      </c>
      <c r="R155" s="1">
        <v>2240</v>
      </c>
      <c r="S155" t="s">
        <v>29</v>
      </c>
      <c r="T155" s="1">
        <v>2240</v>
      </c>
      <c r="V155" t="str">
        <f>VLOOKUP(H155,'[1]팀별 출판사'!A:B,2,0)</f>
        <v>소설1팀</v>
      </c>
      <c r="W155" s="6">
        <f t="shared" si="4"/>
        <v>0</v>
      </c>
      <c r="X155" s="6">
        <f t="shared" si="5"/>
        <v>2240</v>
      </c>
    </row>
    <row r="156" spans="1:24" x14ac:dyDescent="0.3">
      <c r="A156" t="s">
        <v>348</v>
      </c>
      <c r="B156" t="s">
        <v>382</v>
      </c>
      <c r="C156" t="s">
        <v>23</v>
      </c>
      <c r="D156" t="s">
        <v>24</v>
      </c>
      <c r="E156" t="s">
        <v>25</v>
      </c>
      <c r="F156">
        <v>1</v>
      </c>
      <c r="G156">
        <v>9791157533503</v>
      </c>
      <c r="H156" t="s">
        <v>32</v>
      </c>
      <c r="I156" t="s">
        <v>383</v>
      </c>
      <c r="J156" t="s">
        <v>187</v>
      </c>
      <c r="K156" t="s">
        <v>29</v>
      </c>
      <c r="L156">
        <v>0</v>
      </c>
      <c r="M156" t="s">
        <v>29</v>
      </c>
      <c r="N156">
        <v>0</v>
      </c>
      <c r="O156">
        <v>0</v>
      </c>
      <c r="P156" t="s">
        <v>30</v>
      </c>
      <c r="Q156" s="2">
        <v>0.7</v>
      </c>
      <c r="R156">
        <v>0</v>
      </c>
      <c r="V156" t="str">
        <f>VLOOKUP(H156,'[1]팀별 출판사'!A:B,2,0)</f>
        <v>소설1팀</v>
      </c>
      <c r="W156" s="6">
        <f t="shared" si="4"/>
        <v>0</v>
      </c>
      <c r="X156" s="6">
        <f t="shared" si="5"/>
        <v>0</v>
      </c>
    </row>
    <row r="157" spans="1:24" x14ac:dyDescent="0.3">
      <c r="A157" t="s">
        <v>348</v>
      </c>
      <c r="B157" t="s">
        <v>384</v>
      </c>
      <c r="C157" t="s">
        <v>23</v>
      </c>
      <c r="D157" t="s">
        <v>24</v>
      </c>
      <c r="E157" t="s">
        <v>25</v>
      </c>
      <c r="F157">
        <v>1</v>
      </c>
      <c r="G157">
        <v>9791136934925</v>
      </c>
      <c r="H157" t="s">
        <v>32</v>
      </c>
      <c r="I157" t="s">
        <v>385</v>
      </c>
      <c r="J157" t="s">
        <v>126</v>
      </c>
      <c r="K157" t="s">
        <v>29</v>
      </c>
      <c r="L157">
        <v>0</v>
      </c>
      <c r="M157" t="s">
        <v>127</v>
      </c>
      <c r="N157">
        <v>0</v>
      </c>
      <c r="O157">
        <v>0</v>
      </c>
      <c r="P157" t="s">
        <v>128</v>
      </c>
      <c r="Q157" s="2">
        <v>0.7</v>
      </c>
      <c r="R157">
        <v>0</v>
      </c>
      <c r="V157" t="str">
        <f>VLOOKUP(H157,'[1]팀별 출판사'!A:B,2,0)</f>
        <v>소설1팀</v>
      </c>
      <c r="W157" s="6">
        <f t="shared" si="4"/>
        <v>0</v>
      </c>
      <c r="X157" s="6">
        <f t="shared" si="5"/>
        <v>0</v>
      </c>
    </row>
    <row r="158" spans="1:24" x14ac:dyDescent="0.3">
      <c r="A158" t="s">
        <v>348</v>
      </c>
      <c r="B158" t="s">
        <v>386</v>
      </c>
      <c r="C158" t="s">
        <v>23</v>
      </c>
      <c r="D158" t="s">
        <v>24</v>
      </c>
      <c r="E158" t="s">
        <v>25</v>
      </c>
      <c r="F158">
        <v>1</v>
      </c>
      <c r="G158">
        <v>9791133186501</v>
      </c>
      <c r="H158" t="s">
        <v>26</v>
      </c>
      <c r="I158" t="s">
        <v>64</v>
      </c>
      <c r="J158" t="s">
        <v>65</v>
      </c>
      <c r="K158" t="s">
        <v>29</v>
      </c>
      <c r="L158">
        <v>0</v>
      </c>
      <c r="M158" t="s">
        <v>29</v>
      </c>
      <c r="N158">
        <v>0</v>
      </c>
      <c r="O158">
        <v>0</v>
      </c>
      <c r="P158" t="s">
        <v>30</v>
      </c>
      <c r="Q158" s="2">
        <v>0.7</v>
      </c>
      <c r="R158">
        <v>0</v>
      </c>
      <c r="V158" t="str">
        <f>VLOOKUP(H158,'[1]팀별 출판사'!A:B,2,0)</f>
        <v>소설1팀</v>
      </c>
      <c r="W158" s="6">
        <f t="shared" si="4"/>
        <v>0</v>
      </c>
      <c r="X158" s="6">
        <f t="shared" si="5"/>
        <v>0</v>
      </c>
    </row>
    <row r="159" spans="1:24" x14ac:dyDescent="0.3">
      <c r="A159" t="s">
        <v>348</v>
      </c>
      <c r="B159" t="s">
        <v>387</v>
      </c>
      <c r="C159" t="s">
        <v>23</v>
      </c>
      <c r="D159" t="s">
        <v>24</v>
      </c>
      <c r="E159" t="s">
        <v>25</v>
      </c>
      <c r="F159">
        <v>1</v>
      </c>
      <c r="G159">
        <v>9791133101917</v>
      </c>
      <c r="H159" t="s">
        <v>32</v>
      </c>
      <c r="I159" t="s">
        <v>388</v>
      </c>
      <c r="J159" t="s">
        <v>160</v>
      </c>
      <c r="K159" t="s">
        <v>29</v>
      </c>
      <c r="L159" s="1">
        <v>12000</v>
      </c>
      <c r="M159" t="s">
        <v>29</v>
      </c>
      <c r="N159" s="1">
        <v>12000</v>
      </c>
      <c r="O159" s="1">
        <v>12000</v>
      </c>
      <c r="P159" t="s">
        <v>30</v>
      </c>
      <c r="Q159" s="2">
        <v>0.7</v>
      </c>
      <c r="R159" s="1">
        <v>8400</v>
      </c>
      <c r="S159" t="s">
        <v>29</v>
      </c>
      <c r="T159" s="1">
        <v>8400</v>
      </c>
      <c r="V159" t="str">
        <f>VLOOKUP(H159,'[1]팀별 출판사'!A:B,2,0)</f>
        <v>소설1팀</v>
      </c>
      <c r="W159" s="6">
        <f t="shared" si="4"/>
        <v>0</v>
      </c>
      <c r="X159" s="6">
        <f t="shared" si="5"/>
        <v>8400</v>
      </c>
    </row>
    <row r="160" spans="1:24" x14ac:dyDescent="0.3">
      <c r="A160" t="s">
        <v>348</v>
      </c>
      <c r="B160" t="s">
        <v>389</v>
      </c>
      <c r="C160" t="s">
        <v>23</v>
      </c>
      <c r="D160" t="s">
        <v>24</v>
      </c>
      <c r="E160" t="s">
        <v>25</v>
      </c>
      <c r="F160">
        <v>1</v>
      </c>
      <c r="G160">
        <v>9791133186501</v>
      </c>
      <c r="H160" t="s">
        <v>26</v>
      </c>
      <c r="I160" t="s">
        <v>64</v>
      </c>
      <c r="J160" t="s">
        <v>65</v>
      </c>
      <c r="K160" t="s">
        <v>29</v>
      </c>
      <c r="L160">
        <v>0</v>
      </c>
      <c r="M160" t="s">
        <v>29</v>
      </c>
      <c r="N160">
        <v>0</v>
      </c>
      <c r="O160">
        <v>0</v>
      </c>
      <c r="P160" t="s">
        <v>30</v>
      </c>
      <c r="Q160" s="2">
        <v>0.7</v>
      </c>
      <c r="R160">
        <v>0</v>
      </c>
      <c r="V160" t="str">
        <f>VLOOKUP(H160,'[1]팀별 출판사'!A:B,2,0)</f>
        <v>소설1팀</v>
      </c>
      <c r="W160" s="6">
        <f t="shared" si="4"/>
        <v>0</v>
      </c>
      <c r="X160" s="6">
        <f t="shared" si="5"/>
        <v>0</v>
      </c>
    </row>
    <row r="161" spans="1:24" x14ac:dyDescent="0.3">
      <c r="A161" t="s">
        <v>348</v>
      </c>
      <c r="B161" t="s">
        <v>390</v>
      </c>
      <c r="C161" t="s">
        <v>23</v>
      </c>
      <c r="D161" t="s">
        <v>24</v>
      </c>
      <c r="E161" t="s">
        <v>25</v>
      </c>
      <c r="F161">
        <v>1</v>
      </c>
      <c r="G161">
        <v>9791170108696</v>
      </c>
      <c r="H161" t="s">
        <v>67</v>
      </c>
      <c r="I161" t="s">
        <v>391</v>
      </c>
      <c r="J161" t="s">
        <v>392</v>
      </c>
      <c r="K161" t="s">
        <v>29</v>
      </c>
      <c r="L161">
        <v>0</v>
      </c>
      <c r="M161" t="s">
        <v>29</v>
      </c>
      <c r="N161">
        <v>0</v>
      </c>
      <c r="O161">
        <v>0</v>
      </c>
      <c r="P161" t="s">
        <v>30</v>
      </c>
      <c r="Q161" s="2">
        <v>0.7</v>
      </c>
      <c r="R161">
        <v>0</v>
      </c>
      <c r="V161" t="str">
        <f>VLOOKUP(H161,'[1]팀별 출판사'!A:B,2,0)</f>
        <v>소설1팀</v>
      </c>
      <c r="W161" s="6">
        <f t="shared" si="4"/>
        <v>0</v>
      </c>
      <c r="X161" s="6">
        <f t="shared" si="5"/>
        <v>0</v>
      </c>
    </row>
    <row r="162" spans="1:24" x14ac:dyDescent="0.3">
      <c r="A162" t="s">
        <v>348</v>
      </c>
      <c r="B162" t="s">
        <v>393</v>
      </c>
      <c r="C162" t="s">
        <v>23</v>
      </c>
      <c r="D162" t="s">
        <v>24</v>
      </c>
      <c r="E162" t="s">
        <v>25</v>
      </c>
      <c r="F162">
        <v>1</v>
      </c>
      <c r="G162">
        <v>9791133102662</v>
      </c>
      <c r="H162" t="s">
        <v>32</v>
      </c>
      <c r="I162" t="s">
        <v>394</v>
      </c>
      <c r="J162" t="s">
        <v>51</v>
      </c>
      <c r="K162" t="s">
        <v>29</v>
      </c>
      <c r="L162">
        <v>0</v>
      </c>
      <c r="M162" t="s">
        <v>29</v>
      </c>
      <c r="N162">
        <v>0</v>
      </c>
      <c r="O162">
        <v>0</v>
      </c>
      <c r="P162" t="s">
        <v>30</v>
      </c>
      <c r="Q162" s="2">
        <v>0.7</v>
      </c>
      <c r="R162">
        <v>0</v>
      </c>
      <c r="V162" t="str">
        <f>VLOOKUP(H162,'[1]팀별 출판사'!A:B,2,0)</f>
        <v>소설1팀</v>
      </c>
      <c r="W162" s="6">
        <f t="shared" si="4"/>
        <v>0</v>
      </c>
      <c r="X162" s="6">
        <f t="shared" si="5"/>
        <v>0</v>
      </c>
    </row>
    <row r="163" spans="1:24" x14ac:dyDescent="0.3">
      <c r="A163" t="s">
        <v>348</v>
      </c>
      <c r="B163" t="s">
        <v>395</v>
      </c>
      <c r="C163" t="s">
        <v>23</v>
      </c>
      <c r="D163" t="s">
        <v>24</v>
      </c>
      <c r="E163" t="s">
        <v>25</v>
      </c>
      <c r="F163">
        <v>1</v>
      </c>
      <c r="G163">
        <v>9791136958662</v>
      </c>
      <c r="H163" t="s">
        <v>79</v>
      </c>
      <c r="I163" t="s">
        <v>396</v>
      </c>
      <c r="J163" t="s">
        <v>81</v>
      </c>
      <c r="K163" t="s">
        <v>29</v>
      </c>
      <c r="L163">
        <v>0</v>
      </c>
      <c r="M163" t="s">
        <v>29</v>
      </c>
      <c r="N163">
        <v>0</v>
      </c>
      <c r="O163">
        <v>0</v>
      </c>
      <c r="P163" t="s">
        <v>30</v>
      </c>
      <c r="Q163" s="2">
        <v>0.7</v>
      </c>
      <c r="R163">
        <v>0</v>
      </c>
      <c r="V163" t="str">
        <f>VLOOKUP(H163,'[1]팀별 출판사'!A:B,2,0)</f>
        <v>소설1팀</v>
      </c>
      <c r="W163" s="6">
        <f t="shared" si="4"/>
        <v>0</v>
      </c>
      <c r="X163" s="6">
        <f t="shared" si="5"/>
        <v>0</v>
      </c>
    </row>
    <row r="164" spans="1:24" x14ac:dyDescent="0.3">
      <c r="A164" t="s">
        <v>348</v>
      </c>
      <c r="B164" t="s">
        <v>397</v>
      </c>
      <c r="C164" t="s">
        <v>23</v>
      </c>
      <c r="D164" t="s">
        <v>24</v>
      </c>
      <c r="E164" t="s">
        <v>25</v>
      </c>
      <c r="F164">
        <v>1</v>
      </c>
      <c r="G164">
        <v>9791170102687</v>
      </c>
      <c r="H164" t="s">
        <v>67</v>
      </c>
      <c r="I164" t="s">
        <v>398</v>
      </c>
      <c r="J164" t="s">
        <v>399</v>
      </c>
      <c r="K164" t="s">
        <v>29</v>
      </c>
      <c r="L164">
        <v>0</v>
      </c>
      <c r="M164" t="s">
        <v>29</v>
      </c>
      <c r="N164">
        <v>0</v>
      </c>
      <c r="O164">
        <v>0</v>
      </c>
      <c r="P164" t="s">
        <v>30</v>
      </c>
      <c r="Q164" s="2">
        <v>0.7</v>
      </c>
      <c r="R164">
        <v>0</v>
      </c>
      <c r="V164" t="str">
        <f>VLOOKUP(H164,'[1]팀별 출판사'!A:B,2,0)</f>
        <v>소설1팀</v>
      </c>
      <c r="W164" s="6">
        <f t="shared" si="4"/>
        <v>0</v>
      </c>
      <c r="X164" s="6">
        <f t="shared" si="5"/>
        <v>0</v>
      </c>
    </row>
    <row r="165" spans="1:24" x14ac:dyDescent="0.3">
      <c r="A165" t="s">
        <v>348</v>
      </c>
      <c r="B165" t="s">
        <v>400</v>
      </c>
      <c r="C165" t="s">
        <v>23</v>
      </c>
      <c r="D165" t="s">
        <v>24</v>
      </c>
      <c r="E165" t="s">
        <v>25</v>
      </c>
      <c r="F165">
        <v>1</v>
      </c>
      <c r="G165">
        <v>9791170100850</v>
      </c>
      <c r="H165" t="s">
        <v>67</v>
      </c>
      <c r="I165" t="s">
        <v>401</v>
      </c>
      <c r="J165" t="s">
        <v>402</v>
      </c>
      <c r="K165" t="s">
        <v>29</v>
      </c>
      <c r="L165">
        <v>0</v>
      </c>
      <c r="M165" t="s">
        <v>29</v>
      </c>
      <c r="N165">
        <v>0</v>
      </c>
      <c r="O165">
        <v>0</v>
      </c>
      <c r="P165" t="s">
        <v>30</v>
      </c>
      <c r="Q165" s="2">
        <v>0.7</v>
      </c>
      <c r="R165">
        <v>0</v>
      </c>
      <c r="V165" t="str">
        <f>VLOOKUP(H165,'[1]팀별 출판사'!A:B,2,0)</f>
        <v>소설1팀</v>
      </c>
      <c r="W165" s="6">
        <f t="shared" si="4"/>
        <v>0</v>
      </c>
      <c r="X165" s="6">
        <f t="shared" si="5"/>
        <v>0</v>
      </c>
    </row>
    <row r="166" spans="1:24" x14ac:dyDescent="0.3">
      <c r="A166" t="s">
        <v>348</v>
      </c>
      <c r="B166" t="s">
        <v>403</v>
      </c>
      <c r="C166" t="s">
        <v>23</v>
      </c>
      <c r="D166" t="s">
        <v>24</v>
      </c>
      <c r="E166" t="s">
        <v>25</v>
      </c>
      <c r="F166">
        <v>1</v>
      </c>
      <c r="G166">
        <v>9791170101468</v>
      </c>
      <c r="H166" t="s">
        <v>67</v>
      </c>
      <c r="I166" t="s">
        <v>404</v>
      </c>
      <c r="J166" t="s">
        <v>405</v>
      </c>
      <c r="K166" t="s">
        <v>29</v>
      </c>
      <c r="L166">
        <v>0</v>
      </c>
      <c r="M166" t="s">
        <v>29</v>
      </c>
      <c r="N166">
        <v>0</v>
      </c>
      <c r="O166">
        <v>0</v>
      </c>
      <c r="P166" t="s">
        <v>30</v>
      </c>
      <c r="Q166" s="2">
        <v>0.7</v>
      </c>
      <c r="R166">
        <v>0</v>
      </c>
      <c r="V166" t="str">
        <f>VLOOKUP(H166,'[1]팀별 출판사'!A:B,2,0)</f>
        <v>소설1팀</v>
      </c>
      <c r="W166" s="6">
        <f t="shared" si="4"/>
        <v>0</v>
      </c>
      <c r="X166" s="6">
        <f t="shared" si="5"/>
        <v>0</v>
      </c>
    </row>
    <row r="167" spans="1:24" x14ac:dyDescent="0.3">
      <c r="A167" t="s">
        <v>348</v>
      </c>
      <c r="B167" t="s">
        <v>406</v>
      </c>
      <c r="C167" t="s">
        <v>23</v>
      </c>
      <c r="D167" t="s">
        <v>24</v>
      </c>
      <c r="E167" t="s">
        <v>25</v>
      </c>
      <c r="F167">
        <v>1</v>
      </c>
      <c r="G167">
        <v>9791170104643</v>
      </c>
      <c r="H167" t="s">
        <v>67</v>
      </c>
      <c r="I167" t="s">
        <v>407</v>
      </c>
      <c r="J167" t="s">
        <v>408</v>
      </c>
      <c r="K167" t="s">
        <v>29</v>
      </c>
      <c r="L167">
        <v>0</v>
      </c>
      <c r="M167" t="s">
        <v>29</v>
      </c>
      <c r="N167">
        <v>0</v>
      </c>
      <c r="O167">
        <v>0</v>
      </c>
      <c r="P167" t="s">
        <v>30</v>
      </c>
      <c r="Q167" s="2">
        <v>0.7</v>
      </c>
      <c r="R167">
        <v>0</v>
      </c>
      <c r="V167" t="str">
        <f>VLOOKUP(H167,'[1]팀별 출판사'!A:B,2,0)</f>
        <v>소설1팀</v>
      </c>
      <c r="W167" s="6">
        <f t="shared" si="4"/>
        <v>0</v>
      </c>
      <c r="X167" s="6">
        <f t="shared" si="5"/>
        <v>0</v>
      </c>
    </row>
    <row r="168" spans="1:24" x14ac:dyDescent="0.3">
      <c r="A168" t="s">
        <v>348</v>
      </c>
      <c r="B168" t="s">
        <v>409</v>
      </c>
      <c r="C168" t="s">
        <v>23</v>
      </c>
      <c r="D168" t="s">
        <v>24</v>
      </c>
      <c r="E168" t="s">
        <v>25</v>
      </c>
      <c r="F168">
        <v>1</v>
      </c>
      <c r="G168">
        <v>9791170100737</v>
      </c>
      <c r="H168" t="s">
        <v>67</v>
      </c>
      <c r="I168" t="s">
        <v>410</v>
      </c>
      <c r="J168" t="s">
        <v>411</v>
      </c>
      <c r="K168" t="s">
        <v>29</v>
      </c>
      <c r="L168">
        <v>0</v>
      </c>
      <c r="M168" t="s">
        <v>29</v>
      </c>
      <c r="N168">
        <v>0</v>
      </c>
      <c r="O168">
        <v>0</v>
      </c>
      <c r="P168" t="s">
        <v>30</v>
      </c>
      <c r="Q168" s="2">
        <v>0.7</v>
      </c>
      <c r="R168">
        <v>0</v>
      </c>
      <c r="V168" t="str">
        <f>VLOOKUP(H168,'[1]팀별 출판사'!A:B,2,0)</f>
        <v>소설1팀</v>
      </c>
      <c r="W168" s="6">
        <f t="shared" si="4"/>
        <v>0</v>
      </c>
      <c r="X168" s="6">
        <f t="shared" si="5"/>
        <v>0</v>
      </c>
    </row>
    <row r="169" spans="1:24" x14ac:dyDescent="0.3">
      <c r="A169" t="s">
        <v>348</v>
      </c>
      <c r="B169" t="s">
        <v>412</v>
      </c>
      <c r="C169" t="s">
        <v>23</v>
      </c>
      <c r="D169" t="s">
        <v>24</v>
      </c>
      <c r="E169" t="s">
        <v>25</v>
      </c>
      <c r="F169">
        <v>1</v>
      </c>
      <c r="G169">
        <v>9791170101307</v>
      </c>
      <c r="H169" t="s">
        <v>67</v>
      </c>
      <c r="I169" t="s">
        <v>413</v>
      </c>
      <c r="J169" t="s">
        <v>414</v>
      </c>
      <c r="K169" t="s">
        <v>29</v>
      </c>
      <c r="L169">
        <v>0</v>
      </c>
      <c r="M169" t="s">
        <v>29</v>
      </c>
      <c r="N169">
        <v>0</v>
      </c>
      <c r="O169">
        <v>0</v>
      </c>
      <c r="P169" t="s">
        <v>30</v>
      </c>
      <c r="Q169" s="2">
        <v>0.7</v>
      </c>
      <c r="R169">
        <v>0</v>
      </c>
      <c r="V169" t="str">
        <f>VLOOKUP(H169,'[1]팀별 출판사'!A:B,2,0)</f>
        <v>소설1팀</v>
      </c>
      <c r="W169" s="6">
        <f t="shared" si="4"/>
        <v>0</v>
      </c>
      <c r="X169" s="6">
        <f t="shared" si="5"/>
        <v>0</v>
      </c>
    </row>
    <row r="170" spans="1:24" x14ac:dyDescent="0.3">
      <c r="A170" t="s">
        <v>348</v>
      </c>
      <c r="B170" t="s">
        <v>415</v>
      </c>
      <c r="C170" t="s">
        <v>23</v>
      </c>
      <c r="D170" t="s">
        <v>24</v>
      </c>
      <c r="E170" t="s">
        <v>25</v>
      </c>
      <c r="F170">
        <v>1</v>
      </c>
      <c r="G170" t="s">
        <v>416</v>
      </c>
      <c r="H170" t="s">
        <v>32</v>
      </c>
      <c r="I170" t="s">
        <v>417</v>
      </c>
      <c r="J170" t="s">
        <v>418</v>
      </c>
      <c r="K170" t="s">
        <v>29</v>
      </c>
      <c r="L170">
        <v>0</v>
      </c>
      <c r="M170" t="s">
        <v>29</v>
      </c>
      <c r="N170">
        <v>0</v>
      </c>
      <c r="O170">
        <v>0</v>
      </c>
      <c r="P170" t="s">
        <v>30</v>
      </c>
      <c r="Q170" s="2">
        <v>0.7</v>
      </c>
      <c r="R170">
        <v>0</v>
      </c>
      <c r="V170" t="str">
        <f>VLOOKUP(H170,'[1]팀별 출판사'!A:B,2,0)</f>
        <v>소설1팀</v>
      </c>
      <c r="W170" s="6">
        <f t="shared" si="4"/>
        <v>0</v>
      </c>
      <c r="X170" s="6">
        <f t="shared" si="5"/>
        <v>0</v>
      </c>
    </row>
    <row r="171" spans="1:24" x14ac:dyDescent="0.3">
      <c r="A171" t="s">
        <v>348</v>
      </c>
      <c r="B171" t="s">
        <v>419</v>
      </c>
      <c r="C171" t="s">
        <v>23</v>
      </c>
      <c r="D171" t="s">
        <v>24</v>
      </c>
      <c r="E171" t="s">
        <v>25</v>
      </c>
      <c r="F171">
        <v>1</v>
      </c>
      <c r="G171">
        <v>9791136950819</v>
      </c>
      <c r="H171" t="s">
        <v>26</v>
      </c>
      <c r="I171" t="s">
        <v>420</v>
      </c>
      <c r="J171" t="s">
        <v>421</v>
      </c>
      <c r="K171" t="s">
        <v>29</v>
      </c>
      <c r="L171">
        <v>0</v>
      </c>
      <c r="M171" t="s">
        <v>29</v>
      </c>
      <c r="N171">
        <v>0</v>
      </c>
      <c r="O171">
        <v>0</v>
      </c>
      <c r="P171" t="s">
        <v>30</v>
      </c>
      <c r="Q171" s="2">
        <v>0.7</v>
      </c>
      <c r="R171">
        <v>0</v>
      </c>
      <c r="V171" t="str">
        <f>VLOOKUP(H171,'[1]팀별 출판사'!A:B,2,0)</f>
        <v>소설1팀</v>
      </c>
      <c r="W171" s="6">
        <f t="shared" si="4"/>
        <v>0</v>
      </c>
      <c r="X171" s="6">
        <f t="shared" si="5"/>
        <v>0</v>
      </c>
    </row>
    <row r="172" spans="1:24" x14ac:dyDescent="0.3">
      <c r="A172" t="s">
        <v>348</v>
      </c>
      <c r="B172" t="s">
        <v>422</v>
      </c>
      <c r="C172" t="s">
        <v>23</v>
      </c>
      <c r="D172" t="s">
        <v>24</v>
      </c>
      <c r="E172" t="s">
        <v>25</v>
      </c>
      <c r="F172">
        <v>1</v>
      </c>
      <c r="G172">
        <v>9791170100959</v>
      </c>
      <c r="H172" t="s">
        <v>67</v>
      </c>
      <c r="I172" t="s">
        <v>423</v>
      </c>
      <c r="J172" t="s">
        <v>424</v>
      </c>
      <c r="K172" t="s">
        <v>29</v>
      </c>
      <c r="L172">
        <v>0</v>
      </c>
      <c r="M172" t="s">
        <v>29</v>
      </c>
      <c r="N172">
        <v>0</v>
      </c>
      <c r="O172">
        <v>0</v>
      </c>
      <c r="P172" t="s">
        <v>30</v>
      </c>
      <c r="Q172" s="2">
        <v>0.7</v>
      </c>
      <c r="R172">
        <v>0</v>
      </c>
      <c r="V172" t="str">
        <f>VLOOKUP(H172,'[1]팀별 출판사'!A:B,2,0)</f>
        <v>소설1팀</v>
      </c>
      <c r="W172" s="6">
        <f t="shared" si="4"/>
        <v>0</v>
      </c>
      <c r="X172" s="6">
        <f t="shared" si="5"/>
        <v>0</v>
      </c>
    </row>
    <row r="173" spans="1:24" x14ac:dyDescent="0.3">
      <c r="A173" t="s">
        <v>348</v>
      </c>
      <c r="B173" t="s">
        <v>425</v>
      </c>
      <c r="C173" t="s">
        <v>23</v>
      </c>
      <c r="D173" t="s">
        <v>24</v>
      </c>
      <c r="E173" t="s">
        <v>25</v>
      </c>
      <c r="F173">
        <v>1</v>
      </c>
      <c r="G173">
        <v>9791133198382</v>
      </c>
      <c r="H173" t="s">
        <v>26</v>
      </c>
      <c r="I173" t="s">
        <v>358</v>
      </c>
      <c r="J173" t="s">
        <v>359</v>
      </c>
      <c r="K173" t="s">
        <v>29</v>
      </c>
      <c r="L173">
        <v>0</v>
      </c>
      <c r="M173" t="s">
        <v>70</v>
      </c>
      <c r="N173">
        <v>0</v>
      </c>
      <c r="O173">
        <v>0</v>
      </c>
      <c r="P173" t="s">
        <v>426</v>
      </c>
      <c r="Q173" s="2">
        <v>0.7</v>
      </c>
      <c r="R173">
        <v>0</v>
      </c>
      <c r="V173" t="str">
        <f>VLOOKUP(H173,'[1]팀별 출판사'!A:B,2,0)</f>
        <v>소설1팀</v>
      </c>
      <c r="W173" s="6">
        <f t="shared" si="4"/>
        <v>0</v>
      </c>
      <c r="X173" s="6">
        <f t="shared" si="5"/>
        <v>0</v>
      </c>
    </row>
    <row r="174" spans="1:24" x14ac:dyDescent="0.3">
      <c r="A174" t="s">
        <v>348</v>
      </c>
      <c r="B174" t="s">
        <v>427</v>
      </c>
      <c r="C174" t="s">
        <v>23</v>
      </c>
      <c r="D174" t="s">
        <v>24</v>
      </c>
      <c r="E174" t="s">
        <v>25</v>
      </c>
      <c r="F174">
        <v>1</v>
      </c>
      <c r="G174">
        <v>9791170100546</v>
      </c>
      <c r="H174" t="s">
        <v>67</v>
      </c>
      <c r="I174" t="s">
        <v>428</v>
      </c>
      <c r="J174" t="s">
        <v>429</v>
      </c>
      <c r="K174" t="s">
        <v>29</v>
      </c>
      <c r="L174">
        <v>0</v>
      </c>
      <c r="M174" t="s">
        <v>29</v>
      </c>
      <c r="N174">
        <v>0</v>
      </c>
      <c r="O174">
        <v>0</v>
      </c>
      <c r="P174" t="s">
        <v>30</v>
      </c>
      <c r="Q174" s="2">
        <v>0.7</v>
      </c>
      <c r="R174">
        <v>0</v>
      </c>
      <c r="V174" t="str">
        <f>VLOOKUP(H174,'[1]팀별 출판사'!A:B,2,0)</f>
        <v>소설1팀</v>
      </c>
      <c r="W174" s="6">
        <f t="shared" si="4"/>
        <v>0</v>
      </c>
      <c r="X174" s="6">
        <f t="shared" si="5"/>
        <v>0</v>
      </c>
    </row>
    <row r="175" spans="1:24" x14ac:dyDescent="0.3">
      <c r="A175" t="s">
        <v>348</v>
      </c>
      <c r="B175" t="s">
        <v>430</v>
      </c>
      <c r="C175" t="s">
        <v>23</v>
      </c>
      <c r="D175" t="s">
        <v>24</v>
      </c>
      <c r="E175" t="s">
        <v>25</v>
      </c>
      <c r="F175">
        <v>1</v>
      </c>
      <c r="G175">
        <v>9791136916341</v>
      </c>
      <c r="H175" t="s">
        <v>26</v>
      </c>
      <c r="I175" t="s">
        <v>431</v>
      </c>
      <c r="J175" t="s">
        <v>62</v>
      </c>
      <c r="K175" t="s">
        <v>29</v>
      </c>
      <c r="L175" s="1">
        <v>3200</v>
      </c>
      <c r="M175" t="s">
        <v>29</v>
      </c>
      <c r="N175" s="1">
        <v>3200</v>
      </c>
      <c r="O175" s="1">
        <v>3200</v>
      </c>
      <c r="P175" t="s">
        <v>30</v>
      </c>
      <c r="Q175" s="2">
        <v>0.7</v>
      </c>
      <c r="R175" s="1">
        <v>2240</v>
      </c>
      <c r="S175" t="s">
        <v>29</v>
      </c>
      <c r="T175" s="1">
        <v>2240</v>
      </c>
      <c r="V175" t="str">
        <f>VLOOKUP(H175,'[1]팀별 출판사'!A:B,2,0)</f>
        <v>소설1팀</v>
      </c>
      <c r="W175" s="6">
        <f t="shared" si="4"/>
        <v>0</v>
      </c>
      <c r="X175" s="6">
        <f t="shared" si="5"/>
        <v>2240</v>
      </c>
    </row>
    <row r="176" spans="1:24" x14ac:dyDescent="0.3">
      <c r="A176" t="s">
        <v>348</v>
      </c>
      <c r="B176" t="s">
        <v>432</v>
      </c>
      <c r="C176" t="s">
        <v>23</v>
      </c>
      <c r="D176" t="s">
        <v>24</v>
      </c>
      <c r="E176" t="s">
        <v>25</v>
      </c>
      <c r="F176">
        <v>1</v>
      </c>
      <c r="G176">
        <v>9791173787034</v>
      </c>
      <c r="H176" t="s">
        <v>26</v>
      </c>
      <c r="I176" t="s">
        <v>433</v>
      </c>
      <c r="J176" t="s">
        <v>256</v>
      </c>
      <c r="K176" t="s">
        <v>29</v>
      </c>
      <c r="L176" s="1">
        <v>3200</v>
      </c>
      <c r="M176" t="s">
        <v>29</v>
      </c>
      <c r="N176" s="1">
        <v>3200</v>
      </c>
      <c r="O176" s="1">
        <v>3200</v>
      </c>
      <c r="P176" t="s">
        <v>30</v>
      </c>
      <c r="Q176" s="2">
        <v>0.7</v>
      </c>
      <c r="R176" s="1">
        <v>2240</v>
      </c>
      <c r="S176" t="s">
        <v>29</v>
      </c>
      <c r="T176" s="1">
        <v>2240</v>
      </c>
      <c r="V176" t="str">
        <f>VLOOKUP(H176,'[1]팀별 출판사'!A:B,2,0)</f>
        <v>소설1팀</v>
      </c>
      <c r="W176" s="6">
        <f t="shared" si="4"/>
        <v>0</v>
      </c>
      <c r="X176" s="6">
        <f t="shared" si="5"/>
        <v>2240</v>
      </c>
    </row>
    <row r="177" spans="1:24" x14ac:dyDescent="0.3">
      <c r="A177" t="s">
        <v>348</v>
      </c>
      <c r="B177" t="s">
        <v>434</v>
      </c>
      <c r="C177" t="s">
        <v>23</v>
      </c>
      <c r="D177" t="s">
        <v>24</v>
      </c>
      <c r="E177" t="s">
        <v>25</v>
      </c>
      <c r="F177">
        <v>1</v>
      </c>
      <c r="G177">
        <v>9791133183883</v>
      </c>
      <c r="H177" t="s">
        <v>32</v>
      </c>
      <c r="I177" t="s">
        <v>435</v>
      </c>
      <c r="J177" t="s">
        <v>436</v>
      </c>
      <c r="K177" t="s">
        <v>29</v>
      </c>
      <c r="L177">
        <v>0</v>
      </c>
      <c r="M177" t="s">
        <v>29</v>
      </c>
      <c r="N177">
        <v>0</v>
      </c>
      <c r="O177">
        <v>0</v>
      </c>
      <c r="P177" t="s">
        <v>30</v>
      </c>
      <c r="Q177" s="2">
        <v>0.7</v>
      </c>
      <c r="R177">
        <v>0</v>
      </c>
      <c r="V177" t="str">
        <f>VLOOKUP(H177,'[1]팀별 출판사'!A:B,2,0)</f>
        <v>소설1팀</v>
      </c>
      <c r="W177" s="6">
        <f t="shared" si="4"/>
        <v>0</v>
      </c>
      <c r="X177" s="6">
        <f t="shared" si="5"/>
        <v>0</v>
      </c>
    </row>
    <row r="178" spans="1:24" x14ac:dyDescent="0.3">
      <c r="A178" t="s">
        <v>348</v>
      </c>
      <c r="B178" t="s">
        <v>437</v>
      </c>
      <c r="C178" t="s">
        <v>23</v>
      </c>
      <c r="D178" t="s">
        <v>24</v>
      </c>
      <c r="E178" t="s">
        <v>25</v>
      </c>
      <c r="F178">
        <v>1</v>
      </c>
      <c r="G178">
        <v>9791173784477</v>
      </c>
      <c r="H178" t="s">
        <v>26</v>
      </c>
      <c r="I178" t="s">
        <v>378</v>
      </c>
      <c r="J178" t="s">
        <v>284</v>
      </c>
      <c r="K178" t="s">
        <v>29</v>
      </c>
      <c r="L178">
        <v>0</v>
      </c>
      <c r="M178" t="s">
        <v>29</v>
      </c>
      <c r="N178">
        <v>0</v>
      </c>
      <c r="O178">
        <v>0</v>
      </c>
      <c r="P178" t="s">
        <v>30</v>
      </c>
      <c r="Q178" s="2">
        <v>0.7</v>
      </c>
      <c r="R178">
        <v>0</v>
      </c>
      <c r="V178" t="str">
        <f>VLOOKUP(H178,'[1]팀별 출판사'!A:B,2,0)</f>
        <v>소설1팀</v>
      </c>
      <c r="W178" s="6">
        <f t="shared" si="4"/>
        <v>0</v>
      </c>
      <c r="X178" s="6">
        <f t="shared" si="5"/>
        <v>0</v>
      </c>
    </row>
    <row r="179" spans="1:24" x14ac:dyDescent="0.3">
      <c r="A179" t="s">
        <v>348</v>
      </c>
      <c r="B179" t="s">
        <v>438</v>
      </c>
      <c r="C179" t="s">
        <v>23</v>
      </c>
      <c r="D179" t="s">
        <v>24</v>
      </c>
      <c r="E179" t="s">
        <v>25</v>
      </c>
      <c r="F179">
        <v>1</v>
      </c>
      <c r="G179">
        <v>9791133167227</v>
      </c>
      <c r="H179" t="s">
        <v>32</v>
      </c>
      <c r="I179" t="s">
        <v>313</v>
      </c>
      <c r="J179" t="s">
        <v>160</v>
      </c>
      <c r="K179" t="s">
        <v>29</v>
      </c>
      <c r="L179">
        <v>0</v>
      </c>
      <c r="M179" t="s">
        <v>29</v>
      </c>
      <c r="N179">
        <v>0</v>
      </c>
      <c r="O179">
        <v>0</v>
      </c>
      <c r="P179" t="s">
        <v>30</v>
      </c>
      <c r="Q179" s="2">
        <v>0.7</v>
      </c>
      <c r="R179">
        <v>0</v>
      </c>
      <c r="V179" t="str">
        <f>VLOOKUP(H179,'[1]팀별 출판사'!A:B,2,0)</f>
        <v>소설1팀</v>
      </c>
      <c r="W179" s="6">
        <f t="shared" si="4"/>
        <v>0</v>
      </c>
      <c r="X179" s="6">
        <f t="shared" si="5"/>
        <v>0</v>
      </c>
    </row>
    <row r="180" spans="1:24" x14ac:dyDescent="0.3">
      <c r="A180" t="s">
        <v>348</v>
      </c>
      <c r="B180" t="s">
        <v>439</v>
      </c>
      <c r="C180" t="s">
        <v>23</v>
      </c>
      <c r="D180" t="s">
        <v>24</v>
      </c>
      <c r="E180" t="s">
        <v>25</v>
      </c>
      <c r="F180">
        <v>1</v>
      </c>
      <c r="G180">
        <v>9791136946782</v>
      </c>
      <c r="H180" t="s">
        <v>26</v>
      </c>
      <c r="I180" t="s">
        <v>291</v>
      </c>
      <c r="J180" t="s">
        <v>28</v>
      </c>
      <c r="K180" t="s">
        <v>29</v>
      </c>
      <c r="L180">
        <v>0</v>
      </c>
      <c r="M180" t="s">
        <v>29</v>
      </c>
      <c r="N180">
        <v>0</v>
      </c>
      <c r="O180">
        <v>0</v>
      </c>
      <c r="P180" t="s">
        <v>30</v>
      </c>
      <c r="Q180" s="2">
        <v>0.7</v>
      </c>
      <c r="R180">
        <v>0</v>
      </c>
      <c r="V180" t="str">
        <f>VLOOKUP(H180,'[1]팀별 출판사'!A:B,2,0)</f>
        <v>소설1팀</v>
      </c>
      <c r="W180" s="6">
        <f t="shared" si="4"/>
        <v>0</v>
      </c>
      <c r="X180" s="6">
        <f t="shared" si="5"/>
        <v>0</v>
      </c>
    </row>
    <row r="181" spans="1:24" x14ac:dyDescent="0.3">
      <c r="A181" t="s">
        <v>348</v>
      </c>
      <c r="B181" t="s">
        <v>440</v>
      </c>
      <c r="C181" t="s">
        <v>23</v>
      </c>
      <c r="D181" t="s">
        <v>24</v>
      </c>
      <c r="E181" t="s">
        <v>25</v>
      </c>
      <c r="F181">
        <v>1</v>
      </c>
      <c r="G181">
        <v>9791136935496</v>
      </c>
      <c r="H181" t="s">
        <v>32</v>
      </c>
      <c r="I181" t="s">
        <v>441</v>
      </c>
      <c r="J181" t="s">
        <v>442</v>
      </c>
      <c r="K181" t="s">
        <v>29</v>
      </c>
      <c r="L181">
        <v>0</v>
      </c>
      <c r="M181" t="s">
        <v>29</v>
      </c>
      <c r="N181">
        <v>0</v>
      </c>
      <c r="O181">
        <v>0</v>
      </c>
      <c r="P181" t="s">
        <v>30</v>
      </c>
      <c r="Q181" s="2">
        <v>0.7</v>
      </c>
      <c r="R181">
        <v>0</v>
      </c>
      <c r="V181" t="str">
        <f>VLOOKUP(H181,'[1]팀별 출판사'!A:B,2,0)</f>
        <v>소설1팀</v>
      </c>
      <c r="W181" s="6">
        <f t="shared" si="4"/>
        <v>0</v>
      </c>
      <c r="X181" s="6">
        <f t="shared" si="5"/>
        <v>0</v>
      </c>
    </row>
    <row r="182" spans="1:24" x14ac:dyDescent="0.3">
      <c r="A182" t="s">
        <v>348</v>
      </c>
      <c r="B182" t="s">
        <v>443</v>
      </c>
      <c r="C182" t="s">
        <v>23</v>
      </c>
      <c r="D182" t="s">
        <v>24</v>
      </c>
      <c r="E182" t="s">
        <v>25</v>
      </c>
      <c r="F182">
        <v>1</v>
      </c>
      <c r="G182">
        <v>9791133167258</v>
      </c>
      <c r="H182" t="s">
        <v>32</v>
      </c>
      <c r="I182" t="s">
        <v>444</v>
      </c>
      <c r="J182" t="s">
        <v>160</v>
      </c>
      <c r="K182" t="s">
        <v>29</v>
      </c>
      <c r="L182" s="1">
        <v>2500</v>
      </c>
      <c r="M182" t="s">
        <v>29</v>
      </c>
      <c r="N182" s="1">
        <v>2500</v>
      </c>
      <c r="O182" s="1">
        <v>2500</v>
      </c>
      <c r="P182" t="s">
        <v>30</v>
      </c>
      <c r="Q182" s="2">
        <v>0.7</v>
      </c>
      <c r="R182" s="1">
        <v>1750</v>
      </c>
      <c r="S182" t="s">
        <v>29</v>
      </c>
      <c r="T182" s="1">
        <v>1750</v>
      </c>
      <c r="V182" t="str">
        <f>VLOOKUP(H182,'[1]팀별 출판사'!A:B,2,0)</f>
        <v>소설1팀</v>
      </c>
      <c r="W182" s="6">
        <f t="shared" si="4"/>
        <v>0</v>
      </c>
      <c r="X182" s="6">
        <f t="shared" si="5"/>
        <v>1750</v>
      </c>
    </row>
    <row r="183" spans="1:24" x14ac:dyDescent="0.3">
      <c r="A183" t="s">
        <v>348</v>
      </c>
      <c r="B183" t="s">
        <v>445</v>
      </c>
      <c r="C183" t="s">
        <v>23</v>
      </c>
      <c r="D183" t="s">
        <v>24</v>
      </c>
      <c r="E183" t="s">
        <v>25</v>
      </c>
      <c r="F183">
        <v>1</v>
      </c>
      <c r="G183">
        <v>9791133167265</v>
      </c>
      <c r="H183" t="s">
        <v>32</v>
      </c>
      <c r="I183" t="s">
        <v>446</v>
      </c>
      <c r="J183" t="s">
        <v>160</v>
      </c>
      <c r="K183" t="s">
        <v>29</v>
      </c>
      <c r="L183" s="1">
        <v>2500</v>
      </c>
      <c r="M183" t="s">
        <v>29</v>
      </c>
      <c r="N183" s="1">
        <v>2500</v>
      </c>
      <c r="O183" s="1">
        <v>2500</v>
      </c>
      <c r="P183" t="s">
        <v>30</v>
      </c>
      <c r="Q183" s="2">
        <v>0.7</v>
      </c>
      <c r="R183" s="1">
        <v>1750</v>
      </c>
      <c r="S183" t="s">
        <v>29</v>
      </c>
      <c r="T183" s="1">
        <v>1750</v>
      </c>
      <c r="V183" t="str">
        <f>VLOOKUP(H183,'[1]팀별 출판사'!A:B,2,0)</f>
        <v>소설1팀</v>
      </c>
      <c r="W183" s="6">
        <f t="shared" si="4"/>
        <v>0</v>
      </c>
      <c r="X183" s="6">
        <f t="shared" si="5"/>
        <v>1750</v>
      </c>
    </row>
    <row r="184" spans="1:24" x14ac:dyDescent="0.3">
      <c r="A184" t="s">
        <v>348</v>
      </c>
      <c r="B184" t="s">
        <v>447</v>
      </c>
      <c r="C184" t="s">
        <v>23</v>
      </c>
      <c r="D184" t="s">
        <v>24</v>
      </c>
      <c r="E184" t="s">
        <v>25</v>
      </c>
      <c r="F184">
        <v>1</v>
      </c>
      <c r="G184" t="s">
        <v>448</v>
      </c>
      <c r="H184" t="s">
        <v>32</v>
      </c>
      <c r="I184" t="s">
        <v>449</v>
      </c>
      <c r="J184" t="s">
        <v>311</v>
      </c>
      <c r="K184" t="s">
        <v>29</v>
      </c>
      <c r="L184">
        <v>0</v>
      </c>
      <c r="M184" t="s">
        <v>29</v>
      </c>
      <c r="N184">
        <v>0</v>
      </c>
      <c r="O184">
        <v>0</v>
      </c>
      <c r="P184" t="s">
        <v>30</v>
      </c>
      <c r="Q184" s="2">
        <v>0.7</v>
      </c>
      <c r="R184">
        <v>0</v>
      </c>
      <c r="V184" t="str">
        <f>VLOOKUP(H184,'[1]팀별 출판사'!A:B,2,0)</f>
        <v>소설1팀</v>
      </c>
      <c r="W184" s="6">
        <f t="shared" si="4"/>
        <v>0</v>
      </c>
      <c r="X184" s="6">
        <f t="shared" si="5"/>
        <v>0</v>
      </c>
    </row>
    <row r="185" spans="1:24" x14ac:dyDescent="0.3">
      <c r="A185" t="s">
        <v>348</v>
      </c>
      <c r="B185" t="s">
        <v>450</v>
      </c>
      <c r="C185" t="s">
        <v>23</v>
      </c>
      <c r="D185" t="s">
        <v>24</v>
      </c>
      <c r="E185" t="s">
        <v>25</v>
      </c>
      <c r="F185">
        <v>1</v>
      </c>
      <c r="G185">
        <v>9791136931375</v>
      </c>
      <c r="H185" t="s">
        <v>32</v>
      </c>
      <c r="I185" t="s">
        <v>189</v>
      </c>
      <c r="J185" t="s">
        <v>46</v>
      </c>
      <c r="K185" t="s">
        <v>29</v>
      </c>
      <c r="L185">
        <v>0</v>
      </c>
      <c r="M185" t="s">
        <v>152</v>
      </c>
      <c r="N185">
        <v>0</v>
      </c>
      <c r="O185">
        <v>0</v>
      </c>
      <c r="P185" t="s">
        <v>153</v>
      </c>
      <c r="Q185" s="2">
        <v>0.7</v>
      </c>
      <c r="R185">
        <v>0</v>
      </c>
      <c r="V185" t="str">
        <f>VLOOKUP(H185,'[1]팀별 출판사'!A:B,2,0)</f>
        <v>소설1팀</v>
      </c>
      <c r="W185" s="6">
        <f t="shared" si="4"/>
        <v>0</v>
      </c>
      <c r="X185" s="6">
        <f t="shared" si="5"/>
        <v>0</v>
      </c>
    </row>
    <row r="186" spans="1:24" x14ac:dyDescent="0.3">
      <c r="A186" t="s">
        <v>348</v>
      </c>
      <c r="B186" t="s">
        <v>451</v>
      </c>
      <c r="C186" t="s">
        <v>23</v>
      </c>
      <c r="D186" t="s">
        <v>24</v>
      </c>
      <c r="E186" t="s">
        <v>25</v>
      </c>
      <c r="F186">
        <v>1</v>
      </c>
      <c r="G186">
        <v>9791136930224</v>
      </c>
      <c r="H186" t="s">
        <v>32</v>
      </c>
      <c r="I186" t="s">
        <v>172</v>
      </c>
      <c r="J186" t="s">
        <v>46</v>
      </c>
      <c r="K186" t="s">
        <v>29</v>
      </c>
      <c r="L186">
        <v>0</v>
      </c>
      <c r="M186" t="s">
        <v>47</v>
      </c>
      <c r="N186">
        <v>0</v>
      </c>
      <c r="O186">
        <v>0</v>
      </c>
      <c r="P186" t="s">
        <v>48</v>
      </c>
      <c r="Q186" s="2">
        <v>0.7</v>
      </c>
      <c r="R186">
        <v>0</v>
      </c>
      <c r="V186" t="str">
        <f>VLOOKUP(H186,'[1]팀별 출판사'!A:B,2,0)</f>
        <v>소설1팀</v>
      </c>
      <c r="W186" s="6">
        <f t="shared" si="4"/>
        <v>0</v>
      </c>
      <c r="X186" s="6">
        <f t="shared" si="5"/>
        <v>0</v>
      </c>
    </row>
    <row r="187" spans="1:24" x14ac:dyDescent="0.3">
      <c r="A187" t="s">
        <v>348</v>
      </c>
      <c r="B187" t="s">
        <v>452</v>
      </c>
      <c r="C187" t="s">
        <v>23</v>
      </c>
      <c r="D187" t="s">
        <v>24</v>
      </c>
      <c r="E187" t="s">
        <v>25</v>
      </c>
      <c r="F187">
        <v>1</v>
      </c>
      <c r="G187">
        <v>9791136925664</v>
      </c>
      <c r="H187" t="s">
        <v>26</v>
      </c>
      <c r="I187" t="s">
        <v>453</v>
      </c>
      <c r="J187" t="s">
        <v>62</v>
      </c>
      <c r="K187" t="s">
        <v>29</v>
      </c>
      <c r="L187">
        <v>0</v>
      </c>
      <c r="M187" t="s">
        <v>29</v>
      </c>
      <c r="N187">
        <v>0</v>
      </c>
      <c r="O187">
        <v>0</v>
      </c>
      <c r="P187" t="s">
        <v>30</v>
      </c>
      <c r="Q187" s="2">
        <v>0.7</v>
      </c>
      <c r="R187">
        <v>0</v>
      </c>
      <c r="V187" t="str">
        <f>VLOOKUP(H187,'[1]팀별 출판사'!A:B,2,0)</f>
        <v>소설1팀</v>
      </c>
      <c r="W187" s="6">
        <f t="shared" si="4"/>
        <v>0</v>
      </c>
      <c r="X187" s="6">
        <f t="shared" si="5"/>
        <v>0</v>
      </c>
    </row>
    <row r="188" spans="1:24" x14ac:dyDescent="0.3">
      <c r="A188" t="s">
        <v>348</v>
      </c>
      <c r="B188" t="s">
        <v>454</v>
      </c>
      <c r="C188" t="s">
        <v>23</v>
      </c>
      <c r="D188" t="s">
        <v>24</v>
      </c>
      <c r="E188" t="s">
        <v>25</v>
      </c>
      <c r="F188">
        <v>1</v>
      </c>
      <c r="G188">
        <v>9791133105441</v>
      </c>
      <c r="H188" t="s">
        <v>32</v>
      </c>
      <c r="I188" t="s">
        <v>116</v>
      </c>
      <c r="J188" t="s">
        <v>88</v>
      </c>
      <c r="K188" t="s">
        <v>29</v>
      </c>
      <c r="L188">
        <v>0</v>
      </c>
      <c r="M188" t="s">
        <v>29</v>
      </c>
      <c r="N188">
        <v>0</v>
      </c>
      <c r="O188">
        <v>0</v>
      </c>
      <c r="P188" t="s">
        <v>30</v>
      </c>
      <c r="Q188" s="2">
        <v>0.7</v>
      </c>
      <c r="R188">
        <v>0</v>
      </c>
      <c r="V188" t="str">
        <f>VLOOKUP(H188,'[1]팀별 출판사'!A:B,2,0)</f>
        <v>소설1팀</v>
      </c>
      <c r="W188" s="6">
        <f t="shared" si="4"/>
        <v>0</v>
      </c>
      <c r="X188" s="6">
        <f t="shared" si="5"/>
        <v>0</v>
      </c>
    </row>
    <row r="189" spans="1:24" x14ac:dyDescent="0.3">
      <c r="A189" t="s">
        <v>348</v>
      </c>
      <c r="B189" t="s">
        <v>455</v>
      </c>
      <c r="C189" t="s">
        <v>23</v>
      </c>
      <c r="D189" t="s">
        <v>24</v>
      </c>
      <c r="E189" t="s">
        <v>25</v>
      </c>
      <c r="F189">
        <v>1</v>
      </c>
      <c r="G189">
        <v>9791133173617</v>
      </c>
      <c r="H189" t="s">
        <v>26</v>
      </c>
      <c r="I189" t="s">
        <v>456</v>
      </c>
      <c r="J189" t="s">
        <v>287</v>
      </c>
      <c r="K189" t="s">
        <v>29</v>
      </c>
      <c r="L189" s="1">
        <v>2500</v>
      </c>
      <c r="M189" t="s">
        <v>29</v>
      </c>
      <c r="N189" s="1">
        <v>2500</v>
      </c>
      <c r="O189" s="1">
        <v>2500</v>
      </c>
      <c r="P189" t="s">
        <v>30</v>
      </c>
      <c r="Q189" s="2">
        <v>0.7</v>
      </c>
      <c r="R189" s="1">
        <v>1750</v>
      </c>
      <c r="S189" t="s">
        <v>29</v>
      </c>
      <c r="T189" s="1">
        <v>1750</v>
      </c>
      <c r="V189" t="str">
        <f>VLOOKUP(H189,'[1]팀별 출판사'!A:B,2,0)</f>
        <v>소설1팀</v>
      </c>
      <c r="W189" s="6">
        <f t="shared" si="4"/>
        <v>0</v>
      </c>
      <c r="X189" s="6">
        <f t="shared" si="5"/>
        <v>1750</v>
      </c>
    </row>
    <row r="190" spans="1:24" x14ac:dyDescent="0.3">
      <c r="A190" t="s">
        <v>348</v>
      </c>
      <c r="B190" t="s">
        <v>457</v>
      </c>
      <c r="C190" t="s">
        <v>23</v>
      </c>
      <c r="D190" t="s">
        <v>24</v>
      </c>
      <c r="E190" t="s">
        <v>25</v>
      </c>
      <c r="F190">
        <v>1</v>
      </c>
      <c r="G190">
        <v>9791136927309</v>
      </c>
      <c r="H190" t="s">
        <v>26</v>
      </c>
      <c r="I190" t="s">
        <v>458</v>
      </c>
      <c r="J190" t="s">
        <v>459</v>
      </c>
      <c r="K190" t="s">
        <v>29</v>
      </c>
      <c r="L190" s="1">
        <v>3200</v>
      </c>
      <c r="M190" t="s">
        <v>29</v>
      </c>
      <c r="N190" s="1">
        <v>3200</v>
      </c>
      <c r="O190" s="1">
        <v>3200</v>
      </c>
      <c r="P190" t="s">
        <v>30</v>
      </c>
      <c r="Q190" s="2">
        <v>0.7</v>
      </c>
      <c r="R190" s="1">
        <v>2240</v>
      </c>
      <c r="S190" t="s">
        <v>29</v>
      </c>
      <c r="T190" s="1">
        <v>2240</v>
      </c>
      <c r="V190" t="str">
        <f>VLOOKUP(H190,'[1]팀별 출판사'!A:B,2,0)</f>
        <v>소설1팀</v>
      </c>
      <c r="W190" s="6">
        <f t="shared" si="4"/>
        <v>0</v>
      </c>
      <c r="X190" s="6">
        <f t="shared" si="5"/>
        <v>2240</v>
      </c>
    </row>
    <row r="191" spans="1:24" x14ac:dyDescent="0.3">
      <c r="A191" t="s">
        <v>348</v>
      </c>
      <c r="B191" t="s">
        <v>460</v>
      </c>
      <c r="C191" t="s">
        <v>23</v>
      </c>
      <c r="D191" t="s">
        <v>24</v>
      </c>
      <c r="E191" t="s">
        <v>25</v>
      </c>
      <c r="F191">
        <v>1</v>
      </c>
      <c r="G191">
        <v>9791136930491</v>
      </c>
      <c r="H191" t="s">
        <v>26</v>
      </c>
      <c r="I191" t="s">
        <v>151</v>
      </c>
      <c r="J191" t="s">
        <v>46</v>
      </c>
      <c r="K191" t="s">
        <v>29</v>
      </c>
      <c r="L191">
        <v>0</v>
      </c>
      <c r="M191" t="s">
        <v>29</v>
      </c>
      <c r="N191">
        <v>0</v>
      </c>
      <c r="O191">
        <v>0</v>
      </c>
      <c r="P191" t="s">
        <v>30</v>
      </c>
      <c r="Q191" s="2">
        <v>0.7</v>
      </c>
      <c r="R191">
        <v>0</v>
      </c>
      <c r="V191" t="str">
        <f>VLOOKUP(H191,'[1]팀별 출판사'!A:B,2,0)</f>
        <v>소설1팀</v>
      </c>
      <c r="W191" s="6">
        <f t="shared" si="4"/>
        <v>0</v>
      </c>
      <c r="X191" s="6">
        <f t="shared" si="5"/>
        <v>0</v>
      </c>
    </row>
    <row r="192" spans="1:24" x14ac:dyDescent="0.3">
      <c r="A192" t="s">
        <v>348</v>
      </c>
      <c r="B192" t="s">
        <v>461</v>
      </c>
      <c r="C192" t="s">
        <v>23</v>
      </c>
      <c r="D192" t="s">
        <v>24</v>
      </c>
      <c r="E192" t="s">
        <v>25</v>
      </c>
      <c r="F192">
        <v>1</v>
      </c>
      <c r="G192">
        <v>9791136930224</v>
      </c>
      <c r="H192" t="s">
        <v>32</v>
      </c>
      <c r="I192" t="s">
        <v>172</v>
      </c>
      <c r="J192" t="s">
        <v>46</v>
      </c>
      <c r="K192" t="s">
        <v>29</v>
      </c>
      <c r="L192">
        <v>0</v>
      </c>
      <c r="M192" t="s">
        <v>29</v>
      </c>
      <c r="N192">
        <v>0</v>
      </c>
      <c r="O192">
        <v>0</v>
      </c>
      <c r="P192" t="s">
        <v>30</v>
      </c>
      <c r="Q192" s="2">
        <v>0.7</v>
      </c>
      <c r="R192">
        <v>0</v>
      </c>
      <c r="V192" t="str">
        <f>VLOOKUP(H192,'[1]팀별 출판사'!A:B,2,0)</f>
        <v>소설1팀</v>
      </c>
      <c r="W192" s="6">
        <f t="shared" si="4"/>
        <v>0</v>
      </c>
      <c r="X192" s="6">
        <f t="shared" si="5"/>
        <v>0</v>
      </c>
    </row>
    <row r="193" spans="1:24" x14ac:dyDescent="0.3">
      <c r="A193" t="s">
        <v>348</v>
      </c>
      <c r="B193" t="s">
        <v>462</v>
      </c>
      <c r="C193" t="s">
        <v>23</v>
      </c>
      <c r="D193" t="s">
        <v>24</v>
      </c>
      <c r="E193" t="s">
        <v>25</v>
      </c>
      <c r="F193">
        <v>1</v>
      </c>
      <c r="G193">
        <v>9791136946775</v>
      </c>
      <c r="H193" t="s">
        <v>26</v>
      </c>
      <c r="I193" t="s">
        <v>238</v>
      </c>
      <c r="J193" t="s">
        <v>28</v>
      </c>
      <c r="K193" t="s">
        <v>29</v>
      </c>
      <c r="L193">
        <v>0</v>
      </c>
      <c r="M193" t="s">
        <v>29</v>
      </c>
      <c r="N193">
        <v>0</v>
      </c>
      <c r="O193">
        <v>0</v>
      </c>
      <c r="P193" t="s">
        <v>30</v>
      </c>
      <c r="Q193" s="2">
        <v>0.7</v>
      </c>
      <c r="R193">
        <v>0</v>
      </c>
      <c r="V193" t="str">
        <f>VLOOKUP(H193,'[1]팀별 출판사'!A:B,2,0)</f>
        <v>소설1팀</v>
      </c>
      <c r="W193" s="6">
        <f t="shared" si="4"/>
        <v>0</v>
      </c>
      <c r="X193" s="6">
        <f t="shared" si="5"/>
        <v>0</v>
      </c>
    </row>
    <row r="194" spans="1:24" x14ac:dyDescent="0.3">
      <c r="A194" t="s">
        <v>348</v>
      </c>
      <c r="B194" t="s">
        <v>463</v>
      </c>
      <c r="C194" t="s">
        <v>23</v>
      </c>
      <c r="D194" t="s">
        <v>24</v>
      </c>
      <c r="E194" t="s">
        <v>25</v>
      </c>
      <c r="F194">
        <v>1</v>
      </c>
      <c r="G194">
        <v>9791136946782</v>
      </c>
      <c r="H194" t="s">
        <v>26</v>
      </c>
      <c r="I194" t="s">
        <v>291</v>
      </c>
      <c r="J194" t="s">
        <v>28</v>
      </c>
      <c r="K194" t="s">
        <v>29</v>
      </c>
      <c r="L194">
        <v>0</v>
      </c>
      <c r="M194" t="s">
        <v>29</v>
      </c>
      <c r="N194">
        <v>0</v>
      </c>
      <c r="O194">
        <v>0</v>
      </c>
      <c r="P194" t="s">
        <v>30</v>
      </c>
      <c r="Q194" s="2">
        <v>0.7</v>
      </c>
      <c r="R194">
        <v>0</v>
      </c>
      <c r="V194" t="str">
        <f>VLOOKUP(H194,'[1]팀별 출판사'!A:B,2,0)</f>
        <v>소설1팀</v>
      </c>
      <c r="W194" s="6">
        <f t="shared" ref="W194:W257" si="6">IF(P194="US", T194*30%, 0)</f>
        <v>0</v>
      </c>
      <c r="X194" s="6">
        <f t="shared" ref="X194:X257" si="7">T194-W194</f>
        <v>0</v>
      </c>
    </row>
    <row r="195" spans="1:24" x14ac:dyDescent="0.3">
      <c r="A195" t="s">
        <v>348</v>
      </c>
      <c r="B195" t="s">
        <v>464</v>
      </c>
      <c r="C195" t="s">
        <v>23</v>
      </c>
      <c r="D195" t="s">
        <v>24</v>
      </c>
      <c r="E195" t="s">
        <v>25</v>
      </c>
      <c r="F195">
        <v>1</v>
      </c>
      <c r="G195">
        <v>9791170106715</v>
      </c>
      <c r="H195" t="s">
        <v>67</v>
      </c>
      <c r="I195" t="s">
        <v>68</v>
      </c>
      <c r="J195" t="s">
        <v>69</v>
      </c>
      <c r="K195" t="s">
        <v>29</v>
      </c>
      <c r="L195">
        <v>0</v>
      </c>
      <c r="M195" t="s">
        <v>465</v>
      </c>
      <c r="N195">
        <v>0</v>
      </c>
      <c r="O195">
        <v>0</v>
      </c>
      <c r="P195" t="s">
        <v>466</v>
      </c>
      <c r="Q195" s="2">
        <v>0.7</v>
      </c>
      <c r="R195">
        <v>0</v>
      </c>
      <c r="V195" t="str">
        <f>VLOOKUP(H195,'[1]팀별 출판사'!A:B,2,0)</f>
        <v>소설1팀</v>
      </c>
      <c r="W195" s="6">
        <f t="shared" si="6"/>
        <v>0</v>
      </c>
      <c r="X195" s="6">
        <f t="shared" si="7"/>
        <v>0</v>
      </c>
    </row>
    <row r="196" spans="1:24" x14ac:dyDescent="0.3">
      <c r="A196" t="s">
        <v>348</v>
      </c>
      <c r="B196" t="s">
        <v>467</v>
      </c>
      <c r="C196" t="s">
        <v>23</v>
      </c>
      <c r="D196" t="s">
        <v>24</v>
      </c>
      <c r="E196" t="s">
        <v>25</v>
      </c>
      <c r="F196">
        <v>1</v>
      </c>
      <c r="G196">
        <v>9791136946898</v>
      </c>
      <c r="H196" t="s">
        <v>26</v>
      </c>
      <c r="I196" t="s">
        <v>468</v>
      </c>
      <c r="J196" t="s">
        <v>28</v>
      </c>
      <c r="K196" t="s">
        <v>29</v>
      </c>
      <c r="L196" s="1">
        <v>3200</v>
      </c>
      <c r="M196" t="s">
        <v>29</v>
      </c>
      <c r="N196" s="1">
        <v>3200</v>
      </c>
      <c r="O196" s="1">
        <v>3200</v>
      </c>
      <c r="P196" t="s">
        <v>30</v>
      </c>
      <c r="Q196" s="2">
        <v>0.7</v>
      </c>
      <c r="R196" s="1">
        <v>2240</v>
      </c>
      <c r="S196" t="s">
        <v>29</v>
      </c>
      <c r="T196" s="1">
        <v>2240</v>
      </c>
      <c r="V196" t="str">
        <f>VLOOKUP(H196,'[1]팀별 출판사'!A:B,2,0)</f>
        <v>소설1팀</v>
      </c>
      <c r="W196" s="6">
        <f t="shared" si="6"/>
        <v>0</v>
      </c>
      <c r="X196" s="6">
        <f t="shared" si="7"/>
        <v>2240</v>
      </c>
    </row>
    <row r="197" spans="1:24" x14ac:dyDescent="0.3">
      <c r="A197" t="s">
        <v>348</v>
      </c>
      <c r="B197" t="s">
        <v>469</v>
      </c>
      <c r="C197" t="s">
        <v>23</v>
      </c>
      <c r="D197" t="s">
        <v>24</v>
      </c>
      <c r="E197" t="s">
        <v>25</v>
      </c>
      <c r="F197">
        <v>1</v>
      </c>
      <c r="G197">
        <v>9791157533626</v>
      </c>
      <c r="H197" t="s">
        <v>32</v>
      </c>
      <c r="I197" t="s">
        <v>470</v>
      </c>
      <c r="J197" t="s">
        <v>187</v>
      </c>
      <c r="K197" t="s">
        <v>29</v>
      </c>
      <c r="L197" s="1">
        <v>3200</v>
      </c>
      <c r="M197" t="s">
        <v>29</v>
      </c>
      <c r="N197" s="1">
        <v>3200</v>
      </c>
      <c r="O197" s="1">
        <v>3200</v>
      </c>
      <c r="P197" t="s">
        <v>30</v>
      </c>
      <c r="Q197" s="2">
        <v>0.7</v>
      </c>
      <c r="R197" s="1">
        <v>2240</v>
      </c>
      <c r="S197" t="s">
        <v>29</v>
      </c>
      <c r="T197" s="1">
        <v>2240</v>
      </c>
      <c r="V197" t="str">
        <f>VLOOKUP(H197,'[1]팀별 출판사'!A:B,2,0)</f>
        <v>소설1팀</v>
      </c>
      <c r="W197" s="6">
        <f t="shared" si="6"/>
        <v>0</v>
      </c>
      <c r="X197" s="6">
        <f t="shared" si="7"/>
        <v>2240</v>
      </c>
    </row>
    <row r="198" spans="1:24" x14ac:dyDescent="0.3">
      <c r="A198" t="s">
        <v>348</v>
      </c>
      <c r="B198" t="s">
        <v>471</v>
      </c>
      <c r="C198" t="s">
        <v>23</v>
      </c>
      <c r="D198" t="s">
        <v>24</v>
      </c>
      <c r="E198" t="s">
        <v>25</v>
      </c>
      <c r="F198">
        <v>1</v>
      </c>
      <c r="G198">
        <v>9791136965455</v>
      </c>
      <c r="H198" t="s">
        <v>26</v>
      </c>
      <c r="I198" t="s">
        <v>472</v>
      </c>
      <c r="J198" t="s">
        <v>157</v>
      </c>
      <c r="K198" t="s">
        <v>29</v>
      </c>
      <c r="L198">
        <v>0</v>
      </c>
      <c r="M198" t="s">
        <v>29</v>
      </c>
      <c r="N198">
        <v>0</v>
      </c>
      <c r="O198">
        <v>0</v>
      </c>
      <c r="P198" t="s">
        <v>30</v>
      </c>
      <c r="Q198" s="2">
        <v>0.7</v>
      </c>
      <c r="R198">
        <v>0</v>
      </c>
      <c r="V198" t="str">
        <f>VLOOKUP(H198,'[1]팀별 출판사'!A:B,2,0)</f>
        <v>소설1팀</v>
      </c>
      <c r="W198" s="6">
        <f t="shared" si="6"/>
        <v>0</v>
      </c>
      <c r="X198" s="6">
        <f t="shared" si="7"/>
        <v>0</v>
      </c>
    </row>
    <row r="199" spans="1:24" x14ac:dyDescent="0.3">
      <c r="A199" t="s">
        <v>348</v>
      </c>
      <c r="B199" t="s">
        <v>473</v>
      </c>
      <c r="C199" t="s">
        <v>23</v>
      </c>
      <c r="D199" t="s">
        <v>24</v>
      </c>
      <c r="E199" t="s">
        <v>25</v>
      </c>
      <c r="F199">
        <v>1</v>
      </c>
      <c r="G199">
        <v>9791136905659</v>
      </c>
      <c r="H199" t="s">
        <v>26</v>
      </c>
      <c r="I199" t="s">
        <v>474</v>
      </c>
      <c r="J199" t="s">
        <v>311</v>
      </c>
      <c r="K199" t="s">
        <v>29</v>
      </c>
      <c r="L199" s="1">
        <v>3200</v>
      </c>
      <c r="M199" t="s">
        <v>29</v>
      </c>
      <c r="N199" s="1">
        <v>3200</v>
      </c>
      <c r="O199" s="1">
        <v>3200</v>
      </c>
      <c r="P199" t="s">
        <v>30</v>
      </c>
      <c r="Q199" s="2">
        <v>0.7</v>
      </c>
      <c r="R199" s="1">
        <v>2240</v>
      </c>
      <c r="S199" t="s">
        <v>29</v>
      </c>
      <c r="T199" s="1">
        <v>2240</v>
      </c>
      <c r="V199" t="str">
        <f>VLOOKUP(H199,'[1]팀별 출판사'!A:B,2,0)</f>
        <v>소설1팀</v>
      </c>
      <c r="W199" s="6">
        <f t="shared" si="6"/>
        <v>0</v>
      </c>
      <c r="X199" s="6">
        <f t="shared" si="7"/>
        <v>2240</v>
      </c>
    </row>
    <row r="200" spans="1:24" x14ac:dyDescent="0.3">
      <c r="A200" t="s">
        <v>348</v>
      </c>
      <c r="B200" t="s">
        <v>475</v>
      </c>
      <c r="C200" t="s">
        <v>23</v>
      </c>
      <c r="D200" t="s">
        <v>24</v>
      </c>
      <c r="E200" t="s">
        <v>25</v>
      </c>
      <c r="F200">
        <v>1</v>
      </c>
      <c r="G200">
        <v>9791194664369</v>
      </c>
      <c r="H200" t="s">
        <v>79</v>
      </c>
      <c r="I200" t="s">
        <v>156</v>
      </c>
      <c r="J200" t="s">
        <v>157</v>
      </c>
      <c r="K200" t="s">
        <v>29</v>
      </c>
      <c r="L200">
        <v>0</v>
      </c>
      <c r="M200" t="s">
        <v>29</v>
      </c>
      <c r="N200">
        <v>0</v>
      </c>
      <c r="O200">
        <v>0</v>
      </c>
      <c r="P200" t="s">
        <v>30</v>
      </c>
      <c r="Q200" s="2">
        <v>0.7</v>
      </c>
      <c r="R200">
        <v>0</v>
      </c>
      <c r="V200" t="str">
        <f>VLOOKUP(H200,'[1]팀별 출판사'!A:B,2,0)</f>
        <v>소설1팀</v>
      </c>
      <c r="W200" s="6">
        <f t="shared" si="6"/>
        <v>0</v>
      </c>
      <c r="X200" s="6">
        <f t="shared" si="7"/>
        <v>0</v>
      </c>
    </row>
    <row r="201" spans="1:24" x14ac:dyDescent="0.3">
      <c r="A201" t="s">
        <v>348</v>
      </c>
      <c r="B201" t="s">
        <v>476</v>
      </c>
      <c r="C201" t="s">
        <v>23</v>
      </c>
      <c r="D201" t="s">
        <v>24</v>
      </c>
      <c r="E201" t="s">
        <v>25</v>
      </c>
      <c r="F201">
        <v>1</v>
      </c>
      <c r="G201">
        <v>9791173785092</v>
      </c>
      <c r="H201" t="s">
        <v>26</v>
      </c>
      <c r="I201" t="s">
        <v>327</v>
      </c>
      <c r="J201" t="s">
        <v>62</v>
      </c>
      <c r="K201" t="s">
        <v>29</v>
      </c>
      <c r="L201">
        <v>0</v>
      </c>
      <c r="M201" t="s">
        <v>29</v>
      </c>
      <c r="N201">
        <v>0</v>
      </c>
      <c r="O201">
        <v>0</v>
      </c>
      <c r="P201" t="s">
        <v>30</v>
      </c>
      <c r="Q201" s="2">
        <v>0.7</v>
      </c>
      <c r="R201">
        <v>0</v>
      </c>
      <c r="V201" t="str">
        <f>VLOOKUP(H201,'[1]팀별 출판사'!A:B,2,0)</f>
        <v>소설1팀</v>
      </c>
      <c r="W201" s="6">
        <f t="shared" si="6"/>
        <v>0</v>
      </c>
      <c r="X201" s="6">
        <f t="shared" si="7"/>
        <v>0</v>
      </c>
    </row>
    <row r="202" spans="1:24" x14ac:dyDescent="0.3">
      <c r="A202" t="s">
        <v>348</v>
      </c>
      <c r="B202" t="s">
        <v>477</v>
      </c>
      <c r="C202" t="s">
        <v>23</v>
      </c>
      <c r="D202" t="s">
        <v>24</v>
      </c>
      <c r="E202" t="s">
        <v>25</v>
      </c>
      <c r="F202">
        <v>1</v>
      </c>
      <c r="G202">
        <v>9791170106715</v>
      </c>
      <c r="H202" t="s">
        <v>67</v>
      </c>
      <c r="I202" t="s">
        <v>68</v>
      </c>
      <c r="J202" t="s">
        <v>69</v>
      </c>
      <c r="K202" t="s">
        <v>29</v>
      </c>
      <c r="L202">
        <v>0</v>
      </c>
      <c r="M202" t="s">
        <v>478</v>
      </c>
      <c r="N202">
        <v>0</v>
      </c>
      <c r="O202">
        <v>0</v>
      </c>
      <c r="P202" t="s">
        <v>479</v>
      </c>
      <c r="Q202" s="2">
        <v>0.7</v>
      </c>
      <c r="R202">
        <v>0</v>
      </c>
      <c r="V202" t="str">
        <f>VLOOKUP(H202,'[1]팀별 출판사'!A:B,2,0)</f>
        <v>소설1팀</v>
      </c>
      <c r="W202" s="6">
        <f t="shared" si="6"/>
        <v>0</v>
      </c>
      <c r="X202" s="6">
        <f t="shared" si="7"/>
        <v>0</v>
      </c>
    </row>
    <row r="203" spans="1:24" x14ac:dyDescent="0.3">
      <c r="A203" t="s">
        <v>348</v>
      </c>
      <c r="B203" t="s">
        <v>480</v>
      </c>
      <c r="C203" t="s">
        <v>23</v>
      </c>
      <c r="D203" t="s">
        <v>24</v>
      </c>
      <c r="E203" t="s">
        <v>25</v>
      </c>
      <c r="F203">
        <v>1</v>
      </c>
      <c r="G203">
        <v>9791133180066</v>
      </c>
      <c r="H203" t="s">
        <v>26</v>
      </c>
      <c r="I203" t="s">
        <v>320</v>
      </c>
      <c r="J203" t="s">
        <v>321</v>
      </c>
      <c r="K203" t="s">
        <v>29</v>
      </c>
      <c r="L203">
        <v>0</v>
      </c>
      <c r="M203" t="s">
        <v>29</v>
      </c>
      <c r="N203">
        <v>0</v>
      </c>
      <c r="O203">
        <v>0</v>
      </c>
      <c r="P203" t="s">
        <v>30</v>
      </c>
      <c r="Q203" s="2">
        <v>0.7</v>
      </c>
      <c r="R203">
        <v>0</v>
      </c>
      <c r="V203" t="str">
        <f>VLOOKUP(H203,'[1]팀별 출판사'!A:B,2,0)</f>
        <v>소설1팀</v>
      </c>
      <c r="W203" s="6">
        <f t="shared" si="6"/>
        <v>0</v>
      </c>
      <c r="X203" s="6">
        <f t="shared" si="7"/>
        <v>0</v>
      </c>
    </row>
    <row r="204" spans="1:24" x14ac:dyDescent="0.3">
      <c r="A204" t="s">
        <v>348</v>
      </c>
      <c r="B204" t="s">
        <v>481</v>
      </c>
      <c r="C204" t="s">
        <v>23</v>
      </c>
      <c r="D204" t="s">
        <v>24</v>
      </c>
      <c r="E204" t="s">
        <v>25</v>
      </c>
      <c r="F204">
        <v>1</v>
      </c>
      <c r="G204">
        <v>9791136931399</v>
      </c>
      <c r="H204" t="s">
        <v>32</v>
      </c>
      <c r="I204" t="s">
        <v>482</v>
      </c>
      <c r="J204" t="s">
        <v>46</v>
      </c>
      <c r="K204" t="s">
        <v>29</v>
      </c>
      <c r="L204">
        <v>0</v>
      </c>
      <c r="M204" t="s">
        <v>47</v>
      </c>
      <c r="N204">
        <v>0</v>
      </c>
      <c r="O204">
        <v>0</v>
      </c>
      <c r="P204" t="s">
        <v>48</v>
      </c>
      <c r="Q204" s="2">
        <v>0.7</v>
      </c>
      <c r="R204">
        <v>0</v>
      </c>
      <c r="V204" t="str">
        <f>VLOOKUP(H204,'[1]팀별 출판사'!A:B,2,0)</f>
        <v>소설1팀</v>
      </c>
      <c r="W204" s="6">
        <f t="shared" si="6"/>
        <v>0</v>
      </c>
      <c r="X204" s="6">
        <f t="shared" si="7"/>
        <v>0</v>
      </c>
    </row>
    <row r="205" spans="1:24" x14ac:dyDescent="0.3">
      <c r="A205" t="s">
        <v>348</v>
      </c>
      <c r="B205" t="s">
        <v>483</v>
      </c>
      <c r="C205" t="s">
        <v>23</v>
      </c>
      <c r="D205" t="s">
        <v>24</v>
      </c>
      <c r="E205" t="s">
        <v>25</v>
      </c>
      <c r="F205">
        <v>1</v>
      </c>
      <c r="G205">
        <v>9791172924843</v>
      </c>
      <c r="H205" t="s">
        <v>26</v>
      </c>
      <c r="I205" t="s">
        <v>484</v>
      </c>
      <c r="J205" t="s">
        <v>62</v>
      </c>
      <c r="K205" t="s">
        <v>29</v>
      </c>
      <c r="L205" s="1">
        <v>3200</v>
      </c>
      <c r="M205" t="s">
        <v>29</v>
      </c>
      <c r="N205" s="1">
        <v>3200</v>
      </c>
      <c r="O205" s="1">
        <v>3200</v>
      </c>
      <c r="P205" t="s">
        <v>30</v>
      </c>
      <c r="Q205" s="2">
        <v>0.7</v>
      </c>
      <c r="R205" s="1">
        <v>2240</v>
      </c>
      <c r="S205" t="s">
        <v>29</v>
      </c>
      <c r="T205" s="1">
        <v>2240</v>
      </c>
      <c r="V205" t="str">
        <f>VLOOKUP(H205,'[1]팀별 출판사'!A:B,2,0)</f>
        <v>소설1팀</v>
      </c>
      <c r="W205" s="6">
        <f t="shared" si="6"/>
        <v>0</v>
      </c>
      <c r="X205" s="6">
        <f t="shared" si="7"/>
        <v>2240</v>
      </c>
    </row>
    <row r="206" spans="1:24" x14ac:dyDescent="0.3">
      <c r="A206" t="s">
        <v>348</v>
      </c>
      <c r="B206" t="s">
        <v>485</v>
      </c>
      <c r="C206" t="s">
        <v>23</v>
      </c>
      <c r="D206" t="s">
        <v>24</v>
      </c>
      <c r="E206" t="s">
        <v>25</v>
      </c>
      <c r="F206">
        <v>1</v>
      </c>
      <c r="G206">
        <v>9791136931375</v>
      </c>
      <c r="H206" t="s">
        <v>32</v>
      </c>
      <c r="I206" t="s">
        <v>189</v>
      </c>
      <c r="J206" t="s">
        <v>46</v>
      </c>
      <c r="K206" t="s">
        <v>29</v>
      </c>
      <c r="L206">
        <v>0</v>
      </c>
      <c r="M206" t="s">
        <v>152</v>
      </c>
      <c r="N206">
        <v>0</v>
      </c>
      <c r="O206">
        <v>0</v>
      </c>
      <c r="P206" t="s">
        <v>153</v>
      </c>
      <c r="Q206" s="2">
        <v>0.7</v>
      </c>
      <c r="R206">
        <v>0</v>
      </c>
      <c r="V206" t="str">
        <f>VLOOKUP(H206,'[1]팀별 출판사'!A:B,2,0)</f>
        <v>소설1팀</v>
      </c>
      <c r="W206" s="6">
        <f t="shared" si="6"/>
        <v>0</v>
      </c>
      <c r="X206" s="6">
        <f t="shared" si="7"/>
        <v>0</v>
      </c>
    </row>
    <row r="207" spans="1:24" x14ac:dyDescent="0.3">
      <c r="A207" t="s">
        <v>348</v>
      </c>
      <c r="B207" t="s">
        <v>486</v>
      </c>
      <c r="C207" t="s">
        <v>23</v>
      </c>
      <c r="D207" t="s">
        <v>24</v>
      </c>
      <c r="E207" t="s">
        <v>25</v>
      </c>
      <c r="F207">
        <v>1</v>
      </c>
      <c r="G207">
        <v>9791136946782</v>
      </c>
      <c r="H207" t="s">
        <v>26</v>
      </c>
      <c r="I207" t="s">
        <v>291</v>
      </c>
      <c r="J207" t="s">
        <v>28</v>
      </c>
      <c r="K207" t="s">
        <v>29</v>
      </c>
      <c r="L207">
        <v>0</v>
      </c>
      <c r="M207" t="s">
        <v>29</v>
      </c>
      <c r="N207">
        <v>0</v>
      </c>
      <c r="O207">
        <v>0</v>
      </c>
      <c r="P207" t="s">
        <v>30</v>
      </c>
      <c r="Q207" s="2">
        <v>0.7</v>
      </c>
      <c r="R207">
        <v>0</v>
      </c>
      <c r="V207" t="str">
        <f>VLOOKUP(H207,'[1]팀별 출판사'!A:B,2,0)</f>
        <v>소설1팀</v>
      </c>
      <c r="W207" s="6">
        <f t="shared" si="6"/>
        <v>0</v>
      </c>
      <c r="X207" s="6">
        <f t="shared" si="7"/>
        <v>0</v>
      </c>
    </row>
    <row r="208" spans="1:24" x14ac:dyDescent="0.3">
      <c r="A208" t="s">
        <v>348</v>
      </c>
      <c r="B208" t="s">
        <v>487</v>
      </c>
      <c r="C208" t="s">
        <v>23</v>
      </c>
      <c r="D208" t="s">
        <v>24</v>
      </c>
      <c r="E208" t="s">
        <v>25</v>
      </c>
      <c r="F208">
        <v>1</v>
      </c>
      <c r="G208">
        <v>9791136904805</v>
      </c>
      <c r="H208" t="s">
        <v>26</v>
      </c>
      <c r="I208" t="s">
        <v>488</v>
      </c>
      <c r="J208" t="s">
        <v>166</v>
      </c>
      <c r="K208" t="s">
        <v>29</v>
      </c>
      <c r="L208" s="1">
        <v>3200</v>
      </c>
      <c r="M208" t="s">
        <v>29</v>
      </c>
      <c r="N208" s="1">
        <v>3200</v>
      </c>
      <c r="O208" s="1">
        <v>3200</v>
      </c>
      <c r="P208" t="s">
        <v>30</v>
      </c>
      <c r="Q208" s="2">
        <v>0.7</v>
      </c>
      <c r="R208" s="1">
        <v>2240</v>
      </c>
      <c r="S208" t="s">
        <v>29</v>
      </c>
      <c r="T208" s="1">
        <v>2240</v>
      </c>
      <c r="V208" t="str">
        <f>VLOOKUP(H208,'[1]팀별 출판사'!A:B,2,0)</f>
        <v>소설1팀</v>
      </c>
      <c r="W208" s="6">
        <f t="shared" si="6"/>
        <v>0</v>
      </c>
      <c r="X208" s="6">
        <f t="shared" si="7"/>
        <v>2240</v>
      </c>
    </row>
    <row r="209" spans="1:24" x14ac:dyDescent="0.3">
      <c r="A209" t="s">
        <v>348</v>
      </c>
      <c r="B209" t="s">
        <v>487</v>
      </c>
      <c r="C209" t="s">
        <v>23</v>
      </c>
      <c r="D209" t="s">
        <v>24</v>
      </c>
      <c r="E209" t="s">
        <v>25</v>
      </c>
      <c r="F209">
        <v>1</v>
      </c>
      <c r="G209">
        <v>9791136904812</v>
      </c>
      <c r="H209" t="s">
        <v>26</v>
      </c>
      <c r="I209" t="s">
        <v>489</v>
      </c>
      <c r="J209" t="s">
        <v>166</v>
      </c>
      <c r="K209" t="s">
        <v>29</v>
      </c>
      <c r="L209" s="1">
        <v>3200</v>
      </c>
      <c r="M209" t="s">
        <v>29</v>
      </c>
      <c r="N209" s="1">
        <v>3200</v>
      </c>
      <c r="O209" s="1">
        <v>3200</v>
      </c>
      <c r="P209" t="s">
        <v>30</v>
      </c>
      <c r="Q209" s="2">
        <v>0.7</v>
      </c>
      <c r="R209" s="1">
        <v>2240</v>
      </c>
      <c r="S209" t="s">
        <v>29</v>
      </c>
      <c r="T209" s="1">
        <v>2240</v>
      </c>
      <c r="V209" t="str">
        <f>VLOOKUP(H209,'[1]팀별 출판사'!A:B,2,0)</f>
        <v>소설1팀</v>
      </c>
      <c r="W209" s="6">
        <f t="shared" si="6"/>
        <v>0</v>
      </c>
      <c r="X209" s="6">
        <f t="shared" si="7"/>
        <v>2240</v>
      </c>
    </row>
    <row r="210" spans="1:24" x14ac:dyDescent="0.3">
      <c r="A210" t="s">
        <v>348</v>
      </c>
      <c r="B210" t="s">
        <v>487</v>
      </c>
      <c r="C210" t="s">
        <v>23</v>
      </c>
      <c r="D210" t="s">
        <v>24</v>
      </c>
      <c r="E210" t="s">
        <v>25</v>
      </c>
      <c r="F210">
        <v>1</v>
      </c>
      <c r="G210">
        <v>9791136904829</v>
      </c>
      <c r="H210" t="s">
        <v>26</v>
      </c>
      <c r="I210" t="s">
        <v>490</v>
      </c>
      <c r="J210" t="s">
        <v>166</v>
      </c>
      <c r="K210" t="s">
        <v>29</v>
      </c>
      <c r="L210" s="1">
        <v>3200</v>
      </c>
      <c r="M210" t="s">
        <v>29</v>
      </c>
      <c r="N210" s="1">
        <v>3200</v>
      </c>
      <c r="O210" s="1">
        <v>3200</v>
      </c>
      <c r="P210" t="s">
        <v>30</v>
      </c>
      <c r="Q210" s="2">
        <v>0.7</v>
      </c>
      <c r="R210" s="1">
        <v>2240</v>
      </c>
      <c r="S210" t="s">
        <v>29</v>
      </c>
      <c r="T210" s="1">
        <v>2240</v>
      </c>
      <c r="V210" t="str">
        <f>VLOOKUP(H210,'[1]팀별 출판사'!A:B,2,0)</f>
        <v>소설1팀</v>
      </c>
      <c r="W210" s="6">
        <f t="shared" si="6"/>
        <v>0</v>
      </c>
      <c r="X210" s="6">
        <f t="shared" si="7"/>
        <v>2240</v>
      </c>
    </row>
    <row r="211" spans="1:24" x14ac:dyDescent="0.3">
      <c r="A211" t="s">
        <v>348</v>
      </c>
      <c r="B211" t="s">
        <v>487</v>
      </c>
      <c r="C211" t="s">
        <v>23</v>
      </c>
      <c r="D211" t="s">
        <v>24</v>
      </c>
      <c r="E211" t="s">
        <v>25</v>
      </c>
      <c r="F211">
        <v>1</v>
      </c>
      <c r="G211">
        <v>9791136904836</v>
      </c>
      <c r="H211" t="s">
        <v>26</v>
      </c>
      <c r="I211" t="s">
        <v>491</v>
      </c>
      <c r="J211" t="s">
        <v>166</v>
      </c>
      <c r="K211" t="s">
        <v>29</v>
      </c>
      <c r="L211" s="1">
        <v>3200</v>
      </c>
      <c r="M211" t="s">
        <v>29</v>
      </c>
      <c r="N211" s="1">
        <v>3200</v>
      </c>
      <c r="O211" s="1">
        <v>3200</v>
      </c>
      <c r="P211" t="s">
        <v>30</v>
      </c>
      <c r="Q211" s="2">
        <v>0.7</v>
      </c>
      <c r="R211" s="1">
        <v>2240</v>
      </c>
      <c r="S211" t="s">
        <v>29</v>
      </c>
      <c r="T211" s="1">
        <v>2240</v>
      </c>
      <c r="V211" t="str">
        <f>VLOOKUP(H211,'[1]팀별 출판사'!A:B,2,0)</f>
        <v>소설1팀</v>
      </c>
      <c r="W211" s="6">
        <f t="shared" si="6"/>
        <v>0</v>
      </c>
      <c r="X211" s="6">
        <f t="shared" si="7"/>
        <v>2240</v>
      </c>
    </row>
    <row r="212" spans="1:24" x14ac:dyDescent="0.3">
      <c r="A212" t="s">
        <v>348</v>
      </c>
      <c r="B212" t="s">
        <v>487</v>
      </c>
      <c r="C212" t="s">
        <v>23</v>
      </c>
      <c r="D212" t="s">
        <v>24</v>
      </c>
      <c r="E212" t="s">
        <v>25</v>
      </c>
      <c r="F212">
        <v>1</v>
      </c>
      <c r="G212">
        <v>9791136904843</v>
      </c>
      <c r="H212" t="s">
        <v>26</v>
      </c>
      <c r="I212" t="s">
        <v>492</v>
      </c>
      <c r="J212" t="s">
        <v>166</v>
      </c>
      <c r="K212" t="s">
        <v>29</v>
      </c>
      <c r="L212" s="1">
        <v>3200</v>
      </c>
      <c r="M212" t="s">
        <v>29</v>
      </c>
      <c r="N212" s="1">
        <v>3200</v>
      </c>
      <c r="O212" s="1">
        <v>3200</v>
      </c>
      <c r="P212" t="s">
        <v>30</v>
      </c>
      <c r="Q212" s="2">
        <v>0.7</v>
      </c>
      <c r="R212" s="1">
        <v>2240</v>
      </c>
      <c r="S212" t="s">
        <v>29</v>
      </c>
      <c r="T212" s="1">
        <v>2240</v>
      </c>
      <c r="V212" t="str">
        <f>VLOOKUP(H212,'[1]팀별 출판사'!A:B,2,0)</f>
        <v>소설1팀</v>
      </c>
      <c r="W212" s="6">
        <f t="shared" si="6"/>
        <v>0</v>
      </c>
      <c r="X212" s="6">
        <f t="shared" si="7"/>
        <v>2240</v>
      </c>
    </row>
    <row r="213" spans="1:24" x14ac:dyDescent="0.3">
      <c r="A213" t="s">
        <v>348</v>
      </c>
      <c r="B213" t="s">
        <v>493</v>
      </c>
      <c r="C213" t="s">
        <v>23</v>
      </c>
      <c r="D213" t="s">
        <v>24</v>
      </c>
      <c r="E213" t="s">
        <v>25</v>
      </c>
      <c r="F213">
        <v>1</v>
      </c>
      <c r="G213">
        <v>9791136946782</v>
      </c>
      <c r="H213" t="s">
        <v>26</v>
      </c>
      <c r="I213" t="s">
        <v>291</v>
      </c>
      <c r="J213" t="s">
        <v>28</v>
      </c>
      <c r="K213" t="s">
        <v>29</v>
      </c>
      <c r="L213">
        <v>0</v>
      </c>
      <c r="M213" t="s">
        <v>29</v>
      </c>
      <c r="N213">
        <v>0</v>
      </c>
      <c r="O213">
        <v>0</v>
      </c>
      <c r="P213" t="s">
        <v>30</v>
      </c>
      <c r="Q213" s="2">
        <v>0.7</v>
      </c>
      <c r="R213">
        <v>0</v>
      </c>
      <c r="V213" t="str">
        <f>VLOOKUP(H213,'[1]팀별 출판사'!A:B,2,0)</f>
        <v>소설1팀</v>
      </c>
      <c r="W213" s="6">
        <f t="shared" si="6"/>
        <v>0</v>
      </c>
      <c r="X213" s="6">
        <f t="shared" si="7"/>
        <v>0</v>
      </c>
    </row>
    <row r="214" spans="1:24" x14ac:dyDescent="0.3">
      <c r="A214" t="s">
        <v>348</v>
      </c>
      <c r="B214" t="s">
        <v>494</v>
      </c>
      <c r="C214" t="s">
        <v>23</v>
      </c>
      <c r="D214" t="s">
        <v>24</v>
      </c>
      <c r="E214" t="s">
        <v>25</v>
      </c>
      <c r="F214">
        <v>1</v>
      </c>
      <c r="G214">
        <v>9791136946775</v>
      </c>
      <c r="H214" t="s">
        <v>26</v>
      </c>
      <c r="I214" t="s">
        <v>238</v>
      </c>
      <c r="J214" t="s">
        <v>28</v>
      </c>
      <c r="K214" t="s">
        <v>29</v>
      </c>
      <c r="L214">
        <v>0</v>
      </c>
      <c r="M214" t="s">
        <v>29</v>
      </c>
      <c r="N214">
        <v>0</v>
      </c>
      <c r="O214">
        <v>0</v>
      </c>
      <c r="P214" t="s">
        <v>30</v>
      </c>
      <c r="Q214" s="2">
        <v>0.7</v>
      </c>
      <c r="R214">
        <v>0</v>
      </c>
      <c r="V214" t="str">
        <f>VLOOKUP(H214,'[1]팀별 출판사'!A:B,2,0)</f>
        <v>소설1팀</v>
      </c>
      <c r="W214" s="6">
        <f t="shared" si="6"/>
        <v>0</v>
      </c>
      <c r="X214" s="6">
        <f t="shared" si="7"/>
        <v>0</v>
      </c>
    </row>
    <row r="215" spans="1:24" x14ac:dyDescent="0.3">
      <c r="A215" t="s">
        <v>348</v>
      </c>
      <c r="B215" t="s">
        <v>495</v>
      </c>
      <c r="C215" t="s">
        <v>23</v>
      </c>
      <c r="D215" t="s">
        <v>24</v>
      </c>
      <c r="E215" t="s">
        <v>25</v>
      </c>
      <c r="F215">
        <v>1</v>
      </c>
      <c r="G215">
        <v>9791136946782</v>
      </c>
      <c r="H215" t="s">
        <v>26</v>
      </c>
      <c r="I215" t="s">
        <v>291</v>
      </c>
      <c r="J215" t="s">
        <v>28</v>
      </c>
      <c r="K215" t="s">
        <v>29</v>
      </c>
      <c r="L215">
        <v>0</v>
      </c>
      <c r="M215" t="s">
        <v>29</v>
      </c>
      <c r="N215">
        <v>0</v>
      </c>
      <c r="O215">
        <v>0</v>
      </c>
      <c r="P215" t="s">
        <v>30</v>
      </c>
      <c r="Q215" s="2">
        <v>0.7</v>
      </c>
      <c r="R215">
        <v>0</v>
      </c>
      <c r="V215" t="str">
        <f>VLOOKUP(H215,'[1]팀별 출판사'!A:B,2,0)</f>
        <v>소설1팀</v>
      </c>
      <c r="W215" s="6">
        <f t="shared" si="6"/>
        <v>0</v>
      </c>
      <c r="X215" s="6">
        <f t="shared" si="7"/>
        <v>0</v>
      </c>
    </row>
    <row r="216" spans="1:24" x14ac:dyDescent="0.3">
      <c r="A216" t="s">
        <v>348</v>
      </c>
      <c r="B216" t="s">
        <v>496</v>
      </c>
      <c r="C216" t="s">
        <v>23</v>
      </c>
      <c r="D216" t="s">
        <v>24</v>
      </c>
      <c r="E216" t="s">
        <v>25</v>
      </c>
      <c r="F216">
        <v>1</v>
      </c>
      <c r="G216">
        <v>9791157532155</v>
      </c>
      <c r="H216" t="s">
        <v>32</v>
      </c>
      <c r="I216" t="s">
        <v>497</v>
      </c>
      <c r="J216" t="s">
        <v>112</v>
      </c>
      <c r="K216" t="s">
        <v>29</v>
      </c>
      <c r="L216" s="1">
        <v>3200</v>
      </c>
      <c r="M216" t="s">
        <v>29</v>
      </c>
      <c r="N216" s="1">
        <v>3200</v>
      </c>
      <c r="O216" s="1">
        <v>3200</v>
      </c>
      <c r="P216" t="s">
        <v>30</v>
      </c>
      <c r="Q216" s="2">
        <v>0.7</v>
      </c>
      <c r="R216" s="1">
        <v>2240</v>
      </c>
      <c r="S216" t="s">
        <v>29</v>
      </c>
      <c r="T216" s="1">
        <v>2240</v>
      </c>
      <c r="V216" t="str">
        <f>VLOOKUP(H216,'[1]팀별 출판사'!A:B,2,0)</f>
        <v>소설1팀</v>
      </c>
      <c r="W216" s="6">
        <f t="shared" si="6"/>
        <v>0</v>
      </c>
      <c r="X216" s="6">
        <f t="shared" si="7"/>
        <v>2240</v>
      </c>
    </row>
    <row r="217" spans="1:24" x14ac:dyDescent="0.3">
      <c r="A217" t="s">
        <v>348</v>
      </c>
      <c r="B217" t="s">
        <v>498</v>
      </c>
      <c r="C217" t="s">
        <v>23</v>
      </c>
      <c r="D217" t="s">
        <v>24</v>
      </c>
      <c r="E217" t="s">
        <v>25</v>
      </c>
      <c r="F217">
        <v>1</v>
      </c>
      <c r="G217">
        <v>9791136931375</v>
      </c>
      <c r="H217" t="s">
        <v>32</v>
      </c>
      <c r="I217" t="s">
        <v>189</v>
      </c>
      <c r="J217" t="s">
        <v>46</v>
      </c>
      <c r="K217" t="s">
        <v>29</v>
      </c>
      <c r="L217">
        <v>0</v>
      </c>
      <c r="M217" t="s">
        <v>152</v>
      </c>
      <c r="N217">
        <v>0</v>
      </c>
      <c r="O217">
        <v>0</v>
      </c>
      <c r="P217" t="s">
        <v>153</v>
      </c>
      <c r="Q217" s="2">
        <v>0.7</v>
      </c>
      <c r="R217">
        <v>0</v>
      </c>
      <c r="V217" t="str">
        <f>VLOOKUP(H217,'[1]팀별 출판사'!A:B,2,0)</f>
        <v>소설1팀</v>
      </c>
      <c r="W217" s="6">
        <f t="shared" si="6"/>
        <v>0</v>
      </c>
      <c r="X217" s="6">
        <f t="shared" si="7"/>
        <v>0</v>
      </c>
    </row>
    <row r="218" spans="1:24" x14ac:dyDescent="0.3">
      <c r="A218" t="s">
        <v>348</v>
      </c>
      <c r="B218" t="s">
        <v>499</v>
      </c>
      <c r="C218" t="s">
        <v>23</v>
      </c>
      <c r="D218" t="s">
        <v>24</v>
      </c>
      <c r="E218" t="s">
        <v>25</v>
      </c>
      <c r="F218">
        <v>1</v>
      </c>
      <c r="G218" t="s">
        <v>500</v>
      </c>
      <c r="H218" t="s">
        <v>32</v>
      </c>
      <c r="I218" t="s">
        <v>501</v>
      </c>
      <c r="J218" t="s">
        <v>88</v>
      </c>
      <c r="K218" t="s">
        <v>29</v>
      </c>
      <c r="L218">
        <v>0</v>
      </c>
      <c r="M218" t="s">
        <v>29</v>
      </c>
      <c r="N218">
        <v>0</v>
      </c>
      <c r="O218">
        <v>0</v>
      </c>
      <c r="P218" t="s">
        <v>30</v>
      </c>
      <c r="Q218" s="2">
        <v>0.7</v>
      </c>
      <c r="R218">
        <v>0</v>
      </c>
      <c r="V218" t="str">
        <f>VLOOKUP(H218,'[1]팀별 출판사'!A:B,2,0)</f>
        <v>소설1팀</v>
      </c>
      <c r="W218" s="6">
        <f t="shared" si="6"/>
        <v>0</v>
      </c>
      <c r="X218" s="6">
        <f t="shared" si="7"/>
        <v>0</v>
      </c>
    </row>
    <row r="219" spans="1:24" x14ac:dyDescent="0.3">
      <c r="A219" t="s">
        <v>348</v>
      </c>
      <c r="B219" t="s">
        <v>502</v>
      </c>
      <c r="C219" t="s">
        <v>23</v>
      </c>
      <c r="D219" t="s">
        <v>24</v>
      </c>
      <c r="E219" t="s">
        <v>25</v>
      </c>
      <c r="F219">
        <v>1</v>
      </c>
      <c r="G219">
        <v>9791172924942</v>
      </c>
      <c r="H219" t="s">
        <v>26</v>
      </c>
      <c r="I219" t="s">
        <v>503</v>
      </c>
      <c r="J219" t="s">
        <v>62</v>
      </c>
      <c r="K219" t="s">
        <v>29</v>
      </c>
      <c r="L219" s="1">
        <v>3200</v>
      </c>
      <c r="M219" t="s">
        <v>29</v>
      </c>
      <c r="N219" s="1">
        <v>3200</v>
      </c>
      <c r="O219" s="1">
        <v>3200</v>
      </c>
      <c r="P219" t="s">
        <v>30</v>
      </c>
      <c r="Q219" s="2">
        <v>0.7</v>
      </c>
      <c r="R219" s="1">
        <v>2240</v>
      </c>
      <c r="S219" t="s">
        <v>29</v>
      </c>
      <c r="T219" s="1">
        <v>2240</v>
      </c>
      <c r="V219" t="str">
        <f>VLOOKUP(H219,'[1]팀별 출판사'!A:B,2,0)</f>
        <v>소설1팀</v>
      </c>
      <c r="W219" s="6">
        <f t="shared" si="6"/>
        <v>0</v>
      </c>
      <c r="X219" s="6">
        <f t="shared" si="7"/>
        <v>2240</v>
      </c>
    </row>
    <row r="220" spans="1:24" x14ac:dyDescent="0.3">
      <c r="A220" t="s">
        <v>348</v>
      </c>
      <c r="B220" t="s">
        <v>504</v>
      </c>
      <c r="C220" t="s">
        <v>23</v>
      </c>
      <c r="D220" t="s">
        <v>24</v>
      </c>
      <c r="E220" t="s">
        <v>25</v>
      </c>
      <c r="F220">
        <v>1</v>
      </c>
      <c r="G220">
        <v>9791136904935</v>
      </c>
      <c r="H220" t="s">
        <v>26</v>
      </c>
      <c r="I220" t="s">
        <v>505</v>
      </c>
      <c r="J220" t="s">
        <v>506</v>
      </c>
      <c r="K220" t="s">
        <v>29</v>
      </c>
      <c r="L220">
        <v>0</v>
      </c>
      <c r="M220" t="s">
        <v>29</v>
      </c>
      <c r="N220">
        <v>0</v>
      </c>
      <c r="O220">
        <v>0</v>
      </c>
      <c r="P220" t="s">
        <v>30</v>
      </c>
      <c r="Q220" s="2">
        <v>0.7</v>
      </c>
      <c r="R220">
        <v>0</v>
      </c>
      <c r="V220" t="str">
        <f>VLOOKUP(H220,'[1]팀별 출판사'!A:B,2,0)</f>
        <v>소설1팀</v>
      </c>
      <c r="W220" s="6">
        <f t="shared" si="6"/>
        <v>0</v>
      </c>
      <c r="X220" s="6">
        <f t="shared" si="7"/>
        <v>0</v>
      </c>
    </row>
    <row r="221" spans="1:24" x14ac:dyDescent="0.3">
      <c r="A221" t="s">
        <v>348</v>
      </c>
      <c r="B221" t="s">
        <v>507</v>
      </c>
      <c r="C221" t="s">
        <v>23</v>
      </c>
      <c r="D221" t="s">
        <v>24</v>
      </c>
      <c r="E221" t="s">
        <v>25</v>
      </c>
      <c r="F221">
        <v>1</v>
      </c>
      <c r="G221">
        <v>9791136946782</v>
      </c>
      <c r="H221" t="s">
        <v>26</v>
      </c>
      <c r="I221" t="s">
        <v>291</v>
      </c>
      <c r="J221" t="s">
        <v>28</v>
      </c>
      <c r="K221" t="s">
        <v>29</v>
      </c>
      <c r="L221">
        <v>0</v>
      </c>
      <c r="M221" t="s">
        <v>29</v>
      </c>
      <c r="N221">
        <v>0</v>
      </c>
      <c r="O221">
        <v>0</v>
      </c>
      <c r="P221" t="s">
        <v>30</v>
      </c>
      <c r="Q221" s="2">
        <v>0.7</v>
      </c>
      <c r="R221">
        <v>0</v>
      </c>
      <c r="V221" t="str">
        <f>VLOOKUP(H221,'[1]팀별 출판사'!A:B,2,0)</f>
        <v>소설1팀</v>
      </c>
      <c r="W221" s="6">
        <f t="shared" si="6"/>
        <v>0</v>
      </c>
      <c r="X221" s="6">
        <f t="shared" si="7"/>
        <v>0</v>
      </c>
    </row>
    <row r="222" spans="1:24" x14ac:dyDescent="0.3">
      <c r="A222" t="s">
        <v>348</v>
      </c>
      <c r="B222" t="s">
        <v>508</v>
      </c>
      <c r="C222" t="s">
        <v>23</v>
      </c>
      <c r="D222" t="s">
        <v>24</v>
      </c>
      <c r="E222" t="s">
        <v>25</v>
      </c>
      <c r="F222">
        <v>1</v>
      </c>
      <c r="G222">
        <v>9791173787027</v>
      </c>
      <c r="H222" t="s">
        <v>26</v>
      </c>
      <c r="I222" t="s">
        <v>255</v>
      </c>
      <c r="J222" t="s">
        <v>256</v>
      </c>
      <c r="K222" t="s">
        <v>29</v>
      </c>
      <c r="L222">
        <v>0</v>
      </c>
      <c r="M222" t="s">
        <v>29</v>
      </c>
      <c r="N222">
        <v>0</v>
      </c>
      <c r="O222">
        <v>0</v>
      </c>
      <c r="P222" t="s">
        <v>30</v>
      </c>
      <c r="Q222" s="2">
        <v>0.7</v>
      </c>
      <c r="R222">
        <v>0</v>
      </c>
      <c r="V222" t="str">
        <f>VLOOKUP(H222,'[1]팀별 출판사'!A:B,2,0)</f>
        <v>소설1팀</v>
      </c>
      <c r="W222" s="6">
        <f t="shared" si="6"/>
        <v>0</v>
      </c>
      <c r="X222" s="6">
        <f t="shared" si="7"/>
        <v>0</v>
      </c>
    </row>
    <row r="223" spans="1:24" x14ac:dyDescent="0.3">
      <c r="A223" t="s">
        <v>348</v>
      </c>
      <c r="B223" t="s">
        <v>509</v>
      </c>
      <c r="C223" t="s">
        <v>23</v>
      </c>
      <c r="D223" t="s">
        <v>24</v>
      </c>
      <c r="E223" t="s">
        <v>25</v>
      </c>
      <c r="F223">
        <v>1</v>
      </c>
      <c r="G223">
        <v>9791133141913</v>
      </c>
      <c r="H223" t="s">
        <v>32</v>
      </c>
      <c r="I223" t="s">
        <v>510</v>
      </c>
      <c r="J223" t="s">
        <v>511</v>
      </c>
      <c r="K223" t="s">
        <v>29</v>
      </c>
      <c r="L223">
        <v>0</v>
      </c>
      <c r="M223" t="s">
        <v>29</v>
      </c>
      <c r="N223">
        <v>0</v>
      </c>
      <c r="O223">
        <v>0</v>
      </c>
      <c r="P223" t="s">
        <v>30</v>
      </c>
      <c r="Q223" s="2">
        <v>0.7</v>
      </c>
      <c r="R223">
        <v>0</v>
      </c>
      <c r="V223" t="str">
        <f>VLOOKUP(H223,'[1]팀별 출판사'!A:B,2,0)</f>
        <v>소설1팀</v>
      </c>
      <c r="W223" s="6">
        <f t="shared" si="6"/>
        <v>0</v>
      </c>
      <c r="X223" s="6">
        <f t="shared" si="7"/>
        <v>0</v>
      </c>
    </row>
    <row r="224" spans="1:24" x14ac:dyDescent="0.3">
      <c r="A224" t="s">
        <v>348</v>
      </c>
      <c r="B224" t="s">
        <v>512</v>
      </c>
      <c r="C224" t="s">
        <v>23</v>
      </c>
      <c r="D224" t="s">
        <v>24</v>
      </c>
      <c r="E224" t="s">
        <v>25</v>
      </c>
      <c r="F224">
        <v>1</v>
      </c>
      <c r="G224">
        <v>9791136988386</v>
      </c>
      <c r="H224" t="s">
        <v>26</v>
      </c>
      <c r="I224" t="s">
        <v>513</v>
      </c>
      <c r="J224" t="s">
        <v>28</v>
      </c>
      <c r="K224" t="s">
        <v>29</v>
      </c>
      <c r="L224" s="1">
        <v>3200</v>
      </c>
      <c r="M224" t="s">
        <v>29</v>
      </c>
      <c r="N224" s="1">
        <v>3200</v>
      </c>
      <c r="O224" s="1">
        <v>3200</v>
      </c>
      <c r="P224" t="s">
        <v>30</v>
      </c>
      <c r="Q224" s="2">
        <v>0.7</v>
      </c>
      <c r="R224" s="1">
        <v>2240</v>
      </c>
      <c r="S224" t="s">
        <v>29</v>
      </c>
      <c r="T224" s="1">
        <v>2240</v>
      </c>
      <c r="V224" t="str">
        <f>VLOOKUP(H224,'[1]팀별 출판사'!A:B,2,0)</f>
        <v>소설1팀</v>
      </c>
      <c r="W224" s="6">
        <f t="shared" si="6"/>
        <v>0</v>
      </c>
      <c r="X224" s="6">
        <f t="shared" si="7"/>
        <v>2240</v>
      </c>
    </row>
    <row r="225" spans="1:24" x14ac:dyDescent="0.3">
      <c r="A225" t="s">
        <v>348</v>
      </c>
      <c r="B225" t="s">
        <v>514</v>
      </c>
      <c r="C225" t="s">
        <v>23</v>
      </c>
      <c r="D225" t="s">
        <v>24</v>
      </c>
      <c r="E225" t="s">
        <v>25</v>
      </c>
      <c r="F225">
        <v>1</v>
      </c>
      <c r="G225">
        <v>9791172924850</v>
      </c>
      <c r="H225" t="s">
        <v>26</v>
      </c>
      <c r="I225" t="s">
        <v>61</v>
      </c>
      <c r="J225" t="s">
        <v>62</v>
      </c>
      <c r="K225" t="s">
        <v>29</v>
      </c>
      <c r="L225">
        <v>0</v>
      </c>
      <c r="M225" t="s">
        <v>29</v>
      </c>
      <c r="N225">
        <v>0</v>
      </c>
      <c r="O225">
        <v>0</v>
      </c>
      <c r="P225" t="s">
        <v>30</v>
      </c>
      <c r="Q225" s="2">
        <v>0.7</v>
      </c>
      <c r="R225">
        <v>0</v>
      </c>
      <c r="V225" t="str">
        <f>VLOOKUP(H225,'[1]팀별 출판사'!A:B,2,0)</f>
        <v>소설1팀</v>
      </c>
      <c r="W225" s="6">
        <f t="shared" si="6"/>
        <v>0</v>
      </c>
      <c r="X225" s="6">
        <f t="shared" si="7"/>
        <v>0</v>
      </c>
    </row>
    <row r="226" spans="1:24" x14ac:dyDescent="0.3">
      <c r="A226" t="s">
        <v>348</v>
      </c>
      <c r="B226" t="s">
        <v>515</v>
      </c>
      <c r="C226" t="s">
        <v>23</v>
      </c>
      <c r="D226" t="s">
        <v>24</v>
      </c>
      <c r="E226" t="s">
        <v>25</v>
      </c>
      <c r="F226">
        <v>1</v>
      </c>
      <c r="G226">
        <v>9791136931412</v>
      </c>
      <c r="H226" t="s">
        <v>32</v>
      </c>
      <c r="I226" t="s">
        <v>516</v>
      </c>
      <c r="J226" t="s">
        <v>46</v>
      </c>
      <c r="K226" t="s">
        <v>29</v>
      </c>
      <c r="L226" s="1">
        <v>3200</v>
      </c>
      <c r="M226" t="s">
        <v>29</v>
      </c>
      <c r="N226" s="1">
        <v>3200</v>
      </c>
      <c r="O226" s="1">
        <v>3200</v>
      </c>
      <c r="P226" t="s">
        <v>30</v>
      </c>
      <c r="Q226" s="2">
        <v>0.7</v>
      </c>
      <c r="R226" s="1">
        <v>2240</v>
      </c>
      <c r="S226" t="s">
        <v>29</v>
      </c>
      <c r="T226" s="1">
        <v>2240</v>
      </c>
      <c r="V226" t="str">
        <f>VLOOKUP(H226,'[1]팀별 출판사'!A:B,2,0)</f>
        <v>소설1팀</v>
      </c>
      <c r="W226" s="6">
        <f t="shared" si="6"/>
        <v>0</v>
      </c>
      <c r="X226" s="6">
        <f t="shared" si="7"/>
        <v>2240</v>
      </c>
    </row>
    <row r="227" spans="1:24" x14ac:dyDescent="0.3">
      <c r="A227" t="s">
        <v>348</v>
      </c>
      <c r="B227" t="s">
        <v>517</v>
      </c>
      <c r="C227" t="s">
        <v>23</v>
      </c>
      <c r="D227" t="s">
        <v>24</v>
      </c>
      <c r="E227" t="s">
        <v>25</v>
      </c>
      <c r="F227">
        <v>1</v>
      </c>
      <c r="G227">
        <v>9791170107194</v>
      </c>
      <c r="H227" t="s">
        <v>67</v>
      </c>
      <c r="I227" t="s">
        <v>518</v>
      </c>
      <c r="J227" t="s">
        <v>519</v>
      </c>
      <c r="K227" t="s">
        <v>29</v>
      </c>
      <c r="L227">
        <v>0</v>
      </c>
      <c r="M227" t="s">
        <v>29</v>
      </c>
      <c r="N227">
        <v>0</v>
      </c>
      <c r="O227">
        <v>0</v>
      </c>
      <c r="P227" t="s">
        <v>30</v>
      </c>
      <c r="Q227" s="2">
        <v>0.7</v>
      </c>
      <c r="R227">
        <v>0</v>
      </c>
      <c r="V227" t="str">
        <f>VLOOKUP(H227,'[1]팀별 출판사'!A:B,2,0)</f>
        <v>소설1팀</v>
      </c>
      <c r="W227" s="6">
        <f t="shared" si="6"/>
        <v>0</v>
      </c>
      <c r="X227" s="6">
        <f t="shared" si="7"/>
        <v>0</v>
      </c>
    </row>
    <row r="228" spans="1:24" x14ac:dyDescent="0.3">
      <c r="A228" t="s">
        <v>348</v>
      </c>
      <c r="B228" t="s">
        <v>520</v>
      </c>
      <c r="C228" t="s">
        <v>23</v>
      </c>
      <c r="D228" t="s">
        <v>24</v>
      </c>
      <c r="E228" t="s">
        <v>25</v>
      </c>
      <c r="F228">
        <v>1</v>
      </c>
      <c r="G228">
        <v>9791136942913</v>
      </c>
      <c r="H228" t="s">
        <v>26</v>
      </c>
      <c r="I228" t="s">
        <v>521</v>
      </c>
      <c r="J228" t="s">
        <v>284</v>
      </c>
      <c r="K228" t="s">
        <v>29</v>
      </c>
      <c r="L228" s="1">
        <v>3200</v>
      </c>
      <c r="M228" t="s">
        <v>29</v>
      </c>
      <c r="N228" s="1">
        <v>3200</v>
      </c>
      <c r="O228" s="1">
        <v>3200</v>
      </c>
      <c r="P228" t="s">
        <v>30</v>
      </c>
      <c r="Q228" s="2">
        <v>0.7</v>
      </c>
      <c r="R228" s="1">
        <v>2240</v>
      </c>
      <c r="S228" t="s">
        <v>29</v>
      </c>
      <c r="T228" s="1">
        <v>2240</v>
      </c>
      <c r="V228" t="str">
        <f>VLOOKUP(H228,'[1]팀별 출판사'!A:B,2,0)</f>
        <v>소설1팀</v>
      </c>
      <c r="W228" s="6">
        <f t="shared" si="6"/>
        <v>0</v>
      </c>
      <c r="X228" s="6">
        <f t="shared" si="7"/>
        <v>2240</v>
      </c>
    </row>
    <row r="229" spans="1:24" x14ac:dyDescent="0.3">
      <c r="A229" t="s">
        <v>348</v>
      </c>
      <c r="B229" t="s">
        <v>522</v>
      </c>
      <c r="C229" t="s">
        <v>23</v>
      </c>
      <c r="D229" t="s">
        <v>24</v>
      </c>
      <c r="E229" t="s">
        <v>25</v>
      </c>
      <c r="F229">
        <v>1</v>
      </c>
      <c r="G229">
        <v>9791136931382</v>
      </c>
      <c r="H229" t="s">
        <v>32</v>
      </c>
      <c r="I229" t="s">
        <v>523</v>
      </c>
      <c r="J229" t="s">
        <v>46</v>
      </c>
      <c r="K229" t="s">
        <v>29</v>
      </c>
      <c r="L229">
        <v>0</v>
      </c>
      <c r="M229" t="s">
        <v>47</v>
      </c>
      <c r="N229">
        <v>0</v>
      </c>
      <c r="O229">
        <v>0</v>
      </c>
      <c r="P229" t="s">
        <v>48</v>
      </c>
      <c r="Q229" s="2">
        <v>0.7</v>
      </c>
      <c r="R229">
        <v>0</v>
      </c>
      <c r="V229" t="str">
        <f>VLOOKUP(H229,'[1]팀별 출판사'!A:B,2,0)</f>
        <v>소설1팀</v>
      </c>
      <c r="W229" s="6">
        <f t="shared" si="6"/>
        <v>0</v>
      </c>
      <c r="X229" s="6">
        <f t="shared" si="7"/>
        <v>0</v>
      </c>
    </row>
    <row r="230" spans="1:24" x14ac:dyDescent="0.3">
      <c r="A230" t="s">
        <v>348</v>
      </c>
      <c r="B230" t="s">
        <v>524</v>
      </c>
      <c r="C230" t="s">
        <v>23</v>
      </c>
      <c r="D230" t="s">
        <v>24</v>
      </c>
      <c r="E230" t="s">
        <v>25</v>
      </c>
      <c r="F230">
        <v>1</v>
      </c>
      <c r="G230">
        <v>9791133145874</v>
      </c>
      <c r="H230" t="s">
        <v>32</v>
      </c>
      <c r="I230" t="s">
        <v>525</v>
      </c>
      <c r="J230" t="s">
        <v>51</v>
      </c>
      <c r="K230" t="s">
        <v>29</v>
      </c>
      <c r="L230" s="1">
        <v>3000</v>
      </c>
      <c r="M230" t="s">
        <v>29</v>
      </c>
      <c r="N230" s="1">
        <v>3000</v>
      </c>
      <c r="O230" s="1">
        <v>3000</v>
      </c>
      <c r="P230" t="s">
        <v>30</v>
      </c>
      <c r="Q230" s="2">
        <v>0.7</v>
      </c>
      <c r="R230" s="1">
        <v>2100</v>
      </c>
      <c r="S230" t="s">
        <v>29</v>
      </c>
      <c r="T230" s="1">
        <v>2100</v>
      </c>
      <c r="V230" t="str">
        <f>VLOOKUP(H230,'[1]팀별 출판사'!A:B,2,0)</f>
        <v>소설1팀</v>
      </c>
      <c r="W230" s="6">
        <f t="shared" si="6"/>
        <v>0</v>
      </c>
      <c r="X230" s="6">
        <f t="shared" si="7"/>
        <v>2100</v>
      </c>
    </row>
    <row r="231" spans="1:24" x14ac:dyDescent="0.3">
      <c r="A231" t="s">
        <v>348</v>
      </c>
      <c r="B231" t="s">
        <v>526</v>
      </c>
      <c r="C231" t="s">
        <v>23</v>
      </c>
      <c r="D231" t="s">
        <v>24</v>
      </c>
      <c r="E231" t="s">
        <v>25</v>
      </c>
      <c r="F231">
        <v>1</v>
      </c>
      <c r="G231">
        <v>9791133157112</v>
      </c>
      <c r="H231" t="s">
        <v>32</v>
      </c>
      <c r="I231" t="s">
        <v>527</v>
      </c>
      <c r="J231" t="s">
        <v>51</v>
      </c>
      <c r="K231" t="s">
        <v>29</v>
      </c>
      <c r="L231">
        <v>0</v>
      </c>
      <c r="M231" t="s">
        <v>29</v>
      </c>
      <c r="N231">
        <v>0</v>
      </c>
      <c r="O231">
        <v>0</v>
      </c>
      <c r="P231" t="s">
        <v>30</v>
      </c>
      <c r="Q231" s="2">
        <v>0.7</v>
      </c>
      <c r="R231">
        <v>0</v>
      </c>
      <c r="V231" t="str">
        <f>VLOOKUP(H231,'[1]팀별 출판사'!A:B,2,0)</f>
        <v>소설1팀</v>
      </c>
      <c r="W231" s="6">
        <f t="shared" si="6"/>
        <v>0</v>
      </c>
      <c r="X231" s="6">
        <f t="shared" si="7"/>
        <v>0</v>
      </c>
    </row>
    <row r="232" spans="1:24" x14ac:dyDescent="0.3">
      <c r="A232" t="s">
        <v>348</v>
      </c>
      <c r="B232" t="s">
        <v>528</v>
      </c>
      <c r="C232" t="s">
        <v>23</v>
      </c>
      <c r="D232" t="s">
        <v>24</v>
      </c>
      <c r="E232" t="s">
        <v>25</v>
      </c>
      <c r="F232">
        <v>1</v>
      </c>
      <c r="G232">
        <v>9791136912220</v>
      </c>
      <c r="H232" t="s">
        <v>26</v>
      </c>
      <c r="I232" t="s">
        <v>529</v>
      </c>
      <c r="J232" t="s">
        <v>459</v>
      </c>
      <c r="K232" t="s">
        <v>29</v>
      </c>
      <c r="L232">
        <v>0</v>
      </c>
      <c r="M232" t="s">
        <v>29</v>
      </c>
      <c r="N232">
        <v>0</v>
      </c>
      <c r="O232">
        <v>0</v>
      </c>
      <c r="P232" t="s">
        <v>30</v>
      </c>
      <c r="Q232" s="2">
        <v>0.7</v>
      </c>
      <c r="R232">
        <v>0</v>
      </c>
      <c r="V232" t="str">
        <f>VLOOKUP(H232,'[1]팀별 출판사'!A:B,2,0)</f>
        <v>소설1팀</v>
      </c>
      <c r="W232" s="6">
        <f t="shared" si="6"/>
        <v>0</v>
      </c>
      <c r="X232" s="6">
        <f t="shared" si="7"/>
        <v>0</v>
      </c>
    </row>
    <row r="233" spans="1:24" x14ac:dyDescent="0.3">
      <c r="A233" t="s">
        <v>348</v>
      </c>
      <c r="B233" t="s">
        <v>530</v>
      </c>
      <c r="C233" t="s">
        <v>23</v>
      </c>
      <c r="D233" t="s">
        <v>24</v>
      </c>
      <c r="E233" t="s">
        <v>25</v>
      </c>
      <c r="F233">
        <v>1</v>
      </c>
      <c r="G233">
        <v>9791157532193</v>
      </c>
      <c r="H233" t="s">
        <v>32</v>
      </c>
      <c r="I233" t="s">
        <v>531</v>
      </c>
      <c r="J233" t="s">
        <v>112</v>
      </c>
      <c r="K233" t="s">
        <v>29</v>
      </c>
      <c r="L233" s="1">
        <v>3200</v>
      </c>
      <c r="M233" t="s">
        <v>29</v>
      </c>
      <c r="N233" s="1">
        <v>3200</v>
      </c>
      <c r="O233" s="1">
        <v>3200</v>
      </c>
      <c r="P233" t="s">
        <v>30</v>
      </c>
      <c r="Q233" s="2">
        <v>0.7</v>
      </c>
      <c r="R233" s="1">
        <v>2240</v>
      </c>
      <c r="S233" t="s">
        <v>29</v>
      </c>
      <c r="T233" s="1">
        <v>2240</v>
      </c>
      <c r="V233" t="str">
        <f>VLOOKUP(H233,'[1]팀별 출판사'!A:B,2,0)</f>
        <v>소설1팀</v>
      </c>
      <c r="W233" s="6">
        <f t="shared" si="6"/>
        <v>0</v>
      </c>
      <c r="X233" s="6">
        <f t="shared" si="7"/>
        <v>2240</v>
      </c>
    </row>
    <row r="234" spans="1:24" x14ac:dyDescent="0.3">
      <c r="A234" t="s">
        <v>348</v>
      </c>
      <c r="B234" t="s">
        <v>532</v>
      </c>
      <c r="C234" t="s">
        <v>23</v>
      </c>
      <c r="D234" t="s">
        <v>24</v>
      </c>
      <c r="E234" t="s">
        <v>25</v>
      </c>
      <c r="F234">
        <v>1</v>
      </c>
      <c r="G234">
        <v>9791136905642</v>
      </c>
      <c r="H234" t="s">
        <v>26</v>
      </c>
      <c r="I234" t="s">
        <v>374</v>
      </c>
      <c r="J234" t="s">
        <v>311</v>
      </c>
      <c r="K234" t="s">
        <v>29</v>
      </c>
      <c r="L234">
        <v>0</v>
      </c>
      <c r="M234" t="s">
        <v>29</v>
      </c>
      <c r="N234">
        <v>0</v>
      </c>
      <c r="O234">
        <v>0</v>
      </c>
      <c r="P234" t="s">
        <v>30</v>
      </c>
      <c r="Q234" s="2">
        <v>0.7</v>
      </c>
      <c r="R234">
        <v>0</v>
      </c>
      <c r="V234" t="str">
        <f>VLOOKUP(H234,'[1]팀별 출판사'!A:B,2,0)</f>
        <v>소설1팀</v>
      </c>
      <c r="W234" s="6">
        <f t="shared" si="6"/>
        <v>0</v>
      </c>
      <c r="X234" s="6">
        <f t="shared" si="7"/>
        <v>0</v>
      </c>
    </row>
    <row r="235" spans="1:24" x14ac:dyDescent="0.3">
      <c r="A235" t="s">
        <v>348</v>
      </c>
      <c r="B235" t="s">
        <v>533</v>
      </c>
      <c r="C235" t="s">
        <v>23</v>
      </c>
      <c r="D235" t="s">
        <v>24</v>
      </c>
      <c r="E235" t="s">
        <v>25</v>
      </c>
      <c r="F235">
        <v>1</v>
      </c>
      <c r="G235">
        <v>9791133173624</v>
      </c>
      <c r="H235" t="s">
        <v>26</v>
      </c>
      <c r="I235" t="s">
        <v>534</v>
      </c>
      <c r="J235" t="s">
        <v>287</v>
      </c>
      <c r="K235" t="s">
        <v>29</v>
      </c>
      <c r="L235" s="1">
        <v>2500</v>
      </c>
      <c r="M235" t="s">
        <v>29</v>
      </c>
      <c r="N235" s="1">
        <v>2500</v>
      </c>
      <c r="O235" s="1">
        <v>2500</v>
      </c>
      <c r="P235" t="s">
        <v>30</v>
      </c>
      <c r="Q235" s="2">
        <v>0.7</v>
      </c>
      <c r="R235" s="1">
        <v>1750</v>
      </c>
      <c r="S235" t="s">
        <v>29</v>
      </c>
      <c r="T235" s="1">
        <v>1750</v>
      </c>
      <c r="V235" t="str">
        <f>VLOOKUP(H235,'[1]팀별 출판사'!A:B,2,0)</f>
        <v>소설1팀</v>
      </c>
      <c r="W235" s="6">
        <f t="shared" si="6"/>
        <v>0</v>
      </c>
      <c r="X235" s="6">
        <f t="shared" si="7"/>
        <v>1750</v>
      </c>
    </row>
    <row r="236" spans="1:24" x14ac:dyDescent="0.3">
      <c r="A236" t="s">
        <v>348</v>
      </c>
      <c r="B236" t="s">
        <v>535</v>
      </c>
      <c r="C236" t="s">
        <v>23</v>
      </c>
      <c r="D236" t="s">
        <v>24</v>
      </c>
      <c r="E236" t="s">
        <v>25</v>
      </c>
      <c r="F236">
        <v>1</v>
      </c>
      <c r="G236">
        <v>9791133130375</v>
      </c>
      <c r="H236" t="s">
        <v>32</v>
      </c>
      <c r="I236" t="s">
        <v>536</v>
      </c>
      <c r="J236" t="s">
        <v>160</v>
      </c>
      <c r="K236" t="s">
        <v>29</v>
      </c>
      <c r="L236">
        <v>0</v>
      </c>
      <c r="M236" t="s">
        <v>29</v>
      </c>
      <c r="N236">
        <v>0</v>
      </c>
      <c r="O236">
        <v>0</v>
      </c>
      <c r="P236" t="s">
        <v>30</v>
      </c>
      <c r="Q236" s="2">
        <v>0.7</v>
      </c>
      <c r="R236">
        <v>0</v>
      </c>
      <c r="V236" t="str">
        <f>VLOOKUP(H236,'[1]팀별 출판사'!A:B,2,0)</f>
        <v>소설1팀</v>
      </c>
      <c r="W236" s="6">
        <f t="shared" si="6"/>
        <v>0</v>
      </c>
      <c r="X236" s="6">
        <f t="shared" si="7"/>
        <v>0</v>
      </c>
    </row>
    <row r="237" spans="1:24" x14ac:dyDescent="0.3">
      <c r="A237" t="s">
        <v>348</v>
      </c>
      <c r="B237" t="s">
        <v>537</v>
      </c>
      <c r="C237" t="s">
        <v>23</v>
      </c>
      <c r="D237" t="s">
        <v>24</v>
      </c>
      <c r="E237" t="s">
        <v>25</v>
      </c>
      <c r="F237">
        <v>1</v>
      </c>
      <c r="G237">
        <v>9791136930491</v>
      </c>
      <c r="H237" t="s">
        <v>26</v>
      </c>
      <c r="I237" t="s">
        <v>151</v>
      </c>
      <c r="J237" t="s">
        <v>46</v>
      </c>
      <c r="K237" t="s">
        <v>29</v>
      </c>
      <c r="L237">
        <v>0</v>
      </c>
      <c r="M237" t="s">
        <v>538</v>
      </c>
      <c r="N237">
        <v>0</v>
      </c>
      <c r="O237">
        <v>0</v>
      </c>
      <c r="P237" t="s">
        <v>539</v>
      </c>
      <c r="Q237" s="2">
        <v>0.7</v>
      </c>
      <c r="R237">
        <v>0</v>
      </c>
      <c r="V237" t="str">
        <f>VLOOKUP(H237,'[1]팀별 출판사'!A:B,2,0)</f>
        <v>소설1팀</v>
      </c>
      <c r="W237" s="6">
        <f t="shared" si="6"/>
        <v>0</v>
      </c>
      <c r="X237" s="6">
        <f t="shared" si="7"/>
        <v>0</v>
      </c>
    </row>
    <row r="238" spans="1:24" x14ac:dyDescent="0.3">
      <c r="A238" t="s">
        <v>348</v>
      </c>
      <c r="B238" t="s">
        <v>540</v>
      </c>
      <c r="C238" t="s">
        <v>23</v>
      </c>
      <c r="D238" t="s">
        <v>24</v>
      </c>
      <c r="E238" t="s">
        <v>25</v>
      </c>
      <c r="F238">
        <v>1</v>
      </c>
      <c r="G238">
        <v>9791136934925</v>
      </c>
      <c r="H238" t="s">
        <v>32</v>
      </c>
      <c r="I238" t="s">
        <v>385</v>
      </c>
      <c r="J238" t="s">
        <v>126</v>
      </c>
      <c r="K238" t="s">
        <v>29</v>
      </c>
      <c r="L238">
        <v>0</v>
      </c>
      <c r="M238" t="s">
        <v>47</v>
      </c>
      <c r="N238">
        <v>0</v>
      </c>
      <c r="O238">
        <v>0</v>
      </c>
      <c r="P238" t="s">
        <v>48</v>
      </c>
      <c r="Q238" s="2">
        <v>0.7</v>
      </c>
      <c r="R238">
        <v>0</v>
      </c>
      <c r="V238" t="str">
        <f>VLOOKUP(H238,'[1]팀별 출판사'!A:B,2,0)</f>
        <v>소설1팀</v>
      </c>
      <c r="W238" s="6">
        <f t="shared" si="6"/>
        <v>0</v>
      </c>
      <c r="X238" s="6">
        <f t="shared" si="7"/>
        <v>0</v>
      </c>
    </row>
    <row r="239" spans="1:24" x14ac:dyDescent="0.3">
      <c r="A239" t="s">
        <v>348</v>
      </c>
      <c r="B239" t="s">
        <v>541</v>
      </c>
      <c r="C239" t="s">
        <v>23</v>
      </c>
      <c r="D239" t="s">
        <v>24</v>
      </c>
      <c r="E239" t="s">
        <v>25</v>
      </c>
      <c r="F239">
        <v>1</v>
      </c>
      <c r="G239">
        <v>9791157532162</v>
      </c>
      <c r="H239" t="s">
        <v>32</v>
      </c>
      <c r="I239" t="s">
        <v>111</v>
      </c>
      <c r="J239" t="s">
        <v>112</v>
      </c>
      <c r="K239" t="s">
        <v>29</v>
      </c>
      <c r="L239" s="1">
        <v>3200</v>
      </c>
      <c r="M239" t="s">
        <v>29</v>
      </c>
      <c r="N239" s="1">
        <v>3200</v>
      </c>
      <c r="O239" s="1">
        <v>3200</v>
      </c>
      <c r="P239" t="s">
        <v>30</v>
      </c>
      <c r="Q239" s="2">
        <v>0.7</v>
      </c>
      <c r="R239" s="1">
        <v>2240</v>
      </c>
      <c r="S239" t="s">
        <v>29</v>
      </c>
      <c r="T239" s="1">
        <v>2240</v>
      </c>
      <c r="V239" t="str">
        <f>VLOOKUP(H239,'[1]팀별 출판사'!A:B,2,0)</f>
        <v>소설1팀</v>
      </c>
      <c r="W239" s="6">
        <f t="shared" si="6"/>
        <v>0</v>
      </c>
      <c r="X239" s="6">
        <f t="shared" si="7"/>
        <v>2240</v>
      </c>
    </row>
    <row r="240" spans="1:24" x14ac:dyDescent="0.3">
      <c r="A240" t="s">
        <v>348</v>
      </c>
      <c r="B240" t="s">
        <v>542</v>
      </c>
      <c r="C240" t="s">
        <v>23</v>
      </c>
      <c r="D240" t="s">
        <v>24</v>
      </c>
      <c r="E240" t="s">
        <v>25</v>
      </c>
      <c r="F240">
        <v>1</v>
      </c>
      <c r="G240" t="s">
        <v>543</v>
      </c>
      <c r="H240" t="s">
        <v>32</v>
      </c>
      <c r="I240" t="s">
        <v>544</v>
      </c>
      <c r="J240" t="s">
        <v>311</v>
      </c>
      <c r="K240" t="s">
        <v>29</v>
      </c>
      <c r="L240">
        <v>0</v>
      </c>
      <c r="M240" t="s">
        <v>29</v>
      </c>
      <c r="N240">
        <v>0</v>
      </c>
      <c r="O240">
        <v>0</v>
      </c>
      <c r="P240" t="s">
        <v>30</v>
      </c>
      <c r="Q240" s="2">
        <v>0.7</v>
      </c>
      <c r="R240">
        <v>0</v>
      </c>
      <c r="V240" t="str">
        <f>VLOOKUP(H240,'[1]팀별 출판사'!A:B,2,0)</f>
        <v>소설1팀</v>
      </c>
      <c r="W240" s="6">
        <f t="shared" si="6"/>
        <v>0</v>
      </c>
      <c r="X240" s="6">
        <f t="shared" si="7"/>
        <v>0</v>
      </c>
    </row>
    <row r="241" spans="1:24" x14ac:dyDescent="0.3">
      <c r="A241" t="s">
        <v>348</v>
      </c>
      <c r="B241" t="s">
        <v>545</v>
      </c>
      <c r="C241" t="s">
        <v>23</v>
      </c>
      <c r="D241" t="s">
        <v>24</v>
      </c>
      <c r="E241" t="s">
        <v>25</v>
      </c>
      <c r="F241">
        <v>1</v>
      </c>
      <c r="G241">
        <v>9791136942920</v>
      </c>
      <c r="H241" t="s">
        <v>26</v>
      </c>
      <c r="I241" t="s">
        <v>546</v>
      </c>
      <c r="J241" t="s">
        <v>284</v>
      </c>
      <c r="K241" t="s">
        <v>29</v>
      </c>
      <c r="L241" s="1">
        <v>3200</v>
      </c>
      <c r="M241" t="s">
        <v>29</v>
      </c>
      <c r="N241" s="1">
        <v>3200</v>
      </c>
      <c r="O241" s="1">
        <v>3200</v>
      </c>
      <c r="P241" t="s">
        <v>30</v>
      </c>
      <c r="Q241" s="2">
        <v>0.7</v>
      </c>
      <c r="R241" s="1">
        <v>2240</v>
      </c>
      <c r="S241" t="s">
        <v>29</v>
      </c>
      <c r="T241" s="1">
        <v>2240</v>
      </c>
      <c r="V241" t="str">
        <f>VLOOKUP(H241,'[1]팀별 출판사'!A:B,2,0)</f>
        <v>소설1팀</v>
      </c>
      <c r="W241" s="6">
        <f t="shared" si="6"/>
        <v>0</v>
      </c>
      <c r="X241" s="6">
        <f t="shared" si="7"/>
        <v>2240</v>
      </c>
    </row>
    <row r="242" spans="1:24" x14ac:dyDescent="0.3">
      <c r="A242" t="s">
        <v>348</v>
      </c>
      <c r="B242" t="s">
        <v>547</v>
      </c>
      <c r="C242" t="s">
        <v>23</v>
      </c>
      <c r="D242" t="s">
        <v>24</v>
      </c>
      <c r="E242" t="s">
        <v>25</v>
      </c>
      <c r="F242">
        <v>1</v>
      </c>
      <c r="G242">
        <v>9791136931375</v>
      </c>
      <c r="H242" t="s">
        <v>32</v>
      </c>
      <c r="I242" t="s">
        <v>189</v>
      </c>
      <c r="J242" t="s">
        <v>46</v>
      </c>
      <c r="K242" t="s">
        <v>29</v>
      </c>
      <c r="L242">
        <v>0</v>
      </c>
      <c r="M242" t="s">
        <v>538</v>
      </c>
      <c r="N242">
        <v>0</v>
      </c>
      <c r="O242">
        <v>0</v>
      </c>
      <c r="P242" t="s">
        <v>539</v>
      </c>
      <c r="Q242" s="2">
        <v>0.7</v>
      </c>
      <c r="R242">
        <v>0</v>
      </c>
      <c r="V242" t="str">
        <f>VLOOKUP(H242,'[1]팀별 출판사'!A:B,2,0)</f>
        <v>소설1팀</v>
      </c>
      <c r="W242" s="6">
        <f t="shared" si="6"/>
        <v>0</v>
      </c>
      <c r="X242" s="6">
        <f t="shared" si="7"/>
        <v>0</v>
      </c>
    </row>
    <row r="243" spans="1:24" x14ac:dyDescent="0.3">
      <c r="A243" t="s">
        <v>348</v>
      </c>
      <c r="B243" t="s">
        <v>548</v>
      </c>
      <c r="C243" t="s">
        <v>23</v>
      </c>
      <c r="D243" t="s">
        <v>24</v>
      </c>
      <c r="E243" t="s">
        <v>25</v>
      </c>
      <c r="F243">
        <v>1</v>
      </c>
      <c r="G243" t="s">
        <v>549</v>
      </c>
      <c r="H243" t="s">
        <v>208</v>
      </c>
      <c r="I243" t="s">
        <v>550</v>
      </c>
      <c r="J243" t="s">
        <v>210</v>
      </c>
      <c r="K243" t="s">
        <v>29</v>
      </c>
      <c r="L243" s="1">
        <v>2000</v>
      </c>
      <c r="M243" t="s">
        <v>29</v>
      </c>
      <c r="N243" s="1">
        <v>2000</v>
      </c>
      <c r="O243" s="1">
        <v>2000</v>
      </c>
      <c r="P243" t="s">
        <v>30</v>
      </c>
      <c r="Q243" s="2">
        <v>0.7</v>
      </c>
      <c r="R243" s="1">
        <v>1400</v>
      </c>
      <c r="S243" t="s">
        <v>29</v>
      </c>
      <c r="T243" s="1">
        <v>1400</v>
      </c>
      <c r="V243" t="str">
        <f>VLOOKUP(H243,'[1]팀별 출판사'!A:B,2,0)</f>
        <v>소설1팀</v>
      </c>
      <c r="W243" s="6">
        <f t="shared" si="6"/>
        <v>0</v>
      </c>
      <c r="X243" s="6">
        <f t="shared" si="7"/>
        <v>1400</v>
      </c>
    </row>
    <row r="244" spans="1:24" x14ac:dyDescent="0.3">
      <c r="A244" t="s">
        <v>348</v>
      </c>
      <c r="B244" t="s">
        <v>551</v>
      </c>
      <c r="C244" t="s">
        <v>23</v>
      </c>
      <c r="D244" t="s">
        <v>24</v>
      </c>
      <c r="E244" t="s">
        <v>25</v>
      </c>
      <c r="F244">
        <v>1</v>
      </c>
      <c r="G244">
        <v>9791172920029</v>
      </c>
      <c r="H244" t="s">
        <v>26</v>
      </c>
      <c r="I244" t="s">
        <v>369</v>
      </c>
      <c r="J244" t="s">
        <v>276</v>
      </c>
      <c r="K244" t="s">
        <v>29</v>
      </c>
      <c r="L244">
        <v>0</v>
      </c>
      <c r="M244" t="s">
        <v>29</v>
      </c>
      <c r="N244">
        <v>0</v>
      </c>
      <c r="O244">
        <v>0</v>
      </c>
      <c r="P244" t="s">
        <v>30</v>
      </c>
      <c r="Q244" s="2">
        <v>0.7</v>
      </c>
      <c r="R244">
        <v>0</v>
      </c>
      <c r="V244" t="str">
        <f>VLOOKUP(H244,'[1]팀별 출판사'!A:B,2,0)</f>
        <v>소설1팀</v>
      </c>
      <c r="W244" s="6">
        <f t="shared" si="6"/>
        <v>0</v>
      </c>
      <c r="X244" s="6">
        <f t="shared" si="7"/>
        <v>0</v>
      </c>
    </row>
    <row r="245" spans="1:24" x14ac:dyDescent="0.3">
      <c r="A245" t="s">
        <v>348</v>
      </c>
      <c r="B245" t="s">
        <v>552</v>
      </c>
      <c r="C245" t="s">
        <v>23</v>
      </c>
      <c r="D245" t="s">
        <v>24</v>
      </c>
      <c r="E245" t="s">
        <v>25</v>
      </c>
      <c r="F245">
        <v>1</v>
      </c>
      <c r="G245">
        <v>9791133105496</v>
      </c>
      <c r="H245" t="s">
        <v>32</v>
      </c>
      <c r="I245" t="s">
        <v>553</v>
      </c>
      <c r="J245" t="s">
        <v>88</v>
      </c>
      <c r="K245" t="s">
        <v>29</v>
      </c>
      <c r="L245" s="1">
        <v>3200</v>
      </c>
      <c r="M245" t="s">
        <v>29</v>
      </c>
      <c r="N245" s="1">
        <v>3200</v>
      </c>
      <c r="O245" s="1">
        <v>3200</v>
      </c>
      <c r="P245" t="s">
        <v>30</v>
      </c>
      <c r="Q245" s="2">
        <v>0.7</v>
      </c>
      <c r="R245" s="1">
        <v>2240</v>
      </c>
      <c r="S245" t="s">
        <v>29</v>
      </c>
      <c r="T245" s="1">
        <v>2240</v>
      </c>
      <c r="V245" t="str">
        <f>VLOOKUP(H245,'[1]팀별 출판사'!A:B,2,0)</f>
        <v>소설1팀</v>
      </c>
      <c r="W245" s="6">
        <f t="shared" si="6"/>
        <v>0</v>
      </c>
      <c r="X245" s="6">
        <f t="shared" si="7"/>
        <v>2240</v>
      </c>
    </row>
    <row r="246" spans="1:24" x14ac:dyDescent="0.3">
      <c r="A246" t="s">
        <v>348</v>
      </c>
      <c r="B246" t="s">
        <v>554</v>
      </c>
      <c r="C246" t="s">
        <v>23</v>
      </c>
      <c r="D246" t="s">
        <v>24</v>
      </c>
      <c r="E246" t="s">
        <v>25</v>
      </c>
      <c r="F246">
        <v>1</v>
      </c>
      <c r="G246">
        <v>9791170100164</v>
      </c>
      <c r="H246" t="s">
        <v>67</v>
      </c>
      <c r="I246" t="s">
        <v>106</v>
      </c>
      <c r="J246" t="s">
        <v>107</v>
      </c>
      <c r="K246" t="s">
        <v>29</v>
      </c>
      <c r="L246">
        <v>0</v>
      </c>
      <c r="M246" t="s">
        <v>29</v>
      </c>
      <c r="N246">
        <v>0</v>
      </c>
      <c r="O246">
        <v>0</v>
      </c>
      <c r="P246" t="s">
        <v>30</v>
      </c>
      <c r="Q246" s="2">
        <v>0.7</v>
      </c>
      <c r="R246">
        <v>0</v>
      </c>
      <c r="V246" t="str">
        <f>VLOOKUP(H246,'[1]팀별 출판사'!A:B,2,0)</f>
        <v>소설1팀</v>
      </c>
      <c r="W246" s="6">
        <f t="shared" si="6"/>
        <v>0</v>
      </c>
      <c r="X246" s="6">
        <f t="shared" si="7"/>
        <v>0</v>
      </c>
    </row>
    <row r="247" spans="1:24" x14ac:dyDescent="0.3">
      <c r="A247" t="s">
        <v>348</v>
      </c>
      <c r="B247" t="s">
        <v>555</v>
      </c>
      <c r="C247" t="s">
        <v>23</v>
      </c>
      <c r="D247" t="s">
        <v>24</v>
      </c>
      <c r="E247" t="s">
        <v>25</v>
      </c>
      <c r="F247">
        <v>1</v>
      </c>
      <c r="G247">
        <v>9791173786884</v>
      </c>
      <c r="H247" t="s">
        <v>26</v>
      </c>
      <c r="I247" t="s">
        <v>556</v>
      </c>
      <c r="J247" t="s">
        <v>256</v>
      </c>
      <c r="K247" t="s">
        <v>29</v>
      </c>
      <c r="L247">
        <v>0</v>
      </c>
      <c r="M247" t="s">
        <v>29</v>
      </c>
      <c r="N247">
        <v>0</v>
      </c>
      <c r="O247">
        <v>0</v>
      </c>
      <c r="P247" t="s">
        <v>30</v>
      </c>
      <c r="Q247" s="2">
        <v>0.7</v>
      </c>
      <c r="R247">
        <v>0</v>
      </c>
      <c r="V247" t="str">
        <f>VLOOKUP(H247,'[1]팀별 출판사'!A:B,2,0)</f>
        <v>소설1팀</v>
      </c>
      <c r="W247" s="6">
        <f t="shared" si="6"/>
        <v>0</v>
      </c>
      <c r="X247" s="6">
        <f t="shared" si="7"/>
        <v>0</v>
      </c>
    </row>
    <row r="248" spans="1:24" x14ac:dyDescent="0.3">
      <c r="A248" t="s">
        <v>348</v>
      </c>
      <c r="B248" t="s">
        <v>557</v>
      </c>
      <c r="C248" t="s">
        <v>23</v>
      </c>
      <c r="D248" t="s">
        <v>24</v>
      </c>
      <c r="E248" t="s">
        <v>25</v>
      </c>
      <c r="F248">
        <v>1</v>
      </c>
      <c r="G248" t="s">
        <v>558</v>
      </c>
      <c r="H248" t="s">
        <v>32</v>
      </c>
      <c r="I248" t="s">
        <v>559</v>
      </c>
      <c r="J248" t="s">
        <v>88</v>
      </c>
      <c r="K248" t="s">
        <v>29</v>
      </c>
      <c r="L248" s="1">
        <v>3200</v>
      </c>
      <c r="M248" t="s">
        <v>29</v>
      </c>
      <c r="N248" s="1">
        <v>3200</v>
      </c>
      <c r="O248" s="1">
        <v>3200</v>
      </c>
      <c r="P248" t="s">
        <v>30</v>
      </c>
      <c r="Q248" s="2">
        <v>0.7</v>
      </c>
      <c r="R248" s="1">
        <v>2240</v>
      </c>
      <c r="S248" t="s">
        <v>29</v>
      </c>
      <c r="T248" s="1">
        <v>2240</v>
      </c>
      <c r="V248" t="str">
        <f>VLOOKUP(H248,'[1]팀별 출판사'!A:B,2,0)</f>
        <v>소설1팀</v>
      </c>
      <c r="W248" s="6">
        <f t="shared" si="6"/>
        <v>0</v>
      </c>
      <c r="X248" s="6">
        <f t="shared" si="7"/>
        <v>2240</v>
      </c>
    </row>
    <row r="249" spans="1:24" x14ac:dyDescent="0.3">
      <c r="A249" t="s">
        <v>348</v>
      </c>
      <c r="B249" t="s">
        <v>560</v>
      </c>
      <c r="C249" t="s">
        <v>23</v>
      </c>
      <c r="D249" t="s">
        <v>24</v>
      </c>
      <c r="E249" t="s">
        <v>25</v>
      </c>
      <c r="F249">
        <v>1</v>
      </c>
      <c r="G249">
        <v>9791136910431</v>
      </c>
      <c r="H249" t="s">
        <v>26</v>
      </c>
      <c r="I249" t="s">
        <v>354</v>
      </c>
      <c r="J249" t="s">
        <v>355</v>
      </c>
      <c r="K249" t="s">
        <v>29</v>
      </c>
      <c r="L249">
        <v>0</v>
      </c>
      <c r="M249" t="s">
        <v>29</v>
      </c>
      <c r="N249">
        <v>0</v>
      </c>
      <c r="O249">
        <v>0</v>
      </c>
      <c r="P249" t="s">
        <v>30</v>
      </c>
      <c r="Q249" s="2">
        <v>0.7</v>
      </c>
      <c r="R249">
        <v>0</v>
      </c>
      <c r="V249" t="str">
        <f>VLOOKUP(H249,'[1]팀별 출판사'!A:B,2,0)</f>
        <v>소설1팀</v>
      </c>
      <c r="W249" s="6">
        <f t="shared" si="6"/>
        <v>0</v>
      </c>
      <c r="X249" s="6">
        <f t="shared" si="7"/>
        <v>0</v>
      </c>
    </row>
    <row r="250" spans="1:24" x14ac:dyDescent="0.3">
      <c r="A250" t="s">
        <v>348</v>
      </c>
      <c r="B250" t="s">
        <v>561</v>
      </c>
      <c r="C250" t="s">
        <v>23</v>
      </c>
      <c r="D250" t="s">
        <v>24</v>
      </c>
      <c r="E250" t="s">
        <v>25</v>
      </c>
      <c r="F250">
        <v>1</v>
      </c>
      <c r="G250">
        <v>9791133101870</v>
      </c>
      <c r="H250" t="s">
        <v>32</v>
      </c>
      <c r="I250" t="s">
        <v>225</v>
      </c>
      <c r="J250" t="s">
        <v>160</v>
      </c>
      <c r="K250" t="s">
        <v>29</v>
      </c>
      <c r="L250" s="1">
        <v>3000</v>
      </c>
      <c r="M250" t="s">
        <v>29</v>
      </c>
      <c r="N250" s="1">
        <v>3000</v>
      </c>
      <c r="O250" s="1">
        <v>3000</v>
      </c>
      <c r="P250" t="s">
        <v>30</v>
      </c>
      <c r="Q250" s="2">
        <v>0.7</v>
      </c>
      <c r="R250" s="1">
        <v>2100</v>
      </c>
      <c r="S250" t="s">
        <v>29</v>
      </c>
      <c r="T250" s="1">
        <v>2100</v>
      </c>
      <c r="V250" t="str">
        <f>VLOOKUP(H250,'[1]팀별 출판사'!A:B,2,0)</f>
        <v>소설1팀</v>
      </c>
      <c r="W250" s="6">
        <f t="shared" si="6"/>
        <v>0</v>
      </c>
      <c r="X250" s="6">
        <f t="shared" si="7"/>
        <v>2100</v>
      </c>
    </row>
    <row r="251" spans="1:24" x14ac:dyDescent="0.3">
      <c r="A251" t="s">
        <v>348</v>
      </c>
      <c r="B251" t="s">
        <v>562</v>
      </c>
      <c r="C251" t="s">
        <v>23</v>
      </c>
      <c r="D251" t="s">
        <v>24</v>
      </c>
      <c r="E251" t="s">
        <v>25</v>
      </c>
      <c r="F251">
        <v>1</v>
      </c>
      <c r="G251">
        <v>9791133167265</v>
      </c>
      <c r="H251" t="s">
        <v>32</v>
      </c>
      <c r="I251" t="s">
        <v>446</v>
      </c>
      <c r="J251" t="s">
        <v>160</v>
      </c>
      <c r="K251" t="s">
        <v>29</v>
      </c>
      <c r="L251" s="1">
        <v>2500</v>
      </c>
      <c r="M251" t="s">
        <v>29</v>
      </c>
      <c r="N251" s="1">
        <v>2500</v>
      </c>
      <c r="O251" s="1">
        <v>2500</v>
      </c>
      <c r="P251" t="s">
        <v>30</v>
      </c>
      <c r="Q251" s="2">
        <v>0.7</v>
      </c>
      <c r="R251" s="1">
        <v>1750</v>
      </c>
      <c r="S251" t="s">
        <v>29</v>
      </c>
      <c r="T251" s="1">
        <v>1750</v>
      </c>
      <c r="V251" t="str">
        <f>VLOOKUP(H251,'[1]팀별 출판사'!A:B,2,0)</f>
        <v>소설1팀</v>
      </c>
      <c r="W251" s="6">
        <f t="shared" si="6"/>
        <v>0</v>
      </c>
      <c r="X251" s="6">
        <f t="shared" si="7"/>
        <v>1750</v>
      </c>
    </row>
    <row r="252" spans="1:24" x14ac:dyDescent="0.3">
      <c r="A252" t="s">
        <v>348</v>
      </c>
      <c r="B252" t="s">
        <v>563</v>
      </c>
      <c r="C252" t="s">
        <v>23</v>
      </c>
      <c r="D252" t="s">
        <v>24</v>
      </c>
      <c r="E252" t="s">
        <v>25</v>
      </c>
      <c r="F252">
        <v>1</v>
      </c>
      <c r="G252">
        <v>9791133198924</v>
      </c>
      <c r="H252" t="s">
        <v>26</v>
      </c>
      <c r="I252" t="s">
        <v>96</v>
      </c>
      <c r="J252" t="s">
        <v>97</v>
      </c>
      <c r="K252" t="s">
        <v>29</v>
      </c>
      <c r="L252">
        <v>0</v>
      </c>
      <c r="M252" t="s">
        <v>29</v>
      </c>
      <c r="N252">
        <v>0</v>
      </c>
      <c r="O252">
        <v>0</v>
      </c>
      <c r="P252" t="s">
        <v>30</v>
      </c>
      <c r="Q252" s="2">
        <v>0.7</v>
      </c>
      <c r="R252">
        <v>0</v>
      </c>
      <c r="V252" t="str">
        <f>VLOOKUP(H252,'[1]팀별 출판사'!A:B,2,0)</f>
        <v>소설1팀</v>
      </c>
      <c r="W252" s="6">
        <f t="shared" si="6"/>
        <v>0</v>
      </c>
      <c r="X252" s="6">
        <f t="shared" si="7"/>
        <v>0</v>
      </c>
    </row>
    <row r="253" spans="1:24" x14ac:dyDescent="0.3">
      <c r="A253" t="s">
        <v>348</v>
      </c>
      <c r="B253" t="s">
        <v>564</v>
      </c>
      <c r="C253" t="s">
        <v>23</v>
      </c>
      <c r="D253" t="s">
        <v>24</v>
      </c>
      <c r="E253" t="s">
        <v>25</v>
      </c>
      <c r="F253">
        <v>1</v>
      </c>
      <c r="G253">
        <v>9791133130375</v>
      </c>
      <c r="H253" t="s">
        <v>32</v>
      </c>
      <c r="I253" t="s">
        <v>536</v>
      </c>
      <c r="J253" t="s">
        <v>160</v>
      </c>
      <c r="K253" t="s">
        <v>29</v>
      </c>
      <c r="L253">
        <v>0</v>
      </c>
      <c r="M253" t="s">
        <v>29</v>
      </c>
      <c r="N253">
        <v>0</v>
      </c>
      <c r="O253">
        <v>0</v>
      </c>
      <c r="P253" t="s">
        <v>30</v>
      </c>
      <c r="Q253" s="2">
        <v>0.7</v>
      </c>
      <c r="R253">
        <v>0</v>
      </c>
      <c r="V253" t="str">
        <f>VLOOKUP(H253,'[1]팀별 출판사'!A:B,2,0)</f>
        <v>소설1팀</v>
      </c>
      <c r="W253" s="6">
        <f t="shared" si="6"/>
        <v>0</v>
      </c>
      <c r="X253" s="6">
        <f t="shared" si="7"/>
        <v>0</v>
      </c>
    </row>
    <row r="254" spans="1:24" x14ac:dyDescent="0.3">
      <c r="A254" t="s">
        <v>348</v>
      </c>
      <c r="B254" t="s">
        <v>565</v>
      </c>
      <c r="C254" t="s">
        <v>23</v>
      </c>
      <c r="D254" t="s">
        <v>24</v>
      </c>
      <c r="E254" t="s">
        <v>25</v>
      </c>
      <c r="F254">
        <v>1</v>
      </c>
      <c r="G254">
        <v>9791133101795</v>
      </c>
      <c r="H254" t="s">
        <v>32</v>
      </c>
      <c r="I254" t="s">
        <v>566</v>
      </c>
      <c r="J254" t="s">
        <v>160</v>
      </c>
      <c r="K254" t="s">
        <v>29</v>
      </c>
      <c r="L254">
        <v>0</v>
      </c>
      <c r="M254" t="s">
        <v>29</v>
      </c>
      <c r="N254">
        <v>0</v>
      </c>
      <c r="O254">
        <v>0</v>
      </c>
      <c r="P254" t="s">
        <v>30</v>
      </c>
      <c r="Q254" s="2">
        <v>0.7</v>
      </c>
      <c r="R254">
        <v>0</v>
      </c>
      <c r="V254" t="str">
        <f>VLOOKUP(H254,'[1]팀별 출판사'!A:B,2,0)</f>
        <v>소설1팀</v>
      </c>
      <c r="W254" s="6">
        <f t="shared" si="6"/>
        <v>0</v>
      </c>
      <c r="X254" s="6">
        <f t="shared" si="7"/>
        <v>0</v>
      </c>
    </row>
    <row r="255" spans="1:24" x14ac:dyDescent="0.3">
      <c r="A255" t="s">
        <v>348</v>
      </c>
      <c r="B255" t="s">
        <v>567</v>
      </c>
      <c r="C255" t="s">
        <v>23</v>
      </c>
      <c r="D255" t="s">
        <v>24</v>
      </c>
      <c r="E255" t="s">
        <v>25</v>
      </c>
      <c r="F255">
        <v>1</v>
      </c>
      <c r="G255">
        <v>9791136910974</v>
      </c>
      <c r="H255" t="s">
        <v>26</v>
      </c>
      <c r="I255" t="s">
        <v>568</v>
      </c>
      <c r="J255" t="s">
        <v>160</v>
      </c>
      <c r="K255" t="s">
        <v>29</v>
      </c>
      <c r="L255">
        <v>0</v>
      </c>
      <c r="M255" t="s">
        <v>29</v>
      </c>
      <c r="N255">
        <v>0</v>
      </c>
      <c r="O255">
        <v>0</v>
      </c>
      <c r="P255" t="s">
        <v>30</v>
      </c>
      <c r="Q255" s="2">
        <v>0.7</v>
      </c>
      <c r="R255">
        <v>0</v>
      </c>
      <c r="V255" t="str">
        <f>VLOOKUP(H255,'[1]팀별 출판사'!A:B,2,0)</f>
        <v>소설1팀</v>
      </c>
      <c r="W255" s="6">
        <f t="shared" si="6"/>
        <v>0</v>
      </c>
      <c r="X255" s="6">
        <f t="shared" si="7"/>
        <v>0</v>
      </c>
    </row>
    <row r="256" spans="1:24" x14ac:dyDescent="0.3">
      <c r="A256" t="s">
        <v>348</v>
      </c>
      <c r="B256" t="s">
        <v>569</v>
      </c>
      <c r="C256" t="s">
        <v>23</v>
      </c>
      <c r="D256" t="s">
        <v>24</v>
      </c>
      <c r="E256" t="s">
        <v>25</v>
      </c>
      <c r="F256">
        <v>1</v>
      </c>
      <c r="G256">
        <v>9791175303966</v>
      </c>
      <c r="H256" t="s">
        <v>79</v>
      </c>
      <c r="I256" t="s">
        <v>570</v>
      </c>
      <c r="J256" t="s">
        <v>571</v>
      </c>
      <c r="K256" t="s">
        <v>29</v>
      </c>
      <c r="L256">
        <v>0</v>
      </c>
      <c r="M256" t="s">
        <v>29</v>
      </c>
      <c r="N256">
        <v>0</v>
      </c>
      <c r="O256">
        <v>0</v>
      </c>
      <c r="P256" t="s">
        <v>30</v>
      </c>
      <c r="Q256" s="2">
        <v>0.7</v>
      </c>
      <c r="R256">
        <v>0</v>
      </c>
      <c r="V256" t="str">
        <f>VLOOKUP(H256,'[1]팀별 출판사'!A:B,2,0)</f>
        <v>소설1팀</v>
      </c>
      <c r="W256" s="6">
        <f t="shared" si="6"/>
        <v>0</v>
      </c>
      <c r="X256" s="6">
        <f t="shared" si="7"/>
        <v>0</v>
      </c>
    </row>
    <row r="257" spans="1:24" x14ac:dyDescent="0.3">
      <c r="A257" t="s">
        <v>348</v>
      </c>
      <c r="B257" t="s">
        <v>572</v>
      </c>
      <c r="C257" t="s">
        <v>23</v>
      </c>
      <c r="D257" t="s">
        <v>24</v>
      </c>
      <c r="E257" t="s">
        <v>25</v>
      </c>
      <c r="F257">
        <v>1</v>
      </c>
      <c r="G257">
        <v>9791133171453</v>
      </c>
      <c r="H257" t="s">
        <v>26</v>
      </c>
      <c r="I257" t="s">
        <v>573</v>
      </c>
      <c r="J257" t="s">
        <v>287</v>
      </c>
      <c r="K257" t="s">
        <v>29</v>
      </c>
      <c r="L257">
        <v>0</v>
      </c>
      <c r="M257" t="s">
        <v>70</v>
      </c>
      <c r="N257">
        <v>0</v>
      </c>
      <c r="O257">
        <v>0</v>
      </c>
      <c r="P257" t="s">
        <v>71</v>
      </c>
      <c r="Q257" s="2">
        <v>0.7</v>
      </c>
      <c r="R257">
        <v>0</v>
      </c>
      <c r="V257" t="str">
        <f>VLOOKUP(H257,'[1]팀별 출판사'!A:B,2,0)</f>
        <v>소설1팀</v>
      </c>
      <c r="W257" s="6">
        <f t="shared" si="6"/>
        <v>0</v>
      </c>
      <c r="X257" s="6">
        <f t="shared" si="7"/>
        <v>0</v>
      </c>
    </row>
    <row r="258" spans="1:24" x14ac:dyDescent="0.3">
      <c r="A258" t="s">
        <v>348</v>
      </c>
      <c r="B258" t="s">
        <v>574</v>
      </c>
      <c r="C258" t="s">
        <v>23</v>
      </c>
      <c r="D258" t="s">
        <v>24</v>
      </c>
      <c r="E258" t="s">
        <v>25</v>
      </c>
      <c r="F258">
        <v>1</v>
      </c>
      <c r="G258">
        <v>9791136988416</v>
      </c>
      <c r="H258" t="s">
        <v>26</v>
      </c>
      <c r="I258" t="s">
        <v>575</v>
      </c>
      <c r="J258" t="s">
        <v>28</v>
      </c>
      <c r="K258" t="s">
        <v>29</v>
      </c>
      <c r="L258" s="1">
        <v>3200</v>
      </c>
      <c r="M258" t="s">
        <v>29</v>
      </c>
      <c r="N258" s="1">
        <v>3200</v>
      </c>
      <c r="O258" s="1">
        <v>3200</v>
      </c>
      <c r="P258" t="s">
        <v>30</v>
      </c>
      <c r="Q258" s="2">
        <v>0.7</v>
      </c>
      <c r="R258" s="1">
        <v>2240</v>
      </c>
      <c r="S258" t="s">
        <v>29</v>
      </c>
      <c r="T258" s="1">
        <v>2240</v>
      </c>
      <c r="V258" t="str">
        <f>VLOOKUP(H258,'[1]팀별 출판사'!A:B,2,0)</f>
        <v>소설1팀</v>
      </c>
      <c r="W258" s="6">
        <f t="shared" ref="W258:W321" si="8">IF(P258="US", T258*30%, 0)</f>
        <v>0</v>
      </c>
      <c r="X258" s="6">
        <f t="shared" ref="X258:X321" si="9">T258-W258</f>
        <v>2240</v>
      </c>
    </row>
    <row r="259" spans="1:24" x14ac:dyDescent="0.3">
      <c r="A259" t="s">
        <v>348</v>
      </c>
      <c r="B259" t="s">
        <v>576</v>
      </c>
      <c r="C259" t="s">
        <v>23</v>
      </c>
      <c r="D259" t="s">
        <v>24</v>
      </c>
      <c r="E259" t="s">
        <v>25</v>
      </c>
      <c r="F259">
        <v>1</v>
      </c>
      <c r="G259">
        <v>9791172920135</v>
      </c>
      <c r="H259" t="s">
        <v>26</v>
      </c>
      <c r="I259" t="s">
        <v>278</v>
      </c>
      <c r="J259" t="s">
        <v>276</v>
      </c>
      <c r="K259" t="s">
        <v>29</v>
      </c>
      <c r="L259">
        <v>0</v>
      </c>
      <c r="M259" t="s">
        <v>29</v>
      </c>
      <c r="N259">
        <v>0</v>
      </c>
      <c r="O259">
        <v>0</v>
      </c>
      <c r="P259" t="s">
        <v>30</v>
      </c>
      <c r="Q259" s="2">
        <v>0.7</v>
      </c>
      <c r="R259">
        <v>0</v>
      </c>
      <c r="V259" t="str">
        <f>VLOOKUP(H259,'[1]팀별 출판사'!A:B,2,0)</f>
        <v>소설1팀</v>
      </c>
      <c r="W259" s="6">
        <f t="shared" si="8"/>
        <v>0</v>
      </c>
      <c r="X259" s="6">
        <f t="shared" si="9"/>
        <v>0</v>
      </c>
    </row>
    <row r="260" spans="1:24" x14ac:dyDescent="0.3">
      <c r="A260" t="s">
        <v>348</v>
      </c>
      <c r="B260" t="s">
        <v>577</v>
      </c>
      <c r="C260" t="s">
        <v>23</v>
      </c>
      <c r="D260" t="s">
        <v>24</v>
      </c>
      <c r="E260" t="s">
        <v>25</v>
      </c>
      <c r="F260">
        <v>1</v>
      </c>
      <c r="G260">
        <v>9791170105695</v>
      </c>
      <c r="H260" t="s">
        <v>67</v>
      </c>
      <c r="I260" t="s">
        <v>578</v>
      </c>
      <c r="J260" t="s">
        <v>579</v>
      </c>
      <c r="K260" t="s">
        <v>29</v>
      </c>
      <c r="L260">
        <v>0</v>
      </c>
      <c r="M260" t="s">
        <v>29</v>
      </c>
      <c r="N260">
        <v>0</v>
      </c>
      <c r="O260">
        <v>0</v>
      </c>
      <c r="P260" t="s">
        <v>30</v>
      </c>
      <c r="Q260" s="2">
        <v>0.7</v>
      </c>
      <c r="R260">
        <v>0</v>
      </c>
      <c r="V260" t="str">
        <f>VLOOKUP(H260,'[1]팀별 출판사'!A:B,2,0)</f>
        <v>소설1팀</v>
      </c>
      <c r="W260" s="6">
        <f t="shared" si="8"/>
        <v>0</v>
      </c>
      <c r="X260" s="6">
        <f t="shared" si="9"/>
        <v>0</v>
      </c>
    </row>
    <row r="261" spans="1:24" x14ac:dyDescent="0.3">
      <c r="A261" t="s">
        <v>348</v>
      </c>
      <c r="B261" t="s">
        <v>580</v>
      </c>
      <c r="C261" t="s">
        <v>23</v>
      </c>
      <c r="D261" t="s">
        <v>24</v>
      </c>
      <c r="E261" t="s">
        <v>25</v>
      </c>
      <c r="F261">
        <v>1</v>
      </c>
      <c r="G261" t="s">
        <v>581</v>
      </c>
      <c r="H261" t="s">
        <v>32</v>
      </c>
      <c r="I261" t="s">
        <v>582</v>
      </c>
      <c r="J261" t="s">
        <v>583</v>
      </c>
      <c r="K261" t="s">
        <v>29</v>
      </c>
      <c r="L261">
        <v>0</v>
      </c>
      <c r="M261" t="s">
        <v>29</v>
      </c>
      <c r="N261">
        <v>0</v>
      </c>
      <c r="O261">
        <v>0</v>
      </c>
      <c r="P261" t="s">
        <v>30</v>
      </c>
      <c r="Q261" s="2">
        <v>0.7</v>
      </c>
      <c r="R261">
        <v>0</v>
      </c>
      <c r="V261" t="str">
        <f>VLOOKUP(H261,'[1]팀별 출판사'!A:B,2,0)</f>
        <v>소설1팀</v>
      </c>
      <c r="W261" s="6">
        <f t="shared" si="8"/>
        <v>0</v>
      </c>
      <c r="X261" s="6">
        <f t="shared" si="9"/>
        <v>0</v>
      </c>
    </row>
    <row r="262" spans="1:24" x14ac:dyDescent="0.3">
      <c r="A262" t="s">
        <v>348</v>
      </c>
      <c r="B262" t="s">
        <v>584</v>
      </c>
      <c r="C262" t="s">
        <v>23</v>
      </c>
      <c r="D262" t="s">
        <v>24</v>
      </c>
      <c r="E262" t="s">
        <v>25</v>
      </c>
      <c r="F262">
        <v>1</v>
      </c>
      <c r="G262">
        <v>9791133106127</v>
      </c>
      <c r="H262" t="s">
        <v>32</v>
      </c>
      <c r="I262" t="s">
        <v>585</v>
      </c>
      <c r="J262" t="s">
        <v>160</v>
      </c>
      <c r="K262" t="s">
        <v>29</v>
      </c>
      <c r="L262">
        <v>0</v>
      </c>
      <c r="M262" t="s">
        <v>29</v>
      </c>
      <c r="N262">
        <v>0</v>
      </c>
      <c r="O262">
        <v>0</v>
      </c>
      <c r="P262" t="s">
        <v>30</v>
      </c>
      <c r="Q262" s="2">
        <v>0.7</v>
      </c>
      <c r="R262">
        <v>0</v>
      </c>
      <c r="V262" t="str">
        <f>VLOOKUP(H262,'[1]팀별 출판사'!A:B,2,0)</f>
        <v>소설1팀</v>
      </c>
      <c r="W262" s="6">
        <f t="shared" si="8"/>
        <v>0</v>
      </c>
      <c r="X262" s="6">
        <f t="shared" si="9"/>
        <v>0</v>
      </c>
    </row>
    <row r="263" spans="1:24" x14ac:dyDescent="0.3">
      <c r="A263" t="s">
        <v>348</v>
      </c>
      <c r="B263" t="s">
        <v>586</v>
      </c>
      <c r="C263" t="s">
        <v>23</v>
      </c>
      <c r="D263" t="s">
        <v>24</v>
      </c>
      <c r="E263" t="s">
        <v>25</v>
      </c>
      <c r="F263">
        <v>1</v>
      </c>
      <c r="G263">
        <v>9791136911612</v>
      </c>
      <c r="H263" t="s">
        <v>26</v>
      </c>
      <c r="I263" t="s">
        <v>587</v>
      </c>
      <c r="J263" t="s">
        <v>588</v>
      </c>
      <c r="K263" t="s">
        <v>29</v>
      </c>
      <c r="L263">
        <v>0</v>
      </c>
      <c r="M263" t="s">
        <v>29</v>
      </c>
      <c r="N263">
        <v>0</v>
      </c>
      <c r="O263">
        <v>0</v>
      </c>
      <c r="P263" t="s">
        <v>30</v>
      </c>
      <c r="Q263" s="2">
        <v>0.7</v>
      </c>
      <c r="R263">
        <v>0</v>
      </c>
      <c r="V263" t="str">
        <f>VLOOKUP(H263,'[1]팀별 출판사'!A:B,2,0)</f>
        <v>소설1팀</v>
      </c>
      <c r="W263" s="6">
        <f t="shared" si="8"/>
        <v>0</v>
      </c>
      <c r="X263" s="6">
        <f t="shared" si="9"/>
        <v>0</v>
      </c>
    </row>
    <row r="264" spans="1:24" x14ac:dyDescent="0.3">
      <c r="A264" t="s">
        <v>348</v>
      </c>
      <c r="B264" t="s">
        <v>589</v>
      </c>
      <c r="C264" t="s">
        <v>23</v>
      </c>
      <c r="D264" t="s">
        <v>24</v>
      </c>
      <c r="E264" t="s">
        <v>25</v>
      </c>
      <c r="F264">
        <v>1</v>
      </c>
      <c r="G264">
        <v>9791136928030</v>
      </c>
      <c r="H264" t="s">
        <v>26</v>
      </c>
      <c r="I264" t="s">
        <v>366</v>
      </c>
      <c r="J264" t="s">
        <v>367</v>
      </c>
      <c r="K264" t="s">
        <v>29</v>
      </c>
      <c r="L264">
        <v>0</v>
      </c>
      <c r="M264" t="s">
        <v>29</v>
      </c>
      <c r="N264">
        <v>0</v>
      </c>
      <c r="O264">
        <v>0</v>
      </c>
      <c r="P264" t="s">
        <v>30</v>
      </c>
      <c r="Q264" s="2">
        <v>0.7</v>
      </c>
      <c r="R264">
        <v>0</v>
      </c>
      <c r="V264" t="str">
        <f>VLOOKUP(H264,'[1]팀별 출판사'!A:B,2,0)</f>
        <v>소설1팀</v>
      </c>
      <c r="W264" s="6">
        <f t="shared" si="8"/>
        <v>0</v>
      </c>
      <c r="X264" s="6">
        <f t="shared" si="9"/>
        <v>0</v>
      </c>
    </row>
    <row r="265" spans="1:24" x14ac:dyDescent="0.3">
      <c r="A265" t="s">
        <v>348</v>
      </c>
      <c r="B265" t="s">
        <v>590</v>
      </c>
      <c r="C265" t="s">
        <v>23</v>
      </c>
      <c r="D265" t="s">
        <v>24</v>
      </c>
      <c r="E265" t="s">
        <v>25</v>
      </c>
      <c r="F265">
        <v>1</v>
      </c>
      <c r="G265">
        <v>9791175301955</v>
      </c>
      <c r="H265" t="s">
        <v>26</v>
      </c>
      <c r="I265" t="s">
        <v>591</v>
      </c>
      <c r="J265" t="s">
        <v>256</v>
      </c>
      <c r="K265" t="s">
        <v>29</v>
      </c>
      <c r="L265">
        <v>0</v>
      </c>
      <c r="M265" t="s">
        <v>29</v>
      </c>
      <c r="N265">
        <v>0</v>
      </c>
      <c r="O265">
        <v>0</v>
      </c>
      <c r="P265" t="s">
        <v>30</v>
      </c>
      <c r="Q265" s="2">
        <v>0.7</v>
      </c>
      <c r="R265">
        <v>0</v>
      </c>
      <c r="V265" t="str">
        <f>VLOOKUP(H265,'[1]팀별 출판사'!A:B,2,0)</f>
        <v>소설1팀</v>
      </c>
      <c r="W265" s="6">
        <f t="shared" si="8"/>
        <v>0</v>
      </c>
      <c r="X265" s="6">
        <f t="shared" si="9"/>
        <v>0</v>
      </c>
    </row>
    <row r="266" spans="1:24" x14ac:dyDescent="0.3">
      <c r="A266" t="s">
        <v>348</v>
      </c>
      <c r="B266" t="s">
        <v>592</v>
      </c>
      <c r="C266" t="s">
        <v>23</v>
      </c>
      <c r="D266" t="s">
        <v>24</v>
      </c>
      <c r="E266" t="s">
        <v>25</v>
      </c>
      <c r="F266">
        <v>1</v>
      </c>
      <c r="G266">
        <v>9791133167272</v>
      </c>
      <c r="H266" t="s">
        <v>32</v>
      </c>
      <c r="I266" t="s">
        <v>593</v>
      </c>
      <c r="J266" t="s">
        <v>160</v>
      </c>
      <c r="K266" t="s">
        <v>29</v>
      </c>
      <c r="L266" s="1">
        <v>2500</v>
      </c>
      <c r="M266" t="s">
        <v>29</v>
      </c>
      <c r="N266" s="1">
        <v>2500</v>
      </c>
      <c r="O266" s="1">
        <v>2500</v>
      </c>
      <c r="P266" t="s">
        <v>30</v>
      </c>
      <c r="Q266" s="2">
        <v>0.7</v>
      </c>
      <c r="R266" s="1">
        <v>1750</v>
      </c>
      <c r="S266" t="s">
        <v>29</v>
      </c>
      <c r="T266" s="1">
        <v>1750</v>
      </c>
      <c r="V266" t="str">
        <f>VLOOKUP(H266,'[1]팀별 출판사'!A:B,2,0)</f>
        <v>소설1팀</v>
      </c>
      <c r="W266" s="6">
        <f t="shared" si="8"/>
        <v>0</v>
      </c>
      <c r="X266" s="6">
        <f t="shared" si="9"/>
        <v>1750</v>
      </c>
    </row>
    <row r="267" spans="1:24" x14ac:dyDescent="0.3">
      <c r="A267" t="s">
        <v>348</v>
      </c>
      <c r="B267" t="s">
        <v>594</v>
      </c>
      <c r="C267" t="s">
        <v>23</v>
      </c>
      <c r="D267" t="s">
        <v>24</v>
      </c>
      <c r="E267" t="s">
        <v>25</v>
      </c>
      <c r="F267">
        <v>1</v>
      </c>
      <c r="G267">
        <v>9791133167289</v>
      </c>
      <c r="H267" t="s">
        <v>32</v>
      </c>
      <c r="I267" t="s">
        <v>595</v>
      </c>
      <c r="J267" t="s">
        <v>160</v>
      </c>
      <c r="K267" t="s">
        <v>29</v>
      </c>
      <c r="L267" s="1">
        <v>2500</v>
      </c>
      <c r="M267" t="s">
        <v>29</v>
      </c>
      <c r="N267" s="1">
        <v>2500</v>
      </c>
      <c r="O267" s="1">
        <v>2500</v>
      </c>
      <c r="P267" t="s">
        <v>30</v>
      </c>
      <c r="Q267" s="2">
        <v>0.7</v>
      </c>
      <c r="R267" s="1">
        <v>1750</v>
      </c>
      <c r="S267" t="s">
        <v>29</v>
      </c>
      <c r="T267" s="1">
        <v>1750</v>
      </c>
      <c r="V267" t="str">
        <f>VLOOKUP(H267,'[1]팀별 출판사'!A:B,2,0)</f>
        <v>소설1팀</v>
      </c>
      <c r="W267" s="6">
        <f t="shared" si="8"/>
        <v>0</v>
      </c>
      <c r="X267" s="6">
        <f t="shared" si="9"/>
        <v>1750</v>
      </c>
    </row>
    <row r="268" spans="1:24" x14ac:dyDescent="0.3">
      <c r="A268" t="s">
        <v>348</v>
      </c>
      <c r="B268" t="s">
        <v>596</v>
      </c>
      <c r="C268" t="s">
        <v>23</v>
      </c>
      <c r="D268" t="s">
        <v>24</v>
      </c>
      <c r="E268" t="s">
        <v>25</v>
      </c>
      <c r="F268">
        <v>1</v>
      </c>
      <c r="G268">
        <v>9791133167296</v>
      </c>
      <c r="H268" t="s">
        <v>32</v>
      </c>
      <c r="I268" t="s">
        <v>597</v>
      </c>
      <c r="J268" t="s">
        <v>160</v>
      </c>
      <c r="K268" t="s">
        <v>29</v>
      </c>
      <c r="L268" s="1">
        <v>2500</v>
      </c>
      <c r="M268" t="s">
        <v>29</v>
      </c>
      <c r="N268" s="1">
        <v>2500</v>
      </c>
      <c r="O268" s="1">
        <v>2500</v>
      </c>
      <c r="P268" t="s">
        <v>30</v>
      </c>
      <c r="Q268" s="2">
        <v>0.7</v>
      </c>
      <c r="R268" s="1">
        <v>1750</v>
      </c>
      <c r="S268" t="s">
        <v>29</v>
      </c>
      <c r="T268" s="1">
        <v>1750</v>
      </c>
      <c r="V268" t="str">
        <f>VLOOKUP(H268,'[1]팀별 출판사'!A:B,2,0)</f>
        <v>소설1팀</v>
      </c>
      <c r="W268" s="6">
        <f t="shared" si="8"/>
        <v>0</v>
      </c>
      <c r="X268" s="6">
        <f t="shared" si="9"/>
        <v>1750</v>
      </c>
    </row>
    <row r="269" spans="1:24" x14ac:dyDescent="0.3">
      <c r="A269" t="s">
        <v>348</v>
      </c>
      <c r="B269" t="s">
        <v>598</v>
      </c>
      <c r="C269" t="s">
        <v>23</v>
      </c>
      <c r="D269" t="s">
        <v>24</v>
      </c>
      <c r="E269" t="s">
        <v>25</v>
      </c>
      <c r="F269">
        <v>1</v>
      </c>
      <c r="G269">
        <v>9791133167302</v>
      </c>
      <c r="H269" t="s">
        <v>32</v>
      </c>
      <c r="I269" t="s">
        <v>599</v>
      </c>
      <c r="J269" t="s">
        <v>160</v>
      </c>
      <c r="K269" t="s">
        <v>29</v>
      </c>
      <c r="L269" s="1">
        <v>2500</v>
      </c>
      <c r="M269" t="s">
        <v>29</v>
      </c>
      <c r="N269" s="1">
        <v>2500</v>
      </c>
      <c r="O269" s="1">
        <v>2500</v>
      </c>
      <c r="P269" t="s">
        <v>30</v>
      </c>
      <c r="Q269" s="2">
        <v>0.7</v>
      </c>
      <c r="R269" s="1">
        <v>1750</v>
      </c>
      <c r="S269" t="s">
        <v>29</v>
      </c>
      <c r="T269" s="1">
        <v>1750</v>
      </c>
      <c r="V269" t="str">
        <f>VLOOKUP(H269,'[1]팀별 출판사'!A:B,2,0)</f>
        <v>소설1팀</v>
      </c>
      <c r="W269" s="6">
        <f t="shared" si="8"/>
        <v>0</v>
      </c>
      <c r="X269" s="6">
        <f t="shared" si="9"/>
        <v>1750</v>
      </c>
    </row>
    <row r="270" spans="1:24" x14ac:dyDescent="0.3">
      <c r="A270" t="s">
        <v>348</v>
      </c>
      <c r="B270" t="s">
        <v>600</v>
      </c>
      <c r="C270" t="s">
        <v>23</v>
      </c>
      <c r="D270" t="s">
        <v>24</v>
      </c>
      <c r="E270" t="s">
        <v>25</v>
      </c>
      <c r="F270">
        <v>1</v>
      </c>
      <c r="G270">
        <v>9791136942142</v>
      </c>
      <c r="H270" t="s">
        <v>26</v>
      </c>
      <c r="I270" t="s">
        <v>180</v>
      </c>
      <c r="J270" t="s">
        <v>46</v>
      </c>
      <c r="K270" t="s">
        <v>29</v>
      </c>
      <c r="L270">
        <v>0</v>
      </c>
      <c r="M270" t="s">
        <v>29</v>
      </c>
      <c r="N270">
        <v>0</v>
      </c>
      <c r="O270">
        <v>0</v>
      </c>
      <c r="P270" t="s">
        <v>30</v>
      </c>
      <c r="Q270" s="2">
        <v>0.7</v>
      </c>
      <c r="R270">
        <v>0</v>
      </c>
      <c r="V270" t="str">
        <f>VLOOKUP(H270,'[1]팀별 출판사'!A:B,2,0)</f>
        <v>소설1팀</v>
      </c>
      <c r="W270" s="6">
        <f t="shared" si="8"/>
        <v>0</v>
      </c>
      <c r="X270" s="6">
        <f t="shared" si="9"/>
        <v>0</v>
      </c>
    </row>
    <row r="271" spans="1:24" x14ac:dyDescent="0.3">
      <c r="A271" t="s">
        <v>348</v>
      </c>
      <c r="B271" t="s">
        <v>601</v>
      </c>
      <c r="C271" t="s">
        <v>23</v>
      </c>
      <c r="D271" t="s">
        <v>24</v>
      </c>
      <c r="E271" t="s">
        <v>25</v>
      </c>
      <c r="F271">
        <v>1</v>
      </c>
      <c r="G271">
        <v>9791175302488</v>
      </c>
      <c r="H271" t="s">
        <v>26</v>
      </c>
      <c r="I271" t="s">
        <v>602</v>
      </c>
      <c r="J271" t="s">
        <v>603</v>
      </c>
      <c r="K271" t="s">
        <v>29</v>
      </c>
      <c r="L271">
        <v>0</v>
      </c>
      <c r="M271" t="s">
        <v>29</v>
      </c>
      <c r="N271">
        <v>0</v>
      </c>
      <c r="O271">
        <v>0</v>
      </c>
      <c r="P271" t="s">
        <v>30</v>
      </c>
      <c r="Q271" s="2">
        <v>0.7</v>
      </c>
      <c r="R271">
        <v>0</v>
      </c>
      <c r="V271" t="str">
        <f>VLOOKUP(H271,'[1]팀별 출판사'!A:B,2,0)</f>
        <v>소설1팀</v>
      </c>
      <c r="W271" s="6">
        <f t="shared" si="8"/>
        <v>0</v>
      </c>
      <c r="X271" s="6">
        <f t="shared" si="9"/>
        <v>0</v>
      </c>
    </row>
    <row r="272" spans="1:24" x14ac:dyDescent="0.3">
      <c r="A272" t="s">
        <v>348</v>
      </c>
      <c r="B272" t="s">
        <v>604</v>
      </c>
      <c r="C272" t="s">
        <v>23</v>
      </c>
      <c r="D272" t="s">
        <v>24</v>
      </c>
      <c r="E272" t="s">
        <v>25</v>
      </c>
      <c r="F272">
        <v>1</v>
      </c>
      <c r="G272">
        <v>9791136931375</v>
      </c>
      <c r="H272" t="s">
        <v>32</v>
      </c>
      <c r="I272" t="s">
        <v>189</v>
      </c>
      <c r="J272" t="s">
        <v>46</v>
      </c>
      <c r="K272" t="s">
        <v>29</v>
      </c>
      <c r="L272">
        <v>0</v>
      </c>
      <c r="M272" t="s">
        <v>29</v>
      </c>
      <c r="N272">
        <v>0</v>
      </c>
      <c r="O272">
        <v>0</v>
      </c>
      <c r="P272" t="s">
        <v>30</v>
      </c>
      <c r="Q272" s="2">
        <v>0.7</v>
      </c>
      <c r="R272">
        <v>0</v>
      </c>
      <c r="V272" t="str">
        <f>VLOOKUP(H272,'[1]팀별 출판사'!A:B,2,0)</f>
        <v>소설1팀</v>
      </c>
      <c r="W272" s="6">
        <f t="shared" si="8"/>
        <v>0</v>
      </c>
      <c r="X272" s="6">
        <f t="shared" si="9"/>
        <v>0</v>
      </c>
    </row>
    <row r="273" spans="1:24" x14ac:dyDescent="0.3">
      <c r="A273" t="s">
        <v>348</v>
      </c>
      <c r="B273" t="s">
        <v>605</v>
      </c>
      <c r="C273" t="s">
        <v>23</v>
      </c>
      <c r="D273" t="s">
        <v>24</v>
      </c>
      <c r="E273" t="s">
        <v>25</v>
      </c>
      <c r="F273">
        <v>1</v>
      </c>
      <c r="G273">
        <v>9791133198924</v>
      </c>
      <c r="H273" t="s">
        <v>26</v>
      </c>
      <c r="I273" t="s">
        <v>96</v>
      </c>
      <c r="J273" t="s">
        <v>97</v>
      </c>
      <c r="K273" t="s">
        <v>29</v>
      </c>
      <c r="L273">
        <v>0</v>
      </c>
      <c r="M273" t="s">
        <v>29</v>
      </c>
      <c r="N273">
        <v>0</v>
      </c>
      <c r="O273">
        <v>0</v>
      </c>
      <c r="P273" t="s">
        <v>30</v>
      </c>
      <c r="Q273" s="2">
        <v>0.7</v>
      </c>
      <c r="R273">
        <v>0</v>
      </c>
      <c r="V273" t="str">
        <f>VLOOKUP(H273,'[1]팀별 출판사'!A:B,2,0)</f>
        <v>소설1팀</v>
      </c>
      <c r="W273" s="6">
        <f t="shared" si="8"/>
        <v>0</v>
      </c>
      <c r="X273" s="6">
        <f t="shared" si="9"/>
        <v>0</v>
      </c>
    </row>
    <row r="274" spans="1:24" x14ac:dyDescent="0.3">
      <c r="A274" t="s">
        <v>348</v>
      </c>
      <c r="B274" t="s">
        <v>606</v>
      </c>
      <c r="C274" t="s">
        <v>23</v>
      </c>
      <c r="D274" t="s">
        <v>24</v>
      </c>
      <c r="E274" t="s">
        <v>25</v>
      </c>
      <c r="F274">
        <v>1</v>
      </c>
      <c r="G274">
        <v>9791133186501</v>
      </c>
      <c r="H274" t="s">
        <v>26</v>
      </c>
      <c r="I274" t="s">
        <v>64</v>
      </c>
      <c r="J274" t="s">
        <v>65</v>
      </c>
      <c r="K274" t="s">
        <v>29</v>
      </c>
      <c r="L274">
        <v>0</v>
      </c>
      <c r="M274" t="s">
        <v>29</v>
      </c>
      <c r="N274">
        <v>0</v>
      </c>
      <c r="O274">
        <v>0</v>
      </c>
      <c r="P274" t="s">
        <v>30</v>
      </c>
      <c r="Q274" s="2">
        <v>0.7</v>
      </c>
      <c r="R274">
        <v>0</v>
      </c>
      <c r="V274" t="str">
        <f>VLOOKUP(H274,'[1]팀별 출판사'!A:B,2,0)</f>
        <v>소설1팀</v>
      </c>
      <c r="W274" s="6">
        <f t="shared" si="8"/>
        <v>0</v>
      </c>
      <c r="X274" s="6">
        <f t="shared" si="9"/>
        <v>0</v>
      </c>
    </row>
    <row r="275" spans="1:24" x14ac:dyDescent="0.3">
      <c r="A275" t="s">
        <v>348</v>
      </c>
      <c r="B275" t="s">
        <v>607</v>
      </c>
      <c r="C275" t="s">
        <v>23</v>
      </c>
      <c r="D275" t="s">
        <v>24</v>
      </c>
      <c r="E275" t="s">
        <v>25</v>
      </c>
      <c r="F275">
        <v>1</v>
      </c>
      <c r="G275">
        <v>9791136936271</v>
      </c>
      <c r="H275" t="s">
        <v>32</v>
      </c>
      <c r="I275" t="s">
        <v>608</v>
      </c>
      <c r="J275" t="s">
        <v>609</v>
      </c>
      <c r="K275" t="s">
        <v>29</v>
      </c>
      <c r="L275">
        <v>0</v>
      </c>
      <c r="M275" t="s">
        <v>29</v>
      </c>
      <c r="N275">
        <v>0</v>
      </c>
      <c r="O275">
        <v>0</v>
      </c>
      <c r="P275" t="s">
        <v>30</v>
      </c>
      <c r="Q275" s="2">
        <v>0.7</v>
      </c>
      <c r="R275">
        <v>0</v>
      </c>
      <c r="V275" t="str">
        <f>VLOOKUP(H275,'[1]팀별 출판사'!A:B,2,0)</f>
        <v>소설1팀</v>
      </c>
      <c r="W275" s="6">
        <f t="shared" si="8"/>
        <v>0</v>
      </c>
      <c r="X275" s="6">
        <f t="shared" si="9"/>
        <v>0</v>
      </c>
    </row>
    <row r="276" spans="1:24" x14ac:dyDescent="0.3">
      <c r="A276" t="s">
        <v>610</v>
      </c>
      <c r="B276" t="s">
        <v>611</v>
      </c>
      <c r="C276" t="s">
        <v>23</v>
      </c>
      <c r="D276" t="s">
        <v>24</v>
      </c>
      <c r="E276" t="s">
        <v>25</v>
      </c>
      <c r="F276">
        <v>1</v>
      </c>
      <c r="G276">
        <v>9791136916358</v>
      </c>
      <c r="H276" t="s">
        <v>26</v>
      </c>
      <c r="I276" t="s">
        <v>612</v>
      </c>
      <c r="J276" t="s">
        <v>62</v>
      </c>
      <c r="K276" t="s">
        <v>29</v>
      </c>
      <c r="L276" s="1">
        <v>3200</v>
      </c>
      <c r="M276" t="s">
        <v>29</v>
      </c>
      <c r="N276" s="1">
        <v>3200</v>
      </c>
      <c r="O276" s="1">
        <v>3200</v>
      </c>
      <c r="P276" t="s">
        <v>30</v>
      </c>
      <c r="Q276" s="2">
        <v>0.7</v>
      </c>
      <c r="R276" s="1">
        <v>2240</v>
      </c>
      <c r="S276" t="s">
        <v>29</v>
      </c>
      <c r="T276" s="1">
        <v>2240</v>
      </c>
      <c r="V276" t="str">
        <f>VLOOKUP(H276,'[1]팀별 출판사'!A:B,2,0)</f>
        <v>소설1팀</v>
      </c>
      <c r="W276" s="6">
        <f t="shared" si="8"/>
        <v>0</v>
      </c>
      <c r="X276" s="6">
        <f t="shared" si="9"/>
        <v>2240</v>
      </c>
    </row>
    <row r="277" spans="1:24" x14ac:dyDescent="0.3">
      <c r="A277" t="s">
        <v>610</v>
      </c>
      <c r="B277" t="s">
        <v>613</v>
      </c>
      <c r="C277" t="s">
        <v>23</v>
      </c>
      <c r="D277" t="s">
        <v>24</v>
      </c>
      <c r="E277" t="s">
        <v>25</v>
      </c>
      <c r="F277">
        <v>1</v>
      </c>
      <c r="G277">
        <v>9791136988133</v>
      </c>
      <c r="H277" t="s">
        <v>26</v>
      </c>
      <c r="I277" t="s">
        <v>614</v>
      </c>
      <c r="J277" t="s">
        <v>28</v>
      </c>
      <c r="K277" t="s">
        <v>29</v>
      </c>
      <c r="L277">
        <v>0</v>
      </c>
      <c r="M277" t="s">
        <v>29</v>
      </c>
      <c r="N277">
        <v>0</v>
      </c>
      <c r="O277">
        <v>0</v>
      </c>
      <c r="P277" t="s">
        <v>30</v>
      </c>
      <c r="Q277" s="2">
        <v>0.7</v>
      </c>
      <c r="R277">
        <v>0</v>
      </c>
      <c r="V277" t="str">
        <f>VLOOKUP(H277,'[1]팀별 출판사'!A:B,2,0)</f>
        <v>소설1팀</v>
      </c>
      <c r="W277" s="6">
        <f t="shared" si="8"/>
        <v>0</v>
      </c>
      <c r="X277" s="6">
        <f t="shared" si="9"/>
        <v>0</v>
      </c>
    </row>
    <row r="278" spans="1:24" x14ac:dyDescent="0.3">
      <c r="A278" t="s">
        <v>610</v>
      </c>
      <c r="B278" t="s">
        <v>615</v>
      </c>
      <c r="C278" t="s">
        <v>23</v>
      </c>
      <c r="D278" t="s">
        <v>24</v>
      </c>
      <c r="E278" t="s">
        <v>25</v>
      </c>
      <c r="F278">
        <v>1</v>
      </c>
      <c r="G278">
        <v>9791136905666</v>
      </c>
      <c r="H278" t="s">
        <v>26</v>
      </c>
      <c r="I278" t="s">
        <v>616</v>
      </c>
      <c r="J278" t="s">
        <v>311</v>
      </c>
      <c r="K278" t="s">
        <v>29</v>
      </c>
      <c r="L278" s="1">
        <v>3200</v>
      </c>
      <c r="M278" t="s">
        <v>29</v>
      </c>
      <c r="N278" s="1">
        <v>3200</v>
      </c>
      <c r="O278" s="1">
        <v>3200</v>
      </c>
      <c r="P278" t="s">
        <v>30</v>
      </c>
      <c r="Q278" s="2">
        <v>0.7</v>
      </c>
      <c r="R278" s="1">
        <v>2240</v>
      </c>
      <c r="S278" t="s">
        <v>29</v>
      </c>
      <c r="T278" s="1">
        <v>2240</v>
      </c>
      <c r="V278" t="str">
        <f>VLOOKUP(H278,'[1]팀별 출판사'!A:B,2,0)</f>
        <v>소설1팀</v>
      </c>
      <c r="W278" s="6">
        <f t="shared" si="8"/>
        <v>0</v>
      </c>
      <c r="X278" s="6">
        <f t="shared" si="9"/>
        <v>2240</v>
      </c>
    </row>
    <row r="279" spans="1:24" x14ac:dyDescent="0.3">
      <c r="A279" t="s">
        <v>610</v>
      </c>
      <c r="B279" t="s">
        <v>617</v>
      </c>
      <c r="C279" t="s">
        <v>23</v>
      </c>
      <c r="D279" t="s">
        <v>24</v>
      </c>
      <c r="E279" t="s">
        <v>25</v>
      </c>
      <c r="F279">
        <v>1</v>
      </c>
      <c r="G279">
        <v>9791136946782</v>
      </c>
      <c r="H279" t="s">
        <v>26</v>
      </c>
      <c r="I279" t="s">
        <v>291</v>
      </c>
      <c r="J279" t="s">
        <v>28</v>
      </c>
      <c r="K279" t="s">
        <v>29</v>
      </c>
      <c r="L279">
        <v>0</v>
      </c>
      <c r="M279" t="s">
        <v>29</v>
      </c>
      <c r="N279">
        <v>0</v>
      </c>
      <c r="O279">
        <v>0</v>
      </c>
      <c r="P279" t="s">
        <v>30</v>
      </c>
      <c r="Q279" s="2">
        <v>0.7</v>
      </c>
      <c r="R279">
        <v>0</v>
      </c>
      <c r="V279" t="str">
        <f>VLOOKUP(H279,'[1]팀별 출판사'!A:B,2,0)</f>
        <v>소설1팀</v>
      </c>
      <c r="W279" s="6">
        <f t="shared" si="8"/>
        <v>0</v>
      </c>
      <c r="X279" s="6">
        <f t="shared" si="9"/>
        <v>0</v>
      </c>
    </row>
    <row r="280" spans="1:24" x14ac:dyDescent="0.3">
      <c r="A280" t="s">
        <v>610</v>
      </c>
      <c r="B280" t="s">
        <v>618</v>
      </c>
      <c r="C280" t="s">
        <v>23</v>
      </c>
      <c r="D280" t="s">
        <v>24</v>
      </c>
      <c r="E280" t="s">
        <v>25</v>
      </c>
      <c r="F280">
        <v>1</v>
      </c>
      <c r="G280">
        <v>9791170106883</v>
      </c>
      <c r="H280" t="s">
        <v>67</v>
      </c>
      <c r="I280" t="s">
        <v>619</v>
      </c>
      <c r="J280" t="s">
        <v>392</v>
      </c>
      <c r="K280" t="s">
        <v>29</v>
      </c>
      <c r="L280">
        <v>0</v>
      </c>
      <c r="M280" t="s">
        <v>29</v>
      </c>
      <c r="N280">
        <v>0</v>
      </c>
      <c r="O280">
        <v>0</v>
      </c>
      <c r="P280" t="s">
        <v>30</v>
      </c>
      <c r="Q280" s="2">
        <v>0.7</v>
      </c>
      <c r="R280">
        <v>0</v>
      </c>
      <c r="V280" t="str">
        <f>VLOOKUP(H280,'[1]팀별 출판사'!A:B,2,0)</f>
        <v>소설1팀</v>
      </c>
      <c r="W280" s="6">
        <f t="shared" si="8"/>
        <v>0</v>
      </c>
      <c r="X280" s="6">
        <f t="shared" si="9"/>
        <v>0</v>
      </c>
    </row>
    <row r="281" spans="1:24" x14ac:dyDescent="0.3">
      <c r="A281" t="s">
        <v>610</v>
      </c>
      <c r="B281" t="s">
        <v>620</v>
      </c>
      <c r="C281" t="s">
        <v>23</v>
      </c>
      <c r="D281" t="s">
        <v>24</v>
      </c>
      <c r="E281" t="s">
        <v>25</v>
      </c>
      <c r="F281">
        <v>1</v>
      </c>
      <c r="G281">
        <v>9791136937193</v>
      </c>
      <c r="H281" t="s">
        <v>26</v>
      </c>
      <c r="I281" t="s">
        <v>621</v>
      </c>
      <c r="J281" t="s">
        <v>622</v>
      </c>
      <c r="K281" t="s">
        <v>29</v>
      </c>
      <c r="L281">
        <v>0</v>
      </c>
      <c r="M281" t="s">
        <v>29</v>
      </c>
      <c r="N281">
        <v>0</v>
      </c>
      <c r="O281">
        <v>0</v>
      </c>
      <c r="P281" t="s">
        <v>30</v>
      </c>
      <c r="Q281" s="2">
        <v>0.7</v>
      </c>
      <c r="R281">
        <v>0</v>
      </c>
      <c r="V281" t="str">
        <f>VLOOKUP(H281,'[1]팀별 출판사'!A:B,2,0)</f>
        <v>소설1팀</v>
      </c>
      <c r="W281" s="6">
        <f t="shared" si="8"/>
        <v>0</v>
      </c>
      <c r="X281" s="6">
        <f t="shared" si="9"/>
        <v>0</v>
      </c>
    </row>
    <row r="282" spans="1:24" x14ac:dyDescent="0.3">
      <c r="A282" t="s">
        <v>610</v>
      </c>
      <c r="B282" t="s">
        <v>623</v>
      </c>
      <c r="C282" t="s">
        <v>23</v>
      </c>
      <c r="D282" t="s">
        <v>24</v>
      </c>
      <c r="E282" t="s">
        <v>25</v>
      </c>
      <c r="F282">
        <v>1</v>
      </c>
      <c r="G282">
        <v>9791136926784</v>
      </c>
      <c r="H282" t="s">
        <v>26</v>
      </c>
      <c r="I282" t="s">
        <v>624</v>
      </c>
      <c r="J282" t="s">
        <v>62</v>
      </c>
      <c r="K282" t="s">
        <v>29</v>
      </c>
      <c r="L282">
        <v>0</v>
      </c>
      <c r="M282" t="s">
        <v>29</v>
      </c>
      <c r="N282">
        <v>0</v>
      </c>
      <c r="O282">
        <v>0</v>
      </c>
      <c r="P282" t="s">
        <v>30</v>
      </c>
      <c r="Q282" s="2">
        <v>0.7</v>
      </c>
      <c r="R282">
        <v>0</v>
      </c>
      <c r="V282" t="str">
        <f>VLOOKUP(H282,'[1]팀별 출판사'!A:B,2,0)</f>
        <v>소설1팀</v>
      </c>
      <c r="W282" s="6">
        <f t="shared" si="8"/>
        <v>0</v>
      </c>
      <c r="X282" s="6">
        <f t="shared" si="9"/>
        <v>0</v>
      </c>
    </row>
    <row r="283" spans="1:24" x14ac:dyDescent="0.3">
      <c r="A283" t="s">
        <v>610</v>
      </c>
      <c r="B283" t="s">
        <v>625</v>
      </c>
      <c r="C283" t="s">
        <v>23</v>
      </c>
      <c r="D283" t="s">
        <v>24</v>
      </c>
      <c r="E283" t="s">
        <v>25</v>
      </c>
      <c r="F283">
        <v>1</v>
      </c>
      <c r="G283">
        <v>9791157532179</v>
      </c>
      <c r="H283" t="s">
        <v>32</v>
      </c>
      <c r="I283" t="s">
        <v>168</v>
      </c>
      <c r="J283" t="s">
        <v>112</v>
      </c>
      <c r="K283" t="s">
        <v>29</v>
      </c>
      <c r="L283" s="1">
        <v>3200</v>
      </c>
      <c r="M283" t="s">
        <v>29</v>
      </c>
      <c r="N283" s="1">
        <v>3200</v>
      </c>
      <c r="O283" s="1">
        <v>3200</v>
      </c>
      <c r="P283" t="s">
        <v>30</v>
      </c>
      <c r="Q283" s="2">
        <v>0.7</v>
      </c>
      <c r="R283" s="1">
        <v>2240</v>
      </c>
      <c r="S283" t="s">
        <v>29</v>
      </c>
      <c r="T283" s="1">
        <v>2240</v>
      </c>
      <c r="V283" t="str">
        <f>VLOOKUP(H283,'[1]팀별 출판사'!A:B,2,0)</f>
        <v>소설1팀</v>
      </c>
      <c r="W283" s="6">
        <f t="shared" si="8"/>
        <v>0</v>
      </c>
      <c r="X283" s="6">
        <f t="shared" si="9"/>
        <v>2240</v>
      </c>
    </row>
    <row r="284" spans="1:24" x14ac:dyDescent="0.3">
      <c r="A284" t="s">
        <v>610</v>
      </c>
      <c r="B284" t="s">
        <v>626</v>
      </c>
      <c r="C284" t="s">
        <v>23</v>
      </c>
      <c r="D284" t="s">
        <v>24</v>
      </c>
      <c r="E284" t="s">
        <v>25</v>
      </c>
      <c r="F284">
        <v>1</v>
      </c>
      <c r="G284">
        <v>9791136925664</v>
      </c>
      <c r="H284" t="s">
        <v>26</v>
      </c>
      <c r="I284" t="s">
        <v>627</v>
      </c>
      <c r="J284" t="s">
        <v>62</v>
      </c>
      <c r="K284" t="s">
        <v>29</v>
      </c>
      <c r="L284">
        <v>0</v>
      </c>
      <c r="M284" t="s">
        <v>29</v>
      </c>
      <c r="N284">
        <v>0</v>
      </c>
      <c r="O284">
        <v>0</v>
      </c>
      <c r="P284" t="s">
        <v>30</v>
      </c>
      <c r="Q284" s="2">
        <v>0.7</v>
      </c>
      <c r="R284">
        <v>0</v>
      </c>
      <c r="V284" t="str">
        <f>VLOOKUP(H284,'[1]팀별 출판사'!A:B,2,0)</f>
        <v>소설1팀</v>
      </c>
      <c r="W284" s="6">
        <f t="shared" si="8"/>
        <v>0</v>
      </c>
      <c r="X284" s="6">
        <f t="shared" si="9"/>
        <v>0</v>
      </c>
    </row>
    <row r="285" spans="1:24" x14ac:dyDescent="0.3">
      <c r="A285" t="s">
        <v>610</v>
      </c>
      <c r="B285" t="s">
        <v>628</v>
      </c>
      <c r="C285" t="s">
        <v>23</v>
      </c>
      <c r="D285" t="s">
        <v>24</v>
      </c>
      <c r="E285" t="s">
        <v>25</v>
      </c>
      <c r="F285">
        <v>1</v>
      </c>
      <c r="G285">
        <v>9791133198924</v>
      </c>
      <c r="H285" t="s">
        <v>26</v>
      </c>
      <c r="I285" t="s">
        <v>96</v>
      </c>
      <c r="J285" t="s">
        <v>97</v>
      </c>
      <c r="K285" t="s">
        <v>29</v>
      </c>
      <c r="L285">
        <v>0</v>
      </c>
      <c r="M285" t="s">
        <v>362</v>
      </c>
      <c r="N285">
        <v>0</v>
      </c>
      <c r="O285">
        <v>0</v>
      </c>
      <c r="P285" t="s">
        <v>363</v>
      </c>
      <c r="Q285" s="2">
        <v>0.7</v>
      </c>
      <c r="R285">
        <v>0</v>
      </c>
      <c r="V285" t="str">
        <f>VLOOKUP(H285,'[1]팀별 출판사'!A:B,2,0)</f>
        <v>소설1팀</v>
      </c>
      <c r="W285" s="6">
        <f t="shared" si="8"/>
        <v>0</v>
      </c>
      <c r="X285" s="6">
        <f t="shared" si="9"/>
        <v>0</v>
      </c>
    </row>
    <row r="286" spans="1:24" x14ac:dyDescent="0.3">
      <c r="A286" t="s">
        <v>610</v>
      </c>
      <c r="B286" t="s">
        <v>629</v>
      </c>
      <c r="C286" t="s">
        <v>23</v>
      </c>
      <c r="D286" t="s">
        <v>24</v>
      </c>
      <c r="E286" t="s">
        <v>25</v>
      </c>
      <c r="F286">
        <v>1</v>
      </c>
      <c r="G286">
        <v>9791136930224</v>
      </c>
      <c r="H286" t="s">
        <v>32</v>
      </c>
      <c r="I286" t="s">
        <v>172</v>
      </c>
      <c r="J286" t="s">
        <v>46</v>
      </c>
      <c r="K286" t="s">
        <v>29</v>
      </c>
      <c r="L286">
        <v>0</v>
      </c>
      <c r="M286" t="s">
        <v>152</v>
      </c>
      <c r="N286">
        <v>0</v>
      </c>
      <c r="O286">
        <v>0</v>
      </c>
      <c r="P286" t="s">
        <v>153</v>
      </c>
      <c r="Q286" s="2">
        <v>0.7</v>
      </c>
      <c r="R286">
        <v>0</v>
      </c>
      <c r="V286" t="str">
        <f>VLOOKUP(H286,'[1]팀별 출판사'!A:B,2,0)</f>
        <v>소설1팀</v>
      </c>
      <c r="W286" s="6">
        <f t="shared" si="8"/>
        <v>0</v>
      </c>
      <c r="X286" s="6">
        <f t="shared" si="9"/>
        <v>0</v>
      </c>
    </row>
    <row r="287" spans="1:24" x14ac:dyDescent="0.3">
      <c r="A287" t="s">
        <v>610</v>
      </c>
      <c r="B287" t="s">
        <v>630</v>
      </c>
      <c r="C287" t="s">
        <v>23</v>
      </c>
      <c r="D287" t="s">
        <v>24</v>
      </c>
      <c r="E287" t="s">
        <v>25</v>
      </c>
      <c r="F287">
        <v>1</v>
      </c>
      <c r="G287">
        <v>9791136931405</v>
      </c>
      <c r="H287" t="s">
        <v>32</v>
      </c>
      <c r="I287" t="s">
        <v>631</v>
      </c>
      <c r="J287" t="s">
        <v>46</v>
      </c>
      <c r="K287" t="s">
        <v>29</v>
      </c>
      <c r="L287">
        <v>0</v>
      </c>
      <c r="M287" t="s">
        <v>70</v>
      </c>
      <c r="N287">
        <v>0</v>
      </c>
      <c r="O287">
        <v>0</v>
      </c>
      <c r="P287" t="s">
        <v>71</v>
      </c>
      <c r="Q287" s="2">
        <v>0.7</v>
      </c>
      <c r="R287">
        <v>0</v>
      </c>
      <c r="V287" t="str">
        <f>VLOOKUP(H287,'[1]팀별 출판사'!A:B,2,0)</f>
        <v>소설1팀</v>
      </c>
      <c r="W287" s="6">
        <f t="shared" si="8"/>
        <v>0</v>
      </c>
      <c r="X287" s="6">
        <f t="shared" si="9"/>
        <v>0</v>
      </c>
    </row>
    <row r="288" spans="1:24" x14ac:dyDescent="0.3">
      <c r="A288" t="s">
        <v>610</v>
      </c>
      <c r="B288" t="s">
        <v>632</v>
      </c>
      <c r="C288" t="s">
        <v>23</v>
      </c>
      <c r="D288" t="s">
        <v>24</v>
      </c>
      <c r="E288" t="s">
        <v>25</v>
      </c>
      <c r="F288">
        <v>1</v>
      </c>
      <c r="G288">
        <v>9791133186501</v>
      </c>
      <c r="H288" t="s">
        <v>26</v>
      </c>
      <c r="I288" t="s">
        <v>64</v>
      </c>
      <c r="J288" t="s">
        <v>65</v>
      </c>
      <c r="K288" t="s">
        <v>29</v>
      </c>
      <c r="L288">
        <v>0</v>
      </c>
      <c r="M288" t="s">
        <v>29</v>
      </c>
      <c r="N288">
        <v>0</v>
      </c>
      <c r="O288">
        <v>0</v>
      </c>
      <c r="P288" t="s">
        <v>30</v>
      </c>
      <c r="Q288" s="2">
        <v>0.7</v>
      </c>
      <c r="R288">
        <v>0</v>
      </c>
      <c r="V288" t="str">
        <f>VLOOKUP(H288,'[1]팀별 출판사'!A:B,2,0)</f>
        <v>소설1팀</v>
      </c>
      <c r="W288" s="6">
        <f t="shared" si="8"/>
        <v>0</v>
      </c>
      <c r="X288" s="6">
        <f t="shared" si="9"/>
        <v>0</v>
      </c>
    </row>
    <row r="289" spans="1:24" x14ac:dyDescent="0.3">
      <c r="A289" t="s">
        <v>610</v>
      </c>
      <c r="B289" t="s">
        <v>633</v>
      </c>
      <c r="C289" t="s">
        <v>23</v>
      </c>
      <c r="D289" t="s">
        <v>24</v>
      </c>
      <c r="E289" t="s">
        <v>25</v>
      </c>
      <c r="F289">
        <v>1</v>
      </c>
      <c r="G289">
        <v>9791136930552</v>
      </c>
      <c r="H289" t="s">
        <v>26</v>
      </c>
      <c r="I289" t="s">
        <v>45</v>
      </c>
      <c r="J289" t="s">
        <v>46</v>
      </c>
      <c r="K289" t="s">
        <v>29</v>
      </c>
      <c r="L289">
        <v>0</v>
      </c>
      <c r="M289" t="s">
        <v>47</v>
      </c>
      <c r="N289">
        <v>0</v>
      </c>
      <c r="O289">
        <v>0</v>
      </c>
      <c r="P289" t="s">
        <v>48</v>
      </c>
      <c r="Q289" s="2">
        <v>0.7</v>
      </c>
      <c r="R289">
        <v>0</v>
      </c>
      <c r="V289" t="str">
        <f>VLOOKUP(H289,'[1]팀별 출판사'!A:B,2,0)</f>
        <v>소설1팀</v>
      </c>
      <c r="W289" s="6">
        <f t="shared" si="8"/>
        <v>0</v>
      </c>
      <c r="X289" s="6">
        <f t="shared" si="9"/>
        <v>0</v>
      </c>
    </row>
    <row r="290" spans="1:24" x14ac:dyDescent="0.3">
      <c r="A290" t="s">
        <v>610</v>
      </c>
      <c r="B290" t="s">
        <v>634</v>
      </c>
      <c r="C290" t="s">
        <v>23</v>
      </c>
      <c r="D290" t="s">
        <v>24</v>
      </c>
      <c r="E290" t="s">
        <v>25</v>
      </c>
      <c r="F290">
        <v>1</v>
      </c>
      <c r="G290">
        <v>9791173787041</v>
      </c>
      <c r="H290" t="s">
        <v>26</v>
      </c>
      <c r="I290" t="s">
        <v>635</v>
      </c>
      <c r="J290" t="s">
        <v>256</v>
      </c>
      <c r="K290" t="s">
        <v>29</v>
      </c>
      <c r="L290" s="1">
        <v>3200</v>
      </c>
      <c r="M290" t="s">
        <v>29</v>
      </c>
      <c r="N290" s="1">
        <v>3200</v>
      </c>
      <c r="O290" s="1">
        <v>3200</v>
      </c>
      <c r="P290" t="s">
        <v>30</v>
      </c>
      <c r="Q290" s="2">
        <v>0.7</v>
      </c>
      <c r="R290" s="1">
        <v>2240</v>
      </c>
      <c r="S290" t="s">
        <v>29</v>
      </c>
      <c r="T290" s="1">
        <v>2240</v>
      </c>
      <c r="V290" t="str">
        <f>VLOOKUP(H290,'[1]팀별 출판사'!A:B,2,0)</f>
        <v>소설1팀</v>
      </c>
      <c r="W290" s="6">
        <f t="shared" si="8"/>
        <v>0</v>
      </c>
      <c r="X290" s="6">
        <f t="shared" si="9"/>
        <v>2240</v>
      </c>
    </row>
    <row r="291" spans="1:24" x14ac:dyDescent="0.3">
      <c r="A291" t="s">
        <v>610</v>
      </c>
      <c r="B291" t="s">
        <v>636</v>
      </c>
      <c r="C291" t="s">
        <v>23</v>
      </c>
      <c r="D291" t="s">
        <v>24</v>
      </c>
      <c r="E291" t="s">
        <v>25</v>
      </c>
      <c r="F291">
        <v>1</v>
      </c>
      <c r="G291">
        <v>9791136927255</v>
      </c>
      <c r="H291" t="s">
        <v>36</v>
      </c>
      <c r="I291" t="s">
        <v>90</v>
      </c>
      <c r="J291" t="s">
        <v>38</v>
      </c>
      <c r="K291" t="s">
        <v>29</v>
      </c>
      <c r="L291" s="1">
        <v>3300</v>
      </c>
      <c r="M291" t="s">
        <v>39</v>
      </c>
      <c r="N291">
        <v>2.08</v>
      </c>
      <c r="O291">
        <v>1.94</v>
      </c>
      <c r="P291" t="s">
        <v>40</v>
      </c>
      <c r="Q291" s="2">
        <v>0.7</v>
      </c>
      <c r="R291">
        <v>1.36</v>
      </c>
      <c r="S291" t="s">
        <v>29</v>
      </c>
      <c r="T291" s="1">
        <v>2327</v>
      </c>
      <c r="U291" s="3">
        <v>1711.07268</v>
      </c>
      <c r="V291" t="str">
        <f>VLOOKUP(H291,'[1]팀별 출판사'!A:B,2,0)</f>
        <v>소설2팀</v>
      </c>
      <c r="W291" s="6">
        <f t="shared" si="8"/>
        <v>0</v>
      </c>
      <c r="X291" s="6">
        <f t="shared" si="9"/>
        <v>2327</v>
      </c>
    </row>
    <row r="292" spans="1:24" x14ac:dyDescent="0.3">
      <c r="A292" t="s">
        <v>610</v>
      </c>
      <c r="B292" t="s">
        <v>637</v>
      </c>
      <c r="C292" t="s">
        <v>23</v>
      </c>
      <c r="D292" t="s">
        <v>24</v>
      </c>
      <c r="E292" t="s">
        <v>25</v>
      </c>
      <c r="F292">
        <v>1</v>
      </c>
      <c r="G292" t="s">
        <v>638</v>
      </c>
      <c r="H292" t="s">
        <v>32</v>
      </c>
      <c r="I292" t="s">
        <v>639</v>
      </c>
      <c r="J292" t="s">
        <v>166</v>
      </c>
      <c r="K292" t="s">
        <v>29</v>
      </c>
      <c r="L292">
        <v>0</v>
      </c>
      <c r="M292" t="s">
        <v>29</v>
      </c>
      <c r="N292">
        <v>0</v>
      </c>
      <c r="O292">
        <v>0</v>
      </c>
      <c r="P292" t="s">
        <v>30</v>
      </c>
      <c r="Q292" s="2">
        <v>0.7</v>
      </c>
      <c r="R292">
        <v>0</v>
      </c>
      <c r="V292" t="str">
        <f>VLOOKUP(H292,'[1]팀별 출판사'!A:B,2,0)</f>
        <v>소설1팀</v>
      </c>
      <c r="W292" s="6">
        <f t="shared" si="8"/>
        <v>0</v>
      </c>
      <c r="X292" s="6">
        <f t="shared" si="9"/>
        <v>0</v>
      </c>
    </row>
    <row r="293" spans="1:24" x14ac:dyDescent="0.3">
      <c r="A293" t="s">
        <v>610</v>
      </c>
      <c r="B293" t="s">
        <v>640</v>
      </c>
      <c r="C293" t="s">
        <v>23</v>
      </c>
      <c r="D293" t="s">
        <v>24</v>
      </c>
      <c r="E293" t="s">
        <v>25</v>
      </c>
      <c r="F293">
        <v>1</v>
      </c>
      <c r="G293">
        <v>9791133154920</v>
      </c>
      <c r="H293" t="s">
        <v>32</v>
      </c>
      <c r="I293" t="s">
        <v>641</v>
      </c>
      <c r="J293" t="s">
        <v>160</v>
      </c>
      <c r="K293" t="s">
        <v>29</v>
      </c>
      <c r="L293" s="1">
        <v>3500</v>
      </c>
      <c r="M293" t="s">
        <v>29</v>
      </c>
      <c r="N293" s="1">
        <v>3500</v>
      </c>
      <c r="O293" s="1">
        <v>3500</v>
      </c>
      <c r="P293" t="s">
        <v>30</v>
      </c>
      <c r="Q293" s="2">
        <v>0.7</v>
      </c>
      <c r="R293" s="1">
        <v>2450</v>
      </c>
      <c r="S293" t="s">
        <v>29</v>
      </c>
      <c r="T293" s="1">
        <v>2450</v>
      </c>
      <c r="V293" t="str">
        <f>VLOOKUP(H293,'[1]팀별 출판사'!A:B,2,0)</f>
        <v>소설1팀</v>
      </c>
      <c r="W293" s="6">
        <f t="shared" si="8"/>
        <v>0</v>
      </c>
      <c r="X293" s="6">
        <f t="shared" si="9"/>
        <v>2450</v>
      </c>
    </row>
    <row r="294" spans="1:24" x14ac:dyDescent="0.3">
      <c r="A294" t="s">
        <v>610</v>
      </c>
      <c r="B294" t="s">
        <v>642</v>
      </c>
      <c r="C294" t="s">
        <v>23</v>
      </c>
      <c r="D294" t="s">
        <v>24</v>
      </c>
      <c r="E294" t="s">
        <v>25</v>
      </c>
      <c r="F294">
        <v>1</v>
      </c>
      <c r="G294">
        <v>9791136905659</v>
      </c>
      <c r="H294" t="s">
        <v>26</v>
      </c>
      <c r="I294" t="s">
        <v>474</v>
      </c>
      <c r="J294" t="s">
        <v>311</v>
      </c>
      <c r="K294" t="s">
        <v>29</v>
      </c>
      <c r="L294" s="1">
        <v>3200</v>
      </c>
      <c r="M294" t="s">
        <v>29</v>
      </c>
      <c r="N294" s="1">
        <v>3200</v>
      </c>
      <c r="O294" s="1">
        <v>3200</v>
      </c>
      <c r="P294" t="s">
        <v>30</v>
      </c>
      <c r="Q294" s="2">
        <v>0.7</v>
      </c>
      <c r="R294" s="1">
        <v>2240</v>
      </c>
      <c r="S294" t="s">
        <v>29</v>
      </c>
      <c r="T294" s="1">
        <v>2240</v>
      </c>
      <c r="V294" t="str">
        <f>VLOOKUP(H294,'[1]팀별 출판사'!A:B,2,0)</f>
        <v>소설1팀</v>
      </c>
      <c r="W294" s="6">
        <f t="shared" si="8"/>
        <v>0</v>
      </c>
      <c r="X294" s="6">
        <f t="shared" si="9"/>
        <v>2240</v>
      </c>
    </row>
    <row r="295" spans="1:24" x14ac:dyDescent="0.3">
      <c r="A295" t="s">
        <v>610</v>
      </c>
      <c r="B295" t="s">
        <v>643</v>
      </c>
      <c r="C295" t="s">
        <v>23</v>
      </c>
      <c r="D295" t="s">
        <v>24</v>
      </c>
      <c r="E295" t="s">
        <v>25</v>
      </c>
      <c r="F295">
        <v>1</v>
      </c>
      <c r="G295">
        <v>9791136903754</v>
      </c>
      <c r="H295" t="s">
        <v>26</v>
      </c>
      <c r="I295" t="s">
        <v>361</v>
      </c>
      <c r="J295" t="s">
        <v>256</v>
      </c>
      <c r="K295" t="s">
        <v>29</v>
      </c>
      <c r="L295">
        <v>0</v>
      </c>
      <c r="M295" t="s">
        <v>29</v>
      </c>
      <c r="N295">
        <v>0</v>
      </c>
      <c r="O295">
        <v>0</v>
      </c>
      <c r="P295" t="s">
        <v>30</v>
      </c>
      <c r="Q295" s="2">
        <v>0.7</v>
      </c>
      <c r="R295">
        <v>0</v>
      </c>
      <c r="V295" t="str">
        <f>VLOOKUP(H295,'[1]팀별 출판사'!A:B,2,0)</f>
        <v>소설1팀</v>
      </c>
      <c r="W295" s="6">
        <f t="shared" si="8"/>
        <v>0</v>
      </c>
      <c r="X295" s="6">
        <f t="shared" si="9"/>
        <v>0</v>
      </c>
    </row>
    <row r="296" spans="1:24" x14ac:dyDescent="0.3">
      <c r="A296" t="s">
        <v>610</v>
      </c>
      <c r="B296" t="s">
        <v>644</v>
      </c>
      <c r="C296" t="s">
        <v>23</v>
      </c>
      <c r="D296" t="s">
        <v>24</v>
      </c>
      <c r="E296" t="s">
        <v>25</v>
      </c>
      <c r="F296">
        <v>1</v>
      </c>
      <c r="G296">
        <v>9791136931375</v>
      </c>
      <c r="H296" t="s">
        <v>32</v>
      </c>
      <c r="I296" t="s">
        <v>189</v>
      </c>
      <c r="J296" t="s">
        <v>46</v>
      </c>
      <c r="K296" t="s">
        <v>29</v>
      </c>
      <c r="L296">
        <v>0</v>
      </c>
      <c r="M296" t="s">
        <v>47</v>
      </c>
      <c r="N296">
        <v>0</v>
      </c>
      <c r="O296">
        <v>0</v>
      </c>
      <c r="P296" t="s">
        <v>48</v>
      </c>
      <c r="Q296" s="2">
        <v>0.7</v>
      </c>
      <c r="R296">
        <v>0</v>
      </c>
      <c r="V296" t="str">
        <f>VLOOKUP(H296,'[1]팀별 출판사'!A:B,2,0)</f>
        <v>소설1팀</v>
      </c>
      <c r="W296" s="6">
        <f t="shared" si="8"/>
        <v>0</v>
      </c>
      <c r="X296" s="6">
        <f t="shared" si="9"/>
        <v>0</v>
      </c>
    </row>
    <row r="297" spans="1:24" x14ac:dyDescent="0.3">
      <c r="A297" t="s">
        <v>610</v>
      </c>
      <c r="B297" t="s">
        <v>645</v>
      </c>
      <c r="C297" t="s">
        <v>23</v>
      </c>
      <c r="D297" t="s">
        <v>24</v>
      </c>
      <c r="E297" t="s">
        <v>25</v>
      </c>
      <c r="F297">
        <v>1</v>
      </c>
      <c r="G297">
        <v>9791136928030</v>
      </c>
      <c r="H297" t="s">
        <v>26</v>
      </c>
      <c r="I297" t="s">
        <v>366</v>
      </c>
      <c r="J297" t="s">
        <v>367</v>
      </c>
      <c r="K297" t="s">
        <v>29</v>
      </c>
      <c r="L297">
        <v>0</v>
      </c>
      <c r="M297" t="s">
        <v>29</v>
      </c>
      <c r="N297">
        <v>0</v>
      </c>
      <c r="O297">
        <v>0</v>
      </c>
      <c r="P297" t="s">
        <v>30</v>
      </c>
      <c r="Q297" s="2">
        <v>0.7</v>
      </c>
      <c r="R297">
        <v>0</v>
      </c>
      <c r="V297" t="str">
        <f>VLOOKUP(H297,'[1]팀별 출판사'!A:B,2,0)</f>
        <v>소설1팀</v>
      </c>
      <c r="W297" s="6">
        <f t="shared" si="8"/>
        <v>0</v>
      </c>
      <c r="X297" s="6">
        <f t="shared" si="9"/>
        <v>0</v>
      </c>
    </row>
    <row r="298" spans="1:24" x14ac:dyDescent="0.3">
      <c r="A298" t="s">
        <v>610</v>
      </c>
      <c r="B298" t="s">
        <v>646</v>
      </c>
      <c r="C298" t="s">
        <v>23</v>
      </c>
      <c r="D298" t="s">
        <v>24</v>
      </c>
      <c r="E298" t="s">
        <v>25</v>
      </c>
      <c r="F298">
        <v>1</v>
      </c>
      <c r="G298">
        <v>9791133105502</v>
      </c>
      <c r="H298" t="s">
        <v>32</v>
      </c>
      <c r="I298" t="s">
        <v>647</v>
      </c>
      <c r="J298" t="s">
        <v>88</v>
      </c>
      <c r="K298" t="s">
        <v>29</v>
      </c>
      <c r="L298" s="1">
        <v>3200</v>
      </c>
      <c r="M298" t="s">
        <v>29</v>
      </c>
      <c r="N298" s="1">
        <v>3200</v>
      </c>
      <c r="O298" s="1">
        <v>3200</v>
      </c>
      <c r="P298" t="s">
        <v>30</v>
      </c>
      <c r="Q298" s="2">
        <v>0.7</v>
      </c>
      <c r="R298" s="1">
        <v>2240</v>
      </c>
      <c r="S298" t="s">
        <v>29</v>
      </c>
      <c r="T298" s="1">
        <v>2240</v>
      </c>
      <c r="V298" t="str">
        <f>VLOOKUP(H298,'[1]팀별 출판사'!A:B,2,0)</f>
        <v>소설1팀</v>
      </c>
      <c r="W298" s="6">
        <f t="shared" si="8"/>
        <v>0</v>
      </c>
      <c r="X298" s="6">
        <f t="shared" si="9"/>
        <v>2240</v>
      </c>
    </row>
    <row r="299" spans="1:24" x14ac:dyDescent="0.3">
      <c r="A299" t="s">
        <v>610</v>
      </c>
      <c r="B299" t="s">
        <v>648</v>
      </c>
      <c r="C299" t="s">
        <v>23</v>
      </c>
      <c r="D299" t="s">
        <v>24</v>
      </c>
      <c r="E299" t="s">
        <v>25</v>
      </c>
      <c r="F299">
        <v>1</v>
      </c>
      <c r="G299">
        <v>9791133186501</v>
      </c>
      <c r="H299" t="s">
        <v>26</v>
      </c>
      <c r="I299" t="s">
        <v>64</v>
      </c>
      <c r="J299" t="s">
        <v>65</v>
      </c>
      <c r="K299" t="s">
        <v>29</v>
      </c>
      <c r="L299">
        <v>0</v>
      </c>
      <c r="M299" t="s">
        <v>29</v>
      </c>
      <c r="N299">
        <v>0</v>
      </c>
      <c r="O299">
        <v>0</v>
      </c>
      <c r="P299" t="s">
        <v>30</v>
      </c>
      <c r="Q299" s="2">
        <v>0.7</v>
      </c>
      <c r="R299">
        <v>0</v>
      </c>
      <c r="V299" t="str">
        <f>VLOOKUP(H299,'[1]팀별 출판사'!A:B,2,0)</f>
        <v>소설1팀</v>
      </c>
      <c r="W299" s="6">
        <f t="shared" si="8"/>
        <v>0</v>
      </c>
      <c r="X299" s="6">
        <f t="shared" si="9"/>
        <v>0</v>
      </c>
    </row>
    <row r="300" spans="1:24" x14ac:dyDescent="0.3">
      <c r="A300" t="s">
        <v>610</v>
      </c>
      <c r="B300" t="s">
        <v>649</v>
      </c>
      <c r="C300" t="s">
        <v>23</v>
      </c>
      <c r="D300" t="s">
        <v>24</v>
      </c>
      <c r="E300" t="s">
        <v>25</v>
      </c>
      <c r="F300">
        <v>1</v>
      </c>
      <c r="G300">
        <v>9791136931399</v>
      </c>
      <c r="H300" t="s">
        <v>32</v>
      </c>
      <c r="I300" t="s">
        <v>482</v>
      </c>
      <c r="J300" t="s">
        <v>46</v>
      </c>
      <c r="K300" t="s">
        <v>29</v>
      </c>
      <c r="L300">
        <v>0</v>
      </c>
      <c r="M300" t="s">
        <v>29</v>
      </c>
      <c r="N300">
        <v>0</v>
      </c>
      <c r="O300">
        <v>0</v>
      </c>
      <c r="P300" t="s">
        <v>30</v>
      </c>
      <c r="Q300" s="2">
        <v>0.7</v>
      </c>
      <c r="R300">
        <v>0</v>
      </c>
      <c r="V300" t="str">
        <f>VLOOKUP(H300,'[1]팀별 출판사'!A:B,2,0)</f>
        <v>소설1팀</v>
      </c>
      <c r="W300" s="6">
        <f t="shared" si="8"/>
        <v>0</v>
      </c>
      <c r="X300" s="6">
        <f t="shared" si="9"/>
        <v>0</v>
      </c>
    </row>
    <row r="301" spans="1:24" x14ac:dyDescent="0.3">
      <c r="A301" t="s">
        <v>610</v>
      </c>
      <c r="B301" t="s">
        <v>650</v>
      </c>
      <c r="C301" t="s">
        <v>23</v>
      </c>
      <c r="D301" t="s">
        <v>24</v>
      </c>
      <c r="E301" t="s">
        <v>25</v>
      </c>
      <c r="F301">
        <v>1</v>
      </c>
      <c r="G301">
        <v>9791136943989</v>
      </c>
      <c r="H301" t="s">
        <v>26</v>
      </c>
      <c r="I301" t="s">
        <v>651</v>
      </c>
      <c r="J301" t="s">
        <v>652</v>
      </c>
      <c r="K301" t="s">
        <v>29</v>
      </c>
      <c r="L301">
        <v>0</v>
      </c>
      <c r="M301" t="s">
        <v>29</v>
      </c>
      <c r="N301">
        <v>0</v>
      </c>
      <c r="O301">
        <v>0</v>
      </c>
      <c r="P301" t="s">
        <v>30</v>
      </c>
      <c r="Q301" s="2">
        <v>0.7</v>
      </c>
      <c r="R301">
        <v>0</v>
      </c>
      <c r="V301" t="str">
        <f>VLOOKUP(H301,'[1]팀별 출판사'!A:B,2,0)</f>
        <v>소설1팀</v>
      </c>
      <c r="W301" s="6">
        <f t="shared" si="8"/>
        <v>0</v>
      </c>
      <c r="X301" s="6">
        <f t="shared" si="9"/>
        <v>0</v>
      </c>
    </row>
    <row r="302" spans="1:24" x14ac:dyDescent="0.3">
      <c r="A302" t="s">
        <v>610</v>
      </c>
      <c r="B302" t="s">
        <v>653</v>
      </c>
      <c r="C302" t="s">
        <v>23</v>
      </c>
      <c r="D302" t="s">
        <v>24</v>
      </c>
      <c r="E302" t="s">
        <v>25</v>
      </c>
      <c r="F302">
        <v>1</v>
      </c>
      <c r="G302">
        <v>9791175306073</v>
      </c>
      <c r="H302" t="s">
        <v>26</v>
      </c>
      <c r="I302" t="s">
        <v>654</v>
      </c>
      <c r="J302" t="s">
        <v>311</v>
      </c>
      <c r="K302" t="s">
        <v>29</v>
      </c>
      <c r="L302">
        <v>0</v>
      </c>
      <c r="M302" t="s">
        <v>148</v>
      </c>
      <c r="N302">
        <v>0</v>
      </c>
      <c r="O302">
        <v>0</v>
      </c>
      <c r="P302" t="s">
        <v>149</v>
      </c>
      <c r="Q302" s="2">
        <v>0.7</v>
      </c>
      <c r="R302">
        <v>0</v>
      </c>
      <c r="V302" t="str">
        <f>VLOOKUP(H302,'[1]팀별 출판사'!A:B,2,0)</f>
        <v>소설1팀</v>
      </c>
      <c r="W302" s="6">
        <f t="shared" si="8"/>
        <v>0</v>
      </c>
      <c r="X302" s="6">
        <f t="shared" si="9"/>
        <v>0</v>
      </c>
    </row>
    <row r="303" spans="1:24" x14ac:dyDescent="0.3">
      <c r="A303" t="s">
        <v>610</v>
      </c>
      <c r="B303" t="s">
        <v>655</v>
      </c>
      <c r="C303" t="s">
        <v>23</v>
      </c>
      <c r="D303" t="s">
        <v>24</v>
      </c>
      <c r="E303" t="s">
        <v>25</v>
      </c>
      <c r="F303">
        <v>1</v>
      </c>
      <c r="G303">
        <v>9791136930750</v>
      </c>
      <c r="H303" t="s">
        <v>32</v>
      </c>
      <c r="I303" t="s">
        <v>656</v>
      </c>
      <c r="J303" t="s">
        <v>157</v>
      </c>
      <c r="K303" t="s">
        <v>29</v>
      </c>
      <c r="L303">
        <v>0</v>
      </c>
      <c r="M303" t="s">
        <v>29</v>
      </c>
      <c r="N303">
        <v>0</v>
      </c>
      <c r="O303">
        <v>0</v>
      </c>
      <c r="P303" t="s">
        <v>30</v>
      </c>
      <c r="Q303" s="2">
        <v>0.7</v>
      </c>
      <c r="R303">
        <v>0</v>
      </c>
      <c r="V303" t="str">
        <f>VLOOKUP(H303,'[1]팀별 출판사'!A:B,2,0)</f>
        <v>소설1팀</v>
      </c>
      <c r="W303" s="6">
        <f t="shared" si="8"/>
        <v>0</v>
      </c>
      <c r="X303" s="6">
        <f t="shared" si="9"/>
        <v>0</v>
      </c>
    </row>
    <row r="304" spans="1:24" x14ac:dyDescent="0.3">
      <c r="A304" t="s">
        <v>610</v>
      </c>
      <c r="B304" t="s">
        <v>657</v>
      </c>
      <c r="C304" t="s">
        <v>23</v>
      </c>
      <c r="D304" t="s">
        <v>24</v>
      </c>
      <c r="E304" t="s">
        <v>25</v>
      </c>
      <c r="F304">
        <v>1</v>
      </c>
      <c r="G304">
        <v>9791136927255</v>
      </c>
      <c r="H304" t="s">
        <v>36</v>
      </c>
      <c r="I304" t="s">
        <v>90</v>
      </c>
      <c r="J304" t="s">
        <v>38</v>
      </c>
      <c r="K304" t="s">
        <v>29</v>
      </c>
      <c r="L304" s="1">
        <v>3300</v>
      </c>
      <c r="M304" t="s">
        <v>83</v>
      </c>
      <c r="N304">
        <v>115.62</v>
      </c>
      <c r="O304">
        <v>96.35</v>
      </c>
      <c r="P304" t="s">
        <v>84</v>
      </c>
      <c r="Q304" s="2">
        <v>0.7</v>
      </c>
      <c r="R304">
        <v>67.44</v>
      </c>
      <c r="S304" t="s">
        <v>29</v>
      </c>
      <c r="T304" s="1">
        <v>2263</v>
      </c>
      <c r="U304">
        <v>33.507269999999998</v>
      </c>
      <c r="V304" t="str">
        <f>VLOOKUP(H304,'[1]팀별 출판사'!A:B,2,0)</f>
        <v>소설2팀</v>
      </c>
      <c r="W304" s="6">
        <f t="shared" si="8"/>
        <v>0</v>
      </c>
      <c r="X304" s="6">
        <f t="shared" si="9"/>
        <v>2263</v>
      </c>
    </row>
    <row r="305" spans="1:24" x14ac:dyDescent="0.3">
      <c r="A305" t="s">
        <v>610</v>
      </c>
      <c r="B305" t="s">
        <v>658</v>
      </c>
      <c r="C305" t="s">
        <v>23</v>
      </c>
      <c r="D305" t="s">
        <v>24</v>
      </c>
      <c r="E305" t="s">
        <v>25</v>
      </c>
      <c r="F305">
        <v>1</v>
      </c>
      <c r="G305">
        <v>9791173785092</v>
      </c>
      <c r="H305" t="s">
        <v>26</v>
      </c>
      <c r="I305" t="s">
        <v>327</v>
      </c>
      <c r="J305" t="s">
        <v>62</v>
      </c>
      <c r="K305" t="s">
        <v>29</v>
      </c>
      <c r="L305">
        <v>0</v>
      </c>
      <c r="M305" t="s">
        <v>29</v>
      </c>
      <c r="N305">
        <v>0</v>
      </c>
      <c r="O305">
        <v>0</v>
      </c>
      <c r="P305" t="s">
        <v>30</v>
      </c>
      <c r="Q305" s="2">
        <v>0.7</v>
      </c>
      <c r="R305">
        <v>0</v>
      </c>
      <c r="V305" t="str">
        <f>VLOOKUP(H305,'[1]팀별 출판사'!A:B,2,0)</f>
        <v>소설1팀</v>
      </c>
      <c r="W305" s="6">
        <f t="shared" si="8"/>
        <v>0</v>
      </c>
      <c r="X305" s="6">
        <f t="shared" si="9"/>
        <v>0</v>
      </c>
    </row>
    <row r="306" spans="1:24" x14ac:dyDescent="0.3">
      <c r="A306" t="s">
        <v>610</v>
      </c>
      <c r="B306" t="s">
        <v>659</v>
      </c>
      <c r="C306" t="s">
        <v>23</v>
      </c>
      <c r="D306" t="s">
        <v>24</v>
      </c>
      <c r="E306" t="s">
        <v>25</v>
      </c>
      <c r="F306">
        <v>1</v>
      </c>
      <c r="G306">
        <v>9791136931382</v>
      </c>
      <c r="H306" t="s">
        <v>32</v>
      </c>
      <c r="I306" t="s">
        <v>523</v>
      </c>
      <c r="J306" t="s">
        <v>46</v>
      </c>
      <c r="K306" t="s">
        <v>29</v>
      </c>
      <c r="L306">
        <v>0</v>
      </c>
      <c r="M306" t="s">
        <v>47</v>
      </c>
      <c r="N306">
        <v>0</v>
      </c>
      <c r="O306">
        <v>0</v>
      </c>
      <c r="P306" t="s">
        <v>48</v>
      </c>
      <c r="Q306" s="2">
        <v>0.7</v>
      </c>
      <c r="R306">
        <v>0</v>
      </c>
      <c r="V306" t="str">
        <f>VLOOKUP(H306,'[1]팀별 출판사'!A:B,2,0)</f>
        <v>소설1팀</v>
      </c>
      <c r="W306" s="6">
        <f t="shared" si="8"/>
        <v>0</v>
      </c>
      <c r="X306" s="6">
        <f t="shared" si="9"/>
        <v>0</v>
      </c>
    </row>
    <row r="307" spans="1:24" x14ac:dyDescent="0.3">
      <c r="A307" t="s">
        <v>610</v>
      </c>
      <c r="B307" t="s">
        <v>660</v>
      </c>
      <c r="C307" t="s">
        <v>23</v>
      </c>
      <c r="D307" t="s">
        <v>24</v>
      </c>
      <c r="E307" t="s">
        <v>25</v>
      </c>
      <c r="F307">
        <v>1</v>
      </c>
      <c r="G307">
        <v>9791136930491</v>
      </c>
      <c r="H307" t="s">
        <v>26</v>
      </c>
      <c r="I307" t="s">
        <v>151</v>
      </c>
      <c r="J307" t="s">
        <v>46</v>
      </c>
      <c r="K307" t="s">
        <v>29</v>
      </c>
      <c r="L307">
        <v>0</v>
      </c>
      <c r="M307" t="s">
        <v>47</v>
      </c>
      <c r="N307">
        <v>0</v>
      </c>
      <c r="O307">
        <v>0</v>
      </c>
      <c r="P307" t="s">
        <v>48</v>
      </c>
      <c r="Q307" s="2">
        <v>0.7</v>
      </c>
      <c r="R307">
        <v>0</v>
      </c>
      <c r="V307" t="str">
        <f>VLOOKUP(H307,'[1]팀별 출판사'!A:B,2,0)</f>
        <v>소설1팀</v>
      </c>
      <c r="W307" s="6">
        <f t="shared" si="8"/>
        <v>0</v>
      </c>
      <c r="X307" s="6">
        <f t="shared" si="9"/>
        <v>0</v>
      </c>
    </row>
    <row r="308" spans="1:24" x14ac:dyDescent="0.3">
      <c r="A308" t="s">
        <v>610</v>
      </c>
      <c r="B308" t="s">
        <v>661</v>
      </c>
      <c r="C308" t="s">
        <v>23</v>
      </c>
      <c r="D308" t="s">
        <v>24</v>
      </c>
      <c r="E308" t="s">
        <v>25</v>
      </c>
      <c r="F308">
        <v>1</v>
      </c>
      <c r="G308">
        <v>9791133105908</v>
      </c>
      <c r="H308" t="s">
        <v>32</v>
      </c>
      <c r="I308" t="s">
        <v>662</v>
      </c>
      <c r="J308" t="s">
        <v>663</v>
      </c>
      <c r="K308" t="s">
        <v>29</v>
      </c>
      <c r="L308">
        <v>0</v>
      </c>
      <c r="M308" t="s">
        <v>29</v>
      </c>
      <c r="N308">
        <v>0</v>
      </c>
      <c r="O308">
        <v>0</v>
      </c>
      <c r="P308" t="s">
        <v>30</v>
      </c>
      <c r="Q308" s="2">
        <v>0.7</v>
      </c>
      <c r="R308">
        <v>0</v>
      </c>
      <c r="V308" t="str">
        <f>VLOOKUP(H308,'[1]팀별 출판사'!A:B,2,0)</f>
        <v>소설1팀</v>
      </c>
      <c r="W308" s="6">
        <f t="shared" si="8"/>
        <v>0</v>
      </c>
      <c r="X308" s="6">
        <f t="shared" si="9"/>
        <v>0</v>
      </c>
    </row>
    <row r="309" spans="1:24" x14ac:dyDescent="0.3">
      <c r="A309" t="s">
        <v>610</v>
      </c>
      <c r="B309" t="s">
        <v>664</v>
      </c>
      <c r="C309" t="s">
        <v>23</v>
      </c>
      <c r="D309" t="s">
        <v>24</v>
      </c>
      <c r="E309" t="s">
        <v>25</v>
      </c>
      <c r="F309">
        <v>1</v>
      </c>
      <c r="G309">
        <v>9791136930491</v>
      </c>
      <c r="H309" t="s">
        <v>26</v>
      </c>
      <c r="I309" t="s">
        <v>151</v>
      </c>
      <c r="J309" t="s">
        <v>46</v>
      </c>
      <c r="K309" t="s">
        <v>29</v>
      </c>
      <c r="L309">
        <v>0</v>
      </c>
      <c r="M309" t="s">
        <v>47</v>
      </c>
      <c r="N309">
        <v>0</v>
      </c>
      <c r="O309">
        <v>0</v>
      </c>
      <c r="P309" t="s">
        <v>48</v>
      </c>
      <c r="Q309" s="2">
        <v>0.7</v>
      </c>
      <c r="R309">
        <v>0</v>
      </c>
      <c r="V309" t="str">
        <f>VLOOKUP(H309,'[1]팀별 출판사'!A:B,2,0)</f>
        <v>소설1팀</v>
      </c>
      <c r="W309" s="6">
        <f t="shared" si="8"/>
        <v>0</v>
      </c>
      <c r="X309" s="6">
        <f t="shared" si="9"/>
        <v>0</v>
      </c>
    </row>
    <row r="310" spans="1:24" x14ac:dyDescent="0.3">
      <c r="A310" t="s">
        <v>610</v>
      </c>
      <c r="B310" t="s">
        <v>665</v>
      </c>
      <c r="C310" t="s">
        <v>23</v>
      </c>
      <c r="D310" t="s">
        <v>24</v>
      </c>
      <c r="E310" t="s">
        <v>25</v>
      </c>
      <c r="F310">
        <v>1</v>
      </c>
      <c r="G310">
        <v>9791136930552</v>
      </c>
      <c r="H310" t="s">
        <v>26</v>
      </c>
      <c r="I310" t="s">
        <v>45</v>
      </c>
      <c r="J310" t="s">
        <v>46</v>
      </c>
      <c r="K310" t="s">
        <v>29</v>
      </c>
      <c r="L310">
        <v>0</v>
      </c>
      <c r="M310" t="s">
        <v>47</v>
      </c>
      <c r="N310">
        <v>0</v>
      </c>
      <c r="O310">
        <v>0</v>
      </c>
      <c r="P310" t="s">
        <v>48</v>
      </c>
      <c r="Q310" s="2">
        <v>0.7</v>
      </c>
      <c r="R310">
        <v>0</v>
      </c>
      <c r="V310" t="str">
        <f>VLOOKUP(H310,'[1]팀별 출판사'!A:B,2,0)</f>
        <v>소설1팀</v>
      </c>
      <c r="W310" s="6">
        <f t="shared" si="8"/>
        <v>0</v>
      </c>
      <c r="X310" s="6">
        <f t="shared" si="9"/>
        <v>0</v>
      </c>
    </row>
    <row r="311" spans="1:24" x14ac:dyDescent="0.3">
      <c r="A311" t="s">
        <v>610</v>
      </c>
      <c r="B311" t="s">
        <v>666</v>
      </c>
      <c r="C311" t="s">
        <v>23</v>
      </c>
      <c r="D311" t="s">
        <v>24</v>
      </c>
      <c r="E311" t="s">
        <v>25</v>
      </c>
      <c r="F311">
        <v>1</v>
      </c>
      <c r="G311">
        <v>9791133186501</v>
      </c>
      <c r="H311" t="s">
        <v>26</v>
      </c>
      <c r="I311" t="s">
        <v>64</v>
      </c>
      <c r="J311" t="s">
        <v>65</v>
      </c>
      <c r="K311" t="s">
        <v>29</v>
      </c>
      <c r="L311">
        <v>0</v>
      </c>
      <c r="M311" t="s">
        <v>29</v>
      </c>
      <c r="N311">
        <v>0</v>
      </c>
      <c r="O311">
        <v>0</v>
      </c>
      <c r="P311" t="s">
        <v>30</v>
      </c>
      <c r="Q311" s="2">
        <v>0.7</v>
      </c>
      <c r="R311">
        <v>0</v>
      </c>
      <c r="V311" t="str">
        <f>VLOOKUP(H311,'[1]팀별 출판사'!A:B,2,0)</f>
        <v>소설1팀</v>
      </c>
      <c r="W311" s="6">
        <f t="shared" si="8"/>
        <v>0</v>
      </c>
      <c r="X311" s="6">
        <f t="shared" si="9"/>
        <v>0</v>
      </c>
    </row>
    <row r="312" spans="1:24" x14ac:dyDescent="0.3">
      <c r="A312" t="s">
        <v>610</v>
      </c>
      <c r="B312" t="s">
        <v>667</v>
      </c>
      <c r="C312" t="s">
        <v>23</v>
      </c>
      <c r="D312" t="s">
        <v>24</v>
      </c>
      <c r="E312" t="s">
        <v>25</v>
      </c>
      <c r="F312">
        <v>1</v>
      </c>
      <c r="G312">
        <v>9791157532186</v>
      </c>
      <c r="H312" t="s">
        <v>32</v>
      </c>
      <c r="I312" t="s">
        <v>381</v>
      </c>
      <c r="J312" t="s">
        <v>112</v>
      </c>
      <c r="K312" t="s">
        <v>29</v>
      </c>
      <c r="L312" s="1">
        <v>3200</v>
      </c>
      <c r="M312" t="s">
        <v>29</v>
      </c>
      <c r="N312" s="1">
        <v>3200</v>
      </c>
      <c r="O312" s="1">
        <v>3200</v>
      </c>
      <c r="P312" t="s">
        <v>30</v>
      </c>
      <c r="Q312" s="2">
        <v>0.7</v>
      </c>
      <c r="R312" s="1">
        <v>2240</v>
      </c>
      <c r="S312" t="s">
        <v>29</v>
      </c>
      <c r="T312" s="1">
        <v>2240</v>
      </c>
      <c r="V312" t="str">
        <f>VLOOKUP(H312,'[1]팀별 출판사'!A:B,2,0)</f>
        <v>소설1팀</v>
      </c>
      <c r="W312" s="6">
        <f t="shared" si="8"/>
        <v>0</v>
      </c>
      <c r="X312" s="6">
        <f t="shared" si="9"/>
        <v>2240</v>
      </c>
    </row>
    <row r="313" spans="1:24" x14ac:dyDescent="0.3">
      <c r="A313" t="s">
        <v>610</v>
      </c>
      <c r="B313" t="s">
        <v>668</v>
      </c>
      <c r="C313" t="s">
        <v>23</v>
      </c>
      <c r="D313" t="s">
        <v>24</v>
      </c>
      <c r="E313" t="s">
        <v>25</v>
      </c>
      <c r="F313">
        <v>1</v>
      </c>
      <c r="G313">
        <v>9791133130184</v>
      </c>
      <c r="H313" t="s">
        <v>32</v>
      </c>
      <c r="I313" t="s">
        <v>669</v>
      </c>
      <c r="J313" t="s">
        <v>160</v>
      </c>
      <c r="K313" t="s">
        <v>29</v>
      </c>
      <c r="L313">
        <v>0</v>
      </c>
      <c r="M313" t="s">
        <v>29</v>
      </c>
      <c r="N313">
        <v>0</v>
      </c>
      <c r="O313">
        <v>0</v>
      </c>
      <c r="P313" t="s">
        <v>30</v>
      </c>
      <c r="Q313" s="2">
        <v>0.7</v>
      </c>
      <c r="R313">
        <v>0</v>
      </c>
      <c r="V313" t="str">
        <f>VLOOKUP(H313,'[1]팀별 출판사'!A:B,2,0)</f>
        <v>소설1팀</v>
      </c>
      <c r="W313" s="6">
        <f t="shared" si="8"/>
        <v>0</v>
      </c>
      <c r="X313" s="6">
        <f t="shared" si="9"/>
        <v>0</v>
      </c>
    </row>
    <row r="314" spans="1:24" x14ac:dyDescent="0.3">
      <c r="A314" t="s">
        <v>610</v>
      </c>
      <c r="B314" t="s">
        <v>670</v>
      </c>
      <c r="C314" t="s">
        <v>23</v>
      </c>
      <c r="D314" t="s">
        <v>24</v>
      </c>
      <c r="E314" t="s">
        <v>25</v>
      </c>
      <c r="F314">
        <v>1</v>
      </c>
      <c r="G314">
        <v>9791133169290</v>
      </c>
      <c r="H314" t="s">
        <v>32</v>
      </c>
      <c r="I314" t="s">
        <v>671</v>
      </c>
      <c r="J314" t="s">
        <v>160</v>
      </c>
      <c r="K314" t="s">
        <v>29</v>
      </c>
      <c r="L314">
        <v>0</v>
      </c>
      <c r="M314" t="s">
        <v>29</v>
      </c>
      <c r="N314">
        <v>0</v>
      </c>
      <c r="O314">
        <v>0</v>
      </c>
      <c r="P314" t="s">
        <v>30</v>
      </c>
      <c r="Q314" s="2">
        <v>0.7</v>
      </c>
      <c r="R314">
        <v>0</v>
      </c>
      <c r="V314" t="str">
        <f>VLOOKUP(H314,'[1]팀별 출판사'!A:B,2,0)</f>
        <v>소설1팀</v>
      </c>
      <c r="W314" s="6">
        <f t="shared" si="8"/>
        <v>0</v>
      </c>
      <c r="X314" s="6">
        <f t="shared" si="9"/>
        <v>0</v>
      </c>
    </row>
    <row r="315" spans="1:24" x14ac:dyDescent="0.3">
      <c r="A315" t="s">
        <v>610</v>
      </c>
      <c r="B315" t="s">
        <v>672</v>
      </c>
      <c r="C315" t="s">
        <v>23</v>
      </c>
      <c r="D315" t="s">
        <v>24</v>
      </c>
      <c r="E315" t="s">
        <v>25</v>
      </c>
      <c r="F315">
        <v>1</v>
      </c>
      <c r="G315">
        <v>9791133102716</v>
      </c>
      <c r="H315" t="s">
        <v>32</v>
      </c>
      <c r="I315" t="s">
        <v>673</v>
      </c>
      <c r="J315" t="s">
        <v>51</v>
      </c>
      <c r="K315" t="s">
        <v>29</v>
      </c>
      <c r="L315">
        <v>0</v>
      </c>
      <c r="M315" t="s">
        <v>29</v>
      </c>
      <c r="N315">
        <v>0</v>
      </c>
      <c r="O315">
        <v>0</v>
      </c>
      <c r="P315" t="s">
        <v>30</v>
      </c>
      <c r="Q315" s="2">
        <v>0.7</v>
      </c>
      <c r="R315">
        <v>0</v>
      </c>
      <c r="V315" t="str">
        <f>VLOOKUP(H315,'[1]팀별 출판사'!A:B,2,0)</f>
        <v>소설1팀</v>
      </c>
      <c r="W315" s="6">
        <f t="shared" si="8"/>
        <v>0</v>
      </c>
      <c r="X315" s="6">
        <f t="shared" si="9"/>
        <v>0</v>
      </c>
    </row>
    <row r="316" spans="1:24" x14ac:dyDescent="0.3">
      <c r="A316" t="s">
        <v>610</v>
      </c>
      <c r="B316" t="s">
        <v>674</v>
      </c>
      <c r="C316" t="s">
        <v>23</v>
      </c>
      <c r="D316" t="s">
        <v>24</v>
      </c>
      <c r="E316" t="s">
        <v>25</v>
      </c>
      <c r="F316">
        <v>1</v>
      </c>
      <c r="G316">
        <v>9791133102662</v>
      </c>
      <c r="H316" t="s">
        <v>32</v>
      </c>
      <c r="I316" t="s">
        <v>675</v>
      </c>
      <c r="J316" t="s">
        <v>51</v>
      </c>
      <c r="K316" t="s">
        <v>29</v>
      </c>
      <c r="L316">
        <v>0</v>
      </c>
      <c r="M316" t="s">
        <v>29</v>
      </c>
      <c r="N316">
        <v>0</v>
      </c>
      <c r="O316">
        <v>0</v>
      </c>
      <c r="P316" t="s">
        <v>30</v>
      </c>
      <c r="Q316" s="2">
        <v>0.7</v>
      </c>
      <c r="R316">
        <v>0</v>
      </c>
      <c r="V316" t="str">
        <f>VLOOKUP(H316,'[1]팀별 출판사'!A:B,2,0)</f>
        <v>소설1팀</v>
      </c>
      <c r="W316" s="6">
        <f t="shared" si="8"/>
        <v>0</v>
      </c>
      <c r="X316" s="6">
        <f t="shared" si="9"/>
        <v>0</v>
      </c>
    </row>
    <row r="317" spans="1:24" x14ac:dyDescent="0.3">
      <c r="A317" t="s">
        <v>610</v>
      </c>
      <c r="B317" t="s">
        <v>676</v>
      </c>
      <c r="C317" t="s">
        <v>23</v>
      </c>
      <c r="D317" t="s">
        <v>24</v>
      </c>
      <c r="E317" t="s">
        <v>25</v>
      </c>
      <c r="F317">
        <v>1</v>
      </c>
      <c r="G317">
        <v>9791136930552</v>
      </c>
      <c r="H317" t="s">
        <v>26</v>
      </c>
      <c r="I317" t="s">
        <v>45</v>
      </c>
      <c r="J317" t="s">
        <v>46</v>
      </c>
      <c r="K317" t="s">
        <v>29</v>
      </c>
      <c r="L317">
        <v>0</v>
      </c>
      <c r="M317" t="s">
        <v>47</v>
      </c>
      <c r="N317">
        <v>0</v>
      </c>
      <c r="O317">
        <v>0</v>
      </c>
      <c r="P317" t="s">
        <v>48</v>
      </c>
      <c r="Q317" s="2">
        <v>0.7</v>
      </c>
      <c r="R317">
        <v>0</v>
      </c>
      <c r="V317" t="str">
        <f>VLOOKUP(H317,'[1]팀별 출판사'!A:B,2,0)</f>
        <v>소설1팀</v>
      </c>
      <c r="W317" s="6">
        <f t="shared" si="8"/>
        <v>0</v>
      </c>
      <c r="X317" s="6">
        <f t="shared" si="9"/>
        <v>0</v>
      </c>
    </row>
    <row r="318" spans="1:24" x14ac:dyDescent="0.3">
      <c r="A318" t="s">
        <v>610</v>
      </c>
      <c r="B318" t="s">
        <v>677</v>
      </c>
      <c r="C318" t="s">
        <v>23</v>
      </c>
      <c r="D318" t="s">
        <v>24</v>
      </c>
      <c r="E318" t="s">
        <v>25</v>
      </c>
      <c r="F318">
        <v>1</v>
      </c>
      <c r="G318">
        <v>9791133186501</v>
      </c>
      <c r="H318" t="s">
        <v>26</v>
      </c>
      <c r="I318" t="s">
        <v>64</v>
      </c>
      <c r="J318" t="s">
        <v>65</v>
      </c>
      <c r="K318" t="s">
        <v>29</v>
      </c>
      <c r="L318">
        <v>0</v>
      </c>
      <c r="M318" t="s">
        <v>29</v>
      </c>
      <c r="N318">
        <v>0</v>
      </c>
      <c r="O318">
        <v>0</v>
      </c>
      <c r="P318" t="s">
        <v>30</v>
      </c>
      <c r="Q318" s="2">
        <v>0.7</v>
      </c>
      <c r="R318">
        <v>0</v>
      </c>
      <c r="V318" t="str">
        <f>VLOOKUP(H318,'[1]팀별 출판사'!A:B,2,0)</f>
        <v>소설1팀</v>
      </c>
      <c r="W318" s="6">
        <f t="shared" si="8"/>
        <v>0</v>
      </c>
      <c r="X318" s="6">
        <f t="shared" si="9"/>
        <v>0</v>
      </c>
    </row>
    <row r="319" spans="1:24" x14ac:dyDescent="0.3">
      <c r="A319" t="s">
        <v>610</v>
      </c>
      <c r="B319" t="s">
        <v>678</v>
      </c>
      <c r="C319" t="s">
        <v>23</v>
      </c>
      <c r="D319" t="s">
        <v>24</v>
      </c>
      <c r="E319" t="s">
        <v>25</v>
      </c>
      <c r="F319">
        <v>1</v>
      </c>
      <c r="G319">
        <v>9791136946782</v>
      </c>
      <c r="H319" t="s">
        <v>26</v>
      </c>
      <c r="I319" t="s">
        <v>291</v>
      </c>
      <c r="J319" t="s">
        <v>28</v>
      </c>
      <c r="K319" t="s">
        <v>29</v>
      </c>
      <c r="L319">
        <v>0</v>
      </c>
      <c r="M319" t="s">
        <v>29</v>
      </c>
      <c r="N319">
        <v>0</v>
      </c>
      <c r="O319">
        <v>0</v>
      </c>
      <c r="P319" t="s">
        <v>30</v>
      </c>
      <c r="Q319" s="2">
        <v>0.7</v>
      </c>
      <c r="R319">
        <v>0</v>
      </c>
      <c r="V319" t="str">
        <f>VLOOKUP(H319,'[1]팀별 출판사'!A:B,2,0)</f>
        <v>소설1팀</v>
      </c>
      <c r="W319" s="6">
        <f t="shared" si="8"/>
        <v>0</v>
      </c>
      <c r="X319" s="6">
        <f t="shared" si="9"/>
        <v>0</v>
      </c>
    </row>
    <row r="320" spans="1:24" x14ac:dyDescent="0.3">
      <c r="A320" t="s">
        <v>610</v>
      </c>
      <c r="B320" t="s">
        <v>679</v>
      </c>
      <c r="C320" t="s">
        <v>23</v>
      </c>
      <c r="D320" t="s">
        <v>24</v>
      </c>
      <c r="E320" t="s">
        <v>25</v>
      </c>
      <c r="F320">
        <v>1</v>
      </c>
      <c r="G320">
        <v>9791194664369</v>
      </c>
      <c r="H320" t="s">
        <v>79</v>
      </c>
      <c r="I320" t="s">
        <v>156</v>
      </c>
      <c r="J320" t="s">
        <v>157</v>
      </c>
      <c r="K320" t="s">
        <v>29</v>
      </c>
      <c r="L320">
        <v>0</v>
      </c>
      <c r="M320" t="s">
        <v>47</v>
      </c>
      <c r="N320">
        <v>0</v>
      </c>
      <c r="O320">
        <v>0</v>
      </c>
      <c r="P320" t="s">
        <v>48</v>
      </c>
      <c r="Q320" s="2">
        <v>0.7</v>
      </c>
      <c r="R320">
        <v>0</v>
      </c>
      <c r="V320" t="str">
        <f>VLOOKUP(H320,'[1]팀별 출판사'!A:B,2,0)</f>
        <v>소설1팀</v>
      </c>
      <c r="W320" s="6">
        <f t="shared" si="8"/>
        <v>0</v>
      </c>
      <c r="X320" s="6">
        <f t="shared" si="9"/>
        <v>0</v>
      </c>
    </row>
    <row r="321" spans="1:24" x14ac:dyDescent="0.3">
      <c r="A321" t="s">
        <v>610</v>
      </c>
      <c r="B321" t="s">
        <v>680</v>
      </c>
      <c r="C321" t="s">
        <v>23</v>
      </c>
      <c r="D321" t="s">
        <v>24</v>
      </c>
      <c r="E321" t="s">
        <v>25</v>
      </c>
      <c r="F321">
        <v>1</v>
      </c>
      <c r="G321" t="s">
        <v>543</v>
      </c>
      <c r="H321" t="s">
        <v>32</v>
      </c>
      <c r="I321" t="s">
        <v>544</v>
      </c>
      <c r="J321" t="s">
        <v>311</v>
      </c>
      <c r="K321" t="s">
        <v>29</v>
      </c>
      <c r="L321">
        <v>0</v>
      </c>
      <c r="M321" t="s">
        <v>29</v>
      </c>
      <c r="N321">
        <v>0</v>
      </c>
      <c r="O321">
        <v>0</v>
      </c>
      <c r="P321" t="s">
        <v>30</v>
      </c>
      <c r="Q321" s="2">
        <v>0.7</v>
      </c>
      <c r="R321">
        <v>0</v>
      </c>
      <c r="V321" t="str">
        <f>VLOOKUP(H321,'[1]팀별 출판사'!A:B,2,0)</f>
        <v>소설1팀</v>
      </c>
      <c r="W321" s="6">
        <f t="shared" si="8"/>
        <v>0</v>
      </c>
      <c r="X321" s="6">
        <f t="shared" si="9"/>
        <v>0</v>
      </c>
    </row>
    <row r="322" spans="1:24" x14ac:dyDescent="0.3">
      <c r="A322" t="s">
        <v>610</v>
      </c>
      <c r="B322" t="s">
        <v>681</v>
      </c>
      <c r="C322" t="s">
        <v>23</v>
      </c>
      <c r="D322" t="s">
        <v>24</v>
      </c>
      <c r="E322" t="s">
        <v>25</v>
      </c>
      <c r="F322">
        <v>1</v>
      </c>
      <c r="G322">
        <v>9791170100522</v>
      </c>
      <c r="H322" t="s">
        <v>67</v>
      </c>
      <c r="I322" t="s">
        <v>682</v>
      </c>
      <c r="J322" t="s">
        <v>683</v>
      </c>
      <c r="K322" t="s">
        <v>29</v>
      </c>
      <c r="L322">
        <v>0</v>
      </c>
      <c r="M322" t="s">
        <v>47</v>
      </c>
      <c r="N322">
        <v>0</v>
      </c>
      <c r="O322">
        <v>0</v>
      </c>
      <c r="P322" t="s">
        <v>48</v>
      </c>
      <c r="Q322" s="2">
        <v>0.7</v>
      </c>
      <c r="R322">
        <v>0</v>
      </c>
      <c r="V322" t="str">
        <f>VLOOKUP(H322,'[1]팀별 출판사'!A:B,2,0)</f>
        <v>소설1팀</v>
      </c>
      <c r="W322" s="6">
        <f t="shared" ref="W322:W385" si="10">IF(P322="US", T322*30%, 0)</f>
        <v>0</v>
      </c>
      <c r="X322" s="6">
        <f t="shared" ref="X322:X385" si="11">T322-W322</f>
        <v>0</v>
      </c>
    </row>
    <row r="323" spans="1:24" x14ac:dyDescent="0.3">
      <c r="A323" t="s">
        <v>610</v>
      </c>
      <c r="B323" t="s">
        <v>684</v>
      </c>
      <c r="C323" t="s">
        <v>23</v>
      </c>
      <c r="D323" t="s">
        <v>24</v>
      </c>
      <c r="E323" t="s">
        <v>25</v>
      </c>
      <c r="F323">
        <v>1</v>
      </c>
      <c r="G323">
        <v>9791136931375</v>
      </c>
      <c r="H323" t="s">
        <v>32</v>
      </c>
      <c r="I323" t="s">
        <v>189</v>
      </c>
      <c r="J323" t="s">
        <v>46</v>
      </c>
      <c r="K323" t="s">
        <v>29</v>
      </c>
      <c r="L323">
        <v>0</v>
      </c>
      <c r="M323" t="s">
        <v>47</v>
      </c>
      <c r="N323">
        <v>0</v>
      </c>
      <c r="O323">
        <v>0</v>
      </c>
      <c r="P323" t="s">
        <v>48</v>
      </c>
      <c r="Q323" s="2">
        <v>0.7</v>
      </c>
      <c r="R323">
        <v>0</v>
      </c>
      <c r="V323" t="str">
        <f>VLOOKUP(H323,'[1]팀별 출판사'!A:B,2,0)</f>
        <v>소설1팀</v>
      </c>
      <c r="W323" s="6">
        <f t="shared" si="10"/>
        <v>0</v>
      </c>
      <c r="X323" s="6">
        <f t="shared" si="11"/>
        <v>0</v>
      </c>
    </row>
    <row r="324" spans="1:24" x14ac:dyDescent="0.3">
      <c r="A324" t="s">
        <v>610</v>
      </c>
      <c r="B324" t="s">
        <v>685</v>
      </c>
      <c r="C324" t="s">
        <v>23</v>
      </c>
      <c r="D324" t="s">
        <v>24</v>
      </c>
      <c r="E324" t="s">
        <v>25</v>
      </c>
      <c r="F324">
        <v>1</v>
      </c>
      <c r="G324">
        <v>9791136930552</v>
      </c>
      <c r="H324" t="s">
        <v>26</v>
      </c>
      <c r="I324" t="s">
        <v>45</v>
      </c>
      <c r="J324" t="s">
        <v>46</v>
      </c>
      <c r="K324" t="s">
        <v>29</v>
      </c>
      <c r="L324">
        <v>0</v>
      </c>
      <c r="M324" t="s">
        <v>47</v>
      </c>
      <c r="N324">
        <v>0</v>
      </c>
      <c r="O324">
        <v>0</v>
      </c>
      <c r="P324" t="s">
        <v>48</v>
      </c>
      <c r="Q324" s="2">
        <v>0.7</v>
      </c>
      <c r="R324">
        <v>0</v>
      </c>
      <c r="V324" t="str">
        <f>VLOOKUP(H324,'[1]팀별 출판사'!A:B,2,0)</f>
        <v>소설1팀</v>
      </c>
      <c r="W324" s="6">
        <f t="shared" si="10"/>
        <v>0</v>
      </c>
      <c r="X324" s="6">
        <f t="shared" si="11"/>
        <v>0</v>
      </c>
    </row>
    <row r="325" spans="1:24" x14ac:dyDescent="0.3">
      <c r="A325" t="s">
        <v>610</v>
      </c>
      <c r="B325" t="s">
        <v>686</v>
      </c>
      <c r="C325" t="s">
        <v>23</v>
      </c>
      <c r="D325" t="s">
        <v>24</v>
      </c>
      <c r="E325" t="s">
        <v>25</v>
      </c>
      <c r="F325">
        <v>1</v>
      </c>
      <c r="G325">
        <v>9791170104629</v>
      </c>
      <c r="H325" t="s">
        <v>67</v>
      </c>
      <c r="I325" t="s">
        <v>687</v>
      </c>
      <c r="J325" t="s">
        <v>241</v>
      </c>
      <c r="K325" t="s">
        <v>29</v>
      </c>
      <c r="L325" s="1">
        <v>2500</v>
      </c>
      <c r="M325" t="s">
        <v>70</v>
      </c>
      <c r="N325">
        <v>1.73</v>
      </c>
      <c r="O325">
        <v>1.73</v>
      </c>
      <c r="P325" t="s">
        <v>71</v>
      </c>
      <c r="Q325" s="2">
        <v>0.7</v>
      </c>
      <c r="R325">
        <v>1.21</v>
      </c>
      <c r="S325" t="s">
        <v>29</v>
      </c>
      <c r="T325" s="1">
        <v>1752</v>
      </c>
      <c r="U325" s="3">
        <v>1448.84085</v>
      </c>
      <c r="V325" t="str">
        <f>VLOOKUP(H325,'[1]팀별 출판사'!A:B,2,0)</f>
        <v>소설1팀</v>
      </c>
      <c r="W325" s="6">
        <f t="shared" si="10"/>
        <v>525.6</v>
      </c>
      <c r="X325" s="6">
        <f t="shared" si="11"/>
        <v>1226.4000000000001</v>
      </c>
    </row>
    <row r="326" spans="1:24" x14ac:dyDescent="0.3">
      <c r="A326" t="s">
        <v>610</v>
      </c>
      <c r="B326" t="s">
        <v>686</v>
      </c>
      <c r="C326" t="s">
        <v>23</v>
      </c>
      <c r="D326" t="s">
        <v>24</v>
      </c>
      <c r="E326" t="s">
        <v>25</v>
      </c>
      <c r="F326">
        <v>1</v>
      </c>
      <c r="G326">
        <v>9791170104636</v>
      </c>
      <c r="H326" t="s">
        <v>67</v>
      </c>
      <c r="I326" t="s">
        <v>688</v>
      </c>
      <c r="J326" t="s">
        <v>241</v>
      </c>
      <c r="K326" t="s">
        <v>29</v>
      </c>
      <c r="L326" s="1">
        <v>2500</v>
      </c>
      <c r="M326" t="s">
        <v>70</v>
      </c>
      <c r="N326">
        <v>1.73</v>
      </c>
      <c r="O326">
        <v>1.73</v>
      </c>
      <c r="P326" t="s">
        <v>71</v>
      </c>
      <c r="Q326" s="2">
        <v>0.7</v>
      </c>
      <c r="R326">
        <v>1.21</v>
      </c>
      <c r="S326" t="s">
        <v>29</v>
      </c>
      <c r="T326" s="1">
        <v>1752</v>
      </c>
      <c r="U326" s="3">
        <v>1448.84085</v>
      </c>
      <c r="V326" t="str">
        <f>VLOOKUP(H326,'[1]팀별 출판사'!A:B,2,0)</f>
        <v>소설1팀</v>
      </c>
      <c r="W326" s="6">
        <f t="shared" si="10"/>
        <v>525.6</v>
      </c>
      <c r="X326" s="6">
        <f t="shared" si="11"/>
        <v>1226.4000000000001</v>
      </c>
    </row>
    <row r="327" spans="1:24" x14ac:dyDescent="0.3">
      <c r="A327" t="s">
        <v>610</v>
      </c>
      <c r="B327" t="s">
        <v>689</v>
      </c>
      <c r="C327" t="s">
        <v>23</v>
      </c>
      <c r="D327" t="s">
        <v>24</v>
      </c>
      <c r="E327" t="s">
        <v>25</v>
      </c>
      <c r="F327">
        <v>1</v>
      </c>
      <c r="G327">
        <v>9791136931382</v>
      </c>
      <c r="H327" t="s">
        <v>32</v>
      </c>
      <c r="I327" t="s">
        <v>523</v>
      </c>
      <c r="J327" t="s">
        <v>46</v>
      </c>
      <c r="K327" t="s">
        <v>29</v>
      </c>
      <c r="L327">
        <v>0</v>
      </c>
      <c r="M327" t="s">
        <v>47</v>
      </c>
      <c r="N327">
        <v>0</v>
      </c>
      <c r="O327">
        <v>0</v>
      </c>
      <c r="P327" t="s">
        <v>48</v>
      </c>
      <c r="Q327" s="2">
        <v>0.7</v>
      </c>
      <c r="R327">
        <v>0</v>
      </c>
      <c r="V327" t="str">
        <f>VLOOKUP(H327,'[1]팀별 출판사'!A:B,2,0)</f>
        <v>소설1팀</v>
      </c>
      <c r="W327" s="6">
        <f t="shared" si="10"/>
        <v>0</v>
      </c>
      <c r="X327" s="6">
        <f t="shared" si="11"/>
        <v>0</v>
      </c>
    </row>
    <row r="328" spans="1:24" x14ac:dyDescent="0.3">
      <c r="A328" t="s">
        <v>610</v>
      </c>
      <c r="B328" t="s">
        <v>690</v>
      </c>
      <c r="C328" t="s">
        <v>23</v>
      </c>
      <c r="D328" t="s">
        <v>24</v>
      </c>
      <c r="E328" t="s">
        <v>25</v>
      </c>
      <c r="F328">
        <v>1</v>
      </c>
      <c r="G328">
        <v>9791136935496</v>
      </c>
      <c r="H328" t="s">
        <v>32</v>
      </c>
      <c r="I328" t="s">
        <v>441</v>
      </c>
      <c r="J328" t="s">
        <v>442</v>
      </c>
      <c r="K328" t="s">
        <v>29</v>
      </c>
      <c r="L328">
        <v>0</v>
      </c>
      <c r="M328" t="s">
        <v>47</v>
      </c>
      <c r="N328">
        <v>0</v>
      </c>
      <c r="O328">
        <v>0</v>
      </c>
      <c r="P328" t="s">
        <v>48</v>
      </c>
      <c r="Q328" s="2">
        <v>0.7</v>
      </c>
      <c r="R328">
        <v>0</v>
      </c>
      <c r="V328" t="str">
        <f>VLOOKUP(H328,'[1]팀별 출판사'!A:B,2,0)</f>
        <v>소설1팀</v>
      </c>
      <c r="W328" s="6">
        <f t="shared" si="10"/>
        <v>0</v>
      </c>
      <c r="X328" s="6">
        <f t="shared" si="11"/>
        <v>0</v>
      </c>
    </row>
    <row r="329" spans="1:24" x14ac:dyDescent="0.3">
      <c r="A329" t="s">
        <v>610</v>
      </c>
      <c r="B329" t="s">
        <v>691</v>
      </c>
      <c r="C329" t="s">
        <v>23</v>
      </c>
      <c r="D329" t="s">
        <v>24</v>
      </c>
      <c r="E329" t="s">
        <v>25</v>
      </c>
      <c r="F329">
        <v>1</v>
      </c>
      <c r="G329">
        <v>9791133106127</v>
      </c>
      <c r="H329" t="s">
        <v>32</v>
      </c>
      <c r="I329" t="s">
        <v>692</v>
      </c>
      <c r="J329" t="s">
        <v>160</v>
      </c>
      <c r="K329" t="s">
        <v>29</v>
      </c>
      <c r="L329">
        <v>0</v>
      </c>
      <c r="M329" t="s">
        <v>29</v>
      </c>
      <c r="N329">
        <v>0</v>
      </c>
      <c r="O329">
        <v>0</v>
      </c>
      <c r="P329" t="s">
        <v>30</v>
      </c>
      <c r="Q329" s="2">
        <v>0.7</v>
      </c>
      <c r="R329">
        <v>0</v>
      </c>
      <c r="V329" t="str">
        <f>VLOOKUP(H329,'[1]팀별 출판사'!A:B,2,0)</f>
        <v>소설1팀</v>
      </c>
      <c r="W329" s="6">
        <f t="shared" si="10"/>
        <v>0</v>
      </c>
      <c r="X329" s="6">
        <f t="shared" si="11"/>
        <v>0</v>
      </c>
    </row>
    <row r="330" spans="1:24" x14ac:dyDescent="0.3">
      <c r="A330" t="s">
        <v>610</v>
      </c>
      <c r="B330" t="s">
        <v>693</v>
      </c>
      <c r="C330" t="s">
        <v>23</v>
      </c>
      <c r="D330" t="s">
        <v>24</v>
      </c>
      <c r="E330" t="s">
        <v>25</v>
      </c>
      <c r="F330">
        <v>1</v>
      </c>
      <c r="G330">
        <v>9791173787058</v>
      </c>
      <c r="H330" t="s">
        <v>26</v>
      </c>
      <c r="I330" t="s">
        <v>694</v>
      </c>
      <c r="J330" t="s">
        <v>256</v>
      </c>
      <c r="K330" t="s">
        <v>29</v>
      </c>
      <c r="L330" s="1">
        <v>3200</v>
      </c>
      <c r="M330" t="s">
        <v>29</v>
      </c>
      <c r="N330" s="1">
        <v>3200</v>
      </c>
      <c r="O330" s="1">
        <v>3200</v>
      </c>
      <c r="P330" t="s">
        <v>30</v>
      </c>
      <c r="Q330" s="2">
        <v>0.7</v>
      </c>
      <c r="R330" s="1">
        <v>2240</v>
      </c>
      <c r="S330" t="s">
        <v>29</v>
      </c>
      <c r="T330" s="1">
        <v>2240</v>
      </c>
      <c r="V330" t="str">
        <f>VLOOKUP(H330,'[1]팀별 출판사'!A:B,2,0)</f>
        <v>소설1팀</v>
      </c>
      <c r="W330" s="6">
        <f t="shared" si="10"/>
        <v>0</v>
      </c>
      <c r="X330" s="6">
        <f t="shared" si="11"/>
        <v>2240</v>
      </c>
    </row>
    <row r="331" spans="1:24" x14ac:dyDescent="0.3">
      <c r="A331" t="s">
        <v>610</v>
      </c>
      <c r="B331" t="s">
        <v>695</v>
      </c>
      <c r="C331" t="s">
        <v>23</v>
      </c>
      <c r="D331" t="s">
        <v>24</v>
      </c>
      <c r="E331" t="s">
        <v>25</v>
      </c>
      <c r="F331">
        <v>1</v>
      </c>
      <c r="G331">
        <v>9791136930491</v>
      </c>
      <c r="H331" t="s">
        <v>26</v>
      </c>
      <c r="I331" t="s">
        <v>151</v>
      </c>
      <c r="J331" t="s">
        <v>46</v>
      </c>
      <c r="K331" t="s">
        <v>29</v>
      </c>
      <c r="L331">
        <v>0</v>
      </c>
      <c r="M331" t="s">
        <v>152</v>
      </c>
      <c r="N331">
        <v>0</v>
      </c>
      <c r="O331">
        <v>0</v>
      </c>
      <c r="P331" t="s">
        <v>153</v>
      </c>
      <c r="Q331" s="2">
        <v>0.7</v>
      </c>
      <c r="R331">
        <v>0</v>
      </c>
      <c r="V331" t="str">
        <f>VLOOKUP(H331,'[1]팀별 출판사'!A:B,2,0)</f>
        <v>소설1팀</v>
      </c>
      <c r="W331" s="6">
        <f t="shared" si="10"/>
        <v>0</v>
      </c>
      <c r="X331" s="6">
        <f t="shared" si="11"/>
        <v>0</v>
      </c>
    </row>
    <row r="332" spans="1:24" x14ac:dyDescent="0.3">
      <c r="A332" t="s">
        <v>610</v>
      </c>
      <c r="B332" t="s">
        <v>696</v>
      </c>
      <c r="C332" t="s">
        <v>23</v>
      </c>
      <c r="D332" t="s">
        <v>24</v>
      </c>
      <c r="E332" t="s">
        <v>25</v>
      </c>
      <c r="F332">
        <v>1</v>
      </c>
      <c r="G332">
        <v>9791170106715</v>
      </c>
      <c r="H332" t="s">
        <v>67</v>
      </c>
      <c r="I332" t="s">
        <v>68</v>
      </c>
      <c r="J332" t="s">
        <v>69</v>
      </c>
      <c r="K332" t="s">
        <v>29</v>
      </c>
      <c r="L332">
        <v>0</v>
      </c>
      <c r="M332" t="s">
        <v>465</v>
      </c>
      <c r="N332">
        <v>0</v>
      </c>
      <c r="O332">
        <v>0</v>
      </c>
      <c r="P332" t="s">
        <v>466</v>
      </c>
      <c r="Q332" s="2">
        <v>0.7</v>
      </c>
      <c r="R332">
        <v>0</v>
      </c>
      <c r="V332" t="str">
        <f>VLOOKUP(H332,'[1]팀별 출판사'!A:B,2,0)</f>
        <v>소설1팀</v>
      </c>
      <c r="W332" s="6">
        <f t="shared" si="10"/>
        <v>0</v>
      </c>
      <c r="X332" s="6">
        <f t="shared" si="11"/>
        <v>0</v>
      </c>
    </row>
    <row r="333" spans="1:24" x14ac:dyDescent="0.3">
      <c r="A333" t="s">
        <v>610</v>
      </c>
      <c r="B333" t="s">
        <v>697</v>
      </c>
      <c r="C333" t="s">
        <v>23</v>
      </c>
      <c r="D333" t="s">
        <v>24</v>
      </c>
      <c r="E333" t="s">
        <v>25</v>
      </c>
      <c r="F333">
        <v>1</v>
      </c>
      <c r="G333">
        <v>9791170103226</v>
      </c>
      <c r="H333" t="s">
        <v>67</v>
      </c>
      <c r="I333" t="s">
        <v>698</v>
      </c>
      <c r="J333" t="s">
        <v>399</v>
      </c>
      <c r="K333" t="s">
        <v>29</v>
      </c>
      <c r="L333">
        <v>0</v>
      </c>
      <c r="M333" t="s">
        <v>47</v>
      </c>
      <c r="N333">
        <v>0</v>
      </c>
      <c r="O333">
        <v>0</v>
      </c>
      <c r="P333" t="s">
        <v>48</v>
      </c>
      <c r="Q333" s="2">
        <v>0.7</v>
      </c>
      <c r="R333">
        <v>0</v>
      </c>
      <c r="V333" t="str">
        <f>VLOOKUP(H333,'[1]팀별 출판사'!A:B,2,0)</f>
        <v>소설1팀</v>
      </c>
      <c r="W333" s="6">
        <f t="shared" si="10"/>
        <v>0</v>
      </c>
      <c r="X333" s="6">
        <f t="shared" si="11"/>
        <v>0</v>
      </c>
    </row>
    <row r="334" spans="1:24" x14ac:dyDescent="0.3">
      <c r="A334" t="s">
        <v>610</v>
      </c>
      <c r="B334" t="s">
        <v>699</v>
      </c>
      <c r="C334" t="s">
        <v>23</v>
      </c>
      <c r="D334" t="s">
        <v>24</v>
      </c>
      <c r="E334" t="s">
        <v>25</v>
      </c>
      <c r="F334">
        <v>1</v>
      </c>
      <c r="G334">
        <v>9791170101468</v>
      </c>
      <c r="H334" t="s">
        <v>67</v>
      </c>
      <c r="I334" t="s">
        <v>404</v>
      </c>
      <c r="J334" t="s">
        <v>405</v>
      </c>
      <c r="K334" t="s">
        <v>29</v>
      </c>
      <c r="L334">
        <v>0</v>
      </c>
      <c r="M334" t="s">
        <v>47</v>
      </c>
      <c r="N334">
        <v>0</v>
      </c>
      <c r="O334">
        <v>0</v>
      </c>
      <c r="P334" t="s">
        <v>48</v>
      </c>
      <c r="Q334" s="2">
        <v>0.7</v>
      </c>
      <c r="R334">
        <v>0</v>
      </c>
      <c r="V334" t="str">
        <f>VLOOKUP(H334,'[1]팀별 출판사'!A:B,2,0)</f>
        <v>소설1팀</v>
      </c>
      <c r="W334" s="6">
        <f t="shared" si="10"/>
        <v>0</v>
      </c>
      <c r="X334" s="6">
        <f t="shared" si="11"/>
        <v>0</v>
      </c>
    </row>
    <row r="335" spans="1:24" x14ac:dyDescent="0.3">
      <c r="A335" t="s">
        <v>610</v>
      </c>
      <c r="B335" t="s">
        <v>700</v>
      </c>
      <c r="C335" t="s">
        <v>23</v>
      </c>
      <c r="D335" t="s">
        <v>24</v>
      </c>
      <c r="E335" t="s">
        <v>25</v>
      </c>
      <c r="F335">
        <v>1</v>
      </c>
      <c r="G335">
        <v>9791194664369</v>
      </c>
      <c r="H335" t="s">
        <v>79</v>
      </c>
      <c r="I335" t="s">
        <v>156</v>
      </c>
      <c r="J335" t="s">
        <v>157</v>
      </c>
      <c r="K335" t="s">
        <v>29</v>
      </c>
      <c r="L335">
        <v>0</v>
      </c>
      <c r="M335" t="s">
        <v>47</v>
      </c>
      <c r="N335">
        <v>0</v>
      </c>
      <c r="O335">
        <v>0</v>
      </c>
      <c r="P335" t="s">
        <v>48</v>
      </c>
      <c r="Q335" s="2">
        <v>0.7</v>
      </c>
      <c r="R335">
        <v>0</v>
      </c>
      <c r="V335" t="str">
        <f>VLOOKUP(H335,'[1]팀별 출판사'!A:B,2,0)</f>
        <v>소설1팀</v>
      </c>
      <c r="W335" s="6">
        <f t="shared" si="10"/>
        <v>0</v>
      </c>
      <c r="X335" s="6">
        <f t="shared" si="11"/>
        <v>0</v>
      </c>
    </row>
    <row r="336" spans="1:24" x14ac:dyDescent="0.3">
      <c r="A336" t="s">
        <v>610</v>
      </c>
      <c r="B336" t="s">
        <v>701</v>
      </c>
      <c r="C336" t="s">
        <v>23</v>
      </c>
      <c r="D336" t="s">
        <v>24</v>
      </c>
      <c r="E336" t="s">
        <v>25</v>
      </c>
      <c r="F336">
        <v>1</v>
      </c>
      <c r="G336">
        <v>9791136930156</v>
      </c>
      <c r="H336" t="s">
        <v>32</v>
      </c>
      <c r="I336" t="s">
        <v>702</v>
      </c>
      <c r="J336" t="s">
        <v>34</v>
      </c>
      <c r="K336" t="s">
        <v>29</v>
      </c>
      <c r="L336">
        <v>0</v>
      </c>
      <c r="M336" t="s">
        <v>152</v>
      </c>
      <c r="N336">
        <v>0</v>
      </c>
      <c r="O336">
        <v>0</v>
      </c>
      <c r="P336" t="s">
        <v>153</v>
      </c>
      <c r="Q336" s="2">
        <v>0.7</v>
      </c>
      <c r="R336">
        <v>0</v>
      </c>
      <c r="V336" t="str">
        <f>VLOOKUP(H336,'[1]팀별 출판사'!A:B,2,0)</f>
        <v>소설1팀</v>
      </c>
      <c r="W336" s="6">
        <f t="shared" si="10"/>
        <v>0</v>
      </c>
      <c r="X336" s="6">
        <f t="shared" si="11"/>
        <v>0</v>
      </c>
    </row>
    <row r="337" spans="1:24" x14ac:dyDescent="0.3">
      <c r="A337" t="s">
        <v>610</v>
      </c>
      <c r="B337" t="s">
        <v>703</v>
      </c>
      <c r="C337" t="s">
        <v>23</v>
      </c>
      <c r="D337" t="s">
        <v>24</v>
      </c>
      <c r="E337" t="s">
        <v>25</v>
      </c>
      <c r="F337">
        <v>1</v>
      </c>
      <c r="G337">
        <v>9791133105519</v>
      </c>
      <c r="H337" t="s">
        <v>32</v>
      </c>
      <c r="I337" t="s">
        <v>704</v>
      </c>
      <c r="J337" t="s">
        <v>88</v>
      </c>
      <c r="K337" t="s">
        <v>29</v>
      </c>
      <c r="L337" s="1">
        <v>3200</v>
      </c>
      <c r="M337" t="s">
        <v>29</v>
      </c>
      <c r="N337" s="1">
        <v>3200</v>
      </c>
      <c r="O337" s="1">
        <v>3200</v>
      </c>
      <c r="P337" t="s">
        <v>30</v>
      </c>
      <c r="Q337" s="2">
        <v>0.7</v>
      </c>
      <c r="R337" s="1">
        <v>2240</v>
      </c>
      <c r="S337" t="s">
        <v>29</v>
      </c>
      <c r="T337" s="1">
        <v>2240</v>
      </c>
      <c r="V337" t="str">
        <f>VLOOKUP(H337,'[1]팀별 출판사'!A:B,2,0)</f>
        <v>소설1팀</v>
      </c>
      <c r="W337" s="6">
        <f t="shared" si="10"/>
        <v>0</v>
      </c>
      <c r="X337" s="6">
        <f t="shared" si="11"/>
        <v>2240</v>
      </c>
    </row>
    <row r="338" spans="1:24" x14ac:dyDescent="0.3">
      <c r="A338" t="s">
        <v>610</v>
      </c>
      <c r="B338" t="s">
        <v>705</v>
      </c>
      <c r="C338" t="s">
        <v>23</v>
      </c>
      <c r="D338" t="s">
        <v>24</v>
      </c>
      <c r="E338" t="s">
        <v>25</v>
      </c>
      <c r="F338">
        <v>1</v>
      </c>
      <c r="G338" t="s">
        <v>638</v>
      </c>
      <c r="H338" t="s">
        <v>32</v>
      </c>
      <c r="I338" t="s">
        <v>639</v>
      </c>
      <c r="J338" t="s">
        <v>166</v>
      </c>
      <c r="K338" t="s">
        <v>29</v>
      </c>
      <c r="L338">
        <v>0</v>
      </c>
      <c r="M338" t="s">
        <v>29</v>
      </c>
      <c r="N338">
        <v>0</v>
      </c>
      <c r="O338">
        <v>0</v>
      </c>
      <c r="P338" t="s">
        <v>30</v>
      </c>
      <c r="Q338" s="2">
        <v>0.7</v>
      </c>
      <c r="R338">
        <v>0</v>
      </c>
      <c r="V338" t="str">
        <f>VLOOKUP(H338,'[1]팀별 출판사'!A:B,2,0)</f>
        <v>소설1팀</v>
      </c>
      <c r="W338" s="6">
        <f t="shared" si="10"/>
        <v>0</v>
      </c>
      <c r="X338" s="6">
        <f t="shared" si="11"/>
        <v>0</v>
      </c>
    </row>
    <row r="339" spans="1:24" x14ac:dyDescent="0.3">
      <c r="A339" t="s">
        <v>610</v>
      </c>
      <c r="B339" t="s">
        <v>706</v>
      </c>
      <c r="C339" t="s">
        <v>23</v>
      </c>
      <c r="D339" t="s">
        <v>24</v>
      </c>
      <c r="E339" t="s">
        <v>25</v>
      </c>
      <c r="F339">
        <v>1</v>
      </c>
      <c r="G339">
        <v>9791136930224</v>
      </c>
      <c r="H339" t="s">
        <v>32</v>
      </c>
      <c r="I339" t="s">
        <v>172</v>
      </c>
      <c r="J339" t="s">
        <v>46</v>
      </c>
      <c r="K339" t="s">
        <v>29</v>
      </c>
      <c r="L339">
        <v>0</v>
      </c>
      <c r="M339" t="s">
        <v>47</v>
      </c>
      <c r="N339">
        <v>0</v>
      </c>
      <c r="O339">
        <v>0</v>
      </c>
      <c r="P339" t="s">
        <v>48</v>
      </c>
      <c r="Q339" s="2">
        <v>0.7</v>
      </c>
      <c r="R339">
        <v>0</v>
      </c>
      <c r="V339" t="str">
        <f>VLOOKUP(H339,'[1]팀별 출판사'!A:B,2,0)</f>
        <v>소설1팀</v>
      </c>
      <c r="W339" s="6">
        <f t="shared" si="10"/>
        <v>0</v>
      </c>
      <c r="X339" s="6">
        <f t="shared" si="11"/>
        <v>0</v>
      </c>
    </row>
    <row r="340" spans="1:24" x14ac:dyDescent="0.3">
      <c r="A340" t="s">
        <v>610</v>
      </c>
      <c r="B340" t="s">
        <v>707</v>
      </c>
      <c r="C340" t="s">
        <v>23</v>
      </c>
      <c r="D340" t="s">
        <v>24</v>
      </c>
      <c r="E340" t="s">
        <v>25</v>
      </c>
      <c r="F340">
        <v>1</v>
      </c>
      <c r="G340">
        <v>9791136950819</v>
      </c>
      <c r="H340" t="s">
        <v>26</v>
      </c>
      <c r="I340" t="s">
        <v>420</v>
      </c>
      <c r="J340" t="s">
        <v>421</v>
      </c>
      <c r="K340" t="s">
        <v>29</v>
      </c>
      <c r="L340">
        <v>0</v>
      </c>
      <c r="M340" t="s">
        <v>29</v>
      </c>
      <c r="N340">
        <v>0</v>
      </c>
      <c r="O340">
        <v>0</v>
      </c>
      <c r="P340" t="s">
        <v>30</v>
      </c>
      <c r="Q340" s="2">
        <v>0.7</v>
      </c>
      <c r="R340">
        <v>0</v>
      </c>
      <c r="V340" t="str">
        <f>VLOOKUP(H340,'[1]팀별 출판사'!A:B,2,0)</f>
        <v>소설1팀</v>
      </c>
      <c r="W340" s="6">
        <f t="shared" si="10"/>
        <v>0</v>
      </c>
      <c r="X340" s="6">
        <f t="shared" si="11"/>
        <v>0</v>
      </c>
    </row>
    <row r="341" spans="1:24" x14ac:dyDescent="0.3">
      <c r="A341" t="s">
        <v>610</v>
      </c>
      <c r="B341" t="s">
        <v>708</v>
      </c>
      <c r="C341" t="s">
        <v>23</v>
      </c>
      <c r="D341" t="s">
        <v>24</v>
      </c>
      <c r="E341" t="s">
        <v>25</v>
      </c>
      <c r="F341">
        <v>1</v>
      </c>
      <c r="G341">
        <v>9791136946782</v>
      </c>
      <c r="H341" t="s">
        <v>26</v>
      </c>
      <c r="I341" t="s">
        <v>291</v>
      </c>
      <c r="J341" t="s">
        <v>28</v>
      </c>
      <c r="K341" t="s">
        <v>29</v>
      </c>
      <c r="L341">
        <v>0</v>
      </c>
      <c r="M341" t="s">
        <v>29</v>
      </c>
      <c r="N341">
        <v>0</v>
      </c>
      <c r="O341">
        <v>0</v>
      </c>
      <c r="P341" t="s">
        <v>30</v>
      </c>
      <c r="Q341" s="2">
        <v>0.7</v>
      </c>
      <c r="R341">
        <v>0</v>
      </c>
      <c r="V341" t="str">
        <f>VLOOKUP(H341,'[1]팀별 출판사'!A:B,2,0)</f>
        <v>소설1팀</v>
      </c>
      <c r="W341" s="6">
        <f t="shared" si="10"/>
        <v>0</v>
      </c>
      <c r="X341" s="6">
        <f t="shared" si="11"/>
        <v>0</v>
      </c>
    </row>
    <row r="342" spans="1:24" x14ac:dyDescent="0.3">
      <c r="A342" t="s">
        <v>610</v>
      </c>
      <c r="B342" t="s">
        <v>709</v>
      </c>
      <c r="C342" t="s">
        <v>23</v>
      </c>
      <c r="D342" t="s">
        <v>24</v>
      </c>
      <c r="E342" t="s">
        <v>25</v>
      </c>
      <c r="F342">
        <v>1</v>
      </c>
      <c r="G342">
        <v>9791136927675</v>
      </c>
      <c r="H342" t="s">
        <v>36</v>
      </c>
      <c r="I342" t="s">
        <v>91</v>
      </c>
      <c r="J342" t="s">
        <v>38</v>
      </c>
      <c r="K342" t="s">
        <v>29</v>
      </c>
      <c r="L342" s="1">
        <v>3300</v>
      </c>
      <c r="M342" t="s">
        <v>39</v>
      </c>
      <c r="N342">
        <v>2.08</v>
      </c>
      <c r="O342">
        <v>1.94</v>
      </c>
      <c r="P342" t="s">
        <v>40</v>
      </c>
      <c r="Q342" s="2">
        <v>0.7</v>
      </c>
      <c r="R342">
        <v>1.36</v>
      </c>
      <c r="S342" t="s">
        <v>29</v>
      </c>
      <c r="T342" s="1">
        <v>2325</v>
      </c>
      <c r="U342" s="3">
        <v>1711.07268</v>
      </c>
      <c r="V342" t="str">
        <f>VLOOKUP(H342,'[1]팀별 출판사'!A:B,2,0)</f>
        <v>소설2팀</v>
      </c>
      <c r="W342" s="6">
        <f t="shared" si="10"/>
        <v>0</v>
      </c>
      <c r="X342" s="6">
        <f t="shared" si="11"/>
        <v>2325</v>
      </c>
    </row>
    <row r="343" spans="1:24" x14ac:dyDescent="0.3">
      <c r="A343" t="s">
        <v>610</v>
      </c>
      <c r="B343" t="s">
        <v>710</v>
      </c>
      <c r="C343" t="s">
        <v>23</v>
      </c>
      <c r="D343" t="s">
        <v>24</v>
      </c>
      <c r="E343" t="s">
        <v>25</v>
      </c>
      <c r="F343">
        <v>1</v>
      </c>
      <c r="G343">
        <v>9791136930491</v>
      </c>
      <c r="H343" t="s">
        <v>26</v>
      </c>
      <c r="I343" t="s">
        <v>151</v>
      </c>
      <c r="J343" t="s">
        <v>46</v>
      </c>
      <c r="K343" t="s">
        <v>29</v>
      </c>
      <c r="L343">
        <v>0</v>
      </c>
      <c r="M343" t="s">
        <v>47</v>
      </c>
      <c r="N343">
        <v>0</v>
      </c>
      <c r="O343">
        <v>0</v>
      </c>
      <c r="P343" t="s">
        <v>48</v>
      </c>
      <c r="Q343" s="2">
        <v>0.7</v>
      </c>
      <c r="R343">
        <v>0</v>
      </c>
      <c r="V343" t="str">
        <f>VLOOKUP(H343,'[1]팀별 출판사'!A:B,2,0)</f>
        <v>소설1팀</v>
      </c>
      <c r="W343" s="6">
        <f t="shared" si="10"/>
        <v>0</v>
      </c>
      <c r="X343" s="6">
        <f t="shared" si="11"/>
        <v>0</v>
      </c>
    </row>
    <row r="344" spans="1:24" x14ac:dyDescent="0.3">
      <c r="A344" t="s">
        <v>610</v>
      </c>
      <c r="B344" t="s">
        <v>711</v>
      </c>
      <c r="C344" t="s">
        <v>23</v>
      </c>
      <c r="D344" t="s">
        <v>24</v>
      </c>
      <c r="E344" t="s">
        <v>25</v>
      </c>
      <c r="F344">
        <v>1</v>
      </c>
      <c r="G344">
        <v>9791136940704</v>
      </c>
      <c r="H344" t="s">
        <v>36</v>
      </c>
      <c r="I344" t="s">
        <v>92</v>
      </c>
      <c r="J344" t="s">
        <v>38</v>
      </c>
      <c r="K344" t="s">
        <v>29</v>
      </c>
      <c r="L344" s="1">
        <v>3300</v>
      </c>
      <c r="M344" t="s">
        <v>39</v>
      </c>
      <c r="N344">
        <v>2.08</v>
      </c>
      <c r="O344">
        <v>1.94</v>
      </c>
      <c r="P344" t="s">
        <v>40</v>
      </c>
      <c r="Q344" s="2">
        <v>0.7</v>
      </c>
      <c r="R344">
        <v>1.36</v>
      </c>
      <c r="S344" t="s">
        <v>29</v>
      </c>
      <c r="T344" s="1">
        <v>2326</v>
      </c>
      <c r="U344" s="3">
        <v>1711.07268</v>
      </c>
      <c r="V344" t="str">
        <f>VLOOKUP(H344,'[1]팀별 출판사'!A:B,2,0)</f>
        <v>소설2팀</v>
      </c>
      <c r="W344" s="6">
        <f t="shared" si="10"/>
        <v>0</v>
      </c>
      <c r="X344" s="6">
        <f t="shared" si="11"/>
        <v>2326</v>
      </c>
    </row>
    <row r="345" spans="1:24" x14ac:dyDescent="0.3">
      <c r="A345" t="s">
        <v>610</v>
      </c>
      <c r="B345" t="s">
        <v>712</v>
      </c>
      <c r="C345" t="s">
        <v>23</v>
      </c>
      <c r="D345" t="s">
        <v>24</v>
      </c>
      <c r="E345" t="s">
        <v>25</v>
      </c>
      <c r="F345">
        <v>1</v>
      </c>
      <c r="G345">
        <v>9791133180073</v>
      </c>
      <c r="H345" t="s">
        <v>26</v>
      </c>
      <c r="I345" t="s">
        <v>713</v>
      </c>
      <c r="J345" t="s">
        <v>321</v>
      </c>
      <c r="K345" t="s">
        <v>29</v>
      </c>
      <c r="L345" s="1">
        <v>3200</v>
      </c>
      <c r="M345" t="s">
        <v>29</v>
      </c>
      <c r="N345" s="1">
        <v>3200</v>
      </c>
      <c r="O345" s="1">
        <v>3200</v>
      </c>
      <c r="P345" t="s">
        <v>30</v>
      </c>
      <c r="Q345" s="2">
        <v>0.7</v>
      </c>
      <c r="R345" s="1">
        <v>2240</v>
      </c>
      <c r="S345" t="s">
        <v>29</v>
      </c>
      <c r="T345" s="1">
        <v>2240</v>
      </c>
      <c r="V345" t="str">
        <f>VLOOKUP(H345,'[1]팀별 출판사'!A:B,2,0)</f>
        <v>소설1팀</v>
      </c>
      <c r="W345" s="6">
        <f t="shared" si="10"/>
        <v>0</v>
      </c>
      <c r="X345" s="6">
        <f t="shared" si="11"/>
        <v>2240</v>
      </c>
    </row>
    <row r="346" spans="1:24" x14ac:dyDescent="0.3">
      <c r="A346" t="s">
        <v>610</v>
      </c>
      <c r="B346" t="s">
        <v>714</v>
      </c>
      <c r="C346" t="s">
        <v>23</v>
      </c>
      <c r="D346" t="s">
        <v>24</v>
      </c>
      <c r="E346" t="s">
        <v>25</v>
      </c>
      <c r="F346">
        <v>1</v>
      </c>
      <c r="G346" t="s">
        <v>715</v>
      </c>
      <c r="H346" t="s">
        <v>208</v>
      </c>
      <c r="I346" t="s">
        <v>716</v>
      </c>
      <c r="J346" t="s">
        <v>210</v>
      </c>
      <c r="K346" t="s">
        <v>29</v>
      </c>
      <c r="L346" s="1">
        <v>2000</v>
      </c>
      <c r="M346" t="s">
        <v>29</v>
      </c>
      <c r="N346" s="1">
        <v>2000</v>
      </c>
      <c r="O346" s="1">
        <v>2000</v>
      </c>
      <c r="P346" t="s">
        <v>30</v>
      </c>
      <c r="Q346" s="2">
        <v>0.7</v>
      </c>
      <c r="R346" s="1">
        <v>1400</v>
      </c>
      <c r="S346" t="s">
        <v>29</v>
      </c>
      <c r="T346" s="1">
        <v>1400</v>
      </c>
      <c r="V346" t="str">
        <f>VLOOKUP(H346,'[1]팀별 출판사'!A:B,2,0)</f>
        <v>소설1팀</v>
      </c>
      <c r="W346" s="6">
        <f t="shared" si="10"/>
        <v>0</v>
      </c>
      <c r="X346" s="6">
        <f t="shared" si="11"/>
        <v>1400</v>
      </c>
    </row>
    <row r="347" spans="1:24" x14ac:dyDescent="0.3">
      <c r="A347" t="s">
        <v>610</v>
      </c>
      <c r="B347" t="s">
        <v>714</v>
      </c>
      <c r="C347" t="s">
        <v>23</v>
      </c>
      <c r="D347" t="s">
        <v>24</v>
      </c>
      <c r="E347" t="s">
        <v>25</v>
      </c>
      <c r="F347">
        <v>1</v>
      </c>
      <c r="G347" t="s">
        <v>717</v>
      </c>
      <c r="H347" t="s">
        <v>208</v>
      </c>
      <c r="I347" t="s">
        <v>718</v>
      </c>
      <c r="J347" t="s">
        <v>210</v>
      </c>
      <c r="K347" t="s">
        <v>29</v>
      </c>
      <c r="L347" s="1">
        <v>2000</v>
      </c>
      <c r="M347" t="s">
        <v>29</v>
      </c>
      <c r="N347" s="1">
        <v>2000</v>
      </c>
      <c r="O347" s="1">
        <v>2000</v>
      </c>
      <c r="P347" t="s">
        <v>30</v>
      </c>
      <c r="Q347" s="2">
        <v>0.7</v>
      </c>
      <c r="R347" s="1">
        <v>1400</v>
      </c>
      <c r="S347" t="s">
        <v>29</v>
      </c>
      <c r="T347" s="1">
        <v>1400</v>
      </c>
      <c r="V347" t="str">
        <f>VLOOKUP(H347,'[1]팀별 출판사'!A:B,2,0)</f>
        <v>소설1팀</v>
      </c>
      <c r="W347" s="6">
        <f t="shared" si="10"/>
        <v>0</v>
      </c>
      <c r="X347" s="6">
        <f t="shared" si="11"/>
        <v>1400</v>
      </c>
    </row>
    <row r="348" spans="1:24" x14ac:dyDescent="0.3">
      <c r="A348" t="s">
        <v>610</v>
      </c>
      <c r="B348" t="s">
        <v>714</v>
      </c>
      <c r="C348" t="s">
        <v>23</v>
      </c>
      <c r="D348" t="s">
        <v>24</v>
      </c>
      <c r="E348" t="s">
        <v>25</v>
      </c>
      <c r="F348">
        <v>1</v>
      </c>
      <c r="G348" t="s">
        <v>719</v>
      </c>
      <c r="H348" t="s">
        <v>208</v>
      </c>
      <c r="I348" t="s">
        <v>720</v>
      </c>
      <c r="J348" t="s">
        <v>210</v>
      </c>
      <c r="K348" t="s">
        <v>29</v>
      </c>
      <c r="L348" s="1">
        <v>2000</v>
      </c>
      <c r="M348" t="s">
        <v>29</v>
      </c>
      <c r="N348" s="1">
        <v>2000</v>
      </c>
      <c r="O348" s="1">
        <v>2000</v>
      </c>
      <c r="P348" t="s">
        <v>30</v>
      </c>
      <c r="Q348" s="2">
        <v>0.7</v>
      </c>
      <c r="R348" s="1">
        <v>1400</v>
      </c>
      <c r="S348" t="s">
        <v>29</v>
      </c>
      <c r="T348" s="1">
        <v>1400</v>
      </c>
      <c r="V348" t="str">
        <f>VLOOKUP(H348,'[1]팀별 출판사'!A:B,2,0)</f>
        <v>소설1팀</v>
      </c>
      <c r="W348" s="6">
        <f t="shared" si="10"/>
        <v>0</v>
      </c>
      <c r="X348" s="6">
        <f t="shared" si="11"/>
        <v>1400</v>
      </c>
    </row>
    <row r="349" spans="1:24" x14ac:dyDescent="0.3">
      <c r="A349" t="s">
        <v>610</v>
      </c>
      <c r="B349" t="s">
        <v>721</v>
      </c>
      <c r="C349" t="s">
        <v>23</v>
      </c>
      <c r="D349" t="s">
        <v>24</v>
      </c>
      <c r="E349" t="s">
        <v>25</v>
      </c>
      <c r="F349">
        <v>1</v>
      </c>
      <c r="G349">
        <v>9791136942142</v>
      </c>
      <c r="H349" t="s">
        <v>26</v>
      </c>
      <c r="I349" t="s">
        <v>180</v>
      </c>
      <c r="J349" t="s">
        <v>46</v>
      </c>
      <c r="K349" t="s">
        <v>29</v>
      </c>
      <c r="L349">
        <v>0</v>
      </c>
      <c r="M349" t="s">
        <v>47</v>
      </c>
      <c r="N349">
        <v>0</v>
      </c>
      <c r="O349">
        <v>0</v>
      </c>
      <c r="P349" t="s">
        <v>48</v>
      </c>
      <c r="Q349" s="2">
        <v>0.7</v>
      </c>
      <c r="R349">
        <v>0</v>
      </c>
      <c r="V349" t="str">
        <f>VLOOKUP(H349,'[1]팀별 출판사'!A:B,2,0)</f>
        <v>소설1팀</v>
      </c>
      <c r="W349" s="6">
        <f t="shared" si="10"/>
        <v>0</v>
      </c>
      <c r="X349" s="6">
        <f t="shared" si="11"/>
        <v>0</v>
      </c>
    </row>
    <row r="350" spans="1:24" x14ac:dyDescent="0.3">
      <c r="A350" t="s">
        <v>610</v>
      </c>
      <c r="B350" t="s">
        <v>722</v>
      </c>
      <c r="C350" t="s">
        <v>23</v>
      </c>
      <c r="D350" t="s">
        <v>24</v>
      </c>
      <c r="E350" t="s">
        <v>25</v>
      </c>
      <c r="F350">
        <v>1</v>
      </c>
      <c r="G350">
        <v>9791133173631</v>
      </c>
      <c r="H350" t="s">
        <v>26</v>
      </c>
      <c r="I350" t="s">
        <v>723</v>
      </c>
      <c r="J350" t="s">
        <v>287</v>
      </c>
      <c r="K350" t="s">
        <v>29</v>
      </c>
      <c r="L350" s="1">
        <v>2500</v>
      </c>
      <c r="M350" t="s">
        <v>29</v>
      </c>
      <c r="N350" s="1">
        <v>2500</v>
      </c>
      <c r="O350" s="1">
        <v>2500</v>
      </c>
      <c r="P350" t="s">
        <v>30</v>
      </c>
      <c r="Q350" s="2">
        <v>0.7</v>
      </c>
      <c r="R350" s="1">
        <v>1750</v>
      </c>
      <c r="S350" t="s">
        <v>29</v>
      </c>
      <c r="T350" s="1">
        <v>1750</v>
      </c>
      <c r="V350" t="str">
        <f>VLOOKUP(H350,'[1]팀별 출판사'!A:B,2,0)</f>
        <v>소설1팀</v>
      </c>
      <c r="W350" s="6">
        <f t="shared" si="10"/>
        <v>0</v>
      </c>
      <c r="X350" s="6">
        <f t="shared" si="11"/>
        <v>1750</v>
      </c>
    </row>
    <row r="351" spans="1:24" x14ac:dyDescent="0.3">
      <c r="A351" t="s">
        <v>610</v>
      </c>
      <c r="B351" t="s">
        <v>724</v>
      </c>
      <c r="C351" t="s">
        <v>23</v>
      </c>
      <c r="D351" t="s">
        <v>24</v>
      </c>
      <c r="E351" t="s">
        <v>25</v>
      </c>
      <c r="F351">
        <v>1</v>
      </c>
      <c r="G351">
        <v>9791136988744</v>
      </c>
      <c r="H351" t="s">
        <v>26</v>
      </c>
      <c r="I351" t="s">
        <v>725</v>
      </c>
      <c r="J351" t="s">
        <v>28</v>
      </c>
      <c r="K351" t="s">
        <v>29</v>
      </c>
      <c r="L351" s="1">
        <v>3200</v>
      </c>
      <c r="M351" t="s">
        <v>29</v>
      </c>
      <c r="N351" s="1">
        <v>3200</v>
      </c>
      <c r="O351" s="1">
        <v>3200</v>
      </c>
      <c r="P351" t="s">
        <v>30</v>
      </c>
      <c r="Q351" s="2">
        <v>0.7</v>
      </c>
      <c r="R351" s="1">
        <v>2240</v>
      </c>
      <c r="S351" t="s">
        <v>29</v>
      </c>
      <c r="T351" s="1">
        <v>2240</v>
      </c>
      <c r="V351" t="str">
        <f>VLOOKUP(H351,'[1]팀별 출판사'!A:B,2,0)</f>
        <v>소설1팀</v>
      </c>
      <c r="W351" s="6">
        <f t="shared" si="10"/>
        <v>0</v>
      </c>
      <c r="X351" s="6">
        <f t="shared" si="11"/>
        <v>2240</v>
      </c>
    </row>
    <row r="352" spans="1:24" x14ac:dyDescent="0.3">
      <c r="A352" t="s">
        <v>610</v>
      </c>
      <c r="B352" t="s">
        <v>726</v>
      </c>
      <c r="C352" t="s">
        <v>23</v>
      </c>
      <c r="D352" t="s">
        <v>24</v>
      </c>
      <c r="E352" t="s">
        <v>25</v>
      </c>
      <c r="F352">
        <v>1</v>
      </c>
      <c r="G352">
        <v>9791136938107</v>
      </c>
      <c r="H352" t="s">
        <v>263</v>
      </c>
      <c r="I352" t="s">
        <v>727</v>
      </c>
      <c r="J352" t="s">
        <v>265</v>
      </c>
      <c r="K352" t="s">
        <v>29</v>
      </c>
      <c r="L352" s="1">
        <v>3700</v>
      </c>
      <c r="M352" t="s">
        <v>70</v>
      </c>
      <c r="N352">
        <v>2.56</v>
      </c>
      <c r="O352">
        <v>2.56</v>
      </c>
      <c r="P352" t="s">
        <v>71</v>
      </c>
      <c r="Q352" s="2">
        <v>0.7</v>
      </c>
      <c r="R352">
        <v>1.79</v>
      </c>
      <c r="S352" t="s">
        <v>29</v>
      </c>
      <c r="T352" s="1">
        <v>2591</v>
      </c>
      <c r="U352" s="3">
        <v>1448.84085</v>
      </c>
      <c r="V352" t="str">
        <f>VLOOKUP(H352,'[1]팀별 출판사'!A:B,2,0)</f>
        <v>소설2팀</v>
      </c>
      <c r="W352" s="6">
        <f t="shared" si="10"/>
        <v>777.3</v>
      </c>
      <c r="X352" s="6">
        <f t="shared" si="11"/>
        <v>1813.7</v>
      </c>
    </row>
    <row r="353" spans="1:24" x14ac:dyDescent="0.3">
      <c r="A353" t="s">
        <v>610</v>
      </c>
      <c r="B353" t="s">
        <v>728</v>
      </c>
      <c r="C353" t="s">
        <v>23</v>
      </c>
      <c r="D353" t="s">
        <v>24</v>
      </c>
      <c r="E353" t="s">
        <v>25</v>
      </c>
      <c r="F353">
        <v>1</v>
      </c>
      <c r="G353">
        <v>9791133171446</v>
      </c>
      <c r="H353" t="s">
        <v>26</v>
      </c>
      <c r="I353" t="s">
        <v>729</v>
      </c>
      <c r="J353" t="s">
        <v>287</v>
      </c>
      <c r="K353" t="s">
        <v>29</v>
      </c>
      <c r="L353">
        <v>0</v>
      </c>
      <c r="M353" t="s">
        <v>29</v>
      </c>
      <c r="N353">
        <v>0</v>
      </c>
      <c r="O353">
        <v>0</v>
      </c>
      <c r="P353" t="s">
        <v>30</v>
      </c>
      <c r="Q353" s="2">
        <v>0.7</v>
      </c>
      <c r="R353">
        <v>0</v>
      </c>
      <c r="V353" t="str">
        <f>VLOOKUP(H353,'[1]팀별 출판사'!A:B,2,0)</f>
        <v>소설1팀</v>
      </c>
      <c r="W353" s="6">
        <f t="shared" si="10"/>
        <v>0</v>
      </c>
      <c r="X353" s="6">
        <f t="shared" si="11"/>
        <v>0</v>
      </c>
    </row>
    <row r="354" spans="1:24" x14ac:dyDescent="0.3">
      <c r="A354" t="s">
        <v>610</v>
      </c>
      <c r="B354" t="s">
        <v>730</v>
      </c>
      <c r="C354" t="s">
        <v>23</v>
      </c>
      <c r="D354" t="s">
        <v>24</v>
      </c>
      <c r="E354" t="s">
        <v>25</v>
      </c>
      <c r="F354">
        <v>1</v>
      </c>
      <c r="G354">
        <v>9791136927248</v>
      </c>
      <c r="H354" t="s">
        <v>36</v>
      </c>
      <c r="I354" t="s">
        <v>37</v>
      </c>
      <c r="J354" t="s">
        <v>38</v>
      </c>
      <c r="K354" t="s">
        <v>29</v>
      </c>
      <c r="L354" s="1">
        <v>3300</v>
      </c>
      <c r="M354" t="s">
        <v>29</v>
      </c>
      <c r="N354" s="1">
        <v>3300</v>
      </c>
      <c r="O354" s="1">
        <v>3300</v>
      </c>
      <c r="P354" t="s">
        <v>30</v>
      </c>
      <c r="Q354" s="2">
        <v>0.7</v>
      </c>
      <c r="R354" s="1">
        <v>2310</v>
      </c>
      <c r="S354" t="s">
        <v>29</v>
      </c>
      <c r="T354" s="1">
        <v>2310</v>
      </c>
      <c r="V354" t="str">
        <f>VLOOKUP(H354,'[1]팀별 출판사'!A:B,2,0)</f>
        <v>소설2팀</v>
      </c>
      <c r="W354" s="6">
        <f t="shared" si="10"/>
        <v>0</v>
      </c>
      <c r="X354" s="6">
        <f t="shared" si="11"/>
        <v>2310</v>
      </c>
    </row>
    <row r="355" spans="1:24" x14ac:dyDescent="0.3">
      <c r="A355" t="s">
        <v>610</v>
      </c>
      <c r="B355" t="s">
        <v>731</v>
      </c>
      <c r="C355" t="s">
        <v>23</v>
      </c>
      <c r="D355" t="s">
        <v>24</v>
      </c>
      <c r="E355" t="s">
        <v>25</v>
      </c>
      <c r="F355">
        <v>1</v>
      </c>
      <c r="G355">
        <v>9791133102747</v>
      </c>
      <c r="H355" t="s">
        <v>32</v>
      </c>
      <c r="I355" t="s">
        <v>732</v>
      </c>
      <c r="J355" t="s">
        <v>51</v>
      </c>
      <c r="K355" t="s">
        <v>29</v>
      </c>
      <c r="L355" s="1">
        <v>3000</v>
      </c>
      <c r="M355" t="s">
        <v>29</v>
      </c>
      <c r="N355" s="1">
        <v>3000</v>
      </c>
      <c r="O355" s="1">
        <v>3000</v>
      </c>
      <c r="P355" t="s">
        <v>30</v>
      </c>
      <c r="Q355" s="2">
        <v>0.7</v>
      </c>
      <c r="R355" s="1">
        <v>2100</v>
      </c>
      <c r="S355" t="s">
        <v>29</v>
      </c>
      <c r="T355" s="1">
        <v>2100</v>
      </c>
      <c r="V355" t="str">
        <f>VLOOKUP(H355,'[1]팀별 출판사'!A:B,2,0)</f>
        <v>소설1팀</v>
      </c>
      <c r="W355" s="6">
        <f t="shared" si="10"/>
        <v>0</v>
      </c>
      <c r="X355" s="6">
        <f t="shared" si="11"/>
        <v>2100</v>
      </c>
    </row>
    <row r="356" spans="1:24" x14ac:dyDescent="0.3">
      <c r="A356" t="s">
        <v>610</v>
      </c>
      <c r="B356" t="s">
        <v>733</v>
      </c>
      <c r="C356" t="s">
        <v>23</v>
      </c>
      <c r="D356" t="s">
        <v>24</v>
      </c>
      <c r="E356" t="s">
        <v>25</v>
      </c>
      <c r="F356">
        <v>1</v>
      </c>
      <c r="G356">
        <v>9791133180066</v>
      </c>
      <c r="H356" t="s">
        <v>26</v>
      </c>
      <c r="I356" t="s">
        <v>320</v>
      </c>
      <c r="J356" t="s">
        <v>321</v>
      </c>
      <c r="K356" t="s">
        <v>29</v>
      </c>
      <c r="L356">
        <v>0</v>
      </c>
      <c r="M356" t="s">
        <v>29</v>
      </c>
      <c r="N356">
        <v>0</v>
      </c>
      <c r="O356">
        <v>0</v>
      </c>
      <c r="P356" t="s">
        <v>30</v>
      </c>
      <c r="Q356" s="2">
        <v>0.7</v>
      </c>
      <c r="R356">
        <v>0</v>
      </c>
      <c r="V356" t="str">
        <f>VLOOKUP(H356,'[1]팀별 출판사'!A:B,2,0)</f>
        <v>소설1팀</v>
      </c>
      <c r="W356" s="6">
        <f t="shared" si="10"/>
        <v>0</v>
      </c>
      <c r="X356" s="6">
        <f t="shared" si="11"/>
        <v>0</v>
      </c>
    </row>
    <row r="357" spans="1:24" x14ac:dyDescent="0.3">
      <c r="A357" t="s">
        <v>610</v>
      </c>
      <c r="B357" t="s">
        <v>734</v>
      </c>
      <c r="C357" t="s">
        <v>23</v>
      </c>
      <c r="D357" t="s">
        <v>24</v>
      </c>
      <c r="E357" t="s">
        <v>25</v>
      </c>
      <c r="F357">
        <v>1</v>
      </c>
      <c r="G357">
        <v>9791136931375</v>
      </c>
      <c r="H357" t="s">
        <v>32</v>
      </c>
      <c r="I357" t="s">
        <v>189</v>
      </c>
      <c r="J357" t="s">
        <v>46</v>
      </c>
      <c r="K357" t="s">
        <v>29</v>
      </c>
      <c r="L357">
        <v>0</v>
      </c>
      <c r="M357" t="s">
        <v>47</v>
      </c>
      <c r="N357">
        <v>0</v>
      </c>
      <c r="O357">
        <v>0</v>
      </c>
      <c r="P357" t="s">
        <v>48</v>
      </c>
      <c r="Q357" s="2">
        <v>0.7</v>
      </c>
      <c r="R357">
        <v>0</v>
      </c>
      <c r="V357" t="str">
        <f>VLOOKUP(H357,'[1]팀별 출판사'!A:B,2,0)</f>
        <v>소설1팀</v>
      </c>
      <c r="W357" s="6">
        <f t="shared" si="10"/>
        <v>0</v>
      </c>
      <c r="X357" s="6">
        <f t="shared" si="11"/>
        <v>0</v>
      </c>
    </row>
    <row r="358" spans="1:24" x14ac:dyDescent="0.3">
      <c r="A358" t="s">
        <v>610</v>
      </c>
      <c r="B358" t="s">
        <v>735</v>
      </c>
      <c r="C358" t="s">
        <v>23</v>
      </c>
      <c r="D358" t="s">
        <v>24</v>
      </c>
      <c r="E358" t="s">
        <v>25</v>
      </c>
      <c r="F358">
        <v>1</v>
      </c>
      <c r="G358">
        <v>9791133155354</v>
      </c>
      <c r="H358" t="s">
        <v>32</v>
      </c>
      <c r="I358" t="s">
        <v>736</v>
      </c>
      <c r="J358" t="s">
        <v>160</v>
      </c>
      <c r="K358" t="s">
        <v>29</v>
      </c>
      <c r="L358" s="1">
        <v>3000</v>
      </c>
      <c r="M358" t="s">
        <v>29</v>
      </c>
      <c r="N358" s="1">
        <v>3000</v>
      </c>
      <c r="O358" s="1">
        <v>3000</v>
      </c>
      <c r="P358" t="s">
        <v>30</v>
      </c>
      <c r="Q358" s="2">
        <v>0.7</v>
      </c>
      <c r="R358" s="1">
        <v>2100</v>
      </c>
      <c r="S358" t="s">
        <v>29</v>
      </c>
      <c r="T358" s="1">
        <v>2100</v>
      </c>
      <c r="V358" t="str">
        <f>VLOOKUP(H358,'[1]팀별 출판사'!A:B,2,0)</f>
        <v>소설1팀</v>
      </c>
      <c r="W358" s="6">
        <f t="shared" si="10"/>
        <v>0</v>
      </c>
      <c r="X358" s="6">
        <f t="shared" si="11"/>
        <v>2100</v>
      </c>
    </row>
    <row r="359" spans="1:24" x14ac:dyDescent="0.3">
      <c r="A359" t="s">
        <v>610</v>
      </c>
      <c r="B359" t="s">
        <v>737</v>
      </c>
      <c r="C359" t="s">
        <v>23</v>
      </c>
      <c r="D359" t="s">
        <v>24</v>
      </c>
      <c r="E359" t="s">
        <v>25</v>
      </c>
      <c r="F359">
        <v>1</v>
      </c>
      <c r="G359">
        <v>9791172921033</v>
      </c>
      <c r="H359" t="s">
        <v>79</v>
      </c>
      <c r="I359" t="s">
        <v>738</v>
      </c>
      <c r="J359" t="s">
        <v>46</v>
      </c>
      <c r="K359" t="s">
        <v>29</v>
      </c>
      <c r="L359">
        <v>0</v>
      </c>
      <c r="M359" t="s">
        <v>29</v>
      </c>
      <c r="N359">
        <v>0</v>
      </c>
      <c r="O359">
        <v>0</v>
      </c>
      <c r="P359" t="s">
        <v>30</v>
      </c>
      <c r="Q359" s="2">
        <v>0.7</v>
      </c>
      <c r="R359">
        <v>0</v>
      </c>
      <c r="V359" t="str">
        <f>VLOOKUP(H359,'[1]팀별 출판사'!A:B,2,0)</f>
        <v>소설1팀</v>
      </c>
      <c r="W359" s="6">
        <f t="shared" si="10"/>
        <v>0</v>
      </c>
      <c r="X359" s="6">
        <f t="shared" si="11"/>
        <v>0</v>
      </c>
    </row>
    <row r="360" spans="1:24" x14ac:dyDescent="0.3">
      <c r="A360" t="s">
        <v>610</v>
      </c>
      <c r="B360" t="s">
        <v>739</v>
      </c>
      <c r="C360" t="s">
        <v>23</v>
      </c>
      <c r="D360" t="s">
        <v>24</v>
      </c>
      <c r="E360" t="s">
        <v>25</v>
      </c>
      <c r="F360">
        <v>1</v>
      </c>
      <c r="G360">
        <v>9791136988331</v>
      </c>
      <c r="H360" t="s">
        <v>26</v>
      </c>
      <c r="I360" t="s">
        <v>372</v>
      </c>
      <c r="J360" t="s">
        <v>28</v>
      </c>
      <c r="K360" t="s">
        <v>29</v>
      </c>
      <c r="L360" s="1">
        <v>3200</v>
      </c>
      <c r="M360" t="s">
        <v>29</v>
      </c>
      <c r="N360" s="1">
        <v>3200</v>
      </c>
      <c r="O360" s="1">
        <v>3200</v>
      </c>
      <c r="P360" t="s">
        <v>30</v>
      </c>
      <c r="Q360" s="2">
        <v>0.7</v>
      </c>
      <c r="R360" s="1">
        <v>2240</v>
      </c>
      <c r="S360" t="s">
        <v>29</v>
      </c>
      <c r="T360" s="1">
        <v>2240</v>
      </c>
      <c r="V360" t="str">
        <f>VLOOKUP(H360,'[1]팀별 출판사'!A:B,2,0)</f>
        <v>소설1팀</v>
      </c>
      <c r="W360" s="6">
        <f t="shared" si="10"/>
        <v>0</v>
      </c>
      <c r="X360" s="6">
        <f t="shared" si="11"/>
        <v>2240</v>
      </c>
    </row>
    <row r="361" spans="1:24" x14ac:dyDescent="0.3">
      <c r="A361" t="s">
        <v>610</v>
      </c>
      <c r="B361" t="s">
        <v>739</v>
      </c>
      <c r="C361" t="s">
        <v>23</v>
      </c>
      <c r="D361" t="s">
        <v>24</v>
      </c>
      <c r="E361" t="s">
        <v>25</v>
      </c>
      <c r="F361">
        <v>1</v>
      </c>
      <c r="G361">
        <v>9791136988386</v>
      </c>
      <c r="H361" t="s">
        <v>26</v>
      </c>
      <c r="I361" t="s">
        <v>513</v>
      </c>
      <c r="J361" t="s">
        <v>28</v>
      </c>
      <c r="K361" t="s">
        <v>29</v>
      </c>
      <c r="L361" s="1">
        <v>3200</v>
      </c>
      <c r="M361" t="s">
        <v>29</v>
      </c>
      <c r="N361" s="1">
        <v>3200</v>
      </c>
      <c r="O361" s="1">
        <v>3200</v>
      </c>
      <c r="P361" t="s">
        <v>30</v>
      </c>
      <c r="Q361" s="2">
        <v>0.7</v>
      </c>
      <c r="R361" s="1">
        <v>2240</v>
      </c>
      <c r="S361" t="s">
        <v>29</v>
      </c>
      <c r="T361" s="1">
        <v>2240</v>
      </c>
      <c r="V361" t="str">
        <f>VLOOKUP(H361,'[1]팀별 출판사'!A:B,2,0)</f>
        <v>소설1팀</v>
      </c>
      <c r="W361" s="6">
        <f t="shared" si="10"/>
        <v>0</v>
      </c>
      <c r="X361" s="6">
        <f t="shared" si="11"/>
        <v>2240</v>
      </c>
    </row>
    <row r="362" spans="1:24" x14ac:dyDescent="0.3">
      <c r="A362" t="s">
        <v>610</v>
      </c>
      <c r="B362" t="s">
        <v>739</v>
      </c>
      <c r="C362" t="s">
        <v>23</v>
      </c>
      <c r="D362" t="s">
        <v>24</v>
      </c>
      <c r="E362" t="s">
        <v>25</v>
      </c>
      <c r="F362">
        <v>1</v>
      </c>
      <c r="G362">
        <v>9791136988416</v>
      </c>
      <c r="H362" t="s">
        <v>26</v>
      </c>
      <c r="I362" t="s">
        <v>575</v>
      </c>
      <c r="J362" t="s">
        <v>28</v>
      </c>
      <c r="K362" t="s">
        <v>29</v>
      </c>
      <c r="L362" s="1">
        <v>3200</v>
      </c>
      <c r="M362" t="s">
        <v>29</v>
      </c>
      <c r="N362" s="1">
        <v>3200</v>
      </c>
      <c r="O362" s="1">
        <v>3200</v>
      </c>
      <c r="P362" t="s">
        <v>30</v>
      </c>
      <c r="Q362" s="2">
        <v>0.7</v>
      </c>
      <c r="R362" s="1">
        <v>2240</v>
      </c>
      <c r="S362" t="s">
        <v>29</v>
      </c>
      <c r="T362" s="1">
        <v>2240</v>
      </c>
      <c r="V362" t="str">
        <f>VLOOKUP(H362,'[1]팀별 출판사'!A:B,2,0)</f>
        <v>소설1팀</v>
      </c>
      <c r="W362" s="6">
        <f t="shared" si="10"/>
        <v>0</v>
      </c>
      <c r="X362" s="6">
        <f t="shared" si="11"/>
        <v>2240</v>
      </c>
    </row>
    <row r="363" spans="1:24" x14ac:dyDescent="0.3">
      <c r="A363" t="s">
        <v>610</v>
      </c>
      <c r="B363" t="s">
        <v>739</v>
      </c>
      <c r="C363" t="s">
        <v>23</v>
      </c>
      <c r="D363" t="s">
        <v>24</v>
      </c>
      <c r="E363" t="s">
        <v>25</v>
      </c>
      <c r="F363">
        <v>1</v>
      </c>
      <c r="G363">
        <v>9791136988744</v>
      </c>
      <c r="H363" t="s">
        <v>26</v>
      </c>
      <c r="I363" t="s">
        <v>725</v>
      </c>
      <c r="J363" t="s">
        <v>28</v>
      </c>
      <c r="K363" t="s">
        <v>29</v>
      </c>
      <c r="L363" s="1">
        <v>3200</v>
      </c>
      <c r="M363" t="s">
        <v>29</v>
      </c>
      <c r="N363" s="1">
        <v>3200</v>
      </c>
      <c r="O363" s="1">
        <v>3200</v>
      </c>
      <c r="P363" t="s">
        <v>30</v>
      </c>
      <c r="Q363" s="2">
        <v>0.7</v>
      </c>
      <c r="R363" s="1">
        <v>2240</v>
      </c>
      <c r="S363" t="s">
        <v>29</v>
      </c>
      <c r="T363" s="1">
        <v>2240</v>
      </c>
      <c r="V363" t="str">
        <f>VLOOKUP(H363,'[1]팀별 출판사'!A:B,2,0)</f>
        <v>소설1팀</v>
      </c>
      <c r="W363" s="6">
        <f t="shared" si="10"/>
        <v>0</v>
      </c>
      <c r="X363" s="6">
        <f t="shared" si="11"/>
        <v>2240</v>
      </c>
    </row>
    <row r="364" spans="1:24" x14ac:dyDescent="0.3">
      <c r="A364" t="s">
        <v>610</v>
      </c>
      <c r="B364" t="s">
        <v>739</v>
      </c>
      <c r="C364" t="s">
        <v>23</v>
      </c>
      <c r="D364" t="s">
        <v>24</v>
      </c>
      <c r="E364" t="s">
        <v>25</v>
      </c>
      <c r="F364">
        <v>1</v>
      </c>
      <c r="G364">
        <v>9791136988751</v>
      </c>
      <c r="H364" t="s">
        <v>26</v>
      </c>
      <c r="I364" t="s">
        <v>740</v>
      </c>
      <c r="J364" t="s">
        <v>28</v>
      </c>
      <c r="K364" t="s">
        <v>29</v>
      </c>
      <c r="L364" s="1">
        <v>3200</v>
      </c>
      <c r="M364" t="s">
        <v>29</v>
      </c>
      <c r="N364" s="1">
        <v>3200</v>
      </c>
      <c r="O364" s="1">
        <v>3200</v>
      </c>
      <c r="P364" t="s">
        <v>30</v>
      </c>
      <c r="Q364" s="2">
        <v>0.7</v>
      </c>
      <c r="R364" s="1">
        <v>2240</v>
      </c>
      <c r="S364" t="s">
        <v>29</v>
      </c>
      <c r="T364" s="1">
        <v>2240</v>
      </c>
      <c r="V364" t="str">
        <f>VLOOKUP(H364,'[1]팀별 출판사'!A:B,2,0)</f>
        <v>소설1팀</v>
      </c>
      <c r="W364" s="6">
        <f t="shared" si="10"/>
        <v>0</v>
      </c>
      <c r="X364" s="6">
        <f t="shared" si="11"/>
        <v>2240</v>
      </c>
    </row>
    <row r="365" spans="1:24" x14ac:dyDescent="0.3">
      <c r="A365" t="s">
        <v>610</v>
      </c>
      <c r="B365" t="s">
        <v>741</v>
      </c>
      <c r="C365" t="s">
        <v>23</v>
      </c>
      <c r="D365" t="s">
        <v>24</v>
      </c>
      <c r="E365" t="s">
        <v>25</v>
      </c>
      <c r="F365">
        <v>1</v>
      </c>
      <c r="G365">
        <v>9791133186846</v>
      </c>
      <c r="H365" t="s">
        <v>26</v>
      </c>
      <c r="I365" t="s">
        <v>742</v>
      </c>
      <c r="J365" t="s">
        <v>743</v>
      </c>
      <c r="K365" t="s">
        <v>29</v>
      </c>
      <c r="L365" s="1">
        <v>2500</v>
      </c>
      <c r="M365" t="s">
        <v>29</v>
      </c>
      <c r="N365" s="1">
        <v>2500</v>
      </c>
      <c r="O365" s="1">
        <v>2500</v>
      </c>
      <c r="P365" t="s">
        <v>30</v>
      </c>
      <c r="Q365" s="2">
        <v>0.7</v>
      </c>
      <c r="R365" s="1">
        <v>1750</v>
      </c>
      <c r="S365" t="s">
        <v>29</v>
      </c>
      <c r="T365" s="1">
        <v>1750</v>
      </c>
      <c r="V365" t="str">
        <f>VLOOKUP(H365,'[1]팀별 출판사'!A:B,2,0)</f>
        <v>소설1팀</v>
      </c>
      <c r="W365" s="6">
        <f t="shared" si="10"/>
        <v>0</v>
      </c>
      <c r="X365" s="6">
        <f t="shared" si="11"/>
        <v>1750</v>
      </c>
    </row>
    <row r="366" spans="1:24" x14ac:dyDescent="0.3">
      <c r="A366" t="s">
        <v>610</v>
      </c>
      <c r="B366" t="s">
        <v>744</v>
      </c>
      <c r="C366" t="s">
        <v>23</v>
      </c>
      <c r="D366" t="s">
        <v>24</v>
      </c>
      <c r="E366" t="s">
        <v>25</v>
      </c>
      <c r="F366">
        <v>1</v>
      </c>
      <c r="G366">
        <v>9791133187010</v>
      </c>
      <c r="H366" t="s">
        <v>26</v>
      </c>
      <c r="I366" t="s">
        <v>745</v>
      </c>
      <c r="J366" t="s">
        <v>743</v>
      </c>
      <c r="K366" t="s">
        <v>29</v>
      </c>
      <c r="L366">
        <v>0</v>
      </c>
      <c r="M366" t="s">
        <v>29</v>
      </c>
      <c r="N366">
        <v>0</v>
      </c>
      <c r="O366">
        <v>0</v>
      </c>
      <c r="P366" t="s">
        <v>30</v>
      </c>
      <c r="Q366" s="2">
        <v>0.7</v>
      </c>
      <c r="R366">
        <v>0</v>
      </c>
      <c r="V366" t="str">
        <f>VLOOKUP(H366,'[1]팀별 출판사'!A:B,2,0)</f>
        <v>소설1팀</v>
      </c>
      <c r="W366" s="6">
        <f t="shared" si="10"/>
        <v>0</v>
      </c>
      <c r="X366" s="6">
        <f t="shared" si="11"/>
        <v>0</v>
      </c>
    </row>
    <row r="367" spans="1:24" x14ac:dyDescent="0.3">
      <c r="A367" t="s">
        <v>610</v>
      </c>
      <c r="B367" t="s">
        <v>746</v>
      </c>
      <c r="C367" t="s">
        <v>23</v>
      </c>
      <c r="D367" t="s">
        <v>24</v>
      </c>
      <c r="E367" t="s">
        <v>25</v>
      </c>
      <c r="F367">
        <v>1</v>
      </c>
      <c r="G367">
        <v>9791136905673</v>
      </c>
      <c r="H367" t="s">
        <v>26</v>
      </c>
      <c r="I367" t="s">
        <v>747</v>
      </c>
      <c r="J367" t="s">
        <v>311</v>
      </c>
      <c r="K367" t="s">
        <v>29</v>
      </c>
      <c r="L367" s="1">
        <v>3200</v>
      </c>
      <c r="M367" t="s">
        <v>29</v>
      </c>
      <c r="N367" s="1">
        <v>3200</v>
      </c>
      <c r="O367" s="1">
        <v>3200</v>
      </c>
      <c r="P367" t="s">
        <v>30</v>
      </c>
      <c r="Q367" s="2">
        <v>0.7</v>
      </c>
      <c r="R367" s="1">
        <v>2240</v>
      </c>
      <c r="S367" t="s">
        <v>29</v>
      </c>
      <c r="T367" s="1">
        <v>2240</v>
      </c>
      <c r="V367" t="str">
        <f>VLOOKUP(H367,'[1]팀별 출판사'!A:B,2,0)</f>
        <v>소설1팀</v>
      </c>
      <c r="W367" s="6">
        <f t="shared" si="10"/>
        <v>0</v>
      </c>
      <c r="X367" s="6">
        <f t="shared" si="11"/>
        <v>2240</v>
      </c>
    </row>
    <row r="368" spans="1:24" x14ac:dyDescent="0.3">
      <c r="A368" t="s">
        <v>610</v>
      </c>
      <c r="B368" t="s">
        <v>748</v>
      </c>
      <c r="C368" t="s">
        <v>23</v>
      </c>
      <c r="D368" t="s">
        <v>24</v>
      </c>
      <c r="E368" t="s">
        <v>25</v>
      </c>
      <c r="F368">
        <v>1</v>
      </c>
      <c r="G368">
        <v>9791133186839</v>
      </c>
      <c r="H368" t="s">
        <v>26</v>
      </c>
      <c r="I368" t="s">
        <v>749</v>
      </c>
      <c r="J368" t="s">
        <v>743</v>
      </c>
      <c r="K368" t="s">
        <v>29</v>
      </c>
      <c r="L368">
        <v>0</v>
      </c>
      <c r="M368" t="s">
        <v>29</v>
      </c>
      <c r="N368">
        <v>0</v>
      </c>
      <c r="O368">
        <v>0</v>
      </c>
      <c r="P368" t="s">
        <v>30</v>
      </c>
      <c r="Q368" s="2">
        <v>0.7</v>
      </c>
      <c r="R368">
        <v>0</v>
      </c>
      <c r="V368" t="str">
        <f>VLOOKUP(H368,'[1]팀별 출판사'!A:B,2,0)</f>
        <v>소설1팀</v>
      </c>
      <c r="W368" s="6">
        <f t="shared" si="10"/>
        <v>0</v>
      </c>
      <c r="X368" s="6">
        <f t="shared" si="11"/>
        <v>0</v>
      </c>
    </row>
    <row r="369" spans="1:24" x14ac:dyDescent="0.3">
      <c r="A369" t="s">
        <v>610</v>
      </c>
      <c r="B369" t="s">
        <v>750</v>
      </c>
      <c r="C369" t="s">
        <v>23</v>
      </c>
      <c r="D369" t="s">
        <v>24</v>
      </c>
      <c r="E369" t="s">
        <v>25</v>
      </c>
      <c r="F369">
        <v>1</v>
      </c>
      <c r="G369">
        <v>9791136931375</v>
      </c>
      <c r="H369" t="s">
        <v>32</v>
      </c>
      <c r="I369" t="s">
        <v>189</v>
      </c>
      <c r="J369" t="s">
        <v>46</v>
      </c>
      <c r="K369" t="s">
        <v>29</v>
      </c>
      <c r="L369">
        <v>0</v>
      </c>
      <c r="M369" t="s">
        <v>152</v>
      </c>
      <c r="N369">
        <v>0</v>
      </c>
      <c r="O369">
        <v>0</v>
      </c>
      <c r="P369" t="s">
        <v>153</v>
      </c>
      <c r="Q369" s="2">
        <v>0.7</v>
      </c>
      <c r="R369">
        <v>0</v>
      </c>
      <c r="V369" t="str">
        <f>VLOOKUP(H369,'[1]팀별 출판사'!A:B,2,0)</f>
        <v>소설1팀</v>
      </c>
      <c r="W369" s="6">
        <f t="shared" si="10"/>
        <v>0</v>
      </c>
      <c r="X369" s="6">
        <f t="shared" si="11"/>
        <v>0</v>
      </c>
    </row>
    <row r="370" spans="1:24" x14ac:dyDescent="0.3">
      <c r="A370" t="s">
        <v>610</v>
      </c>
      <c r="B370" t="s">
        <v>751</v>
      </c>
      <c r="C370" t="s">
        <v>23</v>
      </c>
      <c r="D370" t="s">
        <v>24</v>
      </c>
      <c r="E370" t="s">
        <v>25</v>
      </c>
      <c r="F370">
        <v>1</v>
      </c>
      <c r="G370">
        <v>9791136910981</v>
      </c>
      <c r="H370" t="s">
        <v>32</v>
      </c>
      <c r="I370" t="s">
        <v>752</v>
      </c>
      <c r="J370" t="s">
        <v>160</v>
      </c>
      <c r="K370" t="s">
        <v>29</v>
      </c>
      <c r="L370">
        <v>0</v>
      </c>
      <c r="M370" t="s">
        <v>29</v>
      </c>
      <c r="N370">
        <v>0</v>
      </c>
      <c r="O370">
        <v>0</v>
      </c>
      <c r="P370" t="s">
        <v>30</v>
      </c>
      <c r="Q370" s="2">
        <v>0.7</v>
      </c>
      <c r="R370">
        <v>0</v>
      </c>
      <c r="V370" t="str">
        <f>VLOOKUP(H370,'[1]팀별 출판사'!A:B,2,0)</f>
        <v>소설1팀</v>
      </c>
      <c r="W370" s="6">
        <f t="shared" si="10"/>
        <v>0</v>
      </c>
      <c r="X370" s="6">
        <f t="shared" si="11"/>
        <v>0</v>
      </c>
    </row>
    <row r="371" spans="1:24" x14ac:dyDescent="0.3">
      <c r="A371" t="s">
        <v>610</v>
      </c>
      <c r="B371" t="s">
        <v>753</v>
      </c>
      <c r="C371" t="s">
        <v>23</v>
      </c>
      <c r="D371" t="s">
        <v>24</v>
      </c>
      <c r="E371" t="s">
        <v>25</v>
      </c>
      <c r="F371">
        <v>1</v>
      </c>
      <c r="G371" t="s">
        <v>754</v>
      </c>
      <c r="H371" t="s">
        <v>32</v>
      </c>
      <c r="I371" t="s">
        <v>755</v>
      </c>
      <c r="J371" t="s">
        <v>55</v>
      </c>
      <c r="K371" t="s">
        <v>29</v>
      </c>
      <c r="L371">
        <v>0</v>
      </c>
      <c r="M371" t="s">
        <v>29</v>
      </c>
      <c r="N371">
        <v>0</v>
      </c>
      <c r="O371">
        <v>0</v>
      </c>
      <c r="P371" t="s">
        <v>30</v>
      </c>
      <c r="Q371" s="2">
        <v>0.7</v>
      </c>
      <c r="R371">
        <v>0</v>
      </c>
      <c r="V371" t="str">
        <f>VLOOKUP(H371,'[1]팀별 출판사'!A:B,2,0)</f>
        <v>소설1팀</v>
      </c>
      <c r="W371" s="6">
        <f t="shared" si="10"/>
        <v>0</v>
      </c>
      <c r="X371" s="6">
        <f t="shared" si="11"/>
        <v>0</v>
      </c>
    </row>
    <row r="372" spans="1:24" x14ac:dyDescent="0.3">
      <c r="A372" t="s">
        <v>610</v>
      </c>
      <c r="B372" t="s">
        <v>756</v>
      </c>
      <c r="C372" t="s">
        <v>23</v>
      </c>
      <c r="D372" t="s">
        <v>24</v>
      </c>
      <c r="E372" t="s">
        <v>25</v>
      </c>
      <c r="F372">
        <v>1</v>
      </c>
      <c r="G372">
        <v>9791136946904</v>
      </c>
      <c r="H372" t="s">
        <v>26</v>
      </c>
      <c r="I372" t="s">
        <v>757</v>
      </c>
      <c r="J372" t="s">
        <v>28</v>
      </c>
      <c r="K372" t="s">
        <v>29</v>
      </c>
      <c r="L372" s="1">
        <v>3200</v>
      </c>
      <c r="M372" t="s">
        <v>29</v>
      </c>
      <c r="N372" s="1">
        <v>3200</v>
      </c>
      <c r="O372" s="1">
        <v>3200</v>
      </c>
      <c r="P372" t="s">
        <v>30</v>
      </c>
      <c r="Q372" s="2">
        <v>0.7</v>
      </c>
      <c r="R372" s="1">
        <v>2240</v>
      </c>
      <c r="S372" t="s">
        <v>29</v>
      </c>
      <c r="T372" s="1">
        <v>2240</v>
      </c>
      <c r="V372" t="str">
        <f>VLOOKUP(H372,'[1]팀별 출판사'!A:B,2,0)</f>
        <v>소설1팀</v>
      </c>
      <c r="W372" s="6">
        <f t="shared" si="10"/>
        <v>0</v>
      </c>
      <c r="X372" s="6">
        <f t="shared" si="11"/>
        <v>2240</v>
      </c>
    </row>
    <row r="373" spans="1:24" x14ac:dyDescent="0.3">
      <c r="A373" t="s">
        <v>610</v>
      </c>
      <c r="B373" t="s">
        <v>758</v>
      </c>
      <c r="C373" t="s">
        <v>23</v>
      </c>
      <c r="D373" t="s">
        <v>24</v>
      </c>
      <c r="E373" t="s">
        <v>25</v>
      </c>
      <c r="F373">
        <v>1</v>
      </c>
      <c r="G373">
        <v>9791136934925</v>
      </c>
      <c r="H373" t="s">
        <v>32</v>
      </c>
      <c r="I373" t="s">
        <v>385</v>
      </c>
      <c r="J373" t="s">
        <v>126</v>
      </c>
      <c r="K373" t="s">
        <v>29</v>
      </c>
      <c r="L373">
        <v>0</v>
      </c>
      <c r="M373" t="s">
        <v>47</v>
      </c>
      <c r="N373">
        <v>0</v>
      </c>
      <c r="O373">
        <v>0</v>
      </c>
      <c r="P373" t="s">
        <v>48</v>
      </c>
      <c r="Q373" s="2">
        <v>0.7</v>
      </c>
      <c r="R373">
        <v>0</v>
      </c>
      <c r="V373" t="str">
        <f>VLOOKUP(H373,'[1]팀별 출판사'!A:B,2,0)</f>
        <v>소설1팀</v>
      </c>
      <c r="W373" s="6">
        <f t="shared" si="10"/>
        <v>0</v>
      </c>
      <c r="X373" s="6">
        <f t="shared" si="11"/>
        <v>0</v>
      </c>
    </row>
    <row r="374" spans="1:24" x14ac:dyDescent="0.3">
      <c r="A374" t="s">
        <v>610</v>
      </c>
      <c r="B374" t="s">
        <v>759</v>
      </c>
      <c r="C374" t="s">
        <v>23</v>
      </c>
      <c r="D374" t="s">
        <v>24</v>
      </c>
      <c r="E374" t="s">
        <v>25</v>
      </c>
      <c r="F374">
        <v>1</v>
      </c>
      <c r="G374">
        <v>9791133188673</v>
      </c>
      <c r="H374" t="s">
        <v>26</v>
      </c>
      <c r="I374" t="s">
        <v>760</v>
      </c>
      <c r="J374" t="s">
        <v>743</v>
      </c>
      <c r="K374" t="s">
        <v>29</v>
      </c>
      <c r="L374" s="1">
        <v>2500</v>
      </c>
      <c r="M374" t="s">
        <v>29</v>
      </c>
      <c r="N374" s="1">
        <v>2500</v>
      </c>
      <c r="O374" s="1">
        <v>2500</v>
      </c>
      <c r="P374" t="s">
        <v>30</v>
      </c>
      <c r="Q374" s="2">
        <v>0.7</v>
      </c>
      <c r="R374" s="1">
        <v>1750</v>
      </c>
      <c r="S374" t="s">
        <v>29</v>
      </c>
      <c r="T374" s="1">
        <v>1750</v>
      </c>
      <c r="V374" t="str">
        <f>VLOOKUP(H374,'[1]팀별 출판사'!A:B,2,0)</f>
        <v>소설1팀</v>
      </c>
      <c r="W374" s="6">
        <f t="shared" si="10"/>
        <v>0</v>
      </c>
      <c r="X374" s="6">
        <f t="shared" si="11"/>
        <v>1750</v>
      </c>
    </row>
    <row r="375" spans="1:24" x14ac:dyDescent="0.3">
      <c r="A375" t="s">
        <v>610</v>
      </c>
      <c r="B375" t="s">
        <v>761</v>
      </c>
      <c r="C375" t="s">
        <v>23</v>
      </c>
      <c r="D375" t="s">
        <v>24</v>
      </c>
      <c r="E375" t="s">
        <v>25</v>
      </c>
      <c r="F375">
        <v>1</v>
      </c>
      <c r="G375">
        <v>9791133188666</v>
      </c>
      <c r="H375" t="s">
        <v>26</v>
      </c>
      <c r="I375" t="s">
        <v>762</v>
      </c>
      <c r="J375" t="s">
        <v>743</v>
      </c>
      <c r="K375" t="s">
        <v>29</v>
      </c>
      <c r="L375" s="1">
        <v>2500</v>
      </c>
      <c r="M375" t="s">
        <v>29</v>
      </c>
      <c r="N375" s="1">
        <v>2500</v>
      </c>
      <c r="O375" s="1">
        <v>2500</v>
      </c>
      <c r="P375" t="s">
        <v>30</v>
      </c>
      <c r="Q375" s="2">
        <v>0.7</v>
      </c>
      <c r="R375" s="1">
        <v>1750</v>
      </c>
      <c r="S375" t="s">
        <v>29</v>
      </c>
      <c r="T375" s="1">
        <v>1750</v>
      </c>
      <c r="V375" t="str">
        <f>VLOOKUP(H375,'[1]팀별 출판사'!A:B,2,0)</f>
        <v>소설1팀</v>
      </c>
      <c r="W375" s="6">
        <f t="shared" si="10"/>
        <v>0</v>
      </c>
      <c r="X375" s="6">
        <f t="shared" si="11"/>
        <v>1750</v>
      </c>
    </row>
    <row r="376" spans="1:24" x14ac:dyDescent="0.3">
      <c r="A376" t="s">
        <v>610</v>
      </c>
      <c r="B376" t="s">
        <v>763</v>
      </c>
      <c r="C376" t="s">
        <v>23</v>
      </c>
      <c r="D376" t="s">
        <v>24</v>
      </c>
      <c r="E376" t="s">
        <v>25</v>
      </c>
      <c r="F376">
        <v>1</v>
      </c>
      <c r="G376">
        <v>9791133188659</v>
      </c>
      <c r="H376" t="s">
        <v>26</v>
      </c>
      <c r="I376" t="s">
        <v>764</v>
      </c>
      <c r="J376" t="s">
        <v>743</v>
      </c>
      <c r="K376" t="s">
        <v>29</v>
      </c>
      <c r="L376" s="1">
        <v>2500</v>
      </c>
      <c r="M376" t="s">
        <v>29</v>
      </c>
      <c r="N376" s="1">
        <v>2500</v>
      </c>
      <c r="O376" s="1">
        <v>2500</v>
      </c>
      <c r="P376" t="s">
        <v>30</v>
      </c>
      <c r="Q376" s="2">
        <v>0.7</v>
      </c>
      <c r="R376" s="1">
        <v>1750</v>
      </c>
      <c r="S376" t="s">
        <v>29</v>
      </c>
      <c r="T376" s="1">
        <v>1750</v>
      </c>
      <c r="V376" t="str">
        <f>VLOOKUP(H376,'[1]팀별 출판사'!A:B,2,0)</f>
        <v>소설1팀</v>
      </c>
      <c r="W376" s="6">
        <f t="shared" si="10"/>
        <v>0</v>
      </c>
      <c r="X376" s="6">
        <f t="shared" si="11"/>
        <v>1750</v>
      </c>
    </row>
    <row r="377" spans="1:24" x14ac:dyDescent="0.3">
      <c r="A377" t="s">
        <v>610</v>
      </c>
      <c r="B377" t="s">
        <v>765</v>
      </c>
      <c r="C377" t="s">
        <v>23</v>
      </c>
      <c r="D377" t="s">
        <v>24</v>
      </c>
      <c r="E377" t="s">
        <v>25</v>
      </c>
      <c r="F377">
        <v>1</v>
      </c>
      <c r="G377">
        <v>9791136930361</v>
      </c>
      <c r="H377" t="s">
        <v>32</v>
      </c>
      <c r="I377" t="s">
        <v>33</v>
      </c>
      <c r="J377" t="s">
        <v>34</v>
      </c>
      <c r="K377" t="s">
        <v>29</v>
      </c>
      <c r="L377">
        <v>0</v>
      </c>
      <c r="M377" t="s">
        <v>47</v>
      </c>
      <c r="N377">
        <v>0</v>
      </c>
      <c r="O377">
        <v>0</v>
      </c>
      <c r="P377" t="s">
        <v>48</v>
      </c>
      <c r="Q377" s="2">
        <v>0.7</v>
      </c>
      <c r="R377">
        <v>0</v>
      </c>
      <c r="V377" t="str">
        <f>VLOOKUP(H377,'[1]팀별 출판사'!A:B,2,0)</f>
        <v>소설1팀</v>
      </c>
      <c r="W377" s="6">
        <f t="shared" si="10"/>
        <v>0</v>
      </c>
      <c r="X377" s="6">
        <f t="shared" si="11"/>
        <v>0</v>
      </c>
    </row>
    <row r="378" spans="1:24" x14ac:dyDescent="0.3">
      <c r="A378" t="s">
        <v>610</v>
      </c>
      <c r="B378" t="s">
        <v>766</v>
      </c>
      <c r="C378" t="s">
        <v>23</v>
      </c>
      <c r="D378" t="s">
        <v>24</v>
      </c>
      <c r="E378" t="s">
        <v>25</v>
      </c>
      <c r="F378">
        <v>1</v>
      </c>
      <c r="G378">
        <v>9791136931375</v>
      </c>
      <c r="H378" t="s">
        <v>32</v>
      </c>
      <c r="I378" t="s">
        <v>189</v>
      </c>
      <c r="J378" t="s">
        <v>46</v>
      </c>
      <c r="K378" t="s">
        <v>29</v>
      </c>
      <c r="L378">
        <v>0</v>
      </c>
      <c r="M378" t="s">
        <v>47</v>
      </c>
      <c r="N378">
        <v>0</v>
      </c>
      <c r="O378">
        <v>0</v>
      </c>
      <c r="P378" t="s">
        <v>48</v>
      </c>
      <c r="Q378" s="2">
        <v>0.7</v>
      </c>
      <c r="R378">
        <v>0</v>
      </c>
      <c r="V378" t="str">
        <f>VLOOKUP(H378,'[1]팀별 출판사'!A:B,2,0)</f>
        <v>소설1팀</v>
      </c>
      <c r="W378" s="6">
        <f t="shared" si="10"/>
        <v>0</v>
      </c>
      <c r="X378" s="6">
        <f t="shared" si="11"/>
        <v>0</v>
      </c>
    </row>
    <row r="379" spans="1:24" x14ac:dyDescent="0.3">
      <c r="A379" t="s">
        <v>610</v>
      </c>
      <c r="B379" t="s">
        <v>767</v>
      </c>
      <c r="C379" t="s">
        <v>23</v>
      </c>
      <c r="D379" t="s">
        <v>24</v>
      </c>
      <c r="E379" t="s">
        <v>25</v>
      </c>
      <c r="F379">
        <v>1</v>
      </c>
      <c r="G379">
        <v>9791133101795</v>
      </c>
      <c r="H379" t="s">
        <v>32</v>
      </c>
      <c r="I379" t="s">
        <v>566</v>
      </c>
      <c r="J379" t="s">
        <v>160</v>
      </c>
      <c r="K379" t="s">
        <v>29</v>
      </c>
      <c r="L379">
        <v>0</v>
      </c>
      <c r="M379" t="s">
        <v>29</v>
      </c>
      <c r="N379">
        <v>0</v>
      </c>
      <c r="O379">
        <v>0</v>
      </c>
      <c r="P379" t="s">
        <v>30</v>
      </c>
      <c r="Q379" s="2">
        <v>0.7</v>
      </c>
      <c r="R379">
        <v>0</v>
      </c>
      <c r="V379" t="str">
        <f>VLOOKUP(H379,'[1]팀별 출판사'!A:B,2,0)</f>
        <v>소설1팀</v>
      </c>
      <c r="W379" s="6">
        <f t="shared" si="10"/>
        <v>0</v>
      </c>
      <c r="X379" s="6">
        <f t="shared" si="11"/>
        <v>0</v>
      </c>
    </row>
    <row r="380" spans="1:24" x14ac:dyDescent="0.3">
      <c r="A380" t="s">
        <v>610</v>
      </c>
      <c r="B380" t="s">
        <v>768</v>
      </c>
      <c r="C380" t="s">
        <v>23</v>
      </c>
      <c r="D380" t="s">
        <v>24</v>
      </c>
      <c r="E380" t="s">
        <v>25</v>
      </c>
      <c r="F380">
        <v>1</v>
      </c>
      <c r="G380">
        <v>9791173785993</v>
      </c>
      <c r="H380" t="s">
        <v>26</v>
      </c>
      <c r="I380" t="s">
        <v>769</v>
      </c>
      <c r="J380" t="s">
        <v>81</v>
      </c>
      <c r="K380" t="s">
        <v>29</v>
      </c>
      <c r="L380">
        <v>0</v>
      </c>
      <c r="M380" t="s">
        <v>29</v>
      </c>
      <c r="N380">
        <v>0</v>
      </c>
      <c r="O380">
        <v>0</v>
      </c>
      <c r="P380" t="s">
        <v>30</v>
      </c>
      <c r="Q380" s="2">
        <v>0.7</v>
      </c>
      <c r="R380">
        <v>0</v>
      </c>
      <c r="V380" t="str">
        <f>VLOOKUP(H380,'[1]팀별 출판사'!A:B,2,0)</f>
        <v>소설1팀</v>
      </c>
      <c r="W380" s="6">
        <f t="shared" si="10"/>
        <v>0</v>
      </c>
      <c r="X380" s="6">
        <f t="shared" si="11"/>
        <v>0</v>
      </c>
    </row>
    <row r="381" spans="1:24" x14ac:dyDescent="0.3">
      <c r="A381" t="s">
        <v>610</v>
      </c>
      <c r="B381" t="s">
        <v>770</v>
      </c>
      <c r="C381" t="s">
        <v>23</v>
      </c>
      <c r="D381" t="s">
        <v>24</v>
      </c>
      <c r="E381" t="s">
        <v>25</v>
      </c>
      <c r="F381">
        <v>1</v>
      </c>
      <c r="G381">
        <v>9791136945013</v>
      </c>
      <c r="H381" t="s">
        <v>26</v>
      </c>
      <c r="I381" t="s">
        <v>125</v>
      </c>
      <c r="J381" t="s">
        <v>126</v>
      </c>
      <c r="K381" t="s">
        <v>29</v>
      </c>
      <c r="L381">
        <v>0</v>
      </c>
      <c r="M381" t="s">
        <v>47</v>
      </c>
      <c r="N381">
        <v>0</v>
      </c>
      <c r="O381">
        <v>0</v>
      </c>
      <c r="P381" t="s">
        <v>48</v>
      </c>
      <c r="Q381" s="2">
        <v>0.7</v>
      </c>
      <c r="R381">
        <v>0</v>
      </c>
      <c r="V381" t="str">
        <f>VLOOKUP(H381,'[1]팀별 출판사'!A:B,2,0)</f>
        <v>소설1팀</v>
      </c>
      <c r="W381" s="6">
        <f t="shared" si="10"/>
        <v>0</v>
      </c>
      <c r="X381" s="6">
        <f t="shared" si="11"/>
        <v>0</v>
      </c>
    </row>
    <row r="382" spans="1:24" x14ac:dyDescent="0.3">
      <c r="A382" t="s">
        <v>610</v>
      </c>
      <c r="B382" t="s">
        <v>771</v>
      </c>
      <c r="C382" t="s">
        <v>23</v>
      </c>
      <c r="D382" t="s">
        <v>24</v>
      </c>
      <c r="E382" t="s">
        <v>25</v>
      </c>
      <c r="F382">
        <v>1</v>
      </c>
      <c r="G382">
        <v>9791172926991</v>
      </c>
      <c r="H382" t="s">
        <v>26</v>
      </c>
      <c r="I382" t="s">
        <v>330</v>
      </c>
      <c r="J382" t="s">
        <v>28</v>
      </c>
      <c r="K382" t="s">
        <v>29</v>
      </c>
      <c r="L382">
        <v>0</v>
      </c>
      <c r="M382" t="s">
        <v>29</v>
      </c>
      <c r="N382">
        <v>0</v>
      </c>
      <c r="O382">
        <v>0</v>
      </c>
      <c r="P382" t="s">
        <v>30</v>
      </c>
      <c r="Q382" s="2">
        <v>0.7</v>
      </c>
      <c r="R382">
        <v>0</v>
      </c>
      <c r="V382" t="str">
        <f>VLOOKUP(H382,'[1]팀별 출판사'!A:B,2,0)</f>
        <v>소설1팀</v>
      </c>
      <c r="W382" s="6">
        <f t="shared" si="10"/>
        <v>0</v>
      </c>
      <c r="X382" s="6">
        <f t="shared" si="11"/>
        <v>0</v>
      </c>
    </row>
    <row r="383" spans="1:24" x14ac:dyDescent="0.3">
      <c r="A383" t="s">
        <v>610</v>
      </c>
      <c r="B383" t="s">
        <v>772</v>
      </c>
      <c r="C383" t="s">
        <v>23</v>
      </c>
      <c r="D383" t="s">
        <v>24</v>
      </c>
      <c r="E383" t="s">
        <v>25</v>
      </c>
      <c r="F383">
        <v>1</v>
      </c>
      <c r="G383">
        <v>9791133103348</v>
      </c>
      <c r="H383" t="s">
        <v>32</v>
      </c>
      <c r="I383" t="s">
        <v>773</v>
      </c>
      <c r="J383" t="s">
        <v>160</v>
      </c>
      <c r="K383" t="s">
        <v>29</v>
      </c>
      <c r="L383" s="1">
        <v>2500</v>
      </c>
      <c r="M383" t="s">
        <v>29</v>
      </c>
      <c r="N383" s="1">
        <v>2500</v>
      </c>
      <c r="O383" s="1">
        <v>2500</v>
      </c>
      <c r="P383" t="s">
        <v>30</v>
      </c>
      <c r="Q383" s="2">
        <v>0.7</v>
      </c>
      <c r="R383" s="1">
        <v>1750</v>
      </c>
      <c r="S383" t="s">
        <v>29</v>
      </c>
      <c r="T383" s="1">
        <v>1750</v>
      </c>
      <c r="V383" t="str">
        <f>VLOOKUP(H383,'[1]팀별 출판사'!A:B,2,0)</f>
        <v>소설1팀</v>
      </c>
      <c r="W383" s="6">
        <f t="shared" si="10"/>
        <v>0</v>
      </c>
      <c r="X383" s="6">
        <f t="shared" si="11"/>
        <v>1750</v>
      </c>
    </row>
    <row r="384" spans="1:24" x14ac:dyDescent="0.3">
      <c r="A384" t="s">
        <v>610</v>
      </c>
      <c r="B384" t="s">
        <v>772</v>
      </c>
      <c r="C384" t="s">
        <v>23</v>
      </c>
      <c r="D384" t="s">
        <v>24</v>
      </c>
      <c r="E384" t="s">
        <v>25</v>
      </c>
      <c r="F384">
        <v>1</v>
      </c>
      <c r="G384">
        <v>9791133103355</v>
      </c>
      <c r="H384" t="s">
        <v>32</v>
      </c>
      <c r="I384" t="s">
        <v>774</v>
      </c>
      <c r="J384" t="s">
        <v>160</v>
      </c>
      <c r="K384" t="s">
        <v>29</v>
      </c>
      <c r="L384" s="1">
        <v>2500</v>
      </c>
      <c r="M384" t="s">
        <v>29</v>
      </c>
      <c r="N384" s="1">
        <v>2500</v>
      </c>
      <c r="O384" s="1">
        <v>2500</v>
      </c>
      <c r="P384" t="s">
        <v>30</v>
      </c>
      <c r="Q384" s="2">
        <v>0.7</v>
      </c>
      <c r="R384" s="1">
        <v>1750</v>
      </c>
      <c r="S384" t="s">
        <v>29</v>
      </c>
      <c r="T384" s="1">
        <v>1750</v>
      </c>
      <c r="V384" t="str">
        <f>VLOOKUP(H384,'[1]팀별 출판사'!A:B,2,0)</f>
        <v>소설1팀</v>
      </c>
      <c r="W384" s="6">
        <f t="shared" si="10"/>
        <v>0</v>
      </c>
      <c r="X384" s="6">
        <f t="shared" si="11"/>
        <v>1750</v>
      </c>
    </row>
    <row r="385" spans="1:24" x14ac:dyDescent="0.3">
      <c r="A385" t="s">
        <v>610</v>
      </c>
      <c r="B385" t="s">
        <v>772</v>
      </c>
      <c r="C385" t="s">
        <v>23</v>
      </c>
      <c r="D385" t="s">
        <v>24</v>
      </c>
      <c r="E385" t="s">
        <v>25</v>
      </c>
      <c r="F385">
        <v>1</v>
      </c>
      <c r="G385">
        <v>9791133103362</v>
      </c>
      <c r="H385" t="s">
        <v>32</v>
      </c>
      <c r="I385" t="s">
        <v>775</v>
      </c>
      <c r="J385" t="s">
        <v>160</v>
      </c>
      <c r="K385" t="s">
        <v>29</v>
      </c>
      <c r="L385" s="1">
        <v>2500</v>
      </c>
      <c r="M385" t="s">
        <v>29</v>
      </c>
      <c r="N385" s="1">
        <v>2500</v>
      </c>
      <c r="O385" s="1">
        <v>2500</v>
      </c>
      <c r="P385" t="s">
        <v>30</v>
      </c>
      <c r="Q385" s="2">
        <v>0.7</v>
      </c>
      <c r="R385" s="1">
        <v>1750</v>
      </c>
      <c r="S385" t="s">
        <v>29</v>
      </c>
      <c r="T385" s="1">
        <v>1750</v>
      </c>
      <c r="V385" t="str">
        <f>VLOOKUP(H385,'[1]팀별 출판사'!A:B,2,0)</f>
        <v>소설1팀</v>
      </c>
      <c r="W385" s="6">
        <f t="shared" si="10"/>
        <v>0</v>
      </c>
      <c r="X385" s="6">
        <f t="shared" si="11"/>
        <v>1750</v>
      </c>
    </row>
    <row r="386" spans="1:24" x14ac:dyDescent="0.3">
      <c r="A386" t="s">
        <v>610</v>
      </c>
      <c r="B386" t="s">
        <v>772</v>
      </c>
      <c r="C386" t="s">
        <v>23</v>
      </c>
      <c r="D386" t="s">
        <v>24</v>
      </c>
      <c r="E386" t="s">
        <v>25</v>
      </c>
      <c r="F386">
        <v>1</v>
      </c>
      <c r="G386">
        <v>9791133103379</v>
      </c>
      <c r="H386" t="s">
        <v>32</v>
      </c>
      <c r="I386" t="s">
        <v>776</v>
      </c>
      <c r="J386" t="s">
        <v>160</v>
      </c>
      <c r="K386" t="s">
        <v>29</v>
      </c>
      <c r="L386" s="1">
        <v>2500</v>
      </c>
      <c r="M386" t="s">
        <v>29</v>
      </c>
      <c r="N386" s="1">
        <v>2500</v>
      </c>
      <c r="O386" s="1">
        <v>2500</v>
      </c>
      <c r="P386" t="s">
        <v>30</v>
      </c>
      <c r="Q386" s="2">
        <v>0.7</v>
      </c>
      <c r="R386" s="1">
        <v>1750</v>
      </c>
      <c r="S386" t="s">
        <v>29</v>
      </c>
      <c r="T386" s="1">
        <v>1750</v>
      </c>
      <c r="V386" t="str">
        <f>VLOOKUP(H386,'[1]팀별 출판사'!A:B,2,0)</f>
        <v>소설1팀</v>
      </c>
      <c r="W386" s="6">
        <f t="shared" ref="W386:W449" si="12">IF(P386="US", T386*30%, 0)</f>
        <v>0</v>
      </c>
      <c r="X386" s="6">
        <f t="shared" ref="X386:X449" si="13">T386-W386</f>
        <v>1750</v>
      </c>
    </row>
    <row r="387" spans="1:24" x14ac:dyDescent="0.3">
      <c r="A387" t="s">
        <v>610</v>
      </c>
      <c r="B387" t="s">
        <v>777</v>
      </c>
      <c r="C387" t="s">
        <v>23</v>
      </c>
      <c r="D387" t="s">
        <v>24</v>
      </c>
      <c r="E387" t="s">
        <v>25</v>
      </c>
      <c r="F387">
        <v>1</v>
      </c>
      <c r="G387">
        <v>9791133187010</v>
      </c>
      <c r="H387" t="s">
        <v>26</v>
      </c>
      <c r="I387" t="s">
        <v>745</v>
      </c>
      <c r="J387" t="s">
        <v>743</v>
      </c>
      <c r="K387" t="s">
        <v>29</v>
      </c>
      <c r="L387">
        <v>0</v>
      </c>
      <c r="M387" t="s">
        <v>29</v>
      </c>
      <c r="N387">
        <v>0</v>
      </c>
      <c r="O387">
        <v>0</v>
      </c>
      <c r="P387" t="s">
        <v>30</v>
      </c>
      <c r="Q387" s="2">
        <v>0.7</v>
      </c>
      <c r="R387">
        <v>0</v>
      </c>
      <c r="V387" t="str">
        <f>VLOOKUP(H387,'[1]팀별 출판사'!A:B,2,0)</f>
        <v>소설1팀</v>
      </c>
      <c r="W387" s="6">
        <f t="shared" si="12"/>
        <v>0</v>
      </c>
      <c r="X387" s="6">
        <f t="shared" si="13"/>
        <v>0</v>
      </c>
    </row>
    <row r="388" spans="1:24" x14ac:dyDescent="0.3">
      <c r="A388" t="s">
        <v>610</v>
      </c>
      <c r="B388" t="s">
        <v>778</v>
      </c>
      <c r="C388" t="s">
        <v>23</v>
      </c>
      <c r="D388" t="s">
        <v>24</v>
      </c>
      <c r="E388" t="s">
        <v>25</v>
      </c>
      <c r="F388">
        <v>1</v>
      </c>
      <c r="G388">
        <v>9791136909398</v>
      </c>
      <c r="H388" t="s">
        <v>26</v>
      </c>
      <c r="I388" t="s">
        <v>779</v>
      </c>
      <c r="J388" t="s">
        <v>588</v>
      </c>
      <c r="K388" t="s">
        <v>29</v>
      </c>
      <c r="L388">
        <v>0</v>
      </c>
      <c r="M388" t="s">
        <v>29</v>
      </c>
      <c r="N388">
        <v>0</v>
      </c>
      <c r="O388">
        <v>0</v>
      </c>
      <c r="P388" t="s">
        <v>30</v>
      </c>
      <c r="Q388" s="2">
        <v>0.7</v>
      </c>
      <c r="R388">
        <v>0</v>
      </c>
      <c r="V388" t="str">
        <f>VLOOKUP(H388,'[1]팀별 출판사'!A:B,2,0)</f>
        <v>소설1팀</v>
      </c>
      <c r="W388" s="6">
        <f t="shared" si="12"/>
        <v>0</v>
      </c>
      <c r="X388" s="6">
        <f t="shared" si="13"/>
        <v>0</v>
      </c>
    </row>
    <row r="389" spans="1:24" x14ac:dyDescent="0.3">
      <c r="A389" t="s">
        <v>610</v>
      </c>
      <c r="B389" t="s">
        <v>780</v>
      </c>
      <c r="C389" t="s">
        <v>23</v>
      </c>
      <c r="D389" t="s">
        <v>24</v>
      </c>
      <c r="E389" t="s">
        <v>25</v>
      </c>
      <c r="F389">
        <v>1</v>
      </c>
      <c r="G389">
        <v>9791136946263</v>
      </c>
      <c r="H389" t="s">
        <v>26</v>
      </c>
      <c r="I389" t="s">
        <v>781</v>
      </c>
      <c r="J389" t="s">
        <v>421</v>
      </c>
      <c r="K389" t="s">
        <v>29</v>
      </c>
      <c r="L389">
        <v>0</v>
      </c>
      <c r="M389" t="s">
        <v>29</v>
      </c>
      <c r="N389">
        <v>0</v>
      </c>
      <c r="O389">
        <v>0</v>
      </c>
      <c r="P389" t="s">
        <v>30</v>
      </c>
      <c r="Q389" s="2">
        <v>0.7</v>
      </c>
      <c r="R389">
        <v>0</v>
      </c>
      <c r="V389" t="str">
        <f>VLOOKUP(H389,'[1]팀별 출판사'!A:B,2,0)</f>
        <v>소설1팀</v>
      </c>
      <c r="W389" s="6">
        <f t="shared" si="12"/>
        <v>0</v>
      </c>
      <c r="X389" s="6">
        <f t="shared" si="13"/>
        <v>0</v>
      </c>
    </row>
    <row r="390" spans="1:24" x14ac:dyDescent="0.3">
      <c r="A390" t="s">
        <v>610</v>
      </c>
      <c r="B390" t="s">
        <v>782</v>
      </c>
      <c r="C390" t="s">
        <v>23</v>
      </c>
      <c r="D390" t="s">
        <v>24</v>
      </c>
      <c r="E390" t="s">
        <v>25</v>
      </c>
      <c r="F390">
        <v>1</v>
      </c>
      <c r="G390">
        <v>9791133108985</v>
      </c>
      <c r="H390" t="s">
        <v>32</v>
      </c>
      <c r="I390" t="s">
        <v>783</v>
      </c>
      <c r="J390" t="s">
        <v>144</v>
      </c>
      <c r="K390" t="s">
        <v>29</v>
      </c>
      <c r="L390">
        <v>0</v>
      </c>
      <c r="M390" t="s">
        <v>29</v>
      </c>
      <c r="N390">
        <v>0</v>
      </c>
      <c r="O390">
        <v>0</v>
      </c>
      <c r="P390" t="s">
        <v>30</v>
      </c>
      <c r="Q390" s="2">
        <v>0.7</v>
      </c>
      <c r="R390">
        <v>0</v>
      </c>
      <c r="V390" t="str">
        <f>VLOOKUP(H390,'[1]팀별 출판사'!A:B,2,0)</f>
        <v>소설1팀</v>
      </c>
      <c r="W390" s="6">
        <f t="shared" si="12"/>
        <v>0</v>
      </c>
      <c r="X390" s="6">
        <f t="shared" si="13"/>
        <v>0</v>
      </c>
    </row>
    <row r="391" spans="1:24" x14ac:dyDescent="0.3">
      <c r="A391" t="s">
        <v>610</v>
      </c>
      <c r="B391" t="s">
        <v>784</v>
      </c>
      <c r="C391" t="s">
        <v>23</v>
      </c>
      <c r="D391" t="s">
        <v>24</v>
      </c>
      <c r="E391" t="s">
        <v>25</v>
      </c>
      <c r="F391">
        <v>1</v>
      </c>
      <c r="G391">
        <v>9791136946911</v>
      </c>
      <c r="H391" t="s">
        <v>26</v>
      </c>
      <c r="I391" t="s">
        <v>785</v>
      </c>
      <c r="J391" t="s">
        <v>28</v>
      </c>
      <c r="K391" t="s">
        <v>29</v>
      </c>
      <c r="L391" s="1">
        <v>3200</v>
      </c>
      <c r="M391" t="s">
        <v>29</v>
      </c>
      <c r="N391" s="1">
        <v>3200</v>
      </c>
      <c r="O391" s="1">
        <v>3200</v>
      </c>
      <c r="P391" t="s">
        <v>30</v>
      </c>
      <c r="Q391" s="2">
        <v>0.7</v>
      </c>
      <c r="R391" s="1">
        <v>2240</v>
      </c>
      <c r="S391" t="s">
        <v>29</v>
      </c>
      <c r="T391" s="1">
        <v>2240</v>
      </c>
      <c r="V391" t="str">
        <f>VLOOKUP(H391,'[1]팀별 출판사'!A:B,2,0)</f>
        <v>소설1팀</v>
      </c>
      <c r="W391" s="6">
        <f t="shared" si="12"/>
        <v>0</v>
      </c>
      <c r="X391" s="6">
        <f t="shared" si="13"/>
        <v>2240</v>
      </c>
    </row>
    <row r="392" spans="1:24" x14ac:dyDescent="0.3">
      <c r="A392" t="s">
        <v>610</v>
      </c>
      <c r="B392" t="s">
        <v>786</v>
      </c>
      <c r="C392" t="s">
        <v>23</v>
      </c>
      <c r="D392" t="s">
        <v>24</v>
      </c>
      <c r="E392" t="s">
        <v>25</v>
      </c>
      <c r="F392">
        <v>1</v>
      </c>
      <c r="G392">
        <v>9791133105915</v>
      </c>
      <c r="H392" t="s">
        <v>32</v>
      </c>
      <c r="I392" t="s">
        <v>787</v>
      </c>
      <c r="J392" t="s">
        <v>663</v>
      </c>
      <c r="K392" t="s">
        <v>29</v>
      </c>
      <c r="L392" s="1">
        <v>3200</v>
      </c>
      <c r="M392" t="s">
        <v>29</v>
      </c>
      <c r="N392" s="1">
        <v>3200</v>
      </c>
      <c r="O392" s="1">
        <v>3200</v>
      </c>
      <c r="P392" t="s">
        <v>30</v>
      </c>
      <c r="Q392" s="2">
        <v>0.7</v>
      </c>
      <c r="R392" s="1">
        <v>2240</v>
      </c>
      <c r="S392" t="s">
        <v>29</v>
      </c>
      <c r="T392" s="1">
        <v>2240</v>
      </c>
      <c r="V392" t="str">
        <f>VLOOKUP(H392,'[1]팀별 출판사'!A:B,2,0)</f>
        <v>소설1팀</v>
      </c>
      <c r="W392" s="6">
        <f t="shared" si="12"/>
        <v>0</v>
      </c>
      <c r="X392" s="6">
        <f t="shared" si="13"/>
        <v>2240</v>
      </c>
    </row>
    <row r="393" spans="1:24" x14ac:dyDescent="0.3">
      <c r="A393" t="s">
        <v>610</v>
      </c>
      <c r="B393" t="s">
        <v>788</v>
      </c>
      <c r="C393" t="s">
        <v>23</v>
      </c>
      <c r="D393" t="s">
        <v>24</v>
      </c>
      <c r="E393" t="s">
        <v>25</v>
      </c>
      <c r="F393">
        <v>1</v>
      </c>
      <c r="G393">
        <v>9791133173648</v>
      </c>
      <c r="H393" t="s">
        <v>26</v>
      </c>
      <c r="I393" t="s">
        <v>789</v>
      </c>
      <c r="J393" t="s">
        <v>287</v>
      </c>
      <c r="K393" t="s">
        <v>29</v>
      </c>
      <c r="L393" s="1">
        <v>2500</v>
      </c>
      <c r="M393" t="s">
        <v>29</v>
      </c>
      <c r="N393" s="1">
        <v>2500</v>
      </c>
      <c r="O393" s="1">
        <v>2500</v>
      </c>
      <c r="P393" t="s">
        <v>30</v>
      </c>
      <c r="Q393" s="2">
        <v>0.7</v>
      </c>
      <c r="R393" s="1">
        <v>1750</v>
      </c>
      <c r="S393" t="s">
        <v>29</v>
      </c>
      <c r="T393" s="1">
        <v>1750</v>
      </c>
      <c r="V393" t="str">
        <f>VLOOKUP(H393,'[1]팀별 출판사'!A:B,2,0)</f>
        <v>소설1팀</v>
      </c>
      <c r="W393" s="6">
        <f t="shared" si="12"/>
        <v>0</v>
      </c>
      <c r="X393" s="6">
        <f t="shared" si="13"/>
        <v>1750</v>
      </c>
    </row>
    <row r="394" spans="1:24" x14ac:dyDescent="0.3">
      <c r="A394" t="s">
        <v>610</v>
      </c>
      <c r="B394" t="s">
        <v>790</v>
      </c>
      <c r="C394" t="s">
        <v>23</v>
      </c>
      <c r="D394" t="s">
        <v>24</v>
      </c>
      <c r="E394" t="s">
        <v>25</v>
      </c>
      <c r="F394">
        <v>1</v>
      </c>
      <c r="G394">
        <v>9791133186501</v>
      </c>
      <c r="H394" t="s">
        <v>26</v>
      </c>
      <c r="I394" t="s">
        <v>64</v>
      </c>
      <c r="J394" t="s">
        <v>65</v>
      </c>
      <c r="K394" t="s">
        <v>29</v>
      </c>
      <c r="L394">
        <v>0</v>
      </c>
      <c r="M394" t="s">
        <v>29</v>
      </c>
      <c r="N394">
        <v>0</v>
      </c>
      <c r="O394">
        <v>0</v>
      </c>
      <c r="P394" t="s">
        <v>30</v>
      </c>
      <c r="Q394" s="2">
        <v>0.7</v>
      </c>
      <c r="R394">
        <v>0</v>
      </c>
      <c r="V394" t="str">
        <f>VLOOKUP(H394,'[1]팀별 출판사'!A:B,2,0)</f>
        <v>소설1팀</v>
      </c>
      <c r="W394" s="6">
        <f t="shared" si="12"/>
        <v>0</v>
      </c>
      <c r="X394" s="6">
        <f t="shared" si="13"/>
        <v>0</v>
      </c>
    </row>
    <row r="395" spans="1:24" x14ac:dyDescent="0.3">
      <c r="A395" t="s">
        <v>610</v>
      </c>
      <c r="B395" t="s">
        <v>791</v>
      </c>
      <c r="C395" t="s">
        <v>23</v>
      </c>
      <c r="D395" t="s">
        <v>24</v>
      </c>
      <c r="E395" t="s">
        <v>25</v>
      </c>
      <c r="F395">
        <v>1</v>
      </c>
      <c r="G395">
        <v>9791136936769</v>
      </c>
      <c r="H395" t="s">
        <v>32</v>
      </c>
      <c r="I395" t="s">
        <v>792</v>
      </c>
      <c r="J395" t="s">
        <v>793</v>
      </c>
      <c r="K395" t="s">
        <v>29</v>
      </c>
      <c r="L395">
        <v>0</v>
      </c>
      <c r="M395" t="s">
        <v>29</v>
      </c>
      <c r="N395">
        <v>0</v>
      </c>
      <c r="O395">
        <v>0</v>
      </c>
      <c r="P395" t="s">
        <v>30</v>
      </c>
      <c r="Q395" s="2">
        <v>0.7</v>
      </c>
      <c r="R395">
        <v>0</v>
      </c>
      <c r="V395" t="str">
        <f>VLOOKUP(H395,'[1]팀별 출판사'!A:B,2,0)</f>
        <v>소설1팀</v>
      </c>
      <c r="W395" s="6">
        <f t="shared" si="12"/>
        <v>0</v>
      </c>
      <c r="X395" s="6">
        <f t="shared" si="13"/>
        <v>0</v>
      </c>
    </row>
    <row r="396" spans="1:24" x14ac:dyDescent="0.3">
      <c r="A396" t="s">
        <v>610</v>
      </c>
      <c r="B396" t="s">
        <v>794</v>
      </c>
      <c r="C396" t="s">
        <v>23</v>
      </c>
      <c r="D396" t="s">
        <v>24</v>
      </c>
      <c r="E396" t="s">
        <v>25</v>
      </c>
      <c r="F396">
        <v>1</v>
      </c>
      <c r="G396">
        <v>9791136911001</v>
      </c>
      <c r="H396" t="s">
        <v>32</v>
      </c>
      <c r="I396" t="s">
        <v>795</v>
      </c>
      <c r="J396" t="s">
        <v>160</v>
      </c>
      <c r="K396" t="s">
        <v>29</v>
      </c>
      <c r="L396" s="1">
        <v>3200</v>
      </c>
      <c r="M396" t="s">
        <v>29</v>
      </c>
      <c r="N396" s="1">
        <v>3200</v>
      </c>
      <c r="O396" s="1">
        <v>3200</v>
      </c>
      <c r="P396" t="s">
        <v>30</v>
      </c>
      <c r="Q396" s="2">
        <v>0.7</v>
      </c>
      <c r="R396" s="1">
        <v>2240</v>
      </c>
      <c r="S396" t="s">
        <v>29</v>
      </c>
      <c r="T396" s="1">
        <v>2240</v>
      </c>
      <c r="V396" t="str">
        <f>VLOOKUP(H396,'[1]팀별 출판사'!A:B,2,0)</f>
        <v>소설1팀</v>
      </c>
      <c r="W396" s="6">
        <f t="shared" si="12"/>
        <v>0</v>
      </c>
      <c r="X396" s="6">
        <f t="shared" si="13"/>
        <v>2240</v>
      </c>
    </row>
    <row r="397" spans="1:24" x14ac:dyDescent="0.3">
      <c r="A397" t="s">
        <v>610</v>
      </c>
      <c r="B397" t="s">
        <v>796</v>
      </c>
      <c r="C397" t="s">
        <v>23</v>
      </c>
      <c r="D397" t="s">
        <v>24</v>
      </c>
      <c r="E397" t="s">
        <v>25</v>
      </c>
      <c r="F397">
        <v>1</v>
      </c>
      <c r="G397" t="s">
        <v>797</v>
      </c>
      <c r="H397" t="s">
        <v>32</v>
      </c>
      <c r="I397" t="s">
        <v>798</v>
      </c>
      <c r="J397" t="s">
        <v>43</v>
      </c>
      <c r="K397" t="s">
        <v>29</v>
      </c>
      <c r="L397">
        <v>0</v>
      </c>
      <c r="M397" t="s">
        <v>29</v>
      </c>
      <c r="N397">
        <v>0</v>
      </c>
      <c r="O397">
        <v>0</v>
      </c>
      <c r="P397" t="s">
        <v>30</v>
      </c>
      <c r="Q397" s="2">
        <v>0.7</v>
      </c>
      <c r="R397">
        <v>0</v>
      </c>
      <c r="V397" t="str">
        <f>VLOOKUP(H397,'[1]팀별 출판사'!A:B,2,0)</f>
        <v>소설1팀</v>
      </c>
      <c r="W397" s="6">
        <f t="shared" si="12"/>
        <v>0</v>
      </c>
      <c r="X397" s="6">
        <f t="shared" si="13"/>
        <v>0</v>
      </c>
    </row>
    <row r="398" spans="1:24" x14ac:dyDescent="0.3">
      <c r="A398" t="s">
        <v>610</v>
      </c>
      <c r="B398" t="s">
        <v>799</v>
      </c>
      <c r="C398" t="s">
        <v>23</v>
      </c>
      <c r="D398" t="s">
        <v>24</v>
      </c>
      <c r="E398" t="s">
        <v>25</v>
      </c>
      <c r="F398">
        <v>1</v>
      </c>
      <c r="G398">
        <v>9791136911056</v>
      </c>
      <c r="H398" t="s">
        <v>26</v>
      </c>
      <c r="I398" t="s">
        <v>800</v>
      </c>
      <c r="J398" t="s">
        <v>160</v>
      </c>
      <c r="K398" t="s">
        <v>29</v>
      </c>
      <c r="L398" s="1">
        <v>3200</v>
      </c>
      <c r="M398" t="s">
        <v>29</v>
      </c>
      <c r="N398" s="1">
        <v>3200</v>
      </c>
      <c r="O398" s="1">
        <v>3200</v>
      </c>
      <c r="P398" t="s">
        <v>30</v>
      </c>
      <c r="Q398" s="2">
        <v>0.7</v>
      </c>
      <c r="R398" s="1">
        <v>2240</v>
      </c>
      <c r="S398" t="s">
        <v>29</v>
      </c>
      <c r="T398" s="1">
        <v>2240</v>
      </c>
      <c r="V398" t="str">
        <f>VLOOKUP(H398,'[1]팀별 출판사'!A:B,2,0)</f>
        <v>소설1팀</v>
      </c>
      <c r="W398" s="6">
        <f t="shared" si="12"/>
        <v>0</v>
      </c>
      <c r="X398" s="6">
        <f t="shared" si="13"/>
        <v>2240</v>
      </c>
    </row>
    <row r="399" spans="1:24" x14ac:dyDescent="0.3">
      <c r="A399" t="s">
        <v>610</v>
      </c>
      <c r="B399" t="s">
        <v>801</v>
      </c>
      <c r="C399" t="s">
        <v>23</v>
      </c>
      <c r="D399" t="s">
        <v>24</v>
      </c>
      <c r="E399" t="s">
        <v>25</v>
      </c>
      <c r="F399">
        <v>1</v>
      </c>
      <c r="G399">
        <v>9791157533633</v>
      </c>
      <c r="H399" t="s">
        <v>32</v>
      </c>
      <c r="I399" t="s">
        <v>802</v>
      </c>
      <c r="J399" t="s">
        <v>187</v>
      </c>
      <c r="K399" t="s">
        <v>29</v>
      </c>
      <c r="L399" s="1">
        <v>3200</v>
      </c>
      <c r="M399" t="s">
        <v>29</v>
      </c>
      <c r="N399" s="1">
        <v>3200</v>
      </c>
      <c r="O399" s="1">
        <v>3200</v>
      </c>
      <c r="P399" t="s">
        <v>30</v>
      </c>
      <c r="Q399" s="2">
        <v>0.7</v>
      </c>
      <c r="R399" s="1">
        <v>2240</v>
      </c>
      <c r="S399" t="s">
        <v>29</v>
      </c>
      <c r="T399" s="1">
        <v>2240</v>
      </c>
      <c r="V399" t="str">
        <f>VLOOKUP(H399,'[1]팀별 출판사'!A:B,2,0)</f>
        <v>소설1팀</v>
      </c>
      <c r="W399" s="6">
        <f t="shared" si="12"/>
        <v>0</v>
      </c>
      <c r="X399" s="6">
        <f t="shared" si="13"/>
        <v>2240</v>
      </c>
    </row>
    <row r="400" spans="1:24" x14ac:dyDescent="0.3">
      <c r="A400" t="s">
        <v>610</v>
      </c>
      <c r="B400" t="s">
        <v>803</v>
      </c>
      <c r="C400" t="s">
        <v>23</v>
      </c>
      <c r="D400" t="s">
        <v>24</v>
      </c>
      <c r="E400" t="s">
        <v>25</v>
      </c>
      <c r="F400">
        <v>1</v>
      </c>
      <c r="G400">
        <v>9791136931399</v>
      </c>
      <c r="H400" t="s">
        <v>32</v>
      </c>
      <c r="I400" t="s">
        <v>482</v>
      </c>
      <c r="J400" t="s">
        <v>46</v>
      </c>
      <c r="K400" t="s">
        <v>29</v>
      </c>
      <c r="L400">
        <v>0</v>
      </c>
      <c r="M400" t="s">
        <v>29</v>
      </c>
      <c r="N400">
        <v>0</v>
      </c>
      <c r="O400">
        <v>0</v>
      </c>
      <c r="P400" t="s">
        <v>30</v>
      </c>
      <c r="Q400" s="2">
        <v>0.7</v>
      </c>
      <c r="R400">
        <v>0</v>
      </c>
      <c r="V400" t="str">
        <f>VLOOKUP(H400,'[1]팀별 출판사'!A:B,2,0)</f>
        <v>소설1팀</v>
      </c>
      <c r="W400" s="6">
        <f t="shared" si="12"/>
        <v>0</v>
      </c>
      <c r="X400" s="6">
        <f t="shared" si="13"/>
        <v>0</v>
      </c>
    </row>
    <row r="401" spans="1:24" x14ac:dyDescent="0.3">
      <c r="A401" t="s">
        <v>610</v>
      </c>
      <c r="B401" t="s">
        <v>804</v>
      </c>
      <c r="C401" t="s">
        <v>23</v>
      </c>
      <c r="D401" t="s">
        <v>24</v>
      </c>
      <c r="E401" t="s">
        <v>25</v>
      </c>
      <c r="F401">
        <v>1</v>
      </c>
      <c r="G401">
        <v>9791136931375</v>
      </c>
      <c r="H401" t="s">
        <v>32</v>
      </c>
      <c r="I401" t="s">
        <v>189</v>
      </c>
      <c r="J401" t="s">
        <v>46</v>
      </c>
      <c r="K401" t="s">
        <v>29</v>
      </c>
      <c r="L401">
        <v>0</v>
      </c>
      <c r="M401" t="s">
        <v>29</v>
      </c>
      <c r="N401">
        <v>0</v>
      </c>
      <c r="O401">
        <v>0</v>
      </c>
      <c r="P401" t="s">
        <v>30</v>
      </c>
      <c r="Q401" s="2">
        <v>0.7</v>
      </c>
      <c r="R401">
        <v>0</v>
      </c>
      <c r="V401" t="str">
        <f>VLOOKUP(H401,'[1]팀별 출판사'!A:B,2,0)</f>
        <v>소설1팀</v>
      </c>
      <c r="W401" s="6">
        <f t="shared" si="12"/>
        <v>0</v>
      </c>
      <c r="X401" s="6">
        <f t="shared" si="13"/>
        <v>0</v>
      </c>
    </row>
    <row r="402" spans="1:24" x14ac:dyDescent="0.3">
      <c r="A402" t="s">
        <v>610</v>
      </c>
      <c r="B402" t="s">
        <v>805</v>
      </c>
      <c r="C402" t="s">
        <v>23</v>
      </c>
      <c r="D402" t="s">
        <v>24</v>
      </c>
      <c r="E402" t="s">
        <v>25</v>
      </c>
      <c r="F402">
        <v>1</v>
      </c>
      <c r="G402">
        <v>9791136930491</v>
      </c>
      <c r="H402" t="s">
        <v>26</v>
      </c>
      <c r="I402" t="s">
        <v>151</v>
      </c>
      <c r="J402" t="s">
        <v>46</v>
      </c>
      <c r="K402" t="s">
        <v>29</v>
      </c>
      <c r="L402">
        <v>0</v>
      </c>
      <c r="M402" t="s">
        <v>47</v>
      </c>
      <c r="N402">
        <v>0</v>
      </c>
      <c r="O402">
        <v>0</v>
      </c>
      <c r="P402" t="s">
        <v>48</v>
      </c>
      <c r="Q402" s="2">
        <v>0.7</v>
      </c>
      <c r="R402">
        <v>0</v>
      </c>
      <c r="V402" t="str">
        <f>VLOOKUP(H402,'[1]팀별 출판사'!A:B,2,0)</f>
        <v>소설1팀</v>
      </c>
      <c r="W402" s="6">
        <f t="shared" si="12"/>
        <v>0</v>
      </c>
      <c r="X402" s="6">
        <f t="shared" si="13"/>
        <v>0</v>
      </c>
    </row>
    <row r="403" spans="1:24" x14ac:dyDescent="0.3">
      <c r="A403" t="s">
        <v>610</v>
      </c>
      <c r="B403" t="s">
        <v>806</v>
      </c>
      <c r="C403" t="s">
        <v>23</v>
      </c>
      <c r="D403" t="s">
        <v>24</v>
      </c>
      <c r="E403" t="s">
        <v>25</v>
      </c>
      <c r="F403">
        <v>1</v>
      </c>
      <c r="G403">
        <v>9791136935496</v>
      </c>
      <c r="H403" t="s">
        <v>32</v>
      </c>
      <c r="I403" t="s">
        <v>441</v>
      </c>
      <c r="J403" t="s">
        <v>442</v>
      </c>
      <c r="K403" t="s">
        <v>29</v>
      </c>
      <c r="L403">
        <v>0</v>
      </c>
      <c r="M403" t="s">
        <v>47</v>
      </c>
      <c r="N403">
        <v>0</v>
      </c>
      <c r="O403">
        <v>0</v>
      </c>
      <c r="P403" t="s">
        <v>48</v>
      </c>
      <c r="Q403" s="2">
        <v>0.7</v>
      </c>
      <c r="R403">
        <v>0</v>
      </c>
      <c r="V403" t="str">
        <f>VLOOKUP(H403,'[1]팀별 출판사'!A:B,2,0)</f>
        <v>소설1팀</v>
      </c>
      <c r="W403" s="6">
        <f t="shared" si="12"/>
        <v>0</v>
      </c>
      <c r="X403" s="6">
        <f t="shared" si="13"/>
        <v>0</v>
      </c>
    </row>
    <row r="404" spans="1:24" x14ac:dyDescent="0.3">
      <c r="A404" t="s">
        <v>610</v>
      </c>
      <c r="B404" t="s">
        <v>807</v>
      </c>
      <c r="C404" t="s">
        <v>23</v>
      </c>
      <c r="D404" t="s">
        <v>24</v>
      </c>
      <c r="E404" t="s">
        <v>25</v>
      </c>
      <c r="F404">
        <v>1</v>
      </c>
      <c r="G404">
        <v>9791136942142</v>
      </c>
      <c r="H404" t="s">
        <v>26</v>
      </c>
      <c r="I404" t="s">
        <v>180</v>
      </c>
      <c r="J404" t="s">
        <v>46</v>
      </c>
      <c r="K404" t="s">
        <v>29</v>
      </c>
      <c r="L404">
        <v>0</v>
      </c>
      <c r="M404" t="s">
        <v>29</v>
      </c>
      <c r="N404">
        <v>0</v>
      </c>
      <c r="O404">
        <v>0</v>
      </c>
      <c r="P404" t="s">
        <v>30</v>
      </c>
      <c r="Q404" s="2">
        <v>0.7</v>
      </c>
      <c r="R404">
        <v>0</v>
      </c>
      <c r="V404" t="str">
        <f>VLOOKUP(H404,'[1]팀별 출판사'!A:B,2,0)</f>
        <v>소설1팀</v>
      </c>
      <c r="W404" s="6">
        <f t="shared" si="12"/>
        <v>0</v>
      </c>
      <c r="X404" s="6">
        <f t="shared" si="13"/>
        <v>0</v>
      </c>
    </row>
    <row r="405" spans="1:24" x14ac:dyDescent="0.3">
      <c r="A405" t="s">
        <v>610</v>
      </c>
      <c r="B405" t="s">
        <v>808</v>
      </c>
      <c r="C405" t="s">
        <v>23</v>
      </c>
      <c r="D405" t="s">
        <v>24</v>
      </c>
      <c r="E405" t="s">
        <v>25</v>
      </c>
      <c r="F405">
        <v>1</v>
      </c>
      <c r="G405">
        <v>9791133152759</v>
      </c>
      <c r="H405" t="s">
        <v>32</v>
      </c>
      <c r="I405" t="s">
        <v>809</v>
      </c>
      <c r="J405" t="s">
        <v>810</v>
      </c>
      <c r="K405" t="s">
        <v>29</v>
      </c>
      <c r="L405">
        <v>0</v>
      </c>
      <c r="M405" t="s">
        <v>29</v>
      </c>
      <c r="N405">
        <v>0</v>
      </c>
      <c r="O405">
        <v>0</v>
      </c>
      <c r="P405" t="s">
        <v>30</v>
      </c>
      <c r="Q405" s="2">
        <v>0.7</v>
      </c>
      <c r="R405">
        <v>0</v>
      </c>
      <c r="V405" t="str">
        <f>VLOOKUP(H405,'[1]팀별 출판사'!A:B,2,0)</f>
        <v>소설1팀</v>
      </c>
      <c r="W405" s="6">
        <f t="shared" si="12"/>
        <v>0</v>
      </c>
      <c r="X405" s="6">
        <f t="shared" si="13"/>
        <v>0</v>
      </c>
    </row>
    <row r="406" spans="1:24" x14ac:dyDescent="0.3">
      <c r="A406" t="s">
        <v>610</v>
      </c>
      <c r="B406" t="s">
        <v>811</v>
      </c>
      <c r="C406" t="s">
        <v>23</v>
      </c>
      <c r="D406" t="s">
        <v>24</v>
      </c>
      <c r="E406" t="s">
        <v>25</v>
      </c>
      <c r="F406">
        <v>1</v>
      </c>
      <c r="G406">
        <v>9791133138036</v>
      </c>
      <c r="H406" t="s">
        <v>32</v>
      </c>
      <c r="I406" t="s">
        <v>812</v>
      </c>
      <c r="J406" t="s">
        <v>813</v>
      </c>
      <c r="K406" t="s">
        <v>29</v>
      </c>
      <c r="L406">
        <v>0</v>
      </c>
      <c r="M406" t="s">
        <v>29</v>
      </c>
      <c r="N406">
        <v>0</v>
      </c>
      <c r="O406">
        <v>0</v>
      </c>
      <c r="P406" t="s">
        <v>30</v>
      </c>
      <c r="Q406" s="2">
        <v>0.7</v>
      </c>
      <c r="R406">
        <v>0</v>
      </c>
      <c r="V406" t="str">
        <f>VLOOKUP(H406,'[1]팀별 출판사'!A:B,2,0)</f>
        <v>소설1팀</v>
      </c>
      <c r="W406" s="6">
        <f t="shared" si="12"/>
        <v>0</v>
      </c>
      <c r="X406" s="6">
        <f t="shared" si="13"/>
        <v>0</v>
      </c>
    </row>
    <row r="407" spans="1:24" x14ac:dyDescent="0.3">
      <c r="A407" t="s">
        <v>610</v>
      </c>
      <c r="B407" t="s">
        <v>814</v>
      </c>
      <c r="C407" t="s">
        <v>23</v>
      </c>
      <c r="D407" t="s">
        <v>24</v>
      </c>
      <c r="E407" t="s">
        <v>25</v>
      </c>
      <c r="F407">
        <v>1</v>
      </c>
      <c r="G407">
        <v>9791136930156</v>
      </c>
      <c r="H407" t="s">
        <v>32</v>
      </c>
      <c r="I407" t="s">
        <v>702</v>
      </c>
      <c r="J407" t="s">
        <v>34</v>
      </c>
      <c r="K407" t="s">
        <v>29</v>
      </c>
      <c r="L407">
        <v>0</v>
      </c>
      <c r="M407" t="s">
        <v>29</v>
      </c>
      <c r="N407">
        <v>0</v>
      </c>
      <c r="O407">
        <v>0</v>
      </c>
      <c r="P407" t="s">
        <v>30</v>
      </c>
      <c r="Q407" s="2">
        <v>0.7</v>
      </c>
      <c r="R407">
        <v>0</v>
      </c>
      <c r="V407" t="str">
        <f>VLOOKUP(H407,'[1]팀별 출판사'!A:B,2,0)</f>
        <v>소설1팀</v>
      </c>
      <c r="W407" s="6">
        <f t="shared" si="12"/>
        <v>0</v>
      </c>
      <c r="X407" s="6">
        <f t="shared" si="13"/>
        <v>0</v>
      </c>
    </row>
    <row r="408" spans="1:24" x14ac:dyDescent="0.3">
      <c r="A408" t="s">
        <v>815</v>
      </c>
      <c r="B408" t="s">
        <v>816</v>
      </c>
      <c r="C408" t="s">
        <v>23</v>
      </c>
      <c r="D408" t="s">
        <v>24</v>
      </c>
      <c r="E408" t="s">
        <v>25</v>
      </c>
      <c r="F408">
        <v>1</v>
      </c>
      <c r="G408">
        <v>9791136930750</v>
      </c>
      <c r="H408" t="s">
        <v>32</v>
      </c>
      <c r="I408" t="s">
        <v>656</v>
      </c>
      <c r="J408" t="s">
        <v>157</v>
      </c>
      <c r="K408" t="s">
        <v>29</v>
      </c>
      <c r="L408">
        <v>0</v>
      </c>
      <c r="M408" t="s">
        <v>29</v>
      </c>
      <c r="N408">
        <v>0</v>
      </c>
      <c r="O408">
        <v>0</v>
      </c>
      <c r="P408" t="s">
        <v>30</v>
      </c>
      <c r="Q408" s="2">
        <v>0.7</v>
      </c>
      <c r="R408">
        <v>0</v>
      </c>
      <c r="V408" t="str">
        <f>VLOOKUP(H408,'[1]팀별 출판사'!A:B,2,0)</f>
        <v>소설1팀</v>
      </c>
      <c r="W408" s="6">
        <f t="shared" si="12"/>
        <v>0</v>
      </c>
      <c r="X408" s="6">
        <f t="shared" si="13"/>
        <v>0</v>
      </c>
    </row>
    <row r="409" spans="1:24" x14ac:dyDescent="0.3">
      <c r="A409" t="s">
        <v>815</v>
      </c>
      <c r="B409" t="s">
        <v>817</v>
      </c>
      <c r="C409" t="s">
        <v>23</v>
      </c>
      <c r="D409" t="s">
        <v>24</v>
      </c>
      <c r="E409" t="s">
        <v>25</v>
      </c>
      <c r="F409">
        <v>1</v>
      </c>
      <c r="G409">
        <v>9791136930286</v>
      </c>
      <c r="H409" t="s">
        <v>32</v>
      </c>
      <c r="I409" t="s">
        <v>818</v>
      </c>
      <c r="J409" t="s">
        <v>157</v>
      </c>
      <c r="K409" t="s">
        <v>29</v>
      </c>
      <c r="L409">
        <v>0</v>
      </c>
      <c r="M409" t="s">
        <v>29</v>
      </c>
      <c r="N409">
        <v>0</v>
      </c>
      <c r="O409">
        <v>0</v>
      </c>
      <c r="P409" t="s">
        <v>30</v>
      </c>
      <c r="Q409" s="2">
        <v>0.7</v>
      </c>
      <c r="R409">
        <v>0</v>
      </c>
      <c r="V409" t="str">
        <f>VLOOKUP(H409,'[1]팀별 출판사'!A:B,2,0)</f>
        <v>소설1팀</v>
      </c>
      <c r="W409" s="6">
        <f t="shared" si="12"/>
        <v>0</v>
      </c>
      <c r="X409" s="6">
        <f t="shared" si="13"/>
        <v>0</v>
      </c>
    </row>
    <row r="410" spans="1:24" x14ac:dyDescent="0.3">
      <c r="A410" t="s">
        <v>815</v>
      </c>
      <c r="B410" t="s">
        <v>819</v>
      </c>
      <c r="C410" t="s">
        <v>23</v>
      </c>
      <c r="D410" t="s">
        <v>24</v>
      </c>
      <c r="E410" t="s">
        <v>25</v>
      </c>
      <c r="F410">
        <v>1</v>
      </c>
      <c r="G410">
        <v>9791133105526</v>
      </c>
      <c r="H410" t="s">
        <v>32</v>
      </c>
      <c r="I410" t="s">
        <v>820</v>
      </c>
      <c r="J410" t="s">
        <v>88</v>
      </c>
      <c r="K410" t="s">
        <v>29</v>
      </c>
      <c r="L410" s="1">
        <v>3200</v>
      </c>
      <c r="M410" t="s">
        <v>29</v>
      </c>
      <c r="N410" s="1">
        <v>3200</v>
      </c>
      <c r="O410" s="1">
        <v>3200</v>
      </c>
      <c r="P410" t="s">
        <v>30</v>
      </c>
      <c r="Q410" s="2">
        <v>0.7</v>
      </c>
      <c r="R410" s="1">
        <v>2240</v>
      </c>
      <c r="S410" t="s">
        <v>29</v>
      </c>
      <c r="T410" s="1">
        <v>2240</v>
      </c>
      <c r="V410" t="str">
        <f>VLOOKUP(H410,'[1]팀별 출판사'!A:B,2,0)</f>
        <v>소설1팀</v>
      </c>
      <c r="W410" s="6">
        <f t="shared" si="12"/>
        <v>0</v>
      </c>
      <c r="X410" s="6">
        <f t="shared" si="13"/>
        <v>2240</v>
      </c>
    </row>
    <row r="411" spans="1:24" x14ac:dyDescent="0.3">
      <c r="A411" t="s">
        <v>815</v>
      </c>
      <c r="B411" t="s">
        <v>821</v>
      </c>
      <c r="C411" t="s">
        <v>23</v>
      </c>
      <c r="D411" t="s">
        <v>24</v>
      </c>
      <c r="E411" t="s">
        <v>25</v>
      </c>
      <c r="F411">
        <v>1</v>
      </c>
      <c r="G411">
        <v>9791133188260</v>
      </c>
      <c r="H411" t="s">
        <v>26</v>
      </c>
      <c r="I411" t="s">
        <v>822</v>
      </c>
      <c r="J411" t="s">
        <v>743</v>
      </c>
      <c r="K411" t="s">
        <v>29</v>
      </c>
      <c r="L411">
        <v>0</v>
      </c>
      <c r="M411" t="s">
        <v>29</v>
      </c>
      <c r="N411">
        <v>0</v>
      </c>
      <c r="O411">
        <v>0</v>
      </c>
      <c r="P411" t="s">
        <v>30</v>
      </c>
      <c r="Q411" s="2">
        <v>0.7</v>
      </c>
      <c r="R411">
        <v>0</v>
      </c>
      <c r="V411" t="str">
        <f>VLOOKUP(H411,'[1]팀별 출판사'!A:B,2,0)</f>
        <v>소설1팀</v>
      </c>
      <c r="W411" s="6">
        <f t="shared" si="12"/>
        <v>0</v>
      </c>
      <c r="X411" s="6">
        <f t="shared" si="13"/>
        <v>0</v>
      </c>
    </row>
    <row r="412" spans="1:24" x14ac:dyDescent="0.3">
      <c r="A412" t="s">
        <v>815</v>
      </c>
      <c r="B412" t="s">
        <v>823</v>
      </c>
      <c r="C412" t="s">
        <v>23</v>
      </c>
      <c r="D412" t="s">
        <v>24</v>
      </c>
      <c r="E412" t="s">
        <v>25</v>
      </c>
      <c r="F412">
        <v>1</v>
      </c>
      <c r="G412" t="s">
        <v>824</v>
      </c>
      <c r="H412" t="s">
        <v>32</v>
      </c>
      <c r="I412" t="s">
        <v>825</v>
      </c>
      <c r="J412" t="s">
        <v>418</v>
      </c>
      <c r="K412" t="s">
        <v>29</v>
      </c>
      <c r="L412">
        <v>0</v>
      </c>
      <c r="M412" t="s">
        <v>29</v>
      </c>
      <c r="N412">
        <v>0</v>
      </c>
      <c r="O412">
        <v>0</v>
      </c>
      <c r="P412" t="s">
        <v>30</v>
      </c>
      <c r="Q412" s="2">
        <v>0.7</v>
      </c>
      <c r="R412">
        <v>0</v>
      </c>
      <c r="V412" t="str">
        <f>VLOOKUP(H412,'[1]팀별 출판사'!A:B,2,0)</f>
        <v>소설1팀</v>
      </c>
      <c r="W412" s="6">
        <f t="shared" si="12"/>
        <v>0</v>
      </c>
      <c r="X412" s="6">
        <f t="shared" si="13"/>
        <v>0</v>
      </c>
    </row>
    <row r="413" spans="1:24" x14ac:dyDescent="0.3">
      <c r="A413" t="s">
        <v>815</v>
      </c>
      <c r="B413" t="s">
        <v>826</v>
      </c>
      <c r="C413" t="s">
        <v>23</v>
      </c>
      <c r="D413" t="s">
        <v>24</v>
      </c>
      <c r="E413" t="s">
        <v>25</v>
      </c>
      <c r="F413">
        <v>1</v>
      </c>
      <c r="G413">
        <v>9791136946782</v>
      </c>
      <c r="H413" t="s">
        <v>26</v>
      </c>
      <c r="I413" t="s">
        <v>291</v>
      </c>
      <c r="J413" t="s">
        <v>28</v>
      </c>
      <c r="K413" t="s">
        <v>29</v>
      </c>
      <c r="L413">
        <v>0</v>
      </c>
      <c r="M413" t="s">
        <v>29</v>
      </c>
      <c r="N413">
        <v>0</v>
      </c>
      <c r="O413">
        <v>0</v>
      </c>
      <c r="P413" t="s">
        <v>30</v>
      </c>
      <c r="Q413" s="2">
        <v>0.7</v>
      </c>
      <c r="R413">
        <v>0</v>
      </c>
      <c r="V413" t="str">
        <f>VLOOKUP(H413,'[1]팀별 출판사'!A:B,2,0)</f>
        <v>소설1팀</v>
      </c>
      <c r="W413" s="6">
        <f t="shared" si="12"/>
        <v>0</v>
      </c>
      <c r="X413" s="6">
        <f t="shared" si="13"/>
        <v>0</v>
      </c>
    </row>
    <row r="414" spans="1:24" x14ac:dyDescent="0.3">
      <c r="A414" t="s">
        <v>815</v>
      </c>
      <c r="B414" t="s">
        <v>827</v>
      </c>
      <c r="C414" t="s">
        <v>23</v>
      </c>
      <c r="D414" t="s">
        <v>24</v>
      </c>
      <c r="E414" t="s">
        <v>25</v>
      </c>
      <c r="F414">
        <v>1</v>
      </c>
      <c r="G414">
        <v>9791136930118</v>
      </c>
      <c r="H414" t="s">
        <v>32</v>
      </c>
      <c r="I414" t="s">
        <v>828</v>
      </c>
      <c r="J414" t="s">
        <v>157</v>
      </c>
      <c r="K414" t="s">
        <v>29</v>
      </c>
      <c r="L414">
        <v>0</v>
      </c>
      <c r="M414" t="s">
        <v>29</v>
      </c>
      <c r="N414">
        <v>0</v>
      </c>
      <c r="O414">
        <v>0</v>
      </c>
      <c r="P414" t="s">
        <v>30</v>
      </c>
      <c r="Q414" s="2">
        <v>0.7</v>
      </c>
      <c r="R414">
        <v>0</v>
      </c>
      <c r="V414" t="str">
        <f>VLOOKUP(H414,'[1]팀별 출판사'!A:B,2,0)</f>
        <v>소설1팀</v>
      </c>
      <c r="W414" s="6">
        <f t="shared" si="12"/>
        <v>0</v>
      </c>
      <c r="X414" s="6">
        <f t="shared" si="13"/>
        <v>0</v>
      </c>
    </row>
    <row r="415" spans="1:24" x14ac:dyDescent="0.3">
      <c r="A415" t="s">
        <v>815</v>
      </c>
      <c r="B415" t="s">
        <v>829</v>
      </c>
      <c r="C415" t="s">
        <v>23</v>
      </c>
      <c r="D415" t="s">
        <v>24</v>
      </c>
      <c r="E415" t="s">
        <v>25</v>
      </c>
      <c r="F415">
        <v>1</v>
      </c>
      <c r="G415">
        <v>9791136930552</v>
      </c>
      <c r="H415" t="s">
        <v>26</v>
      </c>
      <c r="I415" t="s">
        <v>45</v>
      </c>
      <c r="J415" t="s">
        <v>46</v>
      </c>
      <c r="K415" t="s">
        <v>29</v>
      </c>
      <c r="L415">
        <v>0</v>
      </c>
      <c r="M415" t="s">
        <v>47</v>
      </c>
      <c r="N415">
        <v>0</v>
      </c>
      <c r="O415">
        <v>0</v>
      </c>
      <c r="P415" t="s">
        <v>48</v>
      </c>
      <c r="Q415" s="2">
        <v>0.7</v>
      </c>
      <c r="R415">
        <v>0</v>
      </c>
      <c r="V415" t="str">
        <f>VLOOKUP(H415,'[1]팀별 출판사'!A:B,2,0)</f>
        <v>소설1팀</v>
      </c>
      <c r="W415" s="6">
        <f t="shared" si="12"/>
        <v>0</v>
      </c>
      <c r="X415" s="6">
        <f t="shared" si="13"/>
        <v>0</v>
      </c>
    </row>
    <row r="416" spans="1:24" x14ac:dyDescent="0.3">
      <c r="A416" t="s">
        <v>815</v>
      </c>
      <c r="B416" t="s">
        <v>830</v>
      </c>
      <c r="C416" t="s">
        <v>23</v>
      </c>
      <c r="D416" t="s">
        <v>24</v>
      </c>
      <c r="E416" t="s">
        <v>25</v>
      </c>
      <c r="F416">
        <v>1</v>
      </c>
      <c r="G416">
        <v>9791136930491</v>
      </c>
      <c r="H416" t="s">
        <v>26</v>
      </c>
      <c r="I416" t="s">
        <v>151</v>
      </c>
      <c r="J416" t="s">
        <v>46</v>
      </c>
      <c r="K416" t="s">
        <v>29</v>
      </c>
      <c r="L416">
        <v>0</v>
      </c>
      <c r="M416" t="s">
        <v>47</v>
      </c>
      <c r="N416">
        <v>0</v>
      </c>
      <c r="O416">
        <v>0</v>
      </c>
      <c r="P416" t="s">
        <v>48</v>
      </c>
      <c r="Q416" s="2">
        <v>0.7</v>
      </c>
      <c r="R416">
        <v>0</v>
      </c>
      <c r="V416" t="str">
        <f>VLOOKUP(H416,'[1]팀별 출판사'!A:B,2,0)</f>
        <v>소설1팀</v>
      </c>
      <c r="W416" s="6">
        <f t="shared" si="12"/>
        <v>0</v>
      </c>
      <c r="X416" s="6">
        <f t="shared" si="13"/>
        <v>0</v>
      </c>
    </row>
    <row r="417" spans="1:24" x14ac:dyDescent="0.3">
      <c r="A417" t="s">
        <v>815</v>
      </c>
      <c r="B417" t="s">
        <v>831</v>
      </c>
      <c r="C417" t="s">
        <v>23</v>
      </c>
      <c r="D417" t="s">
        <v>24</v>
      </c>
      <c r="E417" t="s">
        <v>25</v>
      </c>
      <c r="F417">
        <v>1</v>
      </c>
      <c r="G417">
        <v>9791136932648</v>
      </c>
      <c r="H417" t="s">
        <v>32</v>
      </c>
      <c r="I417" t="s">
        <v>832</v>
      </c>
      <c r="J417" t="s">
        <v>34</v>
      </c>
      <c r="K417" t="s">
        <v>29</v>
      </c>
      <c r="L417">
        <v>0</v>
      </c>
      <c r="M417" t="s">
        <v>29</v>
      </c>
      <c r="N417">
        <v>0</v>
      </c>
      <c r="O417">
        <v>0</v>
      </c>
      <c r="P417" t="s">
        <v>30</v>
      </c>
      <c r="Q417" s="2">
        <v>0.7</v>
      </c>
      <c r="R417">
        <v>0</v>
      </c>
      <c r="V417" t="str">
        <f>VLOOKUP(H417,'[1]팀별 출판사'!A:B,2,0)</f>
        <v>소설1팀</v>
      </c>
      <c r="W417" s="6">
        <f t="shared" si="12"/>
        <v>0</v>
      </c>
      <c r="X417" s="6">
        <f t="shared" si="13"/>
        <v>0</v>
      </c>
    </row>
    <row r="418" spans="1:24" x14ac:dyDescent="0.3">
      <c r="A418" t="s">
        <v>815</v>
      </c>
      <c r="B418" t="s">
        <v>833</v>
      </c>
      <c r="C418" t="s">
        <v>23</v>
      </c>
      <c r="D418" t="s">
        <v>24</v>
      </c>
      <c r="E418" t="s">
        <v>25</v>
      </c>
      <c r="F418">
        <v>1</v>
      </c>
      <c r="G418">
        <v>9791172924850</v>
      </c>
      <c r="H418" t="s">
        <v>26</v>
      </c>
      <c r="I418" t="s">
        <v>61</v>
      </c>
      <c r="J418" t="s">
        <v>62</v>
      </c>
      <c r="K418" t="s">
        <v>29</v>
      </c>
      <c r="L418">
        <v>0</v>
      </c>
      <c r="M418" t="s">
        <v>29</v>
      </c>
      <c r="N418">
        <v>0</v>
      </c>
      <c r="O418">
        <v>0</v>
      </c>
      <c r="P418" t="s">
        <v>30</v>
      </c>
      <c r="Q418" s="2">
        <v>0.7</v>
      </c>
      <c r="R418">
        <v>0</v>
      </c>
      <c r="V418" t="str">
        <f>VLOOKUP(H418,'[1]팀별 출판사'!A:B,2,0)</f>
        <v>소설1팀</v>
      </c>
      <c r="W418" s="6">
        <f t="shared" si="12"/>
        <v>0</v>
      </c>
      <c r="X418" s="6">
        <f t="shared" si="13"/>
        <v>0</v>
      </c>
    </row>
    <row r="419" spans="1:24" x14ac:dyDescent="0.3">
      <c r="A419" t="s">
        <v>815</v>
      </c>
      <c r="B419" t="s">
        <v>834</v>
      </c>
      <c r="C419" t="s">
        <v>23</v>
      </c>
      <c r="D419" t="s">
        <v>24</v>
      </c>
      <c r="E419" t="s">
        <v>25</v>
      </c>
      <c r="F419">
        <v>1</v>
      </c>
      <c r="G419">
        <v>9791136912732</v>
      </c>
      <c r="H419" t="s">
        <v>26</v>
      </c>
      <c r="I419" t="s">
        <v>835</v>
      </c>
      <c r="J419" t="s">
        <v>256</v>
      </c>
      <c r="K419" t="s">
        <v>29</v>
      </c>
      <c r="L419">
        <v>0</v>
      </c>
      <c r="M419" t="s">
        <v>29</v>
      </c>
      <c r="N419">
        <v>0</v>
      </c>
      <c r="O419">
        <v>0</v>
      </c>
      <c r="P419" t="s">
        <v>30</v>
      </c>
      <c r="Q419" s="2">
        <v>0.7</v>
      </c>
      <c r="R419">
        <v>0</v>
      </c>
      <c r="V419" t="str">
        <f>VLOOKUP(H419,'[1]팀별 출판사'!A:B,2,0)</f>
        <v>소설1팀</v>
      </c>
      <c r="W419" s="6">
        <f t="shared" si="12"/>
        <v>0</v>
      </c>
      <c r="X419" s="6">
        <f t="shared" si="13"/>
        <v>0</v>
      </c>
    </row>
    <row r="420" spans="1:24" x14ac:dyDescent="0.3">
      <c r="A420" t="s">
        <v>815</v>
      </c>
      <c r="B420" t="s">
        <v>836</v>
      </c>
      <c r="C420" t="s">
        <v>23</v>
      </c>
      <c r="D420" t="s">
        <v>24</v>
      </c>
      <c r="E420" t="s">
        <v>25</v>
      </c>
      <c r="F420">
        <v>1</v>
      </c>
      <c r="G420">
        <v>9791136930552</v>
      </c>
      <c r="H420" t="s">
        <v>26</v>
      </c>
      <c r="I420" t="s">
        <v>45</v>
      </c>
      <c r="J420" t="s">
        <v>46</v>
      </c>
      <c r="K420" t="s">
        <v>29</v>
      </c>
      <c r="L420">
        <v>0</v>
      </c>
      <c r="M420" t="s">
        <v>47</v>
      </c>
      <c r="N420">
        <v>0</v>
      </c>
      <c r="O420">
        <v>0</v>
      </c>
      <c r="P420" t="s">
        <v>48</v>
      </c>
      <c r="Q420" s="2">
        <v>0.7</v>
      </c>
      <c r="R420">
        <v>0</v>
      </c>
      <c r="V420" t="str">
        <f>VLOOKUP(H420,'[1]팀별 출판사'!A:B,2,0)</f>
        <v>소설1팀</v>
      </c>
      <c r="W420" s="6">
        <f t="shared" si="12"/>
        <v>0</v>
      </c>
      <c r="X420" s="6">
        <f t="shared" si="13"/>
        <v>0</v>
      </c>
    </row>
    <row r="421" spans="1:24" x14ac:dyDescent="0.3">
      <c r="A421" t="s">
        <v>815</v>
      </c>
      <c r="B421" t="s">
        <v>837</v>
      </c>
      <c r="C421" t="s">
        <v>23</v>
      </c>
      <c r="D421" t="s">
        <v>24</v>
      </c>
      <c r="E421" t="s">
        <v>25</v>
      </c>
      <c r="F421">
        <v>1</v>
      </c>
      <c r="G421">
        <v>9791136945013</v>
      </c>
      <c r="H421" t="s">
        <v>26</v>
      </c>
      <c r="I421" t="s">
        <v>125</v>
      </c>
      <c r="J421" t="s">
        <v>126</v>
      </c>
      <c r="K421" t="s">
        <v>29</v>
      </c>
      <c r="L421">
        <v>0</v>
      </c>
      <c r="M421" t="s">
        <v>47</v>
      </c>
      <c r="N421">
        <v>0</v>
      </c>
      <c r="O421">
        <v>0</v>
      </c>
      <c r="P421" t="s">
        <v>48</v>
      </c>
      <c r="Q421" s="2">
        <v>0.7</v>
      </c>
      <c r="R421">
        <v>0</v>
      </c>
      <c r="V421" t="str">
        <f>VLOOKUP(H421,'[1]팀별 출판사'!A:B,2,0)</f>
        <v>소설1팀</v>
      </c>
      <c r="W421" s="6">
        <f t="shared" si="12"/>
        <v>0</v>
      </c>
      <c r="X421" s="6">
        <f t="shared" si="13"/>
        <v>0</v>
      </c>
    </row>
    <row r="422" spans="1:24" x14ac:dyDescent="0.3">
      <c r="A422" t="s">
        <v>815</v>
      </c>
      <c r="B422" t="s">
        <v>838</v>
      </c>
      <c r="C422" t="s">
        <v>23</v>
      </c>
      <c r="D422" t="s">
        <v>24</v>
      </c>
      <c r="E422" t="s">
        <v>25</v>
      </c>
      <c r="F422">
        <v>1</v>
      </c>
      <c r="G422">
        <v>9791136934925</v>
      </c>
      <c r="H422" t="s">
        <v>32</v>
      </c>
      <c r="I422" t="s">
        <v>385</v>
      </c>
      <c r="J422" t="s">
        <v>126</v>
      </c>
      <c r="K422" t="s">
        <v>29</v>
      </c>
      <c r="L422">
        <v>0</v>
      </c>
      <c r="M422" t="s">
        <v>47</v>
      </c>
      <c r="N422">
        <v>0</v>
      </c>
      <c r="O422">
        <v>0</v>
      </c>
      <c r="P422" t="s">
        <v>48</v>
      </c>
      <c r="Q422" s="2">
        <v>0.7</v>
      </c>
      <c r="R422">
        <v>0</v>
      </c>
      <c r="V422" t="str">
        <f>VLOOKUP(H422,'[1]팀별 출판사'!A:B,2,0)</f>
        <v>소설1팀</v>
      </c>
      <c r="W422" s="6">
        <f t="shared" si="12"/>
        <v>0</v>
      </c>
      <c r="X422" s="6">
        <f t="shared" si="13"/>
        <v>0</v>
      </c>
    </row>
    <row r="423" spans="1:24" x14ac:dyDescent="0.3">
      <c r="A423" t="s">
        <v>815</v>
      </c>
      <c r="B423" t="s">
        <v>839</v>
      </c>
      <c r="C423" t="s">
        <v>23</v>
      </c>
      <c r="D423" t="s">
        <v>24</v>
      </c>
      <c r="E423" t="s">
        <v>25</v>
      </c>
      <c r="F423">
        <v>1</v>
      </c>
      <c r="G423">
        <v>9791172921033</v>
      </c>
      <c r="H423" t="s">
        <v>79</v>
      </c>
      <c r="I423" t="s">
        <v>738</v>
      </c>
      <c r="J423" t="s">
        <v>46</v>
      </c>
      <c r="K423" t="s">
        <v>29</v>
      </c>
      <c r="L423">
        <v>0</v>
      </c>
      <c r="M423" t="s">
        <v>47</v>
      </c>
      <c r="N423">
        <v>0</v>
      </c>
      <c r="O423">
        <v>0</v>
      </c>
      <c r="P423" t="s">
        <v>48</v>
      </c>
      <c r="Q423" s="2">
        <v>0.7</v>
      </c>
      <c r="R423">
        <v>0</v>
      </c>
      <c r="V423" t="str">
        <f>VLOOKUP(H423,'[1]팀별 출판사'!A:B,2,0)</f>
        <v>소설1팀</v>
      </c>
      <c r="W423" s="6">
        <f t="shared" si="12"/>
        <v>0</v>
      </c>
      <c r="X423" s="6">
        <f t="shared" si="13"/>
        <v>0</v>
      </c>
    </row>
    <row r="424" spans="1:24" x14ac:dyDescent="0.3">
      <c r="A424" t="s">
        <v>815</v>
      </c>
      <c r="B424" t="s">
        <v>840</v>
      </c>
      <c r="C424" t="s">
        <v>23</v>
      </c>
      <c r="D424" t="s">
        <v>24</v>
      </c>
      <c r="E424" t="s">
        <v>25</v>
      </c>
      <c r="F424">
        <v>1</v>
      </c>
      <c r="G424">
        <v>9791136946928</v>
      </c>
      <c r="H424" t="s">
        <v>26</v>
      </c>
      <c r="I424" t="s">
        <v>841</v>
      </c>
      <c r="J424" t="s">
        <v>28</v>
      </c>
      <c r="K424" t="s">
        <v>29</v>
      </c>
      <c r="L424" s="1">
        <v>3200</v>
      </c>
      <c r="M424" t="s">
        <v>29</v>
      </c>
      <c r="N424" s="1">
        <v>3200</v>
      </c>
      <c r="O424" s="1">
        <v>3200</v>
      </c>
      <c r="P424" t="s">
        <v>30</v>
      </c>
      <c r="Q424" s="2">
        <v>0.7</v>
      </c>
      <c r="R424" s="1">
        <v>2240</v>
      </c>
      <c r="S424" t="s">
        <v>29</v>
      </c>
      <c r="T424" s="1">
        <v>2240</v>
      </c>
      <c r="V424" t="str">
        <f>VLOOKUP(H424,'[1]팀별 출판사'!A:B,2,0)</f>
        <v>소설1팀</v>
      </c>
      <c r="W424" s="6">
        <f t="shared" si="12"/>
        <v>0</v>
      </c>
      <c r="X424" s="6">
        <f t="shared" si="13"/>
        <v>2240</v>
      </c>
    </row>
    <row r="425" spans="1:24" x14ac:dyDescent="0.3">
      <c r="A425" t="s">
        <v>815</v>
      </c>
      <c r="B425" t="s">
        <v>842</v>
      </c>
      <c r="C425" t="s">
        <v>23</v>
      </c>
      <c r="D425" t="s">
        <v>24</v>
      </c>
      <c r="E425" t="s">
        <v>25</v>
      </c>
      <c r="F425">
        <v>1</v>
      </c>
      <c r="G425">
        <v>9791170107965</v>
      </c>
      <c r="H425" t="s">
        <v>67</v>
      </c>
      <c r="I425" t="s">
        <v>843</v>
      </c>
      <c r="J425" t="s">
        <v>402</v>
      </c>
      <c r="K425" t="s">
        <v>29</v>
      </c>
      <c r="L425">
        <v>0</v>
      </c>
      <c r="M425" t="s">
        <v>29</v>
      </c>
      <c r="N425">
        <v>0</v>
      </c>
      <c r="O425">
        <v>0</v>
      </c>
      <c r="P425" t="s">
        <v>30</v>
      </c>
      <c r="Q425" s="2">
        <v>0.7</v>
      </c>
      <c r="R425">
        <v>0</v>
      </c>
      <c r="V425" t="str">
        <f>VLOOKUP(H425,'[1]팀별 출판사'!A:B,2,0)</f>
        <v>소설1팀</v>
      </c>
      <c r="W425" s="6">
        <f t="shared" si="12"/>
        <v>0</v>
      </c>
      <c r="X425" s="6">
        <f t="shared" si="13"/>
        <v>0</v>
      </c>
    </row>
    <row r="426" spans="1:24" x14ac:dyDescent="0.3">
      <c r="A426" t="s">
        <v>815</v>
      </c>
      <c r="B426" t="s">
        <v>844</v>
      </c>
      <c r="C426" t="s">
        <v>23</v>
      </c>
      <c r="D426" t="s">
        <v>24</v>
      </c>
      <c r="E426" t="s">
        <v>25</v>
      </c>
      <c r="F426">
        <v>1</v>
      </c>
      <c r="G426" t="s">
        <v>845</v>
      </c>
      <c r="H426" t="s">
        <v>32</v>
      </c>
      <c r="I426" t="s">
        <v>846</v>
      </c>
      <c r="J426" t="s">
        <v>311</v>
      </c>
      <c r="K426" t="s">
        <v>29</v>
      </c>
      <c r="L426" s="1">
        <v>3200</v>
      </c>
      <c r="M426" t="s">
        <v>29</v>
      </c>
      <c r="N426" s="1">
        <v>3200</v>
      </c>
      <c r="O426" s="1">
        <v>3200</v>
      </c>
      <c r="P426" t="s">
        <v>30</v>
      </c>
      <c r="Q426" s="2">
        <v>0.7</v>
      </c>
      <c r="R426" s="1">
        <v>2240</v>
      </c>
      <c r="S426" t="s">
        <v>29</v>
      </c>
      <c r="T426" s="1">
        <v>2240</v>
      </c>
      <c r="V426" t="str">
        <f>VLOOKUP(H426,'[1]팀별 출판사'!A:B,2,0)</f>
        <v>소설1팀</v>
      </c>
      <c r="W426" s="6">
        <f t="shared" si="12"/>
        <v>0</v>
      </c>
      <c r="X426" s="6">
        <f t="shared" si="13"/>
        <v>2240</v>
      </c>
    </row>
    <row r="427" spans="1:24" x14ac:dyDescent="0.3">
      <c r="A427" t="s">
        <v>815</v>
      </c>
      <c r="B427" t="s">
        <v>847</v>
      </c>
      <c r="C427" t="s">
        <v>23</v>
      </c>
      <c r="D427" t="s">
        <v>24</v>
      </c>
      <c r="E427" t="s">
        <v>25</v>
      </c>
      <c r="F427">
        <v>1</v>
      </c>
      <c r="G427">
        <v>9791170101321</v>
      </c>
      <c r="H427" t="s">
        <v>67</v>
      </c>
      <c r="I427" t="s">
        <v>848</v>
      </c>
      <c r="J427" t="s">
        <v>414</v>
      </c>
      <c r="K427" t="s">
        <v>29</v>
      </c>
      <c r="L427">
        <v>0</v>
      </c>
      <c r="M427" t="s">
        <v>29</v>
      </c>
      <c r="N427">
        <v>0</v>
      </c>
      <c r="O427">
        <v>0</v>
      </c>
      <c r="P427" t="s">
        <v>30</v>
      </c>
      <c r="Q427" s="2">
        <v>0.7</v>
      </c>
      <c r="R427">
        <v>0</v>
      </c>
      <c r="V427" t="str">
        <f>VLOOKUP(H427,'[1]팀별 출판사'!A:B,2,0)</f>
        <v>소설1팀</v>
      </c>
      <c r="W427" s="6">
        <f t="shared" si="12"/>
        <v>0</v>
      </c>
      <c r="X427" s="6">
        <f t="shared" si="13"/>
        <v>0</v>
      </c>
    </row>
    <row r="428" spans="1:24" x14ac:dyDescent="0.3">
      <c r="A428" t="s">
        <v>815</v>
      </c>
      <c r="B428" t="s">
        <v>849</v>
      </c>
      <c r="C428" t="s">
        <v>23</v>
      </c>
      <c r="D428" t="s">
        <v>24</v>
      </c>
      <c r="E428" t="s">
        <v>25</v>
      </c>
      <c r="F428">
        <v>1</v>
      </c>
      <c r="G428">
        <v>9791133101528</v>
      </c>
      <c r="H428" t="s">
        <v>32</v>
      </c>
      <c r="I428" t="s">
        <v>850</v>
      </c>
      <c r="J428" t="s">
        <v>160</v>
      </c>
      <c r="K428" t="s">
        <v>29</v>
      </c>
      <c r="L428" s="1">
        <v>3000</v>
      </c>
      <c r="M428" t="s">
        <v>29</v>
      </c>
      <c r="N428" s="1">
        <v>3000</v>
      </c>
      <c r="O428" s="1">
        <v>3000</v>
      </c>
      <c r="P428" t="s">
        <v>30</v>
      </c>
      <c r="Q428" s="2">
        <v>0.7</v>
      </c>
      <c r="R428" s="1">
        <v>2100</v>
      </c>
      <c r="S428" t="s">
        <v>29</v>
      </c>
      <c r="T428" s="1">
        <v>2100</v>
      </c>
      <c r="V428" t="str">
        <f>VLOOKUP(H428,'[1]팀별 출판사'!A:B,2,0)</f>
        <v>소설1팀</v>
      </c>
      <c r="W428" s="6">
        <f t="shared" si="12"/>
        <v>0</v>
      </c>
      <c r="X428" s="6">
        <f t="shared" si="13"/>
        <v>2100</v>
      </c>
    </row>
    <row r="429" spans="1:24" x14ac:dyDescent="0.3">
      <c r="A429" t="s">
        <v>815</v>
      </c>
      <c r="B429" t="s">
        <v>849</v>
      </c>
      <c r="C429" t="s">
        <v>23</v>
      </c>
      <c r="D429" t="s">
        <v>24</v>
      </c>
      <c r="E429" t="s">
        <v>25</v>
      </c>
      <c r="F429">
        <v>1</v>
      </c>
      <c r="G429">
        <v>9791133101771</v>
      </c>
      <c r="H429" t="s">
        <v>32</v>
      </c>
      <c r="I429" t="s">
        <v>851</v>
      </c>
      <c r="J429" t="s">
        <v>160</v>
      </c>
      <c r="K429" t="s">
        <v>29</v>
      </c>
      <c r="L429" s="1">
        <v>3000</v>
      </c>
      <c r="M429" t="s">
        <v>29</v>
      </c>
      <c r="N429" s="1">
        <v>3000</v>
      </c>
      <c r="O429" s="1">
        <v>3000</v>
      </c>
      <c r="P429" t="s">
        <v>30</v>
      </c>
      <c r="Q429" s="2">
        <v>0.7</v>
      </c>
      <c r="R429" s="1">
        <v>2100</v>
      </c>
      <c r="S429" t="s">
        <v>29</v>
      </c>
      <c r="T429" s="1">
        <v>2100</v>
      </c>
      <c r="V429" t="str">
        <f>VLOOKUP(H429,'[1]팀별 출판사'!A:B,2,0)</f>
        <v>소설1팀</v>
      </c>
      <c r="W429" s="6">
        <f t="shared" si="12"/>
        <v>0</v>
      </c>
      <c r="X429" s="6">
        <f t="shared" si="13"/>
        <v>2100</v>
      </c>
    </row>
    <row r="430" spans="1:24" x14ac:dyDescent="0.3">
      <c r="A430" t="s">
        <v>815</v>
      </c>
      <c r="B430" t="s">
        <v>852</v>
      </c>
      <c r="C430" t="s">
        <v>23</v>
      </c>
      <c r="D430" t="s">
        <v>24</v>
      </c>
      <c r="E430" t="s">
        <v>25</v>
      </c>
      <c r="F430">
        <v>1</v>
      </c>
      <c r="G430">
        <v>9791136905680</v>
      </c>
      <c r="H430" t="s">
        <v>26</v>
      </c>
      <c r="I430" t="s">
        <v>853</v>
      </c>
      <c r="J430" t="s">
        <v>311</v>
      </c>
      <c r="K430" t="s">
        <v>29</v>
      </c>
      <c r="L430" s="1">
        <v>3200</v>
      </c>
      <c r="M430" t="s">
        <v>29</v>
      </c>
      <c r="N430" s="1">
        <v>3200</v>
      </c>
      <c r="O430" s="1">
        <v>3200</v>
      </c>
      <c r="P430" t="s">
        <v>30</v>
      </c>
      <c r="Q430" s="2">
        <v>0.7</v>
      </c>
      <c r="R430" s="1">
        <v>2240</v>
      </c>
      <c r="S430" t="s">
        <v>29</v>
      </c>
      <c r="T430" s="1">
        <v>2240</v>
      </c>
      <c r="V430" t="str">
        <f>VLOOKUP(H430,'[1]팀별 출판사'!A:B,2,0)</f>
        <v>소설1팀</v>
      </c>
      <c r="W430" s="6">
        <f t="shared" si="12"/>
        <v>0</v>
      </c>
      <c r="X430" s="6">
        <f t="shared" si="13"/>
        <v>2240</v>
      </c>
    </row>
    <row r="431" spans="1:24" x14ac:dyDescent="0.3">
      <c r="A431" t="s">
        <v>815</v>
      </c>
      <c r="B431" t="s">
        <v>854</v>
      </c>
      <c r="C431" t="s">
        <v>23</v>
      </c>
      <c r="D431" t="s">
        <v>24</v>
      </c>
      <c r="E431" t="s">
        <v>25</v>
      </c>
      <c r="F431">
        <v>1</v>
      </c>
      <c r="G431">
        <v>9791133188680</v>
      </c>
      <c r="H431" t="s">
        <v>26</v>
      </c>
      <c r="I431" t="s">
        <v>855</v>
      </c>
      <c r="J431" t="s">
        <v>743</v>
      </c>
      <c r="K431" t="s">
        <v>29</v>
      </c>
      <c r="L431" s="1">
        <v>2500</v>
      </c>
      <c r="M431" t="s">
        <v>29</v>
      </c>
      <c r="N431" s="1">
        <v>2500</v>
      </c>
      <c r="O431" s="1">
        <v>2500</v>
      </c>
      <c r="P431" t="s">
        <v>30</v>
      </c>
      <c r="Q431" s="2">
        <v>0.7</v>
      </c>
      <c r="R431" s="1">
        <v>1750</v>
      </c>
      <c r="S431" t="s">
        <v>29</v>
      </c>
      <c r="T431" s="1">
        <v>1750</v>
      </c>
      <c r="V431" t="str">
        <f>VLOOKUP(H431,'[1]팀별 출판사'!A:B,2,0)</f>
        <v>소설1팀</v>
      </c>
      <c r="W431" s="6">
        <f t="shared" si="12"/>
        <v>0</v>
      </c>
      <c r="X431" s="6">
        <f t="shared" si="13"/>
        <v>1750</v>
      </c>
    </row>
    <row r="432" spans="1:24" x14ac:dyDescent="0.3">
      <c r="A432" t="s">
        <v>815</v>
      </c>
      <c r="B432" t="s">
        <v>854</v>
      </c>
      <c r="C432" t="s">
        <v>23</v>
      </c>
      <c r="D432" t="s">
        <v>24</v>
      </c>
      <c r="E432" t="s">
        <v>25</v>
      </c>
      <c r="F432">
        <v>1</v>
      </c>
      <c r="G432">
        <v>9791133188697</v>
      </c>
      <c r="H432" t="s">
        <v>26</v>
      </c>
      <c r="I432" t="s">
        <v>856</v>
      </c>
      <c r="J432" t="s">
        <v>743</v>
      </c>
      <c r="K432" t="s">
        <v>29</v>
      </c>
      <c r="L432" s="1">
        <v>2500</v>
      </c>
      <c r="M432" t="s">
        <v>29</v>
      </c>
      <c r="N432" s="1">
        <v>2500</v>
      </c>
      <c r="O432" s="1">
        <v>2500</v>
      </c>
      <c r="P432" t="s">
        <v>30</v>
      </c>
      <c r="Q432" s="2">
        <v>0.7</v>
      </c>
      <c r="R432" s="1">
        <v>1750</v>
      </c>
      <c r="S432" t="s">
        <v>29</v>
      </c>
      <c r="T432" s="1">
        <v>1750</v>
      </c>
      <c r="V432" t="str">
        <f>VLOOKUP(H432,'[1]팀별 출판사'!A:B,2,0)</f>
        <v>소설1팀</v>
      </c>
      <c r="W432" s="6">
        <f t="shared" si="12"/>
        <v>0</v>
      </c>
      <c r="X432" s="6">
        <f t="shared" si="13"/>
        <v>1750</v>
      </c>
    </row>
    <row r="433" spans="1:24" x14ac:dyDescent="0.3">
      <c r="A433" t="s">
        <v>815</v>
      </c>
      <c r="B433" t="s">
        <v>854</v>
      </c>
      <c r="C433" t="s">
        <v>23</v>
      </c>
      <c r="D433" t="s">
        <v>24</v>
      </c>
      <c r="E433" t="s">
        <v>25</v>
      </c>
      <c r="F433">
        <v>1</v>
      </c>
      <c r="G433">
        <v>9791133188703</v>
      </c>
      <c r="H433" t="s">
        <v>26</v>
      </c>
      <c r="I433" t="s">
        <v>857</v>
      </c>
      <c r="J433" t="s">
        <v>743</v>
      </c>
      <c r="K433" t="s">
        <v>29</v>
      </c>
      <c r="L433" s="1">
        <v>2500</v>
      </c>
      <c r="M433" t="s">
        <v>29</v>
      </c>
      <c r="N433" s="1">
        <v>2500</v>
      </c>
      <c r="O433" s="1">
        <v>2500</v>
      </c>
      <c r="P433" t="s">
        <v>30</v>
      </c>
      <c r="Q433" s="2">
        <v>0.7</v>
      </c>
      <c r="R433" s="1">
        <v>1750</v>
      </c>
      <c r="S433" t="s">
        <v>29</v>
      </c>
      <c r="T433" s="1">
        <v>1750</v>
      </c>
      <c r="V433" t="str">
        <f>VLOOKUP(H433,'[1]팀별 출판사'!A:B,2,0)</f>
        <v>소설1팀</v>
      </c>
      <c r="W433" s="6">
        <f t="shared" si="12"/>
        <v>0</v>
      </c>
      <c r="X433" s="6">
        <f t="shared" si="13"/>
        <v>1750</v>
      </c>
    </row>
    <row r="434" spans="1:24" x14ac:dyDescent="0.3">
      <c r="A434" t="s">
        <v>815</v>
      </c>
      <c r="B434" t="s">
        <v>854</v>
      </c>
      <c r="C434" t="s">
        <v>23</v>
      </c>
      <c r="D434" t="s">
        <v>24</v>
      </c>
      <c r="E434" t="s">
        <v>25</v>
      </c>
      <c r="F434">
        <v>1</v>
      </c>
      <c r="G434">
        <v>9791133188710</v>
      </c>
      <c r="H434" t="s">
        <v>26</v>
      </c>
      <c r="I434" t="s">
        <v>858</v>
      </c>
      <c r="J434" t="s">
        <v>743</v>
      </c>
      <c r="K434" t="s">
        <v>29</v>
      </c>
      <c r="L434" s="1">
        <v>2500</v>
      </c>
      <c r="M434" t="s">
        <v>29</v>
      </c>
      <c r="N434" s="1">
        <v>2500</v>
      </c>
      <c r="O434" s="1">
        <v>2500</v>
      </c>
      <c r="P434" t="s">
        <v>30</v>
      </c>
      <c r="Q434" s="2">
        <v>0.7</v>
      </c>
      <c r="R434" s="1">
        <v>1750</v>
      </c>
      <c r="S434" t="s">
        <v>29</v>
      </c>
      <c r="T434" s="1">
        <v>1750</v>
      </c>
      <c r="V434" t="str">
        <f>VLOOKUP(H434,'[1]팀별 출판사'!A:B,2,0)</f>
        <v>소설1팀</v>
      </c>
      <c r="W434" s="6">
        <f t="shared" si="12"/>
        <v>0</v>
      </c>
      <c r="X434" s="6">
        <f t="shared" si="13"/>
        <v>1750</v>
      </c>
    </row>
    <row r="435" spans="1:24" x14ac:dyDescent="0.3">
      <c r="A435" t="s">
        <v>815</v>
      </c>
      <c r="B435" t="s">
        <v>854</v>
      </c>
      <c r="C435" t="s">
        <v>23</v>
      </c>
      <c r="D435" t="s">
        <v>24</v>
      </c>
      <c r="E435" t="s">
        <v>25</v>
      </c>
      <c r="F435">
        <v>1</v>
      </c>
      <c r="G435">
        <v>9791133188727</v>
      </c>
      <c r="H435" t="s">
        <v>26</v>
      </c>
      <c r="I435" t="s">
        <v>859</v>
      </c>
      <c r="J435" t="s">
        <v>743</v>
      </c>
      <c r="K435" t="s">
        <v>29</v>
      </c>
      <c r="L435" s="1">
        <v>2500</v>
      </c>
      <c r="M435" t="s">
        <v>29</v>
      </c>
      <c r="N435" s="1">
        <v>2500</v>
      </c>
      <c r="O435" s="1">
        <v>2500</v>
      </c>
      <c r="P435" t="s">
        <v>30</v>
      </c>
      <c r="Q435" s="2">
        <v>0.7</v>
      </c>
      <c r="R435" s="1">
        <v>1750</v>
      </c>
      <c r="S435" t="s">
        <v>29</v>
      </c>
      <c r="T435" s="1">
        <v>1750</v>
      </c>
      <c r="V435" t="str">
        <f>VLOOKUP(H435,'[1]팀별 출판사'!A:B,2,0)</f>
        <v>소설1팀</v>
      </c>
      <c r="W435" s="6">
        <f t="shared" si="12"/>
        <v>0</v>
      </c>
      <c r="X435" s="6">
        <f t="shared" si="13"/>
        <v>1750</v>
      </c>
    </row>
    <row r="436" spans="1:24" x14ac:dyDescent="0.3">
      <c r="A436" t="s">
        <v>815</v>
      </c>
      <c r="B436" t="s">
        <v>854</v>
      </c>
      <c r="C436" t="s">
        <v>23</v>
      </c>
      <c r="D436" t="s">
        <v>24</v>
      </c>
      <c r="E436" t="s">
        <v>25</v>
      </c>
      <c r="F436">
        <v>1</v>
      </c>
      <c r="G436">
        <v>9791133188734</v>
      </c>
      <c r="H436" t="s">
        <v>26</v>
      </c>
      <c r="I436" t="s">
        <v>860</v>
      </c>
      <c r="J436" t="s">
        <v>743</v>
      </c>
      <c r="K436" t="s">
        <v>29</v>
      </c>
      <c r="L436" s="1">
        <v>2500</v>
      </c>
      <c r="M436" t="s">
        <v>29</v>
      </c>
      <c r="N436" s="1">
        <v>2500</v>
      </c>
      <c r="O436" s="1">
        <v>2500</v>
      </c>
      <c r="P436" t="s">
        <v>30</v>
      </c>
      <c r="Q436" s="2">
        <v>0.7</v>
      </c>
      <c r="R436" s="1">
        <v>1750</v>
      </c>
      <c r="S436" t="s">
        <v>29</v>
      </c>
      <c r="T436" s="1">
        <v>1750</v>
      </c>
      <c r="V436" t="str">
        <f>VLOOKUP(H436,'[1]팀별 출판사'!A:B,2,0)</f>
        <v>소설1팀</v>
      </c>
      <c r="W436" s="6">
        <f t="shared" si="12"/>
        <v>0</v>
      </c>
      <c r="X436" s="6">
        <f t="shared" si="13"/>
        <v>1750</v>
      </c>
    </row>
    <row r="437" spans="1:24" x14ac:dyDescent="0.3">
      <c r="A437" t="s">
        <v>815</v>
      </c>
      <c r="B437" t="s">
        <v>861</v>
      </c>
      <c r="C437" t="s">
        <v>23</v>
      </c>
      <c r="D437" t="s">
        <v>24</v>
      </c>
      <c r="E437" t="s">
        <v>25</v>
      </c>
      <c r="F437">
        <v>1</v>
      </c>
      <c r="G437">
        <v>9791173787065</v>
      </c>
      <c r="H437" t="s">
        <v>26</v>
      </c>
      <c r="I437" t="s">
        <v>862</v>
      </c>
      <c r="J437" t="s">
        <v>256</v>
      </c>
      <c r="K437" t="s">
        <v>29</v>
      </c>
      <c r="L437" s="1">
        <v>3200</v>
      </c>
      <c r="M437" t="s">
        <v>29</v>
      </c>
      <c r="N437" s="1">
        <v>3200</v>
      </c>
      <c r="O437" s="1">
        <v>3200</v>
      </c>
      <c r="P437" t="s">
        <v>30</v>
      </c>
      <c r="Q437" s="2">
        <v>0.7</v>
      </c>
      <c r="R437" s="1">
        <v>2240</v>
      </c>
      <c r="S437" t="s">
        <v>29</v>
      </c>
      <c r="T437" s="1">
        <v>2240</v>
      </c>
      <c r="V437" t="str">
        <f>VLOOKUP(H437,'[1]팀별 출판사'!A:B,2,0)</f>
        <v>소설1팀</v>
      </c>
      <c r="W437" s="6">
        <f t="shared" si="12"/>
        <v>0</v>
      </c>
      <c r="X437" s="6">
        <f t="shared" si="13"/>
        <v>2240</v>
      </c>
    </row>
    <row r="438" spans="1:24" x14ac:dyDescent="0.3">
      <c r="A438" t="s">
        <v>815</v>
      </c>
      <c r="B438" t="s">
        <v>863</v>
      </c>
      <c r="C438" t="s">
        <v>23</v>
      </c>
      <c r="D438" t="s">
        <v>24</v>
      </c>
      <c r="E438" t="s">
        <v>25</v>
      </c>
      <c r="F438">
        <v>1</v>
      </c>
      <c r="G438">
        <v>9791136930224</v>
      </c>
      <c r="H438" t="s">
        <v>32</v>
      </c>
      <c r="I438" t="s">
        <v>172</v>
      </c>
      <c r="J438" t="s">
        <v>46</v>
      </c>
      <c r="K438" t="s">
        <v>29</v>
      </c>
      <c r="L438">
        <v>0</v>
      </c>
      <c r="M438" t="s">
        <v>47</v>
      </c>
      <c r="N438">
        <v>0</v>
      </c>
      <c r="O438">
        <v>0</v>
      </c>
      <c r="P438" t="s">
        <v>48</v>
      </c>
      <c r="Q438" s="2">
        <v>0.7</v>
      </c>
      <c r="R438">
        <v>0</v>
      </c>
      <c r="V438" t="str">
        <f>VLOOKUP(H438,'[1]팀별 출판사'!A:B,2,0)</f>
        <v>소설1팀</v>
      </c>
      <c r="W438" s="6">
        <f t="shared" si="12"/>
        <v>0</v>
      </c>
      <c r="X438" s="6">
        <f t="shared" si="13"/>
        <v>0</v>
      </c>
    </row>
    <row r="439" spans="1:24" x14ac:dyDescent="0.3">
      <c r="A439" t="s">
        <v>815</v>
      </c>
      <c r="B439" t="s">
        <v>864</v>
      </c>
      <c r="C439" t="s">
        <v>23</v>
      </c>
      <c r="D439" t="s">
        <v>24</v>
      </c>
      <c r="E439" t="s">
        <v>25</v>
      </c>
      <c r="F439">
        <v>1</v>
      </c>
      <c r="G439">
        <v>9791136946782</v>
      </c>
      <c r="H439" t="s">
        <v>26</v>
      </c>
      <c r="I439" t="s">
        <v>291</v>
      </c>
      <c r="J439" t="s">
        <v>28</v>
      </c>
      <c r="K439" t="s">
        <v>29</v>
      </c>
      <c r="L439">
        <v>0</v>
      </c>
      <c r="M439" t="s">
        <v>29</v>
      </c>
      <c r="N439">
        <v>0</v>
      </c>
      <c r="O439">
        <v>0</v>
      </c>
      <c r="P439" t="s">
        <v>30</v>
      </c>
      <c r="Q439" s="2">
        <v>0.7</v>
      </c>
      <c r="R439">
        <v>0</v>
      </c>
      <c r="V439" t="str">
        <f>VLOOKUP(H439,'[1]팀별 출판사'!A:B,2,0)</f>
        <v>소설1팀</v>
      </c>
      <c r="W439" s="6">
        <f t="shared" si="12"/>
        <v>0</v>
      </c>
      <c r="X439" s="6">
        <f t="shared" si="13"/>
        <v>0</v>
      </c>
    </row>
    <row r="440" spans="1:24" x14ac:dyDescent="0.3">
      <c r="A440" t="s">
        <v>815</v>
      </c>
      <c r="B440" t="s">
        <v>865</v>
      </c>
      <c r="C440" t="s">
        <v>23</v>
      </c>
      <c r="D440" t="s">
        <v>24</v>
      </c>
      <c r="E440" t="s">
        <v>25</v>
      </c>
      <c r="F440">
        <v>1</v>
      </c>
      <c r="G440">
        <v>9791170105930</v>
      </c>
      <c r="H440" t="s">
        <v>67</v>
      </c>
      <c r="I440" t="s">
        <v>866</v>
      </c>
      <c r="J440" t="s">
        <v>867</v>
      </c>
      <c r="K440" t="s">
        <v>29</v>
      </c>
      <c r="L440">
        <v>0</v>
      </c>
      <c r="M440" t="s">
        <v>152</v>
      </c>
      <c r="N440">
        <v>0</v>
      </c>
      <c r="O440">
        <v>0</v>
      </c>
      <c r="P440" t="s">
        <v>153</v>
      </c>
      <c r="Q440" s="2">
        <v>0.7</v>
      </c>
      <c r="R440">
        <v>0</v>
      </c>
      <c r="V440" t="str">
        <f>VLOOKUP(H440,'[1]팀별 출판사'!A:B,2,0)</f>
        <v>소설1팀</v>
      </c>
      <c r="W440" s="6">
        <f t="shared" si="12"/>
        <v>0</v>
      </c>
      <c r="X440" s="6">
        <f t="shared" si="13"/>
        <v>0</v>
      </c>
    </row>
    <row r="441" spans="1:24" x14ac:dyDescent="0.3">
      <c r="A441" t="s">
        <v>815</v>
      </c>
      <c r="B441" t="s">
        <v>868</v>
      </c>
      <c r="C441" t="s">
        <v>23</v>
      </c>
      <c r="D441" t="s">
        <v>24</v>
      </c>
      <c r="E441" t="s">
        <v>25</v>
      </c>
      <c r="F441">
        <v>1</v>
      </c>
      <c r="G441">
        <v>9791136988751</v>
      </c>
      <c r="H441" t="s">
        <v>26</v>
      </c>
      <c r="I441" t="s">
        <v>740</v>
      </c>
      <c r="J441" t="s">
        <v>28</v>
      </c>
      <c r="K441" t="s">
        <v>29</v>
      </c>
      <c r="L441" s="1">
        <v>3200</v>
      </c>
      <c r="M441" t="s">
        <v>29</v>
      </c>
      <c r="N441" s="1">
        <v>3200</v>
      </c>
      <c r="O441" s="1">
        <v>3200</v>
      </c>
      <c r="P441" t="s">
        <v>30</v>
      </c>
      <c r="Q441" s="2">
        <v>0.7</v>
      </c>
      <c r="R441" s="1">
        <v>2240</v>
      </c>
      <c r="S441" t="s">
        <v>29</v>
      </c>
      <c r="T441" s="1">
        <v>2240</v>
      </c>
      <c r="V441" t="str">
        <f>VLOOKUP(H441,'[1]팀별 출판사'!A:B,2,0)</f>
        <v>소설1팀</v>
      </c>
      <c r="W441" s="6">
        <f t="shared" si="12"/>
        <v>0</v>
      </c>
      <c r="X441" s="6">
        <f t="shared" si="13"/>
        <v>2240</v>
      </c>
    </row>
    <row r="442" spans="1:24" x14ac:dyDescent="0.3">
      <c r="A442" t="s">
        <v>815</v>
      </c>
      <c r="B442" t="s">
        <v>869</v>
      </c>
      <c r="C442" t="s">
        <v>23</v>
      </c>
      <c r="D442" t="s">
        <v>24</v>
      </c>
      <c r="E442" t="s">
        <v>25</v>
      </c>
      <c r="F442">
        <v>1</v>
      </c>
      <c r="G442">
        <v>9791133101788</v>
      </c>
      <c r="H442" t="s">
        <v>32</v>
      </c>
      <c r="I442" t="s">
        <v>870</v>
      </c>
      <c r="J442" t="s">
        <v>160</v>
      </c>
      <c r="K442" t="s">
        <v>29</v>
      </c>
      <c r="L442">
        <v>0</v>
      </c>
      <c r="M442" t="s">
        <v>29</v>
      </c>
      <c r="N442">
        <v>0</v>
      </c>
      <c r="O442">
        <v>0</v>
      </c>
      <c r="P442" t="s">
        <v>30</v>
      </c>
      <c r="Q442" s="2">
        <v>0.7</v>
      </c>
      <c r="R442">
        <v>0</v>
      </c>
      <c r="V442" t="str">
        <f>VLOOKUP(H442,'[1]팀별 출판사'!A:B,2,0)</f>
        <v>소설1팀</v>
      </c>
      <c r="W442" s="6">
        <f t="shared" si="12"/>
        <v>0</v>
      </c>
      <c r="X442" s="6">
        <f t="shared" si="13"/>
        <v>0</v>
      </c>
    </row>
    <row r="443" spans="1:24" x14ac:dyDescent="0.3">
      <c r="A443" t="s">
        <v>815</v>
      </c>
      <c r="B443" t="s">
        <v>871</v>
      </c>
      <c r="C443" t="s">
        <v>23</v>
      </c>
      <c r="D443" t="s">
        <v>24</v>
      </c>
      <c r="E443" t="s">
        <v>25</v>
      </c>
      <c r="F443">
        <v>1</v>
      </c>
      <c r="G443">
        <v>9791136930910</v>
      </c>
      <c r="H443" t="s">
        <v>32</v>
      </c>
      <c r="I443" t="s">
        <v>872</v>
      </c>
      <c r="J443" t="s">
        <v>34</v>
      </c>
      <c r="K443" t="s">
        <v>29</v>
      </c>
      <c r="L443">
        <v>0</v>
      </c>
      <c r="M443" t="s">
        <v>29</v>
      </c>
      <c r="N443">
        <v>0</v>
      </c>
      <c r="O443">
        <v>0</v>
      </c>
      <c r="P443" t="s">
        <v>30</v>
      </c>
      <c r="Q443" s="2">
        <v>0.7</v>
      </c>
      <c r="R443">
        <v>0</v>
      </c>
      <c r="V443" t="str">
        <f>VLOOKUP(H443,'[1]팀별 출판사'!A:B,2,0)</f>
        <v>소설1팀</v>
      </c>
      <c r="W443" s="6">
        <f t="shared" si="12"/>
        <v>0</v>
      </c>
      <c r="X443" s="6">
        <f t="shared" si="13"/>
        <v>0</v>
      </c>
    </row>
    <row r="444" spans="1:24" x14ac:dyDescent="0.3">
      <c r="A444" t="s">
        <v>815</v>
      </c>
      <c r="B444" t="s">
        <v>873</v>
      </c>
      <c r="C444" t="s">
        <v>23</v>
      </c>
      <c r="D444" t="s">
        <v>24</v>
      </c>
      <c r="E444" t="s">
        <v>25</v>
      </c>
      <c r="F444">
        <v>1</v>
      </c>
      <c r="G444">
        <v>9791136988133</v>
      </c>
      <c r="H444" t="s">
        <v>26</v>
      </c>
      <c r="I444" t="s">
        <v>614</v>
      </c>
      <c r="J444" t="s">
        <v>28</v>
      </c>
      <c r="K444" t="s">
        <v>29</v>
      </c>
      <c r="L444">
        <v>0</v>
      </c>
      <c r="M444" t="s">
        <v>29</v>
      </c>
      <c r="N444">
        <v>0</v>
      </c>
      <c r="O444">
        <v>0</v>
      </c>
      <c r="P444" t="s">
        <v>30</v>
      </c>
      <c r="Q444" s="2">
        <v>0.7</v>
      </c>
      <c r="R444">
        <v>0</v>
      </c>
      <c r="V444" t="str">
        <f>VLOOKUP(H444,'[1]팀별 출판사'!A:B,2,0)</f>
        <v>소설1팀</v>
      </c>
      <c r="W444" s="6">
        <f t="shared" si="12"/>
        <v>0</v>
      </c>
      <c r="X444" s="6">
        <f t="shared" si="13"/>
        <v>0</v>
      </c>
    </row>
    <row r="445" spans="1:24" x14ac:dyDescent="0.3">
      <c r="A445" t="s">
        <v>815</v>
      </c>
      <c r="B445" t="s">
        <v>874</v>
      </c>
      <c r="C445" t="s">
        <v>23</v>
      </c>
      <c r="D445" t="s">
        <v>24</v>
      </c>
      <c r="E445" t="s">
        <v>25</v>
      </c>
      <c r="F445">
        <v>1</v>
      </c>
      <c r="G445">
        <v>9791136921758</v>
      </c>
      <c r="H445" t="s">
        <v>26</v>
      </c>
      <c r="I445" t="s">
        <v>875</v>
      </c>
      <c r="J445" t="s">
        <v>876</v>
      </c>
      <c r="K445" t="s">
        <v>29</v>
      </c>
      <c r="L445">
        <v>0</v>
      </c>
      <c r="M445" t="s">
        <v>29</v>
      </c>
      <c r="N445">
        <v>0</v>
      </c>
      <c r="O445">
        <v>0</v>
      </c>
      <c r="P445" t="s">
        <v>30</v>
      </c>
      <c r="Q445" s="2">
        <v>0.7</v>
      </c>
      <c r="R445">
        <v>0</v>
      </c>
      <c r="V445" t="str">
        <f>VLOOKUP(H445,'[1]팀별 출판사'!A:B,2,0)</f>
        <v>소설1팀</v>
      </c>
      <c r="W445" s="6">
        <f t="shared" si="12"/>
        <v>0</v>
      </c>
      <c r="X445" s="6">
        <f t="shared" si="13"/>
        <v>0</v>
      </c>
    </row>
    <row r="446" spans="1:24" x14ac:dyDescent="0.3">
      <c r="A446" t="s">
        <v>815</v>
      </c>
      <c r="B446" t="s">
        <v>877</v>
      </c>
      <c r="C446" t="s">
        <v>23</v>
      </c>
      <c r="D446" t="s">
        <v>24</v>
      </c>
      <c r="E446" t="s">
        <v>25</v>
      </c>
      <c r="F446">
        <v>1</v>
      </c>
      <c r="G446">
        <v>9791136910431</v>
      </c>
      <c r="H446" t="s">
        <v>26</v>
      </c>
      <c r="I446" t="s">
        <v>354</v>
      </c>
      <c r="J446" t="s">
        <v>355</v>
      </c>
      <c r="K446" t="s">
        <v>29</v>
      </c>
      <c r="L446">
        <v>0</v>
      </c>
      <c r="M446" t="s">
        <v>29</v>
      </c>
      <c r="N446">
        <v>0</v>
      </c>
      <c r="O446">
        <v>0</v>
      </c>
      <c r="P446" t="s">
        <v>30</v>
      </c>
      <c r="Q446" s="2">
        <v>0.7</v>
      </c>
      <c r="R446">
        <v>0</v>
      </c>
      <c r="V446" t="str">
        <f>VLOOKUP(H446,'[1]팀별 출판사'!A:B,2,0)</f>
        <v>소설1팀</v>
      </c>
      <c r="W446" s="6">
        <f t="shared" si="12"/>
        <v>0</v>
      </c>
      <c r="X446" s="6">
        <f t="shared" si="13"/>
        <v>0</v>
      </c>
    </row>
    <row r="447" spans="1:24" x14ac:dyDescent="0.3">
      <c r="A447" t="s">
        <v>815</v>
      </c>
      <c r="B447" t="s">
        <v>878</v>
      </c>
      <c r="C447" t="s">
        <v>23</v>
      </c>
      <c r="D447" t="s">
        <v>24</v>
      </c>
      <c r="E447" t="s">
        <v>25</v>
      </c>
      <c r="F447">
        <v>1</v>
      </c>
      <c r="G447">
        <v>9791136934925</v>
      </c>
      <c r="H447" t="s">
        <v>32</v>
      </c>
      <c r="I447" t="s">
        <v>385</v>
      </c>
      <c r="J447" t="s">
        <v>126</v>
      </c>
      <c r="K447" t="s">
        <v>29</v>
      </c>
      <c r="L447">
        <v>0</v>
      </c>
      <c r="M447" t="s">
        <v>47</v>
      </c>
      <c r="N447">
        <v>0</v>
      </c>
      <c r="O447">
        <v>0</v>
      </c>
      <c r="P447" t="s">
        <v>48</v>
      </c>
      <c r="Q447" s="2">
        <v>0.7</v>
      </c>
      <c r="R447">
        <v>0</v>
      </c>
      <c r="V447" t="str">
        <f>VLOOKUP(H447,'[1]팀별 출판사'!A:B,2,0)</f>
        <v>소설1팀</v>
      </c>
      <c r="W447" s="6">
        <f t="shared" si="12"/>
        <v>0</v>
      </c>
      <c r="X447" s="6">
        <f t="shared" si="13"/>
        <v>0</v>
      </c>
    </row>
    <row r="448" spans="1:24" x14ac:dyDescent="0.3">
      <c r="A448" t="s">
        <v>815</v>
      </c>
      <c r="B448" t="s">
        <v>879</v>
      </c>
      <c r="C448" t="s">
        <v>23</v>
      </c>
      <c r="D448" t="s">
        <v>24</v>
      </c>
      <c r="E448" t="s">
        <v>25</v>
      </c>
      <c r="F448">
        <v>1</v>
      </c>
      <c r="G448">
        <v>9791172921033</v>
      </c>
      <c r="H448" t="s">
        <v>79</v>
      </c>
      <c r="I448" t="s">
        <v>738</v>
      </c>
      <c r="J448" t="s">
        <v>46</v>
      </c>
      <c r="K448" t="s">
        <v>29</v>
      </c>
      <c r="L448">
        <v>0</v>
      </c>
      <c r="M448" t="s">
        <v>47</v>
      </c>
      <c r="N448">
        <v>0</v>
      </c>
      <c r="O448">
        <v>0</v>
      </c>
      <c r="P448" t="s">
        <v>48</v>
      </c>
      <c r="Q448" s="2">
        <v>0.7</v>
      </c>
      <c r="R448">
        <v>0</v>
      </c>
      <c r="V448" t="str">
        <f>VLOOKUP(H448,'[1]팀별 출판사'!A:B,2,0)</f>
        <v>소설1팀</v>
      </c>
      <c r="W448" s="6">
        <f t="shared" si="12"/>
        <v>0</v>
      </c>
      <c r="X448" s="6">
        <f t="shared" si="13"/>
        <v>0</v>
      </c>
    </row>
    <row r="449" spans="1:24" x14ac:dyDescent="0.3">
      <c r="A449" t="s">
        <v>815</v>
      </c>
      <c r="B449" t="s">
        <v>880</v>
      </c>
      <c r="C449" t="s">
        <v>23</v>
      </c>
      <c r="D449" t="s">
        <v>24</v>
      </c>
      <c r="E449" t="s">
        <v>25</v>
      </c>
      <c r="F449">
        <v>1</v>
      </c>
      <c r="G449">
        <v>9791136931375</v>
      </c>
      <c r="H449" t="s">
        <v>32</v>
      </c>
      <c r="I449" t="s">
        <v>189</v>
      </c>
      <c r="J449" t="s">
        <v>46</v>
      </c>
      <c r="K449" t="s">
        <v>29</v>
      </c>
      <c r="L449">
        <v>0</v>
      </c>
      <c r="M449" t="s">
        <v>152</v>
      </c>
      <c r="N449">
        <v>0</v>
      </c>
      <c r="O449">
        <v>0</v>
      </c>
      <c r="P449" t="s">
        <v>153</v>
      </c>
      <c r="Q449" s="2">
        <v>0.7</v>
      </c>
      <c r="R449">
        <v>0</v>
      </c>
      <c r="V449" t="str">
        <f>VLOOKUP(H449,'[1]팀별 출판사'!A:B,2,0)</f>
        <v>소설1팀</v>
      </c>
      <c r="W449" s="6">
        <f t="shared" si="12"/>
        <v>0</v>
      </c>
      <c r="X449" s="6">
        <f t="shared" si="13"/>
        <v>0</v>
      </c>
    </row>
    <row r="450" spans="1:24" x14ac:dyDescent="0.3">
      <c r="A450" t="s">
        <v>815</v>
      </c>
      <c r="B450" t="s">
        <v>881</v>
      </c>
      <c r="C450" t="s">
        <v>23</v>
      </c>
      <c r="D450" t="s">
        <v>24</v>
      </c>
      <c r="E450" t="s">
        <v>25</v>
      </c>
      <c r="F450">
        <v>1</v>
      </c>
      <c r="G450">
        <v>9791136931382</v>
      </c>
      <c r="H450" t="s">
        <v>32</v>
      </c>
      <c r="I450" t="s">
        <v>523</v>
      </c>
      <c r="J450" t="s">
        <v>46</v>
      </c>
      <c r="K450" t="s">
        <v>29</v>
      </c>
      <c r="L450">
        <v>0</v>
      </c>
      <c r="M450" t="s">
        <v>47</v>
      </c>
      <c r="N450">
        <v>0</v>
      </c>
      <c r="O450">
        <v>0</v>
      </c>
      <c r="P450" t="s">
        <v>48</v>
      </c>
      <c r="Q450" s="2">
        <v>0.7</v>
      </c>
      <c r="R450">
        <v>0</v>
      </c>
      <c r="V450" t="str">
        <f>VLOOKUP(H450,'[1]팀별 출판사'!A:B,2,0)</f>
        <v>소설1팀</v>
      </c>
      <c r="W450" s="6">
        <f t="shared" ref="W450:W513" si="14">IF(P450="US", T450*30%, 0)</f>
        <v>0</v>
      </c>
      <c r="X450" s="6">
        <f t="shared" ref="X450:X513" si="15">T450-W450</f>
        <v>0</v>
      </c>
    </row>
    <row r="451" spans="1:24" x14ac:dyDescent="0.3">
      <c r="A451" t="s">
        <v>815</v>
      </c>
      <c r="B451" t="s">
        <v>882</v>
      </c>
      <c r="C451" t="s">
        <v>23</v>
      </c>
      <c r="D451" t="s">
        <v>24</v>
      </c>
      <c r="E451" t="s">
        <v>25</v>
      </c>
      <c r="F451">
        <v>1</v>
      </c>
      <c r="G451">
        <v>9791136930224</v>
      </c>
      <c r="H451" t="s">
        <v>32</v>
      </c>
      <c r="I451" t="s">
        <v>172</v>
      </c>
      <c r="J451" t="s">
        <v>46</v>
      </c>
      <c r="K451" t="s">
        <v>29</v>
      </c>
      <c r="L451">
        <v>0</v>
      </c>
      <c r="M451" t="s">
        <v>47</v>
      </c>
      <c r="N451">
        <v>0</v>
      </c>
      <c r="O451">
        <v>0</v>
      </c>
      <c r="P451" t="s">
        <v>48</v>
      </c>
      <c r="Q451" s="2">
        <v>0.7</v>
      </c>
      <c r="R451">
        <v>0</v>
      </c>
      <c r="V451" t="str">
        <f>VLOOKUP(H451,'[1]팀별 출판사'!A:B,2,0)</f>
        <v>소설1팀</v>
      </c>
      <c r="W451" s="6">
        <f t="shared" si="14"/>
        <v>0</v>
      </c>
      <c r="X451" s="6">
        <f t="shared" si="15"/>
        <v>0</v>
      </c>
    </row>
    <row r="452" spans="1:24" x14ac:dyDescent="0.3">
      <c r="A452" t="s">
        <v>815</v>
      </c>
      <c r="B452" t="s">
        <v>883</v>
      </c>
      <c r="C452" t="s">
        <v>23</v>
      </c>
      <c r="D452" t="s">
        <v>24</v>
      </c>
      <c r="E452" t="s">
        <v>25</v>
      </c>
      <c r="F452">
        <v>1</v>
      </c>
      <c r="G452">
        <v>9791136911025</v>
      </c>
      <c r="H452" t="s">
        <v>32</v>
      </c>
      <c r="I452" t="s">
        <v>884</v>
      </c>
      <c r="J452" t="s">
        <v>160</v>
      </c>
      <c r="K452" t="s">
        <v>29</v>
      </c>
      <c r="L452" s="1">
        <v>3200</v>
      </c>
      <c r="M452" t="s">
        <v>29</v>
      </c>
      <c r="N452" s="1">
        <v>3200</v>
      </c>
      <c r="O452" s="1">
        <v>3200</v>
      </c>
      <c r="P452" t="s">
        <v>30</v>
      </c>
      <c r="Q452" s="2">
        <v>0.7</v>
      </c>
      <c r="R452" s="1">
        <v>2240</v>
      </c>
      <c r="S452" t="s">
        <v>29</v>
      </c>
      <c r="T452" s="1">
        <v>2240</v>
      </c>
      <c r="V452" t="str">
        <f>VLOOKUP(H452,'[1]팀별 출판사'!A:B,2,0)</f>
        <v>소설1팀</v>
      </c>
      <c r="W452" s="6">
        <f t="shared" si="14"/>
        <v>0</v>
      </c>
      <c r="X452" s="6">
        <f t="shared" si="15"/>
        <v>2240</v>
      </c>
    </row>
    <row r="453" spans="1:24" x14ac:dyDescent="0.3">
      <c r="A453" t="s">
        <v>815</v>
      </c>
      <c r="B453" t="s">
        <v>885</v>
      </c>
      <c r="C453" t="s">
        <v>23</v>
      </c>
      <c r="D453" t="s">
        <v>24</v>
      </c>
      <c r="E453" t="s">
        <v>25</v>
      </c>
      <c r="F453">
        <v>1</v>
      </c>
      <c r="G453">
        <v>9791136930361</v>
      </c>
      <c r="H453" t="s">
        <v>32</v>
      </c>
      <c r="I453" t="s">
        <v>33</v>
      </c>
      <c r="J453" t="s">
        <v>34</v>
      </c>
      <c r="K453" t="s">
        <v>29</v>
      </c>
      <c r="L453">
        <v>0</v>
      </c>
      <c r="M453" t="s">
        <v>886</v>
      </c>
      <c r="N453">
        <v>0</v>
      </c>
      <c r="O453">
        <v>0</v>
      </c>
      <c r="P453" t="s">
        <v>887</v>
      </c>
      <c r="Q453" s="2">
        <v>0.7</v>
      </c>
      <c r="R453">
        <v>0</v>
      </c>
      <c r="V453" t="str">
        <f>VLOOKUP(H453,'[1]팀별 출판사'!A:B,2,0)</f>
        <v>소설1팀</v>
      </c>
      <c r="W453" s="6">
        <f t="shared" si="14"/>
        <v>0</v>
      </c>
      <c r="X453" s="6">
        <f t="shared" si="15"/>
        <v>0</v>
      </c>
    </row>
    <row r="454" spans="1:24" x14ac:dyDescent="0.3">
      <c r="A454" t="s">
        <v>815</v>
      </c>
      <c r="B454" t="s">
        <v>888</v>
      </c>
      <c r="C454" t="s">
        <v>23</v>
      </c>
      <c r="D454" t="s">
        <v>24</v>
      </c>
      <c r="E454" t="s">
        <v>25</v>
      </c>
      <c r="F454">
        <v>1</v>
      </c>
      <c r="G454">
        <v>9791136916365</v>
      </c>
      <c r="H454" t="s">
        <v>26</v>
      </c>
      <c r="I454" t="s">
        <v>889</v>
      </c>
      <c r="J454" t="s">
        <v>62</v>
      </c>
      <c r="K454" t="s">
        <v>29</v>
      </c>
      <c r="L454" s="1">
        <v>3200</v>
      </c>
      <c r="M454" t="s">
        <v>29</v>
      </c>
      <c r="N454" s="1">
        <v>3200</v>
      </c>
      <c r="O454" s="1">
        <v>3200</v>
      </c>
      <c r="P454" t="s">
        <v>30</v>
      </c>
      <c r="Q454" s="2">
        <v>0.7</v>
      </c>
      <c r="R454" s="1">
        <v>2240</v>
      </c>
      <c r="S454" t="s">
        <v>29</v>
      </c>
      <c r="T454" s="1">
        <v>2240</v>
      </c>
      <c r="V454" t="str">
        <f>VLOOKUP(H454,'[1]팀별 출판사'!A:B,2,0)</f>
        <v>소설1팀</v>
      </c>
      <c r="W454" s="6">
        <f t="shared" si="14"/>
        <v>0</v>
      </c>
      <c r="X454" s="6">
        <f t="shared" si="15"/>
        <v>2240</v>
      </c>
    </row>
    <row r="455" spans="1:24" x14ac:dyDescent="0.3">
      <c r="A455" t="s">
        <v>815</v>
      </c>
      <c r="B455" t="s">
        <v>890</v>
      </c>
      <c r="C455" t="s">
        <v>23</v>
      </c>
      <c r="D455" t="s">
        <v>24</v>
      </c>
      <c r="E455" t="s">
        <v>25</v>
      </c>
      <c r="F455">
        <v>1</v>
      </c>
      <c r="G455">
        <v>9791136946782</v>
      </c>
      <c r="H455" t="s">
        <v>26</v>
      </c>
      <c r="I455" t="s">
        <v>291</v>
      </c>
      <c r="J455" t="s">
        <v>28</v>
      </c>
      <c r="K455" t="s">
        <v>29</v>
      </c>
      <c r="L455">
        <v>0</v>
      </c>
      <c r="M455" t="s">
        <v>29</v>
      </c>
      <c r="N455">
        <v>0</v>
      </c>
      <c r="O455">
        <v>0</v>
      </c>
      <c r="P455" t="s">
        <v>30</v>
      </c>
      <c r="Q455" s="2">
        <v>0.7</v>
      </c>
      <c r="R455">
        <v>0</v>
      </c>
      <c r="V455" t="str">
        <f>VLOOKUP(H455,'[1]팀별 출판사'!A:B,2,0)</f>
        <v>소설1팀</v>
      </c>
      <c r="W455" s="6">
        <f t="shared" si="14"/>
        <v>0</v>
      </c>
      <c r="X455" s="6">
        <f t="shared" si="15"/>
        <v>0</v>
      </c>
    </row>
    <row r="456" spans="1:24" x14ac:dyDescent="0.3">
      <c r="A456" t="s">
        <v>815</v>
      </c>
      <c r="B456" t="s">
        <v>891</v>
      </c>
      <c r="C456" t="s">
        <v>23</v>
      </c>
      <c r="D456" t="s">
        <v>24</v>
      </c>
      <c r="E456" t="s">
        <v>25</v>
      </c>
      <c r="F456">
        <v>1</v>
      </c>
      <c r="G456">
        <v>9791136934925</v>
      </c>
      <c r="H456" t="s">
        <v>32</v>
      </c>
      <c r="I456" t="s">
        <v>385</v>
      </c>
      <c r="J456" t="s">
        <v>126</v>
      </c>
      <c r="K456" t="s">
        <v>29</v>
      </c>
      <c r="L456">
        <v>0</v>
      </c>
      <c r="M456" t="s">
        <v>127</v>
      </c>
      <c r="N456">
        <v>0</v>
      </c>
      <c r="O456">
        <v>0</v>
      </c>
      <c r="P456" t="s">
        <v>128</v>
      </c>
      <c r="Q456" s="2">
        <v>0.7</v>
      </c>
      <c r="R456">
        <v>0</v>
      </c>
      <c r="V456" t="str">
        <f>VLOOKUP(H456,'[1]팀별 출판사'!A:B,2,0)</f>
        <v>소설1팀</v>
      </c>
      <c r="W456" s="6">
        <f t="shared" si="14"/>
        <v>0</v>
      </c>
      <c r="X456" s="6">
        <f t="shared" si="15"/>
        <v>0</v>
      </c>
    </row>
    <row r="457" spans="1:24" x14ac:dyDescent="0.3">
      <c r="A457" t="s">
        <v>815</v>
      </c>
      <c r="B457" t="s">
        <v>892</v>
      </c>
      <c r="C457" t="s">
        <v>23</v>
      </c>
      <c r="D457" t="s">
        <v>24</v>
      </c>
      <c r="E457" t="s">
        <v>25</v>
      </c>
      <c r="F457">
        <v>1</v>
      </c>
      <c r="G457">
        <v>9791133186501</v>
      </c>
      <c r="H457" t="s">
        <v>26</v>
      </c>
      <c r="I457" t="s">
        <v>64</v>
      </c>
      <c r="J457" t="s">
        <v>65</v>
      </c>
      <c r="K457" t="s">
        <v>29</v>
      </c>
      <c r="L457">
        <v>0</v>
      </c>
      <c r="M457" t="s">
        <v>29</v>
      </c>
      <c r="N457">
        <v>0</v>
      </c>
      <c r="O457">
        <v>0</v>
      </c>
      <c r="P457" t="s">
        <v>30</v>
      </c>
      <c r="Q457" s="2">
        <v>0.7</v>
      </c>
      <c r="R457">
        <v>0</v>
      </c>
      <c r="V457" t="str">
        <f>VLOOKUP(H457,'[1]팀별 출판사'!A:B,2,0)</f>
        <v>소설1팀</v>
      </c>
      <c r="W457" s="6">
        <f t="shared" si="14"/>
        <v>0</v>
      </c>
      <c r="X457" s="6">
        <f t="shared" si="15"/>
        <v>0</v>
      </c>
    </row>
    <row r="458" spans="1:24" x14ac:dyDescent="0.3">
      <c r="A458" t="s">
        <v>815</v>
      </c>
      <c r="B458" t="s">
        <v>893</v>
      </c>
      <c r="C458" t="s">
        <v>23</v>
      </c>
      <c r="D458" t="s">
        <v>24</v>
      </c>
      <c r="E458" t="s">
        <v>25</v>
      </c>
      <c r="F458">
        <v>1</v>
      </c>
      <c r="G458">
        <v>9791136941862</v>
      </c>
      <c r="H458" t="s">
        <v>26</v>
      </c>
      <c r="I458" t="s">
        <v>894</v>
      </c>
      <c r="J458" t="s">
        <v>81</v>
      </c>
      <c r="K458" t="s">
        <v>29</v>
      </c>
      <c r="L458">
        <v>0</v>
      </c>
      <c r="M458" t="s">
        <v>29</v>
      </c>
      <c r="N458">
        <v>0</v>
      </c>
      <c r="O458">
        <v>0</v>
      </c>
      <c r="P458" t="s">
        <v>30</v>
      </c>
      <c r="Q458" s="2">
        <v>0.7</v>
      </c>
      <c r="R458">
        <v>0</v>
      </c>
      <c r="V458" t="str">
        <f>VLOOKUP(H458,'[1]팀별 출판사'!A:B,2,0)</f>
        <v>소설1팀</v>
      </c>
      <c r="W458" s="6">
        <f t="shared" si="14"/>
        <v>0</v>
      </c>
      <c r="X458" s="6">
        <f t="shared" si="15"/>
        <v>0</v>
      </c>
    </row>
    <row r="459" spans="1:24" x14ac:dyDescent="0.3">
      <c r="A459" t="s">
        <v>815</v>
      </c>
      <c r="B459" t="s">
        <v>895</v>
      </c>
      <c r="C459" t="s">
        <v>23</v>
      </c>
      <c r="D459" t="s">
        <v>24</v>
      </c>
      <c r="E459" t="s">
        <v>25</v>
      </c>
      <c r="F459">
        <v>1</v>
      </c>
      <c r="G459">
        <v>9791133186501</v>
      </c>
      <c r="H459" t="s">
        <v>26</v>
      </c>
      <c r="I459" t="s">
        <v>64</v>
      </c>
      <c r="J459" t="s">
        <v>65</v>
      </c>
      <c r="K459" t="s">
        <v>29</v>
      </c>
      <c r="L459">
        <v>0</v>
      </c>
      <c r="M459" t="s">
        <v>29</v>
      </c>
      <c r="N459">
        <v>0</v>
      </c>
      <c r="O459">
        <v>0</v>
      </c>
      <c r="P459" t="s">
        <v>30</v>
      </c>
      <c r="Q459" s="2">
        <v>0.7</v>
      </c>
      <c r="R459">
        <v>0</v>
      </c>
      <c r="V459" t="str">
        <f>VLOOKUP(H459,'[1]팀별 출판사'!A:B,2,0)</f>
        <v>소설1팀</v>
      </c>
      <c r="W459" s="6">
        <f t="shared" si="14"/>
        <v>0</v>
      </c>
      <c r="X459" s="6">
        <f t="shared" si="15"/>
        <v>0</v>
      </c>
    </row>
    <row r="460" spans="1:24" x14ac:dyDescent="0.3">
      <c r="A460" t="s">
        <v>815</v>
      </c>
      <c r="B460" t="s">
        <v>896</v>
      </c>
      <c r="C460" t="s">
        <v>23</v>
      </c>
      <c r="D460" t="s">
        <v>24</v>
      </c>
      <c r="E460" t="s">
        <v>25</v>
      </c>
      <c r="F460">
        <v>1</v>
      </c>
      <c r="G460">
        <v>9791136910981</v>
      </c>
      <c r="H460" t="s">
        <v>32</v>
      </c>
      <c r="I460" t="s">
        <v>897</v>
      </c>
      <c r="J460" t="s">
        <v>160</v>
      </c>
      <c r="K460" t="s">
        <v>29</v>
      </c>
      <c r="L460">
        <v>0</v>
      </c>
      <c r="M460" t="s">
        <v>29</v>
      </c>
      <c r="N460">
        <v>0</v>
      </c>
      <c r="O460">
        <v>0</v>
      </c>
      <c r="P460" t="s">
        <v>30</v>
      </c>
      <c r="Q460" s="2">
        <v>0.7</v>
      </c>
      <c r="R460">
        <v>0</v>
      </c>
      <c r="V460" t="str">
        <f>VLOOKUP(H460,'[1]팀별 출판사'!A:B,2,0)</f>
        <v>소설1팀</v>
      </c>
      <c r="W460" s="6">
        <f t="shared" si="14"/>
        <v>0</v>
      </c>
      <c r="X460" s="6">
        <f t="shared" si="15"/>
        <v>0</v>
      </c>
    </row>
    <row r="461" spans="1:24" x14ac:dyDescent="0.3">
      <c r="A461" t="s">
        <v>815</v>
      </c>
      <c r="B461" t="s">
        <v>898</v>
      </c>
      <c r="C461" t="s">
        <v>23</v>
      </c>
      <c r="D461" t="s">
        <v>24</v>
      </c>
      <c r="E461" t="s">
        <v>25</v>
      </c>
      <c r="F461">
        <v>1</v>
      </c>
      <c r="G461">
        <v>9791136945013</v>
      </c>
      <c r="H461" t="s">
        <v>26</v>
      </c>
      <c r="I461" t="s">
        <v>125</v>
      </c>
      <c r="J461" t="s">
        <v>126</v>
      </c>
      <c r="K461" t="s">
        <v>29</v>
      </c>
      <c r="L461">
        <v>0</v>
      </c>
      <c r="M461" t="s">
        <v>29</v>
      </c>
      <c r="N461">
        <v>0</v>
      </c>
      <c r="O461">
        <v>0</v>
      </c>
      <c r="P461" t="s">
        <v>30</v>
      </c>
      <c r="Q461" s="2">
        <v>0.7</v>
      </c>
      <c r="R461">
        <v>0</v>
      </c>
      <c r="V461" t="str">
        <f>VLOOKUP(H461,'[1]팀별 출판사'!A:B,2,0)</f>
        <v>소설1팀</v>
      </c>
      <c r="W461" s="6">
        <f t="shared" si="14"/>
        <v>0</v>
      </c>
      <c r="X461" s="6">
        <f t="shared" si="15"/>
        <v>0</v>
      </c>
    </row>
    <row r="462" spans="1:24" x14ac:dyDescent="0.3">
      <c r="A462" t="s">
        <v>815</v>
      </c>
      <c r="B462" t="s">
        <v>899</v>
      </c>
      <c r="C462" t="s">
        <v>23</v>
      </c>
      <c r="D462" t="s">
        <v>24</v>
      </c>
      <c r="E462" t="s">
        <v>25</v>
      </c>
      <c r="F462">
        <v>1</v>
      </c>
      <c r="G462">
        <v>9791170106715</v>
      </c>
      <c r="H462" t="s">
        <v>67</v>
      </c>
      <c r="I462" t="s">
        <v>68</v>
      </c>
      <c r="J462" t="s">
        <v>69</v>
      </c>
      <c r="K462" t="s">
        <v>29</v>
      </c>
      <c r="L462">
        <v>0</v>
      </c>
      <c r="M462" t="s">
        <v>193</v>
      </c>
      <c r="N462">
        <v>0</v>
      </c>
      <c r="O462">
        <v>0</v>
      </c>
      <c r="P462" t="s">
        <v>194</v>
      </c>
      <c r="Q462" s="2">
        <v>0.7</v>
      </c>
      <c r="R462">
        <v>0</v>
      </c>
      <c r="V462" t="str">
        <f>VLOOKUP(H462,'[1]팀별 출판사'!A:B,2,0)</f>
        <v>소설1팀</v>
      </c>
      <c r="W462" s="6">
        <f t="shared" si="14"/>
        <v>0</v>
      </c>
      <c r="X462" s="6">
        <f t="shared" si="15"/>
        <v>0</v>
      </c>
    </row>
    <row r="463" spans="1:24" x14ac:dyDescent="0.3">
      <c r="A463" t="s">
        <v>815</v>
      </c>
      <c r="B463" t="s">
        <v>900</v>
      </c>
      <c r="C463" t="s">
        <v>23</v>
      </c>
      <c r="D463" t="s">
        <v>24</v>
      </c>
      <c r="E463" t="s">
        <v>25</v>
      </c>
      <c r="F463">
        <v>1</v>
      </c>
      <c r="G463">
        <v>9791170107064</v>
      </c>
      <c r="H463" t="s">
        <v>67</v>
      </c>
      <c r="I463" t="s">
        <v>901</v>
      </c>
      <c r="J463" t="s">
        <v>902</v>
      </c>
      <c r="K463" t="s">
        <v>29</v>
      </c>
      <c r="L463">
        <v>0</v>
      </c>
      <c r="M463" t="s">
        <v>29</v>
      </c>
      <c r="N463">
        <v>0</v>
      </c>
      <c r="O463">
        <v>0</v>
      </c>
      <c r="P463" t="s">
        <v>30</v>
      </c>
      <c r="Q463" s="2">
        <v>0.7</v>
      </c>
      <c r="R463">
        <v>0</v>
      </c>
      <c r="V463" t="str">
        <f>VLOOKUP(H463,'[1]팀별 출판사'!A:B,2,0)</f>
        <v>소설1팀</v>
      </c>
      <c r="W463" s="6">
        <f t="shared" si="14"/>
        <v>0</v>
      </c>
      <c r="X463" s="6">
        <f t="shared" si="15"/>
        <v>0</v>
      </c>
    </row>
    <row r="464" spans="1:24" x14ac:dyDescent="0.3">
      <c r="A464" t="s">
        <v>815</v>
      </c>
      <c r="B464" t="s">
        <v>903</v>
      </c>
      <c r="C464" t="s">
        <v>23</v>
      </c>
      <c r="D464" t="s">
        <v>24</v>
      </c>
      <c r="E464" t="s">
        <v>25</v>
      </c>
      <c r="F464">
        <v>1</v>
      </c>
      <c r="G464">
        <v>9791136946935</v>
      </c>
      <c r="H464" t="s">
        <v>26</v>
      </c>
      <c r="I464" t="s">
        <v>904</v>
      </c>
      <c r="J464" t="s">
        <v>28</v>
      </c>
      <c r="K464" t="s">
        <v>29</v>
      </c>
      <c r="L464" s="1">
        <v>3200</v>
      </c>
      <c r="M464" t="s">
        <v>29</v>
      </c>
      <c r="N464" s="1">
        <v>3200</v>
      </c>
      <c r="O464" s="1">
        <v>3200</v>
      </c>
      <c r="P464" t="s">
        <v>30</v>
      </c>
      <c r="Q464" s="2">
        <v>0.7</v>
      </c>
      <c r="R464" s="1">
        <v>2240</v>
      </c>
      <c r="S464" t="s">
        <v>29</v>
      </c>
      <c r="T464" s="1">
        <v>2240</v>
      </c>
      <c r="V464" t="str">
        <f>VLOOKUP(H464,'[1]팀별 출판사'!A:B,2,0)</f>
        <v>소설1팀</v>
      </c>
      <c r="W464" s="6">
        <f t="shared" si="14"/>
        <v>0</v>
      </c>
      <c r="X464" s="6">
        <f t="shared" si="15"/>
        <v>2240</v>
      </c>
    </row>
    <row r="465" spans="1:24" x14ac:dyDescent="0.3">
      <c r="A465" t="s">
        <v>815</v>
      </c>
      <c r="B465" t="s">
        <v>905</v>
      </c>
      <c r="C465" t="s">
        <v>23</v>
      </c>
      <c r="D465" t="s">
        <v>24</v>
      </c>
      <c r="E465" t="s">
        <v>25</v>
      </c>
      <c r="F465">
        <v>1</v>
      </c>
      <c r="G465">
        <v>9791136946782</v>
      </c>
      <c r="H465" t="s">
        <v>26</v>
      </c>
      <c r="I465" t="s">
        <v>291</v>
      </c>
      <c r="J465" t="s">
        <v>28</v>
      </c>
      <c r="K465" t="s">
        <v>29</v>
      </c>
      <c r="L465">
        <v>0</v>
      </c>
      <c r="M465" t="s">
        <v>29</v>
      </c>
      <c r="N465">
        <v>0</v>
      </c>
      <c r="O465">
        <v>0</v>
      </c>
      <c r="P465" t="s">
        <v>30</v>
      </c>
      <c r="Q465" s="2">
        <v>0.7</v>
      </c>
      <c r="R465">
        <v>0</v>
      </c>
      <c r="V465" t="str">
        <f>VLOOKUP(H465,'[1]팀별 출판사'!A:B,2,0)</f>
        <v>소설1팀</v>
      </c>
      <c r="W465" s="6">
        <f t="shared" si="14"/>
        <v>0</v>
      </c>
      <c r="X465" s="6">
        <f t="shared" si="15"/>
        <v>0</v>
      </c>
    </row>
    <row r="466" spans="1:24" x14ac:dyDescent="0.3">
      <c r="A466" t="s">
        <v>815</v>
      </c>
      <c r="B466" t="s">
        <v>906</v>
      </c>
      <c r="C466" t="s">
        <v>23</v>
      </c>
      <c r="D466" t="s">
        <v>24</v>
      </c>
      <c r="E466" t="s">
        <v>25</v>
      </c>
      <c r="F466">
        <v>1</v>
      </c>
      <c r="G466">
        <v>9791136923110</v>
      </c>
      <c r="H466" t="s">
        <v>26</v>
      </c>
      <c r="I466" t="s">
        <v>907</v>
      </c>
      <c r="J466" t="s">
        <v>908</v>
      </c>
      <c r="K466" t="s">
        <v>29</v>
      </c>
      <c r="L466">
        <v>0</v>
      </c>
      <c r="M466" t="s">
        <v>29</v>
      </c>
      <c r="N466">
        <v>0</v>
      </c>
      <c r="O466">
        <v>0</v>
      </c>
      <c r="P466" t="s">
        <v>30</v>
      </c>
      <c r="Q466" s="2">
        <v>0.7</v>
      </c>
      <c r="R466">
        <v>0</v>
      </c>
      <c r="V466" t="str">
        <f>VLOOKUP(H466,'[1]팀별 출판사'!A:B,2,0)</f>
        <v>소설1팀</v>
      </c>
      <c r="W466" s="6">
        <f t="shared" si="14"/>
        <v>0</v>
      </c>
      <c r="X466" s="6">
        <f t="shared" si="15"/>
        <v>0</v>
      </c>
    </row>
    <row r="467" spans="1:24" x14ac:dyDescent="0.3">
      <c r="A467" t="s">
        <v>815</v>
      </c>
      <c r="B467" t="s">
        <v>909</v>
      </c>
      <c r="C467" t="s">
        <v>23</v>
      </c>
      <c r="D467" t="s">
        <v>24</v>
      </c>
      <c r="E467" t="s">
        <v>25</v>
      </c>
      <c r="F467">
        <v>1</v>
      </c>
      <c r="G467" t="s">
        <v>910</v>
      </c>
      <c r="H467" t="s">
        <v>32</v>
      </c>
      <c r="I467" t="s">
        <v>911</v>
      </c>
      <c r="J467" t="s">
        <v>311</v>
      </c>
      <c r="K467" t="s">
        <v>29</v>
      </c>
      <c r="L467" s="1">
        <v>3200</v>
      </c>
      <c r="M467" t="s">
        <v>29</v>
      </c>
      <c r="N467" s="1">
        <v>3200</v>
      </c>
      <c r="O467" s="1">
        <v>3200</v>
      </c>
      <c r="P467" t="s">
        <v>30</v>
      </c>
      <c r="Q467" s="2">
        <v>0.7</v>
      </c>
      <c r="R467" s="1">
        <v>2240</v>
      </c>
      <c r="S467" t="s">
        <v>29</v>
      </c>
      <c r="T467" s="1">
        <v>2240</v>
      </c>
      <c r="V467" t="str">
        <f>VLOOKUP(H467,'[1]팀별 출판사'!A:B,2,0)</f>
        <v>소설1팀</v>
      </c>
      <c r="W467" s="6">
        <f t="shared" si="14"/>
        <v>0</v>
      </c>
      <c r="X467" s="6">
        <f t="shared" si="15"/>
        <v>2240</v>
      </c>
    </row>
    <row r="468" spans="1:24" x14ac:dyDescent="0.3">
      <c r="A468" t="s">
        <v>815</v>
      </c>
      <c r="B468" t="s">
        <v>912</v>
      </c>
      <c r="C468" t="s">
        <v>23</v>
      </c>
      <c r="D468" t="s">
        <v>24</v>
      </c>
      <c r="E468" t="s">
        <v>25</v>
      </c>
      <c r="F468">
        <v>1</v>
      </c>
      <c r="G468">
        <v>9791136944702</v>
      </c>
      <c r="H468" t="s">
        <v>26</v>
      </c>
      <c r="I468" t="s">
        <v>913</v>
      </c>
      <c r="J468" t="s">
        <v>284</v>
      </c>
      <c r="K468" t="s">
        <v>29</v>
      </c>
      <c r="L468">
        <v>0</v>
      </c>
      <c r="M468" t="s">
        <v>29</v>
      </c>
      <c r="N468">
        <v>0</v>
      </c>
      <c r="O468">
        <v>0</v>
      </c>
      <c r="P468" t="s">
        <v>30</v>
      </c>
      <c r="Q468" s="2">
        <v>0.7</v>
      </c>
      <c r="R468">
        <v>0</v>
      </c>
      <c r="V468" t="str">
        <f>VLOOKUP(H468,'[1]팀별 출판사'!A:B,2,0)</f>
        <v>소설1팀</v>
      </c>
      <c r="W468" s="6">
        <f t="shared" si="14"/>
        <v>0</v>
      </c>
      <c r="X468" s="6">
        <f t="shared" si="15"/>
        <v>0</v>
      </c>
    </row>
    <row r="469" spans="1:24" x14ac:dyDescent="0.3">
      <c r="A469" t="s">
        <v>815</v>
      </c>
      <c r="B469" t="s">
        <v>914</v>
      </c>
      <c r="C469" t="s">
        <v>23</v>
      </c>
      <c r="D469" t="s">
        <v>24</v>
      </c>
      <c r="E469" t="s">
        <v>25</v>
      </c>
      <c r="F469">
        <v>1</v>
      </c>
      <c r="G469">
        <v>9791170100737</v>
      </c>
      <c r="H469" t="s">
        <v>67</v>
      </c>
      <c r="I469" t="s">
        <v>410</v>
      </c>
      <c r="J469" t="s">
        <v>411</v>
      </c>
      <c r="K469" t="s">
        <v>29</v>
      </c>
      <c r="L469">
        <v>0</v>
      </c>
      <c r="M469" t="s">
        <v>29</v>
      </c>
      <c r="N469">
        <v>0</v>
      </c>
      <c r="O469">
        <v>0</v>
      </c>
      <c r="P469" t="s">
        <v>30</v>
      </c>
      <c r="Q469" s="2">
        <v>0.7</v>
      </c>
      <c r="R469">
        <v>0</v>
      </c>
      <c r="V469" t="str">
        <f>VLOOKUP(H469,'[1]팀별 출판사'!A:B,2,0)</f>
        <v>소설1팀</v>
      </c>
      <c r="W469" s="6">
        <f t="shared" si="14"/>
        <v>0</v>
      </c>
      <c r="X469" s="6">
        <f t="shared" si="15"/>
        <v>0</v>
      </c>
    </row>
    <row r="470" spans="1:24" x14ac:dyDescent="0.3">
      <c r="A470" t="s">
        <v>815</v>
      </c>
      <c r="B470" t="s">
        <v>915</v>
      </c>
      <c r="C470" t="s">
        <v>23</v>
      </c>
      <c r="D470" t="s">
        <v>24</v>
      </c>
      <c r="E470" t="s">
        <v>25</v>
      </c>
      <c r="F470">
        <v>1</v>
      </c>
      <c r="G470">
        <v>9791136903822</v>
      </c>
      <c r="H470" t="s">
        <v>26</v>
      </c>
      <c r="I470" t="s">
        <v>916</v>
      </c>
      <c r="J470" t="s">
        <v>256</v>
      </c>
      <c r="K470" t="s">
        <v>29</v>
      </c>
      <c r="L470" s="1">
        <v>3200</v>
      </c>
      <c r="M470" t="s">
        <v>29</v>
      </c>
      <c r="N470" s="1">
        <v>3200</v>
      </c>
      <c r="O470" s="1">
        <v>3200</v>
      </c>
      <c r="P470" t="s">
        <v>30</v>
      </c>
      <c r="Q470" s="2">
        <v>0.7</v>
      </c>
      <c r="R470" s="1">
        <v>2240</v>
      </c>
      <c r="S470" t="s">
        <v>29</v>
      </c>
      <c r="T470" s="1">
        <v>2240</v>
      </c>
      <c r="V470" t="str">
        <f>VLOOKUP(H470,'[1]팀별 출판사'!A:B,2,0)</f>
        <v>소설1팀</v>
      </c>
      <c r="W470" s="6">
        <f t="shared" si="14"/>
        <v>0</v>
      </c>
      <c r="X470" s="6">
        <f t="shared" si="15"/>
        <v>2240</v>
      </c>
    </row>
    <row r="471" spans="1:24" x14ac:dyDescent="0.3">
      <c r="A471" t="s">
        <v>815</v>
      </c>
      <c r="B471" t="s">
        <v>917</v>
      </c>
      <c r="C471" t="s">
        <v>23</v>
      </c>
      <c r="D471" t="s">
        <v>24</v>
      </c>
      <c r="E471" t="s">
        <v>25</v>
      </c>
      <c r="F471">
        <v>1</v>
      </c>
      <c r="G471">
        <v>9791136911001</v>
      </c>
      <c r="H471" t="s">
        <v>32</v>
      </c>
      <c r="I471" t="s">
        <v>795</v>
      </c>
      <c r="J471" t="s">
        <v>160</v>
      </c>
      <c r="K471" t="s">
        <v>29</v>
      </c>
      <c r="L471" s="1">
        <v>3200</v>
      </c>
      <c r="M471" t="s">
        <v>29</v>
      </c>
      <c r="N471" s="1">
        <v>3200</v>
      </c>
      <c r="O471" s="1">
        <v>3200</v>
      </c>
      <c r="P471" t="s">
        <v>30</v>
      </c>
      <c r="Q471" s="2">
        <v>0.7</v>
      </c>
      <c r="R471" s="1">
        <v>2240</v>
      </c>
      <c r="S471" t="s">
        <v>29</v>
      </c>
      <c r="T471" s="1">
        <v>2240</v>
      </c>
      <c r="V471" t="str">
        <f>VLOOKUP(H471,'[1]팀별 출판사'!A:B,2,0)</f>
        <v>소설1팀</v>
      </c>
      <c r="W471" s="6">
        <f t="shared" si="14"/>
        <v>0</v>
      </c>
      <c r="X471" s="6">
        <f t="shared" si="15"/>
        <v>2240</v>
      </c>
    </row>
    <row r="472" spans="1:24" x14ac:dyDescent="0.3">
      <c r="A472" t="s">
        <v>815</v>
      </c>
      <c r="B472" t="s">
        <v>917</v>
      </c>
      <c r="C472" t="s">
        <v>23</v>
      </c>
      <c r="D472" t="s">
        <v>24</v>
      </c>
      <c r="E472" t="s">
        <v>25</v>
      </c>
      <c r="F472">
        <v>1</v>
      </c>
      <c r="G472">
        <v>9791136911025</v>
      </c>
      <c r="H472" t="s">
        <v>32</v>
      </c>
      <c r="I472" t="s">
        <v>884</v>
      </c>
      <c r="J472" t="s">
        <v>160</v>
      </c>
      <c r="K472" t="s">
        <v>29</v>
      </c>
      <c r="L472" s="1">
        <v>3200</v>
      </c>
      <c r="M472" t="s">
        <v>29</v>
      </c>
      <c r="N472" s="1">
        <v>3200</v>
      </c>
      <c r="O472" s="1">
        <v>3200</v>
      </c>
      <c r="P472" t="s">
        <v>30</v>
      </c>
      <c r="Q472" s="2">
        <v>0.7</v>
      </c>
      <c r="R472" s="1">
        <v>2240</v>
      </c>
      <c r="S472" t="s">
        <v>29</v>
      </c>
      <c r="T472" s="1">
        <v>2240</v>
      </c>
      <c r="V472" t="str">
        <f>VLOOKUP(H472,'[1]팀별 출판사'!A:B,2,0)</f>
        <v>소설1팀</v>
      </c>
      <c r="W472" s="6">
        <f t="shared" si="14"/>
        <v>0</v>
      </c>
      <c r="X472" s="6">
        <f t="shared" si="15"/>
        <v>2240</v>
      </c>
    </row>
    <row r="473" spans="1:24" x14ac:dyDescent="0.3">
      <c r="A473" t="s">
        <v>815</v>
      </c>
      <c r="B473" t="s">
        <v>917</v>
      </c>
      <c r="C473" t="s">
        <v>23</v>
      </c>
      <c r="D473" t="s">
        <v>24</v>
      </c>
      <c r="E473" t="s">
        <v>25</v>
      </c>
      <c r="F473">
        <v>1</v>
      </c>
      <c r="G473">
        <v>9791136911216</v>
      </c>
      <c r="H473" t="s">
        <v>32</v>
      </c>
      <c r="I473" t="s">
        <v>918</v>
      </c>
      <c r="J473" t="s">
        <v>160</v>
      </c>
      <c r="K473" t="s">
        <v>29</v>
      </c>
      <c r="L473" s="1">
        <v>3200</v>
      </c>
      <c r="M473" t="s">
        <v>29</v>
      </c>
      <c r="N473" s="1">
        <v>3200</v>
      </c>
      <c r="O473" s="1">
        <v>3200</v>
      </c>
      <c r="P473" t="s">
        <v>30</v>
      </c>
      <c r="Q473" s="2">
        <v>0.7</v>
      </c>
      <c r="R473" s="1">
        <v>2240</v>
      </c>
      <c r="S473" t="s">
        <v>29</v>
      </c>
      <c r="T473" s="1">
        <v>2240</v>
      </c>
      <c r="V473" t="str">
        <f>VLOOKUP(H473,'[1]팀별 출판사'!A:B,2,0)</f>
        <v>소설1팀</v>
      </c>
      <c r="W473" s="6">
        <f t="shared" si="14"/>
        <v>0</v>
      </c>
      <c r="X473" s="6">
        <f t="shared" si="15"/>
        <v>2240</v>
      </c>
    </row>
    <row r="474" spans="1:24" x14ac:dyDescent="0.3">
      <c r="A474" t="s">
        <v>815</v>
      </c>
      <c r="B474" t="s">
        <v>917</v>
      </c>
      <c r="C474" t="s">
        <v>23</v>
      </c>
      <c r="D474" t="s">
        <v>24</v>
      </c>
      <c r="E474" t="s">
        <v>25</v>
      </c>
      <c r="F474">
        <v>1</v>
      </c>
      <c r="G474">
        <v>9791136911223</v>
      </c>
      <c r="H474" t="s">
        <v>32</v>
      </c>
      <c r="I474" t="s">
        <v>919</v>
      </c>
      <c r="J474" t="s">
        <v>160</v>
      </c>
      <c r="K474" t="s">
        <v>29</v>
      </c>
      <c r="L474" s="1">
        <v>3200</v>
      </c>
      <c r="M474" t="s">
        <v>29</v>
      </c>
      <c r="N474" s="1">
        <v>3200</v>
      </c>
      <c r="O474" s="1">
        <v>3200</v>
      </c>
      <c r="P474" t="s">
        <v>30</v>
      </c>
      <c r="Q474" s="2">
        <v>0.7</v>
      </c>
      <c r="R474" s="1">
        <v>2240</v>
      </c>
      <c r="S474" t="s">
        <v>29</v>
      </c>
      <c r="T474" s="1">
        <v>2240</v>
      </c>
      <c r="V474" t="str">
        <f>VLOOKUP(H474,'[1]팀별 출판사'!A:B,2,0)</f>
        <v>소설1팀</v>
      </c>
      <c r="W474" s="6">
        <f t="shared" si="14"/>
        <v>0</v>
      </c>
      <c r="X474" s="6">
        <f t="shared" si="15"/>
        <v>2240</v>
      </c>
    </row>
    <row r="475" spans="1:24" x14ac:dyDescent="0.3">
      <c r="A475" t="s">
        <v>815</v>
      </c>
      <c r="B475" t="s">
        <v>917</v>
      </c>
      <c r="C475" t="s">
        <v>23</v>
      </c>
      <c r="D475" t="s">
        <v>24</v>
      </c>
      <c r="E475" t="s">
        <v>25</v>
      </c>
      <c r="F475">
        <v>1</v>
      </c>
      <c r="G475">
        <v>9791136911230</v>
      </c>
      <c r="H475" t="s">
        <v>32</v>
      </c>
      <c r="I475" t="s">
        <v>920</v>
      </c>
      <c r="J475" t="s">
        <v>160</v>
      </c>
      <c r="K475" t="s">
        <v>29</v>
      </c>
      <c r="L475" s="1">
        <v>3200</v>
      </c>
      <c r="M475" t="s">
        <v>29</v>
      </c>
      <c r="N475" s="1">
        <v>3200</v>
      </c>
      <c r="O475" s="1">
        <v>3200</v>
      </c>
      <c r="P475" t="s">
        <v>30</v>
      </c>
      <c r="Q475" s="2">
        <v>0.7</v>
      </c>
      <c r="R475" s="1">
        <v>2240</v>
      </c>
      <c r="S475" t="s">
        <v>29</v>
      </c>
      <c r="T475" s="1">
        <v>2240</v>
      </c>
      <c r="V475" t="str">
        <f>VLOOKUP(H475,'[1]팀별 출판사'!A:B,2,0)</f>
        <v>소설1팀</v>
      </c>
      <c r="W475" s="6">
        <f t="shared" si="14"/>
        <v>0</v>
      </c>
      <c r="X475" s="6">
        <f t="shared" si="15"/>
        <v>2240</v>
      </c>
    </row>
    <row r="476" spans="1:24" x14ac:dyDescent="0.3">
      <c r="A476" t="s">
        <v>815</v>
      </c>
      <c r="B476" t="s">
        <v>917</v>
      </c>
      <c r="C476" t="s">
        <v>23</v>
      </c>
      <c r="D476" t="s">
        <v>24</v>
      </c>
      <c r="E476" t="s">
        <v>25</v>
      </c>
      <c r="F476">
        <v>1</v>
      </c>
      <c r="G476">
        <v>9791136911049</v>
      </c>
      <c r="H476" t="s">
        <v>32</v>
      </c>
      <c r="I476" t="s">
        <v>921</v>
      </c>
      <c r="J476" t="s">
        <v>160</v>
      </c>
      <c r="K476" t="s">
        <v>29</v>
      </c>
      <c r="L476" s="1">
        <v>3200</v>
      </c>
      <c r="M476" t="s">
        <v>29</v>
      </c>
      <c r="N476" s="1">
        <v>3200</v>
      </c>
      <c r="O476" s="1">
        <v>3200</v>
      </c>
      <c r="P476" t="s">
        <v>30</v>
      </c>
      <c r="Q476" s="2">
        <v>0.7</v>
      </c>
      <c r="R476" s="1">
        <v>2240</v>
      </c>
      <c r="S476" t="s">
        <v>29</v>
      </c>
      <c r="T476" s="1">
        <v>2240</v>
      </c>
      <c r="V476" t="str">
        <f>VLOOKUP(H476,'[1]팀별 출판사'!A:B,2,0)</f>
        <v>소설1팀</v>
      </c>
      <c r="W476" s="6">
        <f t="shared" si="14"/>
        <v>0</v>
      </c>
      <c r="X476" s="6">
        <f t="shared" si="15"/>
        <v>2240</v>
      </c>
    </row>
    <row r="477" spans="1:24" x14ac:dyDescent="0.3">
      <c r="A477" t="s">
        <v>815</v>
      </c>
      <c r="B477" t="s">
        <v>917</v>
      </c>
      <c r="C477" t="s">
        <v>23</v>
      </c>
      <c r="D477" t="s">
        <v>24</v>
      </c>
      <c r="E477" t="s">
        <v>25</v>
      </c>
      <c r="F477">
        <v>1</v>
      </c>
      <c r="G477">
        <v>9791136911063</v>
      </c>
      <c r="H477" t="s">
        <v>32</v>
      </c>
      <c r="I477" t="s">
        <v>231</v>
      </c>
      <c r="J477" t="s">
        <v>160</v>
      </c>
      <c r="K477" t="s">
        <v>29</v>
      </c>
      <c r="L477" s="1">
        <v>3200</v>
      </c>
      <c r="M477" t="s">
        <v>29</v>
      </c>
      <c r="N477" s="1">
        <v>3200</v>
      </c>
      <c r="O477" s="1">
        <v>3200</v>
      </c>
      <c r="P477" t="s">
        <v>30</v>
      </c>
      <c r="Q477" s="2">
        <v>0.7</v>
      </c>
      <c r="R477" s="1">
        <v>2240</v>
      </c>
      <c r="S477" t="s">
        <v>29</v>
      </c>
      <c r="T477" s="1">
        <v>2240</v>
      </c>
      <c r="V477" t="str">
        <f>VLOOKUP(H477,'[1]팀별 출판사'!A:B,2,0)</f>
        <v>소설1팀</v>
      </c>
      <c r="W477" s="6">
        <f t="shared" si="14"/>
        <v>0</v>
      </c>
      <c r="X477" s="6">
        <f t="shared" si="15"/>
        <v>2240</v>
      </c>
    </row>
    <row r="478" spans="1:24" x14ac:dyDescent="0.3">
      <c r="A478" t="s">
        <v>815</v>
      </c>
      <c r="B478" t="s">
        <v>917</v>
      </c>
      <c r="C478" t="s">
        <v>23</v>
      </c>
      <c r="D478" t="s">
        <v>24</v>
      </c>
      <c r="E478" t="s">
        <v>25</v>
      </c>
      <c r="F478">
        <v>1</v>
      </c>
      <c r="G478">
        <v>9791136911087</v>
      </c>
      <c r="H478" t="s">
        <v>32</v>
      </c>
      <c r="I478" t="s">
        <v>922</v>
      </c>
      <c r="J478" t="s">
        <v>160</v>
      </c>
      <c r="K478" t="s">
        <v>29</v>
      </c>
      <c r="L478" s="1">
        <v>3200</v>
      </c>
      <c r="M478" t="s">
        <v>29</v>
      </c>
      <c r="N478" s="1">
        <v>3200</v>
      </c>
      <c r="O478" s="1">
        <v>3200</v>
      </c>
      <c r="P478" t="s">
        <v>30</v>
      </c>
      <c r="Q478" s="2">
        <v>0.7</v>
      </c>
      <c r="R478" s="1">
        <v>2240</v>
      </c>
      <c r="S478" t="s">
        <v>29</v>
      </c>
      <c r="T478" s="1">
        <v>2240</v>
      </c>
      <c r="V478" t="str">
        <f>VLOOKUP(H478,'[1]팀별 출판사'!A:B,2,0)</f>
        <v>소설1팀</v>
      </c>
      <c r="W478" s="6">
        <f t="shared" si="14"/>
        <v>0</v>
      </c>
      <c r="X478" s="6">
        <f t="shared" si="15"/>
        <v>2240</v>
      </c>
    </row>
    <row r="479" spans="1:24" x14ac:dyDescent="0.3">
      <c r="A479" t="s">
        <v>815</v>
      </c>
      <c r="B479" t="s">
        <v>917</v>
      </c>
      <c r="C479" t="s">
        <v>23</v>
      </c>
      <c r="D479" t="s">
        <v>24</v>
      </c>
      <c r="E479" t="s">
        <v>25</v>
      </c>
      <c r="F479">
        <v>1</v>
      </c>
      <c r="G479">
        <v>9791136911100</v>
      </c>
      <c r="H479" t="s">
        <v>32</v>
      </c>
      <c r="I479" t="s">
        <v>923</v>
      </c>
      <c r="J479" t="s">
        <v>160</v>
      </c>
      <c r="K479" t="s">
        <v>29</v>
      </c>
      <c r="L479" s="1">
        <v>3200</v>
      </c>
      <c r="M479" t="s">
        <v>29</v>
      </c>
      <c r="N479" s="1">
        <v>3200</v>
      </c>
      <c r="O479" s="1">
        <v>3200</v>
      </c>
      <c r="P479" t="s">
        <v>30</v>
      </c>
      <c r="Q479" s="2">
        <v>0.7</v>
      </c>
      <c r="R479" s="1">
        <v>2240</v>
      </c>
      <c r="S479" t="s">
        <v>29</v>
      </c>
      <c r="T479" s="1">
        <v>2240</v>
      </c>
      <c r="V479" t="str">
        <f>VLOOKUP(H479,'[1]팀별 출판사'!A:B,2,0)</f>
        <v>소설1팀</v>
      </c>
      <c r="W479" s="6">
        <f t="shared" si="14"/>
        <v>0</v>
      </c>
      <c r="X479" s="6">
        <f t="shared" si="15"/>
        <v>2240</v>
      </c>
    </row>
    <row r="480" spans="1:24" x14ac:dyDescent="0.3">
      <c r="A480" t="s">
        <v>815</v>
      </c>
      <c r="B480" t="s">
        <v>917</v>
      </c>
      <c r="C480" t="s">
        <v>23</v>
      </c>
      <c r="D480" t="s">
        <v>24</v>
      </c>
      <c r="E480" t="s">
        <v>25</v>
      </c>
      <c r="F480">
        <v>1</v>
      </c>
      <c r="G480">
        <v>9791136911124</v>
      </c>
      <c r="H480" t="s">
        <v>32</v>
      </c>
      <c r="I480" t="s">
        <v>924</v>
      </c>
      <c r="J480" t="s">
        <v>160</v>
      </c>
      <c r="K480" t="s">
        <v>29</v>
      </c>
      <c r="L480" s="1">
        <v>3200</v>
      </c>
      <c r="M480" t="s">
        <v>29</v>
      </c>
      <c r="N480" s="1">
        <v>3200</v>
      </c>
      <c r="O480" s="1">
        <v>3200</v>
      </c>
      <c r="P480" t="s">
        <v>30</v>
      </c>
      <c r="Q480" s="2">
        <v>0.7</v>
      </c>
      <c r="R480" s="1">
        <v>2240</v>
      </c>
      <c r="S480" t="s">
        <v>29</v>
      </c>
      <c r="T480" s="1">
        <v>2240</v>
      </c>
      <c r="V480" t="str">
        <f>VLOOKUP(H480,'[1]팀별 출판사'!A:B,2,0)</f>
        <v>소설1팀</v>
      </c>
      <c r="W480" s="6">
        <f t="shared" si="14"/>
        <v>0</v>
      </c>
      <c r="X480" s="6">
        <f t="shared" si="15"/>
        <v>2240</v>
      </c>
    </row>
    <row r="481" spans="1:24" x14ac:dyDescent="0.3">
      <c r="A481" t="s">
        <v>815</v>
      </c>
      <c r="B481" t="s">
        <v>917</v>
      </c>
      <c r="C481" t="s">
        <v>23</v>
      </c>
      <c r="D481" t="s">
        <v>24</v>
      </c>
      <c r="E481" t="s">
        <v>25</v>
      </c>
      <c r="F481">
        <v>1</v>
      </c>
      <c r="G481">
        <v>9791136911148</v>
      </c>
      <c r="H481" t="s">
        <v>32</v>
      </c>
      <c r="I481" t="s">
        <v>925</v>
      </c>
      <c r="J481" t="s">
        <v>160</v>
      </c>
      <c r="K481" t="s">
        <v>29</v>
      </c>
      <c r="L481" s="1">
        <v>3200</v>
      </c>
      <c r="M481" t="s">
        <v>29</v>
      </c>
      <c r="N481" s="1">
        <v>3200</v>
      </c>
      <c r="O481" s="1">
        <v>3200</v>
      </c>
      <c r="P481" t="s">
        <v>30</v>
      </c>
      <c r="Q481" s="2">
        <v>0.7</v>
      </c>
      <c r="R481" s="1">
        <v>2240</v>
      </c>
      <c r="S481" t="s">
        <v>29</v>
      </c>
      <c r="T481" s="1">
        <v>2240</v>
      </c>
      <c r="V481" t="str">
        <f>VLOOKUP(H481,'[1]팀별 출판사'!A:B,2,0)</f>
        <v>소설1팀</v>
      </c>
      <c r="W481" s="6">
        <f t="shared" si="14"/>
        <v>0</v>
      </c>
      <c r="X481" s="6">
        <f t="shared" si="15"/>
        <v>2240</v>
      </c>
    </row>
    <row r="482" spans="1:24" x14ac:dyDescent="0.3">
      <c r="A482" t="s">
        <v>815</v>
      </c>
      <c r="B482" t="s">
        <v>917</v>
      </c>
      <c r="C482" t="s">
        <v>23</v>
      </c>
      <c r="D482" t="s">
        <v>24</v>
      </c>
      <c r="E482" t="s">
        <v>25</v>
      </c>
      <c r="F482">
        <v>1</v>
      </c>
      <c r="G482">
        <v>9791136911162</v>
      </c>
      <c r="H482" t="s">
        <v>32</v>
      </c>
      <c r="I482" t="s">
        <v>926</v>
      </c>
      <c r="J482" t="s">
        <v>160</v>
      </c>
      <c r="K482" t="s">
        <v>29</v>
      </c>
      <c r="L482" s="1">
        <v>3200</v>
      </c>
      <c r="M482" t="s">
        <v>29</v>
      </c>
      <c r="N482" s="1">
        <v>3200</v>
      </c>
      <c r="O482" s="1">
        <v>3200</v>
      </c>
      <c r="P482" t="s">
        <v>30</v>
      </c>
      <c r="Q482" s="2">
        <v>0.7</v>
      </c>
      <c r="R482" s="1">
        <v>2240</v>
      </c>
      <c r="S482" t="s">
        <v>29</v>
      </c>
      <c r="T482" s="1">
        <v>2240</v>
      </c>
      <c r="V482" t="str">
        <f>VLOOKUP(H482,'[1]팀별 출판사'!A:B,2,0)</f>
        <v>소설1팀</v>
      </c>
      <c r="W482" s="6">
        <f t="shared" si="14"/>
        <v>0</v>
      </c>
      <c r="X482" s="6">
        <f t="shared" si="15"/>
        <v>2240</v>
      </c>
    </row>
    <row r="483" spans="1:24" x14ac:dyDescent="0.3">
      <c r="A483" t="s">
        <v>815</v>
      </c>
      <c r="B483" t="s">
        <v>917</v>
      </c>
      <c r="C483" t="s">
        <v>23</v>
      </c>
      <c r="D483" t="s">
        <v>24</v>
      </c>
      <c r="E483" t="s">
        <v>25</v>
      </c>
      <c r="F483">
        <v>1</v>
      </c>
      <c r="G483">
        <v>9791136911209</v>
      </c>
      <c r="H483" t="s">
        <v>32</v>
      </c>
      <c r="I483" t="s">
        <v>927</v>
      </c>
      <c r="J483" t="s">
        <v>160</v>
      </c>
      <c r="K483" t="s">
        <v>29</v>
      </c>
      <c r="L483" s="1">
        <v>3200</v>
      </c>
      <c r="M483" t="s">
        <v>29</v>
      </c>
      <c r="N483" s="1">
        <v>3200</v>
      </c>
      <c r="O483" s="1">
        <v>3200</v>
      </c>
      <c r="P483" t="s">
        <v>30</v>
      </c>
      <c r="Q483" s="2">
        <v>0.7</v>
      </c>
      <c r="R483" s="1">
        <v>2240</v>
      </c>
      <c r="S483" t="s">
        <v>29</v>
      </c>
      <c r="T483" s="1">
        <v>2240</v>
      </c>
      <c r="V483" t="str">
        <f>VLOOKUP(H483,'[1]팀별 출판사'!A:B,2,0)</f>
        <v>소설1팀</v>
      </c>
      <c r="W483" s="6">
        <f t="shared" si="14"/>
        <v>0</v>
      </c>
      <c r="X483" s="6">
        <f t="shared" si="15"/>
        <v>2240</v>
      </c>
    </row>
    <row r="484" spans="1:24" x14ac:dyDescent="0.3">
      <c r="A484" t="s">
        <v>815</v>
      </c>
      <c r="B484" t="s">
        <v>928</v>
      </c>
      <c r="C484" t="s">
        <v>23</v>
      </c>
      <c r="D484" t="s">
        <v>24</v>
      </c>
      <c r="E484" t="s">
        <v>25</v>
      </c>
      <c r="F484">
        <v>1</v>
      </c>
      <c r="G484">
        <v>9791136988133</v>
      </c>
      <c r="H484" t="s">
        <v>26</v>
      </c>
      <c r="I484" t="s">
        <v>614</v>
      </c>
      <c r="J484" t="s">
        <v>28</v>
      </c>
      <c r="K484" t="s">
        <v>29</v>
      </c>
      <c r="L484">
        <v>0</v>
      </c>
      <c r="M484" t="s">
        <v>29</v>
      </c>
      <c r="N484">
        <v>0</v>
      </c>
      <c r="O484">
        <v>0</v>
      </c>
      <c r="P484" t="s">
        <v>30</v>
      </c>
      <c r="Q484" s="2">
        <v>0.7</v>
      </c>
      <c r="R484">
        <v>0</v>
      </c>
      <c r="V484" t="str">
        <f>VLOOKUP(H484,'[1]팀별 출판사'!A:B,2,0)</f>
        <v>소설1팀</v>
      </c>
      <c r="W484" s="6">
        <f t="shared" si="14"/>
        <v>0</v>
      </c>
      <c r="X484" s="6">
        <f t="shared" si="15"/>
        <v>0</v>
      </c>
    </row>
    <row r="485" spans="1:24" x14ac:dyDescent="0.3">
      <c r="A485" t="s">
        <v>815</v>
      </c>
      <c r="B485" t="s">
        <v>929</v>
      </c>
      <c r="C485" t="s">
        <v>23</v>
      </c>
      <c r="D485" t="s">
        <v>24</v>
      </c>
      <c r="E485" t="s">
        <v>25</v>
      </c>
      <c r="F485">
        <v>1</v>
      </c>
      <c r="G485">
        <v>9791136911209</v>
      </c>
      <c r="H485" t="s">
        <v>32</v>
      </c>
      <c r="I485" t="s">
        <v>927</v>
      </c>
      <c r="J485" t="s">
        <v>160</v>
      </c>
      <c r="K485" t="s">
        <v>29</v>
      </c>
      <c r="L485" s="1">
        <v>3200</v>
      </c>
      <c r="M485" t="s">
        <v>29</v>
      </c>
      <c r="N485" s="1">
        <v>3200</v>
      </c>
      <c r="O485" s="1">
        <v>3200</v>
      </c>
      <c r="P485" t="s">
        <v>30</v>
      </c>
      <c r="Q485" s="2">
        <v>0.7</v>
      </c>
      <c r="R485" s="1">
        <v>2240</v>
      </c>
      <c r="S485" t="s">
        <v>29</v>
      </c>
      <c r="T485" s="1">
        <v>2240</v>
      </c>
      <c r="V485" t="str">
        <f>VLOOKUP(H485,'[1]팀별 출판사'!A:B,2,0)</f>
        <v>소설1팀</v>
      </c>
      <c r="W485" s="6">
        <f t="shared" si="14"/>
        <v>0</v>
      </c>
      <c r="X485" s="6">
        <f t="shared" si="15"/>
        <v>2240</v>
      </c>
    </row>
    <row r="486" spans="1:24" x14ac:dyDescent="0.3">
      <c r="A486" t="s">
        <v>815</v>
      </c>
      <c r="B486" t="s">
        <v>930</v>
      </c>
      <c r="C486" t="s">
        <v>23</v>
      </c>
      <c r="D486" t="s">
        <v>24</v>
      </c>
      <c r="E486" t="s">
        <v>25</v>
      </c>
      <c r="F486">
        <v>1</v>
      </c>
      <c r="G486">
        <v>9791170106500</v>
      </c>
      <c r="H486" t="s">
        <v>67</v>
      </c>
      <c r="I486" t="s">
        <v>931</v>
      </c>
      <c r="J486" t="s">
        <v>932</v>
      </c>
      <c r="K486" t="s">
        <v>29</v>
      </c>
      <c r="L486">
        <v>0</v>
      </c>
      <c r="M486" t="s">
        <v>933</v>
      </c>
      <c r="N486">
        <v>0</v>
      </c>
      <c r="O486">
        <v>0</v>
      </c>
      <c r="P486" t="s">
        <v>934</v>
      </c>
      <c r="Q486" s="2">
        <v>0.7</v>
      </c>
      <c r="R486">
        <v>0</v>
      </c>
      <c r="V486" t="str">
        <f>VLOOKUP(H486,'[1]팀별 출판사'!A:B,2,0)</f>
        <v>소설1팀</v>
      </c>
      <c r="W486" s="6">
        <f t="shared" si="14"/>
        <v>0</v>
      </c>
      <c r="X486" s="6">
        <f t="shared" si="15"/>
        <v>0</v>
      </c>
    </row>
    <row r="487" spans="1:24" x14ac:dyDescent="0.3">
      <c r="A487" t="s">
        <v>815</v>
      </c>
      <c r="B487" t="s">
        <v>935</v>
      </c>
      <c r="C487" t="s">
        <v>23</v>
      </c>
      <c r="D487" t="s">
        <v>24</v>
      </c>
      <c r="E487" t="s">
        <v>25</v>
      </c>
      <c r="F487">
        <v>1</v>
      </c>
      <c r="G487">
        <v>9791173783883</v>
      </c>
      <c r="H487" t="s">
        <v>26</v>
      </c>
      <c r="I487" t="s">
        <v>936</v>
      </c>
      <c r="J487" t="s">
        <v>937</v>
      </c>
      <c r="K487" t="s">
        <v>29</v>
      </c>
      <c r="L487">
        <v>0</v>
      </c>
      <c r="M487" t="s">
        <v>29</v>
      </c>
      <c r="N487">
        <v>0</v>
      </c>
      <c r="O487">
        <v>0</v>
      </c>
      <c r="P487" t="s">
        <v>30</v>
      </c>
      <c r="Q487" s="2">
        <v>0.7</v>
      </c>
      <c r="R487">
        <v>0</v>
      </c>
      <c r="V487" t="str">
        <f>VLOOKUP(H487,'[1]팀별 출판사'!A:B,2,0)</f>
        <v>소설1팀</v>
      </c>
      <c r="W487" s="6">
        <f t="shared" si="14"/>
        <v>0</v>
      </c>
      <c r="X487" s="6">
        <f t="shared" si="15"/>
        <v>0</v>
      </c>
    </row>
    <row r="488" spans="1:24" x14ac:dyDescent="0.3">
      <c r="A488" t="s">
        <v>815</v>
      </c>
      <c r="B488" t="s">
        <v>938</v>
      </c>
      <c r="C488" t="s">
        <v>23</v>
      </c>
      <c r="D488" t="s">
        <v>24</v>
      </c>
      <c r="E488" t="s">
        <v>25</v>
      </c>
      <c r="F488">
        <v>1</v>
      </c>
      <c r="G488">
        <v>9791136958662</v>
      </c>
      <c r="H488" t="s">
        <v>79</v>
      </c>
      <c r="I488" t="s">
        <v>396</v>
      </c>
      <c r="J488" t="s">
        <v>81</v>
      </c>
      <c r="K488" t="s">
        <v>29</v>
      </c>
      <c r="L488">
        <v>0</v>
      </c>
      <c r="M488" t="s">
        <v>29</v>
      </c>
      <c r="N488">
        <v>0</v>
      </c>
      <c r="O488">
        <v>0</v>
      </c>
      <c r="P488" t="s">
        <v>30</v>
      </c>
      <c r="Q488" s="2">
        <v>0.7</v>
      </c>
      <c r="R488">
        <v>0</v>
      </c>
      <c r="V488" t="str">
        <f>VLOOKUP(H488,'[1]팀별 출판사'!A:B,2,0)</f>
        <v>소설1팀</v>
      </c>
      <c r="W488" s="6">
        <f t="shared" si="14"/>
        <v>0</v>
      </c>
      <c r="X488" s="6">
        <f t="shared" si="15"/>
        <v>0</v>
      </c>
    </row>
    <row r="489" spans="1:24" x14ac:dyDescent="0.3">
      <c r="A489" t="s">
        <v>815</v>
      </c>
      <c r="B489" t="s">
        <v>939</v>
      </c>
      <c r="C489" t="s">
        <v>23</v>
      </c>
      <c r="D489" t="s">
        <v>24</v>
      </c>
      <c r="E489" t="s">
        <v>25</v>
      </c>
      <c r="F489">
        <v>1</v>
      </c>
      <c r="G489">
        <v>9791133196678</v>
      </c>
      <c r="H489" t="s">
        <v>32</v>
      </c>
      <c r="I489" t="s">
        <v>940</v>
      </c>
      <c r="J489" t="s">
        <v>941</v>
      </c>
      <c r="K489" t="s">
        <v>29</v>
      </c>
      <c r="L489">
        <v>0</v>
      </c>
      <c r="M489" t="s">
        <v>29</v>
      </c>
      <c r="N489">
        <v>0</v>
      </c>
      <c r="O489">
        <v>0</v>
      </c>
      <c r="P489" t="s">
        <v>30</v>
      </c>
      <c r="Q489" s="2">
        <v>0.7</v>
      </c>
      <c r="R489">
        <v>0</v>
      </c>
      <c r="V489" t="str">
        <f>VLOOKUP(H489,'[1]팀별 출판사'!A:B,2,0)</f>
        <v>소설1팀</v>
      </c>
      <c r="W489" s="6">
        <f t="shared" si="14"/>
        <v>0</v>
      </c>
      <c r="X489" s="6">
        <f t="shared" si="15"/>
        <v>0</v>
      </c>
    </row>
    <row r="490" spans="1:24" x14ac:dyDescent="0.3">
      <c r="A490" t="s">
        <v>815</v>
      </c>
      <c r="B490" t="s">
        <v>942</v>
      </c>
      <c r="C490" t="s">
        <v>23</v>
      </c>
      <c r="D490" t="s">
        <v>24</v>
      </c>
      <c r="E490" t="s">
        <v>25</v>
      </c>
      <c r="F490">
        <v>1</v>
      </c>
      <c r="G490">
        <v>9791136940728</v>
      </c>
      <c r="H490" t="s">
        <v>36</v>
      </c>
      <c r="I490" t="s">
        <v>93</v>
      </c>
      <c r="J490" t="s">
        <v>38</v>
      </c>
      <c r="K490" t="s">
        <v>29</v>
      </c>
      <c r="L490" s="1">
        <v>3300</v>
      </c>
      <c r="M490" t="s">
        <v>39</v>
      </c>
      <c r="N490">
        <v>2.08</v>
      </c>
      <c r="O490">
        <v>1.94</v>
      </c>
      <c r="P490" t="s">
        <v>40</v>
      </c>
      <c r="Q490" s="2">
        <v>0.7</v>
      </c>
      <c r="R490">
        <v>1.36</v>
      </c>
      <c r="S490" t="s">
        <v>29</v>
      </c>
      <c r="T490" s="1">
        <v>2338</v>
      </c>
      <c r="U490" s="3">
        <v>1722.07745</v>
      </c>
      <c r="V490" t="str">
        <f>VLOOKUP(H490,'[1]팀별 출판사'!A:B,2,0)</f>
        <v>소설2팀</v>
      </c>
      <c r="W490" s="6">
        <f t="shared" si="14"/>
        <v>0</v>
      </c>
      <c r="X490" s="6">
        <f t="shared" si="15"/>
        <v>2338</v>
      </c>
    </row>
    <row r="491" spans="1:24" x14ac:dyDescent="0.3">
      <c r="A491" t="s">
        <v>815</v>
      </c>
      <c r="B491" t="s">
        <v>943</v>
      </c>
      <c r="C491" t="s">
        <v>23</v>
      </c>
      <c r="D491" t="s">
        <v>24</v>
      </c>
      <c r="E491" t="s">
        <v>25</v>
      </c>
      <c r="F491">
        <v>1</v>
      </c>
      <c r="G491">
        <v>9791136931375</v>
      </c>
      <c r="H491" t="s">
        <v>32</v>
      </c>
      <c r="I491" t="s">
        <v>189</v>
      </c>
      <c r="J491" t="s">
        <v>46</v>
      </c>
      <c r="K491" t="s">
        <v>29</v>
      </c>
      <c r="L491">
        <v>0</v>
      </c>
      <c r="M491" t="s">
        <v>152</v>
      </c>
      <c r="N491">
        <v>0</v>
      </c>
      <c r="O491">
        <v>0</v>
      </c>
      <c r="P491" t="s">
        <v>153</v>
      </c>
      <c r="Q491" s="2">
        <v>0.7</v>
      </c>
      <c r="R491">
        <v>0</v>
      </c>
      <c r="V491" t="str">
        <f>VLOOKUP(H491,'[1]팀별 출판사'!A:B,2,0)</f>
        <v>소설1팀</v>
      </c>
      <c r="W491" s="6">
        <f t="shared" si="14"/>
        <v>0</v>
      </c>
      <c r="X491" s="6">
        <f t="shared" si="15"/>
        <v>0</v>
      </c>
    </row>
    <row r="492" spans="1:24" x14ac:dyDescent="0.3">
      <c r="A492" t="s">
        <v>815</v>
      </c>
      <c r="B492" t="s">
        <v>944</v>
      </c>
      <c r="C492" t="s">
        <v>23</v>
      </c>
      <c r="D492" t="s">
        <v>24</v>
      </c>
      <c r="E492" t="s">
        <v>25</v>
      </c>
      <c r="F492">
        <v>1</v>
      </c>
      <c r="G492">
        <v>9791136927293</v>
      </c>
      <c r="H492" t="s">
        <v>26</v>
      </c>
      <c r="I492" t="s">
        <v>945</v>
      </c>
      <c r="J492" t="s">
        <v>459</v>
      </c>
      <c r="K492" t="s">
        <v>29</v>
      </c>
      <c r="L492">
        <v>0</v>
      </c>
      <c r="M492" t="s">
        <v>29</v>
      </c>
      <c r="N492">
        <v>0</v>
      </c>
      <c r="O492">
        <v>0</v>
      </c>
      <c r="P492" t="s">
        <v>30</v>
      </c>
      <c r="Q492" s="2">
        <v>0.7</v>
      </c>
      <c r="R492">
        <v>0</v>
      </c>
      <c r="V492" t="str">
        <f>VLOOKUP(H492,'[1]팀별 출판사'!A:B,2,0)</f>
        <v>소설1팀</v>
      </c>
      <c r="W492" s="6">
        <f t="shared" si="14"/>
        <v>0</v>
      </c>
      <c r="X492" s="6">
        <f t="shared" si="15"/>
        <v>0</v>
      </c>
    </row>
    <row r="493" spans="1:24" x14ac:dyDescent="0.3">
      <c r="A493" t="s">
        <v>815</v>
      </c>
      <c r="B493" t="s">
        <v>946</v>
      </c>
      <c r="C493" t="s">
        <v>23</v>
      </c>
      <c r="D493" t="s">
        <v>24</v>
      </c>
      <c r="E493" t="s">
        <v>25</v>
      </c>
      <c r="F493">
        <v>1</v>
      </c>
      <c r="G493">
        <v>9791136931375</v>
      </c>
      <c r="H493" t="s">
        <v>32</v>
      </c>
      <c r="I493" t="s">
        <v>189</v>
      </c>
      <c r="J493" t="s">
        <v>46</v>
      </c>
      <c r="K493" t="s">
        <v>29</v>
      </c>
      <c r="L493">
        <v>0</v>
      </c>
      <c r="M493" t="s">
        <v>47</v>
      </c>
      <c r="N493">
        <v>0</v>
      </c>
      <c r="O493">
        <v>0</v>
      </c>
      <c r="P493" t="s">
        <v>48</v>
      </c>
      <c r="Q493" s="2">
        <v>0.7</v>
      </c>
      <c r="R493">
        <v>0</v>
      </c>
      <c r="V493" t="str">
        <f>VLOOKUP(H493,'[1]팀별 출판사'!A:B,2,0)</f>
        <v>소설1팀</v>
      </c>
      <c r="W493" s="6">
        <f t="shared" si="14"/>
        <v>0</v>
      </c>
      <c r="X493" s="6">
        <f t="shared" si="15"/>
        <v>0</v>
      </c>
    </row>
    <row r="494" spans="1:24" x14ac:dyDescent="0.3">
      <c r="A494" t="s">
        <v>815</v>
      </c>
      <c r="B494" t="s">
        <v>947</v>
      </c>
      <c r="C494" t="s">
        <v>23</v>
      </c>
      <c r="D494" t="s">
        <v>24</v>
      </c>
      <c r="E494" t="s">
        <v>25</v>
      </c>
      <c r="F494">
        <v>1</v>
      </c>
      <c r="G494">
        <v>9791136930361</v>
      </c>
      <c r="H494" t="s">
        <v>32</v>
      </c>
      <c r="I494" t="s">
        <v>33</v>
      </c>
      <c r="J494" t="s">
        <v>34</v>
      </c>
      <c r="K494" t="s">
        <v>29</v>
      </c>
      <c r="L494">
        <v>0</v>
      </c>
      <c r="M494" t="s">
        <v>948</v>
      </c>
      <c r="N494">
        <v>0</v>
      </c>
      <c r="O494">
        <v>0</v>
      </c>
      <c r="P494" t="s">
        <v>949</v>
      </c>
      <c r="Q494" s="2">
        <v>0.7</v>
      </c>
      <c r="R494">
        <v>0</v>
      </c>
      <c r="V494" t="str">
        <f>VLOOKUP(H494,'[1]팀별 출판사'!A:B,2,0)</f>
        <v>소설1팀</v>
      </c>
      <c r="W494" s="6">
        <f t="shared" si="14"/>
        <v>0</v>
      </c>
      <c r="X494" s="6">
        <f t="shared" si="15"/>
        <v>0</v>
      </c>
    </row>
    <row r="495" spans="1:24" x14ac:dyDescent="0.3">
      <c r="A495" t="s">
        <v>815</v>
      </c>
      <c r="B495" t="s">
        <v>950</v>
      </c>
      <c r="C495" t="s">
        <v>23</v>
      </c>
      <c r="D495" t="s">
        <v>24</v>
      </c>
      <c r="E495" t="s">
        <v>25</v>
      </c>
      <c r="F495">
        <v>1</v>
      </c>
      <c r="G495">
        <v>9791133143818</v>
      </c>
      <c r="H495" t="s">
        <v>32</v>
      </c>
      <c r="I495" t="s">
        <v>951</v>
      </c>
      <c r="J495" t="s">
        <v>88</v>
      </c>
      <c r="K495" t="s">
        <v>29</v>
      </c>
      <c r="L495" s="1">
        <v>3200</v>
      </c>
      <c r="M495" t="s">
        <v>29</v>
      </c>
      <c r="N495" s="1">
        <v>3200</v>
      </c>
      <c r="O495" s="1">
        <v>3200</v>
      </c>
      <c r="P495" t="s">
        <v>30</v>
      </c>
      <c r="Q495" s="2">
        <v>0.7</v>
      </c>
      <c r="R495" s="1">
        <v>2240</v>
      </c>
      <c r="S495" t="s">
        <v>29</v>
      </c>
      <c r="T495" s="1">
        <v>2240</v>
      </c>
      <c r="V495" t="str">
        <f>VLOOKUP(H495,'[1]팀별 출판사'!A:B,2,0)</f>
        <v>소설1팀</v>
      </c>
      <c r="W495" s="6">
        <f t="shared" si="14"/>
        <v>0</v>
      </c>
      <c r="X495" s="6">
        <f t="shared" si="15"/>
        <v>2240</v>
      </c>
    </row>
    <row r="496" spans="1:24" x14ac:dyDescent="0.3">
      <c r="A496" t="s">
        <v>815</v>
      </c>
      <c r="B496" t="s">
        <v>952</v>
      </c>
      <c r="C496" t="s">
        <v>23</v>
      </c>
      <c r="D496" t="s">
        <v>24</v>
      </c>
      <c r="E496" t="s">
        <v>25</v>
      </c>
      <c r="F496">
        <v>1</v>
      </c>
      <c r="G496">
        <v>9791136931375</v>
      </c>
      <c r="H496" t="s">
        <v>32</v>
      </c>
      <c r="I496" t="s">
        <v>189</v>
      </c>
      <c r="J496" t="s">
        <v>46</v>
      </c>
      <c r="K496" t="s">
        <v>29</v>
      </c>
      <c r="L496">
        <v>0</v>
      </c>
      <c r="M496" t="s">
        <v>152</v>
      </c>
      <c r="N496">
        <v>0</v>
      </c>
      <c r="O496">
        <v>0</v>
      </c>
      <c r="P496" t="s">
        <v>153</v>
      </c>
      <c r="Q496" s="2">
        <v>0.7</v>
      </c>
      <c r="R496">
        <v>0</v>
      </c>
      <c r="V496" t="str">
        <f>VLOOKUP(H496,'[1]팀별 출판사'!A:B,2,0)</f>
        <v>소설1팀</v>
      </c>
      <c r="W496" s="6">
        <f t="shared" si="14"/>
        <v>0</v>
      </c>
      <c r="X496" s="6">
        <f t="shared" si="15"/>
        <v>0</v>
      </c>
    </row>
    <row r="497" spans="1:24" x14ac:dyDescent="0.3">
      <c r="A497" t="s">
        <v>815</v>
      </c>
      <c r="B497" t="s">
        <v>953</v>
      </c>
      <c r="C497" t="s">
        <v>23</v>
      </c>
      <c r="D497" t="s">
        <v>24</v>
      </c>
      <c r="E497" t="s">
        <v>25</v>
      </c>
      <c r="F497">
        <v>1</v>
      </c>
      <c r="G497">
        <v>9791136930491</v>
      </c>
      <c r="H497" t="s">
        <v>26</v>
      </c>
      <c r="I497" t="s">
        <v>151</v>
      </c>
      <c r="J497" t="s">
        <v>46</v>
      </c>
      <c r="K497" t="s">
        <v>29</v>
      </c>
      <c r="L497">
        <v>0</v>
      </c>
      <c r="M497" t="s">
        <v>152</v>
      </c>
      <c r="N497">
        <v>0</v>
      </c>
      <c r="O497">
        <v>0</v>
      </c>
      <c r="P497" t="s">
        <v>153</v>
      </c>
      <c r="Q497" s="2">
        <v>0.7</v>
      </c>
      <c r="R497">
        <v>0</v>
      </c>
      <c r="V497" t="str">
        <f>VLOOKUP(H497,'[1]팀별 출판사'!A:B,2,0)</f>
        <v>소설1팀</v>
      </c>
      <c r="W497" s="6">
        <f t="shared" si="14"/>
        <v>0</v>
      </c>
      <c r="X497" s="6">
        <f t="shared" si="15"/>
        <v>0</v>
      </c>
    </row>
    <row r="498" spans="1:24" x14ac:dyDescent="0.3">
      <c r="A498" t="s">
        <v>815</v>
      </c>
      <c r="B498" t="s">
        <v>954</v>
      </c>
      <c r="C498" t="s">
        <v>23</v>
      </c>
      <c r="D498" t="s">
        <v>24</v>
      </c>
      <c r="E498" t="s">
        <v>25</v>
      </c>
      <c r="F498">
        <v>1</v>
      </c>
      <c r="G498">
        <v>9791136945013</v>
      </c>
      <c r="H498" t="s">
        <v>26</v>
      </c>
      <c r="I498" t="s">
        <v>125</v>
      </c>
      <c r="J498" t="s">
        <v>126</v>
      </c>
      <c r="K498" t="s">
        <v>29</v>
      </c>
      <c r="L498">
        <v>0</v>
      </c>
      <c r="M498" t="s">
        <v>152</v>
      </c>
      <c r="N498">
        <v>0</v>
      </c>
      <c r="O498">
        <v>0</v>
      </c>
      <c r="P498" t="s">
        <v>153</v>
      </c>
      <c r="Q498" s="2">
        <v>0.7</v>
      </c>
      <c r="R498">
        <v>0</v>
      </c>
      <c r="V498" t="str">
        <f>VLOOKUP(H498,'[1]팀별 출판사'!A:B,2,0)</f>
        <v>소설1팀</v>
      </c>
      <c r="W498" s="6">
        <f t="shared" si="14"/>
        <v>0</v>
      </c>
      <c r="X498" s="6">
        <f t="shared" si="15"/>
        <v>0</v>
      </c>
    </row>
    <row r="499" spans="1:24" x14ac:dyDescent="0.3">
      <c r="A499" t="s">
        <v>815</v>
      </c>
      <c r="B499" t="s">
        <v>955</v>
      </c>
      <c r="C499" t="s">
        <v>23</v>
      </c>
      <c r="D499" t="s">
        <v>24</v>
      </c>
      <c r="E499" t="s">
        <v>25</v>
      </c>
      <c r="F499">
        <v>1</v>
      </c>
      <c r="G499">
        <v>9791136931382</v>
      </c>
      <c r="H499" t="s">
        <v>32</v>
      </c>
      <c r="I499" t="s">
        <v>523</v>
      </c>
      <c r="J499" t="s">
        <v>46</v>
      </c>
      <c r="K499" t="s">
        <v>29</v>
      </c>
      <c r="L499">
        <v>0</v>
      </c>
      <c r="M499" t="s">
        <v>152</v>
      </c>
      <c r="N499">
        <v>0</v>
      </c>
      <c r="O499">
        <v>0</v>
      </c>
      <c r="P499" t="s">
        <v>153</v>
      </c>
      <c r="Q499" s="2">
        <v>0.7</v>
      </c>
      <c r="R499">
        <v>0</v>
      </c>
      <c r="V499" t="str">
        <f>VLOOKUP(H499,'[1]팀별 출판사'!A:B,2,0)</f>
        <v>소설1팀</v>
      </c>
      <c r="W499" s="6">
        <f t="shared" si="14"/>
        <v>0</v>
      </c>
      <c r="X499" s="6">
        <f t="shared" si="15"/>
        <v>0</v>
      </c>
    </row>
    <row r="500" spans="1:24" x14ac:dyDescent="0.3">
      <c r="A500" t="s">
        <v>815</v>
      </c>
      <c r="B500" t="s">
        <v>956</v>
      </c>
      <c r="C500" t="s">
        <v>23</v>
      </c>
      <c r="D500" t="s">
        <v>24</v>
      </c>
      <c r="E500" t="s">
        <v>25</v>
      </c>
      <c r="F500">
        <v>1</v>
      </c>
      <c r="G500">
        <v>9791136942142</v>
      </c>
      <c r="H500" t="s">
        <v>26</v>
      </c>
      <c r="I500" t="s">
        <v>180</v>
      </c>
      <c r="J500" t="s">
        <v>46</v>
      </c>
      <c r="K500" t="s">
        <v>29</v>
      </c>
      <c r="L500">
        <v>0</v>
      </c>
      <c r="M500" t="s">
        <v>152</v>
      </c>
      <c r="N500">
        <v>0</v>
      </c>
      <c r="O500">
        <v>0</v>
      </c>
      <c r="P500" t="s">
        <v>153</v>
      </c>
      <c r="Q500" s="2">
        <v>0.7</v>
      </c>
      <c r="R500">
        <v>0</v>
      </c>
      <c r="V500" t="str">
        <f>VLOOKUP(H500,'[1]팀별 출판사'!A:B,2,0)</f>
        <v>소설1팀</v>
      </c>
      <c r="W500" s="6">
        <f t="shared" si="14"/>
        <v>0</v>
      </c>
      <c r="X500" s="6">
        <f t="shared" si="15"/>
        <v>0</v>
      </c>
    </row>
    <row r="501" spans="1:24" x14ac:dyDescent="0.3">
      <c r="A501" t="s">
        <v>815</v>
      </c>
      <c r="B501" t="s">
        <v>957</v>
      </c>
      <c r="C501" t="s">
        <v>23</v>
      </c>
      <c r="D501" t="s">
        <v>24</v>
      </c>
      <c r="E501" t="s">
        <v>25</v>
      </c>
      <c r="F501">
        <v>1</v>
      </c>
      <c r="G501">
        <v>9791136930224</v>
      </c>
      <c r="H501" t="s">
        <v>32</v>
      </c>
      <c r="I501" t="s">
        <v>172</v>
      </c>
      <c r="J501" t="s">
        <v>46</v>
      </c>
      <c r="K501" t="s">
        <v>29</v>
      </c>
      <c r="L501">
        <v>0</v>
      </c>
      <c r="M501" t="s">
        <v>152</v>
      </c>
      <c r="N501">
        <v>0</v>
      </c>
      <c r="O501">
        <v>0</v>
      </c>
      <c r="P501" t="s">
        <v>153</v>
      </c>
      <c r="Q501" s="2">
        <v>0.7</v>
      </c>
      <c r="R501">
        <v>0</v>
      </c>
      <c r="V501" t="str">
        <f>VLOOKUP(H501,'[1]팀별 출판사'!A:B,2,0)</f>
        <v>소설1팀</v>
      </c>
      <c r="W501" s="6">
        <f t="shared" si="14"/>
        <v>0</v>
      </c>
      <c r="X501" s="6">
        <f t="shared" si="15"/>
        <v>0</v>
      </c>
    </row>
    <row r="502" spans="1:24" x14ac:dyDescent="0.3">
      <c r="A502" t="s">
        <v>815</v>
      </c>
      <c r="B502" t="s">
        <v>958</v>
      </c>
      <c r="C502" t="s">
        <v>23</v>
      </c>
      <c r="D502" t="s">
        <v>24</v>
      </c>
      <c r="E502" t="s">
        <v>25</v>
      </c>
      <c r="F502">
        <v>1</v>
      </c>
      <c r="G502">
        <v>9791136934925</v>
      </c>
      <c r="H502" t="s">
        <v>32</v>
      </c>
      <c r="I502" t="s">
        <v>385</v>
      </c>
      <c r="J502" t="s">
        <v>126</v>
      </c>
      <c r="K502" t="s">
        <v>29</v>
      </c>
      <c r="L502">
        <v>0</v>
      </c>
      <c r="M502" t="s">
        <v>152</v>
      </c>
      <c r="N502">
        <v>0</v>
      </c>
      <c r="O502">
        <v>0</v>
      </c>
      <c r="P502" t="s">
        <v>153</v>
      </c>
      <c r="Q502" s="2">
        <v>0.7</v>
      </c>
      <c r="R502">
        <v>0</v>
      </c>
      <c r="V502" t="str">
        <f>VLOOKUP(H502,'[1]팀별 출판사'!A:B,2,0)</f>
        <v>소설1팀</v>
      </c>
      <c r="W502" s="6">
        <f t="shared" si="14"/>
        <v>0</v>
      </c>
      <c r="X502" s="6">
        <f t="shared" si="15"/>
        <v>0</v>
      </c>
    </row>
    <row r="503" spans="1:24" x14ac:dyDescent="0.3">
      <c r="A503" t="s">
        <v>815</v>
      </c>
      <c r="B503" t="s">
        <v>959</v>
      </c>
      <c r="C503" t="s">
        <v>23</v>
      </c>
      <c r="D503" t="s">
        <v>24</v>
      </c>
      <c r="E503" t="s">
        <v>25</v>
      </c>
      <c r="F503">
        <v>1</v>
      </c>
      <c r="G503">
        <v>9791173787072</v>
      </c>
      <c r="H503" t="s">
        <v>26</v>
      </c>
      <c r="I503" t="s">
        <v>960</v>
      </c>
      <c r="J503" t="s">
        <v>256</v>
      </c>
      <c r="K503" t="s">
        <v>29</v>
      </c>
      <c r="L503" s="1">
        <v>3200</v>
      </c>
      <c r="M503" t="s">
        <v>29</v>
      </c>
      <c r="N503" s="1">
        <v>3200</v>
      </c>
      <c r="O503" s="1">
        <v>3200</v>
      </c>
      <c r="P503" t="s">
        <v>30</v>
      </c>
      <c r="Q503" s="2">
        <v>0.7</v>
      </c>
      <c r="R503" s="1">
        <v>2240</v>
      </c>
      <c r="S503" t="s">
        <v>29</v>
      </c>
      <c r="T503" s="1">
        <v>2240</v>
      </c>
      <c r="V503" t="str">
        <f>VLOOKUP(H503,'[1]팀별 출판사'!A:B,2,0)</f>
        <v>소설1팀</v>
      </c>
      <c r="W503" s="6">
        <f t="shared" si="14"/>
        <v>0</v>
      </c>
      <c r="X503" s="6">
        <f t="shared" si="15"/>
        <v>2240</v>
      </c>
    </row>
    <row r="504" spans="1:24" x14ac:dyDescent="0.3">
      <c r="A504" t="s">
        <v>815</v>
      </c>
      <c r="B504" t="s">
        <v>961</v>
      </c>
      <c r="C504" t="s">
        <v>23</v>
      </c>
      <c r="D504" t="s">
        <v>24</v>
      </c>
      <c r="E504" t="s">
        <v>25</v>
      </c>
      <c r="F504">
        <v>1</v>
      </c>
      <c r="G504">
        <v>9791133167302</v>
      </c>
      <c r="H504" t="s">
        <v>32</v>
      </c>
      <c r="I504" t="s">
        <v>599</v>
      </c>
      <c r="J504" t="s">
        <v>160</v>
      </c>
      <c r="K504" t="s">
        <v>29</v>
      </c>
      <c r="L504" s="1">
        <v>2500</v>
      </c>
      <c r="M504" t="s">
        <v>29</v>
      </c>
      <c r="N504" s="1">
        <v>2500</v>
      </c>
      <c r="O504" s="1">
        <v>2500</v>
      </c>
      <c r="P504" t="s">
        <v>30</v>
      </c>
      <c r="Q504" s="2">
        <v>0.7</v>
      </c>
      <c r="R504" s="1">
        <v>1750</v>
      </c>
      <c r="S504" t="s">
        <v>29</v>
      </c>
      <c r="T504" s="1">
        <v>1750</v>
      </c>
      <c r="V504" t="str">
        <f>VLOOKUP(H504,'[1]팀별 출판사'!A:B,2,0)</f>
        <v>소설1팀</v>
      </c>
      <c r="W504" s="6">
        <f t="shared" si="14"/>
        <v>0</v>
      </c>
      <c r="X504" s="6">
        <f t="shared" si="15"/>
        <v>1750</v>
      </c>
    </row>
    <row r="505" spans="1:24" x14ac:dyDescent="0.3">
      <c r="A505" t="s">
        <v>815</v>
      </c>
      <c r="B505" t="s">
        <v>962</v>
      </c>
      <c r="C505" t="s">
        <v>23</v>
      </c>
      <c r="D505" t="s">
        <v>24</v>
      </c>
      <c r="E505" t="s">
        <v>25</v>
      </c>
      <c r="F505">
        <v>1</v>
      </c>
      <c r="G505">
        <v>9791136941589</v>
      </c>
      <c r="H505" t="s">
        <v>26</v>
      </c>
      <c r="I505" t="s">
        <v>275</v>
      </c>
      <c r="J505" t="s">
        <v>276</v>
      </c>
      <c r="K505" t="s">
        <v>29</v>
      </c>
      <c r="L505">
        <v>0</v>
      </c>
      <c r="M505" t="s">
        <v>29</v>
      </c>
      <c r="N505">
        <v>0</v>
      </c>
      <c r="O505">
        <v>0</v>
      </c>
      <c r="P505" t="s">
        <v>30</v>
      </c>
      <c r="Q505" s="2">
        <v>0.7</v>
      </c>
      <c r="R505">
        <v>0</v>
      </c>
      <c r="V505" t="str">
        <f>VLOOKUP(H505,'[1]팀별 출판사'!A:B,2,0)</f>
        <v>소설1팀</v>
      </c>
      <c r="W505" s="6">
        <f t="shared" si="14"/>
        <v>0</v>
      </c>
      <c r="X505" s="6">
        <f t="shared" si="15"/>
        <v>0</v>
      </c>
    </row>
    <row r="506" spans="1:24" x14ac:dyDescent="0.3">
      <c r="A506" t="s">
        <v>815</v>
      </c>
      <c r="B506" t="s">
        <v>963</v>
      </c>
      <c r="C506" t="s">
        <v>23</v>
      </c>
      <c r="D506" t="s">
        <v>24</v>
      </c>
      <c r="E506" t="s">
        <v>25</v>
      </c>
      <c r="F506">
        <v>1</v>
      </c>
      <c r="G506">
        <v>9791175300996</v>
      </c>
      <c r="H506" t="s">
        <v>26</v>
      </c>
      <c r="I506" t="s">
        <v>964</v>
      </c>
      <c r="J506" t="s">
        <v>965</v>
      </c>
      <c r="K506" t="s">
        <v>29</v>
      </c>
      <c r="L506" s="1">
        <v>3200</v>
      </c>
      <c r="M506" t="s">
        <v>29</v>
      </c>
      <c r="N506" s="1">
        <v>3200</v>
      </c>
      <c r="O506" s="1">
        <v>3200</v>
      </c>
      <c r="P506" t="s">
        <v>30</v>
      </c>
      <c r="Q506" s="2">
        <v>0.7</v>
      </c>
      <c r="R506" s="1">
        <v>2240</v>
      </c>
      <c r="S506" t="s">
        <v>29</v>
      </c>
      <c r="T506" s="1">
        <v>2240</v>
      </c>
      <c r="V506" t="str">
        <f>VLOOKUP(H506,'[1]팀별 출판사'!A:B,2,0)</f>
        <v>소설1팀</v>
      </c>
      <c r="W506" s="6">
        <f t="shared" si="14"/>
        <v>0</v>
      </c>
      <c r="X506" s="6">
        <f t="shared" si="15"/>
        <v>2240</v>
      </c>
    </row>
    <row r="507" spans="1:24" x14ac:dyDescent="0.3">
      <c r="A507" t="s">
        <v>815</v>
      </c>
      <c r="B507" t="s">
        <v>966</v>
      </c>
      <c r="C507" t="s">
        <v>23</v>
      </c>
      <c r="D507" t="s">
        <v>24</v>
      </c>
      <c r="E507" t="s">
        <v>25</v>
      </c>
      <c r="F507">
        <v>1</v>
      </c>
      <c r="G507">
        <v>9791136931375</v>
      </c>
      <c r="H507" t="s">
        <v>32</v>
      </c>
      <c r="I507" t="s">
        <v>189</v>
      </c>
      <c r="J507" t="s">
        <v>46</v>
      </c>
      <c r="K507" t="s">
        <v>29</v>
      </c>
      <c r="L507">
        <v>0</v>
      </c>
      <c r="M507" t="s">
        <v>47</v>
      </c>
      <c r="N507">
        <v>0</v>
      </c>
      <c r="O507">
        <v>0</v>
      </c>
      <c r="P507" t="s">
        <v>48</v>
      </c>
      <c r="Q507" s="2">
        <v>0.7</v>
      </c>
      <c r="R507">
        <v>0</v>
      </c>
      <c r="V507" t="str">
        <f>VLOOKUP(H507,'[1]팀별 출판사'!A:B,2,0)</f>
        <v>소설1팀</v>
      </c>
      <c r="W507" s="6">
        <f t="shared" si="14"/>
        <v>0</v>
      </c>
      <c r="X507" s="6">
        <f t="shared" si="15"/>
        <v>0</v>
      </c>
    </row>
    <row r="508" spans="1:24" x14ac:dyDescent="0.3">
      <c r="A508" t="s">
        <v>815</v>
      </c>
      <c r="B508" t="s">
        <v>967</v>
      </c>
      <c r="C508" t="s">
        <v>23</v>
      </c>
      <c r="D508" t="s">
        <v>24</v>
      </c>
      <c r="E508" t="s">
        <v>25</v>
      </c>
      <c r="F508">
        <v>1</v>
      </c>
      <c r="G508">
        <v>9791133180080</v>
      </c>
      <c r="H508" t="s">
        <v>26</v>
      </c>
      <c r="I508" t="s">
        <v>968</v>
      </c>
      <c r="J508" t="s">
        <v>321</v>
      </c>
      <c r="K508" t="s">
        <v>29</v>
      </c>
      <c r="L508" s="1">
        <v>3200</v>
      </c>
      <c r="M508" t="s">
        <v>29</v>
      </c>
      <c r="N508" s="1">
        <v>3200</v>
      </c>
      <c r="O508" s="1">
        <v>3200</v>
      </c>
      <c r="P508" t="s">
        <v>30</v>
      </c>
      <c r="Q508" s="2">
        <v>0.7</v>
      </c>
      <c r="R508" s="1">
        <v>2240</v>
      </c>
      <c r="S508" t="s">
        <v>29</v>
      </c>
      <c r="T508" s="1">
        <v>2240</v>
      </c>
      <c r="V508" t="str">
        <f>VLOOKUP(H508,'[1]팀별 출판사'!A:B,2,0)</f>
        <v>소설1팀</v>
      </c>
      <c r="W508" s="6">
        <f t="shared" si="14"/>
        <v>0</v>
      </c>
      <c r="X508" s="6">
        <f t="shared" si="15"/>
        <v>2240</v>
      </c>
    </row>
    <row r="509" spans="1:24" x14ac:dyDescent="0.3">
      <c r="A509" t="s">
        <v>815</v>
      </c>
      <c r="B509" t="s">
        <v>969</v>
      </c>
      <c r="C509" t="s">
        <v>23</v>
      </c>
      <c r="D509" t="s">
        <v>24</v>
      </c>
      <c r="E509" t="s">
        <v>25</v>
      </c>
      <c r="F509">
        <v>1</v>
      </c>
      <c r="G509">
        <v>9791136946782</v>
      </c>
      <c r="H509" t="s">
        <v>26</v>
      </c>
      <c r="I509" t="s">
        <v>291</v>
      </c>
      <c r="J509" t="s">
        <v>28</v>
      </c>
      <c r="K509" t="s">
        <v>29</v>
      </c>
      <c r="L509">
        <v>0</v>
      </c>
      <c r="M509" t="s">
        <v>948</v>
      </c>
      <c r="N509">
        <v>0</v>
      </c>
      <c r="O509">
        <v>0</v>
      </c>
      <c r="P509" t="s">
        <v>949</v>
      </c>
      <c r="Q509" s="2">
        <v>0.7</v>
      </c>
      <c r="R509">
        <v>0</v>
      </c>
      <c r="V509" t="str">
        <f>VLOOKUP(H509,'[1]팀별 출판사'!A:B,2,0)</f>
        <v>소설1팀</v>
      </c>
      <c r="W509" s="6">
        <f t="shared" si="14"/>
        <v>0</v>
      </c>
      <c r="X509" s="6">
        <f t="shared" si="15"/>
        <v>0</v>
      </c>
    </row>
    <row r="510" spans="1:24" x14ac:dyDescent="0.3">
      <c r="A510" t="s">
        <v>815</v>
      </c>
      <c r="B510" t="s">
        <v>970</v>
      </c>
      <c r="C510" t="s">
        <v>23</v>
      </c>
      <c r="D510" t="s">
        <v>24</v>
      </c>
      <c r="E510" t="s">
        <v>25</v>
      </c>
      <c r="F510">
        <v>1</v>
      </c>
      <c r="G510">
        <v>9791136930552</v>
      </c>
      <c r="H510" t="s">
        <v>26</v>
      </c>
      <c r="I510" t="s">
        <v>45</v>
      </c>
      <c r="J510" t="s">
        <v>46</v>
      </c>
      <c r="K510" t="s">
        <v>29</v>
      </c>
      <c r="L510">
        <v>0</v>
      </c>
      <c r="M510" t="s">
        <v>47</v>
      </c>
      <c r="N510">
        <v>0</v>
      </c>
      <c r="O510">
        <v>0</v>
      </c>
      <c r="P510" t="s">
        <v>48</v>
      </c>
      <c r="Q510" s="2">
        <v>0.7</v>
      </c>
      <c r="R510">
        <v>0</v>
      </c>
      <c r="V510" t="str">
        <f>VLOOKUP(H510,'[1]팀별 출판사'!A:B,2,0)</f>
        <v>소설1팀</v>
      </c>
      <c r="W510" s="6">
        <f t="shared" si="14"/>
        <v>0</v>
      </c>
      <c r="X510" s="6">
        <f t="shared" si="15"/>
        <v>0</v>
      </c>
    </row>
    <row r="511" spans="1:24" x14ac:dyDescent="0.3">
      <c r="A511" t="s">
        <v>815</v>
      </c>
      <c r="B511" t="s">
        <v>971</v>
      </c>
      <c r="C511" t="s">
        <v>23</v>
      </c>
      <c r="D511" t="s">
        <v>24</v>
      </c>
      <c r="E511" t="s">
        <v>25</v>
      </c>
      <c r="F511">
        <v>1</v>
      </c>
      <c r="G511">
        <v>9791136928047</v>
      </c>
      <c r="H511" t="s">
        <v>26</v>
      </c>
      <c r="I511" t="s">
        <v>972</v>
      </c>
      <c r="J511" t="s">
        <v>367</v>
      </c>
      <c r="K511" t="s">
        <v>29</v>
      </c>
      <c r="L511" s="1">
        <v>3200</v>
      </c>
      <c r="M511" t="s">
        <v>29</v>
      </c>
      <c r="N511" s="1">
        <v>3200</v>
      </c>
      <c r="O511" s="1">
        <v>3200</v>
      </c>
      <c r="P511" t="s">
        <v>30</v>
      </c>
      <c r="Q511" s="2">
        <v>0.7</v>
      </c>
      <c r="R511" s="1">
        <v>2240</v>
      </c>
      <c r="S511" t="s">
        <v>29</v>
      </c>
      <c r="T511" s="1">
        <v>2240</v>
      </c>
      <c r="V511" t="str">
        <f>VLOOKUP(H511,'[1]팀별 출판사'!A:B,2,0)</f>
        <v>소설1팀</v>
      </c>
      <c r="W511" s="6">
        <f t="shared" si="14"/>
        <v>0</v>
      </c>
      <c r="X511" s="6">
        <f t="shared" si="15"/>
        <v>2240</v>
      </c>
    </row>
    <row r="512" spans="1:24" x14ac:dyDescent="0.3">
      <c r="A512" t="s">
        <v>815</v>
      </c>
      <c r="B512" t="s">
        <v>973</v>
      </c>
      <c r="C512" t="s">
        <v>23</v>
      </c>
      <c r="D512" t="s">
        <v>24</v>
      </c>
      <c r="E512" t="s">
        <v>25</v>
      </c>
      <c r="F512">
        <v>1</v>
      </c>
      <c r="G512">
        <v>9791136946782</v>
      </c>
      <c r="H512" t="s">
        <v>26</v>
      </c>
      <c r="I512" t="s">
        <v>291</v>
      </c>
      <c r="J512" t="s">
        <v>28</v>
      </c>
      <c r="K512" t="s">
        <v>29</v>
      </c>
      <c r="L512">
        <v>0</v>
      </c>
      <c r="M512" t="s">
        <v>29</v>
      </c>
      <c r="N512">
        <v>0</v>
      </c>
      <c r="O512">
        <v>0</v>
      </c>
      <c r="P512" t="s">
        <v>30</v>
      </c>
      <c r="Q512" s="2">
        <v>0.7</v>
      </c>
      <c r="R512">
        <v>0</v>
      </c>
      <c r="V512" t="str">
        <f>VLOOKUP(H512,'[1]팀별 출판사'!A:B,2,0)</f>
        <v>소설1팀</v>
      </c>
      <c r="W512" s="6">
        <f t="shared" si="14"/>
        <v>0</v>
      </c>
      <c r="X512" s="6">
        <f t="shared" si="15"/>
        <v>0</v>
      </c>
    </row>
    <row r="513" spans="1:24" x14ac:dyDescent="0.3">
      <c r="A513" t="s">
        <v>815</v>
      </c>
      <c r="B513" t="s">
        <v>974</v>
      </c>
      <c r="C513" t="s">
        <v>23</v>
      </c>
      <c r="D513" t="s">
        <v>24</v>
      </c>
      <c r="E513" t="s">
        <v>25</v>
      </c>
      <c r="F513">
        <v>1</v>
      </c>
      <c r="G513">
        <v>9791133167227</v>
      </c>
      <c r="H513" t="s">
        <v>32</v>
      </c>
      <c r="I513" t="s">
        <v>313</v>
      </c>
      <c r="J513" t="s">
        <v>160</v>
      </c>
      <c r="K513" t="s">
        <v>29</v>
      </c>
      <c r="L513">
        <v>0</v>
      </c>
      <c r="M513" t="s">
        <v>29</v>
      </c>
      <c r="N513">
        <v>0</v>
      </c>
      <c r="O513">
        <v>0</v>
      </c>
      <c r="P513" t="s">
        <v>30</v>
      </c>
      <c r="Q513" s="2">
        <v>0.7</v>
      </c>
      <c r="R513">
        <v>0</v>
      </c>
      <c r="V513" t="str">
        <f>VLOOKUP(H513,'[1]팀별 출판사'!A:B,2,0)</f>
        <v>소설1팀</v>
      </c>
      <c r="W513" s="6">
        <f t="shared" si="14"/>
        <v>0</v>
      </c>
      <c r="X513" s="6">
        <f t="shared" si="15"/>
        <v>0</v>
      </c>
    </row>
    <row r="514" spans="1:24" x14ac:dyDescent="0.3">
      <c r="A514" t="s">
        <v>815</v>
      </c>
      <c r="B514" t="s">
        <v>975</v>
      </c>
      <c r="C514" t="s">
        <v>23</v>
      </c>
      <c r="D514" t="s">
        <v>24</v>
      </c>
      <c r="E514" t="s">
        <v>25</v>
      </c>
      <c r="F514">
        <v>1</v>
      </c>
      <c r="G514">
        <v>9791173786648</v>
      </c>
      <c r="H514" t="s">
        <v>36</v>
      </c>
      <c r="I514" t="s">
        <v>94</v>
      </c>
      <c r="J514" t="s">
        <v>38</v>
      </c>
      <c r="K514" t="s">
        <v>29</v>
      </c>
      <c r="L514" s="1">
        <v>1800</v>
      </c>
      <c r="M514" t="s">
        <v>39</v>
      </c>
      <c r="N514">
        <v>1.1399999999999999</v>
      </c>
      <c r="O514">
        <v>1.07</v>
      </c>
      <c r="P514" t="s">
        <v>40</v>
      </c>
      <c r="Q514" s="2">
        <v>0.7</v>
      </c>
      <c r="R514">
        <v>0.75</v>
      </c>
      <c r="S514" t="s">
        <v>29</v>
      </c>
      <c r="T514" s="1">
        <v>1292</v>
      </c>
      <c r="U514" s="3">
        <v>1722.07745</v>
      </c>
      <c r="V514" t="str">
        <f>VLOOKUP(H514,'[1]팀별 출판사'!A:B,2,0)</f>
        <v>소설2팀</v>
      </c>
      <c r="W514" s="6">
        <f t="shared" ref="W514:W577" si="16">IF(P514="US", T514*30%, 0)</f>
        <v>0</v>
      </c>
      <c r="X514" s="6">
        <f t="shared" ref="X514:X577" si="17">T514-W514</f>
        <v>1292</v>
      </c>
    </row>
    <row r="515" spans="1:24" x14ac:dyDescent="0.3">
      <c r="A515" t="s">
        <v>815</v>
      </c>
      <c r="B515" t="s">
        <v>976</v>
      </c>
      <c r="C515" t="s">
        <v>23</v>
      </c>
      <c r="D515" t="s">
        <v>24</v>
      </c>
      <c r="E515" t="s">
        <v>25</v>
      </c>
      <c r="F515">
        <v>1</v>
      </c>
      <c r="G515">
        <v>9791136931375</v>
      </c>
      <c r="H515" t="s">
        <v>32</v>
      </c>
      <c r="I515" t="s">
        <v>189</v>
      </c>
      <c r="J515" t="s">
        <v>46</v>
      </c>
      <c r="K515" t="s">
        <v>29</v>
      </c>
      <c r="L515">
        <v>0</v>
      </c>
      <c r="M515" t="s">
        <v>47</v>
      </c>
      <c r="N515">
        <v>0</v>
      </c>
      <c r="O515">
        <v>0</v>
      </c>
      <c r="P515" t="s">
        <v>48</v>
      </c>
      <c r="Q515" s="2">
        <v>0.7</v>
      </c>
      <c r="R515">
        <v>0</v>
      </c>
      <c r="V515" t="str">
        <f>VLOOKUP(H515,'[1]팀별 출판사'!A:B,2,0)</f>
        <v>소설1팀</v>
      </c>
      <c r="W515" s="6">
        <f t="shared" si="16"/>
        <v>0</v>
      </c>
      <c r="X515" s="6">
        <f t="shared" si="17"/>
        <v>0</v>
      </c>
    </row>
    <row r="516" spans="1:24" x14ac:dyDescent="0.3">
      <c r="A516" t="s">
        <v>815</v>
      </c>
      <c r="B516" t="s">
        <v>977</v>
      </c>
      <c r="C516" t="s">
        <v>23</v>
      </c>
      <c r="D516" t="s">
        <v>24</v>
      </c>
      <c r="E516" t="s">
        <v>25</v>
      </c>
      <c r="F516">
        <v>1</v>
      </c>
      <c r="G516">
        <v>9791136930491</v>
      </c>
      <c r="H516" t="s">
        <v>26</v>
      </c>
      <c r="I516" t="s">
        <v>151</v>
      </c>
      <c r="J516" t="s">
        <v>46</v>
      </c>
      <c r="K516" t="s">
        <v>29</v>
      </c>
      <c r="L516">
        <v>0</v>
      </c>
      <c r="M516" t="s">
        <v>47</v>
      </c>
      <c r="N516">
        <v>0</v>
      </c>
      <c r="O516">
        <v>0</v>
      </c>
      <c r="P516" t="s">
        <v>48</v>
      </c>
      <c r="Q516" s="2">
        <v>0.7</v>
      </c>
      <c r="R516">
        <v>0</v>
      </c>
      <c r="V516" t="str">
        <f>VLOOKUP(H516,'[1]팀별 출판사'!A:B,2,0)</f>
        <v>소설1팀</v>
      </c>
      <c r="W516" s="6">
        <f t="shared" si="16"/>
        <v>0</v>
      </c>
      <c r="X516" s="6">
        <f t="shared" si="17"/>
        <v>0</v>
      </c>
    </row>
    <row r="517" spans="1:24" x14ac:dyDescent="0.3">
      <c r="A517" t="s">
        <v>815</v>
      </c>
      <c r="B517" t="s">
        <v>978</v>
      </c>
      <c r="C517" t="s">
        <v>23</v>
      </c>
      <c r="D517" t="s">
        <v>24</v>
      </c>
      <c r="E517" t="s">
        <v>25</v>
      </c>
      <c r="F517">
        <v>1</v>
      </c>
      <c r="G517">
        <v>9791170107064</v>
      </c>
      <c r="H517" t="s">
        <v>67</v>
      </c>
      <c r="I517" t="s">
        <v>901</v>
      </c>
      <c r="J517" t="s">
        <v>902</v>
      </c>
      <c r="K517" t="s">
        <v>29</v>
      </c>
      <c r="L517">
        <v>0</v>
      </c>
      <c r="M517" t="s">
        <v>29</v>
      </c>
      <c r="N517">
        <v>0</v>
      </c>
      <c r="O517">
        <v>0</v>
      </c>
      <c r="P517" t="s">
        <v>30</v>
      </c>
      <c r="Q517" s="2">
        <v>0.7</v>
      </c>
      <c r="R517">
        <v>0</v>
      </c>
      <c r="V517" t="str">
        <f>VLOOKUP(H517,'[1]팀별 출판사'!A:B,2,0)</f>
        <v>소설1팀</v>
      </c>
      <c r="W517" s="6">
        <f t="shared" si="16"/>
        <v>0</v>
      </c>
      <c r="X517" s="6">
        <f t="shared" si="17"/>
        <v>0</v>
      </c>
    </row>
    <row r="518" spans="1:24" x14ac:dyDescent="0.3">
      <c r="A518" t="s">
        <v>815</v>
      </c>
      <c r="B518" t="s">
        <v>979</v>
      </c>
      <c r="C518" t="s">
        <v>23</v>
      </c>
      <c r="D518" t="s">
        <v>24</v>
      </c>
      <c r="E518" t="s">
        <v>25</v>
      </c>
      <c r="F518">
        <v>1</v>
      </c>
      <c r="G518">
        <v>9791133101863</v>
      </c>
      <c r="H518" t="s">
        <v>32</v>
      </c>
      <c r="I518" t="s">
        <v>159</v>
      </c>
      <c r="J518" t="s">
        <v>160</v>
      </c>
      <c r="K518" t="s">
        <v>29</v>
      </c>
      <c r="L518">
        <v>0</v>
      </c>
      <c r="M518" t="s">
        <v>29</v>
      </c>
      <c r="N518">
        <v>0</v>
      </c>
      <c r="O518">
        <v>0</v>
      </c>
      <c r="P518" t="s">
        <v>30</v>
      </c>
      <c r="Q518" s="2">
        <v>0.7</v>
      </c>
      <c r="R518">
        <v>0</v>
      </c>
      <c r="V518" t="str">
        <f>VLOOKUP(H518,'[1]팀별 출판사'!A:B,2,0)</f>
        <v>소설1팀</v>
      </c>
      <c r="W518" s="6">
        <f t="shared" si="16"/>
        <v>0</v>
      </c>
      <c r="X518" s="6">
        <f t="shared" si="17"/>
        <v>0</v>
      </c>
    </row>
    <row r="519" spans="1:24" x14ac:dyDescent="0.3">
      <c r="A519" t="s">
        <v>815</v>
      </c>
      <c r="B519" t="s">
        <v>980</v>
      </c>
      <c r="C519" t="s">
        <v>23</v>
      </c>
      <c r="D519" t="s">
        <v>24</v>
      </c>
      <c r="E519" t="s">
        <v>25</v>
      </c>
      <c r="F519">
        <v>1</v>
      </c>
      <c r="G519" t="s">
        <v>981</v>
      </c>
      <c r="H519" t="s">
        <v>32</v>
      </c>
      <c r="I519" t="s">
        <v>982</v>
      </c>
      <c r="J519" t="s">
        <v>166</v>
      </c>
      <c r="K519" t="s">
        <v>29</v>
      </c>
      <c r="L519">
        <v>0</v>
      </c>
      <c r="M519" t="s">
        <v>70</v>
      </c>
      <c r="N519">
        <v>0</v>
      </c>
      <c r="O519">
        <v>0</v>
      </c>
      <c r="P519" t="s">
        <v>71</v>
      </c>
      <c r="Q519" s="2">
        <v>0.7</v>
      </c>
      <c r="R519">
        <v>0</v>
      </c>
      <c r="V519" t="str">
        <f>VLOOKUP(H519,'[1]팀별 출판사'!A:B,2,0)</f>
        <v>소설1팀</v>
      </c>
      <c r="W519" s="6">
        <f t="shared" si="16"/>
        <v>0</v>
      </c>
      <c r="X519" s="6">
        <f t="shared" si="17"/>
        <v>0</v>
      </c>
    </row>
    <row r="520" spans="1:24" x14ac:dyDescent="0.3">
      <c r="A520" t="s">
        <v>815</v>
      </c>
      <c r="B520" t="s">
        <v>983</v>
      </c>
      <c r="C520" t="s">
        <v>23</v>
      </c>
      <c r="D520" t="s">
        <v>24</v>
      </c>
      <c r="E520" t="s">
        <v>25</v>
      </c>
      <c r="F520">
        <v>1</v>
      </c>
      <c r="G520">
        <v>9791133167234</v>
      </c>
      <c r="H520" t="s">
        <v>32</v>
      </c>
      <c r="I520" t="s">
        <v>984</v>
      </c>
      <c r="J520" t="s">
        <v>160</v>
      </c>
      <c r="K520" t="s">
        <v>29</v>
      </c>
      <c r="L520" s="1">
        <v>2500</v>
      </c>
      <c r="M520" t="s">
        <v>70</v>
      </c>
      <c r="N520">
        <v>1.73</v>
      </c>
      <c r="O520">
        <v>1.73</v>
      </c>
      <c r="P520" t="s">
        <v>71</v>
      </c>
      <c r="Q520" s="2">
        <v>0.7</v>
      </c>
      <c r="R520">
        <v>1.21</v>
      </c>
      <c r="S520" t="s">
        <v>29</v>
      </c>
      <c r="T520" s="1">
        <v>1765</v>
      </c>
      <c r="U520" s="3">
        <v>1458.3972100000001</v>
      </c>
      <c r="V520" t="str">
        <f>VLOOKUP(H520,'[1]팀별 출판사'!A:B,2,0)</f>
        <v>소설1팀</v>
      </c>
      <c r="W520" s="6">
        <f t="shared" si="16"/>
        <v>529.5</v>
      </c>
      <c r="X520" s="6">
        <f t="shared" si="17"/>
        <v>1235.5</v>
      </c>
    </row>
    <row r="521" spans="1:24" x14ac:dyDescent="0.3">
      <c r="A521" t="s">
        <v>815</v>
      </c>
      <c r="B521" t="s">
        <v>985</v>
      </c>
      <c r="C521" t="s">
        <v>23</v>
      </c>
      <c r="D521" t="s">
        <v>24</v>
      </c>
      <c r="E521" t="s">
        <v>25</v>
      </c>
      <c r="F521">
        <v>1</v>
      </c>
      <c r="G521">
        <v>9791136905697</v>
      </c>
      <c r="H521" t="s">
        <v>26</v>
      </c>
      <c r="I521" t="s">
        <v>986</v>
      </c>
      <c r="J521" t="s">
        <v>311</v>
      </c>
      <c r="K521" t="s">
        <v>29</v>
      </c>
      <c r="L521" s="1">
        <v>3200</v>
      </c>
      <c r="M521" t="s">
        <v>29</v>
      </c>
      <c r="N521" s="1">
        <v>3200</v>
      </c>
      <c r="O521" s="1">
        <v>3200</v>
      </c>
      <c r="P521" t="s">
        <v>30</v>
      </c>
      <c r="Q521" s="2">
        <v>0.7</v>
      </c>
      <c r="R521" s="1">
        <v>2240</v>
      </c>
      <c r="S521" t="s">
        <v>29</v>
      </c>
      <c r="T521" s="1">
        <v>2240</v>
      </c>
      <c r="V521" t="str">
        <f>VLOOKUP(H521,'[1]팀별 출판사'!A:B,2,0)</f>
        <v>소설1팀</v>
      </c>
      <c r="W521" s="6">
        <f t="shared" si="16"/>
        <v>0</v>
      </c>
      <c r="X521" s="6">
        <f t="shared" si="17"/>
        <v>2240</v>
      </c>
    </row>
    <row r="522" spans="1:24" x14ac:dyDescent="0.3">
      <c r="A522" t="s">
        <v>815</v>
      </c>
      <c r="B522" t="s">
        <v>987</v>
      </c>
      <c r="C522" t="s">
        <v>23</v>
      </c>
      <c r="D522" t="s">
        <v>24</v>
      </c>
      <c r="E522" t="s">
        <v>25</v>
      </c>
      <c r="F522">
        <v>1</v>
      </c>
      <c r="G522">
        <v>9791136937193</v>
      </c>
      <c r="H522" t="s">
        <v>26</v>
      </c>
      <c r="I522" t="s">
        <v>621</v>
      </c>
      <c r="J522" t="s">
        <v>622</v>
      </c>
      <c r="K522" t="s">
        <v>29</v>
      </c>
      <c r="L522">
        <v>0</v>
      </c>
      <c r="M522" t="s">
        <v>70</v>
      </c>
      <c r="N522">
        <v>0</v>
      </c>
      <c r="O522">
        <v>0</v>
      </c>
      <c r="P522" t="s">
        <v>71</v>
      </c>
      <c r="Q522" s="2">
        <v>0.7</v>
      </c>
      <c r="R522">
        <v>0</v>
      </c>
      <c r="V522" t="str">
        <f>VLOOKUP(H522,'[1]팀별 출판사'!A:B,2,0)</f>
        <v>소설1팀</v>
      </c>
      <c r="W522" s="6">
        <f t="shared" si="16"/>
        <v>0</v>
      </c>
      <c r="X522" s="6">
        <f t="shared" si="17"/>
        <v>0</v>
      </c>
    </row>
    <row r="523" spans="1:24" x14ac:dyDescent="0.3">
      <c r="A523" t="s">
        <v>815</v>
      </c>
      <c r="B523" t="s">
        <v>988</v>
      </c>
      <c r="C523" t="s">
        <v>23</v>
      </c>
      <c r="D523" t="s">
        <v>24</v>
      </c>
      <c r="E523" t="s">
        <v>25</v>
      </c>
      <c r="F523">
        <v>1</v>
      </c>
      <c r="G523">
        <v>9791136936646</v>
      </c>
      <c r="H523" t="s">
        <v>32</v>
      </c>
      <c r="I523" t="s">
        <v>989</v>
      </c>
      <c r="J523" t="s">
        <v>622</v>
      </c>
      <c r="K523" t="s">
        <v>29</v>
      </c>
      <c r="L523">
        <v>0</v>
      </c>
      <c r="M523" t="s">
        <v>70</v>
      </c>
      <c r="N523">
        <v>0</v>
      </c>
      <c r="O523">
        <v>0</v>
      </c>
      <c r="P523" t="s">
        <v>71</v>
      </c>
      <c r="Q523" s="2">
        <v>0.7</v>
      </c>
      <c r="R523">
        <v>0</v>
      </c>
      <c r="V523" t="str">
        <f>VLOOKUP(H523,'[1]팀별 출판사'!A:B,2,0)</f>
        <v>소설1팀</v>
      </c>
      <c r="W523" s="6">
        <f t="shared" si="16"/>
        <v>0</v>
      </c>
      <c r="X523" s="6">
        <f t="shared" si="17"/>
        <v>0</v>
      </c>
    </row>
    <row r="524" spans="1:24" x14ac:dyDescent="0.3">
      <c r="A524" t="s">
        <v>815</v>
      </c>
      <c r="B524" t="s">
        <v>990</v>
      </c>
      <c r="C524" t="s">
        <v>23</v>
      </c>
      <c r="D524" t="s">
        <v>24</v>
      </c>
      <c r="E524" t="s">
        <v>25</v>
      </c>
      <c r="F524">
        <v>1</v>
      </c>
      <c r="G524" t="s">
        <v>991</v>
      </c>
      <c r="H524" t="s">
        <v>32</v>
      </c>
      <c r="I524" t="s">
        <v>992</v>
      </c>
      <c r="J524" t="s">
        <v>210</v>
      </c>
      <c r="K524" t="s">
        <v>29</v>
      </c>
      <c r="L524" s="1">
        <v>2000</v>
      </c>
      <c r="M524" t="s">
        <v>29</v>
      </c>
      <c r="N524" s="1">
        <v>2000</v>
      </c>
      <c r="O524" s="1">
        <v>2000</v>
      </c>
      <c r="P524" t="s">
        <v>30</v>
      </c>
      <c r="Q524" s="2">
        <v>0.7</v>
      </c>
      <c r="R524" s="1">
        <v>1400</v>
      </c>
      <c r="S524" t="s">
        <v>29</v>
      </c>
      <c r="T524" s="1">
        <v>1400</v>
      </c>
      <c r="V524" t="str">
        <f>VLOOKUP(H524,'[1]팀별 출판사'!A:B,2,0)</f>
        <v>소설1팀</v>
      </c>
      <c r="W524" s="6">
        <f t="shared" si="16"/>
        <v>0</v>
      </c>
      <c r="X524" s="6">
        <f t="shared" si="17"/>
        <v>1400</v>
      </c>
    </row>
    <row r="525" spans="1:24" x14ac:dyDescent="0.3">
      <c r="A525" t="s">
        <v>815</v>
      </c>
      <c r="B525" t="s">
        <v>990</v>
      </c>
      <c r="C525" t="s">
        <v>23</v>
      </c>
      <c r="D525" t="s">
        <v>24</v>
      </c>
      <c r="E525" t="s">
        <v>25</v>
      </c>
      <c r="F525">
        <v>1</v>
      </c>
      <c r="G525" t="s">
        <v>993</v>
      </c>
      <c r="H525" t="s">
        <v>32</v>
      </c>
      <c r="I525" t="s">
        <v>994</v>
      </c>
      <c r="J525" t="s">
        <v>210</v>
      </c>
      <c r="K525" t="s">
        <v>29</v>
      </c>
      <c r="L525" s="1">
        <v>2000</v>
      </c>
      <c r="M525" t="s">
        <v>29</v>
      </c>
      <c r="N525" s="1">
        <v>2000</v>
      </c>
      <c r="O525" s="1">
        <v>2000</v>
      </c>
      <c r="P525" t="s">
        <v>30</v>
      </c>
      <c r="Q525" s="2">
        <v>0.7</v>
      </c>
      <c r="R525" s="1">
        <v>1400</v>
      </c>
      <c r="S525" t="s">
        <v>29</v>
      </c>
      <c r="T525" s="1">
        <v>1400</v>
      </c>
      <c r="V525" t="str">
        <f>VLOOKUP(H525,'[1]팀별 출판사'!A:B,2,0)</f>
        <v>소설1팀</v>
      </c>
      <c r="W525" s="6">
        <f t="shared" si="16"/>
        <v>0</v>
      </c>
      <c r="X525" s="6">
        <f t="shared" si="17"/>
        <v>1400</v>
      </c>
    </row>
    <row r="526" spans="1:24" x14ac:dyDescent="0.3">
      <c r="A526" t="s">
        <v>815</v>
      </c>
      <c r="B526" t="s">
        <v>990</v>
      </c>
      <c r="C526" t="s">
        <v>23</v>
      </c>
      <c r="D526" t="s">
        <v>24</v>
      </c>
      <c r="E526" t="s">
        <v>25</v>
      </c>
      <c r="F526">
        <v>1</v>
      </c>
      <c r="G526" t="s">
        <v>995</v>
      </c>
      <c r="H526" t="s">
        <v>32</v>
      </c>
      <c r="I526" t="s">
        <v>996</v>
      </c>
      <c r="J526" t="s">
        <v>210</v>
      </c>
      <c r="K526" t="s">
        <v>29</v>
      </c>
      <c r="L526" s="1">
        <v>2000</v>
      </c>
      <c r="M526" t="s">
        <v>29</v>
      </c>
      <c r="N526" s="1">
        <v>2000</v>
      </c>
      <c r="O526" s="1">
        <v>2000</v>
      </c>
      <c r="P526" t="s">
        <v>30</v>
      </c>
      <c r="Q526" s="2">
        <v>0.7</v>
      </c>
      <c r="R526" s="1">
        <v>1400</v>
      </c>
      <c r="S526" t="s">
        <v>29</v>
      </c>
      <c r="T526" s="1">
        <v>1400</v>
      </c>
      <c r="V526" t="str">
        <f>VLOOKUP(H526,'[1]팀별 출판사'!A:B,2,0)</f>
        <v>소설1팀</v>
      </c>
      <c r="W526" s="6">
        <f t="shared" si="16"/>
        <v>0</v>
      </c>
      <c r="X526" s="6">
        <f t="shared" si="17"/>
        <v>1400</v>
      </c>
    </row>
    <row r="527" spans="1:24" x14ac:dyDescent="0.3">
      <c r="A527" t="s">
        <v>815</v>
      </c>
      <c r="B527" t="s">
        <v>997</v>
      </c>
      <c r="C527" t="s">
        <v>23</v>
      </c>
      <c r="D527" t="s">
        <v>24</v>
      </c>
      <c r="E527" t="s">
        <v>25</v>
      </c>
      <c r="F527">
        <v>1</v>
      </c>
      <c r="G527" t="s">
        <v>998</v>
      </c>
      <c r="H527" t="s">
        <v>32</v>
      </c>
      <c r="I527" t="s">
        <v>999</v>
      </c>
      <c r="J527" t="s">
        <v>202</v>
      </c>
      <c r="K527" t="s">
        <v>29</v>
      </c>
      <c r="L527">
        <v>0</v>
      </c>
      <c r="M527" t="s">
        <v>70</v>
      </c>
      <c r="N527">
        <v>0</v>
      </c>
      <c r="O527">
        <v>0</v>
      </c>
      <c r="P527" t="s">
        <v>71</v>
      </c>
      <c r="Q527" s="2">
        <v>0.7</v>
      </c>
      <c r="R527">
        <v>0</v>
      </c>
      <c r="V527" t="str">
        <f>VLOOKUP(H527,'[1]팀별 출판사'!A:B,2,0)</f>
        <v>소설1팀</v>
      </c>
      <c r="W527" s="6">
        <f t="shared" si="16"/>
        <v>0</v>
      </c>
      <c r="X527" s="6">
        <f t="shared" si="17"/>
        <v>0</v>
      </c>
    </row>
    <row r="528" spans="1:24" x14ac:dyDescent="0.3">
      <c r="A528" t="s">
        <v>815</v>
      </c>
      <c r="B528" t="s">
        <v>1000</v>
      </c>
      <c r="C528" t="s">
        <v>23</v>
      </c>
      <c r="D528" t="s">
        <v>24</v>
      </c>
      <c r="E528" t="s">
        <v>25</v>
      </c>
      <c r="F528">
        <v>1</v>
      </c>
      <c r="G528" t="s">
        <v>1001</v>
      </c>
      <c r="H528" t="s">
        <v>32</v>
      </c>
      <c r="I528" t="s">
        <v>1002</v>
      </c>
      <c r="J528" t="s">
        <v>166</v>
      </c>
      <c r="K528" t="s">
        <v>29</v>
      </c>
      <c r="L528">
        <v>0</v>
      </c>
      <c r="M528" t="s">
        <v>29</v>
      </c>
      <c r="N528">
        <v>0</v>
      </c>
      <c r="O528">
        <v>0</v>
      </c>
      <c r="P528" t="s">
        <v>30</v>
      </c>
      <c r="Q528" s="2">
        <v>0.7</v>
      </c>
      <c r="R528">
        <v>0</v>
      </c>
      <c r="V528" t="str">
        <f>VLOOKUP(H528,'[1]팀별 출판사'!A:B,2,0)</f>
        <v>소설1팀</v>
      </c>
      <c r="W528" s="6">
        <f t="shared" si="16"/>
        <v>0</v>
      </c>
      <c r="X528" s="6">
        <f t="shared" si="17"/>
        <v>0</v>
      </c>
    </row>
    <row r="529" spans="1:24" x14ac:dyDescent="0.3">
      <c r="A529" t="s">
        <v>815</v>
      </c>
      <c r="B529" t="s">
        <v>1003</v>
      </c>
      <c r="C529" t="s">
        <v>23</v>
      </c>
      <c r="D529" t="s">
        <v>24</v>
      </c>
      <c r="E529" t="s">
        <v>25</v>
      </c>
      <c r="F529">
        <v>1</v>
      </c>
      <c r="G529">
        <v>9791136931399</v>
      </c>
      <c r="H529" t="s">
        <v>32</v>
      </c>
      <c r="I529" t="s">
        <v>482</v>
      </c>
      <c r="J529" t="s">
        <v>46</v>
      </c>
      <c r="K529" t="s">
        <v>29</v>
      </c>
      <c r="L529">
        <v>0</v>
      </c>
      <c r="M529" t="s">
        <v>47</v>
      </c>
      <c r="N529">
        <v>0</v>
      </c>
      <c r="O529">
        <v>0</v>
      </c>
      <c r="P529" t="s">
        <v>48</v>
      </c>
      <c r="Q529" s="2">
        <v>0.7</v>
      </c>
      <c r="R529">
        <v>0</v>
      </c>
      <c r="V529" t="str">
        <f>VLOOKUP(H529,'[1]팀별 출판사'!A:B,2,0)</f>
        <v>소설1팀</v>
      </c>
      <c r="W529" s="6">
        <f t="shared" si="16"/>
        <v>0</v>
      </c>
      <c r="X529" s="6">
        <f t="shared" si="17"/>
        <v>0</v>
      </c>
    </row>
    <row r="530" spans="1:24" x14ac:dyDescent="0.3">
      <c r="A530" t="s">
        <v>815</v>
      </c>
      <c r="B530" t="s">
        <v>1004</v>
      </c>
      <c r="C530" t="s">
        <v>23</v>
      </c>
      <c r="D530" t="s">
        <v>24</v>
      </c>
      <c r="E530" t="s">
        <v>25</v>
      </c>
      <c r="F530">
        <v>1</v>
      </c>
      <c r="G530">
        <v>9791136946782</v>
      </c>
      <c r="H530" t="s">
        <v>26</v>
      </c>
      <c r="I530" t="s">
        <v>291</v>
      </c>
      <c r="J530" t="s">
        <v>28</v>
      </c>
      <c r="K530" t="s">
        <v>29</v>
      </c>
      <c r="L530">
        <v>0</v>
      </c>
      <c r="M530" t="s">
        <v>29</v>
      </c>
      <c r="N530">
        <v>0</v>
      </c>
      <c r="O530">
        <v>0</v>
      </c>
      <c r="P530" t="s">
        <v>30</v>
      </c>
      <c r="Q530" s="2">
        <v>0.7</v>
      </c>
      <c r="R530">
        <v>0</v>
      </c>
      <c r="V530" t="str">
        <f>VLOOKUP(H530,'[1]팀별 출판사'!A:B,2,0)</f>
        <v>소설1팀</v>
      </c>
      <c r="W530" s="6">
        <f t="shared" si="16"/>
        <v>0</v>
      </c>
      <c r="X530" s="6">
        <f t="shared" si="17"/>
        <v>0</v>
      </c>
    </row>
    <row r="531" spans="1:24" x14ac:dyDescent="0.3">
      <c r="A531" t="s">
        <v>815</v>
      </c>
      <c r="B531" t="s">
        <v>1005</v>
      </c>
      <c r="C531" t="s">
        <v>23</v>
      </c>
      <c r="D531" t="s">
        <v>24</v>
      </c>
      <c r="E531" t="s">
        <v>25</v>
      </c>
      <c r="F531">
        <v>1</v>
      </c>
      <c r="G531">
        <v>9791170100379</v>
      </c>
      <c r="H531" t="s">
        <v>67</v>
      </c>
      <c r="I531" t="s">
        <v>1006</v>
      </c>
      <c r="J531" t="s">
        <v>1007</v>
      </c>
      <c r="K531" t="s">
        <v>29</v>
      </c>
      <c r="L531">
        <v>0</v>
      </c>
      <c r="M531" t="s">
        <v>70</v>
      </c>
      <c r="N531">
        <v>0</v>
      </c>
      <c r="O531">
        <v>0</v>
      </c>
      <c r="P531" t="s">
        <v>71</v>
      </c>
      <c r="Q531" s="2">
        <v>0.7</v>
      </c>
      <c r="R531">
        <v>0</v>
      </c>
      <c r="V531" t="str">
        <f>VLOOKUP(H531,'[1]팀별 출판사'!A:B,2,0)</f>
        <v>소설1팀</v>
      </c>
      <c r="W531" s="6">
        <f t="shared" si="16"/>
        <v>0</v>
      </c>
      <c r="X531" s="6">
        <f t="shared" si="17"/>
        <v>0</v>
      </c>
    </row>
    <row r="532" spans="1:24" x14ac:dyDescent="0.3">
      <c r="A532" t="s">
        <v>815</v>
      </c>
      <c r="B532" t="s">
        <v>1008</v>
      </c>
      <c r="C532" t="s">
        <v>23</v>
      </c>
      <c r="D532" t="s">
        <v>24</v>
      </c>
      <c r="E532" t="s">
        <v>25</v>
      </c>
      <c r="F532">
        <v>1</v>
      </c>
      <c r="G532">
        <v>9791136965455</v>
      </c>
      <c r="H532" t="s">
        <v>26</v>
      </c>
      <c r="I532" t="s">
        <v>472</v>
      </c>
      <c r="J532" t="s">
        <v>157</v>
      </c>
      <c r="K532" t="s">
        <v>29</v>
      </c>
      <c r="L532">
        <v>0</v>
      </c>
      <c r="M532" t="s">
        <v>47</v>
      </c>
      <c r="N532">
        <v>0</v>
      </c>
      <c r="O532">
        <v>0</v>
      </c>
      <c r="P532" t="s">
        <v>48</v>
      </c>
      <c r="Q532" s="2">
        <v>0.7</v>
      </c>
      <c r="R532">
        <v>0</v>
      </c>
      <c r="V532" t="str">
        <f>VLOOKUP(H532,'[1]팀별 출판사'!A:B,2,0)</f>
        <v>소설1팀</v>
      </c>
      <c r="W532" s="6">
        <f t="shared" si="16"/>
        <v>0</v>
      </c>
      <c r="X532" s="6">
        <f t="shared" si="17"/>
        <v>0</v>
      </c>
    </row>
    <row r="533" spans="1:24" x14ac:dyDescent="0.3">
      <c r="A533" t="s">
        <v>815</v>
      </c>
      <c r="B533" t="s">
        <v>1009</v>
      </c>
      <c r="C533" t="s">
        <v>23</v>
      </c>
      <c r="D533" t="s">
        <v>24</v>
      </c>
      <c r="E533" t="s">
        <v>25</v>
      </c>
      <c r="F533">
        <v>1</v>
      </c>
      <c r="G533">
        <v>9791136930613</v>
      </c>
      <c r="H533" t="s">
        <v>32</v>
      </c>
      <c r="I533" t="s">
        <v>57</v>
      </c>
      <c r="J533" t="s">
        <v>34</v>
      </c>
      <c r="K533" t="s">
        <v>29</v>
      </c>
      <c r="L533">
        <v>0</v>
      </c>
      <c r="M533" t="s">
        <v>47</v>
      </c>
      <c r="N533">
        <v>0</v>
      </c>
      <c r="O533">
        <v>0</v>
      </c>
      <c r="P533" t="s">
        <v>48</v>
      </c>
      <c r="Q533" s="2">
        <v>0.7</v>
      </c>
      <c r="R533">
        <v>0</v>
      </c>
      <c r="V533" t="str">
        <f>VLOOKUP(H533,'[1]팀별 출판사'!A:B,2,0)</f>
        <v>소설1팀</v>
      </c>
      <c r="W533" s="6">
        <f t="shared" si="16"/>
        <v>0</v>
      </c>
      <c r="X533" s="6">
        <f t="shared" si="17"/>
        <v>0</v>
      </c>
    </row>
    <row r="534" spans="1:24" x14ac:dyDescent="0.3">
      <c r="A534" t="s">
        <v>815</v>
      </c>
      <c r="B534" t="s">
        <v>1010</v>
      </c>
      <c r="C534" t="s">
        <v>23</v>
      </c>
      <c r="D534" t="s">
        <v>24</v>
      </c>
      <c r="E534" t="s">
        <v>25</v>
      </c>
      <c r="F534">
        <v>1</v>
      </c>
      <c r="G534">
        <v>9791136930811</v>
      </c>
      <c r="H534" t="s">
        <v>32</v>
      </c>
      <c r="I534" t="s">
        <v>1011</v>
      </c>
      <c r="J534" t="s">
        <v>34</v>
      </c>
      <c r="K534" t="s">
        <v>29</v>
      </c>
      <c r="L534">
        <v>0</v>
      </c>
      <c r="M534" t="s">
        <v>47</v>
      </c>
      <c r="N534">
        <v>0</v>
      </c>
      <c r="O534">
        <v>0</v>
      </c>
      <c r="P534" t="s">
        <v>48</v>
      </c>
      <c r="Q534" s="2">
        <v>0.7</v>
      </c>
      <c r="R534">
        <v>0</v>
      </c>
      <c r="V534" t="str">
        <f>VLOOKUP(H534,'[1]팀별 출판사'!A:B,2,0)</f>
        <v>소설1팀</v>
      </c>
      <c r="W534" s="6">
        <f t="shared" si="16"/>
        <v>0</v>
      </c>
      <c r="X534" s="6">
        <f t="shared" si="17"/>
        <v>0</v>
      </c>
    </row>
    <row r="535" spans="1:24" x14ac:dyDescent="0.3">
      <c r="A535" t="s">
        <v>815</v>
      </c>
      <c r="B535" t="s">
        <v>1012</v>
      </c>
      <c r="C535" t="s">
        <v>23</v>
      </c>
      <c r="D535" t="s">
        <v>24</v>
      </c>
      <c r="E535" t="s">
        <v>25</v>
      </c>
      <c r="F535">
        <v>1</v>
      </c>
      <c r="G535">
        <v>9791133101825</v>
      </c>
      <c r="H535" t="s">
        <v>32</v>
      </c>
      <c r="I535" t="s">
        <v>1013</v>
      </c>
      <c r="J535" t="s">
        <v>160</v>
      </c>
      <c r="K535" t="s">
        <v>29</v>
      </c>
      <c r="L535" s="1">
        <v>3000</v>
      </c>
      <c r="M535" t="s">
        <v>29</v>
      </c>
      <c r="N535" s="1">
        <v>3000</v>
      </c>
      <c r="O535" s="1">
        <v>3000</v>
      </c>
      <c r="P535" t="s">
        <v>30</v>
      </c>
      <c r="Q535" s="2">
        <v>0.7</v>
      </c>
      <c r="R535" s="1">
        <v>2100</v>
      </c>
      <c r="S535" t="s">
        <v>29</v>
      </c>
      <c r="T535" s="1">
        <v>2100</v>
      </c>
      <c r="V535" t="str">
        <f>VLOOKUP(H535,'[1]팀별 출판사'!A:B,2,0)</f>
        <v>소설1팀</v>
      </c>
      <c r="W535" s="6">
        <f t="shared" si="16"/>
        <v>0</v>
      </c>
      <c r="X535" s="6">
        <f t="shared" si="17"/>
        <v>2100</v>
      </c>
    </row>
    <row r="536" spans="1:24" x14ac:dyDescent="0.3">
      <c r="A536" t="s">
        <v>815</v>
      </c>
      <c r="B536" t="s">
        <v>1014</v>
      </c>
      <c r="C536" t="s">
        <v>23</v>
      </c>
      <c r="D536" t="s">
        <v>24</v>
      </c>
      <c r="E536" t="s">
        <v>25</v>
      </c>
      <c r="F536">
        <v>1</v>
      </c>
      <c r="G536">
        <v>9791133141487</v>
      </c>
      <c r="H536" t="s">
        <v>32</v>
      </c>
      <c r="I536" t="s">
        <v>1015</v>
      </c>
      <c r="J536" t="s">
        <v>511</v>
      </c>
      <c r="K536" t="s">
        <v>29</v>
      </c>
      <c r="L536">
        <v>0</v>
      </c>
      <c r="M536" t="s">
        <v>29</v>
      </c>
      <c r="N536">
        <v>0</v>
      </c>
      <c r="O536">
        <v>0</v>
      </c>
      <c r="P536" t="s">
        <v>30</v>
      </c>
      <c r="Q536" s="2">
        <v>0.7</v>
      </c>
      <c r="R536">
        <v>0</v>
      </c>
      <c r="V536" t="str">
        <f>VLOOKUP(H536,'[1]팀별 출판사'!A:B,2,0)</f>
        <v>소설1팀</v>
      </c>
      <c r="W536" s="6">
        <f t="shared" si="16"/>
        <v>0</v>
      </c>
      <c r="X536" s="6">
        <f t="shared" si="17"/>
        <v>0</v>
      </c>
    </row>
    <row r="537" spans="1:24" x14ac:dyDescent="0.3">
      <c r="A537" t="s">
        <v>815</v>
      </c>
      <c r="B537" t="s">
        <v>1016</v>
      </c>
      <c r="C537" t="s">
        <v>23</v>
      </c>
      <c r="D537" t="s">
        <v>24</v>
      </c>
      <c r="E537" t="s">
        <v>25</v>
      </c>
      <c r="F537">
        <v>1</v>
      </c>
      <c r="G537">
        <v>9791136932648</v>
      </c>
      <c r="H537" t="s">
        <v>32</v>
      </c>
      <c r="I537" t="s">
        <v>832</v>
      </c>
      <c r="J537" t="s">
        <v>34</v>
      </c>
      <c r="K537" t="s">
        <v>29</v>
      </c>
      <c r="L537">
        <v>0</v>
      </c>
      <c r="M537" t="s">
        <v>47</v>
      </c>
      <c r="N537">
        <v>0</v>
      </c>
      <c r="O537">
        <v>0</v>
      </c>
      <c r="P537" t="s">
        <v>48</v>
      </c>
      <c r="Q537" s="2">
        <v>0.7</v>
      </c>
      <c r="R537">
        <v>0</v>
      </c>
      <c r="V537" t="str">
        <f>VLOOKUP(H537,'[1]팀별 출판사'!A:B,2,0)</f>
        <v>소설1팀</v>
      </c>
      <c r="W537" s="6">
        <f t="shared" si="16"/>
        <v>0</v>
      </c>
      <c r="X537" s="6">
        <f t="shared" si="17"/>
        <v>0</v>
      </c>
    </row>
    <row r="538" spans="1:24" x14ac:dyDescent="0.3">
      <c r="A538" t="s">
        <v>815</v>
      </c>
      <c r="B538" t="s">
        <v>1017</v>
      </c>
      <c r="C538" t="s">
        <v>23</v>
      </c>
      <c r="D538" t="s">
        <v>24</v>
      </c>
      <c r="E538" t="s">
        <v>25</v>
      </c>
      <c r="F538">
        <v>1</v>
      </c>
      <c r="G538">
        <v>9791136931382</v>
      </c>
      <c r="H538" t="s">
        <v>32</v>
      </c>
      <c r="I538" t="s">
        <v>523</v>
      </c>
      <c r="J538" t="s">
        <v>46</v>
      </c>
      <c r="K538" t="s">
        <v>29</v>
      </c>
      <c r="L538">
        <v>0</v>
      </c>
      <c r="M538" t="s">
        <v>47</v>
      </c>
      <c r="N538">
        <v>0</v>
      </c>
      <c r="O538">
        <v>0</v>
      </c>
      <c r="P538" t="s">
        <v>48</v>
      </c>
      <c r="Q538" s="2">
        <v>0.7</v>
      </c>
      <c r="R538">
        <v>0</v>
      </c>
      <c r="V538" t="str">
        <f>VLOOKUP(H538,'[1]팀별 출판사'!A:B,2,0)</f>
        <v>소설1팀</v>
      </c>
      <c r="W538" s="6">
        <f t="shared" si="16"/>
        <v>0</v>
      </c>
      <c r="X538" s="6">
        <f t="shared" si="17"/>
        <v>0</v>
      </c>
    </row>
    <row r="539" spans="1:24" x14ac:dyDescent="0.3">
      <c r="A539" t="s">
        <v>815</v>
      </c>
      <c r="B539" t="s">
        <v>1018</v>
      </c>
      <c r="C539" t="s">
        <v>23</v>
      </c>
      <c r="D539" t="s">
        <v>24</v>
      </c>
      <c r="E539" t="s">
        <v>25</v>
      </c>
      <c r="F539">
        <v>1</v>
      </c>
      <c r="G539">
        <v>9791136930491</v>
      </c>
      <c r="H539" t="s">
        <v>26</v>
      </c>
      <c r="I539" t="s">
        <v>151</v>
      </c>
      <c r="J539" t="s">
        <v>46</v>
      </c>
      <c r="K539" t="s">
        <v>29</v>
      </c>
      <c r="L539">
        <v>0</v>
      </c>
      <c r="M539" t="s">
        <v>152</v>
      </c>
      <c r="N539">
        <v>0</v>
      </c>
      <c r="O539">
        <v>0</v>
      </c>
      <c r="P539" t="s">
        <v>153</v>
      </c>
      <c r="Q539" s="2">
        <v>0.7</v>
      </c>
      <c r="R539">
        <v>0</v>
      </c>
      <c r="V539" t="str">
        <f>VLOOKUP(H539,'[1]팀별 출판사'!A:B,2,0)</f>
        <v>소설1팀</v>
      </c>
      <c r="W539" s="6">
        <f t="shared" si="16"/>
        <v>0</v>
      </c>
      <c r="X539" s="6">
        <f t="shared" si="17"/>
        <v>0</v>
      </c>
    </row>
    <row r="540" spans="1:24" x14ac:dyDescent="0.3">
      <c r="A540" t="s">
        <v>815</v>
      </c>
      <c r="B540" t="s">
        <v>1019</v>
      </c>
      <c r="C540" t="s">
        <v>23</v>
      </c>
      <c r="D540" t="s">
        <v>24</v>
      </c>
      <c r="E540" t="s">
        <v>25</v>
      </c>
      <c r="F540">
        <v>1</v>
      </c>
      <c r="G540">
        <v>9791136945013</v>
      </c>
      <c r="H540" t="s">
        <v>26</v>
      </c>
      <c r="I540" t="s">
        <v>125</v>
      </c>
      <c r="J540" t="s">
        <v>126</v>
      </c>
      <c r="K540" t="s">
        <v>29</v>
      </c>
      <c r="L540">
        <v>0</v>
      </c>
      <c r="M540" t="s">
        <v>152</v>
      </c>
      <c r="N540">
        <v>0</v>
      </c>
      <c r="O540">
        <v>0</v>
      </c>
      <c r="P540" t="s">
        <v>153</v>
      </c>
      <c r="Q540" s="2">
        <v>0.7</v>
      </c>
      <c r="R540">
        <v>0</v>
      </c>
      <c r="V540" t="str">
        <f>VLOOKUP(H540,'[1]팀별 출판사'!A:B,2,0)</f>
        <v>소설1팀</v>
      </c>
      <c r="W540" s="6">
        <f t="shared" si="16"/>
        <v>0</v>
      </c>
      <c r="X540" s="6">
        <f t="shared" si="17"/>
        <v>0</v>
      </c>
    </row>
    <row r="541" spans="1:24" x14ac:dyDescent="0.3">
      <c r="A541" t="s">
        <v>815</v>
      </c>
      <c r="B541" t="s">
        <v>1020</v>
      </c>
      <c r="C541" t="s">
        <v>23</v>
      </c>
      <c r="D541" t="s">
        <v>24</v>
      </c>
      <c r="E541" t="s">
        <v>25</v>
      </c>
      <c r="F541">
        <v>1</v>
      </c>
      <c r="G541">
        <v>9791133110117</v>
      </c>
      <c r="H541" t="s">
        <v>32</v>
      </c>
      <c r="I541" t="s">
        <v>1021</v>
      </c>
      <c r="J541" t="s">
        <v>166</v>
      </c>
      <c r="K541" t="s">
        <v>29</v>
      </c>
      <c r="L541">
        <v>0</v>
      </c>
      <c r="M541" t="s">
        <v>29</v>
      </c>
      <c r="N541">
        <v>0</v>
      </c>
      <c r="O541">
        <v>0</v>
      </c>
      <c r="P541" t="s">
        <v>30</v>
      </c>
      <c r="Q541" s="2">
        <v>0.7</v>
      </c>
      <c r="R541">
        <v>0</v>
      </c>
      <c r="V541" t="str">
        <f>VLOOKUP(H541,'[1]팀별 출판사'!A:B,2,0)</f>
        <v>소설1팀</v>
      </c>
      <c r="W541" s="6">
        <f t="shared" si="16"/>
        <v>0</v>
      </c>
      <c r="X541" s="6">
        <f t="shared" si="17"/>
        <v>0</v>
      </c>
    </row>
    <row r="542" spans="1:24" x14ac:dyDescent="0.3">
      <c r="A542" t="s">
        <v>815</v>
      </c>
      <c r="B542" t="s">
        <v>1022</v>
      </c>
      <c r="C542" t="s">
        <v>23</v>
      </c>
      <c r="D542" t="s">
        <v>24</v>
      </c>
      <c r="E542" t="s">
        <v>25</v>
      </c>
      <c r="F542">
        <v>1</v>
      </c>
      <c r="G542">
        <v>9791173785993</v>
      </c>
      <c r="H542" t="s">
        <v>26</v>
      </c>
      <c r="I542" t="s">
        <v>769</v>
      </c>
      <c r="J542" t="s">
        <v>81</v>
      </c>
      <c r="K542" t="s">
        <v>29</v>
      </c>
      <c r="L542">
        <v>0</v>
      </c>
      <c r="M542" t="s">
        <v>29</v>
      </c>
      <c r="N542">
        <v>0</v>
      </c>
      <c r="O542">
        <v>0</v>
      </c>
      <c r="P542" t="s">
        <v>30</v>
      </c>
      <c r="Q542" s="2">
        <v>0.7</v>
      </c>
      <c r="R542">
        <v>0</v>
      </c>
      <c r="V542" t="str">
        <f>VLOOKUP(H542,'[1]팀별 출판사'!A:B,2,0)</f>
        <v>소설1팀</v>
      </c>
      <c r="W542" s="6">
        <f t="shared" si="16"/>
        <v>0</v>
      </c>
      <c r="X542" s="6">
        <f t="shared" si="17"/>
        <v>0</v>
      </c>
    </row>
    <row r="543" spans="1:24" x14ac:dyDescent="0.3">
      <c r="A543" t="s">
        <v>815</v>
      </c>
      <c r="B543" t="s">
        <v>1023</v>
      </c>
      <c r="C543" t="s">
        <v>23</v>
      </c>
      <c r="D543" t="s">
        <v>24</v>
      </c>
      <c r="E543" t="s">
        <v>25</v>
      </c>
      <c r="F543">
        <v>1</v>
      </c>
      <c r="G543">
        <v>9791157532827</v>
      </c>
      <c r="H543" t="s">
        <v>32</v>
      </c>
      <c r="I543" t="s">
        <v>1024</v>
      </c>
      <c r="J543" t="s">
        <v>187</v>
      </c>
      <c r="K543" t="s">
        <v>29</v>
      </c>
      <c r="L543">
        <v>0</v>
      </c>
      <c r="M543" t="s">
        <v>29</v>
      </c>
      <c r="N543">
        <v>0</v>
      </c>
      <c r="O543">
        <v>0</v>
      </c>
      <c r="P543" t="s">
        <v>30</v>
      </c>
      <c r="Q543" s="2">
        <v>0.7</v>
      </c>
      <c r="R543">
        <v>0</v>
      </c>
      <c r="V543" t="str">
        <f>VLOOKUP(H543,'[1]팀별 출판사'!A:B,2,0)</f>
        <v>소설1팀</v>
      </c>
      <c r="W543" s="6">
        <f t="shared" si="16"/>
        <v>0</v>
      </c>
      <c r="X543" s="6">
        <f t="shared" si="17"/>
        <v>0</v>
      </c>
    </row>
    <row r="544" spans="1:24" x14ac:dyDescent="0.3">
      <c r="A544" t="s">
        <v>815</v>
      </c>
      <c r="B544" t="s">
        <v>1025</v>
      </c>
      <c r="C544" t="s">
        <v>23</v>
      </c>
      <c r="D544" t="s">
        <v>24</v>
      </c>
      <c r="E544" t="s">
        <v>25</v>
      </c>
      <c r="F544">
        <v>1</v>
      </c>
      <c r="G544">
        <v>9791136909985</v>
      </c>
      <c r="H544" t="s">
        <v>26</v>
      </c>
      <c r="I544" t="s">
        <v>1026</v>
      </c>
      <c r="J544" t="s">
        <v>359</v>
      </c>
      <c r="K544" t="s">
        <v>29</v>
      </c>
      <c r="L544">
        <v>0</v>
      </c>
      <c r="M544" t="s">
        <v>29</v>
      </c>
      <c r="N544">
        <v>0</v>
      </c>
      <c r="O544">
        <v>0</v>
      </c>
      <c r="P544" t="s">
        <v>30</v>
      </c>
      <c r="Q544" s="2">
        <v>0.7</v>
      </c>
      <c r="R544">
        <v>0</v>
      </c>
      <c r="V544" t="str">
        <f>VLOOKUP(H544,'[1]팀별 출판사'!A:B,2,0)</f>
        <v>소설1팀</v>
      </c>
      <c r="W544" s="6">
        <f t="shared" si="16"/>
        <v>0</v>
      </c>
      <c r="X544" s="6">
        <f t="shared" si="17"/>
        <v>0</v>
      </c>
    </row>
    <row r="545" spans="1:24" x14ac:dyDescent="0.3">
      <c r="A545" t="s">
        <v>815</v>
      </c>
      <c r="B545" t="s">
        <v>1027</v>
      </c>
      <c r="C545" t="s">
        <v>23</v>
      </c>
      <c r="D545" t="s">
        <v>24</v>
      </c>
      <c r="E545" t="s">
        <v>25</v>
      </c>
      <c r="F545">
        <v>1</v>
      </c>
      <c r="G545">
        <v>9791136911476</v>
      </c>
      <c r="H545" t="s">
        <v>26</v>
      </c>
      <c r="I545" t="s">
        <v>1028</v>
      </c>
      <c r="J545" t="s">
        <v>1029</v>
      </c>
      <c r="K545" t="s">
        <v>29</v>
      </c>
      <c r="L545">
        <v>0</v>
      </c>
      <c r="M545" t="s">
        <v>29</v>
      </c>
      <c r="N545">
        <v>0</v>
      </c>
      <c r="O545">
        <v>0</v>
      </c>
      <c r="P545" t="s">
        <v>30</v>
      </c>
      <c r="Q545" s="2">
        <v>0.7</v>
      </c>
      <c r="R545">
        <v>0</v>
      </c>
      <c r="V545" t="str">
        <f>VLOOKUP(H545,'[1]팀별 출판사'!A:B,2,0)</f>
        <v>소설1팀</v>
      </c>
      <c r="W545" s="6">
        <f t="shared" si="16"/>
        <v>0</v>
      </c>
      <c r="X545" s="6">
        <f t="shared" si="17"/>
        <v>0</v>
      </c>
    </row>
    <row r="546" spans="1:24" x14ac:dyDescent="0.3">
      <c r="A546" t="s">
        <v>815</v>
      </c>
      <c r="B546" t="s">
        <v>1030</v>
      </c>
      <c r="C546" t="s">
        <v>23</v>
      </c>
      <c r="D546" t="s">
        <v>24</v>
      </c>
      <c r="E546" t="s">
        <v>25</v>
      </c>
      <c r="F546">
        <v>1</v>
      </c>
      <c r="G546">
        <v>9791136911049</v>
      </c>
      <c r="H546" t="s">
        <v>32</v>
      </c>
      <c r="I546" t="s">
        <v>921</v>
      </c>
      <c r="J546" t="s">
        <v>160</v>
      </c>
      <c r="K546" t="s">
        <v>29</v>
      </c>
      <c r="L546" s="1">
        <v>3200</v>
      </c>
      <c r="M546" t="s">
        <v>29</v>
      </c>
      <c r="N546" s="1">
        <v>3200</v>
      </c>
      <c r="O546" s="1">
        <v>3200</v>
      </c>
      <c r="P546" t="s">
        <v>30</v>
      </c>
      <c r="Q546" s="2">
        <v>0.7</v>
      </c>
      <c r="R546" s="1">
        <v>2240</v>
      </c>
      <c r="S546" t="s">
        <v>29</v>
      </c>
      <c r="T546" s="1">
        <v>2240</v>
      </c>
      <c r="V546" t="str">
        <f>VLOOKUP(H546,'[1]팀별 출판사'!A:B,2,0)</f>
        <v>소설1팀</v>
      </c>
      <c r="W546" s="6">
        <f t="shared" si="16"/>
        <v>0</v>
      </c>
      <c r="X546" s="6">
        <f t="shared" si="17"/>
        <v>2240</v>
      </c>
    </row>
    <row r="547" spans="1:24" x14ac:dyDescent="0.3">
      <c r="A547" t="s">
        <v>815</v>
      </c>
      <c r="B547" t="s">
        <v>1031</v>
      </c>
      <c r="C547" t="s">
        <v>23</v>
      </c>
      <c r="D547" t="s">
        <v>24</v>
      </c>
      <c r="E547" t="s">
        <v>25</v>
      </c>
      <c r="F547">
        <v>1</v>
      </c>
      <c r="G547">
        <v>9791133102761</v>
      </c>
      <c r="H547" t="s">
        <v>32</v>
      </c>
      <c r="I547" t="s">
        <v>132</v>
      </c>
      <c r="J547" t="s">
        <v>51</v>
      </c>
      <c r="K547" t="s">
        <v>29</v>
      </c>
      <c r="L547">
        <v>0</v>
      </c>
      <c r="M547" t="s">
        <v>29</v>
      </c>
      <c r="N547">
        <v>0</v>
      </c>
      <c r="O547">
        <v>0</v>
      </c>
      <c r="P547" t="s">
        <v>30</v>
      </c>
      <c r="Q547" s="2">
        <v>0.7</v>
      </c>
      <c r="R547">
        <v>0</v>
      </c>
      <c r="V547" t="str">
        <f>VLOOKUP(H547,'[1]팀별 출판사'!A:B,2,0)</f>
        <v>소설1팀</v>
      </c>
      <c r="W547" s="6">
        <f t="shared" si="16"/>
        <v>0</v>
      </c>
      <c r="X547" s="6">
        <f t="shared" si="17"/>
        <v>0</v>
      </c>
    </row>
    <row r="548" spans="1:24" x14ac:dyDescent="0.3">
      <c r="A548" t="s">
        <v>815</v>
      </c>
      <c r="B548" t="s">
        <v>1032</v>
      </c>
      <c r="C548" t="s">
        <v>23</v>
      </c>
      <c r="D548" t="s">
        <v>24</v>
      </c>
      <c r="E548" t="s">
        <v>25</v>
      </c>
      <c r="F548">
        <v>1</v>
      </c>
      <c r="G548">
        <v>9791157533503</v>
      </c>
      <c r="H548" t="s">
        <v>32</v>
      </c>
      <c r="I548" t="s">
        <v>383</v>
      </c>
      <c r="J548" t="s">
        <v>187</v>
      </c>
      <c r="K548" t="s">
        <v>29</v>
      </c>
      <c r="L548">
        <v>0</v>
      </c>
      <c r="M548" t="s">
        <v>29</v>
      </c>
      <c r="N548">
        <v>0</v>
      </c>
      <c r="O548">
        <v>0</v>
      </c>
      <c r="P548" t="s">
        <v>30</v>
      </c>
      <c r="Q548" s="2">
        <v>0.7</v>
      </c>
      <c r="R548">
        <v>0</v>
      </c>
      <c r="V548" t="str">
        <f>VLOOKUP(H548,'[1]팀별 출판사'!A:B,2,0)</f>
        <v>소설1팀</v>
      </c>
      <c r="W548" s="6">
        <f t="shared" si="16"/>
        <v>0</v>
      </c>
      <c r="X548" s="6">
        <f t="shared" si="17"/>
        <v>0</v>
      </c>
    </row>
    <row r="549" spans="1:24" x14ac:dyDescent="0.3">
      <c r="A549" t="s">
        <v>815</v>
      </c>
      <c r="B549" t="s">
        <v>1033</v>
      </c>
      <c r="C549" t="s">
        <v>23</v>
      </c>
      <c r="D549" t="s">
        <v>24</v>
      </c>
      <c r="E549" t="s">
        <v>25</v>
      </c>
      <c r="F549">
        <v>1</v>
      </c>
      <c r="G549">
        <v>9791136990600</v>
      </c>
      <c r="H549" t="s">
        <v>26</v>
      </c>
      <c r="I549" t="s">
        <v>1034</v>
      </c>
      <c r="J549" t="s">
        <v>459</v>
      </c>
      <c r="K549" t="s">
        <v>29</v>
      </c>
      <c r="L549">
        <v>0</v>
      </c>
      <c r="M549" t="s">
        <v>29</v>
      </c>
      <c r="N549">
        <v>0</v>
      </c>
      <c r="O549">
        <v>0</v>
      </c>
      <c r="P549" t="s">
        <v>30</v>
      </c>
      <c r="Q549" s="2">
        <v>0.7</v>
      </c>
      <c r="R549">
        <v>0</v>
      </c>
      <c r="V549" t="str">
        <f>VLOOKUP(H549,'[1]팀별 출판사'!A:B,2,0)</f>
        <v>소설1팀</v>
      </c>
      <c r="W549" s="6">
        <f t="shared" si="16"/>
        <v>0</v>
      </c>
      <c r="X549" s="6">
        <f t="shared" si="17"/>
        <v>0</v>
      </c>
    </row>
    <row r="550" spans="1:24" x14ac:dyDescent="0.3">
      <c r="A550" t="s">
        <v>815</v>
      </c>
      <c r="B550" t="s">
        <v>1035</v>
      </c>
      <c r="C550" t="s">
        <v>23</v>
      </c>
      <c r="D550" t="s">
        <v>24</v>
      </c>
      <c r="E550" t="s">
        <v>25</v>
      </c>
      <c r="F550">
        <v>1</v>
      </c>
      <c r="G550" t="s">
        <v>1036</v>
      </c>
      <c r="H550" t="s">
        <v>32</v>
      </c>
      <c r="I550" t="s">
        <v>1037</v>
      </c>
      <c r="J550" t="s">
        <v>311</v>
      </c>
      <c r="K550" t="s">
        <v>29</v>
      </c>
      <c r="L550">
        <v>0</v>
      </c>
      <c r="M550" t="s">
        <v>29</v>
      </c>
      <c r="N550">
        <v>0</v>
      </c>
      <c r="O550">
        <v>0</v>
      </c>
      <c r="P550" t="s">
        <v>30</v>
      </c>
      <c r="Q550" s="2">
        <v>0.7</v>
      </c>
      <c r="R550">
        <v>0</v>
      </c>
      <c r="V550" t="str">
        <f>VLOOKUP(H550,'[1]팀별 출판사'!A:B,2,0)</f>
        <v>소설1팀</v>
      </c>
      <c r="W550" s="6">
        <f t="shared" si="16"/>
        <v>0</v>
      </c>
      <c r="X550" s="6">
        <f t="shared" si="17"/>
        <v>0</v>
      </c>
    </row>
    <row r="551" spans="1:24" x14ac:dyDescent="0.3">
      <c r="A551" t="s">
        <v>815</v>
      </c>
      <c r="B551" t="s">
        <v>1038</v>
      </c>
      <c r="C551" t="s">
        <v>23</v>
      </c>
      <c r="D551" t="s">
        <v>24</v>
      </c>
      <c r="E551" t="s">
        <v>25</v>
      </c>
      <c r="F551">
        <v>1</v>
      </c>
      <c r="G551">
        <v>9791133173402</v>
      </c>
      <c r="H551" t="s">
        <v>26</v>
      </c>
      <c r="I551" t="s">
        <v>1039</v>
      </c>
      <c r="J551" t="s">
        <v>287</v>
      </c>
      <c r="K551" t="s">
        <v>29</v>
      </c>
      <c r="L551">
        <v>0</v>
      </c>
      <c r="M551" t="s">
        <v>29</v>
      </c>
      <c r="N551">
        <v>0</v>
      </c>
      <c r="O551">
        <v>0</v>
      </c>
      <c r="P551" t="s">
        <v>30</v>
      </c>
      <c r="Q551" s="2">
        <v>0.7</v>
      </c>
      <c r="R551">
        <v>0</v>
      </c>
      <c r="V551" t="str">
        <f>VLOOKUP(H551,'[1]팀별 출판사'!A:B,2,0)</f>
        <v>소설1팀</v>
      </c>
      <c r="W551" s="6">
        <f t="shared" si="16"/>
        <v>0</v>
      </c>
      <c r="X551" s="6">
        <f t="shared" si="17"/>
        <v>0</v>
      </c>
    </row>
    <row r="552" spans="1:24" x14ac:dyDescent="0.3">
      <c r="A552" t="s">
        <v>815</v>
      </c>
      <c r="B552" t="s">
        <v>1040</v>
      </c>
      <c r="C552" t="s">
        <v>23</v>
      </c>
      <c r="D552" t="s">
        <v>24</v>
      </c>
      <c r="E552" t="s">
        <v>25</v>
      </c>
      <c r="F552">
        <v>1</v>
      </c>
      <c r="G552">
        <v>9791136911834</v>
      </c>
      <c r="H552" t="s">
        <v>26</v>
      </c>
      <c r="I552" t="s">
        <v>1041</v>
      </c>
      <c r="J552" t="s">
        <v>1042</v>
      </c>
      <c r="K552" t="s">
        <v>29</v>
      </c>
      <c r="L552">
        <v>0</v>
      </c>
      <c r="M552" t="s">
        <v>29</v>
      </c>
      <c r="N552">
        <v>0</v>
      </c>
      <c r="O552">
        <v>0</v>
      </c>
      <c r="P552" t="s">
        <v>30</v>
      </c>
      <c r="Q552" s="2">
        <v>0.7</v>
      </c>
      <c r="R552">
        <v>0</v>
      </c>
      <c r="V552" t="str">
        <f>VLOOKUP(H552,'[1]팀별 출판사'!A:B,2,0)</f>
        <v>소설1팀</v>
      </c>
      <c r="W552" s="6">
        <f t="shared" si="16"/>
        <v>0</v>
      </c>
      <c r="X552" s="6">
        <f t="shared" si="17"/>
        <v>0</v>
      </c>
    </row>
    <row r="553" spans="1:24" x14ac:dyDescent="0.3">
      <c r="A553" t="s">
        <v>815</v>
      </c>
      <c r="B553" t="s">
        <v>1043</v>
      </c>
      <c r="C553" t="s">
        <v>23</v>
      </c>
      <c r="D553" t="s">
        <v>24</v>
      </c>
      <c r="E553" t="s">
        <v>25</v>
      </c>
      <c r="F553">
        <v>1</v>
      </c>
      <c r="G553">
        <v>9791133188765</v>
      </c>
      <c r="H553" t="s">
        <v>26</v>
      </c>
      <c r="I553" t="s">
        <v>1044</v>
      </c>
      <c r="J553" t="s">
        <v>743</v>
      </c>
      <c r="K553" t="s">
        <v>29</v>
      </c>
      <c r="L553" s="1">
        <v>2500</v>
      </c>
      <c r="M553" t="s">
        <v>29</v>
      </c>
      <c r="N553" s="1">
        <v>2500</v>
      </c>
      <c r="O553" s="1">
        <v>2500</v>
      </c>
      <c r="P553" t="s">
        <v>30</v>
      </c>
      <c r="Q553" s="2">
        <v>0.7</v>
      </c>
      <c r="R553" s="1">
        <v>1750</v>
      </c>
      <c r="S553" t="s">
        <v>29</v>
      </c>
      <c r="T553" s="1">
        <v>1750</v>
      </c>
      <c r="V553" t="str">
        <f>VLOOKUP(H553,'[1]팀별 출판사'!A:B,2,0)</f>
        <v>소설1팀</v>
      </c>
      <c r="W553" s="6">
        <f t="shared" si="16"/>
        <v>0</v>
      </c>
      <c r="X553" s="6">
        <f t="shared" si="17"/>
        <v>1750</v>
      </c>
    </row>
    <row r="554" spans="1:24" x14ac:dyDescent="0.3">
      <c r="A554" t="s">
        <v>815</v>
      </c>
      <c r="B554" t="s">
        <v>1045</v>
      </c>
      <c r="C554" t="s">
        <v>23</v>
      </c>
      <c r="D554" t="s">
        <v>24</v>
      </c>
      <c r="E554" t="s">
        <v>25</v>
      </c>
      <c r="F554">
        <v>1</v>
      </c>
      <c r="G554">
        <v>9791133167227</v>
      </c>
      <c r="H554" t="s">
        <v>32</v>
      </c>
      <c r="I554" t="s">
        <v>313</v>
      </c>
      <c r="J554" t="s">
        <v>160</v>
      </c>
      <c r="K554" t="s">
        <v>29</v>
      </c>
      <c r="L554">
        <v>0</v>
      </c>
      <c r="M554" t="s">
        <v>29</v>
      </c>
      <c r="N554">
        <v>0</v>
      </c>
      <c r="O554">
        <v>0</v>
      </c>
      <c r="P554" t="s">
        <v>30</v>
      </c>
      <c r="Q554" s="2">
        <v>0.7</v>
      </c>
      <c r="R554">
        <v>0</v>
      </c>
      <c r="V554" t="str">
        <f>VLOOKUP(H554,'[1]팀별 출판사'!A:B,2,0)</f>
        <v>소설1팀</v>
      </c>
      <c r="W554" s="6">
        <f t="shared" si="16"/>
        <v>0</v>
      </c>
      <c r="X554" s="6">
        <f t="shared" si="17"/>
        <v>0</v>
      </c>
    </row>
    <row r="555" spans="1:24" x14ac:dyDescent="0.3">
      <c r="A555" t="s">
        <v>815</v>
      </c>
      <c r="B555" t="s">
        <v>1046</v>
      </c>
      <c r="C555" t="s">
        <v>23</v>
      </c>
      <c r="D555" t="s">
        <v>24</v>
      </c>
      <c r="E555" t="s">
        <v>25</v>
      </c>
      <c r="F555">
        <v>1</v>
      </c>
      <c r="G555">
        <v>9791133183883</v>
      </c>
      <c r="H555" t="s">
        <v>32</v>
      </c>
      <c r="I555" t="s">
        <v>435</v>
      </c>
      <c r="J555" t="s">
        <v>436</v>
      </c>
      <c r="K555" t="s">
        <v>29</v>
      </c>
      <c r="L555">
        <v>0</v>
      </c>
      <c r="M555" t="s">
        <v>29</v>
      </c>
      <c r="N555">
        <v>0</v>
      </c>
      <c r="O555">
        <v>0</v>
      </c>
      <c r="P555" t="s">
        <v>30</v>
      </c>
      <c r="Q555" s="2">
        <v>0.7</v>
      </c>
      <c r="R555">
        <v>0</v>
      </c>
      <c r="V555" t="str">
        <f>VLOOKUP(H555,'[1]팀별 출판사'!A:B,2,0)</f>
        <v>소설1팀</v>
      </c>
      <c r="W555" s="6">
        <f t="shared" si="16"/>
        <v>0</v>
      </c>
      <c r="X555" s="6">
        <f t="shared" si="17"/>
        <v>0</v>
      </c>
    </row>
    <row r="556" spans="1:24" x14ac:dyDescent="0.3">
      <c r="A556" t="s">
        <v>815</v>
      </c>
      <c r="B556" t="s">
        <v>1047</v>
      </c>
      <c r="C556" t="s">
        <v>23</v>
      </c>
      <c r="D556" t="s">
        <v>24</v>
      </c>
      <c r="E556" t="s">
        <v>25</v>
      </c>
      <c r="F556">
        <v>1</v>
      </c>
      <c r="G556">
        <v>9791133171460</v>
      </c>
      <c r="H556" t="s">
        <v>26</v>
      </c>
      <c r="I556" t="s">
        <v>1048</v>
      </c>
      <c r="J556" t="s">
        <v>287</v>
      </c>
      <c r="K556" t="s">
        <v>29</v>
      </c>
      <c r="L556">
        <v>0</v>
      </c>
      <c r="M556" t="s">
        <v>29</v>
      </c>
      <c r="N556">
        <v>0</v>
      </c>
      <c r="O556">
        <v>0</v>
      </c>
      <c r="P556" t="s">
        <v>30</v>
      </c>
      <c r="Q556" s="2">
        <v>0.7</v>
      </c>
      <c r="R556">
        <v>0</v>
      </c>
      <c r="V556" t="str">
        <f>VLOOKUP(H556,'[1]팀별 출판사'!A:B,2,0)</f>
        <v>소설1팀</v>
      </c>
      <c r="W556" s="6">
        <f t="shared" si="16"/>
        <v>0</v>
      </c>
      <c r="X556" s="6">
        <f t="shared" si="17"/>
        <v>0</v>
      </c>
    </row>
    <row r="557" spans="1:24" x14ac:dyDescent="0.3">
      <c r="A557" t="s">
        <v>815</v>
      </c>
      <c r="B557" t="s">
        <v>1049</v>
      </c>
      <c r="C557" t="s">
        <v>23</v>
      </c>
      <c r="D557" t="s">
        <v>24</v>
      </c>
      <c r="E557" t="s">
        <v>25</v>
      </c>
      <c r="F557">
        <v>1</v>
      </c>
      <c r="G557">
        <v>9791133144792</v>
      </c>
      <c r="H557" t="s">
        <v>32</v>
      </c>
      <c r="I557" t="s">
        <v>223</v>
      </c>
      <c r="J557" t="s">
        <v>88</v>
      </c>
      <c r="K557" t="s">
        <v>29</v>
      </c>
      <c r="L557">
        <v>0</v>
      </c>
      <c r="M557" t="s">
        <v>29</v>
      </c>
      <c r="N557">
        <v>0</v>
      </c>
      <c r="O557">
        <v>0</v>
      </c>
      <c r="P557" t="s">
        <v>30</v>
      </c>
      <c r="Q557" s="2">
        <v>0.7</v>
      </c>
      <c r="R557">
        <v>0</v>
      </c>
      <c r="V557" t="str">
        <f>VLOOKUP(H557,'[1]팀별 출판사'!A:B,2,0)</f>
        <v>소설1팀</v>
      </c>
      <c r="W557" s="6">
        <f t="shared" si="16"/>
        <v>0</v>
      </c>
      <c r="X557" s="6">
        <f t="shared" si="17"/>
        <v>0</v>
      </c>
    </row>
    <row r="558" spans="1:24" x14ac:dyDescent="0.3">
      <c r="A558" t="s">
        <v>815</v>
      </c>
      <c r="B558" t="s">
        <v>1050</v>
      </c>
      <c r="C558" t="s">
        <v>23</v>
      </c>
      <c r="D558" t="s">
        <v>24</v>
      </c>
      <c r="E558" t="s">
        <v>25</v>
      </c>
      <c r="F558">
        <v>1</v>
      </c>
      <c r="G558">
        <v>9791136931375</v>
      </c>
      <c r="H558" t="s">
        <v>32</v>
      </c>
      <c r="I558" t="s">
        <v>189</v>
      </c>
      <c r="J558" t="s">
        <v>46</v>
      </c>
      <c r="K558" t="s">
        <v>29</v>
      </c>
      <c r="L558">
        <v>0</v>
      </c>
      <c r="M558" t="s">
        <v>152</v>
      </c>
      <c r="N558">
        <v>0</v>
      </c>
      <c r="O558">
        <v>0</v>
      </c>
      <c r="P558" t="s">
        <v>153</v>
      </c>
      <c r="Q558" s="2">
        <v>0.7</v>
      </c>
      <c r="R558">
        <v>0</v>
      </c>
      <c r="V558" t="str">
        <f>VLOOKUP(H558,'[1]팀별 출판사'!A:B,2,0)</f>
        <v>소설1팀</v>
      </c>
      <c r="W558" s="6">
        <f t="shared" si="16"/>
        <v>0</v>
      </c>
      <c r="X558" s="6">
        <f t="shared" si="17"/>
        <v>0</v>
      </c>
    </row>
    <row r="559" spans="1:24" x14ac:dyDescent="0.3">
      <c r="A559" t="s">
        <v>815</v>
      </c>
      <c r="B559" t="s">
        <v>1051</v>
      </c>
      <c r="C559" t="s">
        <v>23</v>
      </c>
      <c r="D559" t="s">
        <v>24</v>
      </c>
      <c r="E559" t="s">
        <v>25</v>
      </c>
      <c r="F559">
        <v>1</v>
      </c>
      <c r="G559">
        <v>9791136931382</v>
      </c>
      <c r="H559" t="s">
        <v>32</v>
      </c>
      <c r="I559" t="s">
        <v>523</v>
      </c>
      <c r="J559" t="s">
        <v>46</v>
      </c>
      <c r="K559" t="s">
        <v>29</v>
      </c>
      <c r="L559">
        <v>0</v>
      </c>
      <c r="M559" t="s">
        <v>47</v>
      </c>
      <c r="N559">
        <v>0</v>
      </c>
      <c r="O559">
        <v>0</v>
      </c>
      <c r="P559" t="s">
        <v>48</v>
      </c>
      <c r="Q559" s="2">
        <v>0.7</v>
      </c>
      <c r="R559">
        <v>0</v>
      </c>
      <c r="V559" t="str">
        <f>VLOOKUP(H559,'[1]팀별 출판사'!A:B,2,0)</f>
        <v>소설1팀</v>
      </c>
      <c r="W559" s="6">
        <f t="shared" si="16"/>
        <v>0</v>
      </c>
      <c r="X559" s="6">
        <f t="shared" si="17"/>
        <v>0</v>
      </c>
    </row>
    <row r="560" spans="1:24" x14ac:dyDescent="0.3">
      <c r="A560" t="s">
        <v>815</v>
      </c>
      <c r="B560" t="s">
        <v>1052</v>
      </c>
      <c r="C560" t="s">
        <v>23</v>
      </c>
      <c r="D560" t="s">
        <v>24</v>
      </c>
      <c r="E560" t="s">
        <v>25</v>
      </c>
      <c r="F560">
        <v>1</v>
      </c>
      <c r="G560">
        <v>9791136942142</v>
      </c>
      <c r="H560" t="s">
        <v>26</v>
      </c>
      <c r="I560" t="s">
        <v>180</v>
      </c>
      <c r="J560" t="s">
        <v>46</v>
      </c>
      <c r="K560" t="s">
        <v>29</v>
      </c>
      <c r="L560">
        <v>0</v>
      </c>
      <c r="M560" t="s">
        <v>47</v>
      </c>
      <c r="N560">
        <v>0</v>
      </c>
      <c r="O560">
        <v>0</v>
      </c>
      <c r="P560" t="s">
        <v>48</v>
      </c>
      <c r="Q560" s="2">
        <v>0.7</v>
      </c>
      <c r="R560">
        <v>0</v>
      </c>
      <c r="V560" t="str">
        <f>VLOOKUP(H560,'[1]팀별 출판사'!A:B,2,0)</f>
        <v>소설1팀</v>
      </c>
      <c r="W560" s="6">
        <f t="shared" si="16"/>
        <v>0</v>
      </c>
      <c r="X560" s="6">
        <f t="shared" si="17"/>
        <v>0</v>
      </c>
    </row>
    <row r="561" spans="1:24" x14ac:dyDescent="0.3">
      <c r="A561" t="s">
        <v>815</v>
      </c>
      <c r="B561" t="s">
        <v>1053</v>
      </c>
      <c r="C561" t="s">
        <v>23</v>
      </c>
      <c r="D561" t="s">
        <v>24</v>
      </c>
      <c r="E561" t="s">
        <v>25</v>
      </c>
      <c r="F561">
        <v>1</v>
      </c>
      <c r="G561">
        <v>9791136930224</v>
      </c>
      <c r="H561" t="s">
        <v>32</v>
      </c>
      <c r="I561" t="s">
        <v>172</v>
      </c>
      <c r="J561" t="s">
        <v>46</v>
      </c>
      <c r="K561" t="s">
        <v>29</v>
      </c>
      <c r="L561">
        <v>0</v>
      </c>
      <c r="M561" t="s">
        <v>47</v>
      </c>
      <c r="N561">
        <v>0</v>
      </c>
      <c r="O561">
        <v>0</v>
      </c>
      <c r="P561" t="s">
        <v>48</v>
      </c>
      <c r="Q561" s="2">
        <v>0.7</v>
      </c>
      <c r="R561">
        <v>0</v>
      </c>
      <c r="V561" t="str">
        <f>VLOOKUP(H561,'[1]팀별 출판사'!A:B,2,0)</f>
        <v>소설1팀</v>
      </c>
      <c r="W561" s="6">
        <f t="shared" si="16"/>
        <v>0</v>
      </c>
      <c r="X561" s="6">
        <f t="shared" si="17"/>
        <v>0</v>
      </c>
    </row>
    <row r="562" spans="1:24" x14ac:dyDescent="0.3">
      <c r="A562" t="s">
        <v>815</v>
      </c>
      <c r="B562" t="s">
        <v>1054</v>
      </c>
      <c r="C562" t="s">
        <v>23</v>
      </c>
      <c r="D562" t="s">
        <v>24</v>
      </c>
      <c r="E562" t="s">
        <v>25</v>
      </c>
      <c r="F562">
        <v>1</v>
      </c>
      <c r="G562">
        <v>9791175302488</v>
      </c>
      <c r="H562" t="s">
        <v>26</v>
      </c>
      <c r="I562" t="s">
        <v>602</v>
      </c>
      <c r="J562" t="s">
        <v>603</v>
      </c>
      <c r="K562" t="s">
        <v>29</v>
      </c>
      <c r="L562">
        <v>0</v>
      </c>
      <c r="M562" t="s">
        <v>29</v>
      </c>
      <c r="N562">
        <v>0</v>
      </c>
      <c r="O562">
        <v>0</v>
      </c>
      <c r="P562" t="s">
        <v>30</v>
      </c>
      <c r="Q562" s="2">
        <v>0.7</v>
      </c>
      <c r="R562">
        <v>0</v>
      </c>
      <c r="V562" t="str">
        <f>VLOOKUP(H562,'[1]팀별 출판사'!A:B,2,0)</f>
        <v>소설1팀</v>
      </c>
      <c r="W562" s="6">
        <f t="shared" si="16"/>
        <v>0</v>
      </c>
      <c r="X562" s="6">
        <f t="shared" si="17"/>
        <v>0</v>
      </c>
    </row>
    <row r="563" spans="1:24" x14ac:dyDescent="0.3">
      <c r="A563" t="s">
        <v>815</v>
      </c>
      <c r="B563" t="s">
        <v>1055</v>
      </c>
      <c r="C563" t="s">
        <v>23</v>
      </c>
      <c r="D563" t="s">
        <v>24</v>
      </c>
      <c r="E563" t="s">
        <v>25</v>
      </c>
      <c r="F563">
        <v>1</v>
      </c>
      <c r="G563">
        <v>9791133143801</v>
      </c>
      <c r="H563" t="s">
        <v>32</v>
      </c>
      <c r="I563" t="s">
        <v>1056</v>
      </c>
      <c r="J563" t="s">
        <v>88</v>
      </c>
      <c r="K563" t="s">
        <v>29</v>
      </c>
      <c r="L563">
        <v>0</v>
      </c>
      <c r="M563" t="s">
        <v>29</v>
      </c>
      <c r="N563">
        <v>0</v>
      </c>
      <c r="O563">
        <v>0</v>
      </c>
      <c r="P563" t="s">
        <v>30</v>
      </c>
      <c r="Q563" s="2">
        <v>0.7</v>
      </c>
      <c r="R563">
        <v>0</v>
      </c>
      <c r="V563" t="str">
        <f>VLOOKUP(H563,'[1]팀별 출판사'!A:B,2,0)</f>
        <v>소설1팀</v>
      </c>
      <c r="W563" s="6">
        <f t="shared" si="16"/>
        <v>0</v>
      </c>
      <c r="X563" s="6">
        <f t="shared" si="17"/>
        <v>0</v>
      </c>
    </row>
    <row r="564" spans="1:24" x14ac:dyDescent="0.3">
      <c r="A564" t="s">
        <v>815</v>
      </c>
      <c r="B564" t="s">
        <v>1057</v>
      </c>
      <c r="C564" t="s">
        <v>23</v>
      </c>
      <c r="D564" t="s">
        <v>24</v>
      </c>
      <c r="E564" t="s">
        <v>25</v>
      </c>
      <c r="F564">
        <v>1</v>
      </c>
      <c r="G564">
        <v>9791170104483</v>
      </c>
      <c r="H564" t="s">
        <v>67</v>
      </c>
      <c r="I564" t="s">
        <v>1058</v>
      </c>
      <c r="J564" t="s">
        <v>1007</v>
      </c>
      <c r="K564" t="s">
        <v>29</v>
      </c>
      <c r="L564">
        <v>0</v>
      </c>
      <c r="M564" t="s">
        <v>29</v>
      </c>
      <c r="N564">
        <v>0</v>
      </c>
      <c r="O564">
        <v>0</v>
      </c>
      <c r="P564" t="s">
        <v>30</v>
      </c>
      <c r="Q564" s="2">
        <v>0.7</v>
      </c>
      <c r="R564">
        <v>0</v>
      </c>
      <c r="V564" t="str">
        <f>VLOOKUP(H564,'[1]팀별 출판사'!A:B,2,0)</f>
        <v>소설1팀</v>
      </c>
      <c r="W564" s="6">
        <f t="shared" si="16"/>
        <v>0</v>
      </c>
      <c r="X564" s="6">
        <f t="shared" si="17"/>
        <v>0</v>
      </c>
    </row>
    <row r="565" spans="1:24" x14ac:dyDescent="0.3">
      <c r="A565" t="s">
        <v>815</v>
      </c>
      <c r="B565" t="s">
        <v>1059</v>
      </c>
      <c r="C565" t="s">
        <v>23</v>
      </c>
      <c r="D565" t="s">
        <v>24</v>
      </c>
      <c r="E565" t="s">
        <v>25</v>
      </c>
      <c r="F565">
        <v>1</v>
      </c>
      <c r="G565">
        <v>9791136946782</v>
      </c>
      <c r="H565" t="s">
        <v>26</v>
      </c>
      <c r="I565" t="s">
        <v>291</v>
      </c>
      <c r="J565" t="s">
        <v>28</v>
      </c>
      <c r="K565" t="s">
        <v>29</v>
      </c>
      <c r="L565">
        <v>0</v>
      </c>
      <c r="M565" t="s">
        <v>29</v>
      </c>
      <c r="N565">
        <v>0</v>
      </c>
      <c r="O565">
        <v>0</v>
      </c>
      <c r="P565" t="s">
        <v>30</v>
      </c>
      <c r="Q565" s="2">
        <v>0.7</v>
      </c>
      <c r="R565">
        <v>0</v>
      </c>
      <c r="V565" t="str">
        <f>VLOOKUP(H565,'[1]팀별 출판사'!A:B,2,0)</f>
        <v>소설1팀</v>
      </c>
      <c r="W565" s="6">
        <f t="shared" si="16"/>
        <v>0</v>
      </c>
      <c r="X565" s="6">
        <f t="shared" si="17"/>
        <v>0</v>
      </c>
    </row>
    <row r="566" spans="1:24" x14ac:dyDescent="0.3">
      <c r="A566" t="s">
        <v>815</v>
      </c>
      <c r="B566" t="s">
        <v>1060</v>
      </c>
      <c r="C566" t="s">
        <v>23</v>
      </c>
      <c r="D566" t="s">
        <v>24</v>
      </c>
      <c r="E566" t="s">
        <v>25</v>
      </c>
      <c r="F566">
        <v>1</v>
      </c>
      <c r="G566">
        <v>9791170100126</v>
      </c>
      <c r="H566" t="s">
        <v>67</v>
      </c>
      <c r="I566" t="s">
        <v>1061</v>
      </c>
      <c r="J566" t="s">
        <v>347</v>
      </c>
      <c r="K566" t="s">
        <v>29</v>
      </c>
      <c r="L566">
        <v>0</v>
      </c>
      <c r="M566" t="s">
        <v>29</v>
      </c>
      <c r="N566">
        <v>0</v>
      </c>
      <c r="O566">
        <v>0</v>
      </c>
      <c r="P566" t="s">
        <v>30</v>
      </c>
      <c r="Q566" s="2">
        <v>0.7</v>
      </c>
      <c r="R566">
        <v>0</v>
      </c>
      <c r="V566" t="str">
        <f>VLOOKUP(H566,'[1]팀별 출판사'!A:B,2,0)</f>
        <v>소설1팀</v>
      </c>
      <c r="W566" s="6">
        <f t="shared" si="16"/>
        <v>0</v>
      </c>
      <c r="X566" s="6">
        <f t="shared" si="17"/>
        <v>0</v>
      </c>
    </row>
    <row r="567" spans="1:24" x14ac:dyDescent="0.3">
      <c r="A567" t="s">
        <v>815</v>
      </c>
      <c r="B567" t="s">
        <v>1062</v>
      </c>
      <c r="C567" t="s">
        <v>23</v>
      </c>
      <c r="D567" t="s">
        <v>24</v>
      </c>
      <c r="E567" t="s">
        <v>25</v>
      </c>
      <c r="F567">
        <v>1</v>
      </c>
      <c r="G567">
        <v>9791133186853</v>
      </c>
      <c r="H567" t="s">
        <v>26</v>
      </c>
      <c r="I567" t="s">
        <v>1063</v>
      </c>
      <c r="J567" t="s">
        <v>743</v>
      </c>
      <c r="K567" t="s">
        <v>29</v>
      </c>
      <c r="L567" s="1">
        <v>2500</v>
      </c>
      <c r="M567" t="s">
        <v>29</v>
      </c>
      <c r="N567" s="1">
        <v>2500</v>
      </c>
      <c r="O567" s="1">
        <v>2500</v>
      </c>
      <c r="P567" t="s">
        <v>30</v>
      </c>
      <c r="Q567" s="2">
        <v>0.7</v>
      </c>
      <c r="R567" s="1">
        <v>1750</v>
      </c>
      <c r="S567" t="s">
        <v>29</v>
      </c>
      <c r="T567" s="1">
        <v>1750</v>
      </c>
      <c r="V567" t="str">
        <f>VLOOKUP(H567,'[1]팀별 출판사'!A:B,2,0)</f>
        <v>소설1팀</v>
      </c>
      <c r="W567" s="6">
        <f t="shared" si="16"/>
        <v>0</v>
      </c>
      <c r="X567" s="6">
        <f t="shared" si="17"/>
        <v>1750</v>
      </c>
    </row>
    <row r="568" spans="1:24" x14ac:dyDescent="0.3">
      <c r="A568" t="s">
        <v>815</v>
      </c>
      <c r="B568" t="s">
        <v>1062</v>
      </c>
      <c r="C568" t="s">
        <v>23</v>
      </c>
      <c r="D568" t="s">
        <v>24</v>
      </c>
      <c r="E568" t="s">
        <v>25</v>
      </c>
      <c r="F568">
        <v>1</v>
      </c>
      <c r="G568">
        <v>9791133186860</v>
      </c>
      <c r="H568" t="s">
        <v>26</v>
      </c>
      <c r="I568" t="s">
        <v>1064</v>
      </c>
      <c r="J568" t="s">
        <v>743</v>
      </c>
      <c r="K568" t="s">
        <v>29</v>
      </c>
      <c r="L568" s="1">
        <v>2500</v>
      </c>
      <c r="M568" t="s">
        <v>29</v>
      </c>
      <c r="N568" s="1">
        <v>2500</v>
      </c>
      <c r="O568" s="1">
        <v>2500</v>
      </c>
      <c r="P568" t="s">
        <v>30</v>
      </c>
      <c r="Q568" s="2">
        <v>0.7</v>
      </c>
      <c r="R568" s="1">
        <v>1750</v>
      </c>
      <c r="S568" t="s">
        <v>29</v>
      </c>
      <c r="T568" s="1">
        <v>1750</v>
      </c>
      <c r="V568" t="str">
        <f>VLOOKUP(H568,'[1]팀별 출판사'!A:B,2,0)</f>
        <v>소설1팀</v>
      </c>
      <c r="W568" s="6">
        <f t="shared" si="16"/>
        <v>0</v>
      </c>
      <c r="X568" s="6">
        <f t="shared" si="17"/>
        <v>1750</v>
      </c>
    </row>
    <row r="569" spans="1:24" x14ac:dyDescent="0.3">
      <c r="A569" t="s">
        <v>815</v>
      </c>
      <c r="B569" t="s">
        <v>1062</v>
      </c>
      <c r="C569" t="s">
        <v>23</v>
      </c>
      <c r="D569" t="s">
        <v>24</v>
      </c>
      <c r="E569" t="s">
        <v>25</v>
      </c>
      <c r="F569">
        <v>1</v>
      </c>
      <c r="G569">
        <v>9791133186877</v>
      </c>
      <c r="H569" t="s">
        <v>26</v>
      </c>
      <c r="I569" t="s">
        <v>1065</v>
      </c>
      <c r="J569" t="s">
        <v>743</v>
      </c>
      <c r="K569" t="s">
        <v>29</v>
      </c>
      <c r="L569" s="1">
        <v>2500</v>
      </c>
      <c r="M569" t="s">
        <v>29</v>
      </c>
      <c r="N569" s="1">
        <v>2500</v>
      </c>
      <c r="O569" s="1">
        <v>2500</v>
      </c>
      <c r="P569" t="s">
        <v>30</v>
      </c>
      <c r="Q569" s="2">
        <v>0.7</v>
      </c>
      <c r="R569" s="1">
        <v>1750</v>
      </c>
      <c r="S569" t="s">
        <v>29</v>
      </c>
      <c r="T569" s="1">
        <v>1750</v>
      </c>
      <c r="V569" t="str">
        <f>VLOOKUP(H569,'[1]팀별 출판사'!A:B,2,0)</f>
        <v>소설1팀</v>
      </c>
      <c r="W569" s="6">
        <f t="shared" si="16"/>
        <v>0</v>
      </c>
      <c r="X569" s="6">
        <f t="shared" si="17"/>
        <v>1750</v>
      </c>
    </row>
    <row r="570" spans="1:24" x14ac:dyDescent="0.3">
      <c r="A570" t="s">
        <v>815</v>
      </c>
      <c r="B570" t="s">
        <v>1062</v>
      </c>
      <c r="C570" t="s">
        <v>23</v>
      </c>
      <c r="D570" t="s">
        <v>24</v>
      </c>
      <c r="E570" t="s">
        <v>25</v>
      </c>
      <c r="F570">
        <v>1</v>
      </c>
      <c r="G570">
        <v>9791133186884</v>
      </c>
      <c r="H570" t="s">
        <v>26</v>
      </c>
      <c r="I570" t="s">
        <v>1066</v>
      </c>
      <c r="J570" t="s">
        <v>743</v>
      </c>
      <c r="K570" t="s">
        <v>29</v>
      </c>
      <c r="L570" s="1">
        <v>2500</v>
      </c>
      <c r="M570" t="s">
        <v>29</v>
      </c>
      <c r="N570" s="1">
        <v>2500</v>
      </c>
      <c r="O570" s="1">
        <v>2500</v>
      </c>
      <c r="P570" t="s">
        <v>30</v>
      </c>
      <c r="Q570" s="2">
        <v>0.7</v>
      </c>
      <c r="R570" s="1">
        <v>1750</v>
      </c>
      <c r="S570" t="s">
        <v>29</v>
      </c>
      <c r="T570" s="1">
        <v>1750</v>
      </c>
      <c r="V570" t="str">
        <f>VLOOKUP(H570,'[1]팀별 출판사'!A:B,2,0)</f>
        <v>소설1팀</v>
      </c>
      <c r="W570" s="6">
        <f t="shared" si="16"/>
        <v>0</v>
      </c>
      <c r="X570" s="6">
        <f t="shared" si="17"/>
        <v>1750</v>
      </c>
    </row>
    <row r="571" spans="1:24" x14ac:dyDescent="0.3">
      <c r="A571" t="s">
        <v>815</v>
      </c>
      <c r="B571" t="s">
        <v>1067</v>
      </c>
      <c r="C571" t="s">
        <v>23</v>
      </c>
      <c r="D571" t="s">
        <v>24</v>
      </c>
      <c r="E571" t="s">
        <v>25</v>
      </c>
      <c r="F571">
        <v>1</v>
      </c>
      <c r="G571">
        <v>9791170106715</v>
      </c>
      <c r="H571" t="s">
        <v>67</v>
      </c>
      <c r="I571" t="s">
        <v>68</v>
      </c>
      <c r="J571" t="s">
        <v>69</v>
      </c>
      <c r="K571" t="s">
        <v>29</v>
      </c>
      <c r="L571">
        <v>0</v>
      </c>
      <c r="M571" t="s">
        <v>478</v>
      </c>
      <c r="N571">
        <v>0</v>
      </c>
      <c r="O571">
        <v>0</v>
      </c>
      <c r="P571" t="s">
        <v>479</v>
      </c>
      <c r="Q571" s="2">
        <v>0.7</v>
      </c>
      <c r="R571">
        <v>0</v>
      </c>
      <c r="V571" t="str">
        <f>VLOOKUP(H571,'[1]팀별 출판사'!A:B,2,0)</f>
        <v>소설1팀</v>
      </c>
      <c r="W571" s="6">
        <f t="shared" si="16"/>
        <v>0</v>
      </c>
      <c r="X571" s="6">
        <f t="shared" si="17"/>
        <v>0</v>
      </c>
    </row>
    <row r="572" spans="1:24" x14ac:dyDescent="0.3">
      <c r="A572" t="s">
        <v>815</v>
      </c>
      <c r="B572" t="s">
        <v>1068</v>
      </c>
      <c r="C572" t="s">
        <v>23</v>
      </c>
      <c r="D572" t="s">
        <v>24</v>
      </c>
      <c r="E572" t="s">
        <v>25</v>
      </c>
      <c r="F572">
        <v>1</v>
      </c>
      <c r="G572">
        <v>9791172924850</v>
      </c>
      <c r="H572" t="s">
        <v>26</v>
      </c>
      <c r="I572" t="s">
        <v>61</v>
      </c>
      <c r="J572" t="s">
        <v>62</v>
      </c>
      <c r="K572" t="s">
        <v>29</v>
      </c>
      <c r="L572">
        <v>0</v>
      </c>
      <c r="M572" t="s">
        <v>29</v>
      </c>
      <c r="N572">
        <v>0</v>
      </c>
      <c r="O572">
        <v>0</v>
      </c>
      <c r="P572" t="s">
        <v>30</v>
      </c>
      <c r="Q572" s="2">
        <v>0.7</v>
      </c>
      <c r="R572">
        <v>0</v>
      </c>
      <c r="V572" t="str">
        <f>VLOOKUP(H572,'[1]팀별 출판사'!A:B,2,0)</f>
        <v>소설1팀</v>
      </c>
      <c r="W572" s="6">
        <f t="shared" si="16"/>
        <v>0</v>
      </c>
      <c r="X572" s="6">
        <f t="shared" si="17"/>
        <v>0</v>
      </c>
    </row>
    <row r="573" spans="1:24" x14ac:dyDescent="0.3">
      <c r="A573" t="s">
        <v>815</v>
      </c>
      <c r="B573" t="s">
        <v>1069</v>
      </c>
      <c r="C573" t="s">
        <v>23</v>
      </c>
      <c r="D573" t="s">
        <v>24</v>
      </c>
      <c r="E573" t="s">
        <v>25</v>
      </c>
      <c r="F573">
        <v>1</v>
      </c>
      <c r="G573">
        <v>9791136930156</v>
      </c>
      <c r="H573" t="s">
        <v>32</v>
      </c>
      <c r="I573" t="s">
        <v>702</v>
      </c>
      <c r="J573" t="s">
        <v>34</v>
      </c>
      <c r="K573" t="s">
        <v>29</v>
      </c>
      <c r="L573">
        <v>0</v>
      </c>
      <c r="M573" t="s">
        <v>29</v>
      </c>
      <c r="N573">
        <v>0</v>
      </c>
      <c r="O573">
        <v>0</v>
      </c>
      <c r="P573" t="s">
        <v>30</v>
      </c>
      <c r="Q573" s="2">
        <v>0.7</v>
      </c>
      <c r="R573">
        <v>0</v>
      </c>
      <c r="V573" t="str">
        <f>VLOOKUP(H573,'[1]팀별 출판사'!A:B,2,0)</f>
        <v>소설1팀</v>
      </c>
      <c r="W573" s="6">
        <f t="shared" si="16"/>
        <v>0</v>
      </c>
      <c r="X573" s="6">
        <f t="shared" si="17"/>
        <v>0</v>
      </c>
    </row>
    <row r="574" spans="1:24" x14ac:dyDescent="0.3">
      <c r="A574" t="s">
        <v>815</v>
      </c>
      <c r="B574" t="s">
        <v>1070</v>
      </c>
      <c r="C574" t="s">
        <v>23</v>
      </c>
      <c r="D574" t="s">
        <v>24</v>
      </c>
      <c r="E574" t="s">
        <v>25</v>
      </c>
      <c r="F574">
        <v>1</v>
      </c>
      <c r="G574">
        <v>9791170100379</v>
      </c>
      <c r="H574" t="s">
        <v>67</v>
      </c>
      <c r="I574" t="s">
        <v>1006</v>
      </c>
      <c r="J574" t="s">
        <v>1007</v>
      </c>
      <c r="K574" t="s">
        <v>29</v>
      </c>
      <c r="L574">
        <v>0</v>
      </c>
      <c r="M574" t="s">
        <v>29</v>
      </c>
      <c r="N574">
        <v>0</v>
      </c>
      <c r="O574">
        <v>0</v>
      </c>
      <c r="P574" t="s">
        <v>30</v>
      </c>
      <c r="Q574" s="2">
        <v>0.7</v>
      </c>
      <c r="R574">
        <v>0</v>
      </c>
      <c r="V574" t="str">
        <f>VLOOKUP(H574,'[1]팀별 출판사'!A:B,2,0)</f>
        <v>소설1팀</v>
      </c>
      <c r="W574" s="6">
        <f t="shared" si="16"/>
        <v>0</v>
      </c>
      <c r="X574" s="6">
        <f t="shared" si="17"/>
        <v>0</v>
      </c>
    </row>
    <row r="575" spans="1:24" x14ac:dyDescent="0.3">
      <c r="A575" t="s">
        <v>815</v>
      </c>
      <c r="B575" t="s">
        <v>1071</v>
      </c>
      <c r="C575" t="s">
        <v>23</v>
      </c>
      <c r="D575" t="s">
        <v>24</v>
      </c>
      <c r="E575" t="s">
        <v>25</v>
      </c>
      <c r="F575">
        <v>1</v>
      </c>
      <c r="G575">
        <v>9791170104735</v>
      </c>
      <c r="H575" t="s">
        <v>67</v>
      </c>
      <c r="I575" t="s">
        <v>1072</v>
      </c>
      <c r="J575" t="s">
        <v>1073</v>
      </c>
      <c r="K575" t="s">
        <v>29</v>
      </c>
      <c r="L575">
        <v>0</v>
      </c>
      <c r="M575" t="s">
        <v>29</v>
      </c>
      <c r="N575">
        <v>0</v>
      </c>
      <c r="O575">
        <v>0</v>
      </c>
      <c r="P575" t="s">
        <v>30</v>
      </c>
      <c r="Q575" s="2">
        <v>0.7</v>
      </c>
      <c r="R575">
        <v>0</v>
      </c>
      <c r="V575" t="str">
        <f>VLOOKUP(H575,'[1]팀별 출판사'!A:B,2,0)</f>
        <v>소설1팀</v>
      </c>
      <c r="W575" s="6">
        <f t="shared" si="16"/>
        <v>0</v>
      </c>
      <c r="X575" s="6">
        <f t="shared" si="17"/>
        <v>0</v>
      </c>
    </row>
    <row r="576" spans="1:24" x14ac:dyDescent="0.3">
      <c r="A576" t="s">
        <v>815</v>
      </c>
      <c r="B576" t="s">
        <v>1074</v>
      </c>
      <c r="C576" t="s">
        <v>23</v>
      </c>
      <c r="D576" t="s">
        <v>24</v>
      </c>
      <c r="E576" t="s">
        <v>25</v>
      </c>
      <c r="F576">
        <v>1</v>
      </c>
      <c r="G576">
        <v>9791170100546</v>
      </c>
      <c r="H576" t="s">
        <v>67</v>
      </c>
      <c r="I576" t="s">
        <v>428</v>
      </c>
      <c r="J576" t="s">
        <v>429</v>
      </c>
      <c r="K576" t="s">
        <v>29</v>
      </c>
      <c r="L576">
        <v>0</v>
      </c>
      <c r="M576" t="s">
        <v>29</v>
      </c>
      <c r="N576">
        <v>0</v>
      </c>
      <c r="O576">
        <v>0</v>
      </c>
      <c r="P576" t="s">
        <v>30</v>
      </c>
      <c r="Q576" s="2">
        <v>0.7</v>
      </c>
      <c r="R576">
        <v>0</v>
      </c>
      <c r="V576" t="str">
        <f>VLOOKUP(H576,'[1]팀별 출판사'!A:B,2,0)</f>
        <v>소설1팀</v>
      </c>
      <c r="W576" s="6">
        <f t="shared" si="16"/>
        <v>0</v>
      </c>
      <c r="X576" s="6">
        <f t="shared" si="17"/>
        <v>0</v>
      </c>
    </row>
    <row r="577" spans="1:24" x14ac:dyDescent="0.3">
      <c r="A577" t="s">
        <v>815</v>
      </c>
      <c r="B577" t="s">
        <v>1075</v>
      </c>
      <c r="C577" t="s">
        <v>23</v>
      </c>
      <c r="D577" t="s">
        <v>24</v>
      </c>
      <c r="E577" t="s">
        <v>25</v>
      </c>
      <c r="F577">
        <v>1</v>
      </c>
      <c r="G577">
        <v>9791136938947</v>
      </c>
      <c r="H577" t="s">
        <v>26</v>
      </c>
      <c r="I577" t="s">
        <v>1076</v>
      </c>
      <c r="J577" t="s">
        <v>1077</v>
      </c>
      <c r="K577" t="s">
        <v>29</v>
      </c>
      <c r="L577">
        <v>0</v>
      </c>
      <c r="M577" t="s">
        <v>29</v>
      </c>
      <c r="N577">
        <v>0</v>
      </c>
      <c r="O577">
        <v>0</v>
      </c>
      <c r="P577" t="s">
        <v>30</v>
      </c>
      <c r="Q577" s="2">
        <v>0.7</v>
      </c>
      <c r="R577">
        <v>0</v>
      </c>
      <c r="V577" t="str">
        <f>VLOOKUP(H577,'[1]팀별 출판사'!A:B,2,0)</f>
        <v>소설1팀</v>
      </c>
      <c r="W577" s="6">
        <f t="shared" si="16"/>
        <v>0</v>
      </c>
      <c r="X577" s="6">
        <f t="shared" si="17"/>
        <v>0</v>
      </c>
    </row>
    <row r="578" spans="1:24" x14ac:dyDescent="0.3">
      <c r="A578" t="s">
        <v>815</v>
      </c>
      <c r="B578" t="s">
        <v>1078</v>
      </c>
      <c r="C578" t="s">
        <v>23</v>
      </c>
      <c r="D578" t="s">
        <v>24</v>
      </c>
      <c r="E578" t="s">
        <v>25</v>
      </c>
      <c r="F578">
        <v>1</v>
      </c>
      <c r="G578">
        <v>9791133150298</v>
      </c>
      <c r="H578" t="s">
        <v>32</v>
      </c>
      <c r="I578" t="s">
        <v>1079</v>
      </c>
      <c r="J578" t="s">
        <v>178</v>
      </c>
      <c r="K578" t="s">
        <v>29</v>
      </c>
      <c r="L578">
        <v>0</v>
      </c>
      <c r="M578" t="s">
        <v>29</v>
      </c>
      <c r="N578">
        <v>0</v>
      </c>
      <c r="O578">
        <v>0</v>
      </c>
      <c r="P578" t="s">
        <v>30</v>
      </c>
      <c r="Q578" s="2">
        <v>0.7</v>
      </c>
      <c r="R578">
        <v>0</v>
      </c>
      <c r="V578" t="str">
        <f>VLOOKUP(H578,'[1]팀별 출판사'!A:B,2,0)</f>
        <v>소설1팀</v>
      </c>
      <c r="W578" s="6">
        <f t="shared" ref="W578:W641" si="18">IF(P578="US", T578*30%, 0)</f>
        <v>0</v>
      </c>
      <c r="X578" s="6">
        <f t="shared" ref="X578:X641" si="19">T578-W578</f>
        <v>0</v>
      </c>
    </row>
    <row r="579" spans="1:24" x14ac:dyDescent="0.3">
      <c r="A579" t="s">
        <v>815</v>
      </c>
      <c r="B579" t="s">
        <v>1080</v>
      </c>
      <c r="C579" t="s">
        <v>23</v>
      </c>
      <c r="D579" t="s">
        <v>24</v>
      </c>
      <c r="E579" t="s">
        <v>25</v>
      </c>
      <c r="F579">
        <v>1</v>
      </c>
      <c r="G579">
        <v>9791136935007</v>
      </c>
      <c r="H579" t="s">
        <v>32</v>
      </c>
      <c r="I579" t="s">
        <v>1081</v>
      </c>
      <c r="J579" t="s">
        <v>1082</v>
      </c>
      <c r="K579" t="s">
        <v>29</v>
      </c>
      <c r="L579">
        <v>0</v>
      </c>
      <c r="M579" t="s">
        <v>252</v>
      </c>
      <c r="N579">
        <v>0</v>
      </c>
      <c r="O579">
        <v>0</v>
      </c>
      <c r="P579" t="s">
        <v>253</v>
      </c>
      <c r="Q579" s="2">
        <v>0.7</v>
      </c>
      <c r="R579">
        <v>0</v>
      </c>
      <c r="V579" t="str">
        <f>VLOOKUP(H579,'[1]팀별 출판사'!A:B,2,0)</f>
        <v>소설1팀</v>
      </c>
      <c r="W579" s="6">
        <f t="shared" si="18"/>
        <v>0</v>
      </c>
      <c r="X579" s="6">
        <f t="shared" si="19"/>
        <v>0</v>
      </c>
    </row>
    <row r="580" spans="1:24" x14ac:dyDescent="0.3">
      <c r="A580" t="s">
        <v>815</v>
      </c>
      <c r="B580" t="s">
        <v>1083</v>
      </c>
      <c r="C580" t="s">
        <v>23</v>
      </c>
      <c r="D580" t="s">
        <v>24</v>
      </c>
      <c r="E580" t="s">
        <v>25</v>
      </c>
      <c r="F580">
        <v>1</v>
      </c>
      <c r="G580">
        <v>9791136935007</v>
      </c>
      <c r="H580" t="s">
        <v>32</v>
      </c>
      <c r="I580" t="s">
        <v>1081</v>
      </c>
      <c r="J580" t="s">
        <v>1082</v>
      </c>
      <c r="K580" t="s">
        <v>29</v>
      </c>
      <c r="L580">
        <v>0</v>
      </c>
      <c r="M580" t="s">
        <v>252</v>
      </c>
      <c r="N580">
        <v>0</v>
      </c>
      <c r="O580">
        <v>0</v>
      </c>
      <c r="P580" t="s">
        <v>253</v>
      </c>
      <c r="Q580" s="2">
        <v>0.7</v>
      </c>
      <c r="R580">
        <v>0</v>
      </c>
      <c r="V580" t="str">
        <f>VLOOKUP(H580,'[1]팀별 출판사'!A:B,2,0)</f>
        <v>소설1팀</v>
      </c>
      <c r="W580" s="6">
        <f t="shared" si="18"/>
        <v>0</v>
      </c>
      <c r="X580" s="6">
        <f t="shared" si="19"/>
        <v>0</v>
      </c>
    </row>
    <row r="581" spans="1:24" x14ac:dyDescent="0.3">
      <c r="A581" t="s">
        <v>815</v>
      </c>
      <c r="B581" t="s">
        <v>1084</v>
      </c>
      <c r="C581" t="s">
        <v>23</v>
      </c>
      <c r="D581" t="s">
        <v>24</v>
      </c>
      <c r="E581" t="s">
        <v>25</v>
      </c>
      <c r="F581">
        <v>1</v>
      </c>
      <c r="G581">
        <v>9791136930552</v>
      </c>
      <c r="H581" t="s">
        <v>26</v>
      </c>
      <c r="I581" t="s">
        <v>45</v>
      </c>
      <c r="J581" t="s">
        <v>46</v>
      </c>
      <c r="K581" t="s">
        <v>29</v>
      </c>
      <c r="L581">
        <v>0</v>
      </c>
      <c r="M581" t="s">
        <v>47</v>
      </c>
      <c r="N581">
        <v>0</v>
      </c>
      <c r="O581">
        <v>0</v>
      </c>
      <c r="P581" t="s">
        <v>48</v>
      </c>
      <c r="Q581" s="2">
        <v>0.7</v>
      </c>
      <c r="R581">
        <v>0</v>
      </c>
      <c r="V581" t="str">
        <f>VLOOKUP(H581,'[1]팀별 출판사'!A:B,2,0)</f>
        <v>소설1팀</v>
      </c>
      <c r="W581" s="6">
        <f t="shared" si="18"/>
        <v>0</v>
      </c>
      <c r="X581" s="6">
        <f t="shared" si="19"/>
        <v>0</v>
      </c>
    </row>
    <row r="582" spans="1:24" x14ac:dyDescent="0.3">
      <c r="A582" t="s">
        <v>815</v>
      </c>
      <c r="B582" t="s">
        <v>1085</v>
      </c>
      <c r="C582" t="s">
        <v>23</v>
      </c>
      <c r="D582" t="s">
        <v>24</v>
      </c>
      <c r="E582" t="s">
        <v>25</v>
      </c>
      <c r="F582">
        <v>1</v>
      </c>
      <c r="G582">
        <v>9791136905703</v>
      </c>
      <c r="H582" t="s">
        <v>26</v>
      </c>
      <c r="I582" t="s">
        <v>1086</v>
      </c>
      <c r="J582" t="s">
        <v>311</v>
      </c>
      <c r="K582" t="s">
        <v>29</v>
      </c>
      <c r="L582" s="1">
        <v>3200</v>
      </c>
      <c r="M582" t="s">
        <v>29</v>
      </c>
      <c r="N582" s="1">
        <v>3200</v>
      </c>
      <c r="O582" s="1">
        <v>3200</v>
      </c>
      <c r="P582" t="s">
        <v>30</v>
      </c>
      <c r="Q582" s="2">
        <v>0.7</v>
      </c>
      <c r="R582" s="1">
        <v>2240</v>
      </c>
      <c r="S582" t="s">
        <v>29</v>
      </c>
      <c r="T582" s="1">
        <v>2240</v>
      </c>
      <c r="V582" t="str">
        <f>VLOOKUP(H582,'[1]팀별 출판사'!A:B,2,0)</f>
        <v>소설1팀</v>
      </c>
      <c r="W582" s="6">
        <f t="shared" si="18"/>
        <v>0</v>
      </c>
      <c r="X582" s="6">
        <f t="shared" si="19"/>
        <v>2240</v>
      </c>
    </row>
    <row r="583" spans="1:24" x14ac:dyDescent="0.3">
      <c r="A583" t="s">
        <v>815</v>
      </c>
      <c r="B583" t="s">
        <v>1087</v>
      </c>
      <c r="C583" t="s">
        <v>23</v>
      </c>
      <c r="D583" t="s">
        <v>24</v>
      </c>
      <c r="E583" t="s">
        <v>25</v>
      </c>
      <c r="F583">
        <v>1</v>
      </c>
      <c r="G583">
        <v>9791133184941</v>
      </c>
      <c r="H583" t="s">
        <v>32</v>
      </c>
      <c r="I583" t="s">
        <v>1088</v>
      </c>
      <c r="J583" t="s">
        <v>166</v>
      </c>
      <c r="K583" t="s">
        <v>29</v>
      </c>
      <c r="L583">
        <v>0</v>
      </c>
      <c r="M583" t="s">
        <v>29</v>
      </c>
      <c r="N583">
        <v>0</v>
      </c>
      <c r="O583">
        <v>0</v>
      </c>
      <c r="P583" t="s">
        <v>30</v>
      </c>
      <c r="Q583" s="2">
        <v>0.7</v>
      </c>
      <c r="R583">
        <v>0</v>
      </c>
      <c r="V583" t="str">
        <f>VLOOKUP(H583,'[1]팀별 출판사'!A:B,2,0)</f>
        <v>소설1팀</v>
      </c>
      <c r="W583" s="6">
        <f t="shared" si="18"/>
        <v>0</v>
      </c>
      <c r="X583" s="6">
        <f t="shared" si="19"/>
        <v>0</v>
      </c>
    </row>
    <row r="584" spans="1:24" x14ac:dyDescent="0.3">
      <c r="A584" t="s">
        <v>815</v>
      </c>
      <c r="B584" t="s">
        <v>1089</v>
      </c>
      <c r="C584" t="s">
        <v>23</v>
      </c>
      <c r="D584" t="s">
        <v>24</v>
      </c>
      <c r="E584" t="s">
        <v>25</v>
      </c>
      <c r="F584">
        <v>1</v>
      </c>
      <c r="G584">
        <v>9791175300651</v>
      </c>
      <c r="H584" t="s">
        <v>26</v>
      </c>
      <c r="I584" t="s">
        <v>1090</v>
      </c>
      <c r="J584" t="s">
        <v>256</v>
      </c>
      <c r="K584" t="s">
        <v>29</v>
      </c>
      <c r="L584">
        <v>0</v>
      </c>
      <c r="M584" t="s">
        <v>29</v>
      </c>
      <c r="N584">
        <v>0</v>
      </c>
      <c r="O584">
        <v>0</v>
      </c>
      <c r="P584" t="s">
        <v>30</v>
      </c>
      <c r="Q584" s="2">
        <v>0.7</v>
      </c>
      <c r="R584">
        <v>0</v>
      </c>
      <c r="V584" t="str">
        <f>VLOOKUP(H584,'[1]팀별 출판사'!A:B,2,0)</f>
        <v>소설1팀</v>
      </c>
      <c r="W584" s="6">
        <f t="shared" si="18"/>
        <v>0</v>
      </c>
      <c r="X584" s="6">
        <f t="shared" si="19"/>
        <v>0</v>
      </c>
    </row>
    <row r="585" spans="1:24" x14ac:dyDescent="0.3">
      <c r="A585" t="s">
        <v>815</v>
      </c>
      <c r="B585" t="s">
        <v>1091</v>
      </c>
      <c r="C585" t="s">
        <v>23</v>
      </c>
      <c r="D585" t="s">
        <v>24</v>
      </c>
      <c r="E585" t="s">
        <v>25</v>
      </c>
      <c r="F585">
        <v>1</v>
      </c>
      <c r="G585">
        <v>9791136945013</v>
      </c>
      <c r="H585" t="s">
        <v>26</v>
      </c>
      <c r="I585" t="s">
        <v>125</v>
      </c>
      <c r="J585" t="s">
        <v>126</v>
      </c>
      <c r="K585" t="s">
        <v>29</v>
      </c>
      <c r="L585">
        <v>0</v>
      </c>
      <c r="M585" t="s">
        <v>47</v>
      </c>
      <c r="N585">
        <v>0</v>
      </c>
      <c r="O585">
        <v>0</v>
      </c>
      <c r="P585" t="s">
        <v>48</v>
      </c>
      <c r="Q585" s="2">
        <v>0.7</v>
      </c>
      <c r="R585">
        <v>0</v>
      </c>
      <c r="V585" t="str">
        <f>VLOOKUP(H585,'[1]팀별 출판사'!A:B,2,0)</f>
        <v>소설1팀</v>
      </c>
      <c r="W585" s="6">
        <f t="shared" si="18"/>
        <v>0</v>
      </c>
      <c r="X585" s="6">
        <f t="shared" si="19"/>
        <v>0</v>
      </c>
    </row>
    <row r="586" spans="1:24" x14ac:dyDescent="0.3">
      <c r="A586" t="s">
        <v>815</v>
      </c>
      <c r="B586" t="s">
        <v>1092</v>
      </c>
      <c r="C586" t="s">
        <v>23</v>
      </c>
      <c r="D586" t="s">
        <v>24</v>
      </c>
      <c r="E586" t="s">
        <v>25</v>
      </c>
      <c r="F586">
        <v>1</v>
      </c>
      <c r="G586">
        <v>9791170107064</v>
      </c>
      <c r="H586" t="s">
        <v>67</v>
      </c>
      <c r="I586" t="s">
        <v>901</v>
      </c>
      <c r="J586" t="s">
        <v>902</v>
      </c>
      <c r="K586" t="s">
        <v>29</v>
      </c>
      <c r="L586">
        <v>0</v>
      </c>
      <c r="M586" t="s">
        <v>70</v>
      </c>
      <c r="N586">
        <v>0</v>
      </c>
      <c r="O586">
        <v>0</v>
      </c>
      <c r="P586" t="s">
        <v>71</v>
      </c>
      <c r="Q586" s="2">
        <v>0.7</v>
      </c>
      <c r="R586">
        <v>0</v>
      </c>
      <c r="V586" t="str">
        <f>VLOOKUP(H586,'[1]팀별 출판사'!A:B,2,0)</f>
        <v>소설1팀</v>
      </c>
      <c r="W586" s="6">
        <f t="shared" si="18"/>
        <v>0</v>
      </c>
      <c r="X586" s="6">
        <f t="shared" si="19"/>
        <v>0</v>
      </c>
    </row>
    <row r="587" spans="1:24" x14ac:dyDescent="0.3">
      <c r="A587" t="s">
        <v>815</v>
      </c>
      <c r="B587" t="s">
        <v>1093</v>
      </c>
      <c r="C587" t="s">
        <v>23</v>
      </c>
      <c r="D587" t="s">
        <v>24</v>
      </c>
      <c r="E587" t="s">
        <v>25</v>
      </c>
      <c r="F587">
        <v>1</v>
      </c>
      <c r="G587">
        <v>9791173787027</v>
      </c>
      <c r="H587" t="s">
        <v>26</v>
      </c>
      <c r="I587" t="s">
        <v>255</v>
      </c>
      <c r="J587" t="s">
        <v>256</v>
      </c>
      <c r="K587" t="s">
        <v>29</v>
      </c>
      <c r="L587">
        <v>0</v>
      </c>
      <c r="M587" t="s">
        <v>29</v>
      </c>
      <c r="N587">
        <v>0</v>
      </c>
      <c r="O587">
        <v>0</v>
      </c>
      <c r="P587" t="s">
        <v>30</v>
      </c>
      <c r="Q587" s="2">
        <v>0.7</v>
      </c>
      <c r="R587">
        <v>0</v>
      </c>
      <c r="V587" t="str">
        <f>VLOOKUP(H587,'[1]팀별 출판사'!A:B,2,0)</f>
        <v>소설1팀</v>
      </c>
      <c r="W587" s="6">
        <f t="shared" si="18"/>
        <v>0</v>
      </c>
      <c r="X587" s="6">
        <f t="shared" si="19"/>
        <v>0</v>
      </c>
    </row>
    <row r="588" spans="1:24" x14ac:dyDescent="0.3">
      <c r="A588" t="s">
        <v>815</v>
      </c>
      <c r="B588" t="s">
        <v>1094</v>
      </c>
      <c r="C588" t="s">
        <v>23</v>
      </c>
      <c r="D588" t="s">
        <v>24</v>
      </c>
      <c r="E588" t="s">
        <v>25</v>
      </c>
      <c r="F588">
        <v>1</v>
      </c>
      <c r="G588">
        <v>9791133190065</v>
      </c>
      <c r="H588" t="s">
        <v>26</v>
      </c>
      <c r="I588" t="s">
        <v>1095</v>
      </c>
      <c r="J588" t="s">
        <v>1096</v>
      </c>
      <c r="K588" t="s">
        <v>29</v>
      </c>
      <c r="L588">
        <v>0</v>
      </c>
      <c r="M588" t="s">
        <v>29</v>
      </c>
      <c r="N588">
        <v>0</v>
      </c>
      <c r="O588">
        <v>0</v>
      </c>
      <c r="P588" t="s">
        <v>30</v>
      </c>
      <c r="Q588" s="2">
        <v>0.7</v>
      </c>
      <c r="R588">
        <v>0</v>
      </c>
      <c r="V588" t="str">
        <f>VLOOKUP(H588,'[1]팀별 출판사'!A:B,2,0)</f>
        <v>소설1팀</v>
      </c>
      <c r="W588" s="6">
        <f t="shared" si="18"/>
        <v>0</v>
      </c>
      <c r="X588" s="6">
        <f t="shared" si="19"/>
        <v>0</v>
      </c>
    </row>
    <row r="589" spans="1:24" x14ac:dyDescent="0.3">
      <c r="A589" t="s">
        <v>815</v>
      </c>
      <c r="B589" t="s">
        <v>1097</v>
      </c>
      <c r="C589" t="s">
        <v>23</v>
      </c>
      <c r="D589" t="s">
        <v>24</v>
      </c>
      <c r="E589" t="s">
        <v>25</v>
      </c>
      <c r="F589">
        <v>1</v>
      </c>
      <c r="G589">
        <v>9791157532629</v>
      </c>
      <c r="H589" t="s">
        <v>32</v>
      </c>
      <c r="I589" t="s">
        <v>1098</v>
      </c>
      <c r="J589" t="s">
        <v>187</v>
      </c>
      <c r="K589" t="s">
        <v>29</v>
      </c>
      <c r="L589">
        <v>0</v>
      </c>
      <c r="M589" t="s">
        <v>29</v>
      </c>
      <c r="N589">
        <v>0</v>
      </c>
      <c r="O589">
        <v>0</v>
      </c>
      <c r="P589" t="s">
        <v>30</v>
      </c>
      <c r="Q589" s="2">
        <v>0.7</v>
      </c>
      <c r="R589">
        <v>0</v>
      </c>
      <c r="V589" t="str">
        <f>VLOOKUP(H589,'[1]팀별 출판사'!A:B,2,0)</f>
        <v>소설1팀</v>
      </c>
      <c r="W589" s="6">
        <f t="shared" si="18"/>
        <v>0</v>
      </c>
      <c r="X589" s="6">
        <f t="shared" si="19"/>
        <v>0</v>
      </c>
    </row>
    <row r="590" spans="1:24" x14ac:dyDescent="0.3">
      <c r="A590" t="s">
        <v>1099</v>
      </c>
      <c r="B590" t="s">
        <v>1100</v>
      </c>
      <c r="C590" t="s">
        <v>23</v>
      </c>
      <c r="D590" t="s">
        <v>24</v>
      </c>
      <c r="E590" t="s">
        <v>25</v>
      </c>
      <c r="F590">
        <v>1</v>
      </c>
      <c r="G590">
        <v>9791194664369</v>
      </c>
      <c r="H590" t="s">
        <v>79</v>
      </c>
      <c r="I590" t="s">
        <v>156</v>
      </c>
      <c r="J590" t="s">
        <v>157</v>
      </c>
      <c r="K590" t="s">
        <v>29</v>
      </c>
      <c r="L590">
        <v>0</v>
      </c>
      <c r="M590" t="s">
        <v>47</v>
      </c>
      <c r="N590">
        <v>0</v>
      </c>
      <c r="O590">
        <v>0</v>
      </c>
      <c r="P590" t="s">
        <v>48</v>
      </c>
      <c r="Q590" s="2">
        <v>0.7</v>
      </c>
      <c r="R590">
        <v>0</v>
      </c>
      <c r="V590" t="str">
        <f>VLOOKUP(H590,'[1]팀별 출판사'!A:B,2,0)</f>
        <v>소설1팀</v>
      </c>
      <c r="W590" s="6">
        <f t="shared" si="18"/>
        <v>0</v>
      </c>
      <c r="X590" s="6">
        <f t="shared" si="19"/>
        <v>0</v>
      </c>
    </row>
    <row r="591" spans="1:24" x14ac:dyDescent="0.3">
      <c r="A591" t="s">
        <v>1099</v>
      </c>
      <c r="B591" t="s">
        <v>1101</v>
      </c>
      <c r="C591" t="s">
        <v>23</v>
      </c>
      <c r="D591" t="s">
        <v>24</v>
      </c>
      <c r="E591" t="s">
        <v>25</v>
      </c>
      <c r="F591">
        <v>1</v>
      </c>
      <c r="G591">
        <v>9791136942142</v>
      </c>
      <c r="H591" t="s">
        <v>26</v>
      </c>
      <c r="I591" t="s">
        <v>180</v>
      </c>
      <c r="J591" t="s">
        <v>46</v>
      </c>
      <c r="K591" t="s">
        <v>29</v>
      </c>
      <c r="L591">
        <v>0</v>
      </c>
      <c r="M591" t="s">
        <v>47</v>
      </c>
      <c r="N591">
        <v>0</v>
      </c>
      <c r="O591">
        <v>0</v>
      </c>
      <c r="P591" t="s">
        <v>48</v>
      </c>
      <c r="Q591" s="2">
        <v>0.7</v>
      </c>
      <c r="R591">
        <v>0</v>
      </c>
      <c r="V591" t="str">
        <f>VLOOKUP(H591,'[1]팀별 출판사'!A:B,2,0)</f>
        <v>소설1팀</v>
      </c>
      <c r="W591" s="6">
        <f t="shared" si="18"/>
        <v>0</v>
      </c>
      <c r="X591" s="6">
        <f t="shared" si="19"/>
        <v>0</v>
      </c>
    </row>
    <row r="592" spans="1:24" x14ac:dyDescent="0.3">
      <c r="A592" t="s">
        <v>1099</v>
      </c>
      <c r="B592" t="s">
        <v>1102</v>
      </c>
      <c r="C592" t="s">
        <v>23</v>
      </c>
      <c r="D592" t="s">
        <v>24</v>
      </c>
      <c r="E592" t="s">
        <v>25</v>
      </c>
      <c r="F592">
        <v>1</v>
      </c>
      <c r="G592">
        <v>9791170100522</v>
      </c>
      <c r="H592" t="s">
        <v>67</v>
      </c>
      <c r="I592" t="s">
        <v>682</v>
      </c>
      <c r="J592" t="s">
        <v>683</v>
      </c>
      <c r="K592" t="s">
        <v>29</v>
      </c>
      <c r="L592">
        <v>0</v>
      </c>
      <c r="M592" t="s">
        <v>29</v>
      </c>
      <c r="N592">
        <v>0</v>
      </c>
      <c r="O592">
        <v>0</v>
      </c>
      <c r="P592" t="s">
        <v>30</v>
      </c>
      <c r="Q592" s="2">
        <v>0.7</v>
      </c>
      <c r="R592">
        <v>0</v>
      </c>
      <c r="V592" t="str">
        <f>VLOOKUP(H592,'[1]팀별 출판사'!A:B,2,0)</f>
        <v>소설1팀</v>
      </c>
      <c r="W592" s="6">
        <f t="shared" si="18"/>
        <v>0</v>
      </c>
      <c r="X592" s="6">
        <f t="shared" si="19"/>
        <v>0</v>
      </c>
    </row>
    <row r="593" spans="1:24" x14ac:dyDescent="0.3">
      <c r="A593" t="s">
        <v>1099</v>
      </c>
      <c r="B593" t="s">
        <v>1103</v>
      </c>
      <c r="C593" t="s">
        <v>23</v>
      </c>
      <c r="D593" t="s">
        <v>24</v>
      </c>
      <c r="E593" t="s">
        <v>25</v>
      </c>
      <c r="F593">
        <v>1</v>
      </c>
      <c r="G593" t="s">
        <v>1104</v>
      </c>
      <c r="H593" t="s">
        <v>208</v>
      </c>
      <c r="I593" t="s">
        <v>1105</v>
      </c>
      <c r="J593" t="s">
        <v>210</v>
      </c>
      <c r="K593" t="s">
        <v>29</v>
      </c>
      <c r="L593" s="1">
        <v>2000</v>
      </c>
      <c r="M593" t="s">
        <v>29</v>
      </c>
      <c r="N593" s="1">
        <v>2000</v>
      </c>
      <c r="O593" s="1">
        <v>2000</v>
      </c>
      <c r="P593" t="s">
        <v>30</v>
      </c>
      <c r="Q593" s="2">
        <v>0.7</v>
      </c>
      <c r="R593" s="1">
        <v>1400</v>
      </c>
      <c r="S593" t="s">
        <v>29</v>
      </c>
      <c r="T593" s="1">
        <v>1400</v>
      </c>
      <c r="V593" t="str">
        <f>VLOOKUP(H593,'[1]팀별 출판사'!A:B,2,0)</f>
        <v>소설1팀</v>
      </c>
      <c r="W593" s="6">
        <f t="shared" si="18"/>
        <v>0</v>
      </c>
      <c r="X593" s="6">
        <f t="shared" si="19"/>
        <v>1400</v>
      </c>
    </row>
    <row r="594" spans="1:24" x14ac:dyDescent="0.3">
      <c r="A594" t="s">
        <v>1099</v>
      </c>
      <c r="B594" t="s">
        <v>1106</v>
      </c>
      <c r="C594" t="s">
        <v>23</v>
      </c>
      <c r="D594" t="s">
        <v>24</v>
      </c>
      <c r="E594" t="s">
        <v>25</v>
      </c>
      <c r="F594">
        <v>1</v>
      </c>
      <c r="G594">
        <v>9791136930361</v>
      </c>
      <c r="H594" t="s">
        <v>32</v>
      </c>
      <c r="I594" t="s">
        <v>33</v>
      </c>
      <c r="J594" t="s">
        <v>34</v>
      </c>
      <c r="K594" t="s">
        <v>29</v>
      </c>
      <c r="L594">
        <v>0</v>
      </c>
      <c r="M594" t="s">
        <v>47</v>
      </c>
      <c r="N594">
        <v>0</v>
      </c>
      <c r="O594">
        <v>0</v>
      </c>
      <c r="P594" t="s">
        <v>48</v>
      </c>
      <c r="Q594" s="2">
        <v>0.7</v>
      </c>
      <c r="R594">
        <v>0</v>
      </c>
      <c r="V594" t="str">
        <f>VLOOKUP(H594,'[1]팀별 출판사'!A:B,2,0)</f>
        <v>소설1팀</v>
      </c>
      <c r="W594" s="6">
        <f t="shared" si="18"/>
        <v>0</v>
      </c>
      <c r="X594" s="6">
        <f t="shared" si="19"/>
        <v>0</v>
      </c>
    </row>
    <row r="595" spans="1:24" x14ac:dyDescent="0.3">
      <c r="A595" t="s">
        <v>1099</v>
      </c>
      <c r="B595" t="s">
        <v>1107</v>
      </c>
      <c r="C595" t="s">
        <v>23</v>
      </c>
      <c r="D595" t="s">
        <v>24</v>
      </c>
      <c r="E595" t="s">
        <v>25</v>
      </c>
      <c r="F595">
        <v>1</v>
      </c>
      <c r="G595" t="s">
        <v>1108</v>
      </c>
      <c r="H595" t="s">
        <v>32</v>
      </c>
      <c r="I595" t="s">
        <v>1109</v>
      </c>
      <c r="J595" t="s">
        <v>1110</v>
      </c>
      <c r="K595" t="s">
        <v>29</v>
      </c>
      <c r="L595">
        <v>0</v>
      </c>
      <c r="M595" t="s">
        <v>29</v>
      </c>
      <c r="N595">
        <v>0</v>
      </c>
      <c r="O595">
        <v>0</v>
      </c>
      <c r="P595" t="s">
        <v>30</v>
      </c>
      <c r="Q595" s="2">
        <v>0.7</v>
      </c>
      <c r="R595">
        <v>0</v>
      </c>
      <c r="V595" t="str">
        <f>VLOOKUP(H595,'[1]팀별 출판사'!A:B,2,0)</f>
        <v>소설1팀</v>
      </c>
      <c r="W595" s="6">
        <f t="shared" si="18"/>
        <v>0</v>
      </c>
      <c r="X595" s="6">
        <f t="shared" si="19"/>
        <v>0</v>
      </c>
    </row>
    <row r="596" spans="1:24" x14ac:dyDescent="0.3">
      <c r="A596" t="s">
        <v>1099</v>
      </c>
      <c r="B596" t="s">
        <v>1111</v>
      </c>
      <c r="C596" t="s">
        <v>23</v>
      </c>
      <c r="D596" t="s">
        <v>24</v>
      </c>
      <c r="E596" t="s">
        <v>25</v>
      </c>
      <c r="F596">
        <v>1</v>
      </c>
      <c r="G596">
        <v>9791136940490</v>
      </c>
      <c r="H596" t="s">
        <v>26</v>
      </c>
      <c r="I596" t="s">
        <v>1112</v>
      </c>
      <c r="J596" t="s">
        <v>62</v>
      </c>
      <c r="K596" t="s">
        <v>29</v>
      </c>
      <c r="L596">
        <v>0</v>
      </c>
      <c r="M596" t="s">
        <v>29</v>
      </c>
      <c r="N596">
        <v>0</v>
      </c>
      <c r="O596">
        <v>0</v>
      </c>
      <c r="P596" t="s">
        <v>30</v>
      </c>
      <c r="Q596" s="2">
        <v>0.7</v>
      </c>
      <c r="R596">
        <v>0</v>
      </c>
      <c r="V596" t="str">
        <f>VLOOKUP(H596,'[1]팀별 출판사'!A:B,2,0)</f>
        <v>소설1팀</v>
      </c>
      <c r="W596" s="6">
        <f t="shared" si="18"/>
        <v>0</v>
      </c>
      <c r="X596" s="6">
        <f t="shared" si="19"/>
        <v>0</v>
      </c>
    </row>
    <row r="597" spans="1:24" x14ac:dyDescent="0.3">
      <c r="A597" t="s">
        <v>1099</v>
      </c>
      <c r="B597" t="s">
        <v>1113</v>
      </c>
      <c r="C597" t="s">
        <v>23</v>
      </c>
      <c r="D597" t="s">
        <v>24</v>
      </c>
      <c r="E597" t="s">
        <v>25</v>
      </c>
      <c r="F597">
        <v>1</v>
      </c>
      <c r="G597">
        <v>9791133141487</v>
      </c>
      <c r="H597" t="s">
        <v>32</v>
      </c>
      <c r="I597" t="s">
        <v>1015</v>
      </c>
      <c r="J597" t="s">
        <v>511</v>
      </c>
      <c r="K597" t="s">
        <v>29</v>
      </c>
      <c r="L597">
        <v>0</v>
      </c>
      <c r="M597" t="s">
        <v>29</v>
      </c>
      <c r="N597">
        <v>0</v>
      </c>
      <c r="O597">
        <v>0</v>
      </c>
      <c r="P597" t="s">
        <v>30</v>
      </c>
      <c r="Q597" s="2">
        <v>0.7</v>
      </c>
      <c r="R597">
        <v>0</v>
      </c>
      <c r="V597" t="str">
        <f>VLOOKUP(H597,'[1]팀별 출판사'!A:B,2,0)</f>
        <v>소설1팀</v>
      </c>
      <c r="W597" s="6">
        <f t="shared" si="18"/>
        <v>0</v>
      </c>
      <c r="X597" s="6">
        <f t="shared" si="19"/>
        <v>0</v>
      </c>
    </row>
    <row r="598" spans="1:24" x14ac:dyDescent="0.3">
      <c r="A598" t="s">
        <v>1099</v>
      </c>
      <c r="B598" t="s">
        <v>1114</v>
      </c>
      <c r="C598" t="s">
        <v>23</v>
      </c>
      <c r="D598" t="s">
        <v>24</v>
      </c>
      <c r="E598" t="s">
        <v>25</v>
      </c>
      <c r="F598">
        <v>1</v>
      </c>
      <c r="G598">
        <v>9791133186501</v>
      </c>
      <c r="H598" t="s">
        <v>26</v>
      </c>
      <c r="I598" t="s">
        <v>64</v>
      </c>
      <c r="J598" t="s">
        <v>65</v>
      </c>
      <c r="K598" t="s">
        <v>29</v>
      </c>
      <c r="L598">
        <v>0</v>
      </c>
      <c r="M598" t="s">
        <v>29</v>
      </c>
      <c r="N598">
        <v>0</v>
      </c>
      <c r="O598">
        <v>0</v>
      </c>
      <c r="P598" t="s">
        <v>30</v>
      </c>
      <c r="Q598" s="2">
        <v>0.7</v>
      </c>
      <c r="R598">
        <v>0</v>
      </c>
      <c r="V598" t="str">
        <f>VLOOKUP(H598,'[1]팀별 출판사'!A:B,2,0)</f>
        <v>소설1팀</v>
      </c>
      <c r="W598" s="6">
        <f t="shared" si="18"/>
        <v>0</v>
      </c>
      <c r="X598" s="6">
        <f t="shared" si="19"/>
        <v>0</v>
      </c>
    </row>
    <row r="599" spans="1:24" x14ac:dyDescent="0.3">
      <c r="A599" t="s">
        <v>1099</v>
      </c>
      <c r="B599" t="s">
        <v>1115</v>
      </c>
      <c r="C599" t="s">
        <v>23</v>
      </c>
      <c r="D599" t="s">
        <v>24</v>
      </c>
      <c r="E599" t="s">
        <v>25</v>
      </c>
      <c r="F599">
        <v>1</v>
      </c>
      <c r="G599">
        <v>9791133183890</v>
      </c>
      <c r="H599" t="s">
        <v>32</v>
      </c>
      <c r="I599" t="s">
        <v>1116</v>
      </c>
      <c r="J599" t="s">
        <v>436</v>
      </c>
      <c r="K599" t="s">
        <v>29</v>
      </c>
      <c r="L599" s="1">
        <v>3200</v>
      </c>
      <c r="M599" t="s">
        <v>29</v>
      </c>
      <c r="N599" s="1">
        <v>3200</v>
      </c>
      <c r="O599" s="1">
        <v>3200</v>
      </c>
      <c r="P599" t="s">
        <v>30</v>
      </c>
      <c r="Q599" s="2">
        <v>0.7</v>
      </c>
      <c r="R599" s="1">
        <v>2240</v>
      </c>
      <c r="S599" t="s">
        <v>29</v>
      </c>
      <c r="T599" s="1">
        <v>2240</v>
      </c>
      <c r="V599" t="str">
        <f>VLOOKUP(H599,'[1]팀별 출판사'!A:B,2,0)</f>
        <v>소설1팀</v>
      </c>
      <c r="W599" s="6">
        <f t="shared" si="18"/>
        <v>0</v>
      </c>
      <c r="X599" s="6">
        <f t="shared" si="19"/>
        <v>2240</v>
      </c>
    </row>
    <row r="600" spans="1:24" x14ac:dyDescent="0.3">
      <c r="A600" t="s">
        <v>1099</v>
      </c>
      <c r="B600" t="s">
        <v>1117</v>
      </c>
      <c r="C600" t="s">
        <v>23</v>
      </c>
      <c r="D600" t="s">
        <v>24</v>
      </c>
      <c r="E600" t="s">
        <v>25</v>
      </c>
      <c r="F600">
        <v>1</v>
      </c>
      <c r="G600">
        <v>9791133106219</v>
      </c>
      <c r="H600" t="s">
        <v>32</v>
      </c>
      <c r="I600" t="s">
        <v>1118</v>
      </c>
      <c r="J600" t="s">
        <v>51</v>
      </c>
      <c r="K600" t="s">
        <v>29</v>
      </c>
      <c r="L600">
        <v>0</v>
      </c>
      <c r="M600" t="s">
        <v>29</v>
      </c>
      <c r="N600">
        <v>0</v>
      </c>
      <c r="O600">
        <v>0</v>
      </c>
      <c r="P600" t="s">
        <v>30</v>
      </c>
      <c r="Q600" s="2">
        <v>0.7</v>
      </c>
      <c r="R600">
        <v>0</v>
      </c>
      <c r="V600" t="str">
        <f>VLOOKUP(H600,'[1]팀별 출판사'!A:B,2,0)</f>
        <v>소설1팀</v>
      </c>
      <c r="W600" s="6">
        <f t="shared" si="18"/>
        <v>0</v>
      </c>
      <c r="X600" s="6">
        <f t="shared" si="19"/>
        <v>0</v>
      </c>
    </row>
    <row r="601" spans="1:24" x14ac:dyDescent="0.3">
      <c r="A601" t="s">
        <v>1099</v>
      </c>
      <c r="B601" t="s">
        <v>1119</v>
      </c>
      <c r="C601" t="s">
        <v>23</v>
      </c>
      <c r="D601" t="s">
        <v>24</v>
      </c>
      <c r="E601" t="s">
        <v>25</v>
      </c>
      <c r="F601">
        <v>1</v>
      </c>
      <c r="G601">
        <v>9791133186501</v>
      </c>
      <c r="H601" t="s">
        <v>26</v>
      </c>
      <c r="I601" t="s">
        <v>64</v>
      </c>
      <c r="J601" t="s">
        <v>65</v>
      </c>
      <c r="K601" t="s">
        <v>29</v>
      </c>
      <c r="L601">
        <v>0</v>
      </c>
      <c r="M601" t="s">
        <v>29</v>
      </c>
      <c r="N601">
        <v>0</v>
      </c>
      <c r="O601">
        <v>0</v>
      </c>
      <c r="P601" t="s">
        <v>30</v>
      </c>
      <c r="Q601" s="2">
        <v>0.7</v>
      </c>
      <c r="R601">
        <v>0</v>
      </c>
      <c r="V601" t="str">
        <f>VLOOKUP(H601,'[1]팀별 출판사'!A:B,2,0)</f>
        <v>소설1팀</v>
      </c>
      <c r="W601" s="6">
        <f t="shared" si="18"/>
        <v>0</v>
      </c>
      <c r="X601" s="6">
        <f t="shared" si="19"/>
        <v>0</v>
      </c>
    </row>
    <row r="602" spans="1:24" x14ac:dyDescent="0.3">
      <c r="A602" t="s">
        <v>1099</v>
      </c>
      <c r="B602" t="s">
        <v>1120</v>
      </c>
      <c r="C602" t="s">
        <v>23</v>
      </c>
      <c r="D602" t="s">
        <v>24</v>
      </c>
      <c r="E602" t="s">
        <v>25</v>
      </c>
      <c r="F602">
        <v>1</v>
      </c>
      <c r="G602">
        <v>9791136916372</v>
      </c>
      <c r="H602" t="s">
        <v>26</v>
      </c>
      <c r="I602" t="s">
        <v>1121</v>
      </c>
      <c r="J602" t="s">
        <v>62</v>
      </c>
      <c r="K602" t="s">
        <v>29</v>
      </c>
      <c r="L602" s="1">
        <v>3200</v>
      </c>
      <c r="M602" t="s">
        <v>29</v>
      </c>
      <c r="N602" s="1">
        <v>3200</v>
      </c>
      <c r="O602" s="1">
        <v>3200</v>
      </c>
      <c r="P602" t="s">
        <v>30</v>
      </c>
      <c r="Q602" s="2">
        <v>0.7</v>
      </c>
      <c r="R602" s="1">
        <v>2240</v>
      </c>
      <c r="S602" t="s">
        <v>29</v>
      </c>
      <c r="T602" s="1">
        <v>2240</v>
      </c>
      <c r="V602" t="str">
        <f>VLOOKUP(H602,'[1]팀별 출판사'!A:B,2,0)</f>
        <v>소설1팀</v>
      </c>
      <c r="W602" s="6">
        <f t="shared" si="18"/>
        <v>0</v>
      </c>
      <c r="X602" s="6">
        <f t="shared" si="19"/>
        <v>2240</v>
      </c>
    </row>
    <row r="603" spans="1:24" x14ac:dyDescent="0.3">
      <c r="A603" t="s">
        <v>1099</v>
      </c>
      <c r="B603" t="s">
        <v>1122</v>
      </c>
      <c r="C603" t="s">
        <v>23</v>
      </c>
      <c r="D603" t="s">
        <v>24</v>
      </c>
      <c r="E603" t="s">
        <v>25</v>
      </c>
      <c r="F603">
        <v>1</v>
      </c>
      <c r="G603" t="s">
        <v>998</v>
      </c>
      <c r="H603" t="s">
        <v>32</v>
      </c>
      <c r="I603" t="s">
        <v>999</v>
      </c>
      <c r="J603" t="s">
        <v>202</v>
      </c>
      <c r="K603" t="s">
        <v>29</v>
      </c>
      <c r="L603">
        <v>0</v>
      </c>
      <c r="M603" t="s">
        <v>29</v>
      </c>
      <c r="N603">
        <v>0</v>
      </c>
      <c r="O603">
        <v>0</v>
      </c>
      <c r="P603" t="s">
        <v>30</v>
      </c>
      <c r="Q603" s="2">
        <v>0.7</v>
      </c>
      <c r="R603">
        <v>0</v>
      </c>
      <c r="V603" t="str">
        <f>VLOOKUP(H603,'[1]팀별 출판사'!A:B,2,0)</f>
        <v>소설1팀</v>
      </c>
      <c r="W603" s="6">
        <f t="shared" si="18"/>
        <v>0</v>
      </c>
      <c r="X603" s="6">
        <f t="shared" si="19"/>
        <v>0</v>
      </c>
    </row>
    <row r="604" spans="1:24" x14ac:dyDescent="0.3">
      <c r="A604" t="s">
        <v>1099</v>
      </c>
      <c r="B604" t="s">
        <v>1123</v>
      </c>
      <c r="C604" t="s">
        <v>23</v>
      </c>
      <c r="D604" t="s">
        <v>24</v>
      </c>
      <c r="E604" t="s">
        <v>25</v>
      </c>
      <c r="F604">
        <v>1</v>
      </c>
      <c r="G604">
        <v>9791136930156</v>
      </c>
      <c r="H604" t="s">
        <v>32</v>
      </c>
      <c r="I604" t="s">
        <v>702</v>
      </c>
      <c r="J604" t="s">
        <v>34</v>
      </c>
      <c r="K604" t="s">
        <v>29</v>
      </c>
      <c r="L604">
        <v>0</v>
      </c>
      <c r="M604" t="s">
        <v>29</v>
      </c>
      <c r="N604">
        <v>0</v>
      </c>
      <c r="O604">
        <v>0</v>
      </c>
      <c r="P604" t="s">
        <v>30</v>
      </c>
      <c r="Q604" s="2">
        <v>0.7</v>
      </c>
      <c r="R604">
        <v>0</v>
      </c>
      <c r="V604" t="str">
        <f>VLOOKUP(H604,'[1]팀별 출판사'!A:B,2,0)</f>
        <v>소설1팀</v>
      </c>
      <c r="W604" s="6">
        <f t="shared" si="18"/>
        <v>0</v>
      </c>
      <c r="X604" s="6">
        <f t="shared" si="19"/>
        <v>0</v>
      </c>
    </row>
    <row r="605" spans="1:24" x14ac:dyDescent="0.3">
      <c r="A605" t="s">
        <v>1099</v>
      </c>
      <c r="B605" t="s">
        <v>1124</v>
      </c>
      <c r="C605" t="s">
        <v>23</v>
      </c>
      <c r="D605" t="s">
        <v>24</v>
      </c>
      <c r="E605" t="s">
        <v>25</v>
      </c>
      <c r="F605">
        <v>1</v>
      </c>
      <c r="G605">
        <v>9791136912732</v>
      </c>
      <c r="H605" t="s">
        <v>26</v>
      </c>
      <c r="I605" t="s">
        <v>1125</v>
      </c>
      <c r="J605" t="s">
        <v>256</v>
      </c>
      <c r="K605" t="s">
        <v>29</v>
      </c>
      <c r="L605">
        <v>0</v>
      </c>
      <c r="M605" t="s">
        <v>29</v>
      </c>
      <c r="N605">
        <v>0</v>
      </c>
      <c r="O605">
        <v>0</v>
      </c>
      <c r="P605" t="s">
        <v>30</v>
      </c>
      <c r="Q605" s="2">
        <v>0.7</v>
      </c>
      <c r="R605">
        <v>0</v>
      </c>
      <c r="V605" t="str">
        <f>VLOOKUP(H605,'[1]팀별 출판사'!A:B,2,0)</f>
        <v>소설1팀</v>
      </c>
      <c r="W605" s="6">
        <f t="shared" si="18"/>
        <v>0</v>
      </c>
      <c r="X605" s="6">
        <f t="shared" si="19"/>
        <v>0</v>
      </c>
    </row>
    <row r="606" spans="1:24" x14ac:dyDescent="0.3">
      <c r="A606" t="s">
        <v>1099</v>
      </c>
      <c r="B606" t="s">
        <v>1126</v>
      </c>
      <c r="C606" t="s">
        <v>23</v>
      </c>
      <c r="D606" t="s">
        <v>24</v>
      </c>
      <c r="E606" t="s">
        <v>25</v>
      </c>
      <c r="F606">
        <v>1</v>
      </c>
      <c r="G606">
        <v>9791136931375</v>
      </c>
      <c r="H606" t="s">
        <v>32</v>
      </c>
      <c r="I606" t="s">
        <v>189</v>
      </c>
      <c r="J606" t="s">
        <v>46</v>
      </c>
      <c r="K606" t="s">
        <v>29</v>
      </c>
      <c r="L606">
        <v>0</v>
      </c>
      <c r="M606" t="s">
        <v>152</v>
      </c>
      <c r="N606">
        <v>0</v>
      </c>
      <c r="O606">
        <v>0</v>
      </c>
      <c r="P606" t="s">
        <v>153</v>
      </c>
      <c r="Q606" s="2">
        <v>0.7</v>
      </c>
      <c r="R606">
        <v>0</v>
      </c>
      <c r="V606" t="str">
        <f>VLOOKUP(H606,'[1]팀별 출판사'!A:B,2,0)</f>
        <v>소설1팀</v>
      </c>
      <c r="W606" s="6">
        <f t="shared" si="18"/>
        <v>0</v>
      </c>
      <c r="X606" s="6">
        <f t="shared" si="19"/>
        <v>0</v>
      </c>
    </row>
    <row r="607" spans="1:24" x14ac:dyDescent="0.3">
      <c r="A607" t="s">
        <v>1099</v>
      </c>
      <c r="B607" t="s">
        <v>1127</v>
      </c>
      <c r="C607" t="s">
        <v>23</v>
      </c>
      <c r="D607" t="s">
        <v>24</v>
      </c>
      <c r="E607" t="s">
        <v>25</v>
      </c>
      <c r="F607">
        <v>1</v>
      </c>
      <c r="G607">
        <v>9791136930750</v>
      </c>
      <c r="H607" t="s">
        <v>32</v>
      </c>
      <c r="I607" t="s">
        <v>656</v>
      </c>
      <c r="J607" t="s">
        <v>157</v>
      </c>
      <c r="K607" t="s">
        <v>29</v>
      </c>
      <c r="L607">
        <v>0</v>
      </c>
      <c r="M607" t="s">
        <v>29</v>
      </c>
      <c r="N607">
        <v>0</v>
      </c>
      <c r="O607">
        <v>0</v>
      </c>
      <c r="P607" t="s">
        <v>30</v>
      </c>
      <c r="Q607" s="2">
        <v>0.7</v>
      </c>
      <c r="R607">
        <v>0</v>
      </c>
      <c r="V607" t="str">
        <f>VLOOKUP(H607,'[1]팀별 출판사'!A:B,2,0)</f>
        <v>소설1팀</v>
      </c>
      <c r="W607" s="6">
        <f t="shared" si="18"/>
        <v>0</v>
      </c>
      <c r="X607" s="6">
        <f t="shared" si="19"/>
        <v>0</v>
      </c>
    </row>
    <row r="608" spans="1:24" x14ac:dyDescent="0.3">
      <c r="A608" t="s">
        <v>1099</v>
      </c>
      <c r="B608" t="s">
        <v>1128</v>
      </c>
      <c r="C608" t="s">
        <v>23</v>
      </c>
      <c r="D608" t="s">
        <v>24</v>
      </c>
      <c r="E608" t="s">
        <v>25</v>
      </c>
      <c r="F608">
        <v>1</v>
      </c>
      <c r="G608">
        <v>9791136930491</v>
      </c>
      <c r="H608" t="s">
        <v>26</v>
      </c>
      <c r="I608" t="s">
        <v>151</v>
      </c>
      <c r="J608" t="s">
        <v>46</v>
      </c>
      <c r="K608" t="s">
        <v>29</v>
      </c>
      <c r="L608">
        <v>0</v>
      </c>
      <c r="M608" t="s">
        <v>152</v>
      </c>
      <c r="N608">
        <v>0</v>
      </c>
      <c r="O608">
        <v>0</v>
      </c>
      <c r="P608" t="s">
        <v>153</v>
      </c>
      <c r="Q608" s="2">
        <v>0.7</v>
      </c>
      <c r="R608">
        <v>0</v>
      </c>
      <c r="V608" t="str">
        <f>VLOOKUP(H608,'[1]팀별 출판사'!A:B,2,0)</f>
        <v>소설1팀</v>
      </c>
      <c r="W608" s="6">
        <f t="shared" si="18"/>
        <v>0</v>
      </c>
      <c r="X608" s="6">
        <f t="shared" si="19"/>
        <v>0</v>
      </c>
    </row>
    <row r="609" spans="1:24" x14ac:dyDescent="0.3">
      <c r="A609" t="s">
        <v>1099</v>
      </c>
      <c r="B609" t="s">
        <v>1129</v>
      </c>
      <c r="C609" t="s">
        <v>23</v>
      </c>
      <c r="D609" t="s">
        <v>24</v>
      </c>
      <c r="E609" t="s">
        <v>25</v>
      </c>
      <c r="F609">
        <v>1</v>
      </c>
      <c r="G609">
        <v>9791136931382</v>
      </c>
      <c r="H609" t="s">
        <v>32</v>
      </c>
      <c r="I609" t="s">
        <v>1130</v>
      </c>
      <c r="J609" t="s">
        <v>46</v>
      </c>
      <c r="K609" t="s">
        <v>29</v>
      </c>
      <c r="L609">
        <v>0</v>
      </c>
      <c r="M609" t="s">
        <v>152</v>
      </c>
      <c r="N609">
        <v>0</v>
      </c>
      <c r="O609">
        <v>0</v>
      </c>
      <c r="P609" t="s">
        <v>153</v>
      </c>
      <c r="Q609" s="2">
        <v>0.7</v>
      </c>
      <c r="R609">
        <v>0</v>
      </c>
      <c r="V609" t="str">
        <f>VLOOKUP(H609,'[1]팀별 출판사'!A:B,2,0)</f>
        <v>소설1팀</v>
      </c>
      <c r="W609" s="6">
        <f t="shared" si="18"/>
        <v>0</v>
      </c>
      <c r="X609" s="6">
        <f t="shared" si="19"/>
        <v>0</v>
      </c>
    </row>
    <row r="610" spans="1:24" x14ac:dyDescent="0.3">
      <c r="A610" t="s">
        <v>1099</v>
      </c>
      <c r="B610" t="s">
        <v>1129</v>
      </c>
      <c r="C610" t="s">
        <v>23</v>
      </c>
      <c r="D610" t="s">
        <v>24</v>
      </c>
      <c r="E610" t="s">
        <v>25</v>
      </c>
      <c r="F610">
        <v>1</v>
      </c>
      <c r="G610">
        <v>9791136930224</v>
      </c>
      <c r="H610" t="s">
        <v>32</v>
      </c>
      <c r="I610" t="s">
        <v>172</v>
      </c>
      <c r="J610" t="s">
        <v>46</v>
      </c>
      <c r="K610" t="s">
        <v>29</v>
      </c>
      <c r="L610">
        <v>0</v>
      </c>
      <c r="M610" t="s">
        <v>152</v>
      </c>
      <c r="N610">
        <v>0</v>
      </c>
      <c r="O610">
        <v>0</v>
      </c>
      <c r="P610" t="s">
        <v>153</v>
      </c>
      <c r="Q610" s="2">
        <v>0.7</v>
      </c>
      <c r="R610">
        <v>0</v>
      </c>
      <c r="V610" t="str">
        <f>VLOOKUP(H610,'[1]팀별 출판사'!A:B,2,0)</f>
        <v>소설1팀</v>
      </c>
      <c r="W610" s="6">
        <f t="shared" si="18"/>
        <v>0</v>
      </c>
      <c r="X610" s="6">
        <f t="shared" si="19"/>
        <v>0</v>
      </c>
    </row>
    <row r="611" spans="1:24" x14ac:dyDescent="0.3">
      <c r="A611" t="s">
        <v>1099</v>
      </c>
      <c r="B611" t="s">
        <v>1129</v>
      </c>
      <c r="C611" t="s">
        <v>23</v>
      </c>
      <c r="D611" t="s">
        <v>24</v>
      </c>
      <c r="E611" t="s">
        <v>25</v>
      </c>
      <c r="F611">
        <v>1</v>
      </c>
      <c r="G611">
        <v>9791136930552</v>
      </c>
      <c r="H611" t="s">
        <v>26</v>
      </c>
      <c r="I611" t="s">
        <v>45</v>
      </c>
      <c r="J611" t="s">
        <v>46</v>
      </c>
      <c r="K611" t="s">
        <v>29</v>
      </c>
      <c r="L611">
        <v>0</v>
      </c>
      <c r="M611" t="s">
        <v>152</v>
      </c>
      <c r="N611">
        <v>0</v>
      </c>
      <c r="O611">
        <v>0</v>
      </c>
      <c r="P611" t="s">
        <v>153</v>
      </c>
      <c r="Q611" s="2">
        <v>0.7</v>
      </c>
      <c r="R611">
        <v>0</v>
      </c>
      <c r="V611" t="str">
        <f>VLOOKUP(H611,'[1]팀별 출판사'!A:B,2,0)</f>
        <v>소설1팀</v>
      </c>
      <c r="W611" s="6">
        <f t="shared" si="18"/>
        <v>0</v>
      </c>
      <c r="X611" s="6">
        <f t="shared" si="19"/>
        <v>0</v>
      </c>
    </row>
    <row r="612" spans="1:24" x14ac:dyDescent="0.3">
      <c r="A612" t="s">
        <v>1099</v>
      </c>
      <c r="B612" t="s">
        <v>1129</v>
      </c>
      <c r="C612" t="s">
        <v>23</v>
      </c>
      <c r="D612" t="s">
        <v>24</v>
      </c>
      <c r="E612" t="s">
        <v>25</v>
      </c>
      <c r="F612">
        <v>1</v>
      </c>
      <c r="G612">
        <v>9791136931399</v>
      </c>
      <c r="H612" t="s">
        <v>32</v>
      </c>
      <c r="I612" t="s">
        <v>482</v>
      </c>
      <c r="J612" t="s">
        <v>46</v>
      </c>
      <c r="K612" t="s">
        <v>29</v>
      </c>
      <c r="L612">
        <v>0</v>
      </c>
      <c r="M612" t="s">
        <v>152</v>
      </c>
      <c r="N612">
        <v>0</v>
      </c>
      <c r="O612">
        <v>0</v>
      </c>
      <c r="P612" t="s">
        <v>153</v>
      </c>
      <c r="Q612" s="2">
        <v>0.7</v>
      </c>
      <c r="R612">
        <v>0</v>
      </c>
      <c r="V612" t="str">
        <f>VLOOKUP(H612,'[1]팀별 출판사'!A:B,2,0)</f>
        <v>소설1팀</v>
      </c>
      <c r="W612" s="6">
        <f t="shared" si="18"/>
        <v>0</v>
      </c>
      <c r="X612" s="6">
        <f t="shared" si="19"/>
        <v>0</v>
      </c>
    </row>
    <row r="613" spans="1:24" x14ac:dyDescent="0.3">
      <c r="A613" t="s">
        <v>1099</v>
      </c>
      <c r="B613" t="s">
        <v>1129</v>
      </c>
      <c r="C613" t="s">
        <v>23</v>
      </c>
      <c r="D613" t="s">
        <v>24</v>
      </c>
      <c r="E613" t="s">
        <v>25</v>
      </c>
      <c r="F613">
        <v>1</v>
      </c>
      <c r="G613">
        <v>9791172921033</v>
      </c>
      <c r="H613" t="s">
        <v>79</v>
      </c>
      <c r="I613" t="s">
        <v>1131</v>
      </c>
      <c r="J613" t="s">
        <v>46</v>
      </c>
      <c r="K613" t="s">
        <v>29</v>
      </c>
      <c r="L613">
        <v>0</v>
      </c>
      <c r="M613" t="s">
        <v>152</v>
      </c>
      <c r="N613">
        <v>0</v>
      </c>
      <c r="O613">
        <v>0</v>
      </c>
      <c r="P613" t="s">
        <v>153</v>
      </c>
      <c r="Q613" s="2">
        <v>0.7</v>
      </c>
      <c r="R613">
        <v>0</v>
      </c>
      <c r="V613" t="str">
        <f>VLOOKUP(H613,'[1]팀별 출판사'!A:B,2,0)</f>
        <v>소설1팀</v>
      </c>
      <c r="W613" s="6">
        <f t="shared" si="18"/>
        <v>0</v>
      </c>
      <c r="X613" s="6">
        <f t="shared" si="19"/>
        <v>0</v>
      </c>
    </row>
    <row r="614" spans="1:24" x14ac:dyDescent="0.3">
      <c r="A614" t="s">
        <v>1099</v>
      </c>
      <c r="B614" t="s">
        <v>1129</v>
      </c>
      <c r="C614" t="s">
        <v>23</v>
      </c>
      <c r="D614" t="s">
        <v>24</v>
      </c>
      <c r="E614" t="s">
        <v>25</v>
      </c>
      <c r="F614">
        <v>1</v>
      </c>
      <c r="G614">
        <v>9791136942142</v>
      </c>
      <c r="H614" t="s">
        <v>26</v>
      </c>
      <c r="I614" t="s">
        <v>1132</v>
      </c>
      <c r="J614" t="s">
        <v>46</v>
      </c>
      <c r="K614" t="s">
        <v>29</v>
      </c>
      <c r="L614">
        <v>0</v>
      </c>
      <c r="M614" t="s">
        <v>152</v>
      </c>
      <c r="N614">
        <v>0</v>
      </c>
      <c r="O614">
        <v>0</v>
      </c>
      <c r="P614" t="s">
        <v>153</v>
      </c>
      <c r="Q614" s="2">
        <v>0.7</v>
      </c>
      <c r="R614">
        <v>0</v>
      </c>
      <c r="V614" t="str">
        <f>VLOOKUP(H614,'[1]팀별 출판사'!A:B,2,0)</f>
        <v>소설1팀</v>
      </c>
      <c r="W614" s="6">
        <f t="shared" si="18"/>
        <v>0</v>
      </c>
      <c r="X614" s="6">
        <f t="shared" si="19"/>
        <v>0</v>
      </c>
    </row>
    <row r="615" spans="1:24" x14ac:dyDescent="0.3">
      <c r="A615" t="s">
        <v>1099</v>
      </c>
      <c r="B615" t="s">
        <v>1133</v>
      </c>
      <c r="C615" t="s">
        <v>23</v>
      </c>
      <c r="D615" t="s">
        <v>24</v>
      </c>
      <c r="E615" t="s">
        <v>25</v>
      </c>
      <c r="F615">
        <v>1</v>
      </c>
      <c r="G615">
        <v>9791157534548</v>
      </c>
      <c r="H615" t="s">
        <v>32</v>
      </c>
      <c r="I615" t="s">
        <v>1134</v>
      </c>
      <c r="J615" t="s">
        <v>166</v>
      </c>
      <c r="K615" t="s">
        <v>29</v>
      </c>
      <c r="L615">
        <v>0</v>
      </c>
      <c r="M615" t="s">
        <v>29</v>
      </c>
      <c r="N615">
        <v>0</v>
      </c>
      <c r="O615">
        <v>0</v>
      </c>
      <c r="P615" t="s">
        <v>30</v>
      </c>
      <c r="Q615" s="2">
        <v>0.7</v>
      </c>
      <c r="R615">
        <v>0</v>
      </c>
      <c r="V615" t="str">
        <f>VLOOKUP(H615,'[1]팀별 출판사'!A:B,2,0)</f>
        <v>소설1팀</v>
      </c>
      <c r="W615" s="6">
        <f t="shared" si="18"/>
        <v>0</v>
      </c>
      <c r="X615" s="6">
        <f t="shared" si="19"/>
        <v>0</v>
      </c>
    </row>
    <row r="616" spans="1:24" x14ac:dyDescent="0.3">
      <c r="A616" t="s">
        <v>1099</v>
      </c>
      <c r="B616" t="s">
        <v>1135</v>
      </c>
      <c r="C616" t="s">
        <v>23</v>
      </c>
      <c r="D616" t="s">
        <v>24</v>
      </c>
      <c r="E616" t="s">
        <v>25</v>
      </c>
      <c r="F616">
        <v>1</v>
      </c>
      <c r="G616">
        <v>9791170104643</v>
      </c>
      <c r="H616" t="s">
        <v>67</v>
      </c>
      <c r="I616" t="s">
        <v>407</v>
      </c>
      <c r="J616" t="s">
        <v>408</v>
      </c>
      <c r="K616" t="s">
        <v>29</v>
      </c>
      <c r="L616">
        <v>0</v>
      </c>
      <c r="M616" t="s">
        <v>29</v>
      </c>
      <c r="N616">
        <v>0</v>
      </c>
      <c r="O616">
        <v>0</v>
      </c>
      <c r="P616" t="s">
        <v>30</v>
      </c>
      <c r="Q616" s="2">
        <v>0.7</v>
      </c>
      <c r="R616">
        <v>0</v>
      </c>
      <c r="V616" t="str">
        <f>VLOOKUP(H616,'[1]팀별 출판사'!A:B,2,0)</f>
        <v>소설1팀</v>
      </c>
      <c r="W616" s="6">
        <f t="shared" si="18"/>
        <v>0</v>
      </c>
      <c r="X616" s="6">
        <f t="shared" si="19"/>
        <v>0</v>
      </c>
    </row>
    <row r="617" spans="1:24" x14ac:dyDescent="0.3">
      <c r="A617" t="s">
        <v>1099</v>
      </c>
      <c r="B617" t="s">
        <v>1136</v>
      </c>
      <c r="C617" t="s">
        <v>23</v>
      </c>
      <c r="D617" t="s">
        <v>24</v>
      </c>
      <c r="E617" t="s">
        <v>25</v>
      </c>
      <c r="F617">
        <v>1</v>
      </c>
      <c r="G617">
        <v>9791133186501</v>
      </c>
      <c r="H617" t="s">
        <v>26</v>
      </c>
      <c r="I617" t="s">
        <v>64</v>
      </c>
      <c r="J617" t="s">
        <v>65</v>
      </c>
      <c r="K617" t="s">
        <v>29</v>
      </c>
      <c r="L617">
        <v>0</v>
      </c>
      <c r="M617" t="s">
        <v>29</v>
      </c>
      <c r="N617">
        <v>0</v>
      </c>
      <c r="O617">
        <v>0</v>
      </c>
      <c r="P617" t="s">
        <v>30</v>
      </c>
      <c r="Q617" s="2">
        <v>0.7</v>
      </c>
      <c r="R617">
        <v>0</v>
      </c>
      <c r="V617" t="str">
        <f>VLOOKUP(H617,'[1]팀별 출판사'!A:B,2,0)</f>
        <v>소설1팀</v>
      </c>
      <c r="W617" s="6">
        <f t="shared" si="18"/>
        <v>0</v>
      </c>
      <c r="X617" s="6">
        <f t="shared" si="19"/>
        <v>0</v>
      </c>
    </row>
    <row r="618" spans="1:24" x14ac:dyDescent="0.3">
      <c r="A618" t="s">
        <v>1099</v>
      </c>
      <c r="B618" t="s">
        <v>1137</v>
      </c>
      <c r="C618" t="s">
        <v>23</v>
      </c>
      <c r="D618" t="s">
        <v>24</v>
      </c>
      <c r="E618" t="s">
        <v>25</v>
      </c>
      <c r="F618">
        <v>1</v>
      </c>
      <c r="G618" t="s">
        <v>1138</v>
      </c>
      <c r="H618" t="s">
        <v>32</v>
      </c>
      <c r="I618" t="s">
        <v>1139</v>
      </c>
      <c r="J618" t="s">
        <v>311</v>
      </c>
      <c r="K618" t="s">
        <v>29</v>
      </c>
      <c r="L618">
        <v>0</v>
      </c>
      <c r="M618" t="s">
        <v>29</v>
      </c>
      <c r="N618">
        <v>0</v>
      </c>
      <c r="O618">
        <v>0</v>
      </c>
      <c r="P618" t="s">
        <v>30</v>
      </c>
      <c r="Q618" s="2">
        <v>0.7</v>
      </c>
      <c r="R618">
        <v>0</v>
      </c>
      <c r="V618" t="str">
        <f>VLOOKUP(H618,'[1]팀별 출판사'!A:B,2,0)</f>
        <v>소설1팀</v>
      </c>
      <c r="W618" s="6">
        <f t="shared" si="18"/>
        <v>0</v>
      </c>
      <c r="X618" s="6">
        <f t="shared" si="19"/>
        <v>0</v>
      </c>
    </row>
    <row r="619" spans="1:24" x14ac:dyDescent="0.3">
      <c r="A619" t="s">
        <v>1099</v>
      </c>
      <c r="B619" t="s">
        <v>1140</v>
      </c>
      <c r="C619" t="s">
        <v>23</v>
      </c>
      <c r="D619" t="s">
        <v>24</v>
      </c>
      <c r="E619" t="s">
        <v>25</v>
      </c>
      <c r="F619">
        <v>1</v>
      </c>
      <c r="G619">
        <v>9791136931375</v>
      </c>
      <c r="H619" t="s">
        <v>32</v>
      </c>
      <c r="I619" t="s">
        <v>189</v>
      </c>
      <c r="J619" t="s">
        <v>46</v>
      </c>
      <c r="K619" t="s">
        <v>29</v>
      </c>
      <c r="L619">
        <v>0</v>
      </c>
      <c r="M619" t="s">
        <v>152</v>
      </c>
      <c r="N619">
        <v>0</v>
      </c>
      <c r="O619">
        <v>0</v>
      </c>
      <c r="P619" t="s">
        <v>153</v>
      </c>
      <c r="Q619" s="2">
        <v>0.7</v>
      </c>
      <c r="R619">
        <v>0</v>
      </c>
      <c r="V619" t="str">
        <f>VLOOKUP(H619,'[1]팀별 출판사'!A:B,2,0)</f>
        <v>소설1팀</v>
      </c>
      <c r="W619" s="6">
        <f t="shared" si="18"/>
        <v>0</v>
      </c>
      <c r="X619" s="6">
        <f t="shared" si="19"/>
        <v>0</v>
      </c>
    </row>
    <row r="620" spans="1:24" x14ac:dyDescent="0.3">
      <c r="A620" t="s">
        <v>1099</v>
      </c>
      <c r="B620" t="s">
        <v>1141</v>
      </c>
      <c r="C620" t="s">
        <v>23</v>
      </c>
      <c r="D620" t="s">
        <v>24</v>
      </c>
      <c r="E620" t="s">
        <v>25</v>
      </c>
      <c r="F620">
        <v>1</v>
      </c>
      <c r="G620">
        <v>9791133133437</v>
      </c>
      <c r="H620" t="s">
        <v>32</v>
      </c>
      <c r="I620" t="s">
        <v>1142</v>
      </c>
      <c r="J620" t="s">
        <v>813</v>
      </c>
      <c r="K620" t="s">
        <v>29</v>
      </c>
      <c r="L620">
        <v>0</v>
      </c>
      <c r="M620" t="s">
        <v>29</v>
      </c>
      <c r="N620">
        <v>0</v>
      </c>
      <c r="O620">
        <v>0</v>
      </c>
      <c r="P620" t="s">
        <v>30</v>
      </c>
      <c r="Q620" s="2">
        <v>0.7</v>
      </c>
      <c r="R620">
        <v>0</v>
      </c>
      <c r="V620" t="str">
        <f>VLOOKUP(H620,'[1]팀별 출판사'!A:B,2,0)</f>
        <v>소설1팀</v>
      </c>
      <c r="W620" s="6">
        <f t="shared" si="18"/>
        <v>0</v>
      </c>
      <c r="X620" s="6">
        <f t="shared" si="19"/>
        <v>0</v>
      </c>
    </row>
    <row r="621" spans="1:24" x14ac:dyDescent="0.3">
      <c r="A621" t="s">
        <v>1099</v>
      </c>
      <c r="B621" t="s">
        <v>1143</v>
      </c>
      <c r="C621" t="s">
        <v>23</v>
      </c>
      <c r="D621" t="s">
        <v>24</v>
      </c>
      <c r="E621" t="s">
        <v>25</v>
      </c>
      <c r="F621">
        <v>1</v>
      </c>
      <c r="G621">
        <v>9791173786389</v>
      </c>
      <c r="H621" t="s">
        <v>1144</v>
      </c>
      <c r="I621" t="s">
        <v>1145</v>
      </c>
      <c r="J621" t="s">
        <v>1146</v>
      </c>
      <c r="K621" t="s">
        <v>29</v>
      </c>
      <c r="L621" s="1">
        <v>3600</v>
      </c>
      <c r="M621" t="s">
        <v>1147</v>
      </c>
      <c r="N621">
        <v>4.33</v>
      </c>
      <c r="O621">
        <v>3.77</v>
      </c>
      <c r="P621" t="s">
        <v>1148</v>
      </c>
      <c r="Q621" s="2">
        <v>0.7</v>
      </c>
      <c r="R621">
        <v>2.64</v>
      </c>
      <c r="S621" t="s">
        <v>29</v>
      </c>
      <c r="T621" s="1">
        <v>2318</v>
      </c>
      <c r="U621">
        <v>875.52865999999995</v>
      </c>
      <c r="V621" t="str">
        <f>VLOOKUP(H621,'[1]팀별 출판사'!A:B,2,0)</f>
        <v>소설2팀</v>
      </c>
      <c r="W621" s="6">
        <f t="shared" si="18"/>
        <v>0</v>
      </c>
      <c r="X621" s="6">
        <f t="shared" si="19"/>
        <v>2318</v>
      </c>
    </row>
    <row r="622" spans="1:24" x14ac:dyDescent="0.3">
      <c r="A622" t="s">
        <v>1099</v>
      </c>
      <c r="B622" t="s">
        <v>1149</v>
      </c>
      <c r="C622" t="s">
        <v>23</v>
      </c>
      <c r="D622" t="s">
        <v>24</v>
      </c>
      <c r="E622" t="s">
        <v>25</v>
      </c>
      <c r="F622">
        <v>1</v>
      </c>
      <c r="G622">
        <v>9791173787089</v>
      </c>
      <c r="H622" t="s">
        <v>26</v>
      </c>
      <c r="I622" t="s">
        <v>1150</v>
      </c>
      <c r="J622" t="s">
        <v>256</v>
      </c>
      <c r="K622" t="s">
        <v>29</v>
      </c>
      <c r="L622" s="1">
        <v>3200</v>
      </c>
      <c r="M622" t="s">
        <v>29</v>
      </c>
      <c r="N622" s="1">
        <v>3200</v>
      </c>
      <c r="O622" s="1">
        <v>3200</v>
      </c>
      <c r="P622" t="s">
        <v>30</v>
      </c>
      <c r="Q622" s="2">
        <v>0.7</v>
      </c>
      <c r="R622" s="1">
        <v>2240</v>
      </c>
      <c r="S622" t="s">
        <v>29</v>
      </c>
      <c r="T622" s="1">
        <v>2240</v>
      </c>
      <c r="V622" t="str">
        <f>VLOOKUP(H622,'[1]팀별 출판사'!A:B,2,0)</f>
        <v>소설1팀</v>
      </c>
      <c r="W622" s="6">
        <f t="shared" si="18"/>
        <v>0</v>
      </c>
      <c r="X622" s="6">
        <f t="shared" si="19"/>
        <v>2240</v>
      </c>
    </row>
    <row r="623" spans="1:24" x14ac:dyDescent="0.3">
      <c r="A623" t="s">
        <v>1099</v>
      </c>
      <c r="B623" t="s">
        <v>1151</v>
      </c>
      <c r="C623" t="s">
        <v>23</v>
      </c>
      <c r="D623" t="s">
        <v>24</v>
      </c>
      <c r="E623" t="s">
        <v>25</v>
      </c>
      <c r="F623">
        <v>1</v>
      </c>
      <c r="G623">
        <v>9791133152353</v>
      </c>
      <c r="H623" t="s">
        <v>32</v>
      </c>
      <c r="I623" t="s">
        <v>1152</v>
      </c>
      <c r="J623" t="s">
        <v>1153</v>
      </c>
      <c r="K623" t="s">
        <v>29</v>
      </c>
      <c r="L623" s="1">
        <v>3200</v>
      </c>
      <c r="M623" t="s">
        <v>29</v>
      </c>
      <c r="N623" s="1">
        <v>3200</v>
      </c>
      <c r="O623" s="1">
        <v>3200</v>
      </c>
      <c r="P623" t="s">
        <v>30</v>
      </c>
      <c r="Q623" s="2">
        <v>0.7</v>
      </c>
      <c r="R623" s="1">
        <v>2240</v>
      </c>
      <c r="S623" t="s">
        <v>29</v>
      </c>
      <c r="T623" s="1">
        <v>2240</v>
      </c>
      <c r="V623" t="str">
        <f>VLOOKUP(H623,'[1]팀별 출판사'!A:B,2,0)</f>
        <v>소설1팀</v>
      </c>
      <c r="W623" s="6">
        <f t="shared" si="18"/>
        <v>0</v>
      </c>
      <c r="X623" s="6">
        <f t="shared" si="19"/>
        <v>2240</v>
      </c>
    </row>
    <row r="624" spans="1:24" x14ac:dyDescent="0.3">
      <c r="A624" t="s">
        <v>1099</v>
      </c>
      <c r="B624" t="s">
        <v>1154</v>
      </c>
      <c r="C624" t="s">
        <v>23</v>
      </c>
      <c r="D624" t="s">
        <v>24</v>
      </c>
      <c r="E624" t="s">
        <v>25</v>
      </c>
      <c r="F624">
        <v>1</v>
      </c>
      <c r="G624" t="s">
        <v>1155</v>
      </c>
      <c r="H624" t="s">
        <v>208</v>
      </c>
      <c r="I624" t="s">
        <v>1156</v>
      </c>
      <c r="J624" t="s">
        <v>210</v>
      </c>
      <c r="K624" t="s">
        <v>29</v>
      </c>
      <c r="L624" s="1">
        <v>2000</v>
      </c>
      <c r="M624" t="s">
        <v>29</v>
      </c>
      <c r="N624" s="1">
        <v>2000</v>
      </c>
      <c r="O624" s="1">
        <v>2000</v>
      </c>
      <c r="P624" t="s">
        <v>30</v>
      </c>
      <c r="Q624" s="2">
        <v>0.7</v>
      </c>
      <c r="R624" s="1">
        <v>1400</v>
      </c>
      <c r="S624" t="s">
        <v>29</v>
      </c>
      <c r="T624" s="1">
        <v>1400</v>
      </c>
      <c r="V624" t="str">
        <f>VLOOKUP(H624,'[1]팀별 출판사'!A:B,2,0)</f>
        <v>소설1팀</v>
      </c>
      <c r="W624" s="6">
        <f t="shared" si="18"/>
        <v>0</v>
      </c>
      <c r="X624" s="6">
        <f t="shared" si="19"/>
        <v>1400</v>
      </c>
    </row>
    <row r="625" spans="1:24" x14ac:dyDescent="0.3">
      <c r="A625" t="s">
        <v>1099</v>
      </c>
      <c r="B625" t="s">
        <v>1157</v>
      </c>
      <c r="C625" t="s">
        <v>23</v>
      </c>
      <c r="D625" t="s">
        <v>24</v>
      </c>
      <c r="E625" t="s">
        <v>25</v>
      </c>
      <c r="F625">
        <v>1</v>
      </c>
      <c r="G625">
        <v>9791194664369</v>
      </c>
      <c r="H625" t="s">
        <v>79</v>
      </c>
      <c r="I625" t="s">
        <v>156</v>
      </c>
      <c r="J625" t="s">
        <v>157</v>
      </c>
      <c r="K625" t="s">
        <v>29</v>
      </c>
      <c r="L625">
        <v>0</v>
      </c>
      <c r="M625" t="s">
        <v>152</v>
      </c>
      <c r="N625">
        <v>0</v>
      </c>
      <c r="O625">
        <v>0</v>
      </c>
      <c r="P625" t="s">
        <v>153</v>
      </c>
      <c r="Q625" s="2">
        <v>0.7</v>
      </c>
      <c r="R625">
        <v>0</v>
      </c>
      <c r="V625" t="str">
        <f>VLOOKUP(H625,'[1]팀별 출판사'!A:B,2,0)</f>
        <v>소설1팀</v>
      </c>
      <c r="W625" s="6">
        <f t="shared" si="18"/>
        <v>0</v>
      </c>
      <c r="X625" s="6">
        <f t="shared" si="19"/>
        <v>0</v>
      </c>
    </row>
    <row r="626" spans="1:24" x14ac:dyDescent="0.3">
      <c r="A626" t="s">
        <v>1099</v>
      </c>
      <c r="B626" t="s">
        <v>1158</v>
      </c>
      <c r="C626" t="s">
        <v>23</v>
      </c>
      <c r="D626" t="s">
        <v>24</v>
      </c>
      <c r="E626" t="s">
        <v>25</v>
      </c>
      <c r="F626">
        <v>1</v>
      </c>
      <c r="G626">
        <v>9791170100546</v>
      </c>
      <c r="H626" t="s">
        <v>67</v>
      </c>
      <c r="I626" t="s">
        <v>428</v>
      </c>
      <c r="J626" t="s">
        <v>429</v>
      </c>
      <c r="K626" t="s">
        <v>29</v>
      </c>
      <c r="L626">
        <v>0</v>
      </c>
      <c r="M626" t="s">
        <v>29</v>
      </c>
      <c r="N626">
        <v>0</v>
      </c>
      <c r="O626">
        <v>0</v>
      </c>
      <c r="P626" t="s">
        <v>30</v>
      </c>
      <c r="Q626" s="2">
        <v>0.7</v>
      </c>
      <c r="R626">
        <v>0</v>
      </c>
      <c r="V626" t="str">
        <f>VLOOKUP(H626,'[1]팀별 출판사'!A:B,2,0)</f>
        <v>소설1팀</v>
      </c>
      <c r="W626" s="6">
        <f t="shared" si="18"/>
        <v>0</v>
      </c>
      <c r="X626" s="6">
        <f t="shared" si="19"/>
        <v>0</v>
      </c>
    </row>
    <row r="627" spans="1:24" x14ac:dyDescent="0.3">
      <c r="A627" t="s">
        <v>1099</v>
      </c>
      <c r="B627" t="s">
        <v>1159</v>
      </c>
      <c r="C627" t="s">
        <v>23</v>
      </c>
      <c r="D627" t="s">
        <v>24</v>
      </c>
      <c r="E627" t="s">
        <v>25</v>
      </c>
      <c r="F627">
        <v>1</v>
      </c>
      <c r="G627">
        <v>9791136931375</v>
      </c>
      <c r="H627" t="s">
        <v>32</v>
      </c>
      <c r="I627" t="s">
        <v>189</v>
      </c>
      <c r="J627" t="s">
        <v>46</v>
      </c>
      <c r="K627" t="s">
        <v>29</v>
      </c>
      <c r="L627">
        <v>0</v>
      </c>
      <c r="M627" t="s">
        <v>152</v>
      </c>
      <c r="N627">
        <v>0</v>
      </c>
      <c r="O627">
        <v>0</v>
      </c>
      <c r="P627" t="s">
        <v>153</v>
      </c>
      <c r="Q627" s="2">
        <v>0.7</v>
      </c>
      <c r="R627">
        <v>0</v>
      </c>
      <c r="V627" t="str">
        <f>VLOOKUP(H627,'[1]팀별 출판사'!A:B,2,0)</f>
        <v>소설1팀</v>
      </c>
      <c r="W627" s="6">
        <f t="shared" si="18"/>
        <v>0</v>
      </c>
      <c r="X627" s="6">
        <f t="shared" si="19"/>
        <v>0</v>
      </c>
    </row>
    <row r="628" spans="1:24" x14ac:dyDescent="0.3">
      <c r="A628" t="s">
        <v>1099</v>
      </c>
      <c r="B628" t="s">
        <v>1160</v>
      </c>
      <c r="C628" t="s">
        <v>23</v>
      </c>
      <c r="D628" t="s">
        <v>24</v>
      </c>
      <c r="E628" t="s">
        <v>25</v>
      </c>
      <c r="F628">
        <v>1</v>
      </c>
      <c r="G628">
        <v>9791136965455</v>
      </c>
      <c r="H628" t="s">
        <v>26</v>
      </c>
      <c r="I628" t="s">
        <v>472</v>
      </c>
      <c r="J628" t="s">
        <v>157</v>
      </c>
      <c r="K628" t="s">
        <v>29</v>
      </c>
      <c r="L628">
        <v>0</v>
      </c>
      <c r="M628" t="s">
        <v>152</v>
      </c>
      <c r="N628">
        <v>0</v>
      </c>
      <c r="O628">
        <v>0</v>
      </c>
      <c r="P628" t="s">
        <v>153</v>
      </c>
      <c r="Q628" s="2">
        <v>0.7</v>
      </c>
      <c r="R628">
        <v>0</v>
      </c>
      <c r="V628" t="str">
        <f>VLOOKUP(H628,'[1]팀별 출판사'!A:B,2,0)</f>
        <v>소설1팀</v>
      </c>
      <c r="W628" s="6">
        <f t="shared" si="18"/>
        <v>0</v>
      </c>
      <c r="X628" s="6">
        <f t="shared" si="19"/>
        <v>0</v>
      </c>
    </row>
    <row r="629" spans="1:24" x14ac:dyDescent="0.3">
      <c r="A629" t="s">
        <v>1099</v>
      </c>
      <c r="B629" t="s">
        <v>1161</v>
      </c>
      <c r="C629" t="s">
        <v>23</v>
      </c>
      <c r="D629" t="s">
        <v>24</v>
      </c>
      <c r="E629" t="s">
        <v>25</v>
      </c>
      <c r="F629">
        <v>1</v>
      </c>
      <c r="G629">
        <v>9791133102761</v>
      </c>
      <c r="H629" t="s">
        <v>32</v>
      </c>
      <c r="I629" t="s">
        <v>132</v>
      </c>
      <c r="J629" t="s">
        <v>51</v>
      </c>
      <c r="K629" t="s">
        <v>29</v>
      </c>
      <c r="L629">
        <v>0</v>
      </c>
      <c r="M629" t="s">
        <v>29</v>
      </c>
      <c r="N629">
        <v>0</v>
      </c>
      <c r="O629">
        <v>0</v>
      </c>
      <c r="P629" t="s">
        <v>30</v>
      </c>
      <c r="Q629" s="2">
        <v>0.7</v>
      </c>
      <c r="R629">
        <v>0</v>
      </c>
      <c r="V629" t="str">
        <f>VLOOKUP(H629,'[1]팀별 출판사'!A:B,2,0)</f>
        <v>소설1팀</v>
      </c>
      <c r="W629" s="6">
        <f t="shared" si="18"/>
        <v>0</v>
      </c>
      <c r="X629" s="6">
        <f t="shared" si="19"/>
        <v>0</v>
      </c>
    </row>
    <row r="630" spans="1:24" x14ac:dyDescent="0.3">
      <c r="A630" t="s">
        <v>1099</v>
      </c>
      <c r="B630" t="s">
        <v>1162</v>
      </c>
      <c r="C630" t="s">
        <v>23</v>
      </c>
      <c r="D630" t="s">
        <v>24</v>
      </c>
      <c r="E630" t="s">
        <v>25</v>
      </c>
      <c r="F630">
        <v>1</v>
      </c>
      <c r="G630" t="s">
        <v>1163</v>
      </c>
      <c r="H630" t="s">
        <v>32</v>
      </c>
      <c r="I630" t="s">
        <v>1164</v>
      </c>
      <c r="J630" t="s">
        <v>166</v>
      </c>
      <c r="K630" t="s">
        <v>29</v>
      </c>
      <c r="L630">
        <v>0</v>
      </c>
      <c r="M630" t="s">
        <v>70</v>
      </c>
      <c r="N630">
        <v>0</v>
      </c>
      <c r="O630">
        <v>0</v>
      </c>
      <c r="P630" t="s">
        <v>426</v>
      </c>
      <c r="Q630" s="2">
        <v>0.7</v>
      </c>
      <c r="R630">
        <v>0</v>
      </c>
      <c r="V630" t="str">
        <f>VLOOKUP(H630,'[1]팀별 출판사'!A:B,2,0)</f>
        <v>소설1팀</v>
      </c>
      <c r="W630" s="6">
        <f t="shared" si="18"/>
        <v>0</v>
      </c>
      <c r="X630" s="6">
        <f t="shared" si="19"/>
        <v>0</v>
      </c>
    </row>
    <row r="631" spans="1:24" x14ac:dyDescent="0.3">
      <c r="A631" t="s">
        <v>1099</v>
      </c>
      <c r="B631" t="s">
        <v>1165</v>
      </c>
      <c r="C631" t="s">
        <v>23</v>
      </c>
      <c r="D631" t="s">
        <v>24</v>
      </c>
      <c r="E631" t="s">
        <v>25</v>
      </c>
      <c r="F631">
        <v>1</v>
      </c>
      <c r="G631">
        <v>9791157532735</v>
      </c>
      <c r="H631" t="s">
        <v>32</v>
      </c>
      <c r="I631" t="s">
        <v>1166</v>
      </c>
      <c r="J631" t="s">
        <v>187</v>
      </c>
      <c r="K631" t="s">
        <v>29</v>
      </c>
      <c r="L631">
        <v>0</v>
      </c>
      <c r="M631" t="s">
        <v>29</v>
      </c>
      <c r="N631">
        <v>0</v>
      </c>
      <c r="O631">
        <v>0</v>
      </c>
      <c r="P631" t="s">
        <v>30</v>
      </c>
      <c r="Q631" s="2">
        <v>0.7</v>
      </c>
      <c r="R631">
        <v>0</v>
      </c>
      <c r="V631" t="str">
        <f>VLOOKUP(H631,'[1]팀별 출판사'!A:B,2,0)</f>
        <v>소설1팀</v>
      </c>
      <c r="W631" s="6">
        <f t="shared" si="18"/>
        <v>0</v>
      </c>
      <c r="X631" s="6">
        <f t="shared" si="19"/>
        <v>0</v>
      </c>
    </row>
    <row r="632" spans="1:24" x14ac:dyDescent="0.3">
      <c r="A632" t="s">
        <v>1099</v>
      </c>
      <c r="B632" t="s">
        <v>1167</v>
      </c>
      <c r="C632" t="s">
        <v>23</v>
      </c>
      <c r="D632" t="s">
        <v>24</v>
      </c>
      <c r="E632" t="s">
        <v>25</v>
      </c>
      <c r="F632">
        <v>1</v>
      </c>
      <c r="G632">
        <v>9791172927844</v>
      </c>
      <c r="H632" t="s">
        <v>79</v>
      </c>
      <c r="I632" t="s">
        <v>1168</v>
      </c>
      <c r="J632" t="s">
        <v>81</v>
      </c>
      <c r="K632" t="s">
        <v>29</v>
      </c>
      <c r="L632">
        <v>0</v>
      </c>
      <c r="M632" t="s">
        <v>29</v>
      </c>
      <c r="N632">
        <v>0</v>
      </c>
      <c r="O632">
        <v>0</v>
      </c>
      <c r="P632" t="s">
        <v>30</v>
      </c>
      <c r="Q632" s="2">
        <v>0.7</v>
      </c>
      <c r="R632">
        <v>0</v>
      </c>
      <c r="V632" t="str">
        <f>VLOOKUP(H632,'[1]팀별 출판사'!A:B,2,0)</f>
        <v>소설1팀</v>
      </c>
      <c r="W632" s="6">
        <f t="shared" si="18"/>
        <v>0</v>
      </c>
      <c r="X632" s="6">
        <f t="shared" si="19"/>
        <v>0</v>
      </c>
    </row>
    <row r="633" spans="1:24" x14ac:dyDescent="0.3">
      <c r="A633" t="s">
        <v>1099</v>
      </c>
      <c r="B633" t="s">
        <v>1169</v>
      </c>
      <c r="C633" t="s">
        <v>23</v>
      </c>
      <c r="D633" t="s">
        <v>24</v>
      </c>
      <c r="E633" t="s">
        <v>25</v>
      </c>
      <c r="F633">
        <v>1</v>
      </c>
      <c r="G633">
        <v>9791157532629</v>
      </c>
      <c r="H633" t="s">
        <v>32</v>
      </c>
      <c r="I633" t="s">
        <v>1170</v>
      </c>
      <c r="J633" t="s">
        <v>187</v>
      </c>
      <c r="K633" t="s">
        <v>29</v>
      </c>
      <c r="L633">
        <v>0</v>
      </c>
      <c r="M633" t="s">
        <v>29</v>
      </c>
      <c r="N633">
        <v>0</v>
      </c>
      <c r="O633">
        <v>0</v>
      </c>
      <c r="P633" t="s">
        <v>30</v>
      </c>
      <c r="Q633" s="2">
        <v>0.7</v>
      </c>
      <c r="R633">
        <v>0</v>
      </c>
      <c r="V633" t="str">
        <f>VLOOKUP(H633,'[1]팀별 출판사'!A:B,2,0)</f>
        <v>소설1팀</v>
      </c>
      <c r="W633" s="6">
        <f t="shared" si="18"/>
        <v>0</v>
      </c>
      <c r="X633" s="6">
        <f t="shared" si="19"/>
        <v>0</v>
      </c>
    </row>
    <row r="634" spans="1:24" x14ac:dyDescent="0.3">
      <c r="A634" t="s">
        <v>1099</v>
      </c>
      <c r="B634" t="s">
        <v>1171</v>
      </c>
      <c r="C634" t="s">
        <v>23</v>
      </c>
      <c r="D634" t="s">
        <v>24</v>
      </c>
      <c r="E634" t="s">
        <v>25</v>
      </c>
      <c r="F634">
        <v>1</v>
      </c>
      <c r="G634">
        <v>9791133106127</v>
      </c>
      <c r="H634" t="s">
        <v>32</v>
      </c>
      <c r="I634" t="s">
        <v>692</v>
      </c>
      <c r="J634" t="s">
        <v>160</v>
      </c>
      <c r="K634" t="s">
        <v>29</v>
      </c>
      <c r="L634">
        <v>0</v>
      </c>
      <c r="M634" t="s">
        <v>29</v>
      </c>
      <c r="N634">
        <v>0</v>
      </c>
      <c r="O634">
        <v>0</v>
      </c>
      <c r="P634" t="s">
        <v>30</v>
      </c>
      <c r="Q634" s="2">
        <v>0.7</v>
      </c>
      <c r="R634">
        <v>0</v>
      </c>
      <c r="V634" t="str">
        <f>VLOOKUP(H634,'[1]팀별 출판사'!A:B,2,0)</f>
        <v>소설1팀</v>
      </c>
      <c r="W634" s="6">
        <f t="shared" si="18"/>
        <v>0</v>
      </c>
      <c r="X634" s="6">
        <f t="shared" si="19"/>
        <v>0</v>
      </c>
    </row>
    <row r="635" spans="1:24" x14ac:dyDescent="0.3">
      <c r="A635" t="s">
        <v>1099</v>
      </c>
      <c r="B635" t="s">
        <v>1172</v>
      </c>
      <c r="C635" t="s">
        <v>23</v>
      </c>
      <c r="D635" t="s">
        <v>24</v>
      </c>
      <c r="E635" t="s">
        <v>25</v>
      </c>
      <c r="F635">
        <v>1</v>
      </c>
      <c r="G635">
        <v>9791133101801</v>
      </c>
      <c r="H635" t="s">
        <v>32</v>
      </c>
      <c r="I635" t="s">
        <v>1173</v>
      </c>
      <c r="J635" t="s">
        <v>160</v>
      </c>
      <c r="K635" t="s">
        <v>29</v>
      </c>
      <c r="L635">
        <v>0</v>
      </c>
      <c r="M635" t="s">
        <v>29</v>
      </c>
      <c r="N635">
        <v>0</v>
      </c>
      <c r="O635">
        <v>0</v>
      </c>
      <c r="P635" t="s">
        <v>30</v>
      </c>
      <c r="Q635" s="2">
        <v>0.7</v>
      </c>
      <c r="R635">
        <v>0</v>
      </c>
      <c r="V635" t="str">
        <f>VLOOKUP(H635,'[1]팀별 출판사'!A:B,2,0)</f>
        <v>소설1팀</v>
      </c>
      <c r="W635" s="6">
        <f t="shared" si="18"/>
        <v>0</v>
      </c>
      <c r="X635" s="6">
        <f t="shared" si="19"/>
        <v>0</v>
      </c>
    </row>
    <row r="636" spans="1:24" x14ac:dyDescent="0.3">
      <c r="A636" t="s">
        <v>1099</v>
      </c>
      <c r="B636" t="s">
        <v>1174</v>
      </c>
      <c r="C636" t="s">
        <v>23</v>
      </c>
      <c r="D636" t="s">
        <v>24</v>
      </c>
      <c r="E636" t="s">
        <v>25</v>
      </c>
      <c r="F636">
        <v>1</v>
      </c>
      <c r="G636">
        <v>9791172920029</v>
      </c>
      <c r="H636" t="s">
        <v>26</v>
      </c>
      <c r="I636" t="s">
        <v>369</v>
      </c>
      <c r="J636" t="s">
        <v>276</v>
      </c>
      <c r="K636" t="s">
        <v>29</v>
      </c>
      <c r="L636">
        <v>0</v>
      </c>
      <c r="M636" t="s">
        <v>29</v>
      </c>
      <c r="N636">
        <v>0</v>
      </c>
      <c r="O636">
        <v>0</v>
      </c>
      <c r="P636" t="s">
        <v>30</v>
      </c>
      <c r="Q636" s="2">
        <v>0.7</v>
      </c>
      <c r="R636">
        <v>0</v>
      </c>
      <c r="V636" t="str">
        <f>VLOOKUP(H636,'[1]팀별 출판사'!A:B,2,0)</f>
        <v>소설1팀</v>
      </c>
      <c r="W636" s="6">
        <f t="shared" si="18"/>
        <v>0</v>
      </c>
      <c r="X636" s="6">
        <f t="shared" si="19"/>
        <v>0</v>
      </c>
    </row>
    <row r="637" spans="1:24" x14ac:dyDescent="0.3">
      <c r="A637" t="s">
        <v>1099</v>
      </c>
      <c r="B637" t="s">
        <v>1175</v>
      </c>
      <c r="C637" t="s">
        <v>23</v>
      </c>
      <c r="D637" t="s">
        <v>24</v>
      </c>
      <c r="E637" t="s">
        <v>25</v>
      </c>
      <c r="F637">
        <v>1</v>
      </c>
      <c r="G637">
        <v>9791136931375</v>
      </c>
      <c r="H637" t="s">
        <v>32</v>
      </c>
      <c r="I637" t="s">
        <v>189</v>
      </c>
      <c r="J637" t="s">
        <v>46</v>
      </c>
      <c r="K637" t="s">
        <v>29</v>
      </c>
      <c r="L637">
        <v>0</v>
      </c>
      <c r="M637" t="s">
        <v>152</v>
      </c>
      <c r="N637">
        <v>0</v>
      </c>
      <c r="O637">
        <v>0</v>
      </c>
      <c r="P637" t="s">
        <v>153</v>
      </c>
      <c r="Q637" s="2">
        <v>0.7</v>
      </c>
      <c r="R637">
        <v>0</v>
      </c>
      <c r="V637" t="str">
        <f>VLOOKUP(H637,'[1]팀별 출판사'!A:B,2,0)</f>
        <v>소설1팀</v>
      </c>
      <c r="W637" s="6">
        <f t="shared" si="18"/>
        <v>0</v>
      </c>
      <c r="X637" s="6">
        <f t="shared" si="19"/>
        <v>0</v>
      </c>
    </row>
    <row r="638" spans="1:24" x14ac:dyDescent="0.3">
      <c r="A638" t="s">
        <v>1099</v>
      </c>
      <c r="B638" t="s">
        <v>1176</v>
      </c>
      <c r="C638" t="s">
        <v>23</v>
      </c>
      <c r="D638" t="s">
        <v>24</v>
      </c>
      <c r="E638" t="s">
        <v>25</v>
      </c>
      <c r="F638">
        <v>1</v>
      </c>
      <c r="G638" t="s">
        <v>1177</v>
      </c>
      <c r="H638" t="s">
        <v>32</v>
      </c>
      <c r="I638" t="s">
        <v>1178</v>
      </c>
      <c r="J638" t="s">
        <v>88</v>
      </c>
      <c r="K638" t="s">
        <v>29</v>
      </c>
      <c r="L638">
        <v>0</v>
      </c>
      <c r="M638" t="s">
        <v>29</v>
      </c>
      <c r="N638">
        <v>0</v>
      </c>
      <c r="O638">
        <v>0</v>
      </c>
      <c r="P638" t="s">
        <v>30</v>
      </c>
      <c r="Q638" s="2">
        <v>0.7</v>
      </c>
      <c r="R638">
        <v>0</v>
      </c>
      <c r="V638" t="str">
        <f>VLOOKUP(H638,'[1]팀별 출판사'!A:B,2,0)</f>
        <v>소설1팀</v>
      </c>
      <c r="W638" s="6">
        <f t="shared" si="18"/>
        <v>0</v>
      </c>
      <c r="X638" s="6">
        <f t="shared" si="19"/>
        <v>0</v>
      </c>
    </row>
    <row r="639" spans="1:24" x14ac:dyDescent="0.3">
      <c r="A639" t="s">
        <v>1099</v>
      </c>
      <c r="B639" t="s">
        <v>1179</v>
      </c>
      <c r="C639" t="s">
        <v>23</v>
      </c>
      <c r="D639" t="s">
        <v>24</v>
      </c>
      <c r="E639" t="s">
        <v>25</v>
      </c>
      <c r="F639">
        <v>1</v>
      </c>
      <c r="G639">
        <v>9791136942142</v>
      </c>
      <c r="H639" t="s">
        <v>26</v>
      </c>
      <c r="I639" t="s">
        <v>180</v>
      </c>
      <c r="J639" t="s">
        <v>46</v>
      </c>
      <c r="K639" t="s">
        <v>29</v>
      </c>
      <c r="L639">
        <v>0</v>
      </c>
      <c r="M639" t="s">
        <v>47</v>
      </c>
      <c r="N639">
        <v>0</v>
      </c>
      <c r="O639">
        <v>0</v>
      </c>
      <c r="P639" t="s">
        <v>48</v>
      </c>
      <c r="Q639" s="2">
        <v>0.7</v>
      </c>
      <c r="R639">
        <v>0</v>
      </c>
      <c r="V639" t="str">
        <f>VLOOKUP(H639,'[1]팀별 출판사'!A:B,2,0)</f>
        <v>소설1팀</v>
      </c>
      <c r="W639" s="6">
        <f t="shared" si="18"/>
        <v>0</v>
      </c>
      <c r="X639" s="6">
        <f t="shared" si="19"/>
        <v>0</v>
      </c>
    </row>
    <row r="640" spans="1:24" x14ac:dyDescent="0.3">
      <c r="A640" t="s">
        <v>1099</v>
      </c>
      <c r="B640" t="s">
        <v>1180</v>
      </c>
      <c r="C640" t="s">
        <v>23</v>
      </c>
      <c r="D640" t="s">
        <v>24</v>
      </c>
      <c r="E640" t="s">
        <v>25</v>
      </c>
      <c r="F640">
        <v>1</v>
      </c>
      <c r="G640">
        <v>9791133102716</v>
      </c>
      <c r="H640" t="s">
        <v>32</v>
      </c>
      <c r="I640" t="s">
        <v>673</v>
      </c>
      <c r="J640" t="s">
        <v>51</v>
      </c>
      <c r="K640" t="s">
        <v>29</v>
      </c>
      <c r="L640">
        <v>0</v>
      </c>
      <c r="M640" t="s">
        <v>1181</v>
      </c>
      <c r="N640">
        <v>0</v>
      </c>
      <c r="O640">
        <v>0</v>
      </c>
      <c r="P640" t="s">
        <v>1182</v>
      </c>
      <c r="Q640" s="2">
        <v>0.7</v>
      </c>
      <c r="R640">
        <v>0</v>
      </c>
      <c r="V640" t="str">
        <f>VLOOKUP(H640,'[1]팀별 출판사'!A:B,2,0)</f>
        <v>소설1팀</v>
      </c>
      <c r="W640" s="6">
        <f t="shared" si="18"/>
        <v>0</v>
      </c>
      <c r="X640" s="6">
        <f t="shared" si="19"/>
        <v>0</v>
      </c>
    </row>
    <row r="641" spans="1:24" x14ac:dyDescent="0.3">
      <c r="A641" t="s">
        <v>1099</v>
      </c>
      <c r="B641" t="s">
        <v>1183</v>
      </c>
      <c r="C641" t="s">
        <v>23</v>
      </c>
      <c r="D641" t="s">
        <v>24</v>
      </c>
      <c r="E641" t="s">
        <v>25</v>
      </c>
      <c r="F641">
        <v>1</v>
      </c>
      <c r="G641">
        <v>9791157533596</v>
      </c>
      <c r="H641" t="s">
        <v>32</v>
      </c>
      <c r="I641" t="s">
        <v>1184</v>
      </c>
      <c r="J641" t="s">
        <v>187</v>
      </c>
      <c r="K641" t="s">
        <v>29</v>
      </c>
      <c r="L641" s="1">
        <v>3200</v>
      </c>
      <c r="M641" t="s">
        <v>29</v>
      </c>
      <c r="N641" s="1">
        <v>3200</v>
      </c>
      <c r="O641" s="1">
        <v>3200</v>
      </c>
      <c r="P641" t="s">
        <v>30</v>
      </c>
      <c r="Q641" s="2">
        <v>0.7</v>
      </c>
      <c r="R641" s="1">
        <v>2240</v>
      </c>
      <c r="S641" t="s">
        <v>29</v>
      </c>
      <c r="T641" s="1">
        <v>2240</v>
      </c>
      <c r="V641" t="str">
        <f>VLOOKUP(H641,'[1]팀별 출판사'!A:B,2,0)</f>
        <v>소설1팀</v>
      </c>
      <c r="W641" s="6">
        <f t="shared" si="18"/>
        <v>0</v>
      </c>
      <c r="X641" s="6">
        <f t="shared" si="19"/>
        <v>2240</v>
      </c>
    </row>
    <row r="642" spans="1:24" x14ac:dyDescent="0.3">
      <c r="A642" t="s">
        <v>1099</v>
      </c>
      <c r="B642" t="s">
        <v>1185</v>
      </c>
      <c r="C642" t="s">
        <v>23</v>
      </c>
      <c r="D642" t="s">
        <v>24</v>
      </c>
      <c r="E642" t="s">
        <v>25</v>
      </c>
      <c r="F642">
        <v>1</v>
      </c>
      <c r="G642">
        <v>9791133167227</v>
      </c>
      <c r="H642" t="s">
        <v>32</v>
      </c>
      <c r="I642" t="s">
        <v>313</v>
      </c>
      <c r="J642" t="s">
        <v>160</v>
      </c>
      <c r="K642" t="s">
        <v>29</v>
      </c>
      <c r="L642">
        <v>0</v>
      </c>
      <c r="M642" t="s">
        <v>29</v>
      </c>
      <c r="N642">
        <v>0</v>
      </c>
      <c r="O642">
        <v>0</v>
      </c>
      <c r="P642" t="s">
        <v>30</v>
      </c>
      <c r="Q642" s="2">
        <v>0.7</v>
      </c>
      <c r="R642">
        <v>0</v>
      </c>
      <c r="V642" t="str">
        <f>VLOOKUP(H642,'[1]팀별 출판사'!A:B,2,0)</f>
        <v>소설1팀</v>
      </c>
      <c r="W642" s="6">
        <f t="shared" ref="W642:W705" si="20">IF(P642="US", T642*30%, 0)</f>
        <v>0</v>
      </c>
      <c r="X642" s="6">
        <f t="shared" ref="X642:X705" si="21">T642-W642</f>
        <v>0</v>
      </c>
    </row>
    <row r="643" spans="1:24" x14ac:dyDescent="0.3">
      <c r="A643" t="s">
        <v>1099</v>
      </c>
      <c r="B643" t="s">
        <v>1186</v>
      </c>
      <c r="C643" t="s">
        <v>23</v>
      </c>
      <c r="D643" t="s">
        <v>24</v>
      </c>
      <c r="E643" t="s">
        <v>25</v>
      </c>
      <c r="F643">
        <v>1</v>
      </c>
      <c r="G643">
        <v>9791170101284</v>
      </c>
      <c r="H643" t="s">
        <v>67</v>
      </c>
      <c r="I643" t="s">
        <v>1187</v>
      </c>
      <c r="J643" t="s">
        <v>414</v>
      </c>
      <c r="K643" t="s">
        <v>29</v>
      </c>
      <c r="L643">
        <v>0</v>
      </c>
      <c r="M643" t="s">
        <v>39</v>
      </c>
      <c r="N643">
        <v>0</v>
      </c>
      <c r="O643">
        <v>0</v>
      </c>
      <c r="P643" t="s">
        <v>1188</v>
      </c>
      <c r="Q643" s="2">
        <v>0.7</v>
      </c>
      <c r="R643">
        <v>0</v>
      </c>
      <c r="V643" t="str">
        <f>VLOOKUP(H643,'[1]팀별 출판사'!A:B,2,0)</f>
        <v>소설1팀</v>
      </c>
      <c r="W643" s="6">
        <f t="shared" si="20"/>
        <v>0</v>
      </c>
      <c r="X643" s="6">
        <f t="shared" si="21"/>
        <v>0</v>
      </c>
    </row>
    <row r="644" spans="1:24" x14ac:dyDescent="0.3">
      <c r="A644" t="s">
        <v>1099</v>
      </c>
      <c r="B644" t="s">
        <v>1189</v>
      </c>
      <c r="C644" t="s">
        <v>23</v>
      </c>
      <c r="D644" t="s">
        <v>24</v>
      </c>
      <c r="E644" t="s">
        <v>25</v>
      </c>
      <c r="F644">
        <v>1</v>
      </c>
      <c r="G644">
        <v>9791136942142</v>
      </c>
      <c r="H644" t="s">
        <v>26</v>
      </c>
      <c r="I644" t="s">
        <v>180</v>
      </c>
      <c r="J644" t="s">
        <v>46</v>
      </c>
      <c r="K644" t="s">
        <v>29</v>
      </c>
      <c r="L644">
        <v>0</v>
      </c>
      <c r="M644" t="s">
        <v>152</v>
      </c>
      <c r="N644">
        <v>0</v>
      </c>
      <c r="O644">
        <v>0</v>
      </c>
      <c r="P644" t="s">
        <v>153</v>
      </c>
      <c r="Q644" s="2">
        <v>0.7</v>
      </c>
      <c r="R644">
        <v>0</v>
      </c>
      <c r="V644" t="str">
        <f>VLOOKUP(H644,'[1]팀별 출판사'!A:B,2,0)</f>
        <v>소설1팀</v>
      </c>
      <c r="W644" s="6">
        <f t="shared" si="20"/>
        <v>0</v>
      </c>
      <c r="X644" s="6">
        <f t="shared" si="21"/>
        <v>0</v>
      </c>
    </row>
    <row r="645" spans="1:24" x14ac:dyDescent="0.3">
      <c r="A645" t="s">
        <v>1099</v>
      </c>
      <c r="B645" t="s">
        <v>1190</v>
      </c>
      <c r="C645" t="s">
        <v>23</v>
      </c>
      <c r="D645" t="s">
        <v>24</v>
      </c>
      <c r="E645" t="s">
        <v>25</v>
      </c>
      <c r="F645">
        <v>1</v>
      </c>
      <c r="G645">
        <v>9791133144921</v>
      </c>
      <c r="H645" t="s">
        <v>32</v>
      </c>
      <c r="I645" t="s">
        <v>1191</v>
      </c>
      <c r="J645" t="s">
        <v>1192</v>
      </c>
      <c r="K645" t="s">
        <v>29</v>
      </c>
      <c r="L645" s="1">
        <v>3200</v>
      </c>
      <c r="M645" t="s">
        <v>29</v>
      </c>
      <c r="N645" s="1">
        <v>3200</v>
      </c>
      <c r="O645" s="1">
        <v>3200</v>
      </c>
      <c r="P645" t="s">
        <v>30</v>
      </c>
      <c r="Q645" s="2">
        <v>0.7</v>
      </c>
      <c r="R645" s="1">
        <v>2240</v>
      </c>
      <c r="S645" t="s">
        <v>29</v>
      </c>
      <c r="T645" s="1">
        <v>2240</v>
      </c>
      <c r="V645" t="str">
        <f>VLOOKUP(H645,'[1]팀별 출판사'!A:B,2,0)</f>
        <v>소설1팀</v>
      </c>
      <c r="W645" s="6">
        <f t="shared" si="20"/>
        <v>0</v>
      </c>
      <c r="X645" s="6">
        <f t="shared" si="21"/>
        <v>2240</v>
      </c>
    </row>
    <row r="646" spans="1:24" x14ac:dyDescent="0.3">
      <c r="A646" t="s">
        <v>1099</v>
      </c>
      <c r="B646" t="s">
        <v>1193</v>
      </c>
      <c r="C646" t="s">
        <v>23</v>
      </c>
      <c r="D646" t="s">
        <v>24</v>
      </c>
      <c r="E646" t="s">
        <v>25</v>
      </c>
      <c r="F646">
        <v>1</v>
      </c>
      <c r="G646">
        <v>9791136995193</v>
      </c>
      <c r="H646" t="s">
        <v>36</v>
      </c>
      <c r="I646" t="s">
        <v>140</v>
      </c>
      <c r="J646" t="s">
        <v>135</v>
      </c>
      <c r="K646" t="s">
        <v>29</v>
      </c>
      <c r="L646" s="1">
        <v>3800</v>
      </c>
      <c r="M646" t="s">
        <v>136</v>
      </c>
      <c r="N646">
        <v>412</v>
      </c>
      <c r="O646">
        <v>375</v>
      </c>
      <c r="P646" t="s">
        <v>137</v>
      </c>
      <c r="Q646" s="2">
        <v>0.7</v>
      </c>
      <c r="R646">
        <v>262</v>
      </c>
      <c r="S646" t="s">
        <v>29</v>
      </c>
      <c r="T646" s="1">
        <v>2445</v>
      </c>
      <c r="U646">
        <v>9.3415400000000002</v>
      </c>
      <c r="V646" t="str">
        <f>VLOOKUP(H646,'[1]팀별 출판사'!A:B,2,0)</f>
        <v>소설2팀</v>
      </c>
      <c r="W646" s="6">
        <f t="shared" si="20"/>
        <v>0</v>
      </c>
      <c r="X646" s="6">
        <f t="shared" si="21"/>
        <v>2445</v>
      </c>
    </row>
    <row r="647" spans="1:24" x14ac:dyDescent="0.3">
      <c r="A647" t="s">
        <v>1099</v>
      </c>
      <c r="B647" t="s">
        <v>1194</v>
      </c>
      <c r="C647" t="s">
        <v>23</v>
      </c>
      <c r="D647" t="s">
        <v>24</v>
      </c>
      <c r="E647" t="s">
        <v>25</v>
      </c>
      <c r="F647">
        <v>1</v>
      </c>
      <c r="G647">
        <v>9791136931375</v>
      </c>
      <c r="H647" t="s">
        <v>32</v>
      </c>
      <c r="I647" t="s">
        <v>189</v>
      </c>
      <c r="J647" t="s">
        <v>46</v>
      </c>
      <c r="K647" t="s">
        <v>29</v>
      </c>
      <c r="L647">
        <v>0</v>
      </c>
      <c r="M647" t="s">
        <v>47</v>
      </c>
      <c r="N647">
        <v>0</v>
      </c>
      <c r="O647">
        <v>0</v>
      </c>
      <c r="P647" t="s">
        <v>48</v>
      </c>
      <c r="Q647" s="2">
        <v>0.7</v>
      </c>
      <c r="R647">
        <v>0</v>
      </c>
      <c r="V647" t="str">
        <f>VLOOKUP(H647,'[1]팀별 출판사'!A:B,2,0)</f>
        <v>소설1팀</v>
      </c>
      <c r="W647" s="6">
        <f t="shared" si="20"/>
        <v>0</v>
      </c>
      <c r="X647" s="6">
        <f t="shared" si="21"/>
        <v>0</v>
      </c>
    </row>
    <row r="648" spans="1:24" x14ac:dyDescent="0.3">
      <c r="A648" t="s">
        <v>1099</v>
      </c>
      <c r="B648" t="s">
        <v>1195</v>
      </c>
      <c r="C648" t="s">
        <v>23</v>
      </c>
      <c r="D648" t="s">
        <v>24</v>
      </c>
      <c r="E648" t="s">
        <v>25</v>
      </c>
      <c r="F648">
        <v>1</v>
      </c>
      <c r="G648">
        <v>9791170100164</v>
      </c>
      <c r="H648" t="s">
        <v>67</v>
      </c>
      <c r="I648" t="s">
        <v>106</v>
      </c>
      <c r="J648" t="s">
        <v>107</v>
      </c>
      <c r="K648" t="s">
        <v>29</v>
      </c>
      <c r="L648">
        <v>0</v>
      </c>
      <c r="M648" t="s">
        <v>29</v>
      </c>
      <c r="N648">
        <v>0</v>
      </c>
      <c r="O648">
        <v>0</v>
      </c>
      <c r="P648" t="s">
        <v>30</v>
      </c>
      <c r="Q648" s="2">
        <v>0.7</v>
      </c>
      <c r="R648">
        <v>0</v>
      </c>
      <c r="V648" t="str">
        <f>VLOOKUP(H648,'[1]팀별 출판사'!A:B,2,0)</f>
        <v>소설1팀</v>
      </c>
      <c r="W648" s="6">
        <f t="shared" si="20"/>
        <v>0</v>
      </c>
      <c r="X648" s="6">
        <f t="shared" si="21"/>
        <v>0</v>
      </c>
    </row>
    <row r="649" spans="1:24" x14ac:dyDescent="0.3">
      <c r="A649" t="s">
        <v>1099</v>
      </c>
      <c r="B649" t="s">
        <v>1196</v>
      </c>
      <c r="C649" t="s">
        <v>23</v>
      </c>
      <c r="D649" t="s">
        <v>24</v>
      </c>
      <c r="E649" t="s">
        <v>25</v>
      </c>
      <c r="F649">
        <v>1</v>
      </c>
      <c r="G649">
        <v>9791136916389</v>
      </c>
      <c r="H649" t="s">
        <v>26</v>
      </c>
      <c r="I649" t="s">
        <v>1197</v>
      </c>
      <c r="J649" t="s">
        <v>62</v>
      </c>
      <c r="K649" t="s">
        <v>29</v>
      </c>
      <c r="L649" s="1">
        <v>3200</v>
      </c>
      <c r="M649" t="s">
        <v>29</v>
      </c>
      <c r="N649" s="1">
        <v>3200</v>
      </c>
      <c r="O649" s="1">
        <v>3200</v>
      </c>
      <c r="P649" t="s">
        <v>30</v>
      </c>
      <c r="Q649" s="2">
        <v>0.7</v>
      </c>
      <c r="R649" s="1">
        <v>2240</v>
      </c>
      <c r="S649" t="s">
        <v>29</v>
      </c>
      <c r="T649" s="1">
        <v>2240</v>
      </c>
      <c r="V649" t="str">
        <f>VLOOKUP(H649,'[1]팀별 출판사'!A:B,2,0)</f>
        <v>소설1팀</v>
      </c>
      <c r="W649" s="6">
        <f t="shared" si="20"/>
        <v>0</v>
      </c>
      <c r="X649" s="6">
        <f t="shared" si="21"/>
        <v>2240</v>
      </c>
    </row>
    <row r="650" spans="1:24" x14ac:dyDescent="0.3">
      <c r="A650" t="s">
        <v>1099</v>
      </c>
      <c r="B650" t="s">
        <v>1198</v>
      </c>
      <c r="C650" t="s">
        <v>23</v>
      </c>
      <c r="D650" t="s">
        <v>24</v>
      </c>
      <c r="E650" t="s">
        <v>25</v>
      </c>
      <c r="F650">
        <v>1</v>
      </c>
      <c r="G650">
        <v>9791170103165</v>
      </c>
      <c r="H650" t="s">
        <v>67</v>
      </c>
      <c r="I650" t="s">
        <v>1199</v>
      </c>
      <c r="J650" t="s">
        <v>1200</v>
      </c>
      <c r="K650" t="s">
        <v>29</v>
      </c>
      <c r="L650" s="1">
        <v>2500</v>
      </c>
      <c r="M650" t="s">
        <v>70</v>
      </c>
      <c r="N650">
        <v>1.73</v>
      </c>
      <c r="O650">
        <v>1.73</v>
      </c>
      <c r="P650" t="s">
        <v>71</v>
      </c>
      <c r="Q650" s="2">
        <v>0.7</v>
      </c>
      <c r="R650">
        <v>1.21</v>
      </c>
      <c r="S650" t="s">
        <v>29</v>
      </c>
      <c r="T650" s="1">
        <v>1771</v>
      </c>
      <c r="U650" s="3">
        <v>1465.7035000000001</v>
      </c>
      <c r="V650" t="str">
        <f>VLOOKUP(H650,'[1]팀별 출판사'!A:B,2,0)</f>
        <v>소설1팀</v>
      </c>
      <c r="W650" s="6">
        <f t="shared" si="20"/>
        <v>531.29999999999995</v>
      </c>
      <c r="X650" s="6">
        <f t="shared" si="21"/>
        <v>1239.7</v>
      </c>
    </row>
    <row r="651" spans="1:24" x14ac:dyDescent="0.3">
      <c r="A651" t="s">
        <v>1099</v>
      </c>
      <c r="B651" t="s">
        <v>1198</v>
      </c>
      <c r="C651" t="s">
        <v>23</v>
      </c>
      <c r="D651" t="s">
        <v>24</v>
      </c>
      <c r="E651" t="s">
        <v>25</v>
      </c>
      <c r="F651">
        <v>1</v>
      </c>
      <c r="G651">
        <v>9791170103172</v>
      </c>
      <c r="H651" t="s">
        <v>67</v>
      </c>
      <c r="I651" t="s">
        <v>1201</v>
      </c>
      <c r="J651" t="s">
        <v>1200</v>
      </c>
      <c r="K651" t="s">
        <v>29</v>
      </c>
      <c r="L651" s="1">
        <v>2500</v>
      </c>
      <c r="M651" t="s">
        <v>70</v>
      </c>
      <c r="N651">
        <v>1.73</v>
      </c>
      <c r="O651">
        <v>1.73</v>
      </c>
      <c r="P651" t="s">
        <v>71</v>
      </c>
      <c r="Q651" s="2">
        <v>0.7</v>
      </c>
      <c r="R651">
        <v>1.21</v>
      </c>
      <c r="S651" t="s">
        <v>29</v>
      </c>
      <c r="T651" s="1">
        <v>1771</v>
      </c>
      <c r="U651" s="3">
        <v>1465.7035000000001</v>
      </c>
      <c r="V651" t="str">
        <f>VLOOKUP(H651,'[1]팀별 출판사'!A:B,2,0)</f>
        <v>소설1팀</v>
      </c>
      <c r="W651" s="6">
        <f t="shared" si="20"/>
        <v>531.29999999999995</v>
      </c>
      <c r="X651" s="6">
        <f t="shared" si="21"/>
        <v>1239.7</v>
      </c>
    </row>
    <row r="652" spans="1:24" x14ac:dyDescent="0.3">
      <c r="A652" t="s">
        <v>1099</v>
      </c>
      <c r="B652" t="s">
        <v>1202</v>
      </c>
      <c r="C652" t="s">
        <v>23</v>
      </c>
      <c r="D652" t="s">
        <v>24</v>
      </c>
      <c r="E652" t="s">
        <v>25</v>
      </c>
      <c r="F652">
        <v>1</v>
      </c>
      <c r="G652">
        <v>9791194664369</v>
      </c>
      <c r="H652" t="s">
        <v>79</v>
      </c>
      <c r="I652" t="s">
        <v>156</v>
      </c>
      <c r="J652" t="s">
        <v>157</v>
      </c>
      <c r="K652" t="s">
        <v>29</v>
      </c>
      <c r="L652">
        <v>0</v>
      </c>
      <c r="M652" t="s">
        <v>47</v>
      </c>
      <c r="N652">
        <v>0</v>
      </c>
      <c r="O652">
        <v>0</v>
      </c>
      <c r="P652" t="s">
        <v>48</v>
      </c>
      <c r="Q652" s="2">
        <v>0.7</v>
      </c>
      <c r="R652">
        <v>0</v>
      </c>
      <c r="V652" t="str">
        <f>VLOOKUP(H652,'[1]팀별 출판사'!A:B,2,0)</f>
        <v>소설1팀</v>
      </c>
      <c r="W652" s="6">
        <f t="shared" si="20"/>
        <v>0</v>
      </c>
      <c r="X652" s="6">
        <f t="shared" si="21"/>
        <v>0</v>
      </c>
    </row>
    <row r="653" spans="1:24" x14ac:dyDescent="0.3">
      <c r="A653" t="s">
        <v>1099</v>
      </c>
      <c r="B653" t="s">
        <v>1203</v>
      </c>
      <c r="C653" t="s">
        <v>23</v>
      </c>
      <c r="D653" t="s">
        <v>24</v>
      </c>
      <c r="E653" t="s">
        <v>25</v>
      </c>
      <c r="F653">
        <v>1</v>
      </c>
      <c r="G653">
        <v>9791133138104</v>
      </c>
      <c r="H653" t="s">
        <v>32</v>
      </c>
      <c r="I653" t="s">
        <v>1204</v>
      </c>
      <c r="J653" t="s">
        <v>88</v>
      </c>
      <c r="K653" t="s">
        <v>29</v>
      </c>
      <c r="L653">
        <v>0</v>
      </c>
      <c r="M653" t="s">
        <v>29</v>
      </c>
      <c r="N653">
        <v>0</v>
      </c>
      <c r="O653">
        <v>0</v>
      </c>
      <c r="P653" t="s">
        <v>30</v>
      </c>
      <c r="Q653" s="2">
        <v>0.7</v>
      </c>
      <c r="R653">
        <v>0</v>
      </c>
      <c r="V653" t="str">
        <f>VLOOKUP(H653,'[1]팀별 출판사'!A:B,2,0)</f>
        <v>소설1팀</v>
      </c>
      <c r="W653" s="6">
        <f t="shared" si="20"/>
        <v>0</v>
      </c>
      <c r="X653" s="6">
        <f t="shared" si="21"/>
        <v>0</v>
      </c>
    </row>
    <row r="654" spans="1:24" x14ac:dyDescent="0.3">
      <c r="A654" t="s">
        <v>1099</v>
      </c>
      <c r="B654" t="s">
        <v>1205</v>
      </c>
      <c r="C654" t="s">
        <v>23</v>
      </c>
      <c r="D654" t="s">
        <v>24</v>
      </c>
      <c r="E654" t="s">
        <v>25</v>
      </c>
      <c r="F654">
        <v>1</v>
      </c>
      <c r="G654">
        <v>9791136940506</v>
      </c>
      <c r="H654" t="s">
        <v>26</v>
      </c>
      <c r="I654" t="s">
        <v>1206</v>
      </c>
      <c r="J654" t="s">
        <v>62</v>
      </c>
      <c r="K654" t="s">
        <v>29</v>
      </c>
      <c r="L654" s="1">
        <v>2500</v>
      </c>
      <c r="M654" t="s">
        <v>29</v>
      </c>
      <c r="N654" s="1">
        <v>2500</v>
      </c>
      <c r="O654" s="1">
        <v>2500</v>
      </c>
      <c r="P654" t="s">
        <v>30</v>
      </c>
      <c r="Q654" s="2">
        <v>0.7</v>
      </c>
      <c r="R654" s="1">
        <v>1750</v>
      </c>
      <c r="S654" t="s">
        <v>29</v>
      </c>
      <c r="T654" s="1">
        <v>1750</v>
      </c>
      <c r="V654" t="str">
        <f>VLOOKUP(H654,'[1]팀별 출판사'!A:B,2,0)</f>
        <v>소설1팀</v>
      </c>
      <c r="W654" s="6">
        <f t="shared" si="20"/>
        <v>0</v>
      </c>
      <c r="X654" s="6">
        <f t="shared" si="21"/>
        <v>1750</v>
      </c>
    </row>
    <row r="655" spans="1:24" x14ac:dyDescent="0.3">
      <c r="A655" t="s">
        <v>1099</v>
      </c>
      <c r="B655" t="s">
        <v>1207</v>
      </c>
      <c r="C655" t="s">
        <v>23</v>
      </c>
      <c r="D655" t="s">
        <v>24</v>
      </c>
      <c r="E655" t="s">
        <v>25</v>
      </c>
      <c r="F655">
        <v>1</v>
      </c>
      <c r="G655">
        <v>9791136930361</v>
      </c>
      <c r="H655" t="s">
        <v>32</v>
      </c>
      <c r="I655" t="s">
        <v>33</v>
      </c>
      <c r="J655" t="s">
        <v>34</v>
      </c>
      <c r="K655" t="s">
        <v>29</v>
      </c>
      <c r="L655">
        <v>0</v>
      </c>
      <c r="M655" t="s">
        <v>47</v>
      </c>
      <c r="N655">
        <v>0</v>
      </c>
      <c r="O655">
        <v>0</v>
      </c>
      <c r="P655" t="s">
        <v>48</v>
      </c>
      <c r="Q655" s="2">
        <v>0.7</v>
      </c>
      <c r="R655">
        <v>0</v>
      </c>
      <c r="V655" t="str">
        <f>VLOOKUP(H655,'[1]팀별 출판사'!A:B,2,0)</f>
        <v>소설1팀</v>
      </c>
      <c r="W655" s="6">
        <f t="shared" si="20"/>
        <v>0</v>
      </c>
      <c r="X655" s="6">
        <f t="shared" si="21"/>
        <v>0</v>
      </c>
    </row>
    <row r="656" spans="1:24" x14ac:dyDescent="0.3">
      <c r="A656" t="s">
        <v>1099</v>
      </c>
      <c r="B656" t="s">
        <v>1208</v>
      </c>
      <c r="C656" t="s">
        <v>23</v>
      </c>
      <c r="D656" t="s">
        <v>24</v>
      </c>
      <c r="E656" t="s">
        <v>25</v>
      </c>
      <c r="F656">
        <v>1</v>
      </c>
      <c r="G656">
        <v>9791173782794</v>
      </c>
      <c r="H656" t="s">
        <v>26</v>
      </c>
      <c r="I656" t="s">
        <v>1209</v>
      </c>
      <c r="J656" t="s">
        <v>284</v>
      </c>
      <c r="K656" t="s">
        <v>29</v>
      </c>
      <c r="L656">
        <v>0</v>
      </c>
      <c r="M656" t="s">
        <v>29</v>
      </c>
      <c r="N656">
        <v>0</v>
      </c>
      <c r="O656">
        <v>0</v>
      </c>
      <c r="P656" t="s">
        <v>30</v>
      </c>
      <c r="Q656" s="2">
        <v>0.7</v>
      </c>
      <c r="R656">
        <v>0</v>
      </c>
      <c r="V656" t="str">
        <f>VLOOKUP(H656,'[1]팀별 출판사'!A:B,2,0)</f>
        <v>소설1팀</v>
      </c>
      <c r="W656" s="6">
        <f t="shared" si="20"/>
        <v>0</v>
      </c>
      <c r="X656" s="6">
        <f t="shared" si="21"/>
        <v>0</v>
      </c>
    </row>
    <row r="657" spans="1:24" x14ac:dyDescent="0.3">
      <c r="A657" t="s">
        <v>1099</v>
      </c>
      <c r="B657" t="s">
        <v>1210</v>
      </c>
      <c r="C657" t="s">
        <v>23</v>
      </c>
      <c r="D657" t="s">
        <v>24</v>
      </c>
      <c r="E657" t="s">
        <v>25</v>
      </c>
      <c r="F657">
        <v>1</v>
      </c>
      <c r="G657">
        <v>9791136910448</v>
      </c>
      <c r="H657" t="s">
        <v>26</v>
      </c>
      <c r="I657" t="s">
        <v>1211</v>
      </c>
      <c r="J657" t="s">
        <v>355</v>
      </c>
      <c r="K657" t="s">
        <v>29</v>
      </c>
      <c r="L657" s="1">
        <v>3200</v>
      </c>
      <c r="M657" t="s">
        <v>29</v>
      </c>
      <c r="N657" s="1">
        <v>3200</v>
      </c>
      <c r="O657" s="1">
        <v>3200</v>
      </c>
      <c r="P657" t="s">
        <v>30</v>
      </c>
      <c r="Q657" s="2">
        <v>0.7</v>
      </c>
      <c r="R657" s="1">
        <v>2240</v>
      </c>
      <c r="S657" t="s">
        <v>29</v>
      </c>
      <c r="T657" s="1">
        <v>2240</v>
      </c>
      <c r="V657" t="str">
        <f>VLOOKUP(H657,'[1]팀별 출판사'!A:B,2,0)</f>
        <v>소설1팀</v>
      </c>
      <c r="W657" s="6">
        <f t="shared" si="20"/>
        <v>0</v>
      </c>
      <c r="X657" s="6">
        <f t="shared" si="21"/>
        <v>2240</v>
      </c>
    </row>
    <row r="658" spans="1:24" x14ac:dyDescent="0.3">
      <c r="A658" t="s">
        <v>1099</v>
      </c>
      <c r="B658" t="s">
        <v>1212</v>
      </c>
      <c r="C658" t="s">
        <v>23</v>
      </c>
      <c r="D658" t="s">
        <v>24</v>
      </c>
      <c r="E658" t="s">
        <v>25</v>
      </c>
      <c r="F658">
        <v>1</v>
      </c>
      <c r="G658">
        <v>9791133183906</v>
      </c>
      <c r="H658" t="s">
        <v>32</v>
      </c>
      <c r="I658" t="s">
        <v>1213</v>
      </c>
      <c r="J658" t="s">
        <v>436</v>
      </c>
      <c r="K658" t="s">
        <v>29</v>
      </c>
      <c r="L658" s="1">
        <v>3200</v>
      </c>
      <c r="M658" t="s">
        <v>29</v>
      </c>
      <c r="N658" s="1">
        <v>3200</v>
      </c>
      <c r="O658" s="1">
        <v>3200</v>
      </c>
      <c r="P658" t="s">
        <v>30</v>
      </c>
      <c r="Q658" s="2">
        <v>0.7</v>
      </c>
      <c r="R658" s="1">
        <v>2240</v>
      </c>
      <c r="S658" t="s">
        <v>29</v>
      </c>
      <c r="T658" s="1">
        <v>2240</v>
      </c>
      <c r="V658" t="str">
        <f>VLOOKUP(H658,'[1]팀별 출판사'!A:B,2,0)</f>
        <v>소설1팀</v>
      </c>
      <c r="W658" s="6">
        <f t="shared" si="20"/>
        <v>0</v>
      </c>
      <c r="X658" s="6">
        <f t="shared" si="21"/>
        <v>2240</v>
      </c>
    </row>
    <row r="659" spans="1:24" x14ac:dyDescent="0.3">
      <c r="A659" t="s">
        <v>1099</v>
      </c>
      <c r="B659" t="s">
        <v>1214</v>
      </c>
      <c r="C659" t="s">
        <v>23</v>
      </c>
      <c r="D659" t="s">
        <v>24</v>
      </c>
      <c r="E659" t="s">
        <v>25</v>
      </c>
      <c r="F659">
        <v>1</v>
      </c>
      <c r="G659">
        <v>9791133156474</v>
      </c>
      <c r="H659" t="s">
        <v>32</v>
      </c>
      <c r="I659" t="s">
        <v>1215</v>
      </c>
      <c r="J659" t="s">
        <v>51</v>
      </c>
      <c r="K659" t="s">
        <v>29</v>
      </c>
      <c r="L659">
        <v>0</v>
      </c>
      <c r="M659" t="s">
        <v>29</v>
      </c>
      <c r="N659">
        <v>0</v>
      </c>
      <c r="O659">
        <v>0</v>
      </c>
      <c r="P659" t="s">
        <v>30</v>
      </c>
      <c r="Q659" s="2">
        <v>0.7</v>
      </c>
      <c r="R659">
        <v>0</v>
      </c>
      <c r="V659" t="str">
        <f>VLOOKUP(H659,'[1]팀별 출판사'!A:B,2,0)</f>
        <v>소설1팀</v>
      </c>
      <c r="W659" s="6">
        <f t="shared" si="20"/>
        <v>0</v>
      </c>
      <c r="X659" s="6">
        <f t="shared" si="21"/>
        <v>0</v>
      </c>
    </row>
    <row r="660" spans="1:24" x14ac:dyDescent="0.3">
      <c r="A660" t="s">
        <v>1099</v>
      </c>
      <c r="B660" t="s">
        <v>1216</v>
      </c>
      <c r="C660" t="s">
        <v>23</v>
      </c>
      <c r="D660" t="s">
        <v>24</v>
      </c>
      <c r="E660" t="s">
        <v>25</v>
      </c>
      <c r="F660">
        <v>1</v>
      </c>
      <c r="G660">
        <v>9791136946782</v>
      </c>
      <c r="H660" t="s">
        <v>26</v>
      </c>
      <c r="I660" t="s">
        <v>291</v>
      </c>
      <c r="J660" t="s">
        <v>28</v>
      </c>
      <c r="K660" t="s">
        <v>29</v>
      </c>
      <c r="L660">
        <v>0</v>
      </c>
      <c r="M660" t="s">
        <v>29</v>
      </c>
      <c r="N660">
        <v>0</v>
      </c>
      <c r="O660">
        <v>0</v>
      </c>
      <c r="P660" t="s">
        <v>30</v>
      </c>
      <c r="Q660" s="2">
        <v>0.7</v>
      </c>
      <c r="R660">
        <v>0</v>
      </c>
      <c r="V660" t="str">
        <f>VLOOKUP(H660,'[1]팀별 출판사'!A:B,2,0)</f>
        <v>소설1팀</v>
      </c>
      <c r="W660" s="6">
        <f t="shared" si="20"/>
        <v>0</v>
      </c>
      <c r="X660" s="6">
        <f t="shared" si="21"/>
        <v>0</v>
      </c>
    </row>
    <row r="661" spans="1:24" x14ac:dyDescent="0.3">
      <c r="A661" t="s">
        <v>1099</v>
      </c>
      <c r="B661" t="s">
        <v>1217</v>
      </c>
      <c r="C661" t="s">
        <v>23</v>
      </c>
      <c r="D661" t="s">
        <v>24</v>
      </c>
      <c r="E661" t="s">
        <v>25</v>
      </c>
      <c r="F661">
        <v>1</v>
      </c>
      <c r="G661">
        <v>9791175300897</v>
      </c>
      <c r="H661" t="s">
        <v>26</v>
      </c>
      <c r="I661" t="s">
        <v>1218</v>
      </c>
      <c r="J661" t="s">
        <v>965</v>
      </c>
      <c r="K661" t="s">
        <v>29</v>
      </c>
      <c r="L661">
        <v>0</v>
      </c>
      <c r="M661" t="s">
        <v>29</v>
      </c>
      <c r="N661">
        <v>0</v>
      </c>
      <c r="O661">
        <v>0</v>
      </c>
      <c r="P661" t="s">
        <v>30</v>
      </c>
      <c r="Q661" s="2">
        <v>0.7</v>
      </c>
      <c r="R661">
        <v>0</v>
      </c>
      <c r="V661" t="str">
        <f>VLOOKUP(H661,'[1]팀별 출판사'!A:B,2,0)</f>
        <v>소설1팀</v>
      </c>
      <c r="W661" s="6">
        <f t="shared" si="20"/>
        <v>0</v>
      </c>
      <c r="X661" s="6">
        <f t="shared" si="21"/>
        <v>0</v>
      </c>
    </row>
    <row r="662" spans="1:24" x14ac:dyDescent="0.3">
      <c r="A662" t="s">
        <v>1099</v>
      </c>
      <c r="B662" t="s">
        <v>1219</v>
      </c>
      <c r="C662" t="s">
        <v>23</v>
      </c>
      <c r="D662" t="s">
        <v>24</v>
      </c>
      <c r="E662" t="s">
        <v>25</v>
      </c>
      <c r="F662">
        <v>1</v>
      </c>
      <c r="G662">
        <v>9791133102846</v>
      </c>
      <c r="H662" t="s">
        <v>32</v>
      </c>
      <c r="I662" t="s">
        <v>50</v>
      </c>
      <c r="J662" t="s">
        <v>51</v>
      </c>
      <c r="K662" t="s">
        <v>29</v>
      </c>
      <c r="L662">
        <v>0</v>
      </c>
      <c r="M662" t="s">
        <v>29</v>
      </c>
      <c r="N662">
        <v>0</v>
      </c>
      <c r="O662">
        <v>0</v>
      </c>
      <c r="P662" t="s">
        <v>30</v>
      </c>
      <c r="Q662" s="2">
        <v>0.7</v>
      </c>
      <c r="R662">
        <v>0</v>
      </c>
      <c r="V662" t="str">
        <f>VLOOKUP(H662,'[1]팀별 출판사'!A:B,2,0)</f>
        <v>소설1팀</v>
      </c>
      <c r="W662" s="6">
        <f t="shared" si="20"/>
        <v>0</v>
      </c>
      <c r="X662" s="6">
        <f t="shared" si="21"/>
        <v>0</v>
      </c>
    </row>
    <row r="663" spans="1:24" x14ac:dyDescent="0.3">
      <c r="A663" t="s">
        <v>1099</v>
      </c>
      <c r="B663" t="s">
        <v>1220</v>
      </c>
      <c r="C663" t="s">
        <v>23</v>
      </c>
      <c r="D663" t="s">
        <v>24</v>
      </c>
      <c r="E663" t="s">
        <v>25</v>
      </c>
      <c r="F663">
        <v>1</v>
      </c>
      <c r="G663">
        <v>9791136930156</v>
      </c>
      <c r="H663" t="s">
        <v>32</v>
      </c>
      <c r="I663" t="s">
        <v>702</v>
      </c>
      <c r="J663" t="s">
        <v>34</v>
      </c>
      <c r="K663" t="s">
        <v>29</v>
      </c>
      <c r="L663">
        <v>0</v>
      </c>
      <c r="M663" t="s">
        <v>47</v>
      </c>
      <c r="N663">
        <v>0</v>
      </c>
      <c r="O663">
        <v>0</v>
      </c>
      <c r="P663" t="s">
        <v>48</v>
      </c>
      <c r="Q663" s="2">
        <v>0.7</v>
      </c>
      <c r="R663">
        <v>0</v>
      </c>
      <c r="V663" t="str">
        <f>VLOOKUP(H663,'[1]팀별 출판사'!A:B,2,0)</f>
        <v>소설1팀</v>
      </c>
      <c r="W663" s="6">
        <f t="shared" si="20"/>
        <v>0</v>
      </c>
      <c r="X663" s="6">
        <f t="shared" si="21"/>
        <v>0</v>
      </c>
    </row>
    <row r="664" spans="1:24" x14ac:dyDescent="0.3">
      <c r="A664" t="s">
        <v>1099</v>
      </c>
      <c r="B664" t="s">
        <v>1221</v>
      </c>
      <c r="C664" t="s">
        <v>23</v>
      </c>
      <c r="D664" t="s">
        <v>24</v>
      </c>
      <c r="E664" t="s">
        <v>25</v>
      </c>
      <c r="F664">
        <v>1</v>
      </c>
      <c r="G664">
        <v>9791136903754</v>
      </c>
      <c r="H664" t="s">
        <v>26</v>
      </c>
      <c r="I664" t="s">
        <v>361</v>
      </c>
      <c r="J664" t="s">
        <v>256</v>
      </c>
      <c r="K664" t="s">
        <v>29</v>
      </c>
      <c r="L664">
        <v>0</v>
      </c>
      <c r="M664" t="s">
        <v>70</v>
      </c>
      <c r="N664">
        <v>0</v>
      </c>
      <c r="O664">
        <v>0</v>
      </c>
      <c r="P664" t="s">
        <v>71</v>
      </c>
      <c r="Q664" s="2">
        <v>0.7</v>
      </c>
      <c r="R664">
        <v>0</v>
      </c>
      <c r="V664" t="str">
        <f>VLOOKUP(H664,'[1]팀별 출판사'!A:B,2,0)</f>
        <v>소설1팀</v>
      </c>
      <c r="W664" s="6">
        <f t="shared" si="20"/>
        <v>0</v>
      </c>
      <c r="X664" s="6">
        <f t="shared" si="21"/>
        <v>0</v>
      </c>
    </row>
    <row r="665" spans="1:24" x14ac:dyDescent="0.3">
      <c r="A665" t="s">
        <v>1099</v>
      </c>
      <c r="B665" t="s">
        <v>1222</v>
      </c>
      <c r="C665" t="s">
        <v>23</v>
      </c>
      <c r="D665" t="s">
        <v>24</v>
      </c>
      <c r="E665" t="s">
        <v>25</v>
      </c>
      <c r="F665">
        <v>1</v>
      </c>
      <c r="G665">
        <v>9791173782800</v>
      </c>
      <c r="H665" t="s">
        <v>26</v>
      </c>
      <c r="I665" t="s">
        <v>1223</v>
      </c>
      <c r="J665" t="s">
        <v>284</v>
      </c>
      <c r="K665" t="s">
        <v>29</v>
      </c>
      <c r="L665" s="1">
        <v>3200</v>
      </c>
      <c r="M665" t="s">
        <v>29</v>
      </c>
      <c r="N665" s="1">
        <v>3200</v>
      </c>
      <c r="O665" s="1">
        <v>3200</v>
      </c>
      <c r="P665" t="s">
        <v>30</v>
      </c>
      <c r="Q665" s="2">
        <v>0.7</v>
      </c>
      <c r="R665" s="1">
        <v>2240</v>
      </c>
      <c r="S665" t="s">
        <v>29</v>
      </c>
      <c r="T665" s="1">
        <v>2240</v>
      </c>
      <c r="V665" t="str">
        <f>VLOOKUP(H665,'[1]팀별 출판사'!A:B,2,0)</f>
        <v>소설1팀</v>
      </c>
      <c r="W665" s="6">
        <f t="shared" si="20"/>
        <v>0</v>
      </c>
      <c r="X665" s="6">
        <f t="shared" si="21"/>
        <v>2240</v>
      </c>
    </row>
    <row r="666" spans="1:24" x14ac:dyDescent="0.3">
      <c r="A666" t="s">
        <v>1099</v>
      </c>
      <c r="B666" t="s">
        <v>1224</v>
      </c>
      <c r="C666" t="s">
        <v>23</v>
      </c>
      <c r="D666" t="s">
        <v>24</v>
      </c>
      <c r="E666" t="s">
        <v>25</v>
      </c>
      <c r="F666">
        <v>1</v>
      </c>
      <c r="G666">
        <v>9791136934925</v>
      </c>
      <c r="H666" t="s">
        <v>32</v>
      </c>
      <c r="I666" t="s">
        <v>385</v>
      </c>
      <c r="J666" t="s">
        <v>126</v>
      </c>
      <c r="K666" t="s">
        <v>29</v>
      </c>
      <c r="L666">
        <v>0</v>
      </c>
      <c r="M666" t="s">
        <v>47</v>
      </c>
      <c r="N666">
        <v>0</v>
      </c>
      <c r="O666">
        <v>0</v>
      </c>
      <c r="P666" t="s">
        <v>48</v>
      </c>
      <c r="Q666" s="2">
        <v>0.7</v>
      </c>
      <c r="R666">
        <v>0</v>
      </c>
      <c r="V666" t="str">
        <f>VLOOKUP(H666,'[1]팀별 출판사'!A:B,2,0)</f>
        <v>소설1팀</v>
      </c>
      <c r="W666" s="6">
        <f t="shared" si="20"/>
        <v>0</v>
      </c>
      <c r="X666" s="6">
        <f t="shared" si="21"/>
        <v>0</v>
      </c>
    </row>
    <row r="667" spans="1:24" x14ac:dyDescent="0.3">
      <c r="A667" t="s">
        <v>1099</v>
      </c>
      <c r="B667" t="s">
        <v>1225</v>
      </c>
      <c r="C667" t="s">
        <v>23</v>
      </c>
      <c r="D667" t="s">
        <v>24</v>
      </c>
      <c r="E667" t="s">
        <v>25</v>
      </c>
      <c r="F667">
        <v>1</v>
      </c>
      <c r="G667">
        <v>9791136930224</v>
      </c>
      <c r="H667" t="s">
        <v>32</v>
      </c>
      <c r="I667" t="s">
        <v>172</v>
      </c>
      <c r="J667" t="s">
        <v>46</v>
      </c>
      <c r="K667" t="s">
        <v>29</v>
      </c>
      <c r="L667">
        <v>0</v>
      </c>
      <c r="M667" t="s">
        <v>152</v>
      </c>
      <c r="N667">
        <v>0</v>
      </c>
      <c r="O667">
        <v>0</v>
      </c>
      <c r="P667" t="s">
        <v>153</v>
      </c>
      <c r="Q667" s="2">
        <v>0.7</v>
      </c>
      <c r="R667">
        <v>0</v>
      </c>
      <c r="V667" t="str">
        <f>VLOOKUP(H667,'[1]팀별 출판사'!A:B,2,0)</f>
        <v>소설1팀</v>
      </c>
      <c r="W667" s="6">
        <f t="shared" si="20"/>
        <v>0</v>
      </c>
      <c r="X667" s="6">
        <f t="shared" si="21"/>
        <v>0</v>
      </c>
    </row>
    <row r="668" spans="1:24" x14ac:dyDescent="0.3">
      <c r="A668" t="s">
        <v>1099</v>
      </c>
      <c r="B668" t="s">
        <v>1226</v>
      </c>
      <c r="C668" t="s">
        <v>23</v>
      </c>
      <c r="D668" t="s">
        <v>24</v>
      </c>
      <c r="E668" t="s">
        <v>25</v>
      </c>
      <c r="F668">
        <v>1</v>
      </c>
      <c r="G668">
        <v>9791172920135</v>
      </c>
      <c r="H668" t="s">
        <v>26</v>
      </c>
      <c r="I668" t="s">
        <v>278</v>
      </c>
      <c r="J668" t="s">
        <v>276</v>
      </c>
      <c r="K668" t="s">
        <v>29</v>
      </c>
      <c r="L668">
        <v>0</v>
      </c>
      <c r="M668" t="s">
        <v>29</v>
      </c>
      <c r="N668">
        <v>0</v>
      </c>
      <c r="O668">
        <v>0</v>
      </c>
      <c r="P668" t="s">
        <v>30</v>
      </c>
      <c r="Q668" s="2">
        <v>0.7</v>
      </c>
      <c r="R668">
        <v>0</v>
      </c>
      <c r="V668" t="str">
        <f>VLOOKUP(H668,'[1]팀별 출판사'!A:B,2,0)</f>
        <v>소설1팀</v>
      </c>
      <c r="W668" s="6">
        <f t="shared" si="20"/>
        <v>0</v>
      </c>
      <c r="X668" s="6">
        <f t="shared" si="21"/>
        <v>0</v>
      </c>
    </row>
    <row r="669" spans="1:24" x14ac:dyDescent="0.3">
      <c r="A669" t="s">
        <v>1099</v>
      </c>
      <c r="B669" t="s">
        <v>1227</v>
      </c>
      <c r="C669" t="s">
        <v>23</v>
      </c>
      <c r="D669" t="s">
        <v>24</v>
      </c>
      <c r="E669" t="s">
        <v>25</v>
      </c>
      <c r="F669">
        <v>1</v>
      </c>
      <c r="G669">
        <v>9791136916969</v>
      </c>
      <c r="H669" t="s">
        <v>26</v>
      </c>
      <c r="I669" t="s">
        <v>1228</v>
      </c>
      <c r="J669" t="s">
        <v>436</v>
      </c>
      <c r="K669" t="s">
        <v>29</v>
      </c>
      <c r="L669">
        <v>0</v>
      </c>
      <c r="M669" t="s">
        <v>29</v>
      </c>
      <c r="N669">
        <v>0</v>
      </c>
      <c r="O669">
        <v>0</v>
      </c>
      <c r="P669" t="s">
        <v>30</v>
      </c>
      <c r="Q669" s="2">
        <v>0.7</v>
      </c>
      <c r="R669">
        <v>0</v>
      </c>
      <c r="V669" t="str">
        <f>VLOOKUP(H669,'[1]팀별 출판사'!A:B,2,0)</f>
        <v>소설1팀</v>
      </c>
      <c r="W669" s="6">
        <f t="shared" si="20"/>
        <v>0</v>
      </c>
      <c r="X669" s="6">
        <f t="shared" si="21"/>
        <v>0</v>
      </c>
    </row>
    <row r="670" spans="1:24" x14ac:dyDescent="0.3">
      <c r="A670" t="s">
        <v>1099</v>
      </c>
      <c r="B670" t="s">
        <v>1229</v>
      </c>
      <c r="C670" t="s">
        <v>23</v>
      </c>
      <c r="D670" t="s">
        <v>24</v>
      </c>
      <c r="E670" t="s">
        <v>25</v>
      </c>
      <c r="F670">
        <v>1</v>
      </c>
      <c r="G670">
        <v>9791133183883</v>
      </c>
      <c r="H670" t="s">
        <v>32</v>
      </c>
      <c r="I670" t="s">
        <v>435</v>
      </c>
      <c r="J670" t="s">
        <v>436</v>
      </c>
      <c r="K670" t="s">
        <v>29</v>
      </c>
      <c r="L670">
        <v>0</v>
      </c>
      <c r="M670" t="s">
        <v>29</v>
      </c>
      <c r="N670">
        <v>0</v>
      </c>
      <c r="O670">
        <v>0</v>
      </c>
      <c r="P670" t="s">
        <v>30</v>
      </c>
      <c r="Q670" s="2">
        <v>0.7</v>
      </c>
      <c r="R670">
        <v>0</v>
      </c>
      <c r="V670" t="str">
        <f>VLOOKUP(H670,'[1]팀별 출판사'!A:B,2,0)</f>
        <v>소설1팀</v>
      </c>
      <c r="W670" s="6">
        <f t="shared" si="20"/>
        <v>0</v>
      </c>
      <c r="X670" s="6">
        <f t="shared" si="21"/>
        <v>0</v>
      </c>
    </row>
    <row r="671" spans="1:24" x14ac:dyDescent="0.3">
      <c r="A671" t="s">
        <v>1099</v>
      </c>
      <c r="B671" t="s">
        <v>1230</v>
      </c>
      <c r="C671" t="s">
        <v>23</v>
      </c>
      <c r="D671" t="s">
        <v>24</v>
      </c>
      <c r="E671" t="s">
        <v>25</v>
      </c>
      <c r="F671">
        <v>1</v>
      </c>
      <c r="G671">
        <v>9791136930811</v>
      </c>
      <c r="H671" t="s">
        <v>32</v>
      </c>
      <c r="I671" t="s">
        <v>1011</v>
      </c>
      <c r="J671" t="s">
        <v>34</v>
      </c>
      <c r="K671" t="s">
        <v>29</v>
      </c>
      <c r="L671">
        <v>0</v>
      </c>
      <c r="M671" t="s">
        <v>29</v>
      </c>
      <c r="N671">
        <v>0</v>
      </c>
      <c r="O671">
        <v>0</v>
      </c>
      <c r="P671" t="s">
        <v>30</v>
      </c>
      <c r="Q671" s="2">
        <v>0.7</v>
      </c>
      <c r="R671">
        <v>0</v>
      </c>
      <c r="V671" t="str">
        <f>VLOOKUP(H671,'[1]팀별 출판사'!A:B,2,0)</f>
        <v>소설1팀</v>
      </c>
      <c r="W671" s="6">
        <f t="shared" si="20"/>
        <v>0</v>
      </c>
      <c r="X671" s="6">
        <f t="shared" si="21"/>
        <v>0</v>
      </c>
    </row>
    <row r="672" spans="1:24" x14ac:dyDescent="0.3">
      <c r="A672" t="s">
        <v>1099</v>
      </c>
      <c r="B672" t="s">
        <v>1231</v>
      </c>
      <c r="C672" t="s">
        <v>23</v>
      </c>
      <c r="D672" t="s">
        <v>24</v>
      </c>
      <c r="E672" t="s">
        <v>25</v>
      </c>
      <c r="F672">
        <v>1</v>
      </c>
      <c r="G672">
        <v>9791136912992</v>
      </c>
      <c r="H672" t="s">
        <v>26</v>
      </c>
      <c r="I672" t="s">
        <v>1232</v>
      </c>
      <c r="J672" t="s">
        <v>1233</v>
      </c>
      <c r="K672" t="s">
        <v>29</v>
      </c>
      <c r="L672">
        <v>0</v>
      </c>
      <c r="M672" t="s">
        <v>29</v>
      </c>
      <c r="N672">
        <v>0</v>
      </c>
      <c r="O672">
        <v>0</v>
      </c>
      <c r="P672" t="s">
        <v>30</v>
      </c>
      <c r="Q672" s="2">
        <v>0.7</v>
      </c>
      <c r="R672">
        <v>0</v>
      </c>
      <c r="V672" t="str">
        <f>VLOOKUP(H672,'[1]팀별 출판사'!A:B,2,0)</f>
        <v>소설1팀</v>
      </c>
      <c r="W672" s="6">
        <f t="shared" si="20"/>
        <v>0</v>
      </c>
      <c r="X672" s="6">
        <f t="shared" si="21"/>
        <v>0</v>
      </c>
    </row>
    <row r="673" spans="1:24" x14ac:dyDescent="0.3">
      <c r="A673" t="s">
        <v>1099</v>
      </c>
      <c r="B673" t="s">
        <v>1234</v>
      </c>
      <c r="C673" t="s">
        <v>23</v>
      </c>
      <c r="D673" t="s">
        <v>24</v>
      </c>
      <c r="E673" t="s">
        <v>25</v>
      </c>
      <c r="F673">
        <v>1</v>
      </c>
      <c r="G673">
        <v>9791136946775</v>
      </c>
      <c r="H673" t="s">
        <v>26</v>
      </c>
      <c r="I673" t="s">
        <v>238</v>
      </c>
      <c r="J673" t="s">
        <v>28</v>
      </c>
      <c r="K673" t="s">
        <v>29</v>
      </c>
      <c r="L673">
        <v>0</v>
      </c>
      <c r="M673" t="s">
        <v>29</v>
      </c>
      <c r="N673">
        <v>0</v>
      </c>
      <c r="O673">
        <v>0</v>
      </c>
      <c r="P673" t="s">
        <v>30</v>
      </c>
      <c r="Q673" s="2">
        <v>0.7</v>
      </c>
      <c r="R673">
        <v>0</v>
      </c>
      <c r="V673" t="str">
        <f>VLOOKUP(H673,'[1]팀별 출판사'!A:B,2,0)</f>
        <v>소설1팀</v>
      </c>
      <c r="W673" s="6">
        <f t="shared" si="20"/>
        <v>0</v>
      </c>
      <c r="X673" s="6">
        <f t="shared" si="21"/>
        <v>0</v>
      </c>
    </row>
    <row r="674" spans="1:24" x14ac:dyDescent="0.3">
      <c r="A674" t="s">
        <v>1099</v>
      </c>
      <c r="B674" t="s">
        <v>1235</v>
      </c>
      <c r="C674" t="s">
        <v>23</v>
      </c>
      <c r="D674" t="s">
        <v>24</v>
      </c>
      <c r="E674" t="s">
        <v>25</v>
      </c>
      <c r="F674">
        <v>1</v>
      </c>
      <c r="G674">
        <v>9791133130375</v>
      </c>
      <c r="H674" t="s">
        <v>32</v>
      </c>
      <c r="I674" t="s">
        <v>1236</v>
      </c>
      <c r="J674" t="s">
        <v>160</v>
      </c>
      <c r="K674" t="s">
        <v>29</v>
      </c>
      <c r="L674">
        <v>0</v>
      </c>
      <c r="M674" t="s">
        <v>29</v>
      </c>
      <c r="N674">
        <v>0</v>
      </c>
      <c r="O674">
        <v>0</v>
      </c>
      <c r="P674" t="s">
        <v>30</v>
      </c>
      <c r="Q674" s="2">
        <v>0.7</v>
      </c>
      <c r="R674">
        <v>0</v>
      </c>
      <c r="V674" t="str">
        <f>VLOOKUP(H674,'[1]팀별 출판사'!A:B,2,0)</f>
        <v>소설1팀</v>
      </c>
      <c r="W674" s="6">
        <f t="shared" si="20"/>
        <v>0</v>
      </c>
      <c r="X674" s="6">
        <f t="shared" si="21"/>
        <v>0</v>
      </c>
    </row>
    <row r="675" spans="1:24" x14ac:dyDescent="0.3">
      <c r="A675" t="s">
        <v>1099</v>
      </c>
      <c r="B675" t="s">
        <v>1235</v>
      </c>
      <c r="C675" t="s">
        <v>23</v>
      </c>
      <c r="D675" t="s">
        <v>24</v>
      </c>
      <c r="E675" t="s">
        <v>25</v>
      </c>
      <c r="F675">
        <v>1</v>
      </c>
      <c r="G675">
        <v>9791133129515</v>
      </c>
      <c r="H675" t="s">
        <v>32</v>
      </c>
      <c r="I675" t="s">
        <v>1237</v>
      </c>
      <c r="J675" t="s">
        <v>160</v>
      </c>
      <c r="K675" t="s">
        <v>29</v>
      </c>
      <c r="L675" s="1">
        <v>3500</v>
      </c>
      <c r="M675" t="s">
        <v>29</v>
      </c>
      <c r="N675" s="1">
        <v>3500</v>
      </c>
      <c r="O675" s="1">
        <v>3500</v>
      </c>
      <c r="P675" t="s">
        <v>30</v>
      </c>
      <c r="Q675" s="2">
        <v>0.7</v>
      </c>
      <c r="R675" s="1">
        <v>2450</v>
      </c>
      <c r="S675" t="s">
        <v>29</v>
      </c>
      <c r="T675" s="1">
        <v>2450</v>
      </c>
      <c r="V675" t="str">
        <f>VLOOKUP(H675,'[1]팀별 출판사'!A:B,2,0)</f>
        <v>소설1팀</v>
      </c>
      <c r="W675" s="6">
        <f t="shared" si="20"/>
        <v>0</v>
      </c>
      <c r="X675" s="6">
        <f t="shared" si="21"/>
        <v>2450</v>
      </c>
    </row>
    <row r="676" spans="1:24" x14ac:dyDescent="0.3">
      <c r="A676" t="s">
        <v>1099</v>
      </c>
      <c r="B676" t="s">
        <v>1235</v>
      </c>
      <c r="C676" t="s">
        <v>23</v>
      </c>
      <c r="D676" t="s">
        <v>24</v>
      </c>
      <c r="E676" t="s">
        <v>25</v>
      </c>
      <c r="F676">
        <v>1</v>
      </c>
      <c r="G676">
        <v>9791133129751</v>
      </c>
      <c r="H676" t="s">
        <v>32</v>
      </c>
      <c r="I676" t="s">
        <v>1238</v>
      </c>
      <c r="J676" t="s">
        <v>160</v>
      </c>
      <c r="K676" t="s">
        <v>29</v>
      </c>
      <c r="L676" s="1">
        <v>3500</v>
      </c>
      <c r="M676" t="s">
        <v>29</v>
      </c>
      <c r="N676" s="1">
        <v>3500</v>
      </c>
      <c r="O676" s="1">
        <v>3500</v>
      </c>
      <c r="P676" t="s">
        <v>30</v>
      </c>
      <c r="Q676" s="2">
        <v>0.7</v>
      </c>
      <c r="R676" s="1">
        <v>2450</v>
      </c>
      <c r="S676" t="s">
        <v>29</v>
      </c>
      <c r="T676" s="1">
        <v>2450</v>
      </c>
      <c r="V676" t="str">
        <f>VLOOKUP(H676,'[1]팀별 출판사'!A:B,2,0)</f>
        <v>소설1팀</v>
      </c>
      <c r="W676" s="6">
        <f t="shared" si="20"/>
        <v>0</v>
      </c>
      <c r="X676" s="6">
        <f t="shared" si="21"/>
        <v>2450</v>
      </c>
    </row>
    <row r="677" spans="1:24" x14ac:dyDescent="0.3">
      <c r="A677" t="s">
        <v>1099</v>
      </c>
      <c r="B677" t="s">
        <v>1235</v>
      </c>
      <c r="C677" t="s">
        <v>23</v>
      </c>
      <c r="D677" t="s">
        <v>24</v>
      </c>
      <c r="E677" t="s">
        <v>25</v>
      </c>
      <c r="F677">
        <v>1</v>
      </c>
      <c r="G677">
        <v>9791133130016</v>
      </c>
      <c r="H677" t="s">
        <v>32</v>
      </c>
      <c r="I677" t="s">
        <v>1239</v>
      </c>
      <c r="J677" t="s">
        <v>160</v>
      </c>
      <c r="K677" t="s">
        <v>29</v>
      </c>
      <c r="L677" s="1">
        <v>3500</v>
      </c>
      <c r="M677" t="s">
        <v>29</v>
      </c>
      <c r="N677" s="1">
        <v>3500</v>
      </c>
      <c r="O677" s="1">
        <v>3500</v>
      </c>
      <c r="P677" t="s">
        <v>30</v>
      </c>
      <c r="Q677" s="2">
        <v>0.7</v>
      </c>
      <c r="R677" s="1">
        <v>2450</v>
      </c>
      <c r="S677" t="s">
        <v>29</v>
      </c>
      <c r="T677" s="1">
        <v>2450</v>
      </c>
      <c r="V677" t="str">
        <f>VLOOKUP(H677,'[1]팀별 출판사'!A:B,2,0)</f>
        <v>소설1팀</v>
      </c>
      <c r="W677" s="6">
        <f t="shared" si="20"/>
        <v>0</v>
      </c>
      <c r="X677" s="6">
        <f t="shared" si="21"/>
        <v>2450</v>
      </c>
    </row>
    <row r="678" spans="1:24" x14ac:dyDescent="0.3">
      <c r="A678" t="s">
        <v>1099</v>
      </c>
      <c r="B678" t="s">
        <v>1235</v>
      </c>
      <c r="C678" t="s">
        <v>23</v>
      </c>
      <c r="D678" t="s">
        <v>24</v>
      </c>
      <c r="E678" t="s">
        <v>25</v>
      </c>
      <c r="F678">
        <v>1</v>
      </c>
      <c r="G678">
        <v>9791133130290</v>
      </c>
      <c r="H678" t="s">
        <v>32</v>
      </c>
      <c r="I678" t="s">
        <v>1240</v>
      </c>
      <c r="J678" t="s">
        <v>160</v>
      </c>
      <c r="K678" t="s">
        <v>29</v>
      </c>
      <c r="L678" s="1">
        <v>3500</v>
      </c>
      <c r="M678" t="s">
        <v>29</v>
      </c>
      <c r="N678" s="1">
        <v>3500</v>
      </c>
      <c r="O678" s="1">
        <v>3500</v>
      </c>
      <c r="P678" t="s">
        <v>30</v>
      </c>
      <c r="Q678" s="2">
        <v>0.7</v>
      </c>
      <c r="R678" s="1">
        <v>2450</v>
      </c>
      <c r="S678" t="s">
        <v>29</v>
      </c>
      <c r="T678" s="1">
        <v>2450</v>
      </c>
      <c r="V678" t="str">
        <f>VLOOKUP(H678,'[1]팀별 출판사'!A:B,2,0)</f>
        <v>소설1팀</v>
      </c>
      <c r="W678" s="6">
        <f t="shared" si="20"/>
        <v>0</v>
      </c>
      <c r="X678" s="6">
        <f t="shared" si="21"/>
        <v>2450</v>
      </c>
    </row>
    <row r="679" spans="1:24" x14ac:dyDescent="0.3">
      <c r="A679" t="s">
        <v>1099</v>
      </c>
      <c r="B679" t="s">
        <v>1241</v>
      </c>
      <c r="C679" t="s">
        <v>23</v>
      </c>
      <c r="D679" t="s">
        <v>24</v>
      </c>
      <c r="E679" t="s">
        <v>25</v>
      </c>
      <c r="F679">
        <v>1</v>
      </c>
      <c r="G679">
        <v>9791136940513</v>
      </c>
      <c r="H679" t="s">
        <v>26</v>
      </c>
      <c r="I679" t="s">
        <v>1242</v>
      </c>
      <c r="J679" t="s">
        <v>62</v>
      </c>
      <c r="K679" t="s">
        <v>29</v>
      </c>
      <c r="L679" s="1">
        <v>2500</v>
      </c>
      <c r="M679" t="s">
        <v>29</v>
      </c>
      <c r="N679" s="1">
        <v>2500</v>
      </c>
      <c r="O679" s="1">
        <v>2500</v>
      </c>
      <c r="P679" t="s">
        <v>30</v>
      </c>
      <c r="Q679" s="2">
        <v>0.7</v>
      </c>
      <c r="R679" s="1">
        <v>1750</v>
      </c>
      <c r="S679" t="s">
        <v>29</v>
      </c>
      <c r="T679" s="1">
        <v>1750</v>
      </c>
      <c r="V679" t="str">
        <f>VLOOKUP(H679,'[1]팀별 출판사'!A:B,2,0)</f>
        <v>소설1팀</v>
      </c>
      <c r="W679" s="6">
        <f t="shared" si="20"/>
        <v>0</v>
      </c>
      <c r="X679" s="6">
        <f t="shared" si="21"/>
        <v>1750</v>
      </c>
    </row>
    <row r="680" spans="1:24" x14ac:dyDescent="0.3">
      <c r="A680" t="s">
        <v>1099</v>
      </c>
      <c r="B680" t="s">
        <v>1243</v>
      </c>
      <c r="C680" t="s">
        <v>23</v>
      </c>
      <c r="D680" t="s">
        <v>24</v>
      </c>
      <c r="E680" t="s">
        <v>25</v>
      </c>
      <c r="F680">
        <v>1</v>
      </c>
      <c r="G680">
        <v>9791133146246</v>
      </c>
      <c r="H680" t="s">
        <v>32</v>
      </c>
      <c r="I680" t="s">
        <v>1244</v>
      </c>
      <c r="J680" t="s">
        <v>1245</v>
      </c>
      <c r="K680" t="s">
        <v>29</v>
      </c>
      <c r="L680" s="1">
        <v>3000</v>
      </c>
      <c r="M680" t="s">
        <v>29</v>
      </c>
      <c r="N680" s="1">
        <v>3000</v>
      </c>
      <c r="O680" s="1">
        <v>3000</v>
      </c>
      <c r="P680" t="s">
        <v>30</v>
      </c>
      <c r="Q680" s="2">
        <v>0.7</v>
      </c>
      <c r="R680" s="1">
        <v>2100</v>
      </c>
      <c r="S680" t="s">
        <v>29</v>
      </c>
      <c r="T680" s="1">
        <v>2100</v>
      </c>
      <c r="V680" t="str">
        <f>VLOOKUP(H680,'[1]팀별 출판사'!A:B,2,0)</f>
        <v>소설1팀</v>
      </c>
      <c r="W680" s="6">
        <f t="shared" si="20"/>
        <v>0</v>
      </c>
      <c r="X680" s="6">
        <f t="shared" si="21"/>
        <v>2100</v>
      </c>
    </row>
    <row r="681" spans="1:24" x14ac:dyDescent="0.3">
      <c r="A681" t="s">
        <v>1099</v>
      </c>
      <c r="B681" t="s">
        <v>1246</v>
      </c>
      <c r="C681" t="s">
        <v>23</v>
      </c>
      <c r="D681" t="s">
        <v>24</v>
      </c>
      <c r="E681" t="s">
        <v>25</v>
      </c>
      <c r="F681">
        <v>1</v>
      </c>
      <c r="G681">
        <v>9791136931375</v>
      </c>
      <c r="H681" t="s">
        <v>32</v>
      </c>
      <c r="I681" t="s">
        <v>189</v>
      </c>
      <c r="J681" t="s">
        <v>46</v>
      </c>
      <c r="K681" t="s">
        <v>29</v>
      </c>
      <c r="L681">
        <v>0</v>
      </c>
      <c r="M681" t="s">
        <v>47</v>
      </c>
      <c r="N681">
        <v>0</v>
      </c>
      <c r="O681">
        <v>0</v>
      </c>
      <c r="P681" t="s">
        <v>48</v>
      </c>
      <c r="Q681" s="2">
        <v>0.7</v>
      </c>
      <c r="R681">
        <v>0</v>
      </c>
      <c r="V681" t="str">
        <f>VLOOKUP(H681,'[1]팀별 출판사'!A:B,2,0)</f>
        <v>소설1팀</v>
      </c>
      <c r="W681" s="6">
        <f t="shared" si="20"/>
        <v>0</v>
      </c>
      <c r="X681" s="6">
        <f t="shared" si="21"/>
        <v>0</v>
      </c>
    </row>
    <row r="682" spans="1:24" x14ac:dyDescent="0.3">
      <c r="A682" t="s">
        <v>1099</v>
      </c>
      <c r="B682" t="s">
        <v>1247</v>
      </c>
      <c r="C682" t="s">
        <v>23</v>
      </c>
      <c r="D682" t="s">
        <v>24</v>
      </c>
      <c r="E682" t="s">
        <v>25</v>
      </c>
      <c r="F682">
        <v>1</v>
      </c>
      <c r="G682">
        <v>9791136903761</v>
      </c>
      <c r="H682" t="s">
        <v>26</v>
      </c>
      <c r="I682" t="s">
        <v>1248</v>
      </c>
      <c r="J682" t="s">
        <v>256</v>
      </c>
      <c r="K682" t="s">
        <v>29</v>
      </c>
      <c r="L682" s="1">
        <v>3200</v>
      </c>
      <c r="M682" t="s">
        <v>70</v>
      </c>
      <c r="N682">
        <v>2.2200000000000002</v>
      </c>
      <c r="O682">
        <v>2.2200000000000002</v>
      </c>
      <c r="P682" t="s">
        <v>71</v>
      </c>
      <c r="Q682" s="2">
        <v>0.7</v>
      </c>
      <c r="R682">
        <v>1.55</v>
      </c>
      <c r="S682" t="s">
        <v>29</v>
      </c>
      <c r="T682" s="1">
        <v>2282</v>
      </c>
      <c r="U682" s="3">
        <v>1465.7035000000001</v>
      </c>
      <c r="V682" t="str">
        <f>VLOOKUP(H682,'[1]팀별 출판사'!A:B,2,0)</f>
        <v>소설1팀</v>
      </c>
      <c r="W682" s="6">
        <f t="shared" si="20"/>
        <v>684.6</v>
      </c>
      <c r="X682" s="6">
        <f t="shared" si="21"/>
        <v>1597.4</v>
      </c>
    </row>
    <row r="683" spans="1:24" x14ac:dyDescent="0.3">
      <c r="A683" t="s">
        <v>1099</v>
      </c>
      <c r="B683" t="s">
        <v>1249</v>
      </c>
      <c r="C683" t="s">
        <v>23</v>
      </c>
      <c r="D683" t="s">
        <v>24</v>
      </c>
      <c r="E683" t="s">
        <v>25</v>
      </c>
      <c r="F683">
        <v>1</v>
      </c>
      <c r="G683">
        <v>9791172920135</v>
      </c>
      <c r="H683" t="s">
        <v>26</v>
      </c>
      <c r="I683" t="s">
        <v>278</v>
      </c>
      <c r="J683" t="s">
        <v>276</v>
      </c>
      <c r="K683" t="s">
        <v>29</v>
      </c>
      <c r="L683">
        <v>0</v>
      </c>
      <c r="M683" t="s">
        <v>29</v>
      </c>
      <c r="N683">
        <v>0</v>
      </c>
      <c r="O683">
        <v>0</v>
      </c>
      <c r="P683" t="s">
        <v>30</v>
      </c>
      <c r="Q683" s="2">
        <v>0.7</v>
      </c>
      <c r="R683">
        <v>0</v>
      </c>
      <c r="V683" t="str">
        <f>VLOOKUP(H683,'[1]팀별 출판사'!A:B,2,0)</f>
        <v>소설1팀</v>
      </c>
      <c r="W683" s="6">
        <f t="shared" si="20"/>
        <v>0</v>
      </c>
      <c r="X683" s="6">
        <f t="shared" si="21"/>
        <v>0</v>
      </c>
    </row>
    <row r="684" spans="1:24" x14ac:dyDescent="0.3">
      <c r="A684" t="s">
        <v>1099</v>
      </c>
      <c r="B684" t="s">
        <v>1250</v>
      </c>
      <c r="C684" t="s">
        <v>23</v>
      </c>
      <c r="D684" t="s">
        <v>24</v>
      </c>
      <c r="E684" t="s">
        <v>25</v>
      </c>
      <c r="F684">
        <v>1</v>
      </c>
      <c r="G684">
        <v>9791136935540</v>
      </c>
      <c r="H684" t="s">
        <v>32</v>
      </c>
      <c r="I684" t="s">
        <v>1251</v>
      </c>
      <c r="J684" t="s">
        <v>1252</v>
      </c>
      <c r="K684" t="s">
        <v>29</v>
      </c>
      <c r="L684">
        <v>0</v>
      </c>
      <c r="M684" t="s">
        <v>29</v>
      </c>
      <c r="N684">
        <v>0</v>
      </c>
      <c r="O684">
        <v>0</v>
      </c>
      <c r="P684" t="s">
        <v>30</v>
      </c>
      <c r="Q684" s="2">
        <v>0.7</v>
      </c>
      <c r="R684">
        <v>0</v>
      </c>
      <c r="V684" t="str">
        <f>VLOOKUP(H684,'[1]팀별 출판사'!A:B,2,0)</f>
        <v>소설1팀</v>
      </c>
      <c r="W684" s="6">
        <f t="shared" si="20"/>
        <v>0</v>
      </c>
      <c r="X684" s="6">
        <f t="shared" si="21"/>
        <v>0</v>
      </c>
    </row>
    <row r="685" spans="1:24" x14ac:dyDescent="0.3">
      <c r="A685" t="s">
        <v>1099</v>
      </c>
      <c r="B685" t="s">
        <v>1253</v>
      </c>
      <c r="C685" t="s">
        <v>23</v>
      </c>
      <c r="D685" t="s">
        <v>24</v>
      </c>
      <c r="E685" t="s">
        <v>25</v>
      </c>
      <c r="F685">
        <v>1</v>
      </c>
      <c r="G685">
        <v>9791173787096</v>
      </c>
      <c r="H685" t="s">
        <v>26</v>
      </c>
      <c r="I685" t="s">
        <v>1254</v>
      </c>
      <c r="J685" t="s">
        <v>256</v>
      </c>
      <c r="K685" t="s">
        <v>29</v>
      </c>
      <c r="L685" s="1">
        <v>3200</v>
      </c>
      <c r="M685" t="s">
        <v>29</v>
      </c>
      <c r="N685" s="1">
        <v>3200</v>
      </c>
      <c r="O685" s="1">
        <v>3200</v>
      </c>
      <c r="P685" t="s">
        <v>30</v>
      </c>
      <c r="Q685" s="2">
        <v>0.7</v>
      </c>
      <c r="R685" s="1">
        <v>2240</v>
      </c>
      <c r="S685" t="s">
        <v>29</v>
      </c>
      <c r="T685" s="1">
        <v>2240</v>
      </c>
      <c r="V685" t="str">
        <f>VLOOKUP(H685,'[1]팀별 출판사'!A:B,2,0)</f>
        <v>소설1팀</v>
      </c>
      <c r="W685" s="6">
        <f t="shared" si="20"/>
        <v>0</v>
      </c>
      <c r="X685" s="6">
        <f t="shared" si="21"/>
        <v>2240</v>
      </c>
    </row>
    <row r="686" spans="1:24" x14ac:dyDescent="0.3">
      <c r="A686" t="s">
        <v>1099</v>
      </c>
      <c r="B686" t="s">
        <v>1255</v>
      </c>
      <c r="C686" t="s">
        <v>23</v>
      </c>
      <c r="D686" t="s">
        <v>24</v>
      </c>
      <c r="E686" t="s">
        <v>25</v>
      </c>
      <c r="F686">
        <v>1</v>
      </c>
      <c r="G686">
        <v>9791136958686</v>
      </c>
      <c r="H686" t="s">
        <v>79</v>
      </c>
      <c r="I686" t="s">
        <v>233</v>
      </c>
      <c r="J686" t="s">
        <v>81</v>
      </c>
      <c r="K686" t="s">
        <v>29</v>
      </c>
      <c r="L686" s="1">
        <v>3200</v>
      </c>
      <c r="M686" t="s">
        <v>29</v>
      </c>
      <c r="N686" s="1">
        <v>3200</v>
      </c>
      <c r="O686" s="1">
        <v>3200</v>
      </c>
      <c r="P686" t="s">
        <v>30</v>
      </c>
      <c r="Q686" s="2">
        <v>0.7</v>
      </c>
      <c r="R686" s="1">
        <v>2240</v>
      </c>
      <c r="S686" t="s">
        <v>29</v>
      </c>
      <c r="T686" s="1">
        <v>2240</v>
      </c>
      <c r="V686" t="str">
        <f>VLOOKUP(H686,'[1]팀별 출판사'!A:B,2,0)</f>
        <v>소설1팀</v>
      </c>
      <c r="W686" s="6">
        <f t="shared" si="20"/>
        <v>0</v>
      </c>
      <c r="X686" s="6">
        <f t="shared" si="21"/>
        <v>2240</v>
      </c>
    </row>
    <row r="687" spans="1:24" x14ac:dyDescent="0.3">
      <c r="A687" t="s">
        <v>1099</v>
      </c>
      <c r="B687" t="s">
        <v>1256</v>
      </c>
      <c r="C687" t="s">
        <v>23</v>
      </c>
      <c r="D687" t="s">
        <v>24</v>
      </c>
      <c r="E687" t="s">
        <v>25</v>
      </c>
      <c r="F687">
        <v>1</v>
      </c>
      <c r="G687">
        <v>9791173782817</v>
      </c>
      <c r="H687" t="s">
        <v>26</v>
      </c>
      <c r="I687" t="s">
        <v>1257</v>
      </c>
      <c r="J687" t="s">
        <v>284</v>
      </c>
      <c r="K687" t="s">
        <v>29</v>
      </c>
      <c r="L687" s="1">
        <v>3200</v>
      </c>
      <c r="M687" t="s">
        <v>29</v>
      </c>
      <c r="N687" s="1">
        <v>3200</v>
      </c>
      <c r="O687" s="1">
        <v>3200</v>
      </c>
      <c r="P687" t="s">
        <v>30</v>
      </c>
      <c r="Q687" s="2">
        <v>0.7</v>
      </c>
      <c r="R687" s="1">
        <v>2240</v>
      </c>
      <c r="S687" t="s">
        <v>29</v>
      </c>
      <c r="T687" s="1">
        <v>2240</v>
      </c>
      <c r="V687" t="str">
        <f>VLOOKUP(H687,'[1]팀별 출판사'!A:B,2,0)</f>
        <v>소설1팀</v>
      </c>
      <c r="W687" s="6">
        <f t="shared" si="20"/>
        <v>0</v>
      </c>
      <c r="X687" s="6">
        <f t="shared" si="21"/>
        <v>2240</v>
      </c>
    </row>
    <row r="688" spans="1:24" x14ac:dyDescent="0.3">
      <c r="A688" t="s">
        <v>1099</v>
      </c>
      <c r="B688" t="s">
        <v>1258</v>
      </c>
      <c r="C688" t="s">
        <v>23</v>
      </c>
      <c r="D688" t="s">
        <v>24</v>
      </c>
      <c r="E688" t="s">
        <v>25</v>
      </c>
      <c r="F688">
        <v>1</v>
      </c>
      <c r="G688">
        <v>9791136988768</v>
      </c>
      <c r="H688" t="s">
        <v>26</v>
      </c>
      <c r="I688" t="s">
        <v>1259</v>
      </c>
      <c r="J688" t="s">
        <v>28</v>
      </c>
      <c r="K688" t="s">
        <v>29</v>
      </c>
      <c r="L688" s="1">
        <v>3200</v>
      </c>
      <c r="M688" t="s">
        <v>29</v>
      </c>
      <c r="N688" s="1">
        <v>3200</v>
      </c>
      <c r="O688" s="1">
        <v>3200</v>
      </c>
      <c r="P688" t="s">
        <v>30</v>
      </c>
      <c r="Q688" s="2">
        <v>0.7</v>
      </c>
      <c r="R688" s="1">
        <v>2240</v>
      </c>
      <c r="S688" t="s">
        <v>29</v>
      </c>
      <c r="T688" s="1">
        <v>2240</v>
      </c>
      <c r="V688" t="str">
        <f>VLOOKUP(H688,'[1]팀별 출판사'!A:B,2,0)</f>
        <v>소설1팀</v>
      </c>
      <c r="W688" s="6">
        <f t="shared" si="20"/>
        <v>0</v>
      </c>
      <c r="X688" s="6">
        <f t="shared" si="21"/>
        <v>2240</v>
      </c>
    </row>
    <row r="689" spans="1:24" x14ac:dyDescent="0.3">
      <c r="A689" t="s">
        <v>1099</v>
      </c>
      <c r="B689" t="s">
        <v>1260</v>
      </c>
      <c r="C689" t="s">
        <v>23</v>
      </c>
      <c r="D689" t="s">
        <v>24</v>
      </c>
      <c r="E689" t="s">
        <v>25</v>
      </c>
      <c r="F689">
        <v>1</v>
      </c>
      <c r="G689">
        <v>9791133146253</v>
      </c>
      <c r="H689" t="s">
        <v>32</v>
      </c>
      <c r="I689" t="s">
        <v>1261</v>
      </c>
      <c r="J689" t="s">
        <v>1245</v>
      </c>
      <c r="K689" t="s">
        <v>29</v>
      </c>
      <c r="L689" s="1">
        <v>3000</v>
      </c>
      <c r="M689" t="s">
        <v>29</v>
      </c>
      <c r="N689" s="1">
        <v>3000</v>
      </c>
      <c r="O689" s="1">
        <v>3000</v>
      </c>
      <c r="P689" t="s">
        <v>30</v>
      </c>
      <c r="Q689" s="2">
        <v>0.7</v>
      </c>
      <c r="R689" s="1">
        <v>2100</v>
      </c>
      <c r="S689" t="s">
        <v>29</v>
      </c>
      <c r="T689" s="1">
        <v>2100</v>
      </c>
      <c r="V689" t="str">
        <f>VLOOKUP(H689,'[1]팀별 출판사'!A:B,2,0)</f>
        <v>소설1팀</v>
      </c>
      <c r="W689" s="6">
        <f t="shared" si="20"/>
        <v>0</v>
      </c>
      <c r="X689" s="6">
        <f t="shared" si="21"/>
        <v>2100</v>
      </c>
    </row>
    <row r="690" spans="1:24" x14ac:dyDescent="0.3">
      <c r="A690" t="s">
        <v>1099</v>
      </c>
      <c r="B690" t="s">
        <v>1262</v>
      </c>
      <c r="C690" t="s">
        <v>23</v>
      </c>
      <c r="D690" t="s">
        <v>24</v>
      </c>
      <c r="E690" t="s">
        <v>25</v>
      </c>
      <c r="F690">
        <v>1</v>
      </c>
      <c r="G690">
        <v>9791136930552</v>
      </c>
      <c r="H690" t="s">
        <v>26</v>
      </c>
      <c r="I690" t="s">
        <v>45</v>
      </c>
      <c r="J690" t="s">
        <v>46</v>
      </c>
      <c r="K690" t="s">
        <v>29</v>
      </c>
      <c r="L690">
        <v>0</v>
      </c>
      <c r="M690" t="s">
        <v>47</v>
      </c>
      <c r="N690">
        <v>0</v>
      </c>
      <c r="O690">
        <v>0</v>
      </c>
      <c r="P690" t="s">
        <v>48</v>
      </c>
      <c r="Q690" s="2">
        <v>0.7</v>
      </c>
      <c r="R690">
        <v>0</v>
      </c>
      <c r="V690" t="str">
        <f>VLOOKUP(H690,'[1]팀별 출판사'!A:B,2,0)</f>
        <v>소설1팀</v>
      </c>
      <c r="W690" s="6">
        <f t="shared" si="20"/>
        <v>0</v>
      </c>
      <c r="X690" s="6">
        <f t="shared" si="21"/>
        <v>0</v>
      </c>
    </row>
    <row r="691" spans="1:24" x14ac:dyDescent="0.3">
      <c r="A691" t="s">
        <v>1099</v>
      </c>
      <c r="B691" t="s">
        <v>1263</v>
      </c>
      <c r="C691" t="s">
        <v>23</v>
      </c>
      <c r="D691" t="s">
        <v>24</v>
      </c>
      <c r="E691" t="s">
        <v>25</v>
      </c>
      <c r="F691">
        <v>1</v>
      </c>
      <c r="G691">
        <v>9791136946782</v>
      </c>
      <c r="H691" t="s">
        <v>26</v>
      </c>
      <c r="I691" t="s">
        <v>291</v>
      </c>
      <c r="J691" t="s">
        <v>28</v>
      </c>
      <c r="K691" t="s">
        <v>29</v>
      </c>
      <c r="L691">
        <v>0</v>
      </c>
      <c r="M691" t="s">
        <v>29</v>
      </c>
      <c r="N691">
        <v>0</v>
      </c>
      <c r="O691">
        <v>0</v>
      </c>
      <c r="P691" t="s">
        <v>30</v>
      </c>
      <c r="Q691" s="2">
        <v>0.7</v>
      </c>
      <c r="R691">
        <v>0</v>
      </c>
      <c r="V691" t="str">
        <f>VLOOKUP(H691,'[1]팀별 출판사'!A:B,2,0)</f>
        <v>소설1팀</v>
      </c>
      <c r="W691" s="6">
        <f t="shared" si="20"/>
        <v>0</v>
      </c>
      <c r="X691" s="6">
        <f t="shared" si="21"/>
        <v>0</v>
      </c>
    </row>
    <row r="692" spans="1:24" x14ac:dyDescent="0.3">
      <c r="A692" t="s">
        <v>1099</v>
      </c>
      <c r="B692" t="s">
        <v>1264</v>
      </c>
      <c r="C692" t="s">
        <v>23</v>
      </c>
      <c r="D692" t="s">
        <v>24</v>
      </c>
      <c r="E692" t="s">
        <v>25</v>
      </c>
      <c r="F692">
        <v>1</v>
      </c>
      <c r="G692">
        <v>9791172927844</v>
      </c>
      <c r="H692" t="s">
        <v>79</v>
      </c>
      <c r="I692" t="s">
        <v>1168</v>
      </c>
      <c r="J692" t="s">
        <v>81</v>
      </c>
      <c r="K692" t="s">
        <v>29</v>
      </c>
      <c r="L692">
        <v>0</v>
      </c>
      <c r="M692" t="s">
        <v>29</v>
      </c>
      <c r="N692">
        <v>0</v>
      </c>
      <c r="O692">
        <v>0</v>
      </c>
      <c r="P692" t="s">
        <v>30</v>
      </c>
      <c r="Q692" s="2">
        <v>0.7</v>
      </c>
      <c r="R692">
        <v>0</v>
      </c>
      <c r="V692" t="str">
        <f>VLOOKUP(H692,'[1]팀별 출판사'!A:B,2,0)</f>
        <v>소설1팀</v>
      </c>
      <c r="W692" s="6">
        <f t="shared" si="20"/>
        <v>0</v>
      </c>
      <c r="X692" s="6">
        <f t="shared" si="21"/>
        <v>0</v>
      </c>
    </row>
    <row r="693" spans="1:24" x14ac:dyDescent="0.3">
      <c r="A693" t="s">
        <v>1099</v>
      </c>
      <c r="B693" t="s">
        <v>1265</v>
      </c>
      <c r="C693" t="s">
        <v>23</v>
      </c>
      <c r="D693" t="s">
        <v>24</v>
      </c>
      <c r="E693" t="s">
        <v>25</v>
      </c>
      <c r="F693">
        <v>1</v>
      </c>
      <c r="G693">
        <v>9791136932648</v>
      </c>
      <c r="H693" t="s">
        <v>32</v>
      </c>
      <c r="I693" t="s">
        <v>832</v>
      </c>
      <c r="J693" t="s">
        <v>34</v>
      </c>
      <c r="K693" t="s">
        <v>29</v>
      </c>
      <c r="L693">
        <v>0</v>
      </c>
      <c r="M693" t="s">
        <v>29</v>
      </c>
      <c r="N693">
        <v>0</v>
      </c>
      <c r="O693">
        <v>0</v>
      </c>
      <c r="P693" t="s">
        <v>30</v>
      </c>
      <c r="Q693" s="2">
        <v>0.7</v>
      </c>
      <c r="R693">
        <v>0</v>
      </c>
      <c r="V693" t="str">
        <f>VLOOKUP(H693,'[1]팀별 출판사'!A:B,2,0)</f>
        <v>소설1팀</v>
      </c>
      <c r="W693" s="6">
        <f t="shared" si="20"/>
        <v>0</v>
      </c>
      <c r="X693" s="6">
        <f t="shared" si="21"/>
        <v>0</v>
      </c>
    </row>
    <row r="694" spans="1:24" x14ac:dyDescent="0.3">
      <c r="A694" t="s">
        <v>1099</v>
      </c>
      <c r="B694" t="s">
        <v>1266</v>
      </c>
      <c r="C694" t="s">
        <v>23</v>
      </c>
      <c r="D694" t="s">
        <v>24</v>
      </c>
      <c r="E694" t="s">
        <v>25</v>
      </c>
      <c r="F694">
        <v>1</v>
      </c>
      <c r="G694">
        <v>9791136900180</v>
      </c>
      <c r="H694" t="s">
        <v>26</v>
      </c>
      <c r="I694" t="s">
        <v>1267</v>
      </c>
      <c r="J694" t="s">
        <v>436</v>
      </c>
      <c r="K694" t="s">
        <v>29</v>
      </c>
      <c r="L694">
        <v>0</v>
      </c>
      <c r="M694" t="s">
        <v>29</v>
      </c>
      <c r="N694">
        <v>0</v>
      </c>
      <c r="O694">
        <v>0</v>
      </c>
      <c r="P694" t="s">
        <v>30</v>
      </c>
      <c r="Q694" s="2">
        <v>0.7</v>
      </c>
      <c r="R694">
        <v>0</v>
      </c>
      <c r="V694" t="str">
        <f>VLOOKUP(H694,'[1]팀별 출판사'!A:B,2,0)</f>
        <v>소설1팀</v>
      </c>
      <c r="W694" s="6">
        <f t="shared" si="20"/>
        <v>0</v>
      </c>
      <c r="X694" s="6">
        <f t="shared" si="21"/>
        <v>0</v>
      </c>
    </row>
    <row r="695" spans="1:24" x14ac:dyDescent="0.3">
      <c r="A695" t="s">
        <v>1099</v>
      </c>
      <c r="B695" t="s">
        <v>1268</v>
      </c>
      <c r="C695" t="s">
        <v>23</v>
      </c>
      <c r="D695" t="s">
        <v>24</v>
      </c>
      <c r="E695" t="s">
        <v>25</v>
      </c>
      <c r="F695">
        <v>1</v>
      </c>
      <c r="G695" t="s">
        <v>1269</v>
      </c>
      <c r="H695" t="s">
        <v>32</v>
      </c>
      <c r="I695" t="s">
        <v>1270</v>
      </c>
      <c r="J695" t="s">
        <v>1271</v>
      </c>
      <c r="K695" t="s">
        <v>29</v>
      </c>
      <c r="L695">
        <v>0</v>
      </c>
      <c r="M695" t="s">
        <v>70</v>
      </c>
      <c r="N695">
        <v>0</v>
      </c>
      <c r="O695">
        <v>0</v>
      </c>
      <c r="P695" t="s">
        <v>71</v>
      </c>
      <c r="Q695" s="2">
        <v>0.7</v>
      </c>
      <c r="R695">
        <v>0</v>
      </c>
      <c r="V695" t="str">
        <f>VLOOKUP(H695,'[1]팀별 출판사'!A:B,2,0)</f>
        <v>소설1팀</v>
      </c>
      <c r="W695" s="6">
        <f t="shared" si="20"/>
        <v>0</v>
      </c>
      <c r="X695" s="6">
        <f t="shared" si="21"/>
        <v>0</v>
      </c>
    </row>
    <row r="696" spans="1:24" x14ac:dyDescent="0.3">
      <c r="A696" t="s">
        <v>1099</v>
      </c>
      <c r="B696" t="s">
        <v>1272</v>
      </c>
      <c r="C696" t="s">
        <v>23</v>
      </c>
      <c r="D696" t="s">
        <v>24</v>
      </c>
      <c r="E696" t="s">
        <v>25</v>
      </c>
      <c r="F696">
        <v>1</v>
      </c>
      <c r="G696">
        <v>9791136930361</v>
      </c>
      <c r="H696" t="s">
        <v>32</v>
      </c>
      <c r="I696" t="s">
        <v>33</v>
      </c>
      <c r="J696" t="s">
        <v>34</v>
      </c>
      <c r="K696" t="s">
        <v>29</v>
      </c>
      <c r="L696">
        <v>0</v>
      </c>
      <c r="M696" t="s">
        <v>29</v>
      </c>
      <c r="N696">
        <v>0</v>
      </c>
      <c r="O696">
        <v>0</v>
      </c>
      <c r="P696" t="s">
        <v>30</v>
      </c>
      <c r="Q696" s="2">
        <v>0.7</v>
      </c>
      <c r="R696">
        <v>0</v>
      </c>
      <c r="V696" t="str">
        <f>VLOOKUP(H696,'[1]팀별 출판사'!A:B,2,0)</f>
        <v>소설1팀</v>
      </c>
      <c r="W696" s="6">
        <f t="shared" si="20"/>
        <v>0</v>
      </c>
      <c r="X696" s="6">
        <f t="shared" si="21"/>
        <v>0</v>
      </c>
    </row>
    <row r="697" spans="1:24" x14ac:dyDescent="0.3">
      <c r="A697" t="s">
        <v>1099</v>
      </c>
      <c r="B697" t="s">
        <v>1273</v>
      </c>
      <c r="C697" t="s">
        <v>23</v>
      </c>
      <c r="D697" t="s">
        <v>24</v>
      </c>
      <c r="E697" t="s">
        <v>25</v>
      </c>
      <c r="F697">
        <v>1</v>
      </c>
      <c r="G697">
        <v>9791133141913</v>
      </c>
      <c r="H697" t="s">
        <v>32</v>
      </c>
      <c r="I697" t="s">
        <v>510</v>
      </c>
      <c r="J697" t="s">
        <v>511</v>
      </c>
      <c r="K697" t="s">
        <v>29</v>
      </c>
      <c r="L697">
        <v>0</v>
      </c>
      <c r="M697" t="s">
        <v>29</v>
      </c>
      <c r="N697">
        <v>0</v>
      </c>
      <c r="O697">
        <v>0</v>
      </c>
      <c r="P697" t="s">
        <v>30</v>
      </c>
      <c r="Q697" s="2">
        <v>0.7</v>
      </c>
      <c r="R697">
        <v>0</v>
      </c>
      <c r="V697" t="str">
        <f>VLOOKUP(H697,'[1]팀별 출판사'!A:B,2,0)</f>
        <v>소설1팀</v>
      </c>
      <c r="W697" s="6">
        <f t="shared" si="20"/>
        <v>0</v>
      </c>
      <c r="X697" s="6">
        <f t="shared" si="21"/>
        <v>0</v>
      </c>
    </row>
    <row r="698" spans="1:24" x14ac:dyDescent="0.3">
      <c r="A698" t="s">
        <v>1099</v>
      </c>
      <c r="B698" t="s">
        <v>1274</v>
      </c>
      <c r="C698" t="s">
        <v>23</v>
      </c>
      <c r="D698" t="s">
        <v>24</v>
      </c>
      <c r="E698" t="s">
        <v>25</v>
      </c>
      <c r="F698">
        <v>1</v>
      </c>
      <c r="G698">
        <v>9791133141487</v>
      </c>
      <c r="H698" t="s">
        <v>32</v>
      </c>
      <c r="I698" t="s">
        <v>1015</v>
      </c>
      <c r="J698" t="s">
        <v>511</v>
      </c>
      <c r="K698" t="s">
        <v>29</v>
      </c>
      <c r="L698">
        <v>0</v>
      </c>
      <c r="M698" t="s">
        <v>29</v>
      </c>
      <c r="N698">
        <v>0</v>
      </c>
      <c r="O698">
        <v>0</v>
      </c>
      <c r="P698" t="s">
        <v>30</v>
      </c>
      <c r="Q698" s="2">
        <v>0.7</v>
      </c>
      <c r="R698">
        <v>0</v>
      </c>
      <c r="V698" t="str">
        <f>VLOOKUP(H698,'[1]팀별 출판사'!A:B,2,0)</f>
        <v>소설1팀</v>
      </c>
      <c r="W698" s="6">
        <f t="shared" si="20"/>
        <v>0</v>
      </c>
      <c r="X698" s="6">
        <f t="shared" si="21"/>
        <v>0</v>
      </c>
    </row>
    <row r="699" spans="1:24" x14ac:dyDescent="0.3">
      <c r="A699" t="s">
        <v>1099</v>
      </c>
      <c r="B699" t="s">
        <v>1275</v>
      </c>
      <c r="C699" t="s">
        <v>23</v>
      </c>
      <c r="D699" t="s">
        <v>24</v>
      </c>
      <c r="E699" t="s">
        <v>25</v>
      </c>
      <c r="F699">
        <v>1</v>
      </c>
      <c r="G699">
        <v>9791136919403</v>
      </c>
      <c r="H699" t="s">
        <v>26</v>
      </c>
      <c r="I699" t="s">
        <v>1276</v>
      </c>
      <c r="J699" t="s">
        <v>300</v>
      </c>
      <c r="K699" t="s">
        <v>29</v>
      </c>
      <c r="L699">
        <v>0</v>
      </c>
      <c r="M699" t="s">
        <v>70</v>
      </c>
      <c r="N699">
        <v>0</v>
      </c>
      <c r="O699">
        <v>0</v>
      </c>
      <c r="P699" t="s">
        <v>71</v>
      </c>
      <c r="Q699" s="2">
        <v>0.7</v>
      </c>
      <c r="R699">
        <v>0</v>
      </c>
      <c r="V699" t="str">
        <f>VLOOKUP(H699,'[1]팀별 출판사'!A:B,2,0)</f>
        <v>소설1팀</v>
      </c>
      <c r="W699" s="6">
        <f t="shared" si="20"/>
        <v>0</v>
      </c>
      <c r="X699" s="6">
        <f t="shared" si="21"/>
        <v>0</v>
      </c>
    </row>
    <row r="700" spans="1:24" x14ac:dyDescent="0.3">
      <c r="A700" t="s">
        <v>1099</v>
      </c>
      <c r="B700" t="s">
        <v>1277</v>
      </c>
      <c r="C700" t="s">
        <v>23</v>
      </c>
      <c r="D700" t="s">
        <v>24</v>
      </c>
      <c r="E700" t="s">
        <v>25</v>
      </c>
      <c r="F700">
        <v>1</v>
      </c>
      <c r="G700">
        <v>9791133169290</v>
      </c>
      <c r="H700" t="s">
        <v>32</v>
      </c>
      <c r="I700" t="s">
        <v>671</v>
      </c>
      <c r="J700" t="s">
        <v>160</v>
      </c>
      <c r="K700" t="s">
        <v>29</v>
      </c>
      <c r="L700">
        <v>0</v>
      </c>
      <c r="M700" t="s">
        <v>29</v>
      </c>
      <c r="N700">
        <v>0</v>
      </c>
      <c r="O700">
        <v>0</v>
      </c>
      <c r="P700" t="s">
        <v>30</v>
      </c>
      <c r="Q700" s="2">
        <v>0.7</v>
      </c>
      <c r="R700">
        <v>0</v>
      </c>
      <c r="V700" t="str">
        <f>VLOOKUP(H700,'[1]팀별 출판사'!A:B,2,0)</f>
        <v>소설1팀</v>
      </c>
      <c r="W700" s="6">
        <f t="shared" si="20"/>
        <v>0</v>
      </c>
      <c r="X700" s="6">
        <f t="shared" si="21"/>
        <v>0</v>
      </c>
    </row>
    <row r="701" spans="1:24" x14ac:dyDescent="0.3">
      <c r="A701" t="s">
        <v>1099</v>
      </c>
      <c r="B701" t="s">
        <v>1278</v>
      </c>
      <c r="C701" t="s">
        <v>23</v>
      </c>
      <c r="D701" t="s">
        <v>24</v>
      </c>
      <c r="E701" t="s">
        <v>25</v>
      </c>
      <c r="F701">
        <v>1</v>
      </c>
      <c r="G701">
        <v>9791133183913</v>
      </c>
      <c r="H701" t="s">
        <v>32</v>
      </c>
      <c r="I701" t="s">
        <v>1279</v>
      </c>
      <c r="J701" t="s">
        <v>436</v>
      </c>
      <c r="K701" t="s">
        <v>29</v>
      </c>
      <c r="L701" s="1">
        <v>3200</v>
      </c>
      <c r="M701" t="s">
        <v>29</v>
      </c>
      <c r="N701" s="1">
        <v>3200</v>
      </c>
      <c r="O701" s="1">
        <v>3200</v>
      </c>
      <c r="P701" t="s">
        <v>30</v>
      </c>
      <c r="Q701" s="2">
        <v>0.7</v>
      </c>
      <c r="R701" s="1">
        <v>2240</v>
      </c>
      <c r="S701" t="s">
        <v>29</v>
      </c>
      <c r="T701" s="1">
        <v>2240</v>
      </c>
      <c r="V701" t="str">
        <f>VLOOKUP(H701,'[1]팀별 출판사'!A:B,2,0)</f>
        <v>소설1팀</v>
      </c>
      <c r="W701" s="6">
        <f t="shared" si="20"/>
        <v>0</v>
      </c>
      <c r="X701" s="6">
        <f t="shared" si="21"/>
        <v>2240</v>
      </c>
    </row>
    <row r="702" spans="1:24" x14ac:dyDescent="0.3">
      <c r="A702" t="s">
        <v>1099</v>
      </c>
      <c r="B702" t="s">
        <v>1280</v>
      </c>
      <c r="C702" t="s">
        <v>23</v>
      </c>
      <c r="D702" t="s">
        <v>24</v>
      </c>
      <c r="E702" t="s">
        <v>25</v>
      </c>
      <c r="F702">
        <v>1</v>
      </c>
      <c r="G702">
        <v>9791136946782</v>
      </c>
      <c r="H702" t="s">
        <v>26</v>
      </c>
      <c r="I702" t="s">
        <v>291</v>
      </c>
      <c r="J702" t="s">
        <v>28</v>
      </c>
      <c r="K702" t="s">
        <v>29</v>
      </c>
      <c r="L702">
        <v>0</v>
      </c>
      <c r="M702" t="s">
        <v>29</v>
      </c>
      <c r="N702">
        <v>0</v>
      </c>
      <c r="O702">
        <v>0</v>
      </c>
      <c r="P702" t="s">
        <v>30</v>
      </c>
      <c r="Q702" s="2">
        <v>0.7</v>
      </c>
      <c r="R702">
        <v>0</v>
      </c>
      <c r="V702" t="str">
        <f>VLOOKUP(H702,'[1]팀별 출판사'!A:B,2,0)</f>
        <v>소설1팀</v>
      </c>
      <c r="W702" s="6">
        <f t="shared" si="20"/>
        <v>0</v>
      </c>
      <c r="X702" s="6">
        <f t="shared" si="21"/>
        <v>0</v>
      </c>
    </row>
    <row r="703" spans="1:24" x14ac:dyDescent="0.3">
      <c r="A703" t="s">
        <v>1099</v>
      </c>
      <c r="B703" t="s">
        <v>1281</v>
      </c>
      <c r="C703" t="s">
        <v>23</v>
      </c>
      <c r="D703" t="s">
        <v>24</v>
      </c>
      <c r="E703" t="s">
        <v>25</v>
      </c>
      <c r="F703">
        <v>1</v>
      </c>
      <c r="G703">
        <v>9791133130375</v>
      </c>
      <c r="H703" t="s">
        <v>32</v>
      </c>
      <c r="I703" t="s">
        <v>536</v>
      </c>
      <c r="J703" t="s">
        <v>160</v>
      </c>
      <c r="K703" t="s">
        <v>29</v>
      </c>
      <c r="L703">
        <v>0</v>
      </c>
      <c r="M703" t="s">
        <v>29</v>
      </c>
      <c r="N703">
        <v>0</v>
      </c>
      <c r="O703">
        <v>0</v>
      </c>
      <c r="P703" t="s">
        <v>30</v>
      </c>
      <c r="Q703" s="2">
        <v>0.7</v>
      </c>
      <c r="R703">
        <v>0</v>
      </c>
      <c r="V703" t="str">
        <f>VLOOKUP(H703,'[1]팀별 출판사'!A:B,2,0)</f>
        <v>소설1팀</v>
      </c>
      <c r="W703" s="6">
        <f t="shared" si="20"/>
        <v>0</v>
      </c>
      <c r="X703" s="6">
        <f t="shared" si="21"/>
        <v>0</v>
      </c>
    </row>
    <row r="704" spans="1:24" x14ac:dyDescent="0.3">
      <c r="A704" t="s">
        <v>1099</v>
      </c>
      <c r="B704" t="s">
        <v>1282</v>
      </c>
      <c r="C704" t="s">
        <v>23</v>
      </c>
      <c r="D704" t="s">
        <v>24</v>
      </c>
      <c r="E704" t="s">
        <v>25</v>
      </c>
      <c r="F704">
        <v>1</v>
      </c>
      <c r="G704">
        <v>9791133167234</v>
      </c>
      <c r="H704" t="s">
        <v>32</v>
      </c>
      <c r="I704" t="s">
        <v>984</v>
      </c>
      <c r="J704" t="s">
        <v>160</v>
      </c>
      <c r="K704" t="s">
        <v>29</v>
      </c>
      <c r="L704" s="1">
        <v>2500</v>
      </c>
      <c r="M704" t="s">
        <v>29</v>
      </c>
      <c r="N704" s="1">
        <v>2500</v>
      </c>
      <c r="O704" s="1">
        <v>2500</v>
      </c>
      <c r="P704" t="s">
        <v>30</v>
      </c>
      <c r="Q704" s="2">
        <v>0.7</v>
      </c>
      <c r="R704" s="1">
        <v>1750</v>
      </c>
      <c r="S704" t="s">
        <v>29</v>
      </c>
      <c r="T704" s="1">
        <v>1750</v>
      </c>
      <c r="V704" t="str">
        <f>VLOOKUP(H704,'[1]팀별 출판사'!A:B,2,0)</f>
        <v>소설1팀</v>
      </c>
      <c r="W704" s="6">
        <f t="shared" si="20"/>
        <v>0</v>
      </c>
      <c r="X704" s="6">
        <f t="shared" si="21"/>
        <v>1750</v>
      </c>
    </row>
    <row r="705" spans="1:24" x14ac:dyDescent="0.3">
      <c r="A705" t="s">
        <v>1099</v>
      </c>
      <c r="B705" t="s">
        <v>1283</v>
      </c>
      <c r="C705" t="s">
        <v>23</v>
      </c>
      <c r="D705" t="s">
        <v>24</v>
      </c>
      <c r="E705" t="s">
        <v>25</v>
      </c>
      <c r="F705">
        <v>1</v>
      </c>
      <c r="G705">
        <v>9791136931399</v>
      </c>
      <c r="H705" t="s">
        <v>32</v>
      </c>
      <c r="I705" t="s">
        <v>482</v>
      </c>
      <c r="J705" t="s">
        <v>46</v>
      </c>
      <c r="K705" t="s">
        <v>29</v>
      </c>
      <c r="L705">
        <v>0</v>
      </c>
      <c r="M705" t="s">
        <v>29</v>
      </c>
      <c r="N705">
        <v>0</v>
      </c>
      <c r="O705">
        <v>0</v>
      </c>
      <c r="P705" t="s">
        <v>30</v>
      </c>
      <c r="Q705" s="2">
        <v>0.7</v>
      </c>
      <c r="R705">
        <v>0</v>
      </c>
      <c r="V705" t="str">
        <f>VLOOKUP(H705,'[1]팀별 출판사'!A:B,2,0)</f>
        <v>소설1팀</v>
      </c>
      <c r="W705" s="6">
        <f t="shared" si="20"/>
        <v>0</v>
      </c>
      <c r="X705" s="6">
        <f t="shared" si="21"/>
        <v>0</v>
      </c>
    </row>
    <row r="706" spans="1:24" x14ac:dyDescent="0.3">
      <c r="A706" t="s">
        <v>1099</v>
      </c>
      <c r="B706" t="s">
        <v>1284</v>
      </c>
      <c r="C706" t="s">
        <v>23</v>
      </c>
      <c r="D706" t="s">
        <v>24</v>
      </c>
      <c r="E706" t="s">
        <v>25</v>
      </c>
      <c r="F706">
        <v>1</v>
      </c>
      <c r="G706">
        <v>9791175303973</v>
      </c>
      <c r="H706" t="s">
        <v>79</v>
      </c>
      <c r="I706" t="s">
        <v>1285</v>
      </c>
      <c r="J706" t="s">
        <v>571</v>
      </c>
      <c r="K706" t="s">
        <v>29</v>
      </c>
      <c r="L706" s="1">
        <v>3200</v>
      </c>
      <c r="M706" t="s">
        <v>29</v>
      </c>
      <c r="N706" s="1">
        <v>3200</v>
      </c>
      <c r="O706" s="1">
        <v>3200</v>
      </c>
      <c r="P706" t="s">
        <v>30</v>
      </c>
      <c r="Q706" s="2">
        <v>0.7</v>
      </c>
      <c r="R706" s="1">
        <v>2240</v>
      </c>
      <c r="S706" t="s">
        <v>29</v>
      </c>
      <c r="T706" s="1">
        <v>2240</v>
      </c>
      <c r="V706" t="str">
        <f>VLOOKUP(H706,'[1]팀별 출판사'!A:B,2,0)</f>
        <v>소설1팀</v>
      </c>
      <c r="W706" s="6">
        <f t="shared" ref="W706:W769" si="22">IF(P706="US", T706*30%, 0)</f>
        <v>0</v>
      </c>
      <c r="X706" s="6">
        <f t="shared" ref="X706:X769" si="23">T706-W706</f>
        <v>2240</v>
      </c>
    </row>
    <row r="707" spans="1:24" x14ac:dyDescent="0.3">
      <c r="A707" t="s">
        <v>1099</v>
      </c>
      <c r="B707" t="s">
        <v>1286</v>
      </c>
      <c r="C707" t="s">
        <v>23</v>
      </c>
      <c r="D707" t="s">
        <v>24</v>
      </c>
      <c r="E707" t="s">
        <v>25</v>
      </c>
      <c r="F707">
        <v>1</v>
      </c>
      <c r="G707">
        <v>9791133167227</v>
      </c>
      <c r="H707" t="s">
        <v>32</v>
      </c>
      <c r="I707" t="s">
        <v>313</v>
      </c>
      <c r="J707" t="s">
        <v>160</v>
      </c>
      <c r="K707" t="s">
        <v>29</v>
      </c>
      <c r="L707">
        <v>0</v>
      </c>
      <c r="M707" t="s">
        <v>29</v>
      </c>
      <c r="N707">
        <v>0</v>
      </c>
      <c r="O707">
        <v>0</v>
      </c>
      <c r="P707" t="s">
        <v>30</v>
      </c>
      <c r="Q707" s="2">
        <v>0.7</v>
      </c>
      <c r="R707">
        <v>0</v>
      </c>
      <c r="V707" t="str">
        <f>VLOOKUP(H707,'[1]팀별 출판사'!A:B,2,0)</f>
        <v>소설1팀</v>
      </c>
      <c r="W707" s="6">
        <f t="shared" si="22"/>
        <v>0</v>
      </c>
      <c r="X707" s="6">
        <f t="shared" si="23"/>
        <v>0</v>
      </c>
    </row>
    <row r="708" spans="1:24" x14ac:dyDescent="0.3">
      <c r="A708" t="s">
        <v>1099</v>
      </c>
      <c r="B708" t="s">
        <v>1287</v>
      </c>
      <c r="C708" t="s">
        <v>23</v>
      </c>
      <c r="D708" t="s">
        <v>24</v>
      </c>
      <c r="E708" t="s">
        <v>25</v>
      </c>
      <c r="F708">
        <v>1</v>
      </c>
      <c r="G708">
        <v>9791133106257</v>
      </c>
      <c r="H708" t="s">
        <v>32</v>
      </c>
      <c r="I708" t="s">
        <v>1288</v>
      </c>
      <c r="J708" t="s">
        <v>51</v>
      </c>
      <c r="K708" t="s">
        <v>29</v>
      </c>
      <c r="L708" s="1">
        <v>3200</v>
      </c>
      <c r="M708" t="s">
        <v>29</v>
      </c>
      <c r="N708" s="1">
        <v>3200</v>
      </c>
      <c r="O708" s="1">
        <v>3200</v>
      </c>
      <c r="P708" t="s">
        <v>30</v>
      </c>
      <c r="Q708" s="2">
        <v>0.7</v>
      </c>
      <c r="R708" s="1">
        <v>2240</v>
      </c>
      <c r="S708" t="s">
        <v>29</v>
      </c>
      <c r="T708" s="1">
        <v>2240</v>
      </c>
      <c r="V708" t="str">
        <f>VLOOKUP(H708,'[1]팀별 출판사'!A:B,2,0)</f>
        <v>소설1팀</v>
      </c>
      <c r="W708" s="6">
        <f t="shared" si="22"/>
        <v>0</v>
      </c>
      <c r="X708" s="6">
        <f t="shared" si="23"/>
        <v>2240</v>
      </c>
    </row>
    <row r="709" spans="1:24" x14ac:dyDescent="0.3">
      <c r="A709" t="s">
        <v>1099</v>
      </c>
      <c r="B709" t="s">
        <v>1289</v>
      </c>
      <c r="C709" t="s">
        <v>23</v>
      </c>
      <c r="D709" t="s">
        <v>24</v>
      </c>
      <c r="E709" t="s">
        <v>25</v>
      </c>
      <c r="F709">
        <v>1</v>
      </c>
      <c r="G709">
        <v>9791133186501</v>
      </c>
      <c r="H709" t="s">
        <v>26</v>
      </c>
      <c r="I709" t="s">
        <v>64</v>
      </c>
      <c r="J709" t="s">
        <v>65</v>
      </c>
      <c r="K709" t="s">
        <v>29</v>
      </c>
      <c r="L709">
        <v>0</v>
      </c>
      <c r="M709" t="s">
        <v>29</v>
      </c>
      <c r="N709">
        <v>0</v>
      </c>
      <c r="O709">
        <v>0</v>
      </c>
      <c r="P709" t="s">
        <v>30</v>
      </c>
      <c r="Q709" s="2">
        <v>0.7</v>
      </c>
      <c r="R709">
        <v>0</v>
      </c>
      <c r="V709" t="str">
        <f>VLOOKUP(H709,'[1]팀별 출판사'!A:B,2,0)</f>
        <v>소설1팀</v>
      </c>
      <c r="W709" s="6">
        <f t="shared" si="22"/>
        <v>0</v>
      </c>
      <c r="X709" s="6">
        <f t="shared" si="23"/>
        <v>0</v>
      </c>
    </row>
    <row r="710" spans="1:24" x14ac:dyDescent="0.3">
      <c r="A710" t="s">
        <v>1099</v>
      </c>
      <c r="B710" t="s">
        <v>1290</v>
      </c>
      <c r="C710" t="s">
        <v>23</v>
      </c>
      <c r="D710" t="s">
        <v>24</v>
      </c>
      <c r="E710" t="s">
        <v>25</v>
      </c>
      <c r="F710">
        <v>1</v>
      </c>
      <c r="G710">
        <v>9791133169290</v>
      </c>
      <c r="H710" t="s">
        <v>32</v>
      </c>
      <c r="I710" t="s">
        <v>671</v>
      </c>
      <c r="J710" t="s">
        <v>160</v>
      </c>
      <c r="K710" t="s">
        <v>29</v>
      </c>
      <c r="L710">
        <v>0</v>
      </c>
      <c r="M710" t="s">
        <v>29</v>
      </c>
      <c r="N710">
        <v>0</v>
      </c>
      <c r="O710">
        <v>0</v>
      </c>
      <c r="P710" t="s">
        <v>30</v>
      </c>
      <c r="Q710" s="2">
        <v>0.7</v>
      </c>
      <c r="R710">
        <v>0</v>
      </c>
      <c r="V710" t="str">
        <f>VLOOKUP(H710,'[1]팀별 출판사'!A:B,2,0)</f>
        <v>소설1팀</v>
      </c>
      <c r="W710" s="6">
        <f t="shared" si="22"/>
        <v>0</v>
      </c>
      <c r="X710" s="6">
        <f t="shared" si="23"/>
        <v>0</v>
      </c>
    </row>
    <row r="711" spans="1:24" x14ac:dyDescent="0.3">
      <c r="A711" t="s">
        <v>1099</v>
      </c>
      <c r="B711" t="s">
        <v>1291</v>
      </c>
      <c r="C711" t="s">
        <v>23</v>
      </c>
      <c r="D711" t="s">
        <v>24</v>
      </c>
      <c r="E711" t="s">
        <v>25</v>
      </c>
      <c r="F711">
        <v>1</v>
      </c>
      <c r="G711">
        <v>9791133105441</v>
      </c>
      <c r="H711" t="s">
        <v>32</v>
      </c>
      <c r="I711" t="s">
        <v>116</v>
      </c>
      <c r="J711" t="s">
        <v>88</v>
      </c>
      <c r="K711" t="s">
        <v>29</v>
      </c>
      <c r="L711">
        <v>0</v>
      </c>
      <c r="M711" t="s">
        <v>29</v>
      </c>
      <c r="N711">
        <v>0</v>
      </c>
      <c r="O711">
        <v>0</v>
      </c>
      <c r="P711" t="s">
        <v>30</v>
      </c>
      <c r="Q711" s="2">
        <v>0.7</v>
      </c>
      <c r="R711">
        <v>0</v>
      </c>
      <c r="V711" t="str">
        <f>VLOOKUP(H711,'[1]팀별 출판사'!A:B,2,0)</f>
        <v>소설1팀</v>
      </c>
      <c r="W711" s="6">
        <f t="shared" si="22"/>
        <v>0</v>
      </c>
      <c r="X711" s="6">
        <f t="shared" si="23"/>
        <v>0</v>
      </c>
    </row>
    <row r="712" spans="1:24" x14ac:dyDescent="0.3">
      <c r="A712" t="s">
        <v>1099</v>
      </c>
      <c r="B712" t="s">
        <v>1292</v>
      </c>
      <c r="C712" t="s">
        <v>23</v>
      </c>
      <c r="D712" t="s">
        <v>24</v>
      </c>
      <c r="E712" t="s">
        <v>25</v>
      </c>
      <c r="F712">
        <v>1</v>
      </c>
      <c r="G712">
        <v>9791133147762</v>
      </c>
      <c r="H712" t="s">
        <v>32</v>
      </c>
      <c r="I712" t="s">
        <v>1293</v>
      </c>
      <c r="J712" t="s">
        <v>284</v>
      </c>
      <c r="K712" t="s">
        <v>29</v>
      </c>
      <c r="L712">
        <v>0</v>
      </c>
      <c r="M712" t="s">
        <v>29</v>
      </c>
      <c r="N712">
        <v>0</v>
      </c>
      <c r="O712">
        <v>0</v>
      </c>
      <c r="P712" t="s">
        <v>30</v>
      </c>
      <c r="Q712" s="2">
        <v>0.7</v>
      </c>
      <c r="R712">
        <v>0</v>
      </c>
      <c r="V712" t="str">
        <f>VLOOKUP(H712,'[1]팀별 출판사'!A:B,2,0)</f>
        <v>소설1팀</v>
      </c>
      <c r="W712" s="6">
        <f t="shared" si="22"/>
        <v>0</v>
      </c>
      <c r="X712" s="6">
        <f t="shared" si="23"/>
        <v>0</v>
      </c>
    </row>
    <row r="713" spans="1:24" x14ac:dyDescent="0.3">
      <c r="A713" t="s">
        <v>1294</v>
      </c>
      <c r="B713" t="s">
        <v>1295</v>
      </c>
      <c r="C713" t="s">
        <v>23</v>
      </c>
      <c r="D713" t="s">
        <v>24</v>
      </c>
      <c r="E713" t="s">
        <v>25</v>
      </c>
      <c r="F713">
        <v>1</v>
      </c>
      <c r="G713">
        <v>9791136935496</v>
      </c>
      <c r="H713" t="s">
        <v>32</v>
      </c>
      <c r="I713" t="s">
        <v>441</v>
      </c>
      <c r="J713" t="s">
        <v>442</v>
      </c>
      <c r="K713" t="s">
        <v>29</v>
      </c>
      <c r="L713">
        <v>0</v>
      </c>
      <c r="M713" t="s">
        <v>127</v>
      </c>
      <c r="N713">
        <v>0</v>
      </c>
      <c r="O713">
        <v>0</v>
      </c>
      <c r="P713" t="s">
        <v>128</v>
      </c>
      <c r="Q713" s="2">
        <v>0.7</v>
      </c>
      <c r="R713">
        <v>0</v>
      </c>
      <c r="V713" t="str">
        <f>VLOOKUP(H713,'[1]팀별 출판사'!A:B,2,0)</f>
        <v>소설1팀</v>
      </c>
      <c r="W713" s="6">
        <f t="shared" si="22"/>
        <v>0</v>
      </c>
      <c r="X713" s="6">
        <f t="shared" si="23"/>
        <v>0</v>
      </c>
    </row>
    <row r="714" spans="1:24" x14ac:dyDescent="0.3">
      <c r="A714" t="s">
        <v>1294</v>
      </c>
      <c r="B714" t="s">
        <v>1296</v>
      </c>
      <c r="C714" t="s">
        <v>23</v>
      </c>
      <c r="D714" t="s">
        <v>24</v>
      </c>
      <c r="E714" t="s">
        <v>25</v>
      </c>
      <c r="F714">
        <v>1</v>
      </c>
      <c r="G714">
        <v>9791136942142</v>
      </c>
      <c r="H714" t="s">
        <v>26</v>
      </c>
      <c r="I714" t="s">
        <v>180</v>
      </c>
      <c r="J714" t="s">
        <v>46</v>
      </c>
      <c r="K714" t="s">
        <v>29</v>
      </c>
      <c r="L714">
        <v>0</v>
      </c>
      <c r="M714" t="s">
        <v>127</v>
      </c>
      <c r="N714">
        <v>0</v>
      </c>
      <c r="O714">
        <v>0</v>
      </c>
      <c r="P714" t="s">
        <v>128</v>
      </c>
      <c r="Q714" s="2">
        <v>0.7</v>
      </c>
      <c r="R714">
        <v>0</v>
      </c>
      <c r="V714" t="str">
        <f>VLOOKUP(H714,'[1]팀별 출판사'!A:B,2,0)</f>
        <v>소설1팀</v>
      </c>
      <c r="W714" s="6">
        <f t="shared" si="22"/>
        <v>0</v>
      </c>
      <c r="X714" s="6">
        <f t="shared" si="23"/>
        <v>0</v>
      </c>
    </row>
    <row r="715" spans="1:24" x14ac:dyDescent="0.3">
      <c r="A715" t="s">
        <v>1294</v>
      </c>
      <c r="B715" t="s">
        <v>1297</v>
      </c>
      <c r="C715" t="s">
        <v>23</v>
      </c>
      <c r="D715" t="s">
        <v>24</v>
      </c>
      <c r="E715" t="s">
        <v>25</v>
      </c>
      <c r="F715">
        <v>1</v>
      </c>
      <c r="G715">
        <v>9791136931375</v>
      </c>
      <c r="H715" t="s">
        <v>32</v>
      </c>
      <c r="I715" t="s">
        <v>189</v>
      </c>
      <c r="J715" t="s">
        <v>46</v>
      </c>
      <c r="K715" t="s">
        <v>29</v>
      </c>
      <c r="L715">
        <v>0</v>
      </c>
      <c r="M715" t="s">
        <v>47</v>
      </c>
      <c r="N715">
        <v>0</v>
      </c>
      <c r="O715">
        <v>0</v>
      </c>
      <c r="P715" t="s">
        <v>48</v>
      </c>
      <c r="Q715" s="2">
        <v>0.7</v>
      </c>
      <c r="R715">
        <v>0</v>
      </c>
      <c r="V715" t="str">
        <f>VLOOKUP(H715,'[1]팀별 출판사'!A:B,2,0)</f>
        <v>소설1팀</v>
      </c>
      <c r="W715" s="6">
        <f t="shared" si="22"/>
        <v>0</v>
      </c>
      <c r="X715" s="6">
        <f t="shared" si="23"/>
        <v>0</v>
      </c>
    </row>
    <row r="716" spans="1:24" x14ac:dyDescent="0.3">
      <c r="A716" t="s">
        <v>1294</v>
      </c>
      <c r="B716" t="s">
        <v>1298</v>
      </c>
      <c r="C716" t="s">
        <v>23</v>
      </c>
      <c r="D716" t="s">
        <v>24</v>
      </c>
      <c r="E716" t="s">
        <v>25</v>
      </c>
      <c r="F716">
        <v>1</v>
      </c>
      <c r="G716">
        <v>9791136965455</v>
      </c>
      <c r="H716" t="s">
        <v>26</v>
      </c>
      <c r="I716" t="s">
        <v>472</v>
      </c>
      <c r="J716" t="s">
        <v>157</v>
      </c>
      <c r="K716" t="s">
        <v>29</v>
      </c>
      <c r="L716">
        <v>0</v>
      </c>
      <c r="M716" t="s">
        <v>47</v>
      </c>
      <c r="N716">
        <v>0</v>
      </c>
      <c r="O716">
        <v>0</v>
      </c>
      <c r="P716" t="s">
        <v>48</v>
      </c>
      <c r="Q716" s="2">
        <v>0.7</v>
      </c>
      <c r="R716">
        <v>0</v>
      </c>
      <c r="V716" t="str">
        <f>VLOOKUP(H716,'[1]팀별 출판사'!A:B,2,0)</f>
        <v>소설1팀</v>
      </c>
      <c r="W716" s="6">
        <f t="shared" si="22"/>
        <v>0</v>
      </c>
      <c r="X716" s="6">
        <f t="shared" si="23"/>
        <v>0</v>
      </c>
    </row>
    <row r="717" spans="1:24" x14ac:dyDescent="0.3">
      <c r="A717" t="s">
        <v>1294</v>
      </c>
      <c r="B717" t="s">
        <v>1299</v>
      </c>
      <c r="C717" t="s">
        <v>23</v>
      </c>
      <c r="D717" t="s">
        <v>24</v>
      </c>
      <c r="E717" t="s">
        <v>25</v>
      </c>
      <c r="F717">
        <v>1</v>
      </c>
      <c r="G717">
        <v>9791136931382</v>
      </c>
      <c r="H717" t="s">
        <v>32</v>
      </c>
      <c r="I717" t="s">
        <v>523</v>
      </c>
      <c r="J717" t="s">
        <v>46</v>
      </c>
      <c r="K717" t="s">
        <v>29</v>
      </c>
      <c r="L717">
        <v>0</v>
      </c>
      <c r="M717" t="s">
        <v>47</v>
      </c>
      <c r="N717">
        <v>0</v>
      </c>
      <c r="O717">
        <v>0</v>
      </c>
      <c r="P717" t="s">
        <v>48</v>
      </c>
      <c r="Q717" s="2">
        <v>0.7</v>
      </c>
      <c r="R717">
        <v>0</v>
      </c>
      <c r="V717" t="str">
        <f>VLOOKUP(H717,'[1]팀별 출판사'!A:B,2,0)</f>
        <v>소설1팀</v>
      </c>
      <c r="W717" s="6">
        <f t="shared" si="22"/>
        <v>0</v>
      </c>
      <c r="X717" s="6">
        <f t="shared" si="23"/>
        <v>0</v>
      </c>
    </row>
    <row r="718" spans="1:24" x14ac:dyDescent="0.3">
      <c r="A718" t="s">
        <v>1294</v>
      </c>
      <c r="B718" t="s">
        <v>1300</v>
      </c>
      <c r="C718" t="s">
        <v>23</v>
      </c>
      <c r="D718" t="s">
        <v>24</v>
      </c>
      <c r="E718" t="s">
        <v>25</v>
      </c>
      <c r="F718">
        <v>1</v>
      </c>
      <c r="G718">
        <v>9791136943729</v>
      </c>
      <c r="H718" t="s">
        <v>26</v>
      </c>
      <c r="I718" t="s">
        <v>1301</v>
      </c>
      <c r="J718" t="s">
        <v>1302</v>
      </c>
      <c r="K718" t="s">
        <v>29</v>
      </c>
      <c r="L718">
        <v>0</v>
      </c>
      <c r="M718" t="s">
        <v>29</v>
      </c>
      <c r="N718">
        <v>0</v>
      </c>
      <c r="O718">
        <v>0</v>
      </c>
      <c r="P718" t="s">
        <v>30</v>
      </c>
      <c r="Q718" s="2">
        <v>0.7</v>
      </c>
      <c r="R718">
        <v>0</v>
      </c>
      <c r="V718" t="str">
        <f>VLOOKUP(H718,'[1]팀별 출판사'!A:B,2,0)</f>
        <v>소설1팀</v>
      </c>
      <c r="W718" s="6">
        <f t="shared" si="22"/>
        <v>0</v>
      </c>
      <c r="X718" s="6">
        <f t="shared" si="23"/>
        <v>0</v>
      </c>
    </row>
    <row r="719" spans="1:24" x14ac:dyDescent="0.3">
      <c r="A719" t="s">
        <v>1294</v>
      </c>
      <c r="B719" t="s">
        <v>1303</v>
      </c>
      <c r="C719" t="s">
        <v>23</v>
      </c>
      <c r="D719" t="s">
        <v>24</v>
      </c>
      <c r="E719" t="s">
        <v>25</v>
      </c>
      <c r="F719">
        <v>1</v>
      </c>
      <c r="G719">
        <v>9791133186501</v>
      </c>
      <c r="H719" t="s">
        <v>26</v>
      </c>
      <c r="I719" t="s">
        <v>64</v>
      </c>
      <c r="J719" t="s">
        <v>65</v>
      </c>
      <c r="K719" t="s">
        <v>29</v>
      </c>
      <c r="L719">
        <v>0</v>
      </c>
      <c r="M719" t="s">
        <v>29</v>
      </c>
      <c r="N719">
        <v>0</v>
      </c>
      <c r="O719">
        <v>0</v>
      </c>
      <c r="P719" t="s">
        <v>30</v>
      </c>
      <c r="Q719" s="2">
        <v>0.7</v>
      </c>
      <c r="R719">
        <v>0</v>
      </c>
      <c r="V719" t="str">
        <f>VLOOKUP(H719,'[1]팀별 출판사'!A:B,2,0)</f>
        <v>소설1팀</v>
      </c>
      <c r="W719" s="6">
        <f t="shared" si="22"/>
        <v>0</v>
      </c>
      <c r="X719" s="6">
        <f t="shared" si="23"/>
        <v>0</v>
      </c>
    </row>
    <row r="720" spans="1:24" x14ac:dyDescent="0.3">
      <c r="A720" t="s">
        <v>1294</v>
      </c>
      <c r="B720" t="s">
        <v>1304</v>
      </c>
      <c r="C720" t="s">
        <v>23</v>
      </c>
      <c r="D720" t="s">
        <v>24</v>
      </c>
      <c r="E720" t="s">
        <v>25</v>
      </c>
      <c r="F720">
        <v>1</v>
      </c>
      <c r="G720">
        <v>9791136988799</v>
      </c>
      <c r="H720" t="s">
        <v>26</v>
      </c>
      <c r="I720" t="s">
        <v>1305</v>
      </c>
      <c r="J720" t="s">
        <v>28</v>
      </c>
      <c r="K720" t="s">
        <v>29</v>
      </c>
      <c r="L720" s="1">
        <v>3200</v>
      </c>
      <c r="M720" t="s">
        <v>29</v>
      </c>
      <c r="N720" s="1">
        <v>3200</v>
      </c>
      <c r="O720" s="1">
        <v>3200</v>
      </c>
      <c r="P720" t="s">
        <v>30</v>
      </c>
      <c r="Q720" s="2">
        <v>0.7</v>
      </c>
      <c r="R720" s="1">
        <v>2240</v>
      </c>
      <c r="S720" t="s">
        <v>29</v>
      </c>
      <c r="T720" s="1">
        <v>2240</v>
      </c>
      <c r="V720" t="str">
        <f>VLOOKUP(H720,'[1]팀별 출판사'!A:B,2,0)</f>
        <v>소설1팀</v>
      </c>
      <c r="W720" s="6">
        <f t="shared" si="22"/>
        <v>0</v>
      </c>
      <c r="X720" s="6">
        <f t="shared" si="23"/>
        <v>2240</v>
      </c>
    </row>
    <row r="721" spans="1:24" x14ac:dyDescent="0.3">
      <c r="A721" t="s">
        <v>1294</v>
      </c>
      <c r="B721" t="s">
        <v>1306</v>
      </c>
      <c r="C721" t="s">
        <v>23</v>
      </c>
      <c r="D721" t="s">
        <v>24</v>
      </c>
      <c r="E721" t="s">
        <v>25</v>
      </c>
      <c r="F721">
        <v>1</v>
      </c>
      <c r="G721">
        <v>9791133198382</v>
      </c>
      <c r="H721" t="s">
        <v>26</v>
      </c>
      <c r="I721" t="s">
        <v>358</v>
      </c>
      <c r="J721" t="s">
        <v>359</v>
      </c>
      <c r="K721" t="s">
        <v>29</v>
      </c>
      <c r="L721">
        <v>0</v>
      </c>
      <c r="M721" t="s">
        <v>29</v>
      </c>
      <c r="N721">
        <v>0</v>
      </c>
      <c r="O721">
        <v>0</v>
      </c>
      <c r="P721" t="s">
        <v>30</v>
      </c>
      <c r="Q721" s="2">
        <v>0.7</v>
      </c>
      <c r="R721">
        <v>0</v>
      </c>
      <c r="V721" t="str">
        <f>VLOOKUP(H721,'[1]팀별 출판사'!A:B,2,0)</f>
        <v>소설1팀</v>
      </c>
      <c r="W721" s="6">
        <f t="shared" si="22"/>
        <v>0</v>
      </c>
      <c r="X721" s="6">
        <f t="shared" si="23"/>
        <v>0</v>
      </c>
    </row>
    <row r="722" spans="1:24" x14ac:dyDescent="0.3">
      <c r="A722" t="s">
        <v>1294</v>
      </c>
      <c r="B722" t="s">
        <v>1307</v>
      </c>
      <c r="C722" t="s">
        <v>23</v>
      </c>
      <c r="D722" t="s">
        <v>24</v>
      </c>
      <c r="E722" t="s">
        <v>25</v>
      </c>
      <c r="F722">
        <v>1</v>
      </c>
      <c r="G722">
        <v>9791136937193</v>
      </c>
      <c r="H722" t="s">
        <v>26</v>
      </c>
      <c r="I722" t="s">
        <v>621</v>
      </c>
      <c r="J722" t="s">
        <v>622</v>
      </c>
      <c r="K722" t="s">
        <v>29</v>
      </c>
      <c r="L722">
        <v>0</v>
      </c>
      <c r="M722" t="s">
        <v>29</v>
      </c>
      <c r="N722">
        <v>0</v>
      </c>
      <c r="O722">
        <v>0</v>
      </c>
      <c r="P722" t="s">
        <v>30</v>
      </c>
      <c r="Q722" s="2">
        <v>0.7</v>
      </c>
      <c r="R722">
        <v>0</v>
      </c>
      <c r="V722" t="str">
        <f>VLOOKUP(H722,'[1]팀별 출판사'!A:B,2,0)</f>
        <v>소설1팀</v>
      </c>
      <c r="W722" s="6">
        <f t="shared" si="22"/>
        <v>0</v>
      </c>
      <c r="X722" s="6">
        <f t="shared" si="23"/>
        <v>0</v>
      </c>
    </row>
    <row r="723" spans="1:24" x14ac:dyDescent="0.3">
      <c r="A723" t="s">
        <v>1294</v>
      </c>
      <c r="B723" t="s">
        <v>1308</v>
      </c>
      <c r="C723" t="s">
        <v>23</v>
      </c>
      <c r="D723" t="s">
        <v>24</v>
      </c>
      <c r="E723" t="s">
        <v>25</v>
      </c>
      <c r="F723">
        <v>1</v>
      </c>
      <c r="G723">
        <v>9791136912732</v>
      </c>
      <c r="H723" t="s">
        <v>26</v>
      </c>
      <c r="I723" t="s">
        <v>1125</v>
      </c>
      <c r="J723" t="s">
        <v>256</v>
      </c>
      <c r="K723" t="s">
        <v>29</v>
      </c>
      <c r="L723">
        <v>0</v>
      </c>
      <c r="M723" t="s">
        <v>29</v>
      </c>
      <c r="N723">
        <v>0</v>
      </c>
      <c r="O723">
        <v>0</v>
      </c>
      <c r="P723" t="s">
        <v>30</v>
      </c>
      <c r="Q723" s="2">
        <v>0.7</v>
      </c>
      <c r="R723">
        <v>0</v>
      </c>
      <c r="V723" t="str">
        <f>VLOOKUP(H723,'[1]팀별 출판사'!A:B,2,0)</f>
        <v>소설1팀</v>
      </c>
      <c r="W723" s="6">
        <f t="shared" si="22"/>
        <v>0</v>
      </c>
      <c r="X723" s="6">
        <f t="shared" si="23"/>
        <v>0</v>
      </c>
    </row>
    <row r="724" spans="1:24" x14ac:dyDescent="0.3">
      <c r="A724" t="s">
        <v>1294</v>
      </c>
      <c r="B724" t="s">
        <v>1309</v>
      </c>
      <c r="C724" t="s">
        <v>23</v>
      </c>
      <c r="D724" t="s">
        <v>24</v>
      </c>
      <c r="E724" t="s">
        <v>25</v>
      </c>
      <c r="F724">
        <v>1</v>
      </c>
      <c r="G724">
        <v>9791133186501</v>
      </c>
      <c r="H724" t="s">
        <v>26</v>
      </c>
      <c r="I724" t="s">
        <v>64</v>
      </c>
      <c r="J724" t="s">
        <v>65</v>
      </c>
      <c r="K724" t="s">
        <v>29</v>
      </c>
      <c r="L724">
        <v>0</v>
      </c>
      <c r="M724" t="s">
        <v>29</v>
      </c>
      <c r="N724">
        <v>0</v>
      </c>
      <c r="O724">
        <v>0</v>
      </c>
      <c r="P724" t="s">
        <v>30</v>
      </c>
      <c r="Q724" s="2">
        <v>0.7</v>
      </c>
      <c r="R724">
        <v>0</v>
      </c>
      <c r="V724" t="str">
        <f>VLOOKUP(H724,'[1]팀별 출판사'!A:B,2,0)</f>
        <v>소설1팀</v>
      </c>
      <c r="W724" s="6">
        <f t="shared" si="22"/>
        <v>0</v>
      </c>
      <c r="X724" s="6">
        <f t="shared" si="23"/>
        <v>0</v>
      </c>
    </row>
    <row r="725" spans="1:24" x14ac:dyDescent="0.3">
      <c r="A725" t="s">
        <v>1294</v>
      </c>
      <c r="B725" t="s">
        <v>1310</v>
      </c>
      <c r="C725" t="s">
        <v>23</v>
      </c>
      <c r="D725" t="s">
        <v>24</v>
      </c>
      <c r="E725" t="s">
        <v>25</v>
      </c>
      <c r="F725">
        <v>1</v>
      </c>
      <c r="G725">
        <v>9791172924348</v>
      </c>
      <c r="H725" t="s">
        <v>1311</v>
      </c>
      <c r="I725" t="s">
        <v>1312</v>
      </c>
      <c r="J725" t="s">
        <v>1313</v>
      </c>
      <c r="K725" t="s">
        <v>29</v>
      </c>
      <c r="L725" s="1">
        <v>3000</v>
      </c>
      <c r="M725" t="s">
        <v>29</v>
      </c>
      <c r="N725" s="1">
        <v>3000</v>
      </c>
      <c r="O725" s="1">
        <v>3000</v>
      </c>
      <c r="P725" t="s">
        <v>30</v>
      </c>
      <c r="Q725" s="2">
        <v>0.7</v>
      </c>
      <c r="R725" s="1">
        <v>2100</v>
      </c>
      <c r="S725" t="s">
        <v>29</v>
      </c>
      <c r="T725" s="1">
        <v>2100</v>
      </c>
      <c r="V725" t="str">
        <f>VLOOKUP(H725,'[1]팀별 출판사'!A:B,2,0)</f>
        <v>소설2팀</v>
      </c>
      <c r="W725" s="6">
        <f t="shared" si="22"/>
        <v>0</v>
      </c>
      <c r="X725" s="6">
        <f t="shared" si="23"/>
        <v>2100</v>
      </c>
    </row>
    <row r="726" spans="1:24" x14ac:dyDescent="0.3">
      <c r="A726" t="s">
        <v>1294</v>
      </c>
      <c r="B726" t="s">
        <v>1314</v>
      </c>
      <c r="C726" t="s">
        <v>23</v>
      </c>
      <c r="D726" t="s">
        <v>24</v>
      </c>
      <c r="E726" t="s">
        <v>25</v>
      </c>
      <c r="F726">
        <v>1</v>
      </c>
      <c r="G726">
        <v>9791172927004</v>
      </c>
      <c r="H726" t="s">
        <v>26</v>
      </c>
      <c r="I726" t="s">
        <v>1315</v>
      </c>
      <c r="J726" t="s">
        <v>28</v>
      </c>
      <c r="K726" t="s">
        <v>29</v>
      </c>
      <c r="L726" s="1">
        <v>3200</v>
      </c>
      <c r="M726" t="s">
        <v>29</v>
      </c>
      <c r="N726" s="1">
        <v>3200</v>
      </c>
      <c r="O726" s="1">
        <v>3200</v>
      </c>
      <c r="P726" t="s">
        <v>30</v>
      </c>
      <c r="Q726" s="2">
        <v>0.7</v>
      </c>
      <c r="R726" s="1">
        <v>2240</v>
      </c>
      <c r="S726" t="s">
        <v>29</v>
      </c>
      <c r="T726" s="1">
        <v>2240</v>
      </c>
      <c r="V726" t="str">
        <f>VLOOKUP(H726,'[1]팀별 출판사'!A:B,2,0)</f>
        <v>소설1팀</v>
      </c>
      <c r="W726" s="6">
        <f t="shared" si="22"/>
        <v>0</v>
      </c>
      <c r="X726" s="6">
        <f t="shared" si="23"/>
        <v>2240</v>
      </c>
    </row>
    <row r="727" spans="1:24" x14ac:dyDescent="0.3">
      <c r="A727" t="s">
        <v>1294</v>
      </c>
      <c r="B727" t="s">
        <v>1316</v>
      </c>
      <c r="C727" t="s">
        <v>23</v>
      </c>
      <c r="D727" t="s">
        <v>24</v>
      </c>
      <c r="E727" t="s">
        <v>25</v>
      </c>
      <c r="F727">
        <v>1</v>
      </c>
      <c r="G727">
        <v>9791136942142</v>
      </c>
      <c r="H727" t="s">
        <v>26</v>
      </c>
      <c r="I727" t="s">
        <v>180</v>
      </c>
      <c r="J727" t="s">
        <v>46</v>
      </c>
      <c r="K727" t="s">
        <v>29</v>
      </c>
      <c r="L727">
        <v>0</v>
      </c>
      <c r="M727" t="s">
        <v>127</v>
      </c>
      <c r="N727">
        <v>0</v>
      </c>
      <c r="O727">
        <v>0</v>
      </c>
      <c r="P727" t="s">
        <v>128</v>
      </c>
      <c r="Q727" s="2">
        <v>0.7</v>
      </c>
      <c r="R727">
        <v>0</v>
      </c>
      <c r="V727" t="str">
        <f>VLOOKUP(H727,'[1]팀별 출판사'!A:B,2,0)</f>
        <v>소설1팀</v>
      </c>
      <c r="W727" s="6">
        <f t="shared" si="22"/>
        <v>0</v>
      </c>
      <c r="X727" s="6">
        <f t="shared" si="23"/>
        <v>0</v>
      </c>
    </row>
    <row r="728" spans="1:24" x14ac:dyDescent="0.3">
      <c r="A728" t="s">
        <v>1294</v>
      </c>
      <c r="B728" t="s">
        <v>1317</v>
      </c>
      <c r="C728" t="s">
        <v>23</v>
      </c>
      <c r="D728" t="s">
        <v>24</v>
      </c>
      <c r="E728" t="s">
        <v>25</v>
      </c>
      <c r="F728">
        <v>1</v>
      </c>
      <c r="G728" t="s">
        <v>1318</v>
      </c>
      <c r="H728" t="s">
        <v>208</v>
      </c>
      <c r="I728" t="s">
        <v>1319</v>
      </c>
      <c r="J728" t="s">
        <v>210</v>
      </c>
      <c r="K728" t="s">
        <v>29</v>
      </c>
      <c r="L728" s="1">
        <v>2000</v>
      </c>
      <c r="M728" t="s">
        <v>29</v>
      </c>
      <c r="N728" s="1">
        <v>2000</v>
      </c>
      <c r="O728" s="1">
        <v>2000</v>
      </c>
      <c r="P728" t="s">
        <v>30</v>
      </c>
      <c r="Q728" s="2">
        <v>0.7</v>
      </c>
      <c r="R728" s="1">
        <v>1400</v>
      </c>
      <c r="S728" t="s">
        <v>29</v>
      </c>
      <c r="T728" s="1">
        <v>1400</v>
      </c>
      <c r="V728" t="str">
        <f>VLOOKUP(H728,'[1]팀별 출판사'!A:B,2,0)</f>
        <v>소설1팀</v>
      </c>
      <c r="W728" s="6">
        <f t="shared" si="22"/>
        <v>0</v>
      </c>
      <c r="X728" s="6">
        <f t="shared" si="23"/>
        <v>1400</v>
      </c>
    </row>
    <row r="729" spans="1:24" x14ac:dyDescent="0.3">
      <c r="A729" t="s">
        <v>1294</v>
      </c>
      <c r="B729" t="s">
        <v>1320</v>
      </c>
      <c r="C729" t="s">
        <v>23</v>
      </c>
      <c r="D729" t="s">
        <v>24</v>
      </c>
      <c r="E729" t="s">
        <v>25</v>
      </c>
      <c r="F729">
        <v>1</v>
      </c>
      <c r="G729">
        <v>9791194664369</v>
      </c>
      <c r="H729" t="s">
        <v>79</v>
      </c>
      <c r="I729" t="s">
        <v>156</v>
      </c>
      <c r="J729" t="s">
        <v>157</v>
      </c>
      <c r="K729" t="s">
        <v>29</v>
      </c>
      <c r="L729">
        <v>0</v>
      </c>
      <c r="M729" t="s">
        <v>47</v>
      </c>
      <c r="N729">
        <v>0</v>
      </c>
      <c r="O729">
        <v>0</v>
      </c>
      <c r="P729" t="s">
        <v>48</v>
      </c>
      <c r="Q729" s="2">
        <v>0.7</v>
      </c>
      <c r="R729">
        <v>0</v>
      </c>
      <c r="V729" t="str">
        <f>VLOOKUP(H729,'[1]팀별 출판사'!A:B,2,0)</f>
        <v>소설1팀</v>
      </c>
      <c r="W729" s="6">
        <f t="shared" si="22"/>
        <v>0</v>
      </c>
      <c r="X729" s="6">
        <f t="shared" si="23"/>
        <v>0</v>
      </c>
    </row>
    <row r="730" spans="1:24" x14ac:dyDescent="0.3">
      <c r="A730" t="s">
        <v>1294</v>
      </c>
      <c r="B730" t="s">
        <v>1321</v>
      </c>
      <c r="C730" t="s">
        <v>23</v>
      </c>
      <c r="D730" t="s">
        <v>24</v>
      </c>
      <c r="E730" t="s">
        <v>25</v>
      </c>
      <c r="F730">
        <v>1</v>
      </c>
      <c r="G730">
        <v>9791136931382</v>
      </c>
      <c r="H730" t="s">
        <v>32</v>
      </c>
      <c r="I730" t="s">
        <v>523</v>
      </c>
      <c r="J730" t="s">
        <v>46</v>
      </c>
      <c r="K730" t="s">
        <v>29</v>
      </c>
      <c r="L730">
        <v>0</v>
      </c>
      <c r="M730" t="s">
        <v>70</v>
      </c>
      <c r="N730">
        <v>0</v>
      </c>
      <c r="O730">
        <v>0</v>
      </c>
      <c r="P730" t="s">
        <v>71</v>
      </c>
      <c r="Q730" s="2">
        <v>0.7</v>
      </c>
      <c r="R730">
        <v>0</v>
      </c>
      <c r="V730" t="str">
        <f>VLOOKUP(H730,'[1]팀별 출판사'!A:B,2,0)</f>
        <v>소설1팀</v>
      </c>
      <c r="W730" s="6">
        <f t="shared" si="22"/>
        <v>0</v>
      </c>
      <c r="X730" s="6">
        <f t="shared" si="23"/>
        <v>0</v>
      </c>
    </row>
    <row r="731" spans="1:24" x14ac:dyDescent="0.3">
      <c r="A731" t="s">
        <v>1294</v>
      </c>
      <c r="B731" t="s">
        <v>1322</v>
      </c>
      <c r="C731" t="s">
        <v>23</v>
      </c>
      <c r="D731" t="s">
        <v>24</v>
      </c>
      <c r="E731" t="s">
        <v>25</v>
      </c>
      <c r="F731">
        <v>1</v>
      </c>
      <c r="G731">
        <v>9791136934925</v>
      </c>
      <c r="H731" t="s">
        <v>32</v>
      </c>
      <c r="I731" t="s">
        <v>385</v>
      </c>
      <c r="J731" t="s">
        <v>126</v>
      </c>
      <c r="K731" t="s">
        <v>29</v>
      </c>
      <c r="L731">
        <v>0</v>
      </c>
      <c r="M731" t="s">
        <v>70</v>
      </c>
      <c r="N731">
        <v>0</v>
      </c>
      <c r="O731">
        <v>0</v>
      </c>
      <c r="P731" t="s">
        <v>71</v>
      </c>
      <c r="Q731" s="2">
        <v>0.7</v>
      </c>
      <c r="R731">
        <v>0</v>
      </c>
      <c r="V731" t="str">
        <f>VLOOKUP(H731,'[1]팀별 출판사'!A:B,2,0)</f>
        <v>소설1팀</v>
      </c>
      <c r="W731" s="6">
        <f t="shared" si="22"/>
        <v>0</v>
      </c>
      <c r="X731" s="6">
        <f t="shared" si="23"/>
        <v>0</v>
      </c>
    </row>
    <row r="732" spans="1:24" x14ac:dyDescent="0.3">
      <c r="A732" t="s">
        <v>1294</v>
      </c>
      <c r="B732" t="s">
        <v>1323</v>
      </c>
      <c r="C732" t="s">
        <v>23</v>
      </c>
      <c r="D732" t="s">
        <v>24</v>
      </c>
      <c r="E732" t="s">
        <v>25</v>
      </c>
      <c r="F732">
        <v>1</v>
      </c>
      <c r="G732">
        <v>9791172921033</v>
      </c>
      <c r="H732" t="s">
        <v>79</v>
      </c>
      <c r="I732" t="s">
        <v>738</v>
      </c>
      <c r="J732" t="s">
        <v>46</v>
      </c>
      <c r="K732" t="s">
        <v>29</v>
      </c>
      <c r="L732">
        <v>0</v>
      </c>
      <c r="M732" t="s">
        <v>70</v>
      </c>
      <c r="N732">
        <v>0</v>
      </c>
      <c r="O732">
        <v>0</v>
      </c>
      <c r="P732" t="s">
        <v>71</v>
      </c>
      <c r="Q732" s="2">
        <v>0.7</v>
      </c>
      <c r="R732">
        <v>0</v>
      </c>
      <c r="V732" t="str">
        <f>VLOOKUP(H732,'[1]팀별 출판사'!A:B,2,0)</f>
        <v>소설1팀</v>
      </c>
      <c r="W732" s="6">
        <f t="shared" si="22"/>
        <v>0</v>
      </c>
      <c r="X732" s="6">
        <f t="shared" si="23"/>
        <v>0</v>
      </c>
    </row>
    <row r="733" spans="1:24" x14ac:dyDescent="0.3">
      <c r="A733" t="s">
        <v>1294</v>
      </c>
      <c r="B733" t="s">
        <v>1324</v>
      </c>
      <c r="C733" t="s">
        <v>23</v>
      </c>
      <c r="D733" t="s">
        <v>24</v>
      </c>
      <c r="E733" t="s">
        <v>25</v>
      </c>
      <c r="F733">
        <v>1</v>
      </c>
      <c r="G733">
        <v>9791170104643</v>
      </c>
      <c r="H733" t="s">
        <v>67</v>
      </c>
      <c r="I733" t="s">
        <v>407</v>
      </c>
      <c r="J733" t="s">
        <v>408</v>
      </c>
      <c r="K733" t="s">
        <v>29</v>
      </c>
      <c r="L733">
        <v>0</v>
      </c>
      <c r="M733" t="s">
        <v>29</v>
      </c>
      <c r="N733">
        <v>0</v>
      </c>
      <c r="O733">
        <v>0</v>
      </c>
      <c r="P733" t="s">
        <v>30</v>
      </c>
      <c r="Q733" s="2">
        <v>0.7</v>
      </c>
      <c r="R733">
        <v>0</v>
      </c>
      <c r="V733" t="str">
        <f>VLOOKUP(H733,'[1]팀별 출판사'!A:B,2,0)</f>
        <v>소설1팀</v>
      </c>
      <c r="W733" s="6">
        <f t="shared" si="22"/>
        <v>0</v>
      </c>
      <c r="X733" s="6">
        <f t="shared" si="23"/>
        <v>0</v>
      </c>
    </row>
    <row r="734" spans="1:24" x14ac:dyDescent="0.3">
      <c r="A734" t="s">
        <v>1294</v>
      </c>
      <c r="B734" t="s">
        <v>1325</v>
      </c>
      <c r="C734" t="s">
        <v>23</v>
      </c>
      <c r="D734" t="s">
        <v>24</v>
      </c>
      <c r="E734" t="s">
        <v>25</v>
      </c>
      <c r="F734">
        <v>1</v>
      </c>
      <c r="G734">
        <v>9791172926991</v>
      </c>
      <c r="H734" t="s">
        <v>26</v>
      </c>
      <c r="I734" t="s">
        <v>330</v>
      </c>
      <c r="J734" t="s">
        <v>28</v>
      </c>
      <c r="K734" t="s">
        <v>29</v>
      </c>
      <c r="L734">
        <v>0</v>
      </c>
      <c r="M734" t="s">
        <v>29</v>
      </c>
      <c r="N734">
        <v>0</v>
      </c>
      <c r="O734">
        <v>0</v>
      </c>
      <c r="P734" t="s">
        <v>30</v>
      </c>
      <c r="Q734" s="2">
        <v>0.7</v>
      </c>
      <c r="R734">
        <v>0</v>
      </c>
      <c r="V734" t="str">
        <f>VLOOKUP(H734,'[1]팀별 출판사'!A:B,2,0)</f>
        <v>소설1팀</v>
      </c>
      <c r="W734" s="6">
        <f t="shared" si="22"/>
        <v>0</v>
      </c>
      <c r="X734" s="6">
        <f t="shared" si="23"/>
        <v>0</v>
      </c>
    </row>
    <row r="735" spans="1:24" x14ac:dyDescent="0.3">
      <c r="A735" t="s">
        <v>1294</v>
      </c>
      <c r="B735" t="s">
        <v>1326</v>
      </c>
      <c r="C735" t="s">
        <v>23</v>
      </c>
      <c r="D735" t="s">
        <v>24</v>
      </c>
      <c r="E735" t="s">
        <v>25</v>
      </c>
      <c r="F735">
        <v>1</v>
      </c>
      <c r="G735">
        <v>9791136930361</v>
      </c>
      <c r="H735" t="s">
        <v>32</v>
      </c>
      <c r="I735" t="s">
        <v>33</v>
      </c>
      <c r="J735" t="s">
        <v>34</v>
      </c>
      <c r="K735" t="s">
        <v>29</v>
      </c>
      <c r="L735">
        <v>0</v>
      </c>
      <c r="M735" t="s">
        <v>948</v>
      </c>
      <c r="N735">
        <v>0</v>
      </c>
      <c r="O735">
        <v>0</v>
      </c>
      <c r="P735" t="s">
        <v>949</v>
      </c>
      <c r="Q735" s="2">
        <v>0.7</v>
      </c>
      <c r="R735">
        <v>0</v>
      </c>
      <c r="V735" t="str">
        <f>VLOOKUP(H735,'[1]팀별 출판사'!A:B,2,0)</f>
        <v>소설1팀</v>
      </c>
      <c r="W735" s="6">
        <f t="shared" si="22"/>
        <v>0</v>
      </c>
      <c r="X735" s="6">
        <f t="shared" si="23"/>
        <v>0</v>
      </c>
    </row>
    <row r="736" spans="1:24" x14ac:dyDescent="0.3">
      <c r="A736" t="s">
        <v>1294</v>
      </c>
      <c r="B736" t="s">
        <v>1327</v>
      </c>
      <c r="C736" t="s">
        <v>23</v>
      </c>
      <c r="D736" t="s">
        <v>24</v>
      </c>
      <c r="E736" t="s">
        <v>25</v>
      </c>
      <c r="F736">
        <v>1</v>
      </c>
      <c r="G736">
        <v>9791136903778</v>
      </c>
      <c r="H736" t="s">
        <v>26</v>
      </c>
      <c r="I736" t="s">
        <v>1328</v>
      </c>
      <c r="J736" t="s">
        <v>256</v>
      </c>
      <c r="K736" t="s">
        <v>29</v>
      </c>
      <c r="L736" s="1">
        <v>3200</v>
      </c>
      <c r="M736" t="s">
        <v>70</v>
      </c>
      <c r="N736">
        <v>2.2200000000000002</v>
      </c>
      <c r="O736">
        <v>2.2200000000000002</v>
      </c>
      <c r="P736" t="s">
        <v>71</v>
      </c>
      <c r="Q736" s="2">
        <v>0.7</v>
      </c>
      <c r="R736">
        <v>1.55</v>
      </c>
      <c r="S736" t="s">
        <v>29</v>
      </c>
      <c r="T736" s="1">
        <v>2275</v>
      </c>
      <c r="U736" s="3">
        <v>1464.7204200000001</v>
      </c>
      <c r="V736" t="str">
        <f>VLOOKUP(H736,'[1]팀별 출판사'!A:B,2,0)</f>
        <v>소설1팀</v>
      </c>
      <c r="W736" s="6">
        <f t="shared" si="22"/>
        <v>682.5</v>
      </c>
      <c r="X736" s="6">
        <f t="shared" si="23"/>
        <v>1592.5</v>
      </c>
    </row>
    <row r="737" spans="1:24" x14ac:dyDescent="0.3">
      <c r="A737" t="s">
        <v>1294</v>
      </c>
      <c r="B737" t="s">
        <v>1327</v>
      </c>
      <c r="C737" t="s">
        <v>23</v>
      </c>
      <c r="D737" t="s">
        <v>24</v>
      </c>
      <c r="E737" t="s">
        <v>25</v>
      </c>
      <c r="F737">
        <v>1</v>
      </c>
      <c r="G737">
        <v>9791136903785</v>
      </c>
      <c r="H737" t="s">
        <v>26</v>
      </c>
      <c r="I737" t="s">
        <v>1329</v>
      </c>
      <c r="J737" t="s">
        <v>256</v>
      </c>
      <c r="K737" t="s">
        <v>29</v>
      </c>
      <c r="L737" s="1">
        <v>3200</v>
      </c>
      <c r="M737" t="s">
        <v>70</v>
      </c>
      <c r="N737">
        <v>2.2200000000000002</v>
      </c>
      <c r="O737">
        <v>2.2200000000000002</v>
      </c>
      <c r="P737" t="s">
        <v>71</v>
      </c>
      <c r="Q737" s="2">
        <v>0.7</v>
      </c>
      <c r="R737">
        <v>1.55</v>
      </c>
      <c r="S737" t="s">
        <v>29</v>
      </c>
      <c r="T737" s="1">
        <v>2275</v>
      </c>
      <c r="U737" s="3">
        <v>1464.7204200000001</v>
      </c>
      <c r="V737" t="str">
        <f>VLOOKUP(H737,'[1]팀별 출판사'!A:B,2,0)</f>
        <v>소설1팀</v>
      </c>
      <c r="W737" s="6">
        <f t="shared" si="22"/>
        <v>682.5</v>
      </c>
      <c r="X737" s="6">
        <f t="shared" si="23"/>
        <v>1592.5</v>
      </c>
    </row>
    <row r="738" spans="1:24" x14ac:dyDescent="0.3">
      <c r="A738" t="s">
        <v>1294</v>
      </c>
      <c r="B738" t="s">
        <v>1327</v>
      </c>
      <c r="C738" t="s">
        <v>23</v>
      </c>
      <c r="D738" t="s">
        <v>24</v>
      </c>
      <c r="E738" t="s">
        <v>25</v>
      </c>
      <c r="F738">
        <v>1</v>
      </c>
      <c r="G738">
        <v>9791136903792</v>
      </c>
      <c r="H738" t="s">
        <v>26</v>
      </c>
      <c r="I738" t="s">
        <v>1330</v>
      </c>
      <c r="J738" t="s">
        <v>256</v>
      </c>
      <c r="K738" t="s">
        <v>29</v>
      </c>
      <c r="L738" s="1">
        <v>3200</v>
      </c>
      <c r="M738" t="s">
        <v>70</v>
      </c>
      <c r="N738">
        <v>2.2200000000000002</v>
      </c>
      <c r="O738">
        <v>2.2200000000000002</v>
      </c>
      <c r="P738" t="s">
        <v>71</v>
      </c>
      <c r="Q738" s="2">
        <v>0.7</v>
      </c>
      <c r="R738">
        <v>1.55</v>
      </c>
      <c r="S738" t="s">
        <v>29</v>
      </c>
      <c r="T738" s="1">
        <v>2275</v>
      </c>
      <c r="U738" s="3">
        <v>1464.7204200000001</v>
      </c>
      <c r="V738" t="str">
        <f>VLOOKUP(H738,'[1]팀별 출판사'!A:B,2,0)</f>
        <v>소설1팀</v>
      </c>
      <c r="W738" s="6">
        <f t="shared" si="22"/>
        <v>682.5</v>
      </c>
      <c r="X738" s="6">
        <f t="shared" si="23"/>
        <v>1592.5</v>
      </c>
    </row>
    <row r="739" spans="1:24" x14ac:dyDescent="0.3">
      <c r="A739" t="s">
        <v>1294</v>
      </c>
      <c r="B739" t="s">
        <v>1327</v>
      </c>
      <c r="C739" t="s">
        <v>23</v>
      </c>
      <c r="D739" t="s">
        <v>24</v>
      </c>
      <c r="E739" t="s">
        <v>25</v>
      </c>
      <c r="F739">
        <v>1</v>
      </c>
      <c r="G739">
        <v>9791136903808</v>
      </c>
      <c r="H739" t="s">
        <v>26</v>
      </c>
      <c r="I739" t="s">
        <v>1331</v>
      </c>
      <c r="J739" t="s">
        <v>256</v>
      </c>
      <c r="K739" t="s">
        <v>29</v>
      </c>
      <c r="L739" s="1">
        <v>3200</v>
      </c>
      <c r="M739" t="s">
        <v>70</v>
      </c>
      <c r="N739">
        <v>2.2200000000000002</v>
      </c>
      <c r="O739">
        <v>2.2200000000000002</v>
      </c>
      <c r="P739" t="s">
        <v>71</v>
      </c>
      <c r="Q739" s="2">
        <v>0.7</v>
      </c>
      <c r="R739">
        <v>1.55</v>
      </c>
      <c r="S739" t="s">
        <v>29</v>
      </c>
      <c r="T739" s="1">
        <v>2275</v>
      </c>
      <c r="U739" s="3">
        <v>1464.7204200000001</v>
      </c>
      <c r="V739" t="str">
        <f>VLOOKUP(H739,'[1]팀별 출판사'!A:B,2,0)</f>
        <v>소설1팀</v>
      </c>
      <c r="W739" s="6">
        <f t="shared" si="22"/>
        <v>682.5</v>
      </c>
      <c r="X739" s="6">
        <f t="shared" si="23"/>
        <v>1592.5</v>
      </c>
    </row>
    <row r="740" spans="1:24" x14ac:dyDescent="0.3">
      <c r="A740" t="s">
        <v>1294</v>
      </c>
      <c r="B740" t="s">
        <v>1327</v>
      </c>
      <c r="C740" t="s">
        <v>23</v>
      </c>
      <c r="D740" t="s">
        <v>24</v>
      </c>
      <c r="E740" t="s">
        <v>25</v>
      </c>
      <c r="F740">
        <v>1</v>
      </c>
      <c r="G740">
        <v>9791136903815</v>
      </c>
      <c r="H740" t="s">
        <v>26</v>
      </c>
      <c r="I740" t="s">
        <v>1332</v>
      </c>
      <c r="J740" t="s">
        <v>256</v>
      </c>
      <c r="K740" t="s">
        <v>29</v>
      </c>
      <c r="L740" s="1">
        <v>3200</v>
      </c>
      <c r="M740" t="s">
        <v>70</v>
      </c>
      <c r="N740">
        <v>2.2200000000000002</v>
      </c>
      <c r="O740">
        <v>2.2200000000000002</v>
      </c>
      <c r="P740" t="s">
        <v>71</v>
      </c>
      <c r="Q740" s="2">
        <v>0.7</v>
      </c>
      <c r="R740">
        <v>1.55</v>
      </c>
      <c r="S740" t="s">
        <v>29</v>
      </c>
      <c r="T740" s="1">
        <v>2275</v>
      </c>
      <c r="U740" s="3">
        <v>1464.7204200000001</v>
      </c>
      <c r="V740" t="str">
        <f>VLOOKUP(H740,'[1]팀별 출판사'!A:B,2,0)</f>
        <v>소설1팀</v>
      </c>
      <c r="W740" s="6">
        <f t="shared" si="22"/>
        <v>682.5</v>
      </c>
      <c r="X740" s="6">
        <f t="shared" si="23"/>
        <v>1592.5</v>
      </c>
    </row>
    <row r="741" spans="1:24" x14ac:dyDescent="0.3">
      <c r="A741" t="s">
        <v>1294</v>
      </c>
      <c r="B741" t="s">
        <v>1327</v>
      </c>
      <c r="C741" t="s">
        <v>23</v>
      </c>
      <c r="D741" t="s">
        <v>24</v>
      </c>
      <c r="E741" t="s">
        <v>25</v>
      </c>
      <c r="F741">
        <v>1</v>
      </c>
      <c r="G741">
        <v>9791136903822</v>
      </c>
      <c r="H741" t="s">
        <v>26</v>
      </c>
      <c r="I741" t="s">
        <v>916</v>
      </c>
      <c r="J741" t="s">
        <v>256</v>
      </c>
      <c r="K741" t="s">
        <v>29</v>
      </c>
      <c r="L741" s="1">
        <v>3200</v>
      </c>
      <c r="M741" t="s">
        <v>70</v>
      </c>
      <c r="N741">
        <v>2.2200000000000002</v>
      </c>
      <c r="O741">
        <v>2.2200000000000002</v>
      </c>
      <c r="P741" t="s">
        <v>71</v>
      </c>
      <c r="Q741" s="2">
        <v>0.7</v>
      </c>
      <c r="R741">
        <v>1.55</v>
      </c>
      <c r="S741" t="s">
        <v>29</v>
      </c>
      <c r="T741" s="1">
        <v>2275</v>
      </c>
      <c r="U741" s="3">
        <v>1464.7204200000001</v>
      </c>
      <c r="V741" t="str">
        <f>VLOOKUP(H741,'[1]팀별 출판사'!A:B,2,0)</f>
        <v>소설1팀</v>
      </c>
      <c r="W741" s="6">
        <f t="shared" si="22"/>
        <v>682.5</v>
      </c>
      <c r="X741" s="6">
        <f t="shared" si="23"/>
        <v>1592.5</v>
      </c>
    </row>
    <row r="742" spans="1:24" x14ac:dyDescent="0.3">
      <c r="A742" t="s">
        <v>1294</v>
      </c>
      <c r="B742" t="s">
        <v>1327</v>
      </c>
      <c r="C742" t="s">
        <v>23</v>
      </c>
      <c r="D742" t="s">
        <v>24</v>
      </c>
      <c r="E742" t="s">
        <v>25</v>
      </c>
      <c r="F742">
        <v>1</v>
      </c>
      <c r="G742">
        <v>9791136903839</v>
      </c>
      <c r="H742" t="s">
        <v>26</v>
      </c>
      <c r="I742" t="s">
        <v>1333</v>
      </c>
      <c r="J742" t="s">
        <v>256</v>
      </c>
      <c r="K742" t="s">
        <v>29</v>
      </c>
      <c r="L742" s="1">
        <v>3200</v>
      </c>
      <c r="M742" t="s">
        <v>70</v>
      </c>
      <c r="N742">
        <v>2.2200000000000002</v>
      </c>
      <c r="O742">
        <v>2.2200000000000002</v>
      </c>
      <c r="P742" t="s">
        <v>71</v>
      </c>
      <c r="Q742" s="2">
        <v>0.7</v>
      </c>
      <c r="R742">
        <v>1.55</v>
      </c>
      <c r="S742" t="s">
        <v>29</v>
      </c>
      <c r="T742" s="1">
        <v>2275</v>
      </c>
      <c r="U742" s="3">
        <v>1464.7204200000001</v>
      </c>
      <c r="V742" t="str">
        <f>VLOOKUP(H742,'[1]팀별 출판사'!A:B,2,0)</f>
        <v>소설1팀</v>
      </c>
      <c r="W742" s="6">
        <f t="shared" si="22"/>
        <v>682.5</v>
      </c>
      <c r="X742" s="6">
        <f t="shared" si="23"/>
        <v>1592.5</v>
      </c>
    </row>
    <row r="743" spans="1:24" x14ac:dyDescent="0.3">
      <c r="A743" t="s">
        <v>1294</v>
      </c>
      <c r="B743" t="s">
        <v>1327</v>
      </c>
      <c r="C743" t="s">
        <v>23</v>
      </c>
      <c r="D743" t="s">
        <v>24</v>
      </c>
      <c r="E743" t="s">
        <v>25</v>
      </c>
      <c r="F743">
        <v>1</v>
      </c>
      <c r="G743">
        <v>9791136903846</v>
      </c>
      <c r="H743" t="s">
        <v>26</v>
      </c>
      <c r="I743" t="s">
        <v>1334</v>
      </c>
      <c r="J743" t="s">
        <v>256</v>
      </c>
      <c r="K743" t="s">
        <v>29</v>
      </c>
      <c r="L743" s="1">
        <v>3200</v>
      </c>
      <c r="M743" t="s">
        <v>70</v>
      </c>
      <c r="N743">
        <v>2.2200000000000002</v>
      </c>
      <c r="O743">
        <v>2.2200000000000002</v>
      </c>
      <c r="P743" t="s">
        <v>71</v>
      </c>
      <c r="Q743" s="2">
        <v>0.7</v>
      </c>
      <c r="R743">
        <v>1.55</v>
      </c>
      <c r="S743" t="s">
        <v>29</v>
      </c>
      <c r="T743" s="1">
        <v>2275</v>
      </c>
      <c r="U743" s="3">
        <v>1464.7204200000001</v>
      </c>
      <c r="V743" t="str">
        <f>VLOOKUP(H743,'[1]팀별 출판사'!A:B,2,0)</f>
        <v>소설1팀</v>
      </c>
      <c r="W743" s="6">
        <f t="shared" si="22"/>
        <v>682.5</v>
      </c>
      <c r="X743" s="6">
        <f t="shared" si="23"/>
        <v>1592.5</v>
      </c>
    </row>
    <row r="744" spans="1:24" x14ac:dyDescent="0.3">
      <c r="A744" t="s">
        <v>1294</v>
      </c>
      <c r="B744" t="s">
        <v>1335</v>
      </c>
      <c r="C744" t="s">
        <v>23</v>
      </c>
      <c r="D744" t="s">
        <v>24</v>
      </c>
      <c r="E744" t="s">
        <v>25</v>
      </c>
      <c r="F744">
        <v>1</v>
      </c>
      <c r="G744">
        <v>9791172924362</v>
      </c>
      <c r="H744" t="s">
        <v>1311</v>
      </c>
      <c r="I744" t="s">
        <v>1336</v>
      </c>
      <c r="J744" t="s">
        <v>1313</v>
      </c>
      <c r="K744" t="s">
        <v>29</v>
      </c>
      <c r="L744" s="1">
        <v>3000</v>
      </c>
      <c r="M744" t="s">
        <v>29</v>
      </c>
      <c r="N744" s="1">
        <v>3000</v>
      </c>
      <c r="O744" s="1">
        <v>3000</v>
      </c>
      <c r="P744" t="s">
        <v>30</v>
      </c>
      <c r="Q744" s="2">
        <v>0.7</v>
      </c>
      <c r="R744" s="1">
        <v>2100</v>
      </c>
      <c r="S744" t="s">
        <v>29</v>
      </c>
      <c r="T744" s="1">
        <v>2100</v>
      </c>
      <c r="V744" t="str">
        <f>VLOOKUP(H744,'[1]팀별 출판사'!A:B,2,0)</f>
        <v>소설2팀</v>
      </c>
      <c r="W744" s="6">
        <f t="shared" si="22"/>
        <v>0</v>
      </c>
      <c r="X744" s="6">
        <f t="shared" si="23"/>
        <v>2100</v>
      </c>
    </row>
    <row r="745" spans="1:24" x14ac:dyDescent="0.3">
      <c r="A745" t="s">
        <v>1294</v>
      </c>
      <c r="B745" t="s">
        <v>1337</v>
      </c>
      <c r="C745" t="s">
        <v>23</v>
      </c>
      <c r="D745" t="s">
        <v>24</v>
      </c>
      <c r="E745" t="s">
        <v>25</v>
      </c>
      <c r="F745">
        <v>1</v>
      </c>
      <c r="G745">
        <v>9791172920029</v>
      </c>
      <c r="H745" t="s">
        <v>26</v>
      </c>
      <c r="I745" t="s">
        <v>369</v>
      </c>
      <c r="J745" t="s">
        <v>276</v>
      </c>
      <c r="K745" t="s">
        <v>29</v>
      </c>
      <c r="L745">
        <v>0</v>
      </c>
      <c r="M745" t="s">
        <v>29</v>
      </c>
      <c r="N745">
        <v>0</v>
      </c>
      <c r="O745">
        <v>0</v>
      </c>
      <c r="P745" t="s">
        <v>30</v>
      </c>
      <c r="Q745" s="2">
        <v>0.7</v>
      </c>
      <c r="R745">
        <v>0</v>
      </c>
      <c r="V745" t="str">
        <f>VLOOKUP(H745,'[1]팀별 출판사'!A:B,2,0)</f>
        <v>소설1팀</v>
      </c>
      <c r="W745" s="6">
        <f t="shared" si="22"/>
        <v>0</v>
      </c>
      <c r="X745" s="6">
        <f t="shared" si="23"/>
        <v>0</v>
      </c>
    </row>
    <row r="746" spans="1:24" x14ac:dyDescent="0.3">
      <c r="A746" t="s">
        <v>1294</v>
      </c>
      <c r="B746" t="s">
        <v>1338</v>
      </c>
      <c r="C746" t="s">
        <v>23</v>
      </c>
      <c r="D746" t="s">
        <v>24</v>
      </c>
      <c r="E746" t="s">
        <v>25</v>
      </c>
      <c r="F746">
        <v>1</v>
      </c>
      <c r="G746">
        <v>9791136946782</v>
      </c>
      <c r="H746" t="s">
        <v>26</v>
      </c>
      <c r="I746" t="s">
        <v>291</v>
      </c>
      <c r="J746" t="s">
        <v>28</v>
      </c>
      <c r="K746" t="s">
        <v>29</v>
      </c>
      <c r="L746">
        <v>0</v>
      </c>
      <c r="M746" t="s">
        <v>29</v>
      </c>
      <c r="N746">
        <v>0</v>
      </c>
      <c r="O746">
        <v>0</v>
      </c>
      <c r="P746" t="s">
        <v>30</v>
      </c>
      <c r="Q746" s="2">
        <v>0.7</v>
      </c>
      <c r="R746">
        <v>0</v>
      </c>
      <c r="V746" t="str">
        <f>VLOOKUP(H746,'[1]팀별 출판사'!A:B,2,0)</f>
        <v>소설1팀</v>
      </c>
      <c r="W746" s="6">
        <f t="shared" si="22"/>
        <v>0</v>
      </c>
      <c r="X746" s="6">
        <f t="shared" si="23"/>
        <v>0</v>
      </c>
    </row>
    <row r="747" spans="1:24" x14ac:dyDescent="0.3">
      <c r="A747" t="s">
        <v>1294</v>
      </c>
      <c r="B747" t="s">
        <v>1339</v>
      </c>
      <c r="C747" t="s">
        <v>23</v>
      </c>
      <c r="D747" t="s">
        <v>24</v>
      </c>
      <c r="E747" t="s">
        <v>25</v>
      </c>
      <c r="F747">
        <v>1</v>
      </c>
      <c r="G747">
        <v>9791170100041</v>
      </c>
      <c r="H747" t="s">
        <v>67</v>
      </c>
      <c r="I747" t="s">
        <v>346</v>
      </c>
      <c r="J747" t="s">
        <v>347</v>
      </c>
      <c r="K747" t="s">
        <v>29</v>
      </c>
      <c r="L747">
        <v>0</v>
      </c>
      <c r="M747" t="s">
        <v>29</v>
      </c>
      <c r="N747">
        <v>0</v>
      </c>
      <c r="O747">
        <v>0</v>
      </c>
      <c r="P747" t="s">
        <v>30</v>
      </c>
      <c r="Q747" s="2">
        <v>0.7</v>
      </c>
      <c r="R747">
        <v>0</v>
      </c>
      <c r="V747" t="str">
        <f>VLOOKUP(H747,'[1]팀별 출판사'!A:B,2,0)</f>
        <v>소설1팀</v>
      </c>
      <c r="W747" s="6">
        <f t="shared" si="22"/>
        <v>0</v>
      </c>
      <c r="X747" s="6">
        <f t="shared" si="23"/>
        <v>0</v>
      </c>
    </row>
    <row r="748" spans="1:24" x14ac:dyDescent="0.3">
      <c r="A748" t="s">
        <v>1294</v>
      </c>
      <c r="B748" t="s">
        <v>1340</v>
      </c>
      <c r="C748" t="s">
        <v>23</v>
      </c>
      <c r="D748" t="s">
        <v>24</v>
      </c>
      <c r="E748" t="s">
        <v>25</v>
      </c>
      <c r="F748">
        <v>1</v>
      </c>
      <c r="G748">
        <v>9791136965455</v>
      </c>
      <c r="H748" t="s">
        <v>26</v>
      </c>
      <c r="I748" t="s">
        <v>472</v>
      </c>
      <c r="J748" t="s">
        <v>157</v>
      </c>
      <c r="K748" t="s">
        <v>29</v>
      </c>
      <c r="L748">
        <v>0</v>
      </c>
      <c r="M748" t="s">
        <v>47</v>
      </c>
      <c r="N748">
        <v>0</v>
      </c>
      <c r="O748">
        <v>0</v>
      </c>
      <c r="P748" t="s">
        <v>48</v>
      </c>
      <c r="Q748" s="2">
        <v>0.7</v>
      </c>
      <c r="R748">
        <v>0</v>
      </c>
      <c r="V748" t="str">
        <f>VLOOKUP(H748,'[1]팀별 출판사'!A:B,2,0)</f>
        <v>소설1팀</v>
      </c>
      <c r="W748" s="6">
        <f t="shared" si="22"/>
        <v>0</v>
      </c>
      <c r="X748" s="6">
        <f t="shared" si="23"/>
        <v>0</v>
      </c>
    </row>
    <row r="749" spans="1:24" x14ac:dyDescent="0.3">
      <c r="A749" t="s">
        <v>1294</v>
      </c>
      <c r="B749" t="s">
        <v>1341</v>
      </c>
      <c r="C749" t="s">
        <v>23</v>
      </c>
      <c r="D749" t="s">
        <v>24</v>
      </c>
      <c r="E749" t="s">
        <v>25</v>
      </c>
      <c r="F749">
        <v>1</v>
      </c>
      <c r="G749">
        <v>9791170100638</v>
      </c>
      <c r="H749" t="s">
        <v>67</v>
      </c>
      <c r="I749" t="s">
        <v>1342</v>
      </c>
      <c r="J749" t="s">
        <v>1343</v>
      </c>
      <c r="K749" t="s">
        <v>29</v>
      </c>
      <c r="L749">
        <v>0</v>
      </c>
      <c r="M749" t="s">
        <v>29</v>
      </c>
      <c r="N749">
        <v>0</v>
      </c>
      <c r="O749">
        <v>0</v>
      </c>
      <c r="P749" t="s">
        <v>30</v>
      </c>
      <c r="Q749" s="2">
        <v>0.7</v>
      </c>
      <c r="R749">
        <v>0</v>
      </c>
      <c r="V749" t="str">
        <f>VLOOKUP(H749,'[1]팀별 출판사'!A:B,2,0)</f>
        <v>소설1팀</v>
      </c>
      <c r="W749" s="6">
        <f t="shared" si="22"/>
        <v>0</v>
      </c>
      <c r="X749" s="6">
        <f t="shared" si="23"/>
        <v>0</v>
      </c>
    </row>
    <row r="750" spans="1:24" x14ac:dyDescent="0.3">
      <c r="A750" t="s">
        <v>1294</v>
      </c>
      <c r="B750" t="s">
        <v>1344</v>
      </c>
      <c r="C750" t="s">
        <v>23</v>
      </c>
      <c r="D750" t="s">
        <v>24</v>
      </c>
      <c r="E750" t="s">
        <v>25</v>
      </c>
      <c r="F750">
        <v>1</v>
      </c>
      <c r="G750">
        <v>9791136932648</v>
      </c>
      <c r="H750" t="s">
        <v>32</v>
      </c>
      <c r="I750" t="s">
        <v>832</v>
      </c>
      <c r="J750" t="s">
        <v>34</v>
      </c>
      <c r="K750" t="s">
        <v>29</v>
      </c>
      <c r="L750">
        <v>0</v>
      </c>
      <c r="M750" t="s">
        <v>152</v>
      </c>
      <c r="N750">
        <v>0</v>
      </c>
      <c r="O750">
        <v>0</v>
      </c>
      <c r="P750" t="s">
        <v>153</v>
      </c>
      <c r="Q750" s="2">
        <v>0.7</v>
      </c>
      <c r="R750">
        <v>0</v>
      </c>
      <c r="V750" t="str">
        <f>VLOOKUP(H750,'[1]팀별 출판사'!A:B,2,0)</f>
        <v>소설1팀</v>
      </c>
      <c r="W750" s="6">
        <f t="shared" si="22"/>
        <v>0</v>
      </c>
      <c r="X750" s="6">
        <f t="shared" si="23"/>
        <v>0</v>
      </c>
    </row>
    <row r="751" spans="1:24" x14ac:dyDescent="0.3">
      <c r="A751" t="s">
        <v>1294</v>
      </c>
      <c r="B751" t="s">
        <v>1345</v>
      </c>
      <c r="C751" t="s">
        <v>23</v>
      </c>
      <c r="D751" t="s">
        <v>24</v>
      </c>
      <c r="E751" t="s">
        <v>25</v>
      </c>
      <c r="F751">
        <v>1</v>
      </c>
      <c r="G751">
        <v>9791136930811</v>
      </c>
      <c r="H751" t="s">
        <v>32</v>
      </c>
      <c r="I751" t="s">
        <v>1011</v>
      </c>
      <c r="J751" t="s">
        <v>34</v>
      </c>
      <c r="K751" t="s">
        <v>29</v>
      </c>
      <c r="L751">
        <v>0</v>
      </c>
      <c r="M751" t="s">
        <v>152</v>
      </c>
      <c r="N751">
        <v>0</v>
      </c>
      <c r="O751">
        <v>0</v>
      </c>
      <c r="P751" t="s">
        <v>153</v>
      </c>
      <c r="Q751" s="2">
        <v>0.7</v>
      </c>
      <c r="R751">
        <v>0</v>
      </c>
      <c r="V751" t="str">
        <f>VLOOKUP(H751,'[1]팀별 출판사'!A:B,2,0)</f>
        <v>소설1팀</v>
      </c>
      <c r="W751" s="6">
        <f t="shared" si="22"/>
        <v>0</v>
      </c>
      <c r="X751" s="6">
        <f t="shared" si="23"/>
        <v>0</v>
      </c>
    </row>
    <row r="752" spans="1:24" x14ac:dyDescent="0.3">
      <c r="A752" t="s">
        <v>1294</v>
      </c>
      <c r="B752" t="s">
        <v>1346</v>
      </c>
      <c r="C752" t="s">
        <v>23</v>
      </c>
      <c r="D752" t="s">
        <v>24</v>
      </c>
      <c r="E752" t="s">
        <v>25</v>
      </c>
      <c r="F752">
        <v>1</v>
      </c>
      <c r="G752">
        <v>9791136928450</v>
      </c>
      <c r="H752" t="s">
        <v>26</v>
      </c>
      <c r="I752" t="s">
        <v>1347</v>
      </c>
      <c r="J752" t="s">
        <v>1348</v>
      </c>
      <c r="K752" t="s">
        <v>29</v>
      </c>
      <c r="L752" s="1">
        <v>3200</v>
      </c>
      <c r="M752" t="s">
        <v>29</v>
      </c>
      <c r="N752" s="1">
        <v>3200</v>
      </c>
      <c r="O752" s="1">
        <v>3200</v>
      </c>
      <c r="P752" t="s">
        <v>30</v>
      </c>
      <c r="Q752" s="2">
        <v>0.7</v>
      </c>
      <c r="R752" s="1">
        <v>2240</v>
      </c>
      <c r="S752" t="s">
        <v>29</v>
      </c>
      <c r="T752" s="1">
        <v>2240</v>
      </c>
      <c r="V752" t="str">
        <f>VLOOKUP(H752,'[1]팀별 출판사'!A:B,2,0)</f>
        <v>소설1팀</v>
      </c>
      <c r="W752" s="6">
        <f t="shared" si="22"/>
        <v>0</v>
      </c>
      <c r="X752" s="6">
        <f t="shared" si="23"/>
        <v>2240</v>
      </c>
    </row>
    <row r="753" spans="1:24" x14ac:dyDescent="0.3">
      <c r="A753" t="s">
        <v>1294</v>
      </c>
      <c r="B753" t="s">
        <v>1349</v>
      </c>
      <c r="C753" t="s">
        <v>23</v>
      </c>
      <c r="D753" t="s">
        <v>24</v>
      </c>
      <c r="E753" t="s">
        <v>25</v>
      </c>
      <c r="F753">
        <v>1</v>
      </c>
      <c r="G753">
        <v>9791133186501</v>
      </c>
      <c r="H753" t="s">
        <v>26</v>
      </c>
      <c r="I753" t="s">
        <v>64</v>
      </c>
      <c r="J753" t="s">
        <v>65</v>
      </c>
      <c r="K753" t="s">
        <v>29</v>
      </c>
      <c r="L753">
        <v>0</v>
      </c>
      <c r="M753" t="s">
        <v>29</v>
      </c>
      <c r="N753">
        <v>0</v>
      </c>
      <c r="O753">
        <v>0</v>
      </c>
      <c r="P753" t="s">
        <v>30</v>
      </c>
      <c r="Q753" s="2">
        <v>0.7</v>
      </c>
      <c r="R753">
        <v>0</v>
      </c>
      <c r="V753" t="str">
        <f>VLOOKUP(H753,'[1]팀별 출판사'!A:B,2,0)</f>
        <v>소설1팀</v>
      </c>
      <c r="W753" s="6">
        <f t="shared" si="22"/>
        <v>0</v>
      </c>
      <c r="X753" s="6">
        <f t="shared" si="23"/>
        <v>0</v>
      </c>
    </row>
    <row r="754" spans="1:24" x14ac:dyDescent="0.3">
      <c r="A754" t="s">
        <v>1294</v>
      </c>
      <c r="B754" t="s">
        <v>1350</v>
      </c>
      <c r="C754" t="s">
        <v>23</v>
      </c>
      <c r="D754" t="s">
        <v>24</v>
      </c>
      <c r="E754" t="s">
        <v>25</v>
      </c>
      <c r="F754">
        <v>1</v>
      </c>
      <c r="G754">
        <v>9791136946775</v>
      </c>
      <c r="H754" t="s">
        <v>26</v>
      </c>
      <c r="I754" t="s">
        <v>238</v>
      </c>
      <c r="J754" t="s">
        <v>28</v>
      </c>
      <c r="K754" t="s">
        <v>29</v>
      </c>
      <c r="L754">
        <v>0</v>
      </c>
      <c r="M754" t="s">
        <v>29</v>
      </c>
      <c r="N754">
        <v>0</v>
      </c>
      <c r="O754">
        <v>0</v>
      </c>
      <c r="P754" t="s">
        <v>30</v>
      </c>
      <c r="Q754" s="2">
        <v>0.7</v>
      </c>
      <c r="R754">
        <v>0</v>
      </c>
      <c r="V754" t="str">
        <f>VLOOKUP(H754,'[1]팀별 출판사'!A:B,2,0)</f>
        <v>소설1팀</v>
      </c>
      <c r="W754" s="6">
        <f t="shared" si="22"/>
        <v>0</v>
      </c>
      <c r="X754" s="6">
        <f t="shared" si="23"/>
        <v>0</v>
      </c>
    </row>
    <row r="755" spans="1:24" x14ac:dyDescent="0.3">
      <c r="A755" t="s">
        <v>1294</v>
      </c>
      <c r="B755" t="s">
        <v>1351</v>
      </c>
      <c r="C755" t="s">
        <v>23</v>
      </c>
      <c r="D755" t="s">
        <v>24</v>
      </c>
      <c r="E755" t="s">
        <v>25</v>
      </c>
      <c r="F755">
        <v>1</v>
      </c>
      <c r="G755">
        <v>9791133171934</v>
      </c>
      <c r="H755" t="s">
        <v>26</v>
      </c>
      <c r="I755" t="s">
        <v>1352</v>
      </c>
      <c r="J755" t="s">
        <v>311</v>
      </c>
      <c r="K755" t="s">
        <v>29</v>
      </c>
      <c r="L755">
        <v>0</v>
      </c>
      <c r="M755" t="s">
        <v>29</v>
      </c>
      <c r="N755">
        <v>0</v>
      </c>
      <c r="O755">
        <v>0</v>
      </c>
      <c r="P755" t="s">
        <v>30</v>
      </c>
      <c r="Q755" s="2">
        <v>0.7</v>
      </c>
      <c r="R755">
        <v>0</v>
      </c>
      <c r="V755" t="str">
        <f>VLOOKUP(H755,'[1]팀별 출판사'!A:B,2,0)</f>
        <v>소설1팀</v>
      </c>
      <c r="W755" s="6">
        <f t="shared" si="22"/>
        <v>0</v>
      </c>
      <c r="X755" s="6">
        <f t="shared" si="23"/>
        <v>0</v>
      </c>
    </row>
    <row r="756" spans="1:24" x14ac:dyDescent="0.3">
      <c r="A756" t="s">
        <v>1294</v>
      </c>
      <c r="B756" t="s">
        <v>1353</v>
      </c>
      <c r="C756" t="s">
        <v>23</v>
      </c>
      <c r="D756" t="s">
        <v>24</v>
      </c>
      <c r="E756" t="s">
        <v>25</v>
      </c>
      <c r="F756">
        <v>1</v>
      </c>
      <c r="G756">
        <v>9791136903839</v>
      </c>
      <c r="H756" t="s">
        <v>26</v>
      </c>
      <c r="I756" t="s">
        <v>1333</v>
      </c>
      <c r="J756" t="s">
        <v>256</v>
      </c>
      <c r="K756" t="s">
        <v>29</v>
      </c>
      <c r="L756" s="1">
        <v>3200</v>
      </c>
      <c r="M756" t="s">
        <v>29</v>
      </c>
      <c r="N756" s="1">
        <v>3200</v>
      </c>
      <c r="O756" s="1">
        <v>3200</v>
      </c>
      <c r="P756" t="s">
        <v>30</v>
      </c>
      <c r="Q756" s="2">
        <v>0.7</v>
      </c>
      <c r="R756" s="1">
        <v>2240</v>
      </c>
      <c r="S756" t="s">
        <v>29</v>
      </c>
      <c r="T756" s="1">
        <v>2240</v>
      </c>
      <c r="V756" t="str">
        <f>VLOOKUP(H756,'[1]팀별 출판사'!A:B,2,0)</f>
        <v>소설1팀</v>
      </c>
      <c r="W756" s="6">
        <f t="shared" si="22"/>
        <v>0</v>
      </c>
      <c r="X756" s="6">
        <f t="shared" si="23"/>
        <v>2240</v>
      </c>
    </row>
    <row r="757" spans="1:24" x14ac:dyDescent="0.3">
      <c r="A757" t="s">
        <v>1294</v>
      </c>
      <c r="B757" t="s">
        <v>1354</v>
      </c>
      <c r="C757" t="s">
        <v>23</v>
      </c>
      <c r="D757" t="s">
        <v>24</v>
      </c>
      <c r="E757" t="s">
        <v>25</v>
      </c>
      <c r="F757">
        <v>1</v>
      </c>
      <c r="G757">
        <v>9791133146260</v>
      </c>
      <c r="H757" t="s">
        <v>32</v>
      </c>
      <c r="I757" t="s">
        <v>1355</v>
      </c>
      <c r="J757" t="s">
        <v>1245</v>
      </c>
      <c r="K757" t="s">
        <v>29</v>
      </c>
      <c r="L757" s="1">
        <v>3000</v>
      </c>
      <c r="M757" t="s">
        <v>29</v>
      </c>
      <c r="N757" s="1">
        <v>3000</v>
      </c>
      <c r="O757" s="1">
        <v>3000</v>
      </c>
      <c r="P757" t="s">
        <v>30</v>
      </c>
      <c r="Q757" s="2">
        <v>0.7</v>
      </c>
      <c r="R757" s="1">
        <v>2100</v>
      </c>
      <c r="S757" t="s">
        <v>29</v>
      </c>
      <c r="T757" s="1">
        <v>2100</v>
      </c>
      <c r="V757" t="str">
        <f>VLOOKUP(H757,'[1]팀별 출판사'!A:B,2,0)</f>
        <v>소설1팀</v>
      </c>
      <c r="W757" s="6">
        <f t="shared" si="22"/>
        <v>0</v>
      </c>
      <c r="X757" s="6">
        <f t="shared" si="23"/>
        <v>2100</v>
      </c>
    </row>
    <row r="758" spans="1:24" x14ac:dyDescent="0.3">
      <c r="A758" t="s">
        <v>1294</v>
      </c>
      <c r="B758" t="s">
        <v>1356</v>
      </c>
      <c r="C758" t="s">
        <v>23</v>
      </c>
      <c r="D758" t="s">
        <v>24</v>
      </c>
      <c r="E758" t="s">
        <v>25</v>
      </c>
      <c r="F758">
        <v>1</v>
      </c>
      <c r="G758">
        <v>9791136946263</v>
      </c>
      <c r="H758" t="s">
        <v>26</v>
      </c>
      <c r="I758" t="s">
        <v>781</v>
      </c>
      <c r="J758" t="s">
        <v>421</v>
      </c>
      <c r="K758" t="s">
        <v>29</v>
      </c>
      <c r="L758">
        <v>0</v>
      </c>
      <c r="M758" t="s">
        <v>29</v>
      </c>
      <c r="N758">
        <v>0</v>
      </c>
      <c r="O758">
        <v>0</v>
      </c>
      <c r="P758" t="s">
        <v>30</v>
      </c>
      <c r="Q758" s="2">
        <v>0.7</v>
      </c>
      <c r="R758">
        <v>0</v>
      </c>
      <c r="V758" t="str">
        <f>VLOOKUP(H758,'[1]팀별 출판사'!A:B,2,0)</f>
        <v>소설1팀</v>
      </c>
      <c r="W758" s="6">
        <f t="shared" si="22"/>
        <v>0</v>
      </c>
      <c r="X758" s="6">
        <f t="shared" si="23"/>
        <v>0</v>
      </c>
    </row>
    <row r="759" spans="1:24" x14ac:dyDescent="0.3">
      <c r="A759" t="s">
        <v>1294</v>
      </c>
      <c r="B759" t="s">
        <v>1357</v>
      </c>
      <c r="C759" t="s">
        <v>23</v>
      </c>
      <c r="D759" t="s">
        <v>24</v>
      </c>
      <c r="E759" t="s">
        <v>25</v>
      </c>
      <c r="F759">
        <v>1</v>
      </c>
      <c r="G759">
        <v>9791136931382</v>
      </c>
      <c r="H759" t="s">
        <v>32</v>
      </c>
      <c r="I759" t="s">
        <v>523</v>
      </c>
      <c r="J759" t="s">
        <v>46</v>
      </c>
      <c r="K759" t="s">
        <v>29</v>
      </c>
      <c r="L759">
        <v>0</v>
      </c>
      <c r="M759" t="s">
        <v>47</v>
      </c>
      <c r="N759">
        <v>0</v>
      </c>
      <c r="O759">
        <v>0</v>
      </c>
      <c r="P759" t="s">
        <v>48</v>
      </c>
      <c r="Q759" s="2">
        <v>0.7</v>
      </c>
      <c r="R759">
        <v>0</v>
      </c>
      <c r="V759" t="str">
        <f>VLOOKUP(H759,'[1]팀별 출판사'!A:B,2,0)</f>
        <v>소설1팀</v>
      </c>
      <c r="W759" s="6">
        <f t="shared" si="22"/>
        <v>0</v>
      </c>
      <c r="X759" s="6">
        <f t="shared" si="23"/>
        <v>0</v>
      </c>
    </row>
    <row r="760" spans="1:24" x14ac:dyDescent="0.3">
      <c r="A760" t="s">
        <v>1294</v>
      </c>
      <c r="B760" t="s">
        <v>1358</v>
      </c>
      <c r="C760" t="s">
        <v>23</v>
      </c>
      <c r="D760" t="s">
        <v>24</v>
      </c>
      <c r="E760" t="s">
        <v>25</v>
      </c>
      <c r="F760">
        <v>1</v>
      </c>
      <c r="G760">
        <v>9791136941862</v>
      </c>
      <c r="H760" t="s">
        <v>26</v>
      </c>
      <c r="I760" t="s">
        <v>894</v>
      </c>
      <c r="J760" t="s">
        <v>81</v>
      </c>
      <c r="K760" t="s">
        <v>29</v>
      </c>
      <c r="L760">
        <v>0</v>
      </c>
      <c r="M760" t="s">
        <v>127</v>
      </c>
      <c r="N760">
        <v>0</v>
      </c>
      <c r="O760">
        <v>0</v>
      </c>
      <c r="P760" t="s">
        <v>128</v>
      </c>
      <c r="Q760" s="2">
        <v>0.7</v>
      </c>
      <c r="R760">
        <v>0</v>
      </c>
      <c r="V760" t="str">
        <f>VLOOKUP(H760,'[1]팀별 출판사'!A:B,2,0)</f>
        <v>소설1팀</v>
      </c>
      <c r="W760" s="6">
        <f t="shared" si="22"/>
        <v>0</v>
      </c>
      <c r="X760" s="6">
        <f t="shared" si="23"/>
        <v>0</v>
      </c>
    </row>
    <row r="761" spans="1:24" x14ac:dyDescent="0.3">
      <c r="A761" t="s">
        <v>1294</v>
      </c>
      <c r="B761" t="s">
        <v>1359</v>
      </c>
      <c r="C761" t="s">
        <v>23</v>
      </c>
      <c r="D761" t="s">
        <v>24</v>
      </c>
      <c r="E761" t="s">
        <v>25</v>
      </c>
      <c r="F761">
        <v>1</v>
      </c>
      <c r="G761">
        <v>9791136935496</v>
      </c>
      <c r="H761" t="s">
        <v>32</v>
      </c>
      <c r="I761" t="s">
        <v>441</v>
      </c>
      <c r="J761" t="s">
        <v>442</v>
      </c>
      <c r="K761" t="s">
        <v>29</v>
      </c>
      <c r="L761">
        <v>0</v>
      </c>
      <c r="M761" t="s">
        <v>127</v>
      </c>
      <c r="N761">
        <v>0</v>
      </c>
      <c r="O761">
        <v>0</v>
      </c>
      <c r="P761" t="s">
        <v>128</v>
      </c>
      <c r="Q761" s="2">
        <v>0.7</v>
      </c>
      <c r="R761">
        <v>0</v>
      </c>
      <c r="V761" t="str">
        <f>VLOOKUP(H761,'[1]팀별 출판사'!A:B,2,0)</f>
        <v>소설1팀</v>
      </c>
      <c r="W761" s="6">
        <f t="shared" si="22"/>
        <v>0</v>
      </c>
      <c r="X761" s="6">
        <f t="shared" si="23"/>
        <v>0</v>
      </c>
    </row>
    <row r="762" spans="1:24" x14ac:dyDescent="0.3">
      <c r="A762" t="s">
        <v>1294</v>
      </c>
      <c r="B762" t="s">
        <v>1360</v>
      </c>
      <c r="C762" t="s">
        <v>23</v>
      </c>
      <c r="D762" t="s">
        <v>24</v>
      </c>
      <c r="E762" t="s">
        <v>25</v>
      </c>
      <c r="F762">
        <v>1</v>
      </c>
      <c r="G762">
        <v>9791136916396</v>
      </c>
      <c r="H762" t="s">
        <v>26</v>
      </c>
      <c r="I762" t="s">
        <v>1361</v>
      </c>
      <c r="J762" t="s">
        <v>62</v>
      </c>
      <c r="K762" t="s">
        <v>29</v>
      </c>
      <c r="L762" s="1">
        <v>3200</v>
      </c>
      <c r="M762" t="s">
        <v>29</v>
      </c>
      <c r="N762" s="1">
        <v>3200</v>
      </c>
      <c r="O762" s="1">
        <v>3200</v>
      </c>
      <c r="P762" t="s">
        <v>30</v>
      </c>
      <c r="Q762" s="2">
        <v>0.7</v>
      </c>
      <c r="R762" s="1">
        <v>2240</v>
      </c>
      <c r="S762" t="s">
        <v>29</v>
      </c>
      <c r="T762" s="1">
        <v>2240</v>
      </c>
      <c r="V762" t="str">
        <f>VLOOKUP(H762,'[1]팀별 출판사'!A:B,2,0)</f>
        <v>소설1팀</v>
      </c>
      <c r="W762" s="6">
        <f t="shared" si="22"/>
        <v>0</v>
      </c>
      <c r="X762" s="6">
        <f t="shared" si="23"/>
        <v>2240</v>
      </c>
    </row>
    <row r="763" spans="1:24" x14ac:dyDescent="0.3">
      <c r="A763" t="s">
        <v>1294</v>
      </c>
      <c r="B763" t="s">
        <v>1362</v>
      </c>
      <c r="C763" t="s">
        <v>23</v>
      </c>
      <c r="D763" t="s">
        <v>24</v>
      </c>
      <c r="E763" t="s">
        <v>25</v>
      </c>
      <c r="F763">
        <v>1</v>
      </c>
      <c r="G763">
        <v>9791136931375</v>
      </c>
      <c r="H763" t="s">
        <v>32</v>
      </c>
      <c r="I763" t="s">
        <v>189</v>
      </c>
      <c r="J763" t="s">
        <v>46</v>
      </c>
      <c r="K763" t="s">
        <v>29</v>
      </c>
      <c r="L763">
        <v>0</v>
      </c>
      <c r="M763" t="s">
        <v>152</v>
      </c>
      <c r="N763">
        <v>0</v>
      </c>
      <c r="O763">
        <v>0</v>
      </c>
      <c r="P763" t="s">
        <v>153</v>
      </c>
      <c r="Q763" s="2">
        <v>0.7</v>
      </c>
      <c r="R763">
        <v>0</v>
      </c>
      <c r="V763" t="str">
        <f>VLOOKUP(H763,'[1]팀별 출판사'!A:B,2,0)</f>
        <v>소설1팀</v>
      </c>
      <c r="W763" s="6">
        <f t="shared" si="22"/>
        <v>0</v>
      </c>
      <c r="X763" s="6">
        <f t="shared" si="23"/>
        <v>0</v>
      </c>
    </row>
    <row r="764" spans="1:24" x14ac:dyDescent="0.3">
      <c r="A764" t="s">
        <v>1294</v>
      </c>
      <c r="B764" t="s">
        <v>1363</v>
      </c>
      <c r="C764" t="s">
        <v>23</v>
      </c>
      <c r="D764" t="s">
        <v>24</v>
      </c>
      <c r="E764" t="s">
        <v>25</v>
      </c>
      <c r="F764">
        <v>1</v>
      </c>
      <c r="G764">
        <v>9791136930910</v>
      </c>
      <c r="H764" t="s">
        <v>32</v>
      </c>
      <c r="I764" t="s">
        <v>872</v>
      </c>
      <c r="J764" t="s">
        <v>34</v>
      </c>
      <c r="K764" t="s">
        <v>29</v>
      </c>
      <c r="L764">
        <v>0</v>
      </c>
      <c r="M764" t="s">
        <v>29</v>
      </c>
      <c r="N764">
        <v>0</v>
      </c>
      <c r="O764">
        <v>0</v>
      </c>
      <c r="P764" t="s">
        <v>30</v>
      </c>
      <c r="Q764" s="2">
        <v>0.7</v>
      </c>
      <c r="R764">
        <v>0</v>
      </c>
      <c r="V764" t="str">
        <f>VLOOKUP(H764,'[1]팀별 출판사'!A:B,2,0)</f>
        <v>소설1팀</v>
      </c>
      <c r="W764" s="6">
        <f t="shared" si="22"/>
        <v>0</v>
      </c>
      <c r="X764" s="6">
        <f t="shared" si="23"/>
        <v>0</v>
      </c>
    </row>
    <row r="765" spans="1:24" x14ac:dyDescent="0.3">
      <c r="A765" t="s">
        <v>1294</v>
      </c>
      <c r="B765" t="s">
        <v>1364</v>
      </c>
      <c r="C765" t="s">
        <v>23</v>
      </c>
      <c r="D765" t="s">
        <v>24</v>
      </c>
      <c r="E765" t="s">
        <v>25</v>
      </c>
      <c r="F765">
        <v>1</v>
      </c>
      <c r="G765">
        <v>9791175309777</v>
      </c>
      <c r="H765" t="s">
        <v>36</v>
      </c>
      <c r="I765" t="s">
        <v>1365</v>
      </c>
      <c r="J765" t="s">
        <v>1366</v>
      </c>
      <c r="K765" t="s">
        <v>29</v>
      </c>
      <c r="L765" s="1">
        <v>3500</v>
      </c>
      <c r="M765" t="s">
        <v>29</v>
      </c>
      <c r="N765" s="1">
        <v>3500</v>
      </c>
      <c r="O765" s="1">
        <v>3500</v>
      </c>
      <c r="P765" t="s">
        <v>30</v>
      </c>
      <c r="Q765" s="2">
        <v>0.7</v>
      </c>
      <c r="R765" s="1">
        <v>2450</v>
      </c>
      <c r="S765" t="s">
        <v>29</v>
      </c>
      <c r="T765" s="1">
        <v>2450</v>
      </c>
      <c r="V765" t="str">
        <f>VLOOKUP(H765,'[1]팀별 출판사'!A:B,2,0)</f>
        <v>소설2팀</v>
      </c>
      <c r="W765" s="6">
        <f t="shared" si="22"/>
        <v>0</v>
      </c>
      <c r="X765" s="6">
        <f t="shared" si="23"/>
        <v>2450</v>
      </c>
    </row>
    <row r="766" spans="1:24" x14ac:dyDescent="0.3">
      <c r="A766" t="s">
        <v>1294</v>
      </c>
      <c r="B766" t="s">
        <v>1367</v>
      </c>
      <c r="C766" t="s">
        <v>23</v>
      </c>
      <c r="D766" t="s">
        <v>24</v>
      </c>
      <c r="E766" t="s">
        <v>25</v>
      </c>
      <c r="F766">
        <v>1</v>
      </c>
      <c r="G766">
        <v>9791170106715</v>
      </c>
      <c r="H766" t="s">
        <v>67</v>
      </c>
      <c r="I766" t="s">
        <v>68</v>
      </c>
      <c r="J766" t="s">
        <v>69</v>
      </c>
      <c r="K766" t="s">
        <v>29</v>
      </c>
      <c r="L766">
        <v>0</v>
      </c>
      <c r="M766" t="s">
        <v>47</v>
      </c>
      <c r="N766">
        <v>0</v>
      </c>
      <c r="O766">
        <v>0</v>
      </c>
      <c r="P766" t="s">
        <v>48</v>
      </c>
      <c r="Q766" s="2">
        <v>0.7</v>
      </c>
      <c r="R766">
        <v>0</v>
      </c>
      <c r="V766" t="str">
        <f>VLOOKUP(H766,'[1]팀별 출판사'!A:B,2,0)</f>
        <v>소설1팀</v>
      </c>
      <c r="W766" s="6">
        <f t="shared" si="22"/>
        <v>0</v>
      </c>
      <c r="X766" s="6">
        <f t="shared" si="23"/>
        <v>0</v>
      </c>
    </row>
    <row r="767" spans="1:24" x14ac:dyDescent="0.3">
      <c r="A767" t="s">
        <v>1294</v>
      </c>
      <c r="B767" t="s">
        <v>1368</v>
      </c>
      <c r="C767" t="s">
        <v>23</v>
      </c>
      <c r="D767" t="s">
        <v>24</v>
      </c>
      <c r="E767" t="s">
        <v>25</v>
      </c>
      <c r="F767">
        <v>1</v>
      </c>
      <c r="G767" t="s">
        <v>1369</v>
      </c>
      <c r="H767" t="s">
        <v>32</v>
      </c>
      <c r="I767" t="s">
        <v>1370</v>
      </c>
      <c r="J767" t="s">
        <v>311</v>
      </c>
      <c r="K767" t="s">
        <v>29</v>
      </c>
      <c r="L767" s="1">
        <v>3200</v>
      </c>
      <c r="M767" t="s">
        <v>29</v>
      </c>
      <c r="N767" s="1">
        <v>3200</v>
      </c>
      <c r="O767" s="1">
        <v>3200</v>
      </c>
      <c r="P767" t="s">
        <v>30</v>
      </c>
      <c r="Q767" s="2">
        <v>0.7</v>
      </c>
      <c r="R767" s="1">
        <v>2240</v>
      </c>
      <c r="S767" t="s">
        <v>29</v>
      </c>
      <c r="T767" s="1">
        <v>2240</v>
      </c>
      <c r="V767" t="str">
        <f>VLOOKUP(H767,'[1]팀별 출판사'!A:B,2,0)</f>
        <v>소설1팀</v>
      </c>
      <c r="W767" s="6">
        <f t="shared" si="22"/>
        <v>0</v>
      </c>
      <c r="X767" s="6">
        <f t="shared" si="23"/>
        <v>2240</v>
      </c>
    </row>
    <row r="768" spans="1:24" x14ac:dyDescent="0.3">
      <c r="A768" t="s">
        <v>1294</v>
      </c>
      <c r="B768" t="s">
        <v>1371</v>
      </c>
      <c r="C768" t="s">
        <v>23</v>
      </c>
      <c r="D768" t="s">
        <v>24</v>
      </c>
      <c r="E768" t="s">
        <v>25</v>
      </c>
      <c r="F768">
        <v>1</v>
      </c>
      <c r="G768">
        <v>9791136942142</v>
      </c>
      <c r="H768" t="s">
        <v>26</v>
      </c>
      <c r="I768" t="s">
        <v>180</v>
      </c>
      <c r="J768" t="s">
        <v>46</v>
      </c>
      <c r="K768" t="s">
        <v>29</v>
      </c>
      <c r="L768">
        <v>0</v>
      </c>
      <c r="M768" t="s">
        <v>47</v>
      </c>
      <c r="N768">
        <v>0</v>
      </c>
      <c r="O768">
        <v>0</v>
      </c>
      <c r="P768" t="s">
        <v>48</v>
      </c>
      <c r="Q768" s="2">
        <v>0.7</v>
      </c>
      <c r="R768">
        <v>0</v>
      </c>
      <c r="V768" t="str">
        <f>VLOOKUP(H768,'[1]팀별 출판사'!A:B,2,0)</f>
        <v>소설1팀</v>
      </c>
      <c r="W768" s="6">
        <f t="shared" si="22"/>
        <v>0</v>
      </c>
      <c r="X768" s="6">
        <f t="shared" si="23"/>
        <v>0</v>
      </c>
    </row>
    <row r="769" spans="1:24" x14ac:dyDescent="0.3">
      <c r="A769" t="s">
        <v>1294</v>
      </c>
      <c r="B769" t="s">
        <v>1372</v>
      </c>
      <c r="C769" t="s">
        <v>23</v>
      </c>
      <c r="D769" t="s">
        <v>24</v>
      </c>
      <c r="E769" t="s">
        <v>25</v>
      </c>
      <c r="F769">
        <v>1</v>
      </c>
      <c r="G769">
        <v>9791136931375</v>
      </c>
      <c r="H769" t="s">
        <v>32</v>
      </c>
      <c r="I769" t="s">
        <v>189</v>
      </c>
      <c r="J769" t="s">
        <v>46</v>
      </c>
      <c r="K769" t="s">
        <v>29</v>
      </c>
      <c r="L769">
        <v>0</v>
      </c>
      <c r="M769" t="s">
        <v>152</v>
      </c>
      <c r="N769">
        <v>0</v>
      </c>
      <c r="O769">
        <v>0</v>
      </c>
      <c r="P769" t="s">
        <v>153</v>
      </c>
      <c r="Q769" s="2">
        <v>0.7</v>
      </c>
      <c r="R769">
        <v>0</v>
      </c>
      <c r="V769" t="str">
        <f>VLOOKUP(H769,'[1]팀별 출판사'!A:B,2,0)</f>
        <v>소설1팀</v>
      </c>
      <c r="W769" s="6">
        <f t="shared" si="22"/>
        <v>0</v>
      </c>
      <c r="X769" s="6">
        <f t="shared" si="23"/>
        <v>0</v>
      </c>
    </row>
    <row r="770" spans="1:24" x14ac:dyDescent="0.3">
      <c r="A770" t="s">
        <v>1294</v>
      </c>
      <c r="B770" t="s">
        <v>1373</v>
      </c>
      <c r="C770" t="s">
        <v>23</v>
      </c>
      <c r="D770" t="s">
        <v>24</v>
      </c>
      <c r="E770" t="s">
        <v>25</v>
      </c>
      <c r="F770">
        <v>1</v>
      </c>
      <c r="G770">
        <v>9791136945013</v>
      </c>
      <c r="H770" t="s">
        <v>26</v>
      </c>
      <c r="I770" t="s">
        <v>125</v>
      </c>
      <c r="J770" t="s">
        <v>126</v>
      </c>
      <c r="K770" t="s">
        <v>29</v>
      </c>
      <c r="L770">
        <v>0</v>
      </c>
      <c r="M770" t="s">
        <v>47</v>
      </c>
      <c r="N770">
        <v>0</v>
      </c>
      <c r="O770">
        <v>0</v>
      </c>
      <c r="P770" t="s">
        <v>48</v>
      </c>
      <c r="Q770" s="2">
        <v>0.7</v>
      </c>
      <c r="R770">
        <v>0</v>
      </c>
      <c r="V770" t="str">
        <f>VLOOKUP(H770,'[1]팀별 출판사'!A:B,2,0)</f>
        <v>소설1팀</v>
      </c>
      <c r="W770" s="6">
        <f t="shared" ref="W770:W833" si="24">IF(P770="US", T770*30%, 0)</f>
        <v>0</v>
      </c>
      <c r="X770" s="6">
        <f t="shared" ref="X770:X833" si="25">T770-W770</f>
        <v>0</v>
      </c>
    </row>
    <row r="771" spans="1:24" x14ac:dyDescent="0.3">
      <c r="A771" t="s">
        <v>1294</v>
      </c>
      <c r="B771" t="s">
        <v>1374</v>
      </c>
      <c r="C771" t="s">
        <v>23</v>
      </c>
      <c r="D771" t="s">
        <v>24</v>
      </c>
      <c r="E771" t="s">
        <v>25</v>
      </c>
      <c r="F771">
        <v>1</v>
      </c>
      <c r="G771">
        <v>9791136923608</v>
      </c>
      <c r="H771" t="s">
        <v>26</v>
      </c>
      <c r="I771" t="s">
        <v>1375</v>
      </c>
      <c r="J771" t="s">
        <v>1376</v>
      </c>
      <c r="K771" t="s">
        <v>29</v>
      </c>
      <c r="L771">
        <v>0</v>
      </c>
      <c r="M771" t="s">
        <v>29</v>
      </c>
      <c r="N771">
        <v>0</v>
      </c>
      <c r="O771">
        <v>0</v>
      </c>
      <c r="P771" t="s">
        <v>30</v>
      </c>
      <c r="Q771" s="2">
        <v>0.7</v>
      </c>
      <c r="R771">
        <v>0</v>
      </c>
      <c r="V771" t="str">
        <f>VLOOKUP(H771,'[1]팀별 출판사'!A:B,2,0)</f>
        <v>소설1팀</v>
      </c>
      <c r="W771" s="6">
        <f t="shared" si="24"/>
        <v>0</v>
      </c>
      <c r="X771" s="6">
        <f t="shared" si="25"/>
        <v>0</v>
      </c>
    </row>
    <row r="772" spans="1:24" x14ac:dyDescent="0.3">
      <c r="A772" t="s">
        <v>1294</v>
      </c>
      <c r="B772" t="s">
        <v>1377</v>
      </c>
      <c r="C772" t="s">
        <v>23</v>
      </c>
      <c r="D772" t="s">
        <v>24</v>
      </c>
      <c r="E772" t="s">
        <v>25</v>
      </c>
      <c r="F772">
        <v>1</v>
      </c>
      <c r="G772">
        <v>9791136942142</v>
      </c>
      <c r="H772" t="s">
        <v>26</v>
      </c>
      <c r="I772" t="s">
        <v>180</v>
      </c>
      <c r="J772" t="s">
        <v>46</v>
      </c>
      <c r="K772" t="s">
        <v>29</v>
      </c>
      <c r="L772">
        <v>0</v>
      </c>
      <c r="M772" t="s">
        <v>47</v>
      </c>
      <c r="N772">
        <v>0</v>
      </c>
      <c r="O772">
        <v>0</v>
      </c>
      <c r="P772" t="s">
        <v>48</v>
      </c>
      <c r="Q772" s="2">
        <v>0.7</v>
      </c>
      <c r="R772">
        <v>0</v>
      </c>
      <c r="V772" t="str">
        <f>VLOOKUP(H772,'[1]팀별 출판사'!A:B,2,0)</f>
        <v>소설1팀</v>
      </c>
      <c r="W772" s="6">
        <f t="shared" si="24"/>
        <v>0</v>
      </c>
      <c r="X772" s="6">
        <f t="shared" si="25"/>
        <v>0</v>
      </c>
    </row>
    <row r="773" spans="1:24" x14ac:dyDescent="0.3">
      <c r="A773" t="s">
        <v>1294</v>
      </c>
      <c r="B773" t="s">
        <v>1378</v>
      </c>
      <c r="C773" t="s">
        <v>23</v>
      </c>
      <c r="D773" t="s">
        <v>24</v>
      </c>
      <c r="E773" t="s">
        <v>25</v>
      </c>
      <c r="F773">
        <v>1</v>
      </c>
      <c r="G773">
        <v>9791170106715</v>
      </c>
      <c r="H773" t="s">
        <v>67</v>
      </c>
      <c r="I773" t="s">
        <v>68</v>
      </c>
      <c r="J773" t="s">
        <v>69</v>
      </c>
      <c r="K773" t="s">
        <v>29</v>
      </c>
      <c r="L773">
        <v>0</v>
      </c>
      <c r="M773" t="s">
        <v>1379</v>
      </c>
      <c r="N773">
        <v>0</v>
      </c>
      <c r="O773">
        <v>0</v>
      </c>
      <c r="P773" t="s">
        <v>1380</v>
      </c>
      <c r="Q773" s="2">
        <v>0.7</v>
      </c>
      <c r="R773">
        <v>0</v>
      </c>
      <c r="V773" t="str">
        <f>VLOOKUP(H773,'[1]팀별 출판사'!A:B,2,0)</f>
        <v>소설1팀</v>
      </c>
      <c r="W773" s="6">
        <f t="shared" si="24"/>
        <v>0</v>
      </c>
      <c r="X773" s="6">
        <f t="shared" si="25"/>
        <v>0</v>
      </c>
    </row>
    <row r="774" spans="1:24" x14ac:dyDescent="0.3">
      <c r="A774" t="s">
        <v>1294</v>
      </c>
      <c r="B774" t="s">
        <v>1381</v>
      </c>
      <c r="C774" t="s">
        <v>23</v>
      </c>
      <c r="D774" t="s">
        <v>24</v>
      </c>
      <c r="E774" t="s">
        <v>25</v>
      </c>
      <c r="F774">
        <v>1</v>
      </c>
      <c r="G774">
        <v>9791136930361</v>
      </c>
      <c r="H774" t="s">
        <v>32</v>
      </c>
      <c r="I774" t="s">
        <v>33</v>
      </c>
      <c r="J774" t="s">
        <v>34</v>
      </c>
      <c r="K774" t="s">
        <v>29</v>
      </c>
      <c r="L774">
        <v>0</v>
      </c>
      <c r="M774" t="s">
        <v>127</v>
      </c>
      <c r="N774">
        <v>0</v>
      </c>
      <c r="O774">
        <v>0</v>
      </c>
      <c r="P774" t="s">
        <v>128</v>
      </c>
      <c r="Q774" s="2">
        <v>0.7</v>
      </c>
      <c r="R774">
        <v>0</v>
      </c>
      <c r="V774" t="str">
        <f>VLOOKUP(H774,'[1]팀별 출판사'!A:B,2,0)</f>
        <v>소설1팀</v>
      </c>
      <c r="W774" s="6">
        <f t="shared" si="24"/>
        <v>0</v>
      </c>
      <c r="X774" s="6">
        <f t="shared" si="25"/>
        <v>0</v>
      </c>
    </row>
    <row r="775" spans="1:24" x14ac:dyDescent="0.3">
      <c r="A775" t="s">
        <v>1294</v>
      </c>
      <c r="B775" t="s">
        <v>1382</v>
      </c>
      <c r="C775" t="s">
        <v>23</v>
      </c>
      <c r="D775" t="s">
        <v>24</v>
      </c>
      <c r="E775" t="s">
        <v>25</v>
      </c>
      <c r="F775">
        <v>1</v>
      </c>
      <c r="G775">
        <v>9791136930552</v>
      </c>
      <c r="H775" t="s">
        <v>26</v>
      </c>
      <c r="I775" t="s">
        <v>45</v>
      </c>
      <c r="J775" t="s">
        <v>46</v>
      </c>
      <c r="K775" t="s">
        <v>29</v>
      </c>
      <c r="L775">
        <v>0</v>
      </c>
      <c r="M775" t="s">
        <v>47</v>
      </c>
      <c r="N775">
        <v>0</v>
      </c>
      <c r="O775">
        <v>0</v>
      </c>
      <c r="P775" t="s">
        <v>48</v>
      </c>
      <c r="Q775" s="2">
        <v>0.7</v>
      </c>
      <c r="R775">
        <v>0</v>
      </c>
      <c r="V775" t="str">
        <f>VLOOKUP(H775,'[1]팀별 출판사'!A:B,2,0)</f>
        <v>소설1팀</v>
      </c>
      <c r="W775" s="6">
        <f t="shared" si="24"/>
        <v>0</v>
      </c>
      <c r="X775" s="6">
        <f t="shared" si="25"/>
        <v>0</v>
      </c>
    </row>
    <row r="776" spans="1:24" x14ac:dyDescent="0.3">
      <c r="A776" t="s">
        <v>1294</v>
      </c>
      <c r="B776" t="s">
        <v>1383</v>
      </c>
      <c r="C776" t="s">
        <v>23</v>
      </c>
      <c r="D776" t="s">
        <v>24</v>
      </c>
      <c r="E776" t="s">
        <v>25</v>
      </c>
      <c r="F776">
        <v>1</v>
      </c>
      <c r="G776">
        <v>9791133152360</v>
      </c>
      <c r="H776" t="s">
        <v>32</v>
      </c>
      <c r="I776" t="s">
        <v>1384</v>
      </c>
      <c r="J776" t="s">
        <v>1153</v>
      </c>
      <c r="K776" t="s">
        <v>29</v>
      </c>
      <c r="L776">
        <v>0</v>
      </c>
      <c r="M776" t="s">
        <v>886</v>
      </c>
      <c r="N776">
        <v>0</v>
      </c>
      <c r="O776">
        <v>0</v>
      </c>
      <c r="P776" t="s">
        <v>887</v>
      </c>
      <c r="Q776" s="2">
        <v>0.7</v>
      </c>
      <c r="R776">
        <v>0</v>
      </c>
      <c r="V776" t="str">
        <f>VLOOKUP(H776,'[1]팀별 출판사'!A:B,2,0)</f>
        <v>소설1팀</v>
      </c>
      <c r="W776" s="6">
        <f t="shared" si="24"/>
        <v>0</v>
      </c>
      <c r="X776" s="6">
        <f t="shared" si="25"/>
        <v>0</v>
      </c>
    </row>
    <row r="777" spans="1:24" x14ac:dyDescent="0.3">
      <c r="A777" t="s">
        <v>1294</v>
      </c>
      <c r="B777" t="s">
        <v>1385</v>
      </c>
      <c r="C777" t="s">
        <v>23</v>
      </c>
      <c r="D777" t="s">
        <v>24</v>
      </c>
      <c r="E777" t="s">
        <v>25</v>
      </c>
      <c r="F777">
        <v>1</v>
      </c>
      <c r="G777">
        <v>9791136931375</v>
      </c>
      <c r="H777" t="s">
        <v>32</v>
      </c>
      <c r="I777" t="s">
        <v>189</v>
      </c>
      <c r="J777" t="s">
        <v>46</v>
      </c>
      <c r="K777" t="s">
        <v>29</v>
      </c>
      <c r="L777">
        <v>0</v>
      </c>
      <c r="M777" t="s">
        <v>152</v>
      </c>
      <c r="N777">
        <v>0</v>
      </c>
      <c r="O777">
        <v>0</v>
      </c>
      <c r="P777" t="s">
        <v>153</v>
      </c>
      <c r="Q777" s="2">
        <v>0.7</v>
      </c>
      <c r="R777">
        <v>0</v>
      </c>
      <c r="V777" t="str">
        <f>VLOOKUP(H777,'[1]팀별 출판사'!A:B,2,0)</f>
        <v>소설1팀</v>
      </c>
      <c r="W777" s="6">
        <f t="shared" si="24"/>
        <v>0</v>
      </c>
      <c r="X777" s="6">
        <f t="shared" si="25"/>
        <v>0</v>
      </c>
    </row>
    <row r="778" spans="1:24" x14ac:dyDescent="0.3">
      <c r="A778" t="s">
        <v>1294</v>
      </c>
      <c r="B778" t="s">
        <v>1386</v>
      </c>
      <c r="C778" t="s">
        <v>23</v>
      </c>
      <c r="D778" t="s">
        <v>24</v>
      </c>
      <c r="E778" t="s">
        <v>25</v>
      </c>
      <c r="F778">
        <v>1</v>
      </c>
      <c r="G778">
        <v>9791136945013</v>
      </c>
      <c r="H778" t="s">
        <v>26</v>
      </c>
      <c r="I778" t="s">
        <v>125</v>
      </c>
      <c r="J778" t="s">
        <v>126</v>
      </c>
      <c r="K778" t="s">
        <v>29</v>
      </c>
      <c r="L778">
        <v>0</v>
      </c>
      <c r="M778" t="s">
        <v>152</v>
      </c>
      <c r="N778">
        <v>0</v>
      </c>
      <c r="O778">
        <v>0</v>
      </c>
      <c r="P778" t="s">
        <v>153</v>
      </c>
      <c r="Q778" s="2">
        <v>0.7</v>
      </c>
      <c r="R778">
        <v>0</v>
      </c>
      <c r="V778" t="str">
        <f>VLOOKUP(H778,'[1]팀별 출판사'!A:B,2,0)</f>
        <v>소설1팀</v>
      </c>
      <c r="W778" s="6">
        <f t="shared" si="24"/>
        <v>0</v>
      </c>
      <c r="X778" s="6">
        <f t="shared" si="25"/>
        <v>0</v>
      </c>
    </row>
    <row r="779" spans="1:24" x14ac:dyDescent="0.3">
      <c r="A779" t="s">
        <v>1294</v>
      </c>
      <c r="B779" t="s">
        <v>1387</v>
      </c>
      <c r="C779" t="s">
        <v>23</v>
      </c>
      <c r="D779" t="s">
        <v>24</v>
      </c>
      <c r="E779" t="s">
        <v>25</v>
      </c>
      <c r="F779">
        <v>1</v>
      </c>
      <c r="G779">
        <v>9791136931382</v>
      </c>
      <c r="H779" t="s">
        <v>32</v>
      </c>
      <c r="I779" t="s">
        <v>523</v>
      </c>
      <c r="J779" t="s">
        <v>46</v>
      </c>
      <c r="K779" t="s">
        <v>29</v>
      </c>
      <c r="L779">
        <v>0</v>
      </c>
      <c r="M779" t="s">
        <v>152</v>
      </c>
      <c r="N779">
        <v>0</v>
      </c>
      <c r="O779">
        <v>0</v>
      </c>
      <c r="P779" t="s">
        <v>153</v>
      </c>
      <c r="Q779" s="2">
        <v>0.7</v>
      </c>
      <c r="R779">
        <v>0</v>
      </c>
      <c r="V779" t="str">
        <f>VLOOKUP(H779,'[1]팀별 출판사'!A:B,2,0)</f>
        <v>소설1팀</v>
      </c>
      <c r="W779" s="6">
        <f t="shared" si="24"/>
        <v>0</v>
      </c>
      <c r="X779" s="6">
        <f t="shared" si="25"/>
        <v>0</v>
      </c>
    </row>
    <row r="780" spans="1:24" x14ac:dyDescent="0.3">
      <c r="A780" t="s">
        <v>1294</v>
      </c>
      <c r="B780" t="s">
        <v>1388</v>
      </c>
      <c r="C780" t="s">
        <v>23</v>
      </c>
      <c r="D780" t="s">
        <v>24</v>
      </c>
      <c r="E780" t="s">
        <v>25</v>
      </c>
      <c r="F780">
        <v>1</v>
      </c>
      <c r="G780">
        <v>9791136930491</v>
      </c>
      <c r="H780" t="s">
        <v>26</v>
      </c>
      <c r="I780" t="s">
        <v>151</v>
      </c>
      <c r="J780" t="s">
        <v>46</v>
      </c>
      <c r="K780" t="s">
        <v>29</v>
      </c>
      <c r="L780">
        <v>0</v>
      </c>
      <c r="M780" t="s">
        <v>152</v>
      </c>
      <c r="N780">
        <v>0</v>
      </c>
      <c r="O780">
        <v>0</v>
      </c>
      <c r="P780" t="s">
        <v>153</v>
      </c>
      <c r="Q780" s="2">
        <v>0.7</v>
      </c>
      <c r="R780">
        <v>0</v>
      </c>
      <c r="V780" t="str">
        <f>VLOOKUP(H780,'[1]팀별 출판사'!A:B,2,0)</f>
        <v>소설1팀</v>
      </c>
      <c r="W780" s="6">
        <f t="shared" si="24"/>
        <v>0</v>
      </c>
      <c r="X780" s="6">
        <f t="shared" si="25"/>
        <v>0</v>
      </c>
    </row>
    <row r="781" spans="1:24" x14ac:dyDescent="0.3">
      <c r="A781" t="s">
        <v>1294</v>
      </c>
      <c r="B781" t="s">
        <v>1389</v>
      </c>
      <c r="C781" t="s">
        <v>23</v>
      </c>
      <c r="D781" t="s">
        <v>24</v>
      </c>
      <c r="E781" t="s">
        <v>25</v>
      </c>
      <c r="F781">
        <v>1</v>
      </c>
      <c r="G781">
        <v>9791136935007</v>
      </c>
      <c r="H781" t="s">
        <v>32</v>
      </c>
      <c r="I781" t="s">
        <v>1081</v>
      </c>
      <c r="J781" t="s">
        <v>1082</v>
      </c>
      <c r="K781" t="s">
        <v>29</v>
      </c>
      <c r="L781">
        <v>0</v>
      </c>
      <c r="M781" t="s">
        <v>29</v>
      </c>
      <c r="N781">
        <v>0</v>
      </c>
      <c r="O781">
        <v>0</v>
      </c>
      <c r="P781" t="s">
        <v>30</v>
      </c>
      <c r="Q781" s="2">
        <v>0.7</v>
      </c>
      <c r="R781">
        <v>0</v>
      </c>
      <c r="V781" t="str">
        <f>VLOOKUP(H781,'[1]팀별 출판사'!A:B,2,0)</f>
        <v>소설1팀</v>
      </c>
      <c r="W781" s="6">
        <f t="shared" si="24"/>
        <v>0</v>
      </c>
      <c r="X781" s="6">
        <f t="shared" si="25"/>
        <v>0</v>
      </c>
    </row>
    <row r="782" spans="1:24" x14ac:dyDescent="0.3">
      <c r="A782" t="s">
        <v>1294</v>
      </c>
      <c r="B782" t="s">
        <v>1390</v>
      </c>
      <c r="C782" t="s">
        <v>23</v>
      </c>
      <c r="D782" t="s">
        <v>24</v>
      </c>
      <c r="E782" t="s">
        <v>25</v>
      </c>
      <c r="F782">
        <v>1</v>
      </c>
      <c r="G782">
        <v>9791136930552</v>
      </c>
      <c r="H782" t="s">
        <v>26</v>
      </c>
      <c r="I782" t="s">
        <v>45</v>
      </c>
      <c r="J782" t="s">
        <v>46</v>
      </c>
      <c r="K782" t="s">
        <v>29</v>
      </c>
      <c r="L782">
        <v>0</v>
      </c>
      <c r="M782" t="s">
        <v>47</v>
      </c>
      <c r="N782">
        <v>0</v>
      </c>
      <c r="O782">
        <v>0</v>
      </c>
      <c r="P782" t="s">
        <v>48</v>
      </c>
      <c r="Q782" s="2">
        <v>0.7</v>
      </c>
      <c r="R782">
        <v>0</v>
      </c>
      <c r="V782" t="str">
        <f>VLOOKUP(H782,'[1]팀별 출판사'!A:B,2,0)</f>
        <v>소설1팀</v>
      </c>
      <c r="W782" s="6">
        <f t="shared" si="24"/>
        <v>0</v>
      </c>
      <c r="X782" s="6">
        <f t="shared" si="25"/>
        <v>0</v>
      </c>
    </row>
    <row r="783" spans="1:24" x14ac:dyDescent="0.3">
      <c r="A783" t="s">
        <v>1294</v>
      </c>
      <c r="B783" t="s">
        <v>1391</v>
      </c>
      <c r="C783" t="s">
        <v>23</v>
      </c>
      <c r="D783" t="s">
        <v>24</v>
      </c>
      <c r="E783" t="s">
        <v>25</v>
      </c>
      <c r="F783">
        <v>1</v>
      </c>
      <c r="G783">
        <v>9791133102716</v>
      </c>
      <c r="H783" t="s">
        <v>32</v>
      </c>
      <c r="I783" t="s">
        <v>673</v>
      </c>
      <c r="J783" t="s">
        <v>51</v>
      </c>
      <c r="K783" t="s">
        <v>29</v>
      </c>
      <c r="L783">
        <v>0</v>
      </c>
      <c r="M783" t="s">
        <v>29</v>
      </c>
      <c r="N783">
        <v>0</v>
      </c>
      <c r="O783">
        <v>0</v>
      </c>
      <c r="P783" t="s">
        <v>30</v>
      </c>
      <c r="Q783" s="2">
        <v>0.7</v>
      </c>
      <c r="R783">
        <v>0</v>
      </c>
      <c r="V783" t="str">
        <f>VLOOKUP(H783,'[1]팀별 출판사'!A:B,2,0)</f>
        <v>소설1팀</v>
      </c>
      <c r="W783" s="6">
        <f t="shared" si="24"/>
        <v>0</v>
      </c>
      <c r="X783" s="6">
        <f t="shared" si="25"/>
        <v>0</v>
      </c>
    </row>
    <row r="784" spans="1:24" x14ac:dyDescent="0.3">
      <c r="A784" t="s">
        <v>1294</v>
      </c>
      <c r="B784" t="s">
        <v>1392</v>
      </c>
      <c r="C784" t="s">
        <v>23</v>
      </c>
      <c r="D784" t="s">
        <v>24</v>
      </c>
      <c r="E784" t="s">
        <v>25</v>
      </c>
      <c r="F784">
        <v>1</v>
      </c>
      <c r="G784">
        <v>9791173785214</v>
      </c>
      <c r="H784" t="s">
        <v>26</v>
      </c>
      <c r="I784" t="s">
        <v>1393</v>
      </c>
      <c r="J784" t="s">
        <v>1394</v>
      </c>
      <c r="K784" t="s">
        <v>29</v>
      </c>
      <c r="L784">
        <v>0</v>
      </c>
      <c r="M784" t="s">
        <v>29</v>
      </c>
      <c r="N784">
        <v>0</v>
      </c>
      <c r="O784">
        <v>0</v>
      </c>
      <c r="P784" t="s">
        <v>30</v>
      </c>
      <c r="Q784" s="2">
        <v>0.7</v>
      </c>
      <c r="R784">
        <v>0</v>
      </c>
      <c r="V784" t="str">
        <f>VLOOKUP(H784,'[1]팀별 출판사'!A:B,2,0)</f>
        <v>소설1팀</v>
      </c>
      <c r="W784" s="6">
        <f t="shared" si="24"/>
        <v>0</v>
      </c>
      <c r="X784" s="6">
        <f t="shared" si="25"/>
        <v>0</v>
      </c>
    </row>
    <row r="785" spans="1:24" x14ac:dyDescent="0.3">
      <c r="A785" t="s">
        <v>1294</v>
      </c>
      <c r="B785" t="s">
        <v>1395</v>
      </c>
      <c r="C785" t="s">
        <v>23</v>
      </c>
      <c r="D785" t="s">
        <v>24</v>
      </c>
      <c r="E785" t="s">
        <v>25</v>
      </c>
      <c r="F785">
        <v>1</v>
      </c>
      <c r="G785">
        <v>9791170100386</v>
      </c>
      <c r="H785" t="s">
        <v>67</v>
      </c>
      <c r="I785" t="s">
        <v>1396</v>
      </c>
      <c r="J785" t="s">
        <v>1007</v>
      </c>
      <c r="K785" t="s">
        <v>29</v>
      </c>
      <c r="L785" s="1">
        <v>2500</v>
      </c>
      <c r="M785" t="s">
        <v>29</v>
      </c>
      <c r="N785" s="1">
        <v>2500</v>
      </c>
      <c r="O785" s="1">
        <v>2500</v>
      </c>
      <c r="P785" t="s">
        <v>30</v>
      </c>
      <c r="Q785" s="2">
        <v>0.7</v>
      </c>
      <c r="R785" s="1">
        <v>1750</v>
      </c>
      <c r="S785" t="s">
        <v>29</v>
      </c>
      <c r="T785" s="1">
        <v>1750</v>
      </c>
      <c r="V785" t="str">
        <f>VLOOKUP(H785,'[1]팀별 출판사'!A:B,2,0)</f>
        <v>소설1팀</v>
      </c>
      <c r="W785" s="6">
        <f t="shared" si="24"/>
        <v>0</v>
      </c>
      <c r="X785" s="6">
        <f t="shared" si="25"/>
        <v>1750</v>
      </c>
    </row>
    <row r="786" spans="1:24" x14ac:dyDescent="0.3">
      <c r="A786" t="s">
        <v>1294</v>
      </c>
      <c r="B786" t="s">
        <v>1397</v>
      </c>
      <c r="C786" t="s">
        <v>23</v>
      </c>
      <c r="D786" t="s">
        <v>24</v>
      </c>
      <c r="E786" t="s">
        <v>25</v>
      </c>
      <c r="F786">
        <v>1</v>
      </c>
      <c r="G786">
        <v>9791133188260</v>
      </c>
      <c r="H786" t="s">
        <v>26</v>
      </c>
      <c r="I786" t="s">
        <v>822</v>
      </c>
      <c r="J786" t="s">
        <v>743</v>
      </c>
      <c r="K786" t="s">
        <v>29</v>
      </c>
      <c r="L786">
        <v>0</v>
      </c>
      <c r="M786" t="s">
        <v>29</v>
      </c>
      <c r="N786">
        <v>0</v>
      </c>
      <c r="O786">
        <v>0</v>
      </c>
      <c r="P786" t="s">
        <v>30</v>
      </c>
      <c r="Q786" s="2">
        <v>0.7</v>
      </c>
      <c r="R786">
        <v>0</v>
      </c>
      <c r="V786" t="str">
        <f>VLOOKUP(H786,'[1]팀별 출판사'!A:B,2,0)</f>
        <v>소설1팀</v>
      </c>
      <c r="W786" s="6">
        <f t="shared" si="24"/>
        <v>0</v>
      </c>
      <c r="X786" s="6">
        <f t="shared" si="25"/>
        <v>0</v>
      </c>
    </row>
    <row r="787" spans="1:24" x14ac:dyDescent="0.3">
      <c r="A787" t="s">
        <v>1294</v>
      </c>
      <c r="B787" t="s">
        <v>1398</v>
      </c>
      <c r="C787" t="s">
        <v>23</v>
      </c>
      <c r="D787" t="s">
        <v>24</v>
      </c>
      <c r="E787" t="s">
        <v>25</v>
      </c>
      <c r="F787">
        <v>1</v>
      </c>
      <c r="G787">
        <v>9791175300651</v>
      </c>
      <c r="H787" t="s">
        <v>26</v>
      </c>
      <c r="I787" t="s">
        <v>1399</v>
      </c>
      <c r="J787" t="s">
        <v>256</v>
      </c>
      <c r="K787" t="s">
        <v>29</v>
      </c>
      <c r="L787">
        <v>0</v>
      </c>
      <c r="M787" t="s">
        <v>29</v>
      </c>
      <c r="N787">
        <v>0</v>
      </c>
      <c r="O787">
        <v>0</v>
      </c>
      <c r="P787" t="s">
        <v>30</v>
      </c>
      <c r="Q787" s="2">
        <v>0.7</v>
      </c>
      <c r="R787">
        <v>0</v>
      </c>
      <c r="V787" t="str">
        <f>VLOOKUP(H787,'[1]팀별 출판사'!A:B,2,0)</f>
        <v>소설1팀</v>
      </c>
      <c r="W787" s="6">
        <f t="shared" si="24"/>
        <v>0</v>
      </c>
      <c r="X787" s="6">
        <f t="shared" si="25"/>
        <v>0</v>
      </c>
    </row>
    <row r="788" spans="1:24" x14ac:dyDescent="0.3">
      <c r="A788" t="s">
        <v>1294</v>
      </c>
      <c r="B788" t="s">
        <v>1400</v>
      </c>
      <c r="C788" t="s">
        <v>23</v>
      </c>
      <c r="D788" t="s">
        <v>24</v>
      </c>
      <c r="E788" t="s">
        <v>25</v>
      </c>
      <c r="F788">
        <v>1</v>
      </c>
      <c r="G788" t="s">
        <v>1401</v>
      </c>
      <c r="H788" t="s">
        <v>32</v>
      </c>
      <c r="I788" t="s">
        <v>1402</v>
      </c>
      <c r="J788" t="s">
        <v>51</v>
      </c>
      <c r="K788" t="s">
        <v>29</v>
      </c>
      <c r="L788" s="1">
        <v>3500</v>
      </c>
      <c r="M788" t="s">
        <v>29</v>
      </c>
      <c r="N788" s="1">
        <v>3500</v>
      </c>
      <c r="O788" s="1">
        <v>3500</v>
      </c>
      <c r="P788" t="s">
        <v>30</v>
      </c>
      <c r="Q788" s="2">
        <v>0.7</v>
      </c>
      <c r="R788" s="1">
        <v>2450</v>
      </c>
      <c r="S788" t="s">
        <v>29</v>
      </c>
      <c r="T788" s="1">
        <v>2450</v>
      </c>
      <c r="V788" t="str">
        <f>VLOOKUP(H788,'[1]팀별 출판사'!A:B,2,0)</f>
        <v>소설1팀</v>
      </c>
      <c r="W788" s="6">
        <f t="shared" si="24"/>
        <v>0</v>
      </c>
      <c r="X788" s="6">
        <f t="shared" si="25"/>
        <v>2450</v>
      </c>
    </row>
    <row r="789" spans="1:24" x14ac:dyDescent="0.3">
      <c r="A789" t="s">
        <v>1294</v>
      </c>
      <c r="B789" t="s">
        <v>1400</v>
      </c>
      <c r="C789" t="s">
        <v>23</v>
      </c>
      <c r="D789" t="s">
        <v>24</v>
      </c>
      <c r="E789" t="s">
        <v>25</v>
      </c>
      <c r="F789">
        <v>1</v>
      </c>
      <c r="G789" t="s">
        <v>1403</v>
      </c>
      <c r="H789" t="s">
        <v>32</v>
      </c>
      <c r="I789" t="s">
        <v>1404</v>
      </c>
      <c r="J789" t="s">
        <v>51</v>
      </c>
      <c r="K789" t="s">
        <v>29</v>
      </c>
      <c r="L789" s="1">
        <v>3500</v>
      </c>
      <c r="M789" t="s">
        <v>29</v>
      </c>
      <c r="N789" s="1">
        <v>3500</v>
      </c>
      <c r="O789" s="1">
        <v>3500</v>
      </c>
      <c r="P789" t="s">
        <v>30</v>
      </c>
      <c r="Q789" s="2">
        <v>0.7</v>
      </c>
      <c r="R789" s="1">
        <v>2450</v>
      </c>
      <c r="S789" t="s">
        <v>29</v>
      </c>
      <c r="T789" s="1">
        <v>2450</v>
      </c>
      <c r="V789" t="str">
        <f>VLOOKUP(H789,'[1]팀별 출판사'!A:B,2,0)</f>
        <v>소설1팀</v>
      </c>
      <c r="W789" s="6">
        <f t="shared" si="24"/>
        <v>0</v>
      </c>
      <c r="X789" s="6">
        <f t="shared" si="25"/>
        <v>2450</v>
      </c>
    </row>
    <row r="790" spans="1:24" x14ac:dyDescent="0.3">
      <c r="A790" t="s">
        <v>1294</v>
      </c>
      <c r="B790" t="s">
        <v>1400</v>
      </c>
      <c r="C790" t="s">
        <v>23</v>
      </c>
      <c r="D790" t="s">
        <v>24</v>
      </c>
      <c r="E790" t="s">
        <v>25</v>
      </c>
      <c r="F790">
        <v>1</v>
      </c>
      <c r="G790" t="s">
        <v>1405</v>
      </c>
      <c r="H790" t="s">
        <v>32</v>
      </c>
      <c r="I790" t="s">
        <v>1406</v>
      </c>
      <c r="J790" t="s">
        <v>51</v>
      </c>
      <c r="K790" t="s">
        <v>29</v>
      </c>
      <c r="L790" s="1">
        <v>3500</v>
      </c>
      <c r="M790" t="s">
        <v>29</v>
      </c>
      <c r="N790" s="1">
        <v>3500</v>
      </c>
      <c r="O790" s="1">
        <v>3500</v>
      </c>
      <c r="P790" t="s">
        <v>30</v>
      </c>
      <c r="Q790" s="2">
        <v>0.7</v>
      </c>
      <c r="R790" s="1">
        <v>2450</v>
      </c>
      <c r="S790" t="s">
        <v>29</v>
      </c>
      <c r="T790" s="1">
        <v>2450</v>
      </c>
      <c r="V790" t="str">
        <f>VLOOKUP(H790,'[1]팀별 출판사'!A:B,2,0)</f>
        <v>소설1팀</v>
      </c>
      <c r="W790" s="6">
        <f t="shared" si="24"/>
        <v>0</v>
      </c>
      <c r="X790" s="6">
        <f t="shared" si="25"/>
        <v>2450</v>
      </c>
    </row>
    <row r="791" spans="1:24" x14ac:dyDescent="0.3">
      <c r="A791" t="s">
        <v>1294</v>
      </c>
      <c r="B791" t="s">
        <v>1400</v>
      </c>
      <c r="C791" t="s">
        <v>23</v>
      </c>
      <c r="D791" t="s">
        <v>24</v>
      </c>
      <c r="E791" t="s">
        <v>25</v>
      </c>
      <c r="F791">
        <v>1</v>
      </c>
      <c r="G791" t="s">
        <v>1407</v>
      </c>
      <c r="H791" t="s">
        <v>32</v>
      </c>
      <c r="I791" t="s">
        <v>1408</v>
      </c>
      <c r="J791" t="s">
        <v>51</v>
      </c>
      <c r="K791" t="s">
        <v>29</v>
      </c>
      <c r="L791" s="1">
        <v>3500</v>
      </c>
      <c r="M791" t="s">
        <v>29</v>
      </c>
      <c r="N791" s="1">
        <v>3500</v>
      </c>
      <c r="O791" s="1">
        <v>3500</v>
      </c>
      <c r="P791" t="s">
        <v>30</v>
      </c>
      <c r="Q791" s="2">
        <v>0.7</v>
      </c>
      <c r="R791" s="1">
        <v>2450</v>
      </c>
      <c r="S791" t="s">
        <v>29</v>
      </c>
      <c r="T791" s="1">
        <v>2450</v>
      </c>
      <c r="V791" t="str">
        <f>VLOOKUP(H791,'[1]팀별 출판사'!A:B,2,0)</f>
        <v>소설1팀</v>
      </c>
      <c r="W791" s="6">
        <f t="shared" si="24"/>
        <v>0</v>
      </c>
      <c r="X791" s="6">
        <f t="shared" si="25"/>
        <v>2450</v>
      </c>
    </row>
    <row r="792" spans="1:24" x14ac:dyDescent="0.3">
      <c r="A792" t="s">
        <v>1294</v>
      </c>
      <c r="B792" t="s">
        <v>1409</v>
      </c>
      <c r="C792" t="s">
        <v>23</v>
      </c>
      <c r="D792" t="s">
        <v>24</v>
      </c>
      <c r="E792" t="s">
        <v>25</v>
      </c>
      <c r="F792">
        <v>1</v>
      </c>
      <c r="G792">
        <v>9791136941589</v>
      </c>
      <c r="H792" t="s">
        <v>26</v>
      </c>
      <c r="I792" t="s">
        <v>1410</v>
      </c>
      <c r="J792" t="s">
        <v>276</v>
      </c>
      <c r="K792" t="s">
        <v>29</v>
      </c>
      <c r="L792">
        <v>0</v>
      </c>
      <c r="M792" t="s">
        <v>29</v>
      </c>
      <c r="N792">
        <v>0</v>
      </c>
      <c r="O792">
        <v>0</v>
      </c>
      <c r="P792" t="s">
        <v>30</v>
      </c>
      <c r="Q792" s="2">
        <v>0.7</v>
      </c>
      <c r="R792">
        <v>0</v>
      </c>
      <c r="V792" t="str">
        <f>VLOOKUP(H792,'[1]팀별 출판사'!A:B,2,0)</f>
        <v>소설1팀</v>
      </c>
      <c r="W792" s="6">
        <f t="shared" si="24"/>
        <v>0</v>
      </c>
      <c r="X792" s="6">
        <f t="shared" si="25"/>
        <v>0</v>
      </c>
    </row>
    <row r="793" spans="1:24" x14ac:dyDescent="0.3">
      <c r="A793" t="s">
        <v>1294</v>
      </c>
      <c r="B793" t="s">
        <v>1411</v>
      </c>
      <c r="C793" t="s">
        <v>23</v>
      </c>
      <c r="D793" t="s">
        <v>24</v>
      </c>
      <c r="E793" t="s">
        <v>25</v>
      </c>
      <c r="F793">
        <v>1</v>
      </c>
      <c r="G793">
        <v>9791170100393</v>
      </c>
      <c r="H793" t="s">
        <v>67</v>
      </c>
      <c r="I793" t="s">
        <v>1412</v>
      </c>
      <c r="J793" t="s">
        <v>1007</v>
      </c>
      <c r="K793" t="s">
        <v>29</v>
      </c>
      <c r="L793" s="1">
        <v>2500</v>
      </c>
      <c r="M793" t="s">
        <v>29</v>
      </c>
      <c r="N793" s="1">
        <v>2500</v>
      </c>
      <c r="O793" s="1">
        <v>2500</v>
      </c>
      <c r="P793" t="s">
        <v>30</v>
      </c>
      <c r="Q793" s="2">
        <v>0.7</v>
      </c>
      <c r="R793" s="1">
        <v>1750</v>
      </c>
      <c r="S793" t="s">
        <v>29</v>
      </c>
      <c r="T793" s="1">
        <v>1750</v>
      </c>
      <c r="V793" t="str">
        <f>VLOOKUP(H793,'[1]팀별 출판사'!A:B,2,0)</f>
        <v>소설1팀</v>
      </c>
      <c r="W793" s="6">
        <f t="shared" si="24"/>
        <v>0</v>
      </c>
      <c r="X793" s="6">
        <f t="shared" si="25"/>
        <v>1750</v>
      </c>
    </row>
    <row r="794" spans="1:24" x14ac:dyDescent="0.3">
      <c r="A794" t="s">
        <v>1294</v>
      </c>
      <c r="B794" t="s">
        <v>1413</v>
      </c>
      <c r="C794" t="s">
        <v>23</v>
      </c>
      <c r="D794" t="s">
        <v>24</v>
      </c>
      <c r="E794" t="s">
        <v>25</v>
      </c>
      <c r="F794">
        <v>1</v>
      </c>
      <c r="G794">
        <v>9791175309784</v>
      </c>
      <c r="H794" t="s">
        <v>36</v>
      </c>
      <c r="I794" t="s">
        <v>1414</v>
      </c>
      <c r="J794" t="s">
        <v>1366</v>
      </c>
      <c r="K794" t="s">
        <v>29</v>
      </c>
      <c r="L794" s="1">
        <v>3500</v>
      </c>
      <c r="M794" t="s">
        <v>29</v>
      </c>
      <c r="N794" s="1">
        <v>3500</v>
      </c>
      <c r="O794" s="1">
        <v>3500</v>
      </c>
      <c r="P794" t="s">
        <v>30</v>
      </c>
      <c r="Q794" s="2">
        <v>0.7</v>
      </c>
      <c r="R794" s="1">
        <v>2450</v>
      </c>
      <c r="S794" t="s">
        <v>29</v>
      </c>
      <c r="T794" s="1">
        <v>2450</v>
      </c>
      <c r="V794" t="str">
        <f>VLOOKUP(H794,'[1]팀별 출판사'!A:B,2,0)</f>
        <v>소설2팀</v>
      </c>
      <c r="W794" s="6">
        <f t="shared" si="24"/>
        <v>0</v>
      </c>
      <c r="X794" s="6">
        <f t="shared" si="25"/>
        <v>2450</v>
      </c>
    </row>
    <row r="795" spans="1:24" x14ac:dyDescent="0.3">
      <c r="A795" t="s">
        <v>1294</v>
      </c>
      <c r="B795" t="s">
        <v>1415</v>
      </c>
      <c r="C795" t="s">
        <v>23</v>
      </c>
      <c r="D795" t="s">
        <v>24</v>
      </c>
      <c r="E795" t="s">
        <v>25</v>
      </c>
      <c r="F795">
        <v>1</v>
      </c>
      <c r="G795">
        <v>9791136923608</v>
      </c>
      <c r="H795" t="s">
        <v>26</v>
      </c>
      <c r="I795" t="s">
        <v>1375</v>
      </c>
      <c r="J795" t="s">
        <v>1376</v>
      </c>
      <c r="K795" t="s">
        <v>29</v>
      </c>
      <c r="L795">
        <v>0</v>
      </c>
      <c r="M795" t="s">
        <v>29</v>
      </c>
      <c r="N795">
        <v>0</v>
      </c>
      <c r="O795">
        <v>0</v>
      </c>
      <c r="P795" t="s">
        <v>30</v>
      </c>
      <c r="Q795" s="2">
        <v>0.7</v>
      </c>
      <c r="R795">
        <v>0</v>
      </c>
      <c r="V795" t="str">
        <f>VLOOKUP(H795,'[1]팀별 출판사'!A:B,2,0)</f>
        <v>소설1팀</v>
      </c>
      <c r="W795" s="6">
        <f t="shared" si="24"/>
        <v>0</v>
      </c>
      <c r="X795" s="6">
        <f t="shared" si="25"/>
        <v>0</v>
      </c>
    </row>
    <row r="796" spans="1:24" x14ac:dyDescent="0.3">
      <c r="A796" t="s">
        <v>1294</v>
      </c>
      <c r="B796" t="s">
        <v>1416</v>
      </c>
      <c r="C796" t="s">
        <v>23</v>
      </c>
      <c r="D796" t="s">
        <v>24</v>
      </c>
      <c r="E796" t="s">
        <v>25</v>
      </c>
      <c r="F796">
        <v>1</v>
      </c>
      <c r="G796">
        <v>9791172927875</v>
      </c>
      <c r="H796" t="s">
        <v>79</v>
      </c>
      <c r="I796" t="s">
        <v>1417</v>
      </c>
      <c r="J796" t="s">
        <v>81</v>
      </c>
      <c r="K796" t="s">
        <v>29</v>
      </c>
      <c r="L796" s="1">
        <v>3200</v>
      </c>
      <c r="M796" t="s">
        <v>29</v>
      </c>
      <c r="N796" s="1">
        <v>3200</v>
      </c>
      <c r="O796" s="1">
        <v>3200</v>
      </c>
      <c r="P796" t="s">
        <v>30</v>
      </c>
      <c r="Q796" s="2">
        <v>0.7</v>
      </c>
      <c r="R796" s="1">
        <v>2240</v>
      </c>
      <c r="S796" t="s">
        <v>29</v>
      </c>
      <c r="T796" s="1">
        <v>2240</v>
      </c>
      <c r="V796" t="str">
        <f>VLOOKUP(H796,'[1]팀별 출판사'!A:B,2,0)</f>
        <v>소설1팀</v>
      </c>
      <c r="W796" s="6">
        <f t="shared" si="24"/>
        <v>0</v>
      </c>
      <c r="X796" s="6">
        <f t="shared" si="25"/>
        <v>2240</v>
      </c>
    </row>
    <row r="797" spans="1:24" x14ac:dyDescent="0.3">
      <c r="A797" t="s">
        <v>1294</v>
      </c>
      <c r="B797" t="s">
        <v>1418</v>
      </c>
      <c r="C797" t="s">
        <v>23</v>
      </c>
      <c r="D797" t="s">
        <v>24</v>
      </c>
      <c r="E797" t="s">
        <v>25</v>
      </c>
      <c r="F797">
        <v>1</v>
      </c>
      <c r="G797">
        <v>9791136932648</v>
      </c>
      <c r="H797" t="s">
        <v>32</v>
      </c>
      <c r="I797" t="s">
        <v>832</v>
      </c>
      <c r="J797" t="s">
        <v>34</v>
      </c>
      <c r="K797" t="s">
        <v>29</v>
      </c>
      <c r="L797">
        <v>0</v>
      </c>
      <c r="M797" t="s">
        <v>29</v>
      </c>
      <c r="N797">
        <v>0</v>
      </c>
      <c r="O797">
        <v>0</v>
      </c>
      <c r="P797" t="s">
        <v>30</v>
      </c>
      <c r="Q797" s="2">
        <v>0.7</v>
      </c>
      <c r="R797">
        <v>0</v>
      </c>
      <c r="V797" t="str">
        <f>VLOOKUP(H797,'[1]팀별 출판사'!A:B,2,0)</f>
        <v>소설1팀</v>
      </c>
      <c r="W797" s="6">
        <f t="shared" si="24"/>
        <v>0</v>
      </c>
      <c r="X797" s="6">
        <f t="shared" si="25"/>
        <v>0</v>
      </c>
    </row>
    <row r="798" spans="1:24" x14ac:dyDescent="0.3">
      <c r="A798" t="s">
        <v>1294</v>
      </c>
      <c r="B798" t="s">
        <v>1419</v>
      </c>
      <c r="C798" t="s">
        <v>23</v>
      </c>
      <c r="D798" t="s">
        <v>24</v>
      </c>
      <c r="E798" t="s">
        <v>25</v>
      </c>
      <c r="F798">
        <v>1</v>
      </c>
      <c r="G798">
        <v>9791136930811</v>
      </c>
      <c r="H798" t="s">
        <v>32</v>
      </c>
      <c r="I798" t="s">
        <v>1011</v>
      </c>
      <c r="J798" t="s">
        <v>34</v>
      </c>
      <c r="K798" t="s">
        <v>29</v>
      </c>
      <c r="L798">
        <v>0</v>
      </c>
      <c r="M798" t="s">
        <v>39</v>
      </c>
      <c r="N798">
        <v>0</v>
      </c>
      <c r="O798">
        <v>0</v>
      </c>
      <c r="P798" t="s">
        <v>1188</v>
      </c>
      <c r="Q798" s="2">
        <v>0.7</v>
      </c>
      <c r="R798">
        <v>0</v>
      </c>
      <c r="V798" t="str">
        <f>VLOOKUP(H798,'[1]팀별 출판사'!A:B,2,0)</f>
        <v>소설1팀</v>
      </c>
      <c r="W798" s="6">
        <f t="shared" si="24"/>
        <v>0</v>
      </c>
      <c r="X798" s="6">
        <f t="shared" si="25"/>
        <v>0</v>
      </c>
    </row>
    <row r="799" spans="1:24" x14ac:dyDescent="0.3">
      <c r="A799" t="s">
        <v>1294</v>
      </c>
      <c r="B799" t="s">
        <v>1420</v>
      </c>
      <c r="C799" t="s">
        <v>23</v>
      </c>
      <c r="D799" t="s">
        <v>24</v>
      </c>
      <c r="E799" t="s">
        <v>25</v>
      </c>
      <c r="F799">
        <v>1</v>
      </c>
      <c r="G799">
        <v>9791136926784</v>
      </c>
      <c r="H799" t="s">
        <v>26</v>
      </c>
      <c r="I799" t="s">
        <v>1421</v>
      </c>
      <c r="J799" t="s">
        <v>62</v>
      </c>
      <c r="K799" t="s">
        <v>29</v>
      </c>
      <c r="L799">
        <v>0</v>
      </c>
      <c r="M799" t="s">
        <v>29</v>
      </c>
      <c r="N799">
        <v>0</v>
      </c>
      <c r="O799">
        <v>0</v>
      </c>
      <c r="P799" t="s">
        <v>30</v>
      </c>
      <c r="Q799" s="2">
        <v>0.7</v>
      </c>
      <c r="R799">
        <v>0</v>
      </c>
      <c r="V799" t="str">
        <f>VLOOKUP(H799,'[1]팀별 출판사'!A:B,2,0)</f>
        <v>소설1팀</v>
      </c>
      <c r="W799" s="6">
        <f t="shared" si="24"/>
        <v>0</v>
      </c>
      <c r="X799" s="6">
        <f t="shared" si="25"/>
        <v>0</v>
      </c>
    </row>
    <row r="800" spans="1:24" x14ac:dyDescent="0.3">
      <c r="A800" t="s">
        <v>1294</v>
      </c>
      <c r="B800" t="s">
        <v>1422</v>
      </c>
      <c r="C800" t="s">
        <v>23</v>
      </c>
      <c r="D800" t="s">
        <v>24</v>
      </c>
      <c r="E800" t="s">
        <v>25</v>
      </c>
      <c r="F800">
        <v>1</v>
      </c>
      <c r="G800">
        <v>9791175309791</v>
      </c>
      <c r="H800" t="s">
        <v>36</v>
      </c>
      <c r="I800" t="s">
        <v>1423</v>
      </c>
      <c r="J800" t="s">
        <v>1366</v>
      </c>
      <c r="K800" t="s">
        <v>29</v>
      </c>
      <c r="L800" s="1">
        <v>3500</v>
      </c>
      <c r="M800" t="s">
        <v>29</v>
      </c>
      <c r="N800" s="1">
        <v>3500</v>
      </c>
      <c r="O800" s="1">
        <v>3500</v>
      </c>
      <c r="P800" t="s">
        <v>30</v>
      </c>
      <c r="Q800" s="2">
        <v>0.7</v>
      </c>
      <c r="R800" s="1">
        <v>2450</v>
      </c>
      <c r="S800" t="s">
        <v>29</v>
      </c>
      <c r="T800" s="1">
        <v>2450</v>
      </c>
      <c r="V800" t="str">
        <f>VLOOKUP(H800,'[1]팀별 출판사'!A:B,2,0)</f>
        <v>소설2팀</v>
      </c>
      <c r="W800" s="6">
        <f t="shared" si="24"/>
        <v>0</v>
      </c>
      <c r="X800" s="6">
        <f t="shared" si="25"/>
        <v>2450</v>
      </c>
    </row>
    <row r="801" spans="1:24" x14ac:dyDescent="0.3">
      <c r="A801" t="s">
        <v>1294</v>
      </c>
      <c r="B801" t="s">
        <v>1424</v>
      </c>
      <c r="C801" t="s">
        <v>23</v>
      </c>
      <c r="D801" t="s">
        <v>24</v>
      </c>
      <c r="E801" t="s">
        <v>25</v>
      </c>
      <c r="F801">
        <v>1</v>
      </c>
      <c r="G801">
        <v>9791136921758</v>
      </c>
      <c r="H801" t="s">
        <v>26</v>
      </c>
      <c r="I801" t="s">
        <v>875</v>
      </c>
      <c r="J801" t="s">
        <v>876</v>
      </c>
      <c r="K801" t="s">
        <v>29</v>
      </c>
      <c r="L801">
        <v>0</v>
      </c>
      <c r="M801" t="s">
        <v>29</v>
      </c>
      <c r="N801">
        <v>0</v>
      </c>
      <c r="O801">
        <v>0</v>
      </c>
      <c r="P801" t="s">
        <v>30</v>
      </c>
      <c r="Q801" s="2">
        <v>0.7</v>
      </c>
      <c r="R801">
        <v>0</v>
      </c>
      <c r="V801" t="str">
        <f>VLOOKUP(H801,'[1]팀별 출판사'!A:B,2,0)</f>
        <v>소설1팀</v>
      </c>
      <c r="W801" s="6">
        <f t="shared" si="24"/>
        <v>0</v>
      </c>
      <c r="X801" s="6">
        <f t="shared" si="25"/>
        <v>0</v>
      </c>
    </row>
    <row r="802" spans="1:24" x14ac:dyDescent="0.3">
      <c r="A802" t="s">
        <v>1294</v>
      </c>
      <c r="B802" t="s">
        <v>1425</v>
      </c>
      <c r="C802" t="s">
        <v>23</v>
      </c>
      <c r="D802" t="s">
        <v>24</v>
      </c>
      <c r="E802" t="s">
        <v>25</v>
      </c>
      <c r="F802">
        <v>1</v>
      </c>
      <c r="G802">
        <v>9791136946782</v>
      </c>
      <c r="H802" t="s">
        <v>26</v>
      </c>
      <c r="I802" t="s">
        <v>291</v>
      </c>
      <c r="J802" t="s">
        <v>28</v>
      </c>
      <c r="K802" t="s">
        <v>29</v>
      </c>
      <c r="L802">
        <v>0</v>
      </c>
      <c r="M802" t="s">
        <v>29</v>
      </c>
      <c r="N802">
        <v>0</v>
      </c>
      <c r="O802">
        <v>0</v>
      </c>
      <c r="P802" t="s">
        <v>30</v>
      </c>
      <c r="Q802" s="2">
        <v>0.7</v>
      </c>
      <c r="R802">
        <v>0</v>
      </c>
      <c r="V802" t="str">
        <f>VLOOKUP(H802,'[1]팀별 출판사'!A:B,2,0)</f>
        <v>소설1팀</v>
      </c>
      <c r="W802" s="6">
        <f t="shared" si="24"/>
        <v>0</v>
      </c>
      <c r="X802" s="6">
        <f t="shared" si="25"/>
        <v>0</v>
      </c>
    </row>
    <row r="803" spans="1:24" x14ac:dyDescent="0.3">
      <c r="A803" t="s">
        <v>1294</v>
      </c>
      <c r="B803" t="s">
        <v>1426</v>
      </c>
      <c r="C803" t="s">
        <v>23</v>
      </c>
      <c r="D803" t="s">
        <v>24</v>
      </c>
      <c r="E803" t="s">
        <v>25</v>
      </c>
      <c r="F803">
        <v>1</v>
      </c>
      <c r="G803" t="s">
        <v>1427</v>
      </c>
      <c r="H803" t="s">
        <v>32</v>
      </c>
      <c r="I803" t="s">
        <v>1428</v>
      </c>
      <c r="J803" t="s">
        <v>202</v>
      </c>
      <c r="K803" t="s">
        <v>29</v>
      </c>
      <c r="L803">
        <v>0</v>
      </c>
      <c r="M803" t="s">
        <v>29</v>
      </c>
      <c r="N803">
        <v>0</v>
      </c>
      <c r="O803">
        <v>0</v>
      </c>
      <c r="P803" t="s">
        <v>30</v>
      </c>
      <c r="Q803" s="2">
        <v>0.7</v>
      </c>
      <c r="R803">
        <v>0</v>
      </c>
      <c r="V803" t="str">
        <f>VLOOKUP(H803,'[1]팀별 출판사'!A:B,2,0)</f>
        <v>소설1팀</v>
      </c>
      <c r="W803" s="6">
        <f t="shared" si="24"/>
        <v>0</v>
      </c>
      <c r="X803" s="6">
        <f t="shared" si="25"/>
        <v>0</v>
      </c>
    </row>
    <row r="804" spans="1:24" x14ac:dyDescent="0.3">
      <c r="A804" t="s">
        <v>1294</v>
      </c>
      <c r="B804" t="s">
        <v>1429</v>
      </c>
      <c r="C804" t="s">
        <v>23</v>
      </c>
      <c r="D804" t="s">
        <v>24</v>
      </c>
      <c r="E804" t="s">
        <v>25</v>
      </c>
      <c r="F804">
        <v>1</v>
      </c>
      <c r="G804">
        <v>9791170100409</v>
      </c>
      <c r="H804" t="s">
        <v>67</v>
      </c>
      <c r="I804" t="s">
        <v>1430</v>
      </c>
      <c r="J804" t="s">
        <v>1007</v>
      </c>
      <c r="K804" t="s">
        <v>29</v>
      </c>
      <c r="L804" s="1">
        <v>2500</v>
      </c>
      <c r="M804" t="s">
        <v>29</v>
      </c>
      <c r="N804" s="1">
        <v>2500</v>
      </c>
      <c r="O804" s="1">
        <v>2500</v>
      </c>
      <c r="P804" t="s">
        <v>30</v>
      </c>
      <c r="Q804" s="2">
        <v>0.7</v>
      </c>
      <c r="R804" s="1">
        <v>1750</v>
      </c>
      <c r="S804" t="s">
        <v>29</v>
      </c>
      <c r="T804" s="1">
        <v>1750</v>
      </c>
      <c r="V804" t="str">
        <f>VLOOKUP(H804,'[1]팀별 출판사'!A:B,2,0)</f>
        <v>소설1팀</v>
      </c>
      <c r="W804" s="6">
        <f t="shared" si="24"/>
        <v>0</v>
      </c>
      <c r="X804" s="6">
        <f t="shared" si="25"/>
        <v>1750</v>
      </c>
    </row>
    <row r="805" spans="1:24" x14ac:dyDescent="0.3">
      <c r="A805" t="s">
        <v>1294</v>
      </c>
      <c r="B805" t="s">
        <v>1431</v>
      </c>
      <c r="C805" t="s">
        <v>23</v>
      </c>
      <c r="D805" t="s">
        <v>24</v>
      </c>
      <c r="E805" t="s">
        <v>25</v>
      </c>
      <c r="F805">
        <v>1</v>
      </c>
      <c r="G805">
        <v>9791157532100</v>
      </c>
      <c r="H805" t="s">
        <v>32</v>
      </c>
      <c r="I805" t="s">
        <v>1432</v>
      </c>
      <c r="J805" t="s">
        <v>112</v>
      </c>
      <c r="K805" t="s">
        <v>29</v>
      </c>
      <c r="L805">
        <v>0</v>
      </c>
      <c r="M805" t="s">
        <v>29</v>
      </c>
      <c r="N805">
        <v>0</v>
      </c>
      <c r="O805">
        <v>0</v>
      </c>
      <c r="P805" t="s">
        <v>30</v>
      </c>
      <c r="Q805" s="2">
        <v>0.7</v>
      </c>
      <c r="R805">
        <v>0</v>
      </c>
      <c r="V805" t="str">
        <f>VLOOKUP(H805,'[1]팀별 출판사'!A:B,2,0)</f>
        <v>소설1팀</v>
      </c>
      <c r="W805" s="6">
        <f t="shared" si="24"/>
        <v>0</v>
      </c>
      <c r="X805" s="6">
        <f t="shared" si="25"/>
        <v>0</v>
      </c>
    </row>
    <row r="806" spans="1:24" x14ac:dyDescent="0.3">
      <c r="A806" t="s">
        <v>1294</v>
      </c>
      <c r="B806" t="s">
        <v>1433</v>
      </c>
      <c r="C806" t="s">
        <v>23</v>
      </c>
      <c r="D806" t="s">
        <v>24</v>
      </c>
      <c r="E806" t="s">
        <v>25</v>
      </c>
      <c r="F806">
        <v>1</v>
      </c>
      <c r="G806">
        <v>9791172920623</v>
      </c>
      <c r="H806" t="s">
        <v>26</v>
      </c>
      <c r="I806" t="s">
        <v>1434</v>
      </c>
      <c r="J806" t="s">
        <v>1435</v>
      </c>
      <c r="K806" t="s">
        <v>29</v>
      </c>
      <c r="L806">
        <v>0</v>
      </c>
      <c r="M806" t="s">
        <v>70</v>
      </c>
      <c r="N806">
        <v>0</v>
      </c>
      <c r="O806">
        <v>0</v>
      </c>
      <c r="P806" t="s">
        <v>71</v>
      </c>
      <c r="Q806" s="2">
        <v>0.7</v>
      </c>
      <c r="R806">
        <v>0</v>
      </c>
      <c r="V806" t="str">
        <f>VLOOKUP(H806,'[1]팀별 출판사'!A:B,2,0)</f>
        <v>소설1팀</v>
      </c>
      <c r="W806" s="6">
        <f t="shared" si="24"/>
        <v>0</v>
      </c>
      <c r="X806" s="6">
        <f t="shared" si="25"/>
        <v>0</v>
      </c>
    </row>
    <row r="807" spans="1:24" x14ac:dyDescent="0.3">
      <c r="A807" t="s">
        <v>1294</v>
      </c>
      <c r="B807" t="s">
        <v>1436</v>
      </c>
      <c r="C807" t="s">
        <v>23</v>
      </c>
      <c r="D807" t="s">
        <v>24</v>
      </c>
      <c r="E807" t="s">
        <v>25</v>
      </c>
      <c r="F807">
        <v>1</v>
      </c>
      <c r="G807">
        <v>9791133188642</v>
      </c>
      <c r="H807" t="s">
        <v>26</v>
      </c>
      <c r="I807" t="s">
        <v>1437</v>
      </c>
      <c r="J807" t="s">
        <v>743</v>
      </c>
      <c r="K807" t="s">
        <v>29</v>
      </c>
      <c r="L807">
        <v>0</v>
      </c>
      <c r="M807" t="s">
        <v>29</v>
      </c>
      <c r="N807">
        <v>0</v>
      </c>
      <c r="O807">
        <v>0</v>
      </c>
      <c r="P807" t="s">
        <v>30</v>
      </c>
      <c r="Q807" s="2">
        <v>0.7</v>
      </c>
      <c r="R807">
        <v>0</v>
      </c>
      <c r="V807" t="str">
        <f>VLOOKUP(H807,'[1]팀별 출판사'!A:B,2,0)</f>
        <v>소설1팀</v>
      </c>
      <c r="W807" s="6">
        <f t="shared" si="24"/>
        <v>0</v>
      </c>
      <c r="X807" s="6">
        <f t="shared" si="25"/>
        <v>0</v>
      </c>
    </row>
    <row r="808" spans="1:24" x14ac:dyDescent="0.3">
      <c r="A808" t="s">
        <v>1294</v>
      </c>
      <c r="B808" t="s">
        <v>1438</v>
      </c>
      <c r="C808" t="s">
        <v>23</v>
      </c>
      <c r="D808" t="s">
        <v>24</v>
      </c>
      <c r="E808" t="s">
        <v>25</v>
      </c>
      <c r="F808">
        <v>1</v>
      </c>
      <c r="G808">
        <v>9791175309807</v>
      </c>
      <c r="H808" t="s">
        <v>36</v>
      </c>
      <c r="I808" t="s">
        <v>1439</v>
      </c>
      <c r="J808" t="s">
        <v>1366</v>
      </c>
      <c r="K808" t="s">
        <v>29</v>
      </c>
      <c r="L808" s="1">
        <v>3500</v>
      </c>
      <c r="M808" t="s">
        <v>29</v>
      </c>
      <c r="N808" s="1">
        <v>3500</v>
      </c>
      <c r="O808" s="1">
        <v>3500</v>
      </c>
      <c r="P808" t="s">
        <v>30</v>
      </c>
      <c r="Q808" s="2">
        <v>0.7</v>
      </c>
      <c r="R808" s="1">
        <v>2450</v>
      </c>
      <c r="S808" t="s">
        <v>29</v>
      </c>
      <c r="T808" s="1">
        <v>2450</v>
      </c>
      <c r="V808" t="str">
        <f>VLOOKUP(H808,'[1]팀별 출판사'!A:B,2,0)</f>
        <v>소설2팀</v>
      </c>
      <c r="W808" s="6">
        <f t="shared" si="24"/>
        <v>0</v>
      </c>
      <c r="X808" s="6">
        <f t="shared" si="25"/>
        <v>2450</v>
      </c>
    </row>
    <row r="809" spans="1:24" x14ac:dyDescent="0.3">
      <c r="A809" t="s">
        <v>1294</v>
      </c>
      <c r="B809" t="s">
        <v>1438</v>
      </c>
      <c r="C809" t="s">
        <v>23</v>
      </c>
      <c r="D809" t="s">
        <v>24</v>
      </c>
      <c r="E809" t="s">
        <v>25</v>
      </c>
      <c r="F809">
        <v>1</v>
      </c>
      <c r="G809">
        <v>9791175309814</v>
      </c>
      <c r="H809" t="s">
        <v>36</v>
      </c>
      <c r="I809" t="s">
        <v>1440</v>
      </c>
      <c r="J809" t="s">
        <v>1366</v>
      </c>
      <c r="K809" t="s">
        <v>29</v>
      </c>
      <c r="L809" s="1">
        <v>3500</v>
      </c>
      <c r="M809" t="s">
        <v>29</v>
      </c>
      <c r="N809" s="1">
        <v>3500</v>
      </c>
      <c r="O809" s="1">
        <v>3500</v>
      </c>
      <c r="P809" t="s">
        <v>30</v>
      </c>
      <c r="Q809" s="2">
        <v>0.7</v>
      </c>
      <c r="R809" s="1">
        <v>2450</v>
      </c>
      <c r="S809" t="s">
        <v>29</v>
      </c>
      <c r="T809" s="1">
        <v>2450</v>
      </c>
      <c r="V809" t="str">
        <f>VLOOKUP(H809,'[1]팀별 출판사'!A:B,2,0)</f>
        <v>소설2팀</v>
      </c>
      <c r="W809" s="6">
        <f t="shared" si="24"/>
        <v>0</v>
      </c>
      <c r="X809" s="6">
        <f t="shared" si="25"/>
        <v>2450</v>
      </c>
    </row>
    <row r="810" spans="1:24" x14ac:dyDescent="0.3">
      <c r="A810" t="s">
        <v>1294</v>
      </c>
      <c r="B810" t="s">
        <v>1438</v>
      </c>
      <c r="C810" t="s">
        <v>23</v>
      </c>
      <c r="D810" t="s">
        <v>24</v>
      </c>
      <c r="E810" t="s">
        <v>25</v>
      </c>
      <c r="F810">
        <v>1</v>
      </c>
      <c r="G810">
        <v>9791175309821</v>
      </c>
      <c r="H810" t="s">
        <v>36</v>
      </c>
      <c r="I810" t="s">
        <v>1441</v>
      </c>
      <c r="J810" t="s">
        <v>1366</v>
      </c>
      <c r="K810" t="s">
        <v>29</v>
      </c>
      <c r="L810" s="1">
        <v>3500</v>
      </c>
      <c r="M810" t="s">
        <v>29</v>
      </c>
      <c r="N810" s="1">
        <v>3500</v>
      </c>
      <c r="O810" s="1">
        <v>3500</v>
      </c>
      <c r="P810" t="s">
        <v>30</v>
      </c>
      <c r="Q810" s="2">
        <v>0.7</v>
      </c>
      <c r="R810" s="1">
        <v>2450</v>
      </c>
      <c r="S810" t="s">
        <v>29</v>
      </c>
      <c r="T810" s="1">
        <v>2450</v>
      </c>
      <c r="V810" t="str">
        <f>VLOOKUP(H810,'[1]팀별 출판사'!A:B,2,0)</f>
        <v>소설2팀</v>
      </c>
      <c r="W810" s="6">
        <f t="shared" si="24"/>
        <v>0</v>
      </c>
      <c r="X810" s="6">
        <f t="shared" si="25"/>
        <v>2450</v>
      </c>
    </row>
    <row r="811" spans="1:24" x14ac:dyDescent="0.3">
      <c r="A811" t="s">
        <v>1294</v>
      </c>
      <c r="B811" t="s">
        <v>1442</v>
      </c>
      <c r="C811" t="s">
        <v>23</v>
      </c>
      <c r="D811" t="s">
        <v>24</v>
      </c>
      <c r="E811" t="s">
        <v>25</v>
      </c>
      <c r="F811">
        <v>1</v>
      </c>
      <c r="G811" t="s">
        <v>1443</v>
      </c>
      <c r="H811" t="s">
        <v>32</v>
      </c>
      <c r="I811" t="s">
        <v>1444</v>
      </c>
      <c r="J811" t="s">
        <v>202</v>
      </c>
      <c r="K811" t="s">
        <v>29</v>
      </c>
      <c r="L811" s="1">
        <v>3200</v>
      </c>
      <c r="M811" t="s">
        <v>29</v>
      </c>
      <c r="N811" s="1">
        <v>3200</v>
      </c>
      <c r="O811" s="1">
        <v>3200</v>
      </c>
      <c r="P811" t="s">
        <v>30</v>
      </c>
      <c r="Q811" s="2">
        <v>0.7</v>
      </c>
      <c r="R811" s="1">
        <v>2240</v>
      </c>
      <c r="S811" t="s">
        <v>29</v>
      </c>
      <c r="T811" s="1">
        <v>2240</v>
      </c>
      <c r="V811" t="str">
        <f>VLOOKUP(H811,'[1]팀별 출판사'!A:B,2,0)</f>
        <v>소설1팀</v>
      </c>
      <c r="W811" s="6">
        <f t="shared" si="24"/>
        <v>0</v>
      </c>
      <c r="X811" s="6">
        <f t="shared" si="25"/>
        <v>2240</v>
      </c>
    </row>
    <row r="812" spans="1:24" x14ac:dyDescent="0.3">
      <c r="A812" t="s">
        <v>1294</v>
      </c>
      <c r="B812" t="s">
        <v>1445</v>
      </c>
      <c r="C812" t="s">
        <v>23</v>
      </c>
      <c r="D812" t="s">
        <v>24</v>
      </c>
      <c r="E812" t="s">
        <v>25</v>
      </c>
      <c r="F812">
        <v>1</v>
      </c>
      <c r="G812">
        <v>9791136930491</v>
      </c>
      <c r="H812" t="s">
        <v>26</v>
      </c>
      <c r="I812" t="s">
        <v>151</v>
      </c>
      <c r="J812" t="s">
        <v>46</v>
      </c>
      <c r="K812" t="s">
        <v>29</v>
      </c>
      <c r="L812">
        <v>0</v>
      </c>
      <c r="M812" t="s">
        <v>47</v>
      </c>
      <c r="N812">
        <v>0</v>
      </c>
      <c r="O812">
        <v>0</v>
      </c>
      <c r="P812" t="s">
        <v>48</v>
      </c>
      <c r="Q812" s="2">
        <v>0.7</v>
      </c>
      <c r="R812">
        <v>0</v>
      </c>
      <c r="V812" t="str">
        <f>VLOOKUP(H812,'[1]팀별 출판사'!A:B,2,0)</f>
        <v>소설1팀</v>
      </c>
      <c r="W812" s="6">
        <f t="shared" si="24"/>
        <v>0</v>
      </c>
      <c r="X812" s="6">
        <f t="shared" si="25"/>
        <v>0</v>
      </c>
    </row>
    <row r="813" spans="1:24" x14ac:dyDescent="0.3">
      <c r="A813" t="s">
        <v>1294</v>
      </c>
      <c r="B813" t="s">
        <v>1446</v>
      </c>
      <c r="C813" t="s">
        <v>23</v>
      </c>
      <c r="D813" t="s">
        <v>24</v>
      </c>
      <c r="E813" t="s">
        <v>25</v>
      </c>
      <c r="F813">
        <v>1</v>
      </c>
      <c r="G813">
        <v>9791175302488</v>
      </c>
      <c r="H813" t="s">
        <v>26</v>
      </c>
      <c r="I813" t="s">
        <v>1447</v>
      </c>
      <c r="J813" t="s">
        <v>603</v>
      </c>
      <c r="K813" t="s">
        <v>29</v>
      </c>
      <c r="L813">
        <v>0</v>
      </c>
      <c r="M813" t="s">
        <v>29</v>
      </c>
      <c r="N813">
        <v>0</v>
      </c>
      <c r="O813">
        <v>0</v>
      </c>
      <c r="P813" t="s">
        <v>30</v>
      </c>
      <c r="Q813" s="2">
        <v>0.7</v>
      </c>
      <c r="R813">
        <v>0</v>
      </c>
      <c r="V813" t="str">
        <f>VLOOKUP(H813,'[1]팀별 출판사'!A:B,2,0)</f>
        <v>소설1팀</v>
      </c>
      <c r="W813" s="6">
        <f t="shared" si="24"/>
        <v>0</v>
      </c>
      <c r="X813" s="6">
        <f t="shared" si="25"/>
        <v>0</v>
      </c>
    </row>
    <row r="814" spans="1:24" x14ac:dyDescent="0.3">
      <c r="A814" t="s">
        <v>1294</v>
      </c>
      <c r="B814" t="s">
        <v>1448</v>
      </c>
      <c r="C814" t="s">
        <v>23</v>
      </c>
      <c r="D814" t="s">
        <v>24</v>
      </c>
      <c r="E814" t="s">
        <v>25</v>
      </c>
      <c r="F814">
        <v>1</v>
      </c>
      <c r="G814">
        <v>9791157531912</v>
      </c>
      <c r="H814" t="s">
        <v>32</v>
      </c>
      <c r="I814" t="s">
        <v>1449</v>
      </c>
      <c r="J814" t="s">
        <v>88</v>
      </c>
      <c r="K814" t="s">
        <v>29</v>
      </c>
      <c r="L814">
        <v>0</v>
      </c>
      <c r="M814" t="s">
        <v>29</v>
      </c>
      <c r="N814">
        <v>0</v>
      </c>
      <c r="O814">
        <v>0</v>
      </c>
      <c r="P814" t="s">
        <v>30</v>
      </c>
      <c r="Q814" s="2">
        <v>0.7</v>
      </c>
      <c r="R814">
        <v>0</v>
      </c>
      <c r="V814" t="str">
        <f>VLOOKUP(H814,'[1]팀별 출판사'!A:B,2,0)</f>
        <v>소설1팀</v>
      </c>
      <c r="W814" s="6">
        <f t="shared" si="24"/>
        <v>0</v>
      </c>
      <c r="X814" s="6">
        <f t="shared" si="25"/>
        <v>0</v>
      </c>
    </row>
    <row r="815" spans="1:24" x14ac:dyDescent="0.3">
      <c r="A815" t="s">
        <v>1294</v>
      </c>
      <c r="B815" t="s">
        <v>1450</v>
      </c>
      <c r="C815" t="s">
        <v>23</v>
      </c>
      <c r="D815" t="s">
        <v>24</v>
      </c>
      <c r="E815" t="s">
        <v>25</v>
      </c>
      <c r="F815">
        <v>1</v>
      </c>
      <c r="G815">
        <v>9791172927011</v>
      </c>
      <c r="H815" t="s">
        <v>26</v>
      </c>
      <c r="I815" t="s">
        <v>1451</v>
      </c>
      <c r="J815" t="s">
        <v>28</v>
      </c>
      <c r="K815" t="s">
        <v>29</v>
      </c>
      <c r="L815" s="1">
        <v>3200</v>
      </c>
      <c r="M815" t="s">
        <v>29</v>
      </c>
      <c r="N815" s="1">
        <v>3200</v>
      </c>
      <c r="O815" s="1">
        <v>3200</v>
      </c>
      <c r="P815" t="s">
        <v>30</v>
      </c>
      <c r="Q815" s="2">
        <v>0.7</v>
      </c>
      <c r="R815" s="1">
        <v>2240</v>
      </c>
      <c r="S815" t="s">
        <v>29</v>
      </c>
      <c r="T815" s="1">
        <v>2240</v>
      </c>
      <c r="V815" t="str">
        <f>VLOOKUP(H815,'[1]팀별 출판사'!A:B,2,0)</f>
        <v>소설1팀</v>
      </c>
      <c r="W815" s="6">
        <f t="shared" si="24"/>
        <v>0</v>
      </c>
      <c r="X815" s="6">
        <f t="shared" si="25"/>
        <v>2240</v>
      </c>
    </row>
    <row r="816" spans="1:24" x14ac:dyDescent="0.3">
      <c r="A816" t="s">
        <v>1294</v>
      </c>
      <c r="B816" t="s">
        <v>1452</v>
      </c>
      <c r="C816" t="s">
        <v>23</v>
      </c>
      <c r="D816" t="s">
        <v>24</v>
      </c>
      <c r="E816" t="s">
        <v>25</v>
      </c>
      <c r="F816">
        <v>1</v>
      </c>
      <c r="G816">
        <v>9791133173402</v>
      </c>
      <c r="H816" t="s">
        <v>26</v>
      </c>
      <c r="I816" t="s">
        <v>1039</v>
      </c>
      <c r="J816" t="s">
        <v>287</v>
      </c>
      <c r="K816" t="s">
        <v>29</v>
      </c>
      <c r="L816">
        <v>0</v>
      </c>
      <c r="M816" t="s">
        <v>29</v>
      </c>
      <c r="N816">
        <v>0</v>
      </c>
      <c r="O816">
        <v>0</v>
      </c>
      <c r="P816" t="s">
        <v>30</v>
      </c>
      <c r="Q816" s="2">
        <v>0.7</v>
      </c>
      <c r="R816">
        <v>0</v>
      </c>
      <c r="V816" t="str">
        <f>VLOOKUP(H816,'[1]팀별 출판사'!A:B,2,0)</f>
        <v>소설1팀</v>
      </c>
      <c r="W816" s="6">
        <f t="shared" si="24"/>
        <v>0</v>
      </c>
      <c r="X816" s="6">
        <f t="shared" si="25"/>
        <v>0</v>
      </c>
    </row>
    <row r="817" spans="1:24" x14ac:dyDescent="0.3">
      <c r="A817" t="s">
        <v>1294</v>
      </c>
      <c r="B817" t="s">
        <v>1453</v>
      </c>
      <c r="C817" t="s">
        <v>23</v>
      </c>
      <c r="D817" t="s">
        <v>24</v>
      </c>
      <c r="E817" t="s">
        <v>25</v>
      </c>
      <c r="F817">
        <v>1</v>
      </c>
      <c r="G817" t="s">
        <v>1454</v>
      </c>
      <c r="H817" t="s">
        <v>32</v>
      </c>
      <c r="I817" t="s">
        <v>1455</v>
      </c>
      <c r="J817" t="s">
        <v>311</v>
      </c>
      <c r="K817" t="s">
        <v>29</v>
      </c>
      <c r="L817" s="1">
        <v>3200</v>
      </c>
      <c r="M817" t="s">
        <v>29</v>
      </c>
      <c r="N817" s="1">
        <v>3200</v>
      </c>
      <c r="O817" s="1">
        <v>3200</v>
      </c>
      <c r="P817" t="s">
        <v>30</v>
      </c>
      <c r="Q817" s="2">
        <v>0.7</v>
      </c>
      <c r="R817" s="1">
        <v>2240</v>
      </c>
      <c r="S817" t="s">
        <v>29</v>
      </c>
      <c r="T817" s="1">
        <v>2240</v>
      </c>
      <c r="V817" t="str">
        <f>VLOOKUP(H817,'[1]팀별 출판사'!A:B,2,0)</f>
        <v>소설1팀</v>
      </c>
      <c r="W817" s="6">
        <f t="shared" si="24"/>
        <v>0</v>
      </c>
      <c r="X817" s="6">
        <f t="shared" si="25"/>
        <v>2240</v>
      </c>
    </row>
    <row r="818" spans="1:24" x14ac:dyDescent="0.3">
      <c r="A818" t="s">
        <v>1294</v>
      </c>
      <c r="B818" t="s">
        <v>1456</v>
      </c>
      <c r="C818" t="s">
        <v>23</v>
      </c>
      <c r="D818" t="s">
        <v>24</v>
      </c>
      <c r="E818" t="s">
        <v>25</v>
      </c>
      <c r="F818">
        <v>1</v>
      </c>
      <c r="G818">
        <v>9791136931375</v>
      </c>
      <c r="H818" t="s">
        <v>32</v>
      </c>
      <c r="I818" t="s">
        <v>189</v>
      </c>
      <c r="J818" t="s">
        <v>46</v>
      </c>
      <c r="K818" t="s">
        <v>29</v>
      </c>
      <c r="L818">
        <v>0</v>
      </c>
      <c r="M818" t="s">
        <v>152</v>
      </c>
      <c r="N818">
        <v>0</v>
      </c>
      <c r="O818">
        <v>0</v>
      </c>
      <c r="P818" t="s">
        <v>153</v>
      </c>
      <c r="Q818" s="2">
        <v>0.7</v>
      </c>
      <c r="R818">
        <v>0</v>
      </c>
      <c r="V818" t="str">
        <f>VLOOKUP(H818,'[1]팀별 출판사'!A:B,2,0)</f>
        <v>소설1팀</v>
      </c>
      <c r="W818" s="6">
        <f t="shared" si="24"/>
        <v>0</v>
      </c>
      <c r="X818" s="6">
        <f t="shared" si="25"/>
        <v>0</v>
      </c>
    </row>
    <row r="819" spans="1:24" x14ac:dyDescent="0.3">
      <c r="A819" t="s">
        <v>1294</v>
      </c>
      <c r="B819" t="s">
        <v>1457</v>
      </c>
      <c r="C819" t="s">
        <v>23</v>
      </c>
      <c r="D819" t="s">
        <v>24</v>
      </c>
      <c r="E819" t="s">
        <v>25</v>
      </c>
      <c r="F819">
        <v>1</v>
      </c>
      <c r="G819" t="s">
        <v>1458</v>
      </c>
      <c r="H819" t="s">
        <v>32</v>
      </c>
      <c r="I819" t="s">
        <v>1459</v>
      </c>
      <c r="J819" t="s">
        <v>166</v>
      </c>
      <c r="K819" t="s">
        <v>29</v>
      </c>
      <c r="L819">
        <v>0</v>
      </c>
      <c r="M819" t="s">
        <v>29</v>
      </c>
      <c r="N819">
        <v>0</v>
      </c>
      <c r="O819">
        <v>0</v>
      </c>
      <c r="P819" t="s">
        <v>30</v>
      </c>
      <c r="Q819" s="2">
        <v>0.7</v>
      </c>
      <c r="R819">
        <v>0</v>
      </c>
      <c r="V819" t="str">
        <f>VLOOKUP(H819,'[1]팀별 출판사'!A:B,2,0)</f>
        <v>소설1팀</v>
      </c>
      <c r="W819" s="6">
        <f t="shared" si="24"/>
        <v>0</v>
      </c>
      <c r="X819" s="6">
        <f t="shared" si="25"/>
        <v>0</v>
      </c>
    </row>
    <row r="820" spans="1:24" x14ac:dyDescent="0.3">
      <c r="A820" t="s">
        <v>1294</v>
      </c>
      <c r="B820" t="s">
        <v>1460</v>
      </c>
      <c r="C820" t="s">
        <v>23</v>
      </c>
      <c r="D820" t="s">
        <v>24</v>
      </c>
      <c r="E820" t="s">
        <v>25</v>
      </c>
      <c r="F820">
        <v>1</v>
      </c>
      <c r="G820">
        <v>9791136903594</v>
      </c>
      <c r="H820" t="s">
        <v>26</v>
      </c>
      <c r="I820" t="s">
        <v>1461</v>
      </c>
      <c r="J820" t="s">
        <v>1376</v>
      </c>
      <c r="K820" t="s">
        <v>29</v>
      </c>
      <c r="L820" s="1">
        <v>3200</v>
      </c>
      <c r="M820" t="s">
        <v>70</v>
      </c>
      <c r="N820">
        <v>2.2200000000000002</v>
      </c>
      <c r="O820">
        <v>2.2200000000000002</v>
      </c>
      <c r="P820" t="s">
        <v>71</v>
      </c>
      <c r="Q820" s="2">
        <v>0.7</v>
      </c>
      <c r="R820">
        <v>1.55</v>
      </c>
      <c r="S820" t="s">
        <v>29</v>
      </c>
      <c r="T820" s="1">
        <v>2269</v>
      </c>
      <c r="U820" s="3">
        <v>1464.7204200000001</v>
      </c>
      <c r="V820" t="str">
        <f>VLOOKUP(H820,'[1]팀별 출판사'!A:B,2,0)</f>
        <v>소설1팀</v>
      </c>
      <c r="W820" s="6">
        <f t="shared" si="24"/>
        <v>680.69999999999993</v>
      </c>
      <c r="X820" s="6">
        <f t="shared" si="25"/>
        <v>1588.3000000000002</v>
      </c>
    </row>
    <row r="821" spans="1:24" x14ac:dyDescent="0.3">
      <c r="A821" t="s">
        <v>1294</v>
      </c>
      <c r="B821" t="s">
        <v>1462</v>
      </c>
      <c r="C821" t="s">
        <v>23</v>
      </c>
      <c r="D821" t="s">
        <v>24</v>
      </c>
      <c r="E821" t="s">
        <v>25</v>
      </c>
      <c r="F821">
        <v>1</v>
      </c>
      <c r="G821">
        <v>9791136946775</v>
      </c>
      <c r="H821" t="s">
        <v>26</v>
      </c>
      <c r="I821" t="s">
        <v>238</v>
      </c>
      <c r="J821" t="s">
        <v>28</v>
      </c>
      <c r="K821" t="s">
        <v>29</v>
      </c>
      <c r="L821">
        <v>0</v>
      </c>
      <c r="M821" t="s">
        <v>29</v>
      </c>
      <c r="N821">
        <v>0</v>
      </c>
      <c r="O821">
        <v>0</v>
      </c>
      <c r="P821" t="s">
        <v>30</v>
      </c>
      <c r="Q821" s="2">
        <v>0.7</v>
      </c>
      <c r="R821">
        <v>0</v>
      </c>
      <c r="V821" t="str">
        <f>VLOOKUP(H821,'[1]팀별 출판사'!A:B,2,0)</f>
        <v>소설1팀</v>
      </c>
      <c r="W821" s="6">
        <f t="shared" si="24"/>
        <v>0</v>
      </c>
      <c r="X821" s="6">
        <f t="shared" si="25"/>
        <v>0</v>
      </c>
    </row>
    <row r="822" spans="1:24" x14ac:dyDescent="0.3">
      <c r="A822" t="s">
        <v>1294</v>
      </c>
      <c r="B822" t="s">
        <v>1463</v>
      </c>
      <c r="C822" t="s">
        <v>23</v>
      </c>
      <c r="D822" t="s">
        <v>24</v>
      </c>
      <c r="E822" t="s">
        <v>25</v>
      </c>
      <c r="F822">
        <v>1</v>
      </c>
      <c r="G822">
        <v>9791133130184</v>
      </c>
      <c r="H822" t="s">
        <v>32</v>
      </c>
      <c r="I822" t="s">
        <v>669</v>
      </c>
      <c r="J822" t="s">
        <v>160</v>
      </c>
      <c r="K822" t="s">
        <v>29</v>
      </c>
      <c r="L822">
        <v>0</v>
      </c>
      <c r="M822" t="s">
        <v>29</v>
      </c>
      <c r="N822">
        <v>0</v>
      </c>
      <c r="O822">
        <v>0</v>
      </c>
      <c r="P822" t="s">
        <v>30</v>
      </c>
      <c r="Q822" s="2">
        <v>0.7</v>
      </c>
      <c r="R822">
        <v>0</v>
      </c>
      <c r="V822" t="str">
        <f>VLOOKUP(H822,'[1]팀별 출판사'!A:B,2,0)</f>
        <v>소설1팀</v>
      </c>
      <c r="W822" s="6">
        <f t="shared" si="24"/>
        <v>0</v>
      </c>
      <c r="X822" s="6">
        <f t="shared" si="25"/>
        <v>0</v>
      </c>
    </row>
    <row r="823" spans="1:24" x14ac:dyDescent="0.3">
      <c r="A823" t="s">
        <v>1294</v>
      </c>
      <c r="B823" t="s">
        <v>1464</v>
      </c>
      <c r="C823" t="s">
        <v>23</v>
      </c>
      <c r="D823" t="s">
        <v>24</v>
      </c>
      <c r="E823" t="s">
        <v>25</v>
      </c>
      <c r="F823">
        <v>1</v>
      </c>
      <c r="G823">
        <v>9791173783739</v>
      </c>
      <c r="H823" t="s">
        <v>36</v>
      </c>
      <c r="I823" t="s">
        <v>191</v>
      </c>
      <c r="J823" t="s">
        <v>119</v>
      </c>
      <c r="K823" t="s">
        <v>29</v>
      </c>
      <c r="L823" s="1">
        <v>3600</v>
      </c>
      <c r="M823" t="s">
        <v>29</v>
      </c>
      <c r="N823" s="1">
        <v>3600</v>
      </c>
      <c r="O823" s="1">
        <v>3600</v>
      </c>
      <c r="P823" t="s">
        <v>30</v>
      </c>
      <c r="Q823" s="2">
        <v>0.7</v>
      </c>
      <c r="R823" s="1">
        <v>2520</v>
      </c>
      <c r="S823" t="s">
        <v>29</v>
      </c>
      <c r="T823" s="1">
        <v>2520</v>
      </c>
      <c r="V823" t="str">
        <f>VLOOKUP(H823,'[1]팀별 출판사'!A:B,2,0)</f>
        <v>소설2팀</v>
      </c>
      <c r="W823" s="6">
        <f t="shared" si="24"/>
        <v>0</v>
      </c>
      <c r="X823" s="6">
        <f t="shared" si="25"/>
        <v>2520</v>
      </c>
    </row>
    <row r="824" spans="1:24" x14ac:dyDescent="0.3">
      <c r="A824" t="s">
        <v>1294</v>
      </c>
      <c r="B824" t="s">
        <v>1465</v>
      </c>
      <c r="C824" t="s">
        <v>23</v>
      </c>
      <c r="D824" t="s">
        <v>24</v>
      </c>
      <c r="E824" t="s">
        <v>25</v>
      </c>
      <c r="F824">
        <v>1</v>
      </c>
      <c r="G824">
        <v>9791133186501</v>
      </c>
      <c r="H824" t="s">
        <v>26</v>
      </c>
      <c r="I824" t="s">
        <v>64</v>
      </c>
      <c r="J824" t="s">
        <v>65</v>
      </c>
      <c r="K824" t="s">
        <v>29</v>
      </c>
      <c r="L824">
        <v>0</v>
      </c>
      <c r="M824" t="s">
        <v>29</v>
      </c>
      <c r="N824">
        <v>0</v>
      </c>
      <c r="O824">
        <v>0</v>
      </c>
      <c r="P824" t="s">
        <v>30</v>
      </c>
      <c r="Q824" s="2">
        <v>0.7</v>
      </c>
      <c r="R824">
        <v>0</v>
      </c>
      <c r="V824" t="str">
        <f>VLOOKUP(H824,'[1]팀별 출판사'!A:B,2,0)</f>
        <v>소설1팀</v>
      </c>
      <c r="W824" s="6">
        <f t="shared" si="24"/>
        <v>0</v>
      </c>
      <c r="X824" s="6">
        <f t="shared" si="25"/>
        <v>0</v>
      </c>
    </row>
    <row r="825" spans="1:24" x14ac:dyDescent="0.3">
      <c r="A825" t="s">
        <v>1294</v>
      </c>
      <c r="B825" t="s">
        <v>1466</v>
      </c>
      <c r="C825" t="s">
        <v>23</v>
      </c>
      <c r="D825" t="s">
        <v>24</v>
      </c>
      <c r="E825" t="s">
        <v>25</v>
      </c>
      <c r="F825">
        <v>1</v>
      </c>
      <c r="G825">
        <v>9791133101863</v>
      </c>
      <c r="H825" t="s">
        <v>32</v>
      </c>
      <c r="I825" t="s">
        <v>159</v>
      </c>
      <c r="J825" t="s">
        <v>160</v>
      </c>
      <c r="K825" t="s">
        <v>29</v>
      </c>
      <c r="L825">
        <v>0</v>
      </c>
      <c r="M825" t="s">
        <v>29</v>
      </c>
      <c r="N825">
        <v>0</v>
      </c>
      <c r="O825">
        <v>0</v>
      </c>
      <c r="P825" t="s">
        <v>30</v>
      </c>
      <c r="Q825" s="2">
        <v>0.7</v>
      </c>
      <c r="R825">
        <v>0</v>
      </c>
      <c r="V825" t="str">
        <f>VLOOKUP(H825,'[1]팀별 출판사'!A:B,2,0)</f>
        <v>소설1팀</v>
      </c>
      <c r="W825" s="6">
        <f t="shared" si="24"/>
        <v>0</v>
      </c>
      <c r="X825" s="6">
        <f t="shared" si="25"/>
        <v>0</v>
      </c>
    </row>
    <row r="826" spans="1:24" x14ac:dyDescent="0.3">
      <c r="A826" t="s">
        <v>1294</v>
      </c>
      <c r="B826" t="s">
        <v>1467</v>
      </c>
      <c r="C826" t="s">
        <v>23</v>
      </c>
      <c r="D826" t="s">
        <v>24</v>
      </c>
      <c r="E826" t="s">
        <v>25</v>
      </c>
      <c r="F826">
        <v>1</v>
      </c>
      <c r="G826">
        <v>9791173783722</v>
      </c>
      <c r="H826" t="s">
        <v>36</v>
      </c>
      <c r="I826" t="s">
        <v>118</v>
      </c>
      <c r="J826" t="s">
        <v>119</v>
      </c>
      <c r="K826" t="s">
        <v>29</v>
      </c>
      <c r="L826" s="1">
        <v>3600</v>
      </c>
      <c r="M826" t="s">
        <v>29</v>
      </c>
      <c r="N826" s="1">
        <v>3600</v>
      </c>
      <c r="O826" s="1">
        <v>3600</v>
      </c>
      <c r="P826" t="s">
        <v>30</v>
      </c>
      <c r="Q826" s="2">
        <v>0.7</v>
      </c>
      <c r="R826" s="1">
        <v>2520</v>
      </c>
      <c r="S826" t="s">
        <v>29</v>
      </c>
      <c r="T826" s="1">
        <v>2520</v>
      </c>
      <c r="V826" t="str">
        <f>VLOOKUP(H826,'[1]팀별 출판사'!A:B,2,0)</f>
        <v>소설2팀</v>
      </c>
      <c r="W826" s="6">
        <f t="shared" si="24"/>
        <v>0</v>
      </c>
      <c r="X826" s="6">
        <f t="shared" si="25"/>
        <v>2520</v>
      </c>
    </row>
    <row r="827" spans="1:24" x14ac:dyDescent="0.3">
      <c r="A827" t="s">
        <v>1294</v>
      </c>
      <c r="B827" t="s">
        <v>1468</v>
      </c>
      <c r="C827" t="s">
        <v>23</v>
      </c>
      <c r="D827" t="s">
        <v>24</v>
      </c>
      <c r="E827" t="s">
        <v>25</v>
      </c>
      <c r="F827">
        <v>1</v>
      </c>
      <c r="G827">
        <v>9791133143856</v>
      </c>
      <c r="H827" t="s">
        <v>32</v>
      </c>
      <c r="I827" t="s">
        <v>1469</v>
      </c>
      <c r="J827" t="s">
        <v>88</v>
      </c>
      <c r="K827" t="s">
        <v>29</v>
      </c>
      <c r="L827" s="1">
        <v>3200</v>
      </c>
      <c r="M827" t="s">
        <v>29</v>
      </c>
      <c r="N827" s="1">
        <v>3200</v>
      </c>
      <c r="O827" s="1">
        <v>3200</v>
      </c>
      <c r="P827" t="s">
        <v>30</v>
      </c>
      <c r="Q827" s="2">
        <v>0.7</v>
      </c>
      <c r="R827" s="1">
        <v>2240</v>
      </c>
      <c r="S827" t="s">
        <v>29</v>
      </c>
      <c r="T827" s="1">
        <v>2240</v>
      </c>
      <c r="V827" t="str">
        <f>VLOOKUP(H827,'[1]팀별 출판사'!A:B,2,0)</f>
        <v>소설1팀</v>
      </c>
      <c r="W827" s="6">
        <f t="shared" si="24"/>
        <v>0</v>
      </c>
      <c r="X827" s="6">
        <f t="shared" si="25"/>
        <v>2240</v>
      </c>
    </row>
    <row r="828" spans="1:24" x14ac:dyDescent="0.3">
      <c r="A828" t="s">
        <v>1294</v>
      </c>
      <c r="B828" t="s">
        <v>1470</v>
      </c>
      <c r="C828" t="s">
        <v>23</v>
      </c>
      <c r="D828" t="s">
        <v>24</v>
      </c>
      <c r="E828" t="s">
        <v>25</v>
      </c>
      <c r="F828">
        <v>1</v>
      </c>
      <c r="G828">
        <v>9791173782824</v>
      </c>
      <c r="H828" t="s">
        <v>26</v>
      </c>
      <c r="I828" t="s">
        <v>1471</v>
      </c>
      <c r="J828" t="s">
        <v>284</v>
      </c>
      <c r="K828" t="s">
        <v>29</v>
      </c>
      <c r="L828" s="1">
        <v>3200</v>
      </c>
      <c r="M828" t="s">
        <v>29</v>
      </c>
      <c r="N828" s="1">
        <v>3200</v>
      </c>
      <c r="O828" s="1">
        <v>3200</v>
      </c>
      <c r="P828" t="s">
        <v>30</v>
      </c>
      <c r="Q828" s="2">
        <v>0.7</v>
      </c>
      <c r="R828" s="1">
        <v>2240</v>
      </c>
      <c r="S828" t="s">
        <v>29</v>
      </c>
      <c r="T828" s="1">
        <v>2240</v>
      </c>
      <c r="V828" t="str">
        <f>VLOOKUP(H828,'[1]팀별 출판사'!A:B,2,0)</f>
        <v>소설1팀</v>
      </c>
      <c r="W828" s="6">
        <f t="shared" si="24"/>
        <v>0</v>
      </c>
      <c r="X828" s="6">
        <f t="shared" si="25"/>
        <v>2240</v>
      </c>
    </row>
    <row r="829" spans="1:24" x14ac:dyDescent="0.3">
      <c r="A829" t="s">
        <v>1294</v>
      </c>
      <c r="B829" t="s">
        <v>1472</v>
      </c>
      <c r="C829" t="s">
        <v>23</v>
      </c>
      <c r="D829" t="s">
        <v>24</v>
      </c>
      <c r="E829" t="s">
        <v>25</v>
      </c>
      <c r="F829">
        <v>1</v>
      </c>
      <c r="G829">
        <v>9791170100959</v>
      </c>
      <c r="H829" t="s">
        <v>67</v>
      </c>
      <c r="I829" t="s">
        <v>423</v>
      </c>
      <c r="J829" t="s">
        <v>424</v>
      </c>
      <c r="K829" t="s">
        <v>29</v>
      </c>
      <c r="L829">
        <v>0</v>
      </c>
      <c r="M829" t="s">
        <v>29</v>
      </c>
      <c r="N829">
        <v>0</v>
      </c>
      <c r="O829">
        <v>0</v>
      </c>
      <c r="P829" t="s">
        <v>30</v>
      </c>
      <c r="Q829" s="2">
        <v>0.7</v>
      </c>
      <c r="R829">
        <v>0</v>
      </c>
      <c r="V829" t="str">
        <f>VLOOKUP(H829,'[1]팀별 출판사'!A:B,2,0)</f>
        <v>소설1팀</v>
      </c>
      <c r="W829" s="6">
        <f t="shared" si="24"/>
        <v>0</v>
      </c>
      <c r="X829" s="6">
        <f t="shared" si="25"/>
        <v>0</v>
      </c>
    </row>
    <row r="830" spans="1:24" x14ac:dyDescent="0.3">
      <c r="A830" t="s">
        <v>1294</v>
      </c>
      <c r="B830" t="s">
        <v>1473</v>
      </c>
      <c r="C830" t="s">
        <v>23</v>
      </c>
      <c r="D830" t="s">
        <v>24</v>
      </c>
      <c r="E830" t="s">
        <v>25</v>
      </c>
      <c r="F830">
        <v>1</v>
      </c>
      <c r="G830">
        <v>9791170107361</v>
      </c>
      <c r="H830" t="s">
        <v>67</v>
      </c>
      <c r="I830" t="s">
        <v>1474</v>
      </c>
      <c r="J830" t="s">
        <v>392</v>
      </c>
      <c r="K830" t="s">
        <v>29</v>
      </c>
      <c r="L830">
        <v>0</v>
      </c>
      <c r="M830" t="s">
        <v>29</v>
      </c>
      <c r="N830">
        <v>0</v>
      </c>
      <c r="O830">
        <v>0</v>
      </c>
      <c r="P830" t="s">
        <v>30</v>
      </c>
      <c r="Q830" s="2">
        <v>0.7</v>
      </c>
      <c r="R830">
        <v>0</v>
      </c>
      <c r="V830" t="str">
        <f>VLOOKUP(H830,'[1]팀별 출판사'!A:B,2,0)</f>
        <v>소설1팀</v>
      </c>
      <c r="W830" s="6">
        <f t="shared" si="24"/>
        <v>0</v>
      </c>
      <c r="X830" s="6">
        <f t="shared" si="25"/>
        <v>0</v>
      </c>
    </row>
    <row r="831" spans="1:24" x14ac:dyDescent="0.3">
      <c r="A831" t="s">
        <v>1294</v>
      </c>
      <c r="B831" t="s">
        <v>1475</v>
      </c>
      <c r="C831" t="s">
        <v>23</v>
      </c>
      <c r="D831" t="s">
        <v>24</v>
      </c>
      <c r="E831" t="s">
        <v>25</v>
      </c>
      <c r="F831">
        <v>1</v>
      </c>
      <c r="G831">
        <v>9791173786136</v>
      </c>
      <c r="H831" t="s">
        <v>79</v>
      </c>
      <c r="I831" t="s">
        <v>1476</v>
      </c>
      <c r="J831" t="s">
        <v>81</v>
      </c>
      <c r="K831" t="s">
        <v>29</v>
      </c>
      <c r="L831">
        <v>0</v>
      </c>
      <c r="M831" t="s">
        <v>29</v>
      </c>
      <c r="N831">
        <v>0</v>
      </c>
      <c r="O831">
        <v>0</v>
      </c>
      <c r="P831" t="s">
        <v>30</v>
      </c>
      <c r="Q831" s="2">
        <v>0.7</v>
      </c>
      <c r="R831">
        <v>0</v>
      </c>
      <c r="V831" t="str">
        <f>VLOOKUP(H831,'[1]팀별 출판사'!A:B,2,0)</f>
        <v>소설1팀</v>
      </c>
      <c r="W831" s="6">
        <f t="shared" si="24"/>
        <v>0</v>
      </c>
      <c r="X831" s="6">
        <f t="shared" si="25"/>
        <v>0</v>
      </c>
    </row>
    <row r="832" spans="1:24" x14ac:dyDescent="0.3">
      <c r="A832" t="s">
        <v>1294</v>
      </c>
      <c r="B832" t="s">
        <v>1477</v>
      </c>
      <c r="C832" t="s">
        <v>23</v>
      </c>
      <c r="D832" t="s">
        <v>24</v>
      </c>
      <c r="E832" t="s">
        <v>25</v>
      </c>
      <c r="F832">
        <v>1</v>
      </c>
      <c r="G832">
        <v>9791133101795</v>
      </c>
      <c r="H832" t="s">
        <v>32</v>
      </c>
      <c r="I832" t="s">
        <v>566</v>
      </c>
      <c r="J832" t="s">
        <v>160</v>
      </c>
      <c r="K832" t="s">
        <v>29</v>
      </c>
      <c r="L832">
        <v>0</v>
      </c>
      <c r="M832" t="s">
        <v>29</v>
      </c>
      <c r="N832">
        <v>0</v>
      </c>
      <c r="O832">
        <v>0</v>
      </c>
      <c r="P832" t="s">
        <v>30</v>
      </c>
      <c r="Q832" s="2">
        <v>0.7</v>
      </c>
      <c r="R832">
        <v>0</v>
      </c>
      <c r="V832" t="str">
        <f>VLOOKUP(H832,'[1]팀별 출판사'!A:B,2,0)</f>
        <v>소설1팀</v>
      </c>
      <c r="W832" s="6">
        <f t="shared" si="24"/>
        <v>0</v>
      </c>
      <c r="X832" s="6">
        <f t="shared" si="25"/>
        <v>0</v>
      </c>
    </row>
    <row r="833" spans="1:24" x14ac:dyDescent="0.3">
      <c r="A833" t="s">
        <v>1294</v>
      </c>
      <c r="B833" t="s">
        <v>1478</v>
      </c>
      <c r="C833" t="s">
        <v>23</v>
      </c>
      <c r="D833" t="s">
        <v>24</v>
      </c>
      <c r="E833" t="s">
        <v>25</v>
      </c>
      <c r="F833">
        <v>1</v>
      </c>
      <c r="G833">
        <v>9791170100607</v>
      </c>
      <c r="H833" t="s">
        <v>67</v>
      </c>
      <c r="I833" t="s">
        <v>1479</v>
      </c>
      <c r="J833" t="s">
        <v>1480</v>
      </c>
      <c r="K833" t="s">
        <v>29</v>
      </c>
      <c r="L833">
        <v>0</v>
      </c>
      <c r="M833" t="s">
        <v>29</v>
      </c>
      <c r="N833">
        <v>0</v>
      </c>
      <c r="O833">
        <v>0</v>
      </c>
      <c r="P833" t="s">
        <v>30</v>
      </c>
      <c r="Q833" s="2">
        <v>0.7</v>
      </c>
      <c r="R833">
        <v>0</v>
      </c>
      <c r="V833" t="str">
        <f>VLOOKUP(H833,'[1]팀별 출판사'!A:B,2,0)</f>
        <v>소설1팀</v>
      </c>
      <c r="W833" s="6">
        <f t="shared" si="24"/>
        <v>0</v>
      </c>
      <c r="X833" s="6">
        <f t="shared" si="25"/>
        <v>0</v>
      </c>
    </row>
    <row r="834" spans="1:24" x14ac:dyDescent="0.3">
      <c r="A834" t="s">
        <v>1294</v>
      </c>
      <c r="B834" t="s">
        <v>1481</v>
      </c>
      <c r="C834" t="s">
        <v>23</v>
      </c>
      <c r="D834" t="s">
        <v>24</v>
      </c>
      <c r="E834" t="s">
        <v>25</v>
      </c>
      <c r="F834">
        <v>1</v>
      </c>
      <c r="G834">
        <v>9791170106715</v>
      </c>
      <c r="H834" t="s">
        <v>67</v>
      </c>
      <c r="I834" t="s">
        <v>68</v>
      </c>
      <c r="J834" t="s">
        <v>69</v>
      </c>
      <c r="K834" t="s">
        <v>29</v>
      </c>
      <c r="L834">
        <v>0</v>
      </c>
      <c r="M834" t="s">
        <v>1482</v>
      </c>
      <c r="N834">
        <v>0</v>
      </c>
      <c r="O834">
        <v>0</v>
      </c>
      <c r="P834" t="s">
        <v>1483</v>
      </c>
      <c r="Q834" s="2">
        <v>0.7</v>
      </c>
      <c r="R834">
        <v>0</v>
      </c>
      <c r="V834" t="str">
        <f>VLOOKUP(H834,'[1]팀별 출판사'!A:B,2,0)</f>
        <v>소설1팀</v>
      </c>
      <c r="W834" s="6">
        <f t="shared" ref="W834:W897" si="26">IF(P834="US", T834*30%, 0)</f>
        <v>0</v>
      </c>
      <c r="X834" s="6">
        <f t="shared" ref="X834:X897" si="27">T834-W834</f>
        <v>0</v>
      </c>
    </row>
    <row r="835" spans="1:24" x14ac:dyDescent="0.3">
      <c r="A835" t="s">
        <v>1294</v>
      </c>
      <c r="B835" t="s">
        <v>1484</v>
      </c>
      <c r="C835" t="s">
        <v>23</v>
      </c>
      <c r="D835" t="s">
        <v>24</v>
      </c>
      <c r="E835" t="s">
        <v>25</v>
      </c>
      <c r="F835">
        <v>1</v>
      </c>
      <c r="G835">
        <v>9791170101321</v>
      </c>
      <c r="H835" t="s">
        <v>67</v>
      </c>
      <c r="I835" t="s">
        <v>848</v>
      </c>
      <c r="J835" t="s">
        <v>414</v>
      </c>
      <c r="K835" t="s">
        <v>29</v>
      </c>
      <c r="L835">
        <v>0</v>
      </c>
      <c r="M835" t="s">
        <v>29</v>
      </c>
      <c r="N835">
        <v>0</v>
      </c>
      <c r="O835">
        <v>0</v>
      </c>
      <c r="P835" t="s">
        <v>30</v>
      </c>
      <c r="Q835" s="2">
        <v>0.7</v>
      </c>
      <c r="R835">
        <v>0</v>
      </c>
      <c r="V835" t="str">
        <f>VLOOKUP(H835,'[1]팀별 출판사'!A:B,2,0)</f>
        <v>소설1팀</v>
      </c>
      <c r="W835" s="6">
        <f t="shared" si="26"/>
        <v>0</v>
      </c>
      <c r="X835" s="6">
        <f t="shared" si="27"/>
        <v>0</v>
      </c>
    </row>
    <row r="836" spans="1:24" x14ac:dyDescent="0.3">
      <c r="A836" t="s">
        <v>1294</v>
      </c>
      <c r="B836" t="s">
        <v>1485</v>
      </c>
      <c r="C836" t="s">
        <v>23</v>
      </c>
      <c r="D836" t="s">
        <v>24</v>
      </c>
      <c r="E836" t="s">
        <v>25</v>
      </c>
      <c r="F836">
        <v>1</v>
      </c>
      <c r="G836">
        <v>9791170106715</v>
      </c>
      <c r="H836" t="s">
        <v>67</v>
      </c>
      <c r="I836" t="s">
        <v>68</v>
      </c>
      <c r="J836" t="s">
        <v>69</v>
      </c>
      <c r="K836" t="s">
        <v>29</v>
      </c>
      <c r="L836">
        <v>0</v>
      </c>
      <c r="M836" t="s">
        <v>1486</v>
      </c>
      <c r="N836">
        <v>0</v>
      </c>
      <c r="O836">
        <v>0</v>
      </c>
      <c r="P836" t="s">
        <v>1487</v>
      </c>
      <c r="Q836" s="2">
        <v>0.7</v>
      </c>
      <c r="R836">
        <v>0</v>
      </c>
      <c r="V836" t="str">
        <f>VLOOKUP(H836,'[1]팀별 출판사'!A:B,2,0)</f>
        <v>소설1팀</v>
      </c>
      <c r="W836" s="6">
        <f t="shared" si="26"/>
        <v>0</v>
      </c>
      <c r="X836" s="6">
        <f t="shared" si="27"/>
        <v>0</v>
      </c>
    </row>
    <row r="837" spans="1:24" x14ac:dyDescent="0.3">
      <c r="A837" t="s">
        <v>1294</v>
      </c>
      <c r="B837" t="s">
        <v>1488</v>
      </c>
      <c r="C837" t="s">
        <v>23</v>
      </c>
      <c r="D837" t="s">
        <v>24</v>
      </c>
      <c r="E837" t="s">
        <v>25</v>
      </c>
      <c r="F837">
        <v>1</v>
      </c>
      <c r="G837">
        <v>9791133147762</v>
      </c>
      <c r="H837" t="s">
        <v>32</v>
      </c>
      <c r="I837" t="s">
        <v>1293</v>
      </c>
      <c r="J837" t="s">
        <v>284</v>
      </c>
      <c r="K837" t="s">
        <v>29</v>
      </c>
      <c r="L837">
        <v>0</v>
      </c>
      <c r="M837" t="s">
        <v>29</v>
      </c>
      <c r="N837">
        <v>0</v>
      </c>
      <c r="O837">
        <v>0</v>
      </c>
      <c r="P837" t="s">
        <v>30</v>
      </c>
      <c r="Q837" s="2">
        <v>0.7</v>
      </c>
      <c r="R837">
        <v>0</v>
      </c>
      <c r="V837" t="str">
        <f>VLOOKUP(H837,'[1]팀별 출판사'!A:B,2,0)</f>
        <v>소설1팀</v>
      </c>
      <c r="W837" s="6">
        <f t="shared" si="26"/>
        <v>0</v>
      </c>
      <c r="X837" s="6">
        <f t="shared" si="27"/>
        <v>0</v>
      </c>
    </row>
    <row r="838" spans="1:24" x14ac:dyDescent="0.3">
      <c r="A838" t="s">
        <v>1489</v>
      </c>
      <c r="B838" t="s">
        <v>1490</v>
      </c>
      <c r="C838" t="s">
        <v>23</v>
      </c>
      <c r="D838" t="s">
        <v>24</v>
      </c>
      <c r="E838" t="s">
        <v>25</v>
      </c>
      <c r="F838">
        <v>1</v>
      </c>
      <c r="G838">
        <v>9791136911216</v>
      </c>
      <c r="H838" t="s">
        <v>32</v>
      </c>
      <c r="I838" t="s">
        <v>918</v>
      </c>
      <c r="J838" t="s">
        <v>160</v>
      </c>
      <c r="K838" t="s">
        <v>29</v>
      </c>
      <c r="L838" s="1">
        <v>3200</v>
      </c>
      <c r="M838" t="s">
        <v>29</v>
      </c>
      <c r="N838" s="1">
        <v>3200</v>
      </c>
      <c r="O838" s="1">
        <v>3200</v>
      </c>
      <c r="P838" t="s">
        <v>30</v>
      </c>
      <c r="Q838" s="2">
        <v>0.7</v>
      </c>
      <c r="R838" s="1">
        <v>2240</v>
      </c>
      <c r="S838" t="s">
        <v>29</v>
      </c>
      <c r="T838" s="1">
        <v>2240</v>
      </c>
      <c r="V838" t="str">
        <f>VLOOKUP(H838,'[1]팀별 출판사'!A:B,2,0)</f>
        <v>소설1팀</v>
      </c>
      <c r="W838" s="6">
        <f t="shared" si="26"/>
        <v>0</v>
      </c>
      <c r="X838" s="6">
        <f t="shared" si="27"/>
        <v>2240</v>
      </c>
    </row>
    <row r="839" spans="1:24" x14ac:dyDescent="0.3">
      <c r="A839" t="s">
        <v>1489</v>
      </c>
      <c r="B839" t="s">
        <v>1491</v>
      </c>
      <c r="C839" t="s">
        <v>23</v>
      </c>
      <c r="D839" t="s">
        <v>24</v>
      </c>
      <c r="E839" t="s">
        <v>25</v>
      </c>
      <c r="F839">
        <v>1</v>
      </c>
      <c r="G839">
        <v>9791133180110</v>
      </c>
      <c r="H839" t="s">
        <v>26</v>
      </c>
      <c r="I839" t="s">
        <v>1492</v>
      </c>
      <c r="J839" t="s">
        <v>321</v>
      </c>
      <c r="K839" t="s">
        <v>29</v>
      </c>
      <c r="L839" s="1">
        <v>3200</v>
      </c>
      <c r="M839" t="s">
        <v>29</v>
      </c>
      <c r="N839" s="1">
        <v>3200</v>
      </c>
      <c r="O839" s="1">
        <v>3200</v>
      </c>
      <c r="P839" t="s">
        <v>30</v>
      </c>
      <c r="Q839" s="2">
        <v>0.7</v>
      </c>
      <c r="R839" s="1">
        <v>2240</v>
      </c>
      <c r="S839" t="s">
        <v>29</v>
      </c>
      <c r="T839" s="1">
        <v>2240</v>
      </c>
      <c r="V839" t="str">
        <f>VLOOKUP(H839,'[1]팀별 출판사'!A:B,2,0)</f>
        <v>소설1팀</v>
      </c>
      <c r="W839" s="6">
        <f t="shared" si="26"/>
        <v>0</v>
      </c>
      <c r="X839" s="6">
        <f t="shared" si="27"/>
        <v>2240</v>
      </c>
    </row>
    <row r="840" spans="1:24" x14ac:dyDescent="0.3">
      <c r="A840" t="s">
        <v>1489</v>
      </c>
      <c r="B840" t="s">
        <v>1493</v>
      </c>
      <c r="C840" t="s">
        <v>23</v>
      </c>
      <c r="D840" t="s">
        <v>24</v>
      </c>
      <c r="E840" t="s">
        <v>25</v>
      </c>
      <c r="F840">
        <v>1</v>
      </c>
      <c r="G840">
        <v>9791133190072</v>
      </c>
      <c r="H840" t="s">
        <v>26</v>
      </c>
      <c r="I840" t="s">
        <v>1494</v>
      </c>
      <c r="J840" t="s">
        <v>1096</v>
      </c>
      <c r="K840" t="s">
        <v>29</v>
      </c>
      <c r="L840" s="1">
        <v>3200</v>
      </c>
      <c r="M840" t="s">
        <v>29</v>
      </c>
      <c r="N840" s="1">
        <v>3200</v>
      </c>
      <c r="O840" s="1">
        <v>3200</v>
      </c>
      <c r="P840" t="s">
        <v>30</v>
      </c>
      <c r="Q840" s="2">
        <v>0.7</v>
      </c>
      <c r="R840" s="1">
        <v>2240</v>
      </c>
      <c r="S840" t="s">
        <v>29</v>
      </c>
      <c r="T840" s="1">
        <v>2240</v>
      </c>
      <c r="V840" t="str">
        <f>VLOOKUP(H840,'[1]팀별 출판사'!A:B,2,0)</f>
        <v>소설1팀</v>
      </c>
      <c r="W840" s="6">
        <f t="shared" si="26"/>
        <v>0</v>
      </c>
      <c r="X840" s="6">
        <f t="shared" si="27"/>
        <v>2240</v>
      </c>
    </row>
    <row r="841" spans="1:24" x14ac:dyDescent="0.3">
      <c r="A841" t="s">
        <v>1489</v>
      </c>
      <c r="B841" t="s">
        <v>1495</v>
      </c>
      <c r="C841" t="s">
        <v>23</v>
      </c>
      <c r="D841" t="s">
        <v>24</v>
      </c>
      <c r="E841" t="s">
        <v>25</v>
      </c>
      <c r="F841">
        <v>1</v>
      </c>
      <c r="G841">
        <v>9791133186501</v>
      </c>
      <c r="H841" t="s">
        <v>26</v>
      </c>
      <c r="I841" t="s">
        <v>64</v>
      </c>
      <c r="J841" t="s">
        <v>65</v>
      </c>
      <c r="K841" t="s">
        <v>29</v>
      </c>
      <c r="L841">
        <v>0</v>
      </c>
      <c r="M841" t="s">
        <v>29</v>
      </c>
      <c r="N841">
        <v>0</v>
      </c>
      <c r="O841">
        <v>0</v>
      </c>
      <c r="P841" t="s">
        <v>30</v>
      </c>
      <c r="Q841" s="2">
        <v>0.7</v>
      </c>
      <c r="R841">
        <v>0</v>
      </c>
      <c r="V841" t="str">
        <f>VLOOKUP(H841,'[1]팀별 출판사'!A:B,2,0)</f>
        <v>소설1팀</v>
      </c>
      <c r="W841" s="6">
        <f t="shared" si="26"/>
        <v>0</v>
      </c>
      <c r="X841" s="6">
        <f t="shared" si="27"/>
        <v>0</v>
      </c>
    </row>
    <row r="842" spans="1:24" x14ac:dyDescent="0.3">
      <c r="A842" t="s">
        <v>1489</v>
      </c>
      <c r="B842" t="s">
        <v>1496</v>
      </c>
      <c r="C842" t="s">
        <v>23</v>
      </c>
      <c r="D842" t="s">
        <v>24</v>
      </c>
      <c r="E842" t="s">
        <v>25</v>
      </c>
      <c r="F842">
        <v>1</v>
      </c>
      <c r="G842">
        <v>9791194664369</v>
      </c>
      <c r="H842" t="s">
        <v>79</v>
      </c>
      <c r="I842" t="s">
        <v>156</v>
      </c>
      <c r="J842" t="s">
        <v>157</v>
      </c>
      <c r="K842" t="s">
        <v>29</v>
      </c>
      <c r="L842">
        <v>0</v>
      </c>
      <c r="M842" t="s">
        <v>29</v>
      </c>
      <c r="N842">
        <v>0</v>
      </c>
      <c r="O842">
        <v>0</v>
      </c>
      <c r="P842" t="s">
        <v>30</v>
      </c>
      <c r="Q842" s="2">
        <v>0.7</v>
      </c>
      <c r="R842">
        <v>0</v>
      </c>
      <c r="V842" t="str">
        <f>VLOOKUP(H842,'[1]팀별 출판사'!A:B,2,0)</f>
        <v>소설1팀</v>
      </c>
      <c r="W842" s="6">
        <f t="shared" si="26"/>
        <v>0</v>
      </c>
      <c r="X842" s="6">
        <f t="shared" si="27"/>
        <v>0</v>
      </c>
    </row>
    <row r="843" spans="1:24" x14ac:dyDescent="0.3">
      <c r="A843" t="s">
        <v>1489</v>
      </c>
      <c r="B843" t="s">
        <v>1497</v>
      </c>
      <c r="C843" t="s">
        <v>23</v>
      </c>
      <c r="D843" t="s">
        <v>24</v>
      </c>
      <c r="E843" t="s">
        <v>25</v>
      </c>
      <c r="F843">
        <v>1</v>
      </c>
      <c r="G843">
        <v>9791133183920</v>
      </c>
      <c r="H843" t="s">
        <v>32</v>
      </c>
      <c r="I843" t="s">
        <v>1498</v>
      </c>
      <c r="J843" t="s">
        <v>436</v>
      </c>
      <c r="K843" t="s">
        <v>29</v>
      </c>
      <c r="L843" s="1">
        <v>3200</v>
      </c>
      <c r="M843" t="s">
        <v>29</v>
      </c>
      <c r="N843" s="1">
        <v>3200</v>
      </c>
      <c r="O843" s="1">
        <v>3200</v>
      </c>
      <c r="P843" t="s">
        <v>30</v>
      </c>
      <c r="Q843" s="2">
        <v>0.7</v>
      </c>
      <c r="R843" s="1">
        <v>2240</v>
      </c>
      <c r="S843" t="s">
        <v>29</v>
      </c>
      <c r="T843" s="1">
        <v>2240</v>
      </c>
      <c r="V843" t="str">
        <f>VLOOKUP(H843,'[1]팀별 출판사'!A:B,2,0)</f>
        <v>소설1팀</v>
      </c>
      <c r="W843" s="6">
        <f t="shared" si="26"/>
        <v>0</v>
      </c>
      <c r="X843" s="6">
        <f t="shared" si="27"/>
        <v>2240</v>
      </c>
    </row>
    <row r="844" spans="1:24" x14ac:dyDescent="0.3">
      <c r="A844" t="s">
        <v>1489</v>
      </c>
      <c r="B844" t="s">
        <v>1499</v>
      </c>
      <c r="C844" t="s">
        <v>23</v>
      </c>
      <c r="D844" t="s">
        <v>24</v>
      </c>
      <c r="E844" t="s">
        <v>25</v>
      </c>
      <c r="F844">
        <v>1</v>
      </c>
      <c r="G844">
        <v>9791133106134</v>
      </c>
      <c r="H844" t="s">
        <v>32</v>
      </c>
      <c r="I844" t="s">
        <v>1500</v>
      </c>
      <c r="J844" t="s">
        <v>160</v>
      </c>
      <c r="K844" t="s">
        <v>29</v>
      </c>
      <c r="L844" s="1">
        <v>3200</v>
      </c>
      <c r="M844" t="s">
        <v>29</v>
      </c>
      <c r="N844" s="1">
        <v>3200</v>
      </c>
      <c r="O844" s="1">
        <v>3200</v>
      </c>
      <c r="P844" t="s">
        <v>30</v>
      </c>
      <c r="Q844" s="2">
        <v>0.7</v>
      </c>
      <c r="R844" s="1">
        <v>2240</v>
      </c>
      <c r="S844" t="s">
        <v>29</v>
      </c>
      <c r="T844" s="1">
        <v>2240</v>
      </c>
      <c r="V844" t="str">
        <f>VLOOKUP(H844,'[1]팀별 출판사'!A:B,2,0)</f>
        <v>소설1팀</v>
      </c>
      <c r="W844" s="6">
        <f t="shared" si="26"/>
        <v>0</v>
      </c>
      <c r="X844" s="6">
        <f t="shared" si="27"/>
        <v>2240</v>
      </c>
    </row>
    <row r="845" spans="1:24" x14ac:dyDescent="0.3">
      <c r="A845" t="s">
        <v>1489</v>
      </c>
      <c r="B845" t="s">
        <v>1499</v>
      </c>
      <c r="C845" t="s">
        <v>23</v>
      </c>
      <c r="D845" t="s">
        <v>24</v>
      </c>
      <c r="E845" t="s">
        <v>25</v>
      </c>
      <c r="F845">
        <v>1</v>
      </c>
      <c r="G845">
        <v>9791133106141</v>
      </c>
      <c r="H845" t="s">
        <v>32</v>
      </c>
      <c r="I845" t="s">
        <v>1501</v>
      </c>
      <c r="J845" t="s">
        <v>160</v>
      </c>
      <c r="K845" t="s">
        <v>29</v>
      </c>
      <c r="L845" s="1">
        <v>3200</v>
      </c>
      <c r="M845" t="s">
        <v>29</v>
      </c>
      <c r="N845" s="1">
        <v>3200</v>
      </c>
      <c r="O845" s="1">
        <v>3200</v>
      </c>
      <c r="P845" t="s">
        <v>30</v>
      </c>
      <c r="Q845" s="2">
        <v>0.7</v>
      </c>
      <c r="R845" s="1">
        <v>2240</v>
      </c>
      <c r="S845" t="s">
        <v>29</v>
      </c>
      <c r="T845" s="1">
        <v>2240</v>
      </c>
      <c r="V845" t="str">
        <f>VLOOKUP(H845,'[1]팀별 출판사'!A:B,2,0)</f>
        <v>소설1팀</v>
      </c>
      <c r="W845" s="6">
        <f t="shared" si="26"/>
        <v>0</v>
      </c>
      <c r="X845" s="6">
        <f t="shared" si="27"/>
        <v>2240</v>
      </c>
    </row>
    <row r="846" spans="1:24" x14ac:dyDescent="0.3">
      <c r="A846" t="s">
        <v>1489</v>
      </c>
      <c r="B846" t="s">
        <v>1502</v>
      </c>
      <c r="C846" t="s">
        <v>23</v>
      </c>
      <c r="D846" t="s">
        <v>24</v>
      </c>
      <c r="E846" t="s">
        <v>25</v>
      </c>
      <c r="F846">
        <v>1</v>
      </c>
      <c r="G846">
        <v>9791173782831</v>
      </c>
      <c r="H846" t="s">
        <v>26</v>
      </c>
      <c r="I846" t="s">
        <v>1503</v>
      </c>
      <c r="J846" t="s">
        <v>284</v>
      </c>
      <c r="K846" t="s">
        <v>29</v>
      </c>
      <c r="L846" s="1">
        <v>3200</v>
      </c>
      <c r="M846" t="s">
        <v>29</v>
      </c>
      <c r="N846" s="1">
        <v>3200</v>
      </c>
      <c r="O846" s="1">
        <v>3200</v>
      </c>
      <c r="P846" t="s">
        <v>30</v>
      </c>
      <c r="Q846" s="2">
        <v>0.7</v>
      </c>
      <c r="R846" s="1">
        <v>2240</v>
      </c>
      <c r="S846" t="s">
        <v>29</v>
      </c>
      <c r="T846" s="1">
        <v>2240</v>
      </c>
      <c r="V846" t="str">
        <f>VLOOKUP(H846,'[1]팀별 출판사'!A:B,2,0)</f>
        <v>소설1팀</v>
      </c>
      <c r="W846" s="6">
        <f t="shared" si="26"/>
        <v>0</v>
      </c>
      <c r="X846" s="6">
        <f t="shared" si="27"/>
        <v>2240</v>
      </c>
    </row>
    <row r="847" spans="1:24" x14ac:dyDescent="0.3">
      <c r="A847" t="s">
        <v>1489</v>
      </c>
      <c r="B847" t="s">
        <v>1504</v>
      </c>
      <c r="C847" t="s">
        <v>23</v>
      </c>
      <c r="D847" t="s">
        <v>24</v>
      </c>
      <c r="E847" t="s">
        <v>25</v>
      </c>
      <c r="F847">
        <v>1</v>
      </c>
      <c r="G847">
        <v>9791136988133</v>
      </c>
      <c r="H847" t="s">
        <v>26</v>
      </c>
      <c r="I847" t="s">
        <v>614</v>
      </c>
      <c r="J847" t="s">
        <v>28</v>
      </c>
      <c r="K847" t="s">
        <v>29</v>
      </c>
      <c r="L847">
        <v>0</v>
      </c>
      <c r="M847" t="s">
        <v>29</v>
      </c>
      <c r="N847">
        <v>0</v>
      </c>
      <c r="O847">
        <v>0</v>
      </c>
      <c r="P847" t="s">
        <v>30</v>
      </c>
      <c r="Q847" s="2">
        <v>0.7</v>
      </c>
      <c r="R847">
        <v>0</v>
      </c>
      <c r="V847" t="str">
        <f>VLOOKUP(H847,'[1]팀별 출판사'!A:B,2,0)</f>
        <v>소설1팀</v>
      </c>
      <c r="W847" s="6">
        <f t="shared" si="26"/>
        <v>0</v>
      </c>
      <c r="X847" s="6">
        <f t="shared" si="27"/>
        <v>0</v>
      </c>
    </row>
    <row r="848" spans="1:24" x14ac:dyDescent="0.3">
      <c r="A848" t="s">
        <v>1489</v>
      </c>
      <c r="B848" t="s">
        <v>1505</v>
      </c>
      <c r="C848" t="s">
        <v>23</v>
      </c>
      <c r="D848" t="s">
        <v>24</v>
      </c>
      <c r="E848" t="s">
        <v>25</v>
      </c>
      <c r="F848">
        <v>1</v>
      </c>
      <c r="G848">
        <v>9791133180066</v>
      </c>
      <c r="H848" t="s">
        <v>26</v>
      </c>
      <c r="I848" t="s">
        <v>320</v>
      </c>
      <c r="J848" t="s">
        <v>321</v>
      </c>
      <c r="K848" t="s">
        <v>29</v>
      </c>
      <c r="L848">
        <v>0</v>
      </c>
      <c r="M848" t="s">
        <v>29</v>
      </c>
      <c r="N848">
        <v>0</v>
      </c>
      <c r="O848">
        <v>0</v>
      </c>
      <c r="P848" t="s">
        <v>30</v>
      </c>
      <c r="Q848" s="2">
        <v>0.7</v>
      </c>
      <c r="R848">
        <v>0</v>
      </c>
      <c r="V848" t="str">
        <f>VLOOKUP(H848,'[1]팀별 출판사'!A:B,2,0)</f>
        <v>소설1팀</v>
      </c>
      <c r="W848" s="6">
        <f t="shared" si="26"/>
        <v>0</v>
      </c>
      <c r="X848" s="6">
        <f t="shared" si="27"/>
        <v>0</v>
      </c>
    </row>
    <row r="849" spans="1:24" x14ac:dyDescent="0.3">
      <c r="A849" t="s">
        <v>1489</v>
      </c>
      <c r="B849" t="s">
        <v>1506</v>
      </c>
      <c r="C849" t="s">
        <v>23</v>
      </c>
      <c r="D849" t="s">
        <v>24</v>
      </c>
      <c r="E849" t="s">
        <v>25</v>
      </c>
      <c r="F849">
        <v>1</v>
      </c>
      <c r="G849">
        <v>9791170107378</v>
      </c>
      <c r="H849" t="s">
        <v>67</v>
      </c>
      <c r="I849" t="s">
        <v>1507</v>
      </c>
      <c r="J849" t="s">
        <v>392</v>
      </c>
      <c r="K849" t="s">
        <v>29</v>
      </c>
      <c r="L849" s="1">
        <v>2500</v>
      </c>
      <c r="M849" t="s">
        <v>29</v>
      </c>
      <c r="N849" s="1">
        <v>2500</v>
      </c>
      <c r="O849" s="1">
        <v>2500</v>
      </c>
      <c r="P849" t="s">
        <v>30</v>
      </c>
      <c r="Q849" s="2">
        <v>0.7</v>
      </c>
      <c r="R849" s="1">
        <v>1750</v>
      </c>
      <c r="S849" t="s">
        <v>29</v>
      </c>
      <c r="T849" s="1">
        <v>1750</v>
      </c>
      <c r="V849" t="str">
        <f>VLOOKUP(H849,'[1]팀별 출판사'!A:B,2,0)</f>
        <v>소설1팀</v>
      </c>
      <c r="W849" s="6">
        <f t="shared" si="26"/>
        <v>0</v>
      </c>
      <c r="X849" s="6">
        <f t="shared" si="27"/>
        <v>1750</v>
      </c>
    </row>
    <row r="850" spans="1:24" x14ac:dyDescent="0.3">
      <c r="A850" t="s">
        <v>1489</v>
      </c>
      <c r="B850" t="s">
        <v>1508</v>
      </c>
      <c r="C850" t="s">
        <v>23</v>
      </c>
      <c r="D850" t="s">
        <v>24</v>
      </c>
      <c r="E850" t="s">
        <v>25</v>
      </c>
      <c r="F850">
        <v>1</v>
      </c>
      <c r="G850">
        <v>9791136930361</v>
      </c>
      <c r="H850" t="s">
        <v>32</v>
      </c>
      <c r="I850" t="s">
        <v>33</v>
      </c>
      <c r="J850" t="s">
        <v>34</v>
      </c>
      <c r="K850" t="s">
        <v>29</v>
      </c>
      <c r="L850">
        <v>0</v>
      </c>
      <c r="M850" t="s">
        <v>29</v>
      </c>
      <c r="N850">
        <v>0</v>
      </c>
      <c r="O850">
        <v>0</v>
      </c>
      <c r="P850" t="s">
        <v>30</v>
      </c>
      <c r="Q850" s="2">
        <v>0.7</v>
      </c>
      <c r="R850">
        <v>0</v>
      </c>
      <c r="V850" t="str">
        <f>VLOOKUP(H850,'[1]팀별 출판사'!A:B,2,0)</f>
        <v>소설1팀</v>
      </c>
      <c r="W850" s="6">
        <f t="shared" si="26"/>
        <v>0</v>
      </c>
      <c r="X850" s="6">
        <f t="shared" si="27"/>
        <v>0</v>
      </c>
    </row>
    <row r="851" spans="1:24" x14ac:dyDescent="0.3">
      <c r="A851" t="s">
        <v>1489</v>
      </c>
      <c r="B851" t="s">
        <v>1509</v>
      </c>
      <c r="C851" t="s">
        <v>23</v>
      </c>
      <c r="D851" t="s">
        <v>24</v>
      </c>
      <c r="E851" t="s">
        <v>25</v>
      </c>
      <c r="F851">
        <v>1</v>
      </c>
      <c r="G851">
        <v>9791170101284</v>
      </c>
      <c r="H851" t="s">
        <v>67</v>
      </c>
      <c r="I851" t="s">
        <v>1187</v>
      </c>
      <c r="J851" t="s">
        <v>414</v>
      </c>
      <c r="K851" t="s">
        <v>29</v>
      </c>
      <c r="L851">
        <v>0</v>
      </c>
      <c r="M851" t="s">
        <v>29</v>
      </c>
      <c r="N851">
        <v>0</v>
      </c>
      <c r="O851">
        <v>0</v>
      </c>
      <c r="P851" t="s">
        <v>30</v>
      </c>
      <c r="Q851" s="2">
        <v>0.7</v>
      </c>
      <c r="R851">
        <v>0</v>
      </c>
      <c r="V851" t="str">
        <f>VLOOKUP(H851,'[1]팀별 출판사'!A:B,2,0)</f>
        <v>소설1팀</v>
      </c>
      <c r="W851" s="6">
        <f t="shared" si="26"/>
        <v>0</v>
      </c>
      <c r="X851" s="6">
        <f t="shared" si="27"/>
        <v>0</v>
      </c>
    </row>
    <row r="852" spans="1:24" x14ac:dyDescent="0.3">
      <c r="A852" t="s">
        <v>1489</v>
      </c>
      <c r="B852" t="s">
        <v>1510</v>
      </c>
      <c r="C852" t="s">
        <v>23</v>
      </c>
      <c r="D852" t="s">
        <v>24</v>
      </c>
      <c r="E852" t="s">
        <v>25</v>
      </c>
      <c r="F852">
        <v>1</v>
      </c>
      <c r="G852">
        <v>9791136988133</v>
      </c>
      <c r="H852" t="s">
        <v>26</v>
      </c>
      <c r="I852" t="s">
        <v>614</v>
      </c>
      <c r="J852" t="s">
        <v>28</v>
      </c>
      <c r="K852" t="s">
        <v>29</v>
      </c>
      <c r="L852">
        <v>0</v>
      </c>
      <c r="M852" t="s">
        <v>29</v>
      </c>
      <c r="N852">
        <v>0</v>
      </c>
      <c r="O852">
        <v>0</v>
      </c>
      <c r="P852" t="s">
        <v>30</v>
      </c>
      <c r="Q852" s="2">
        <v>0.7</v>
      </c>
      <c r="R852">
        <v>0</v>
      </c>
      <c r="V852" t="str">
        <f>VLOOKUP(H852,'[1]팀별 출판사'!A:B,2,0)</f>
        <v>소설1팀</v>
      </c>
      <c r="W852" s="6">
        <f t="shared" si="26"/>
        <v>0</v>
      </c>
      <c r="X852" s="6">
        <f t="shared" si="27"/>
        <v>0</v>
      </c>
    </row>
    <row r="853" spans="1:24" x14ac:dyDescent="0.3">
      <c r="A853" t="s">
        <v>1489</v>
      </c>
      <c r="B853" t="s">
        <v>1511</v>
      </c>
      <c r="C853" t="s">
        <v>23</v>
      </c>
      <c r="D853" t="s">
        <v>24</v>
      </c>
      <c r="E853" t="s">
        <v>25</v>
      </c>
      <c r="F853">
        <v>1</v>
      </c>
      <c r="G853">
        <v>9791136988133</v>
      </c>
      <c r="H853" t="s">
        <v>26</v>
      </c>
      <c r="I853" t="s">
        <v>614</v>
      </c>
      <c r="J853" t="s">
        <v>28</v>
      </c>
      <c r="K853" t="s">
        <v>29</v>
      </c>
      <c r="L853">
        <v>0</v>
      </c>
      <c r="M853" t="s">
        <v>29</v>
      </c>
      <c r="N853">
        <v>0</v>
      </c>
      <c r="O853">
        <v>0</v>
      </c>
      <c r="P853" t="s">
        <v>30</v>
      </c>
      <c r="Q853" s="2">
        <v>0.7</v>
      </c>
      <c r="R853">
        <v>0</v>
      </c>
      <c r="V853" t="str">
        <f>VLOOKUP(H853,'[1]팀별 출판사'!A:B,2,0)</f>
        <v>소설1팀</v>
      </c>
      <c r="W853" s="6">
        <f t="shared" si="26"/>
        <v>0</v>
      </c>
      <c r="X853" s="6">
        <f t="shared" si="27"/>
        <v>0</v>
      </c>
    </row>
    <row r="854" spans="1:24" x14ac:dyDescent="0.3">
      <c r="A854" t="s">
        <v>1489</v>
      </c>
      <c r="B854" t="s">
        <v>1512</v>
      </c>
      <c r="C854" t="s">
        <v>23</v>
      </c>
      <c r="D854" t="s">
        <v>24</v>
      </c>
      <c r="E854" t="s">
        <v>25</v>
      </c>
      <c r="F854">
        <v>1</v>
      </c>
      <c r="G854">
        <v>9791170107965</v>
      </c>
      <c r="H854" t="s">
        <v>67</v>
      </c>
      <c r="I854" t="s">
        <v>843</v>
      </c>
      <c r="J854" t="s">
        <v>402</v>
      </c>
      <c r="K854" t="s">
        <v>29</v>
      </c>
      <c r="L854">
        <v>0</v>
      </c>
      <c r="M854" t="s">
        <v>29</v>
      </c>
      <c r="N854">
        <v>0</v>
      </c>
      <c r="O854">
        <v>0</v>
      </c>
      <c r="P854" t="s">
        <v>30</v>
      </c>
      <c r="Q854" s="2">
        <v>0.7</v>
      </c>
      <c r="R854">
        <v>0</v>
      </c>
      <c r="V854" t="str">
        <f>VLOOKUP(H854,'[1]팀별 출판사'!A:B,2,0)</f>
        <v>소설1팀</v>
      </c>
      <c r="W854" s="6">
        <f t="shared" si="26"/>
        <v>0</v>
      </c>
      <c r="X854" s="6">
        <f t="shared" si="27"/>
        <v>0</v>
      </c>
    </row>
    <row r="855" spans="1:24" x14ac:dyDescent="0.3">
      <c r="A855" t="s">
        <v>1489</v>
      </c>
      <c r="B855" t="s">
        <v>1513</v>
      </c>
      <c r="C855" t="s">
        <v>23</v>
      </c>
      <c r="D855" t="s">
        <v>24</v>
      </c>
      <c r="E855" t="s">
        <v>25</v>
      </c>
      <c r="F855">
        <v>1</v>
      </c>
      <c r="G855">
        <v>9791133107681</v>
      </c>
      <c r="H855" t="s">
        <v>32</v>
      </c>
      <c r="I855" t="s">
        <v>1514</v>
      </c>
      <c r="J855" t="s">
        <v>311</v>
      </c>
      <c r="K855" t="s">
        <v>29</v>
      </c>
      <c r="L855">
        <v>0</v>
      </c>
      <c r="M855" t="s">
        <v>29</v>
      </c>
      <c r="N855">
        <v>0</v>
      </c>
      <c r="O855">
        <v>0</v>
      </c>
      <c r="P855" t="s">
        <v>30</v>
      </c>
      <c r="Q855" s="2">
        <v>0.7</v>
      </c>
      <c r="R855">
        <v>0</v>
      </c>
      <c r="V855" t="str">
        <f>VLOOKUP(H855,'[1]팀별 출판사'!A:B,2,0)</f>
        <v>소설1팀</v>
      </c>
      <c r="W855" s="6">
        <f t="shared" si="26"/>
        <v>0</v>
      </c>
      <c r="X855" s="6">
        <f t="shared" si="27"/>
        <v>0</v>
      </c>
    </row>
    <row r="856" spans="1:24" x14ac:dyDescent="0.3">
      <c r="A856" t="s">
        <v>1489</v>
      </c>
      <c r="B856" t="s">
        <v>1515</v>
      </c>
      <c r="C856" t="s">
        <v>23</v>
      </c>
      <c r="D856" t="s">
        <v>24</v>
      </c>
      <c r="E856" t="s">
        <v>25</v>
      </c>
      <c r="F856">
        <v>1</v>
      </c>
      <c r="G856" t="s">
        <v>1516</v>
      </c>
      <c r="H856" t="s">
        <v>32</v>
      </c>
      <c r="I856" t="s">
        <v>1517</v>
      </c>
      <c r="J856" t="s">
        <v>311</v>
      </c>
      <c r="K856" t="s">
        <v>29</v>
      </c>
      <c r="L856">
        <v>0</v>
      </c>
      <c r="M856" t="s">
        <v>29</v>
      </c>
      <c r="N856">
        <v>0</v>
      </c>
      <c r="O856">
        <v>0</v>
      </c>
      <c r="P856" t="s">
        <v>30</v>
      </c>
      <c r="Q856" s="2">
        <v>0.7</v>
      </c>
      <c r="R856">
        <v>0</v>
      </c>
      <c r="V856" t="str">
        <f>VLOOKUP(H856,'[1]팀별 출판사'!A:B,2,0)</f>
        <v>소설1팀</v>
      </c>
      <c r="W856" s="6">
        <f t="shared" si="26"/>
        <v>0</v>
      </c>
      <c r="X856" s="6">
        <f t="shared" si="27"/>
        <v>0</v>
      </c>
    </row>
    <row r="857" spans="1:24" x14ac:dyDescent="0.3">
      <c r="A857" t="s">
        <v>1489</v>
      </c>
      <c r="B857" t="s">
        <v>1518</v>
      </c>
      <c r="C857" t="s">
        <v>23</v>
      </c>
      <c r="D857" t="s">
        <v>24</v>
      </c>
      <c r="E857" t="s">
        <v>25</v>
      </c>
      <c r="F857">
        <v>1</v>
      </c>
      <c r="G857">
        <v>9791173782848</v>
      </c>
      <c r="H857" t="s">
        <v>26</v>
      </c>
      <c r="I857" t="s">
        <v>1519</v>
      </c>
      <c r="J857" t="s">
        <v>284</v>
      </c>
      <c r="K857" t="s">
        <v>29</v>
      </c>
      <c r="L857" s="1">
        <v>3200</v>
      </c>
      <c r="M857" t="s">
        <v>29</v>
      </c>
      <c r="N857" s="1">
        <v>3200</v>
      </c>
      <c r="O857" s="1">
        <v>3200</v>
      </c>
      <c r="P857" t="s">
        <v>30</v>
      </c>
      <c r="Q857" s="2">
        <v>0.7</v>
      </c>
      <c r="R857" s="1">
        <v>2240</v>
      </c>
      <c r="S857" t="s">
        <v>29</v>
      </c>
      <c r="T857" s="1">
        <v>2240</v>
      </c>
      <c r="V857" t="str">
        <f>VLOOKUP(H857,'[1]팀별 출판사'!A:B,2,0)</f>
        <v>소설1팀</v>
      </c>
      <c r="W857" s="6">
        <f t="shared" si="26"/>
        <v>0</v>
      </c>
      <c r="X857" s="6">
        <f t="shared" si="27"/>
        <v>2240</v>
      </c>
    </row>
    <row r="858" spans="1:24" x14ac:dyDescent="0.3">
      <c r="A858" t="s">
        <v>1489</v>
      </c>
      <c r="B858" t="s">
        <v>1520</v>
      </c>
      <c r="C858" t="s">
        <v>23</v>
      </c>
      <c r="D858" t="s">
        <v>24</v>
      </c>
      <c r="E858" t="s">
        <v>25</v>
      </c>
      <c r="F858">
        <v>1</v>
      </c>
      <c r="G858">
        <v>9791157532117</v>
      </c>
      <c r="H858" t="s">
        <v>32</v>
      </c>
      <c r="I858" t="s">
        <v>236</v>
      </c>
      <c r="J858" t="s">
        <v>112</v>
      </c>
      <c r="K858" t="s">
        <v>29</v>
      </c>
      <c r="L858" s="1">
        <v>3200</v>
      </c>
      <c r="M858" t="s">
        <v>29</v>
      </c>
      <c r="N858" s="1">
        <v>3200</v>
      </c>
      <c r="O858" s="1">
        <v>3200</v>
      </c>
      <c r="P858" t="s">
        <v>30</v>
      </c>
      <c r="Q858" s="2">
        <v>0.7</v>
      </c>
      <c r="R858" s="1">
        <v>2240</v>
      </c>
      <c r="S858" t="s">
        <v>29</v>
      </c>
      <c r="T858" s="1">
        <v>2240</v>
      </c>
      <c r="V858" t="str">
        <f>VLOOKUP(H858,'[1]팀별 출판사'!A:B,2,0)</f>
        <v>소설1팀</v>
      </c>
      <c r="W858" s="6">
        <f t="shared" si="26"/>
        <v>0</v>
      </c>
      <c r="X858" s="6">
        <f t="shared" si="27"/>
        <v>2240</v>
      </c>
    </row>
    <row r="859" spans="1:24" x14ac:dyDescent="0.3">
      <c r="A859" t="s">
        <v>1489</v>
      </c>
      <c r="B859" t="s">
        <v>1521</v>
      </c>
      <c r="C859" t="s">
        <v>23</v>
      </c>
      <c r="D859" t="s">
        <v>24</v>
      </c>
      <c r="E859" t="s">
        <v>25</v>
      </c>
      <c r="F859">
        <v>1</v>
      </c>
      <c r="G859">
        <v>9791170108788</v>
      </c>
      <c r="H859" t="s">
        <v>67</v>
      </c>
      <c r="I859" t="s">
        <v>1522</v>
      </c>
      <c r="J859" t="s">
        <v>1523</v>
      </c>
      <c r="K859" t="s">
        <v>29</v>
      </c>
      <c r="L859">
        <v>0</v>
      </c>
      <c r="M859" t="s">
        <v>29</v>
      </c>
      <c r="N859">
        <v>0</v>
      </c>
      <c r="O859">
        <v>0</v>
      </c>
      <c r="P859" t="s">
        <v>30</v>
      </c>
      <c r="Q859" s="2">
        <v>0.7</v>
      </c>
      <c r="R859">
        <v>0</v>
      </c>
      <c r="V859" t="str">
        <f>VLOOKUP(H859,'[1]팀별 출판사'!A:B,2,0)</f>
        <v>소설1팀</v>
      </c>
      <c r="W859" s="6">
        <f t="shared" si="26"/>
        <v>0</v>
      </c>
      <c r="X859" s="6">
        <f t="shared" si="27"/>
        <v>0</v>
      </c>
    </row>
    <row r="860" spans="1:24" x14ac:dyDescent="0.3">
      <c r="A860" t="s">
        <v>1489</v>
      </c>
      <c r="B860" t="s">
        <v>1524</v>
      </c>
      <c r="C860" t="s">
        <v>23</v>
      </c>
      <c r="D860" t="s">
        <v>24</v>
      </c>
      <c r="E860" t="s">
        <v>25</v>
      </c>
      <c r="F860">
        <v>1</v>
      </c>
      <c r="G860">
        <v>9791136988133</v>
      </c>
      <c r="H860" t="s">
        <v>26</v>
      </c>
      <c r="I860" t="s">
        <v>614</v>
      </c>
      <c r="J860" t="s">
        <v>28</v>
      </c>
      <c r="K860" t="s">
        <v>29</v>
      </c>
      <c r="L860">
        <v>0</v>
      </c>
      <c r="M860" t="s">
        <v>29</v>
      </c>
      <c r="N860">
        <v>0</v>
      </c>
      <c r="O860">
        <v>0</v>
      </c>
      <c r="P860" t="s">
        <v>30</v>
      </c>
      <c r="Q860" s="2">
        <v>0.7</v>
      </c>
      <c r="R860">
        <v>0</v>
      </c>
      <c r="V860" t="str">
        <f>VLOOKUP(H860,'[1]팀별 출판사'!A:B,2,0)</f>
        <v>소설1팀</v>
      </c>
      <c r="W860" s="6">
        <f t="shared" si="26"/>
        <v>0</v>
      </c>
      <c r="X860" s="6">
        <f t="shared" si="27"/>
        <v>0</v>
      </c>
    </row>
    <row r="861" spans="1:24" x14ac:dyDescent="0.3">
      <c r="A861" t="s">
        <v>1489</v>
      </c>
      <c r="B861" t="s">
        <v>1525</v>
      </c>
      <c r="C861" t="s">
        <v>23</v>
      </c>
      <c r="D861" t="s">
        <v>24</v>
      </c>
      <c r="E861" t="s">
        <v>25</v>
      </c>
      <c r="F861">
        <v>1</v>
      </c>
      <c r="G861">
        <v>9791136946775</v>
      </c>
      <c r="H861" t="s">
        <v>26</v>
      </c>
      <c r="I861" t="s">
        <v>238</v>
      </c>
      <c r="J861" t="s">
        <v>28</v>
      </c>
      <c r="K861" t="s">
        <v>29</v>
      </c>
      <c r="L861">
        <v>0</v>
      </c>
      <c r="M861" t="s">
        <v>29</v>
      </c>
      <c r="N861">
        <v>0</v>
      </c>
      <c r="O861">
        <v>0</v>
      </c>
      <c r="P861" t="s">
        <v>30</v>
      </c>
      <c r="Q861" s="2">
        <v>0.7</v>
      </c>
      <c r="R861">
        <v>0</v>
      </c>
      <c r="V861" t="str">
        <f>VLOOKUP(H861,'[1]팀별 출판사'!A:B,2,0)</f>
        <v>소설1팀</v>
      </c>
      <c r="W861" s="6">
        <f t="shared" si="26"/>
        <v>0</v>
      </c>
      <c r="X861" s="6">
        <f t="shared" si="27"/>
        <v>0</v>
      </c>
    </row>
    <row r="862" spans="1:24" x14ac:dyDescent="0.3">
      <c r="A862" t="s">
        <v>1489</v>
      </c>
      <c r="B862" t="s">
        <v>1526</v>
      </c>
      <c r="C862" t="s">
        <v>23</v>
      </c>
      <c r="D862" t="s">
        <v>24</v>
      </c>
      <c r="E862" t="s">
        <v>25</v>
      </c>
      <c r="F862">
        <v>1</v>
      </c>
      <c r="G862">
        <v>9791136919403</v>
      </c>
      <c r="H862" t="s">
        <v>26</v>
      </c>
      <c r="I862" t="s">
        <v>1276</v>
      </c>
      <c r="J862" t="s">
        <v>300</v>
      </c>
      <c r="K862" t="s">
        <v>29</v>
      </c>
      <c r="L862">
        <v>0</v>
      </c>
      <c r="M862" t="s">
        <v>29</v>
      </c>
      <c r="N862">
        <v>0</v>
      </c>
      <c r="O862">
        <v>0</v>
      </c>
      <c r="P862" t="s">
        <v>30</v>
      </c>
      <c r="Q862" s="2">
        <v>0.7</v>
      </c>
      <c r="R862">
        <v>0</v>
      </c>
      <c r="V862" t="str">
        <f>VLOOKUP(H862,'[1]팀별 출판사'!A:B,2,0)</f>
        <v>소설1팀</v>
      </c>
      <c r="W862" s="6">
        <f t="shared" si="26"/>
        <v>0</v>
      </c>
      <c r="X862" s="6">
        <f t="shared" si="27"/>
        <v>0</v>
      </c>
    </row>
    <row r="863" spans="1:24" x14ac:dyDescent="0.3">
      <c r="A863" t="s">
        <v>1489</v>
      </c>
      <c r="B863" t="s">
        <v>1527</v>
      </c>
      <c r="C863" t="s">
        <v>23</v>
      </c>
      <c r="D863" t="s">
        <v>24</v>
      </c>
      <c r="E863" t="s">
        <v>25</v>
      </c>
      <c r="F863">
        <v>1</v>
      </c>
      <c r="G863">
        <v>9791133141913</v>
      </c>
      <c r="H863" t="s">
        <v>32</v>
      </c>
      <c r="I863" t="s">
        <v>510</v>
      </c>
      <c r="J863" t="s">
        <v>511</v>
      </c>
      <c r="K863" t="s">
        <v>29</v>
      </c>
      <c r="L863">
        <v>0</v>
      </c>
      <c r="M863" t="s">
        <v>29</v>
      </c>
      <c r="N863">
        <v>0</v>
      </c>
      <c r="O863">
        <v>0</v>
      </c>
      <c r="P863" t="s">
        <v>30</v>
      </c>
      <c r="Q863" s="2">
        <v>0.7</v>
      </c>
      <c r="R863">
        <v>0</v>
      </c>
      <c r="V863" t="str">
        <f>VLOOKUP(H863,'[1]팀별 출판사'!A:B,2,0)</f>
        <v>소설1팀</v>
      </c>
      <c r="W863" s="6">
        <f t="shared" si="26"/>
        <v>0</v>
      </c>
      <c r="X863" s="6">
        <f t="shared" si="27"/>
        <v>0</v>
      </c>
    </row>
    <row r="864" spans="1:24" x14ac:dyDescent="0.3">
      <c r="A864" t="s">
        <v>1489</v>
      </c>
      <c r="B864" t="s">
        <v>1528</v>
      </c>
      <c r="C864" t="s">
        <v>23</v>
      </c>
      <c r="D864" t="s">
        <v>24</v>
      </c>
      <c r="E864" t="s">
        <v>25</v>
      </c>
      <c r="F864">
        <v>1</v>
      </c>
      <c r="G864">
        <v>9791133101863</v>
      </c>
      <c r="H864" t="s">
        <v>32</v>
      </c>
      <c r="I864" t="s">
        <v>159</v>
      </c>
      <c r="J864" t="s">
        <v>160</v>
      </c>
      <c r="K864" t="s">
        <v>29</v>
      </c>
      <c r="L864">
        <v>0</v>
      </c>
      <c r="M864" t="s">
        <v>29</v>
      </c>
      <c r="N864">
        <v>0</v>
      </c>
      <c r="O864">
        <v>0</v>
      </c>
      <c r="P864" t="s">
        <v>30</v>
      </c>
      <c r="Q864" s="2">
        <v>0.7</v>
      </c>
      <c r="R864">
        <v>0</v>
      </c>
      <c r="V864" t="str">
        <f>VLOOKUP(H864,'[1]팀별 출판사'!A:B,2,0)</f>
        <v>소설1팀</v>
      </c>
      <c r="W864" s="6">
        <f t="shared" si="26"/>
        <v>0</v>
      </c>
      <c r="X864" s="6">
        <f t="shared" si="27"/>
        <v>0</v>
      </c>
    </row>
    <row r="865" spans="1:24" x14ac:dyDescent="0.3">
      <c r="A865" t="s">
        <v>1489</v>
      </c>
      <c r="B865" t="s">
        <v>1529</v>
      </c>
      <c r="C865" t="s">
        <v>23</v>
      </c>
      <c r="D865" t="s">
        <v>24</v>
      </c>
      <c r="E865" t="s">
        <v>25</v>
      </c>
      <c r="F865">
        <v>1</v>
      </c>
      <c r="G865">
        <v>9791133167227</v>
      </c>
      <c r="H865" t="s">
        <v>32</v>
      </c>
      <c r="I865" t="s">
        <v>313</v>
      </c>
      <c r="J865" t="s">
        <v>160</v>
      </c>
      <c r="K865" t="s">
        <v>29</v>
      </c>
      <c r="L865">
        <v>0</v>
      </c>
      <c r="M865" t="s">
        <v>29</v>
      </c>
      <c r="N865">
        <v>0</v>
      </c>
      <c r="O865">
        <v>0</v>
      </c>
      <c r="P865" t="s">
        <v>30</v>
      </c>
      <c r="Q865" s="2">
        <v>0.7</v>
      </c>
      <c r="R865">
        <v>0</v>
      </c>
      <c r="V865" t="str">
        <f>VLOOKUP(H865,'[1]팀별 출판사'!A:B,2,0)</f>
        <v>소설1팀</v>
      </c>
      <c r="W865" s="6">
        <f t="shared" si="26"/>
        <v>0</v>
      </c>
      <c r="X865" s="6">
        <f t="shared" si="27"/>
        <v>0</v>
      </c>
    </row>
    <row r="866" spans="1:24" x14ac:dyDescent="0.3">
      <c r="A866" t="s">
        <v>1489</v>
      </c>
      <c r="B866" t="s">
        <v>1530</v>
      </c>
      <c r="C866" t="s">
        <v>23</v>
      </c>
      <c r="D866" t="s">
        <v>24</v>
      </c>
      <c r="E866" t="s">
        <v>25</v>
      </c>
      <c r="F866">
        <v>1</v>
      </c>
      <c r="G866">
        <v>9791133190089</v>
      </c>
      <c r="H866" t="s">
        <v>26</v>
      </c>
      <c r="I866" t="s">
        <v>1531</v>
      </c>
      <c r="J866" t="s">
        <v>1096</v>
      </c>
      <c r="K866" t="s">
        <v>29</v>
      </c>
      <c r="L866" s="1">
        <v>3200</v>
      </c>
      <c r="M866" t="s">
        <v>29</v>
      </c>
      <c r="N866" s="1">
        <v>3200</v>
      </c>
      <c r="O866" s="1">
        <v>3200</v>
      </c>
      <c r="P866" t="s">
        <v>30</v>
      </c>
      <c r="Q866" s="2">
        <v>0.7</v>
      </c>
      <c r="R866" s="1">
        <v>2240</v>
      </c>
      <c r="S866" t="s">
        <v>29</v>
      </c>
      <c r="T866" s="1">
        <v>2240</v>
      </c>
      <c r="V866" t="str">
        <f>VLOOKUP(H866,'[1]팀별 출판사'!A:B,2,0)</f>
        <v>소설1팀</v>
      </c>
      <c r="W866" s="6">
        <f t="shared" si="26"/>
        <v>0</v>
      </c>
      <c r="X866" s="6">
        <f t="shared" si="27"/>
        <v>2240</v>
      </c>
    </row>
    <row r="867" spans="1:24" x14ac:dyDescent="0.3">
      <c r="A867" t="s">
        <v>1489</v>
      </c>
      <c r="B867" t="s">
        <v>1532</v>
      </c>
      <c r="C867" t="s">
        <v>23</v>
      </c>
      <c r="D867" t="s">
        <v>24</v>
      </c>
      <c r="E867" t="s">
        <v>25</v>
      </c>
      <c r="F867">
        <v>1</v>
      </c>
      <c r="G867">
        <v>9791175301009</v>
      </c>
      <c r="H867" t="s">
        <v>26</v>
      </c>
      <c r="I867" t="s">
        <v>1533</v>
      </c>
      <c r="J867" t="s">
        <v>965</v>
      </c>
      <c r="K867" t="s">
        <v>29</v>
      </c>
      <c r="L867" s="1">
        <v>3200</v>
      </c>
      <c r="M867" t="s">
        <v>29</v>
      </c>
      <c r="N867" s="1">
        <v>3200</v>
      </c>
      <c r="O867" s="1">
        <v>3200</v>
      </c>
      <c r="P867" t="s">
        <v>30</v>
      </c>
      <c r="Q867" s="2">
        <v>0.7</v>
      </c>
      <c r="R867" s="1">
        <v>2240</v>
      </c>
      <c r="S867" t="s">
        <v>29</v>
      </c>
      <c r="T867" s="1">
        <v>2240</v>
      </c>
      <c r="V867" t="str">
        <f>VLOOKUP(H867,'[1]팀별 출판사'!A:B,2,0)</f>
        <v>소설1팀</v>
      </c>
      <c r="W867" s="6">
        <f t="shared" si="26"/>
        <v>0</v>
      </c>
      <c r="X867" s="6">
        <f t="shared" si="27"/>
        <v>2240</v>
      </c>
    </row>
    <row r="868" spans="1:24" x14ac:dyDescent="0.3">
      <c r="A868" t="s">
        <v>1489</v>
      </c>
      <c r="B868" t="s">
        <v>1534</v>
      </c>
      <c r="C868" t="s">
        <v>23</v>
      </c>
      <c r="D868" t="s">
        <v>24</v>
      </c>
      <c r="E868" t="s">
        <v>25</v>
      </c>
      <c r="F868">
        <v>1</v>
      </c>
      <c r="G868">
        <v>9791175302280</v>
      </c>
      <c r="H868" t="s">
        <v>26</v>
      </c>
      <c r="I868" t="s">
        <v>1535</v>
      </c>
      <c r="J868" t="s">
        <v>1536</v>
      </c>
      <c r="K868" t="s">
        <v>29</v>
      </c>
      <c r="L868">
        <v>0</v>
      </c>
      <c r="M868" t="s">
        <v>29</v>
      </c>
      <c r="N868">
        <v>0</v>
      </c>
      <c r="O868">
        <v>0</v>
      </c>
      <c r="P868" t="s">
        <v>30</v>
      </c>
      <c r="Q868" s="2">
        <v>0.7</v>
      </c>
      <c r="R868">
        <v>0</v>
      </c>
      <c r="V868" t="str">
        <f>VLOOKUP(H868,'[1]팀별 출판사'!A:B,2,0)</f>
        <v>소설1팀</v>
      </c>
      <c r="W868" s="6">
        <f t="shared" si="26"/>
        <v>0</v>
      </c>
      <c r="X868" s="6">
        <f t="shared" si="27"/>
        <v>0</v>
      </c>
    </row>
    <row r="869" spans="1:24" x14ac:dyDescent="0.3">
      <c r="A869" t="s">
        <v>1489</v>
      </c>
      <c r="B869" t="s">
        <v>1537</v>
      </c>
      <c r="C869" t="s">
        <v>23</v>
      </c>
      <c r="D869" t="s">
        <v>24</v>
      </c>
      <c r="E869" t="s">
        <v>25</v>
      </c>
      <c r="F869">
        <v>1</v>
      </c>
      <c r="G869">
        <v>9791133143832</v>
      </c>
      <c r="H869" t="s">
        <v>32</v>
      </c>
      <c r="I869" t="s">
        <v>1538</v>
      </c>
      <c r="J869" t="s">
        <v>88</v>
      </c>
      <c r="K869" t="s">
        <v>29</v>
      </c>
      <c r="L869" s="1">
        <v>3200</v>
      </c>
      <c r="M869" t="s">
        <v>29</v>
      </c>
      <c r="N869" s="1">
        <v>3200</v>
      </c>
      <c r="O869" s="1">
        <v>3200</v>
      </c>
      <c r="P869" t="s">
        <v>30</v>
      </c>
      <c r="Q869" s="2">
        <v>0.7</v>
      </c>
      <c r="R869" s="1">
        <v>2240</v>
      </c>
      <c r="S869" t="s">
        <v>29</v>
      </c>
      <c r="T869" s="1">
        <v>2240</v>
      </c>
      <c r="V869" t="str">
        <f>VLOOKUP(H869,'[1]팀별 출판사'!A:B,2,0)</f>
        <v>소설1팀</v>
      </c>
      <c r="W869" s="6">
        <f t="shared" si="26"/>
        <v>0</v>
      </c>
      <c r="X869" s="6">
        <f t="shared" si="27"/>
        <v>2240</v>
      </c>
    </row>
    <row r="870" spans="1:24" x14ac:dyDescent="0.3">
      <c r="A870" t="s">
        <v>1489</v>
      </c>
      <c r="B870" t="s">
        <v>1539</v>
      </c>
      <c r="C870" t="s">
        <v>23</v>
      </c>
      <c r="D870" t="s">
        <v>24</v>
      </c>
      <c r="E870" t="s">
        <v>25</v>
      </c>
      <c r="F870">
        <v>1</v>
      </c>
      <c r="G870">
        <v>9791136931375</v>
      </c>
      <c r="H870" t="s">
        <v>32</v>
      </c>
      <c r="I870" t="s">
        <v>189</v>
      </c>
      <c r="J870" t="s">
        <v>46</v>
      </c>
      <c r="K870" t="s">
        <v>29</v>
      </c>
      <c r="L870">
        <v>0</v>
      </c>
      <c r="M870" t="s">
        <v>47</v>
      </c>
      <c r="N870">
        <v>0</v>
      </c>
      <c r="O870">
        <v>0</v>
      </c>
      <c r="P870" t="s">
        <v>48</v>
      </c>
      <c r="Q870" s="2">
        <v>0.7</v>
      </c>
      <c r="R870">
        <v>0</v>
      </c>
      <c r="V870" t="str">
        <f>VLOOKUP(H870,'[1]팀별 출판사'!A:B,2,0)</f>
        <v>소설1팀</v>
      </c>
      <c r="W870" s="6">
        <f t="shared" si="26"/>
        <v>0</v>
      </c>
      <c r="X870" s="6">
        <f t="shared" si="27"/>
        <v>0</v>
      </c>
    </row>
    <row r="871" spans="1:24" x14ac:dyDescent="0.3">
      <c r="A871" t="s">
        <v>1489</v>
      </c>
      <c r="B871" t="s">
        <v>1540</v>
      </c>
      <c r="C871" t="s">
        <v>23</v>
      </c>
      <c r="D871" t="s">
        <v>24</v>
      </c>
      <c r="E871" t="s">
        <v>25</v>
      </c>
      <c r="F871">
        <v>1</v>
      </c>
      <c r="G871">
        <v>9791173785092</v>
      </c>
      <c r="H871" t="s">
        <v>26</v>
      </c>
      <c r="I871" t="s">
        <v>327</v>
      </c>
      <c r="J871" t="s">
        <v>62</v>
      </c>
      <c r="K871" t="s">
        <v>29</v>
      </c>
      <c r="L871">
        <v>0</v>
      </c>
      <c r="M871" t="s">
        <v>29</v>
      </c>
      <c r="N871">
        <v>0</v>
      </c>
      <c r="O871">
        <v>0</v>
      </c>
      <c r="P871" t="s">
        <v>30</v>
      </c>
      <c r="Q871" s="2">
        <v>0.7</v>
      </c>
      <c r="R871">
        <v>0</v>
      </c>
      <c r="V871" t="str">
        <f>VLOOKUP(H871,'[1]팀별 출판사'!A:B,2,0)</f>
        <v>소설1팀</v>
      </c>
      <c r="W871" s="6">
        <f t="shared" si="26"/>
        <v>0</v>
      </c>
      <c r="X871" s="6">
        <f t="shared" si="27"/>
        <v>0</v>
      </c>
    </row>
    <row r="872" spans="1:24" x14ac:dyDescent="0.3">
      <c r="A872" t="s">
        <v>1489</v>
      </c>
      <c r="B872" t="s">
        <v>1541</v>
      </c>
      <c r="C872" t="s">
        <v>23</v>
      </c>
      <c r="D872" t="s">
        <v>24</v>
      </c>
      <c r="E872" t="s">
        <v>25</v>
      </c>
      <c r="F872">
        <v>1</v>
      </c>
      <c r="G872">
        <v>9791136934925</v>
      </c>
      <c r="H872" t="s">
        <v>32</v>
      </c>
      <c r="I872" t="s">
        <v>385</v>
      </c>
      <c r="J872" t="s">
        <v>126</v>
      </c>
      <c r="K872" t="s">
        <v>29</v>
      </c>
      <c r="L872">
        <v>0</v>
      </c>
      <c r="M872" t="s">
        <v>127</v>
      </c>
      <c r="N872">
        <v>0</v>
      </c>
      <c r="O872">
        <v>0</v>
      </c>
      <c r="P872" t="s">
        <v>128</v>
      </c>
      <c r="Q872" s="2">
        <v>0.7</v>
      </c>
      <c r="R872">
        <v>0</v>
      </c>
      <c r="V872" t="str">
        <f>VLOOKUP(H872,'[1]팀별 출판사'!A:B,2,0)</f>
        <v>소설1팀</v>
      </c>
      <c r="W872" s="6">
        <f t="shared" si="26"/>
        <v>0</v>
      </c>
      <c r="X872" s="6">
        <f t="shared" si="27"/>
        <v>0</v>
      </c>
    </row>
    <row r="873" spans="1:24" x14ac:dyDescent="0.3">
      <c r="A873" t="s">
        <v>1489</v>
      </c>
      <c r="B873" t="s">
        <v>1542</v>
      </c>
      <c r="C873" t="s">
        <v>23</v>
      </c>
      <c r="D873" t="s">
        <v>24</v>
      </c>
      <c r="E873" t="s">
        <v>25</v>
      </c>
      <c r="F873">
        <v>1</v>
      </c>
      <c r="G873">
        <v>9791194664369</v>
      </c>
      <c r="H873" t="s">
        <v>79</v>
      </c>
      <c r="I873" t="s">
        <v>156</v>
      </c>
      <c r="J873" t="s">
        <v>157</v>
      </c>
      <c r="K873" t="s">
        <v>29</v>
      </c>
      <c r="L873">
        <v>0</v>
      </c>
      <c r="M873" t="s">
        <v>127</v>
      </c>
      <c r="N873">
        <v>0</v>
      </c>
      <c r="O873">
        <v>0</v>
      </c>
      <c r="P873" t="s">
        <v>128</v>
      </c>
      <c r="Q873" s="2">
        <v>0.7</v>
      </c>
      <c r="R873">
        <v>0</v>
      </c>
      <c r="V873" t="str">
        <f>VLOOKUP(H873,'[1]팀별 출판사'!A:B,2,0)</f>
        <v>소설1팀</v>
      </c>
      <c r="W873" s="6">
        <f t="shared" si="26"/>
        <v>0</v>
      </c>
      <c r="X873" s="6">
        <f t="shared" si="27"/>
        <v>0</v>
      </c>
    </row>
    <row r="874" spans="1:24" x14ac:dyDescent="0.3">
      <c r="A874" t="s">
        <v>1489</v>
      </c>
      <c r="B874" t="s">
        <v>1543</v>
      </c>
      <c r="C874" t="s">
        <v>23</v>
      </c>
      <c r="D874" t="s">
        <v>24</v>
      </c>
      <c r="E874" t="s">
        <v>25</v>
      </c>
      <c r="F874">
        <v>1</v>
      </c>
      <c r="G874">
        <v>9791170101024</v>
      </c>
      <c r="H874" t="s">
        <v>67</v>
      </c>
      <c r="I874" t="s">
        <v>1544</v>
      </c>
      <c r="J874" t="s">
        <v>1545</v>
      </c>
      <c r="K874" t="s">
        <v>29</v>
      </c>
      <c r="L874">
        <v>0</v>
      </c>
      <c r="M874" t="s">
        <v>29</v>
      </c>
      <c r="N874">
        <v>0</v>
      </c>
      <c r="O874">
        <v>0</v>
      </c>
      <c r="P874" t="s">
        <v>30</v>
      </c>
      <c r="Q874" s="2">
        <v>0.7</v>
      </c>
      <c r="R874">
        <v>0</v>
      </c>
      <c r="V874" t="str">
        <f>VLOOKUP(H874,'[1]팀별 출판사'!A:B,2,0)</f>
        <v>소설1팀</v>
      </c>
      <c r="W874" s="6">
        <f t="shared" si="26"/>
        <v>0</v>
      </c>
      <c r="X874" s="6">
        <f t="shared" si="27"/>
        <v>0</v>
      </c>
    </row>
    <row r="875" spans="1:24" x14ac:dyDescent="0.3">
      <c r="A875" t="s">
        <v>1489</v>
      </c>
      <c r="B875" t="s">
        <v>1546</v>
      </c>
      <c r="C875" t="s">
        <v>23</v>
      </c>
      <c r="D875" t="s">
        <v>24</v>
      </c>
      <c r="E875" t="s">
        <v>25</v>
      </c>
      <c r="F875">
        <v>1</v>
      </c>
      <c r="G875">
        <v>9791170107064</v>
      </c>
      <c r="H875" t="s">
        <v>67</v>
      </c>
      <c r="I875" t="s">
        <v>901</v>
      </c>
      <c r="J875" t="s">
        <v>902</v>
      </c>
      <c r="K875" t="s">
        <v>29</v>
      </c>
      <c r="L875">
        <v>0</v>
      </c>
      <c r="M875" t="s">
        <v>1181</v>
      </c>
      <c r="N875">
        <v>0</v>
      </c>
      <c r="O875">
        <v>0</v>
      </c>
      <c r="P875" t="s">
        <v>1182</v>
      </c>
      <c r="Q875" s="2">
        <v>0.7</v>
      </c>
      <c r="R875">
        <v>0</v>
      </c>
      <c r="V875" t="str">
        <f>VLOOKUP(H875,'[1]팀별 출판사'!A:B,2,0)</f>
        <v>소설1팀</v>
      </c>
      <c r="W875" s="6">
        <f t="shared" si="26"/>
        <v>0</v>
      </c>
      <c r="X875" s="6">
        <f t="shared" si="27"/>
        <v>0</v>
      </c>
    </row>
    <row r="876" spans="1:24" x14ac:dyDescent="0.3">
      <c r="A876" t="s">
        <v>1489</v>
      </c>
      <c r="B876" t="s">
        <v>1547</v>
      </c>
      <c r="C876" t="s">
        <v>23</v>
      </c>
      <c r="D876" t="s">
        <v>24</v>
      </c>
      <c r="E876" t="s">
        <v>25</v>
      </c>
      <c r="F876">
        <v>1</v>
      </c>
      <c r="G876">
        <v>9791133101788</v>
      </c>
      <c r="H876" t="s">
        <v>32</v>
      </c>
      <c r="I876" t="s">
        <v>870</v>
      </c>
      <c r="J876" t="s">
        <v>160</v>
      </c>
      <c r="K876" t="s">
        <v>29</v>
      </c>
      <c r="L876">
        <v>0</v>
      </c>
      <c r="M876" t="s">
        <v>29</v>
      </c>
      <c r="N876">
        <v>0</v>
      </c>
      <c r="O876">
        <v>0</v>
      </c>
      <c r="P876" t="s">
        <v>30</v>
      </c>
      <c r="Q876" s="2">
        <v>0.7</v>
      </c>
      <c r="R876">
        <v>0</v>
      </c>
      <c r="V876" t="str">
        <f>VLOOKUP(H876,'[1]팀별 출판사'!A:B,2,0)</f>
        <v>소설1팀</v>
      </c>
      <c r="W876" s="6">
        <f t="shared" si="26"/>
        <v>0</v>
      </c>
      <c r="X876" s="6">
        <f t="shared" si="27"/>
        <v>0</v>
      </c>
    </row>
    <row r="877" spans="1:24" x14ac:dyDescent="0.3">
      <c r="A877" t="s">
        <v>1489</v>
      </c>
      <c r="B877" t="s">
        <v>1548</v>
      </c>
      <c r="C877" t="s">
        <v>23</v>
      </c>
      <c r="D877" t="s">
        <v>24</v>
      </c>
      <c r="E877" t="s">
        <v>25</v>
      </c>
      <c r="F877">
        <v>1</v>
      </c>
      <c r="G877">
        <v>9791136904782</v>
      </c>
      <c r="H877" t="s">
        <v>26</v>
      </c>
      <c r="I877" t="s">
        <v>1549</v>
      </c>
      <c r="J877" t="s">
        <v>166</v>
      </c>
      <c r="K877" t="s">
        <v>29</v>
      </c>
      <c r="L877">
        <v>0</v>
      </c>
      <c r="M877" t="s">
        <v>29</v>
      </c>
      <c r="N877">
        <v>0</v>
      </c>
      <c r="O877">
        <v>0</v>
      </c>
      <c r="P877" t="s">
        <v>30</v>
      </c>
      <c r="Q877" s="2">
        <v>0.7</v>
      </c>
      <c r="R877">
        <v>0</v>
      </c>
      <c r="V877" t="str">
        <f>VLOOKUP(H877,'[1]팀별 출판사'!A:B,2,0)</f>
        <v>소설1팀</v>
      </c>
      <c r="W877" s="6">
        <f t="shared" si="26"/>
        <v>0</v>
      </c>
      <c r="X877" s="6">
        <f t="shared" si="27"/>
        <v>0</v>
      </c>
    </row>
    <row r="878" spans="1:24" x14ac:dyDescent="0.3">
      <c r="A878" t="s">
        <v>1489</v>
      </c>
      <c r="B878" t="s">
        <v>1550</v>
      </c>
      <c r="C878" t="s">
        <v>23</v>
      </c>
      <c r="D878" t="s">
        <v>24</v>
      </c>
      <c r="E878" t="s">
        <v>25</v>
      </c>
      <c r="F878">
        <v>1</v>
      </c>
      <c r="G878">
        <v>9791136916402</v>
      </c>
      <c r="H878" t="s">
        <v>26</v>
      </c>
      <c r="I878" t="s">
        <v>1551</v>
      </c>
      <c r="J878" t="s">
        <v>62</v>
      </c>
      <c r="K878" t="s">
        <v>29</v>
      </c>
      <c r="L878" s="1">
        <v>3200</v>
      </c>
      <c r="M878" t="s">
        <v>29</v>
      </c>
      <c r="N878" s="1">
        <v>3200</v>
      </c>
      <c r="O878" s="1">
        <v>3200</v>
      </c>
      <c r="P878" t="s">
        <v>30</v>
      </c>
      <c r="Q878" s="2">
        <v>0.7</v>
      </c>
      <c r="R878" s="1">
        <v>2240</v>
      </c>
      <c r="S878" t="s">
        <v>29</v>
      </c>
      <c r="T878" s="1">
        <v>2240</v>
      </c>
      <c r="V878" t="str">
        <f>VLOOKUP(H878,'[1]팀별 출판사'!A:B,2,0)</f>
        <v>소설1팀</v>
      </c>
      <c r="W878" s="6">
        <f t="shared" si="26"/>
        <v>0</v>
      </c>
      <c r="X878" s="6">
        <f t="shared" si="27"/>
        <v>2240</v>
      </c>
    </row>
    <row r="879" spans="1:24" x14ac:dyDescent="0.3">
      <c r="A879" t="s">
        <v>1489</v>
      </c>
      <c r="B879" t="s">
        <v>1552</v>
      </c>
      <c r="C879" t="s">
        <v>23</v>
      </c>
      <c r="D879" t="s">
        <v>24</v>
      </c>
      <c r="E879" t="s">
        <v>25</v>
      </c>
      <c r="F879">
        <v>1</v>
      </c>
      <c r="G879">
        <v>9791157532735</v>
      </c>
      <c r="H879" t="s">
        <v>32</v>
      </c>
      <c r="I879" t="s">
        <v>1166</v>
      </c>
      <c r="J879" t="s">
        <v>187</v>
      </c>
      <c r="K879" t="s">
        <v>29</v>
      </c>
      <c r="L879">
        <v>0</v>
      </c>
      <c r="M879" t="s">
        <v>29</v>
      </c>
      <c r="N879">
        <v>0</v>
      </c>
      <c r="O879">
        <v>0</v>
      </c>
      <c r="P879" t="s">
        <v>30</v>
      </c>
      <c r="Q879" s="2">
        <v>0.7</v>
      </c>
      <c r="R879">
        <v>0</v>
      </c>
      <c r="V879" t="str">
        <f>VLOOKUP(H879,'[1]팀별 출판사'!A:B,2,0)</f>
        <v>소설1팀</v>
      </c>
      <c r="W879" s="6">
        <f t="shared" si="26"/>
        <v>0</v>
      </c>
      <c r="X879" s="6">
        <f t="shared" si="27"/>
        <v>0</v>
      </c>
    </row>
    <row r="880" spans="1:24" x14ac:dyDescent="0.3">
      <c r="A880" t="s">
        <v>1489</v>
      </c>
      <c r="B880" t="s">
        <v>1553</v>
      </c>
      <c r="C880" t="s">
        <v>23</v>
      </c>
      <c r="D880" t="s">
        <v>24</v>
      </c>
      <c r="E880" t="s">
        <v>25</v>
      </c>
      <c r="F880">
        <v>1</v>
      </c>
      <c r="G880">
        <v>9791133183937</v>
      </c>
      <c r="H880" t="s">
        <v>32</v>
      </c>
      <c r="I880" t="s">
        <v>1554</v>
      </c>
      <c r="J880" t="s">
        <v>436</v>
      </c>
      <c r="K880" t="s">
        <v>29</v>
      </c>
      <c r="L880" s="1">
        <v>3200</v>
      </c>
      <c r="M880" t="s">
        <v>29</v>
      </c>
      <c r="N880" s="1">
        <v>3200</v>
      </c>
      <c r="O880" s="1">
        <v>3200</v>
      </c>
      <c r="P880" t="s">
        <v>30</v>
      </c>
      <c r="Q880" s="2">
        <v>0.7</v>
      </c>
      <c r="R880" s="1">
        <v>2240</v>
      </c>
      <c r="S880" t="s">
        <v>29</v>
      </c>
      <c r="T880" s="1">
        <v>2240</v>
      </c>
      <c r="V880" t="str">
        <f>VLOOKUP(H880,'[1]팀별 출판사'!A:B,2,0)</f>
        <v>소설1팀</v>
      </c>
      <c r="W880" s="6">
        <f t="shared" si="26"/>
        <v>0</v>
      </c>
      <c r="X880" s="6">
        <f t="shared" si="27"/>
        <v>2240</v>
      </c>
    </row>
    <row r="881" spans="1:24" x14ac:dyDescent="0.3">
      <c r="A881" t="s">
        <v>1489</v>
      </c>
      <c r="B881" t="s">
        <v>1555</v>
      </c>
      <c r="C881" t="s">
        <v>23</v>
      </c>
      <c r="D881" t="s">
        <v>24</v>
      </c>
      <c r="E881" t="s">
        <v>25</v>
      </c>
      <c r="F881">
        <v>1</v>
      </c>
      <c r="G881">
        <v>9791133186501</v>
      </c>
      <c r="H881" t="s">
        <v>26</v>
      </c>
      <c r="I881" t="s">
        <v>64</v>
      </c>
      <c r="J881" t="s">
        <v>65</v>
      </c>
      <c r="K881" t="s">
        <v>29</v>
      </c>
      <c r="L881">
        <v>0</v>
      </c>
      <c r="M881" t="s">
        <v>29</v>
      </c>
      <c r="N881">
        <v>0</v>
      </c>
      <c r="O881">
        <v>0</v>
      </c>
      <c r="P881" t="s">
        <v>30</v>
      </c>
      <c r="Q881" s="2">
        <v>0.7</v>
      </c>
      <c r="R881">
        <v>0</v>
      </c>
      <c r="V881" t="str">
        <f>VLOOKUP(H881,'[1]팀별 출판사'!A:B,2,0)</f>
        <v>소설1팀</v>
      </c>
      <c r="W881" s="6">
        <f t="shared" si="26"/>
        <v>0</v>
      </c>
      <c r="X881" s="6">
        <f t="shared" si="27"/>
        <v>0</v>
      </c>
    </row>
    <row r="882" spans="1:24" x14ac:dyDescent="0.3">
      <c r="A882" t="s">
        <v>1489</v>
      </c>
      <c r="B882" t="s">
        <v>1556</v>
      </c>
      <c r="C882" t="s">
        <v>23</v>
      </c>
      <c r="D882" t="s">
        <v>24</v>
      </c>
      <c r="E882" t="s">
        <v>25</v>
      </c>
      <c r="F882">
        <v>1</v>
      </c>
      <c r="G882">
        <v>9791133190096</v>
      </c>
      <c r="H882" t="s">
        <v>26</v>
      </c>
      <c r="I882" t="s">
        <v>1557</v>
      </c>
      <c r="J882" t="s">
        <v>1096</v>
      </c>
      <c r="K882" t="s">
        <v>29</v>
      </c>
      <c r="L882" s="1">
        <v>3200</v>
      </c>
      <c r="M882" t="s">
        <v>29</v>
      </c>
      <c r="N882" s="1">
        <v>3200</v>
      </c>
      <c r="O882" s="1">
        <v>3200</v>
      </c>
      <c r="P882" t="s">
        <v>30</v>
      </c>
      <c r="Q882" s="2">
        <v>0.7</v>
      </c>
      <c r="R882" s="1">
        <v>2240</v>
      </c>
      <c r="S882" t="s">
        <v>29</v>
      </c>
      <c r="T882" s="1">
        <v>2240</v>
      </c>
      <c r="V882" t="str">
        <f>VLOOKUP(H882,'[1]팀별 출판사'!A:B,2,0)</f>
        <v>소설1팀</v>
      </c>
      <c r="W882" s="6">
        <f t="shared" si="26"/>
        <v>0</v>
      </c>
      <c r="X882" s="6">
        <f t="shared" si="27"/>
        <v>2240</v>
      </c>
    </row>
    <row r="883" spans="1:24" x14ac:dyDescent="0.3">
      <c r="A883" t="s">
        <v>1489</v>
      </c>
      <c r="B883" t="s">
        <v>1558</v>
      </c>
      <c r="C883" t="s">
        <v>23</v>
      </c>
      <c r="D883" t="s">
        <v>24</v>
      </c>
      <c r="E883" t="s">
        <v>25</v>
      </c>
      <c r="F883">
        <v>1</v>
      </c>
      <c r="G883">
        <v>9791136988133</v>
      </c>
      <c r="H883" t="s">
        <v>26</v>
      </c>
      <c r="I883" t="s">
        <v>614</v>
      </c>
      <c r="J883" t="s">
        <v>28</v>
      </c>
      <c r="K883" t="s">
        <v>29</v>
      </c>
      <c r="L883">
        <v>0</v>
      </c>
      <c r="M883" t="s">
        <v>29</v>
      </c>
      <c r="N883">
        <v>0</v>
      </c>
      <c r="O883">
        <v>0</v>
      </c>
      <c r="P883" t="s">
        <v>30</v>
      </c>
      <c r="Q883" s="2">
        <v>0.7</v>
      </c>
      <c r="R883">
        <v>0</v>
      </c>
      <c r="V883" t="str">
        <f>VLOOKUP(H883,'[1]팀별 출판사'!A:B,2,0)</f>
        <v>소설1팀</v>
      </c>
      <c r="W883" s="6">
        <f t="shared" si="26"/>
        <v>0</v>
      </c>
      <c r="X883" s="6">
        <f t="shared" si="27"/>
        <v>0</v>
      </c>
    </row>
    <row r="884" spans="1:24" x14ac:dyDescent="0.3">
      <c r="A884" t="s">
        <v>1489</v>
      </c>
      <c r="B884" t="s">
        <v>1559</v>
      </c>
      <c r="C884" t="s">
        <v>23</v>
      </c>
      <c r="D884" t="s">
        <v>24</v>
      </c>
      <c r="E884" t="s">
        <v>25</v>
      </c>
      <c r="F884">
        <v>1</v>
      </c>
      <c r="G884">
        <v>9791133180066</v>
      </c>
      <c r="H884" t="s">
        <v>26</v>
      </c>
      <c r="I884" t="s">
        <v>320</v>
      </c>
      <c r="J884" t="s">
        <v>321</v>
      </c>
      <c r="K884" t="s">
        <v>29</v>
      </c>
      <c r="L884">
        <v>0</v>
      </c>
      <c r="M884" t="s">
        <v>29</v>
      </c>
      <c r="N884">
        <v>0</v>
      </c>
      <c r="O884">
        <v>0</v>
      </c>
      <c r="P884" t="s">
        <v>30</v>
      </c>
      <c r="Q884" s="2">
        <v>0.7</v>
      </c>
      <c r="R884">
        <v>0</v>
      </c>
      <c r="V884" t="str">
        <f>VLOOKUP(H884,'[1]팀별 출판사'!A:B,2,0)</f>
        <v>소설1팀</v>
      </c>
      <c r="W884" s="6">
        <f t="shared" si="26"/>
        <v>0</v>
      </c>
      <c r="X884" s="6">
        <f t="shared" si="27"/>
        <v>0</v>
      </c>
    </row>
    <row r="885" spans="1:24" x14ac:dyDescent="0.3">
      <c r="A885" t="s">
        <v>1489</v>
      </c>
      <c r="B885" t="s">
        <v>1560</v>
      </c>
      <c r="C885" t="s">
        <v>23</v>
      </c>
      <c r="D885" t="s">
        <v>24</v>
      </c>
      <c r="E885" t="s">
        <v>25</v>
      </c>
      <c r="F885">
        <v>1</v>
      </c>
      <c r="G885">
        <v>9791170101024</v>
      </c>
      <c r="H885" t="s">
        <v>67</v>
      </c>
      <c r="I885" t="s">
        <v>1544</v>
      </c>
      <c r="J885" t="s">
        <v>1545</v>
      </c>
      <c r="K885" t="s">
        <v>29</v>
      </c>
      <c r="L885">
        <v>0</v>
      </c>
      <c r="M885" t="s">
        <v>29</v>
      </c>
      <c r="N885">
        <v>0</v>
      </c>
      <c r="O885">
        <v>0</v>
      </c>
      <c r="P885" t="s">
        <v>30</v>
      </c>
      <c r="Q885" s="2">
        <v>0.7</v>
      </c>
      <c r="R885">
        <v>0</v>
      </c>
      <c r="V885" t="str">
        <f>VLOOKUP(H885,'[1]팀별 출판사'!A:B,2,0)</f>
        <v>소설1팀</v>
      </c>
      <c r="W885" s="6">
        <f t="shared" si="26"/>
        <v>0</v>
      </c>
      <c r="X885" s="6">
        <f t="shared" si="27"/>
        <v>0</v>
      </c>
    </row>
    <row r="886" spans="1:24" x14ac:dyDescent="0.3">
      <c r="A886" t="s">
        <v>1489</v>
      </c>
      <c r="B886" t="s">
        <v>1561</v>
      </c>
      <c r="C886" t="s">
        <v>23</v>
      </c>
      <c r="D886" t="s">
        <v>24</v>
      </c>
      <c r="E886" t="s">
        <v>25</v>
      </c>
      <c r="F886">
        <v>1</v>
      </c>
      <c r="G886">
        <v>9791170104599</v>
      </c>
      <c r="H886" t="s">
        <v>67</v>
      </c>
      <c r="I886" t="s">
        <v>1562</v>
      </c>
      <c r="J886" t="s">
        <v>241</v>
      </c>
      <c r="K886" t="s">
        <v>29</v>
      </c>
      <c r="L886">
        <v>0</v>
      </c>
      <c r="M886" t="s">
        <v>29</v>
      </c>
      <c r="N886">
        <v>0</v>
      </c>
      <c r="O886">
        <v>0</v>
      </c>
      <c r="P886" t="s">
        <v>30</v>
      </c>
      <c r="Q886" s="2">
        <v>0.7</v>
      </c>
      <c r="R886">
        <v>0</v>
      </c>
      <c r="V886" t="str">
        <f>VLOOKUP(H886,'[1]팀별 출판사'!A:B,2,0)</f>
        <v>소설1팀</v>
      </c>
      <c r="W886" s="6">
        <f t="shared" si="26"/>
        <v>0</v>
      </c>
      <c r="X886" s="6">
        <f t="shared" si="27"/>
        <v>0</v>
      </c>
    </row>
    <row r="887" spans="1:24" x14ac:dyDescent="0.3">
      <c r="A887" t="s">
        <v>1489</v>
      </c>
      <c r="B887" t="s">
        <v>1563</v>
      </c>
      <c r="C887" t="s">
        <v>23</v>
      </c>
      <c r="D887" t="s">
        <v>24</v>
      </c>
      <c r="E887" t="s">
        <v>25</v>
      </c>
      <c r="F887">
        <v>1</v>
      </c>
      <c r="G887">
        <v>9791136904935</v>
      </c>
      <c r="H887" t="s">
        <v>26</v>
      </c>
      <c r="I887" t="s">
        <v>505</v>
      </c>
      <c r="J887" t="s">
        <v>506</v>
      </c>
      <c r="K887" t="s">
        <v>29</v>
      </c>
      <c r="L887">
        <v>0</v>
      </c>
      <c r="M887" t="s">
        <v>29</v>
      </c>
      <c r="N887">
        <v>0</v>
      </c>
      <c r="O887">
        <v>0</v>
      </c>
      <c r="P887" t="s">
        <v>30</v>
      </c>
      <c r="Q887" s="2">
        <v>0.7</v>
      </c>
      <c r="R887">
        <v>0</v>
      </c>
      <c r="V887" t="str">
        <f>VLOOKUP(H887,'[1]팀별 출판사'!A:B,2,0)</f>
        <v>소설1팀</v>
      </c>
      <c r="W887" s="6">
        <f t="shared" si="26"/>
        <v>0</v>
      </c>
      <c r="X887" s="6">
        <f t="shared" si="27"/>
        <v>0</v>
      </c>
    </row>
    <row r="888" spans="1:24" x14ac:dyDescent="0.3">
      <c r="A888" t="s">
        <v>1489</v>
      </c>
      <c r="B888" t="s">
        <v>1564</v>
      </c>
      <c r="C888" t="s">
        <v>23</v>
      </c>
      <c r="D888" t="s">
        <v>24</v>
      </c>
      <c r="E888" t="s">
        <v>25</v>
      </c>
      <c r="F888">
        <v>1</v>
      </c>
      <c r="G888">
        <v>9791133143849</v>
      </c>
      <c r="H888" t="s">
        <v>32</v>
      </c>
      <c r="I888" t="s">
        <v>1565</v>
      </c>
      <c r="J888" t="s">
        <v>88</v>
      </c>
      <c r="K888" t="s">
        <v>29</v>
      </c>
      <c r="L888" s="1">
        <v>3200</v>
      </c>
      <c r="M888" t="s">
        <v>29</v>
      </c>
      <c r="N888" s="1">
        <v>3200</v>
      </c>
      <c r="O888" s="1">
        <v>3200</v>
      </c>
      <c r="P888" t="s">
        <v>30</v>
      </c>
      <c r="Q888" s="2">
        <v>0.7</v>
      </c>
      <c r="R888" s="1">
        <v>2240</v>
      </c>
      <c r="S888" t="s">
        <v>29</v>
      </c>
      <c r="T888" s="1">
        <v>2240</v>
      </c>
      <c r="V888" t="str">
        <f>VLOOKUP(H888,'[1]팀별 출판사'!A:B,2,0)</f>
        <v>소설1팀</v>
      </c>
      <c r="W888" s="6">
        <f t="shared" si="26"/>
        <v>0</v>
      </c>
      <c r="X888" s="6">
        <f t="shared" si="27"/>
        <v>2240</v>
      </c>
    </row>
    <row r="889" spans="1:24" x14ac:dyDescent="0.3">
      <c r="A889" t="s">
        <v>1489</v>
      </c>
      <c r="B889" t="s">
        <v>1566</v>
      </c>
      <c r="C889" t="s">
        <v>23</v>
      </c>
      <c r="D889" t="s">
        <v>24</v>
      </c>
      <c r="E889" t="s">
        <v>25</v>
      </c>
      <c r="F889">
        <v>1</v>
      </c>
      <c r="G889">
        <v>9791133143863</v>
      </c>
      <c r="H889" t="s">
        <v>32</v>
      </c>
      <c r="I889" t="s">
        <v>1567</v>
      </c>
      <c r="J889" t="s">
        <v>88</v>
      </c>
      <c r="K889" t="s">
        <v>29</v>
      </c>
      <c r="L889" s="1">
        <v>3200</v>
      </c>
      <c r="M889" t="s">
        <v>29</v>
      </c>
      <c r="N889" s="1">
        <v>3200</v>
      </c>
      <c r="O889" s="1">
        <v>3200</v>
      </c>
      <c r="P889" t="s">
        <v>30</v>
      </c>
      <c r="Q889" s="2">
        <v>0.7</v>
      </c>
      <c r="R889" s="1">
        <v>2240</v>
      </c>
      <c r="S889" t="s">
        <v>29</v>
      </c>
      <c r="T889" s="1">
        <v>2240</v>
      </c>
      <c r="V889" t="str">
        <f>VLOOKUP(H889,'[1]팀별 출판사'!A:B,2,0)</f>
        <v>소설1팀</v>
      </c>
      <c r="W889" s="6">
        <f t="shared" si="26"/>
        <v>0</v>
      </c>
      <c r="X889" s="6">
        <f t="shared" si="27"/>
        <v>2240</v>
      </c>
    </row>
    <row r="890" spans="1:24" x14ac:dyDescent="0.3">
      <c r="A890" t="s">
        <v>1489</v>
      </c>
      <c r="B890" t="s">
        <v>1568</v>
      </c>
      <c r="C890" t="s">
        <v>23</v>
      </c>
      <c r="D890" t="s">
        <v>24</v>
      </c>
      <c r="E890" t="s">
        <v>25</v>
      </c>
      <c r="F890">
        <v>1</v>
      </c>
      <c r="G890">
        <v>9791133101511</v>
      </c>
      <c r="H890" t="s">
        <v>32</v>
      </c>
      <c r="I890" t="s">
        <v>1569</v>
      </c>
      <c r="J890" t="s">
        <v>160</v>
      </c>
      <c r="K890" t="s">
        <v>29</v>
      </c>
      <c r="L890" s="1">
        <v>3000</v>
      </c>
      <c r="M890" t="s">
        <v>29</v>
      </c>
      <c r="N890" s="1">
        <v>3000</v>
      </c>
      <c r="O890" s="1">
        <v>3000</v>
      </c>
      <c r="P890" t="s">
        <v>30</v>
      </c>
      <c r="Q890" s="2">
        <v>0.7</v>
      </c>
      <c r="R890" s="1">
        <v>2100</v>
      </c>
      <c r="S890" t="s">
        <v>29</v>
      </c>
      <c r="T890" s="1">
        <v>2100</v>
      </c>
      <c r="V890" t="str">
        <f>VLOOKUP(H890,'[1]팀별 출판사'!A:B,2,0)</f>
        <v>소설1팀</v>
      </c>
      <c r="W890" s="6">
        <f t="shared" si="26"/>
        <v>0</v>
      </c>
      <c r="X890" s="6">
        <f t="shared" si="27"/>
        <v>2100</v>
      </c>
    </row>
    <row r="891" spans="1:24" x14ac:dyDescent="0.3">
      <c r="A891" t="s">
        <v>1489</v>
      </c>
      <c r="B891" t="s">
        <v>1568</v>
      </c>
      <c r="C891" t="s">
        <v>23</v>
      </c>
      <c r="D891" t="s">
        <v>24</v>
      </c>
      <c r="E891" t="s">
        <v>25</v>
      </c>
      <c r="F891">
        <v>1</v>
      </c>
      <c r="G891">
        <v>9791133101528</v>
      </c>
      <c r="H891" t="s">
        <v>32</v>
      </c>
      <c r="I891" t="s">
        <v>850</v>
      </c>
      <c r="J891" t="s">
        <v>160</v>
      </c>
      <c r="K891" t="s">
        <v>29</v>
      </c>
      <c r="L891" s="1">
        <v>3000</v>
      </c>
      <c r="M891" t="s">
        <v>29</v>
      </c>
      <c r="N891" s="1">
        <v>3000</v>
      </c>
      <c r="O891" s="1">
        <v>3000</v>
      </c>
      <c r="P891" t="s">
        <v>30</v>
      </c>
      <c r="Q891" s="2">
        <v>0.7</v>
      </c>
      <c r="R891" s="1">
        <v>2100</v>
      </c>
      <c r="S891" t="s">
        <v>29</v>
      </c>
      <c r="T891" s="1">
        <v>2100</v>
      </c>
      <c r="V891" t="str">
        <f>VLOOKUP(H891,'[1]팀별 출판사'!A:B,2,0)</f>
        <v>소설1팀</v>
      </c>
      <c r="W891" s="6">
        <f t="shared" si="26"/>
        <v>0</v>
      </c>
      <c r="X891" s="6">
        <f t="shared" si="27"/>
        <v>2100</v>
      </c>
    </row>
    <row r="892" spans="1:24" x14ac:dyDescent="0.3">
      <c r="A892" t="s">
        <v>1489</v>
      </c>
      <c r="B892" t="s">
        <v>1568</v>
      </c>
      <c r="C892" t="s">
        <v>23</v>
      </c>
      <c r="D892" t="s">
        <v>24</v>
      </c>
      <c r="E892" t="s">
        <v>25</v>
      </c>
      <c r="F892">
        <v>1</v>
      </c>
      <c r="G892">
        <v>9791133101771</v>
      </c>
      <c r="H892" t="s">
        <v>32</v>
      </c>
      <c r="I892" t="s">
        <v>851</v>
      </c>
      <c r="J892" t="s">
        <v>160</v>
      </c>
      <c r="K892" t="s">
        <v>29</v>
      </c>
      <c r="L892" s="1">
        <v>3000</v>
      </c>
      <c r="M892" t="s">
        <v>29</v>
      </c>
      <c r="N892" s="1">
        <v>3000</v>
      </c>
      <c r="O892" s="1">
        <v>3000</v>
      </c>
      <c r="P892" t="s">
        <v>30</v>
      </c>
      <c r="Q892" s="2">
        <v>0.7</v>
      </c>
      <c r="R892" s="1">
        <v>2100</v>
      </c>
      <c r="S892" t="s">
        <v>29</v>
      </c>
      <c r="T892" s="1">
        <v>2100</v>
      </c>
      <c r="V892" t="str">
        <f>VLOOKUP(H892,'[1]팀별 출판사'!A:B,2,0)</f>
        <v>소설1팀</v>
      </c>
      <c r="W892" s="6">
        <f t="shared" si="26"/>
        <v>0</v>
      </c>
      <c r="X892" s="6">
        <f t="shared" si="27"/>
        <v>2100</v>
      </c>
    </row>
    <row r="893" spans="1:24" x14ac:dyDescent="0.3">
      <c r="A893" t="s">
        <v>1489</v>
      </c>
      <c r="B893" t="s">
        <v>1570</v>
      </c>
      <c r="C893" t="s">
        <v>23</v>
      </c>
      <c r="D893" t="s">
        <v>24</v>
      </c>
      <c r="E893" t="s">
        <v>25</v>
      </c>
      <c r="F893">
        <v>1</v>
      </c>
      <c r="G893">
        <v>9791133130375</v>
      </c>
      <c r="H893" t="s">
        <v>32</v>
      </c>
      <c r="I893" t="s">
        <v>536</v>
      </c>
      <c r="J893" t="s">
        <v>160</v>
      </c>
      <c r="K893" t="s">
        <v>29</v>
      </c>
      <c r="L893">
        <v>0</v>
      </c>
      <c r="M893" t="s">
        <v>29</v>
      </c>
      <c r="N893">
        <v>0</v>
      </c>
      <c r="O893">
        <v>0</v>
      </c>
      <c r="P893" t="s">
        <v>30</v>
      </c>
      <c r="Q893" s="2">
        <v>0.7</v>
      </c>
      <c r="R893">
        <v>0</v>
      </c>
      <c r="V893" t="str">
        <f>VLOOKUP(H893,'[1]팀별 출판사'!A:B,2,0)</f>
        <v>소설1팀</v>
      </c>
      <c r="W893" s="6">
        <f t="shared" si="26"/>
        <v>0</v>
      </c>
      <c r="X893" s="6">
        <f t="shared" si="27"/>
        <v>0</v>
      </c>
    </row>
    <row r="894" spans="1:24" x14ac:dyDescent="0.3">
      <c r="A894" t="s">
        <v>1489</v>
      </c>
      <c r="B894" t="s">
        <v>1571</v>
      </c>
      <c r="C894" t="s">
        <v>23</v>
      </c>
      <c r="D894" t="s">
        <v>24</v>
      </c>
      <c r="E894" t="s">
        <v>25</v>
      </c>
      <c r="F894">
        <v>1</v>
      </c>
      <c r="G894">
        <v>9791136922731</v>
      </c>
      <c r="H894" t="s">
        <v>26</v>
      </c>
      <c r="I894" t="s">
        <v>1572</v>
      </c>
      <c r="J894" t="s">
        <v>1536</v>
      </c>
      <c r="K894" t="s">
        <v>29</v>
      </c>
      <c r="L894">
        <v>0</v>
      </c>
      <c r="M894" t="s">
        <v>29</v>
      </c>
      <c r="N894">
        <v>0</v>
      </c>
      <c r="O894">
        <v>0</v>
      </c>
      <c r="P894" t="s">
        <v>30</v>
      </c>
      <c r="Q894" s="2">
        <v>0.7</v>
      </c>
      <c r="R894">
        <v>0</v>
      </c>
      <c r="V894" t="str">
        <f>VLOOKUP(H894,'[1]팀별 출판사'!A:B,2,0)</f>
        <v>소설1팀</v>
      </c>
      <c r="W894" s="6">
        <f t="shared" si="26"/>
        <v>0</v>
      </c>
      <c r="X894" s="6">
        <f t="shared" si="27"/>
        <v>0</v>
      </c>
    </row>
    <row r="895" spans="1:24" x14ac:dyDescent="0.3">
      <c r="A895" t="s">
        <v>1489</v>
      </c>
      <c r="B895" t="s">
        <v>1573</v>
      </c>
      <c r="C895" t="s">
        <v>23</v>
      </c>
      <c r="D895" t="s">
        <v>24</v>
      </c>
      <c r="E895" t="s">
        <v>25</v>
      </c>
      <c r="F895">
        <v>1</v>
      </c>
      <c r="G895">
        <v>9791136926425</v>
      </c>
      <c r="H895" t="s">
        <v>36</v>
      </c>
      <c r="I895" t="s">
        <v>1574</v>
      </c>
      <c r="J895" t="s">
        <v>1575</v>
      </c>
      <c r="K895" t="s">
        <v>29</v>
      </c>
      <c r="L895" s="1">
        <v>3700</v>
      </c>
      <c r="M895" t="s">
        <v>136</v>
      </c>
      <c r="N895">
        <v>441</v>
      </c>
      <c r="O895">
        <v>401</v>
      </c>
      <c r="P895" t="s">
        <v>137</v>
      </c>
      <c r="Q895" s="2">
        <v>0.7</v>
      </c>
      <c r="R895">
        <v>281</v>
      </c>
      <c r="S895" t="s">
        <v>29</v>
      </c>
      <c r="T895" s="1">
        <v>2616</v>
      </c>
      <c r="U895">
        <v>9.3086699999999993</v>
      </c>
      <c r="V895" t="str">
        <f>VLOOKUP(H895,'[1]팀별 출판사'!A:B,2,0)</f>
        <v>소설2팀</v>
      </c>
      <c r="W895" s="6">
        <f t="shared" si="26"/>
        <v>0</v>
      </c>
      <c r="X895" s="6">
        <f t="shared" si="27"/>
        <v>2616</v>
      </c>
    </row>
    <row r="896" spans="1:24" x14ac:dyDescent="0.3">
      <c r="A896" t="s">
        <v>1489</v>
      </c>
      <c r="B896" t="s">
        <v>1573</v>
      </c>
      <c r="C896" t="s">
        <v>23</v>
      </c>
      <c r="D896" t="s">
        <v>24</v>
      </c>
      <c r="E896" t="s">
        <v>25</v>
      </c>
      <c r="F896">
        <v>1</v>
      </c>
      <c r="G896">
        <v>9791136926432</v>
      </c>
      <c r="H896" t="s">
        <v>36</v>
      </c>
      <c r="I896" t="s">
        <v>1576</v>
      </c>
      <c r="J896" t="s">
        <v>1575</v>
      </c>
      <c r="K896" t="s">
        <v>29</v>
      </c>
      <c r="L896" s="1">
        <v>3400</v>
      </c>
      <c r="M896" t="s">
        <v>136</v>
      </c>
      <c r="N896">
        <v>405</v>
      </c>
      <c r="O896">
        <v>368</v>
      </c>
      <c r="P896" t="s">
        <v>137</v>
      </c>
      <c r="Q896" s="2">
        <v>0.7</v>
      </c>
      <c r="R896">
        <v>258</v>
      </c>
      <c r="S896" t="s">
        <v>29</v>
      </c>
      <c r="T896" s="1">
        <v>2402</v>
      </c>
      <c r="U896">
        <v>9.3086699999999993</v>
      </c>
      <c r="V896" t="str">
        <f>VLOOKUP(H896,'[1]팀별 출판사'!A:B,2,0)</f>
        <v>소설2팀</v>
      </c>
      <c r="W896" s="6">
        <f t="shared" si="26"/>
        <v>0</v>
      </c>
      <c r="X896" s="6">
        <f t="shared" si="27"/>
        <v>2402</v>
      </c>
    </row>
    <row r="897" spans="1:24" x14ac:dyDescent="0.3">
      <c r="A897" t="s">
        <v>1489</v>
      </c>
      <c r="B897" t="s">
        <v>1573</v>
      </c>
      <c r="C897" t="s">
        <v>23</v>
      </c>
      <c r="D897" t="s">
        <v>24</v>
      </c>
      <c r="E897" t="s">
        <v>25</v>
      </c>
      <c r="F897">
        <v>1</v>
      </c>
      <c r="G897">
        <v>9791136926449</v>
      </c>
      <c r="H897" t="s">
        <v>36</v>
      </c>
      <c r="I897" t="s">
        <v>1577</v>
      </c>
      <c r="J897" t="s">
        <v>1575</v>
      </c>
      <c r="K897" t="s">
        <v>29</v>
      </c>
      <c r="L897" s="1">
        <v>3700</v>
      </c>
      <c r="M897" t="s">
        <v>136</v>
      </c>
      <c r="N897">
        <v>441</v>
      </c>
      <c r="O897">
        <v>401</v>
      </c>
      <c r="P897" t="s">
        <v>137</v>
      </c>
      <c r="Q897" s="2">
        <v>0.7</v>
      </c>
      <c r="R897">
        <v>281</v>
      </c>
      <c r="S897" t="s">
        <v>29</v>
      </c>
      <c r="T897" s="1">
        <v>2616</v>
      </c>
      <c r="U897">
        <v>9.3086699999999993</v>
      </c>
      <c r="V897" t="str">
        <f>VLOOKUP(H897,'[1]팀별 출판사'!A:B,2,0)</f>
        <v>소설2팀</v>
      </c>
      <c r="W897" s="6">
        <f t="shared" si="26"/>
        <v>0</v>
      </c>
      <c r="X897" s="6">
        <f t="shared" si="27"/>
        <v>2616</v>
      </c>
    </row>
    <row r="898" spans="1:24" x14ac:dyDescent="0.3">
      <c r="A898" t="s">
        <v>1489</v>
      </c>
      <c r="B898" t="s">
        <v>1573</v>
      </c>
      <c r="C898" t="s">
        <v>23</v>
      </c>
      <c r="D898" t="s">
        <v>24</v>
      </c>
      <c r="E898" t="s">
        <v>25</v>
      </c>
      <c r="F898">
        <v>1</v>
      </c>
      <c r="G898">
        <v>9791136926456</v>
      </c>
      <c r="H898" t="s">
        <v>36</v>
      </c>
      <c r="I898" t="s">
        <v>1578</v>
      </c>
      <c r="J898" t="s">
        <v>1575</v>
      </c>
      <c r="K898" t="s">
        <v>29</v>
      </c>
      <c r="L898" s="1">
        <v>4600</v>
      </c>
      <c r="M898" t="s">
        <v>136</v>
      </c>
      <c r="N898">
        <v>548</v>
      </c>
      <c r="O898">
        <v>498</v>
      </c>
      <c r="P898" t="s">
        <v>137</v>
      </c>
      <c r="Q898" s="2">
        <v>0.7</v>
      </c>
      <c r="R898">
        <v>349</v>
      </c>
      <c r="S898" t="s">
        <v>29</v>
      </c>
      <c r="T898" s="1">
        <v>3249</v>
      </c>
      <c r="U898">
        <v>9.3086699999999993</v>
      </c>
      <c r="V898" t="str">
        <f>VLOOKUP(H898,'[1]팀별 출판사'!A:B,2,0)</f>
        <v>소설2팀</v>
      </c>
      <c r="W898" s="6">
        <f t="shared" ref="W898:W961" si="28">IF(P898="US", T898*30%, 0)</f>
        <v>0</v>
      </c>
      <c r="X898" s="6">
        <f t="shared" ref="X898:X961" si="29">T898-W898</f>
        <v>3249</v>
      </c>
    </row>
    <row r="899" spans="1:24" x14ac:dyDescent="0.3">
      <c r="A899" t="s">
        <v>1489</v>
      </c>
      <c r="B899" t="s">
        <v>1573</v>
      </c>
      <c r="C899" t="s">
        <v>23</v>
      </c>
      <c r="D899" t="s">
        <v>24</v>
      </c>
      <c r="E899" t="s">
        <v>25</v>
      </c>
      <c r="F899">
        <v>1</v>
      </c>
      <c r="G899">
        <v>9791136926463</v>
      </c>
      <c r="H899" t="s">
        <v>36</v>
      </c>
      <c r="I899" t="s">
        <v>1579</v>
      </c>
      <c r="J899" t="s">
        <v>1575</v>
      </c>
      <c r="K899" t="s">
        <v>29</v>
      </c>
      <c r="L899" s="1">
        <v>4600</v>
      </c>
      <c r="M899" t="s">
        <v>136</v>
      </c>
      <c r="N899">
        <v>548</v>
      </c>
      <c r="O899">
        <v>498</v>
      </c>
      <c r="P899" t="s">
        <v>137</v>
      </c>
      <c r="Q899" s="2">
        <v>0.7</v>
      </c>
      <c r="R899">
        <v>349</v>
      </c>
      <c r="S899" t="s">
        <v>29</v>
      </c>
      <c r="T899" s="1">
        <v>3249</v>
      </c>
      <c r="U899">
        <v>9.3086699999999993</v>
      </c>
      <c r="V899" t="str">
        <f>VLOOKUP(H899,'[1]팀별 출판사'!A:B,2,0)</f>
        <v>소설2팀</v>
      </c>
      <c r="W899" s="6">
        <f t="shared" si="28"/>
        <v>0</v>
      </c>
      <c r="X899" s="6">
        <f t="shared" si="29"/>
        <v>3249</v>
      </c>
    </row>
    <row r="900" spans="1:24" x14ac:dyDescent="0.3">
      <c r="A900" t="s">
        <v>1489</v>
      </c>
      <c r="B900" t="s">
        <v>1573</v>
      </c>
      <c r="C900" t="s">
        <v>23</v>
      </c>
      <c r="D900" t="s">
        <v>24</v>
      </c>
      <c r="E900" t="s">
        <v>25</v>
      </c>
      <c r="F900">
        <v>1</v>
      </c>
      <c r="G900">
        <v>9791136924513</v>
      </c>
      <c r="H900" t="s">
        <v>36</v>
      </c>
      <c r="I900" t="s">
        <v>1580</v>
      </c>
      <c r="J900" t="s">
        <v>1575</v>
      </c>
      <c r="K900" t="s">
        <v>29</v>
      </c>
      <c r="L900" s="1">
        <v>4600</v>
      </c>
      <c r="M900" t="s">
        <v>136</v>
      </c>
      <c r="N900">
        <v>548</v>
      </c>
      <c r="O900">
        <v>498</v>
      </c>
      <c r="P900" t="s">
        <v>137</v>
      </c>
      <c r="Q900" s="2">
        <v>0.7</v>
      </c>
      <c r="R900">
        <v>349</v>
      </c>
      <c r="S900" t="s">
        <v>29</v>
      </c>
      <c r="T900" s="1">
        <v>3249</v>
      </c>
      <c r="U900">
        <v>9.3086699999999993</v>
      </c>
      <c r="V900" t="str">
        <f>VLOOKUP(H900,'[1]팀별 출판사'!A:B,2,0)</f>
        <v>소설2팀</v>
      </c>
      <c r="W900" s="6">
        <f t="shared" si="28"/>
        <v>0</v>
      </c>
      <c r="X900" s="6">
        <f t="shared" si="29"/>
        <v>3249</v>
      </c>
    </row>
    <row r="901" spans="1:24" x14ac:dyDescent="0.3">
      <c r="A901" t="s">
        <v>1489</v>
      </c>
      <c r="B901" t="s">
        <v>1581</v>
      </c>
      <c r="C901" t="s">
        <v>23</v>
      </c>
      <c r="D901" t="s">
        <v>24</v>
      </c>
      <c r="E901" t="s">
        <v>25</v>
      </c>
      <c r="F901">
        <v>1</v>
      </c>
      <c r="G901" t="s">
        <v>1582</v>
      </c>
      <c r="H901" t="s">
        <v>32</v>
      </c>
      <c r="I901" t="s">
        <v>1583</v>
      </c>
      <c r="J901" t="s">
        <v>1584</v>
      </c>
      <c r="K901" t="s">
        <v>29</v>
      </c>
      <c r="L901">
        <v>0</v>
      </c>
      <c r="M901" t="s">
        <v>29</v>
      </c>
      <c r="N901">
        <v>0</v>
      </c>
      <c r="O901">
        <v>0</v>
      </c>
      <c r="P901" t="s">
        <v>30</v>
      </c>
      <c r="Q901" s="2">
        <v>0.7</v>
      </c>
      <c r="R901">
        <v>0</v>
      </c>
      <c r="V901" t="str">
        <f>VLOOKUP(H901,'[1]팀별 출판사'!A:B,2,0)</f>
        <v>소설1팀</v>
      </c>
      <c r="W901" s="6">
        <f t="shared" si="28"/>
        <v>0</v>
      </c>
      <c r="X901" s="6">
        <f t="shared" si="29"/>
        <v>0</v>
      </c>
    </row>
    <row r="902" spans="1:24" x14ac:dyDescent="0.3">
      <c r="A902" t="s">
        <v>1489</v>
      </c>
      <c r="B902" t="s">
        <v>1585</v>
      </c>
      <c r="C902" t="s">
        <v>23</v>
      </c>
      <c r="D902" t="s">
        <v>24</v>
      </c>
      <c r="E902" t="s">
        <v>25</v>
      </c>
      <c r="F902">
        <v>1</v>
      </c>
      <c r="G902">
        <v>9791133167234</v>
      </c>
      <c r="H902" t="s">
        <v>32</v>
      </c>
      <c r="I902" t="s">
        <v>984</v>
      </c>
      <c r="J902" t="s">
        <v>160</v>
      </c>
      <c r="K902" t="s">
        <v>29</v>
      </c>
      <c r="L902" s="1">
        <v>2500</v>
      </c>
      <c r="M902" t="s">
        <v>29</v>
      </c>
      <c r="N902" s="1">
        <v>2500</v>
      </c>
      <c r="O902" s="1">
        <v>2500</v>
      </c>
      <c r="P902" t="s">
        <v>30</v>
      </c>
      <c r="Q902" s="2">
        <v>0.7</v>
      </c>
      <c r="R902" s="1">
        <v>1750</v>
      </c>
      <c r="S902" t="s">
        <v>29</v>
      </c>
      <c r="T902" s="1">
        <v>1750</v>
      </c>
      <c r="V902" t="str">
        <f>VLOOKUP(H902,'[1]팀별 출판사'!A:B,2,0)</f>
        <v>소설1팀</v>
      </c>
      <c r="W902" s="6">
        <f t="shared" si="28"/>
        <v>0</v>
      </c>
      <c r="X902" s="6">
        <f t="shared" si="29"/>
        <v>1750</v>
      </c>
    </row>
    <row r="903" spans="1:24" x14ac:dyDescent="0.3">
      <c r="A903" t="s">
        <v>1489</v>
      </c>
      <c r="B903" t="s">
        <v>1586</v>
      </c>
      <c r="C903" t="s">
        <v>23</v>
      </c>
      <c r="D903" t="s">
        <v>24</v>
      </c>
      <c r="E903" t="s">
        <v>25</v>
      </c>
      <c r="F903">
        <v>1</v>
      </c>
      <c r="G903">
        <v>9791136930491</v>
      </c>
      <c r="H903" t="s">
        <v>26</v>
      </c>
      <c r="I903" t="s">
        <v>151</v>
      </c>
      <c r="J903" t="s">
        <v>46</v>
      </c>
      <c r="K903" t="s">
        <v>29</v>
      </c>
      <c r="L903">
        <v>0</v>
      </c>
      <c r="M903" t="s">
        <v>152</v>
      </c>
      <c r="N903">
        <v>0</v>
      </c>
      <c r="O903">
        <v>0</v>
      </c>
      <c r="P903" t="s">
        <v>153</v>
      </c>
      <c r="Q903" s="2">
        <v>0.7</v>
      </c>
      <c r="R903">
        <v>0</v>
      </c>
      <c r="V903" t="str">
        <f>VLOOKUP(H903,'[1]팀별 출판사'!A:B,2,0)</f>
        <v>소설1팀</v>
      </c>
      <c r="W903" s="6">
        <f t="shared" si="28"/>
        <v>0</v>
      </c>
      <c r="X903" s="6">
        <f t="shared" si="29"/>
        <v>0</v>
      </c>
    </row>
    <row r="904" spans="1:24" x14ac:dyDescent="0.3">
      <c r="A904" t="s">
        <v>1489</v>
      </c>
      <c r="B904" t="s">
        <v>1587</v>
      </c>
      <c r="C904" t="s">
        <v>23</v>
      </c>
      <c r="D904" t="s">
        <v>24</v>
      </c>
      <c r="E904" t="s">
        <v>25</v>
      </c>
      <c r="F904">
        <v>1</v>
      </c>
      <c r="G904">
        <v>9791133147762</v>
      </c>
      <c r="H904" t="s">
        <v>32</v>
      </c>
      <c r="I904" t="s">
        <v>1293</v>
      </c>
      <c r="J904" t="s">
        <v>284</v>
      </c>
      <c r="K904" t="s">
        <v>29</v>
      </c>
      <c r="L904">
        <v>0</v>
      </c>
      <c r="M904" t="s">
        <v>29</v>
      </c>
      <c r="N904">
        <v>0</v>
      </c>
      <c r="O904">
        <v>0</v>
      </c>
      <c r="P904" t="s">
        <v>30</v>
      </c>
      <c r="Q904" s="2">
        <v>0.7</v>
      </c>
      <c r="R904">
        <v>0</v>
      </c>
      <c r="V904" t="str">
        <f>VLOOKUP(H904,'[1]팀별 출판사'!A:B,2,0)</f>
        <v>소설1팀</v>
      </c>
      <c r="W904" s="6">
        <f t="shared" si="28"/>
        <v>0</v>
      </c>
      <c r="X904" s="6">
        <f t="shared" si="29"/>
        <v>0</v>
      </c>
    </row>
    <row r="905" spans="1:24" x14ac:dyDescent="0.3">
      <c r="A905" t="s">
        <v>1489</v>
      </c>
      <c r="B905" t="s">
        <v>1588</v>
      </c>
      <c r="C905" t="s">
        <v>23</v>
      </c>
      <c r="D905" t="s">
        <v>24</v>
      </c>
      <c r="E905" t="s">
        <v>25</v>
      </c>
      <c r="F905">
        <v>1</v>
      </c>
      <c r="G905">
        <v>9791157532124</v>
      </c>
      <c r="H905" t="s">
        <v>32</v>
      </c>
      <c r="I905" t="s">
        <v>293</v>
      </c>
      <c r="J905" t="s">
        <v>112</v>
      </c>
      <c r="K905" t="s">
        <v>29</v>
      </c>
      <c r="L905" s="1">
        <v>3200</v>
      </c>
      <c r="M905" t="s">
        <v>29</v>
      </c>
      <c r="N905" s="1">
        <v>3200</v>
      </c>
      <c r="O905" s="1">
        <v>3200</v>
      </c>
      <c r="P905" t="s">
        <v>30</v>
      </c>
      <c r="Q905" s="2">
        <v>0.7</v>
      </c>
      <c r="R905" s="1">
        <v>2240</v>
      </c>
      <c r="S905" t="s">
        <v>29</v>
      </c>
      <c r="T905" s="1">
        <v>2240</v>
      </c>
      <c r="V905" t="str">
        <f>VLOOKUP(H905,'[1]팀별 출판사'!A:B,2,0)</f>
        <v>소설1팀</v>
      </c>
      <c r="W905" s="6">
        <f t="shared" si="28"/>
        <v>0</v>
      </c>
      <c r="X905" s="6">
        <f t="shared" si="29"/>
        <v>2240</v>
      </c>
    </row>
    <row r="906" spans="1:24" x14ac:dyDescent="0.3">
      <c r="A906" t="s">
        <v>1489</v>
      </c>
      <c r="B906" t="s">
        <v>1589</v>
      </c>
      <c r="C906" t="s">
        <v>23</v>
      </c>
      <c r="D906" t="s">
        <v>24</v>
      </c>
      <c r="E906" t="s">
        <v>25</v>
      </c>
      <c r="F906">
        <v>1</v>
      </c>
      <c r="G906">
        <v>9791133101863</v>
      </c>
      <c r="H906" t="s">
        <v>32</v>
      </c>
      <c r="I906" t="s">
        <v>159</v>
      </c>
      <c r="J906" t="s">
        <v>160</v>
      </c>
      <c r="K906" t="s">
        <v>29</v>
      </c>
      <c r="L906">
        <v>0</v>
      </c>
      <c r="M906" t="s">
        <v>29</v>
      </c>
      <c r="N906">
        <v>0</v>
      </c>
      <c r="O906">
        <v>0</v>
      </c>
      <c r="P906" t="s">
        <v>30</v>
      </c>
      <c r="Q906" s="2">
        <v>0.7</v>
      </c>
      <c r="R906">
        <v>0</v>
      </c>
      <c r="V906" t="str">
        <f>VLOOKUP(H906,'[1]팀별 출판사'!A:B,2,0)</f>
        <v>소설1팀</v>
      </c>
      <c r="W906" s="6">
        <f t="shared" si="28"/>
        <v>0</v>
      </c>
      <c r="X906" s="6">
        <f t="shared" si="29"/>
        <v>0</v>
      </c>
    </row>
    <row r="907" spans="1:24" x14ac:dyDescent="0.3">
      <c r="A907" t="s">
        <v>1489</v>
      </c>
      <c r="B907" t="s">
        <v>1590</v>
      </c>
      <c r="C907" t="s">
        <v>23</v>
      </c>
      <c r="D907" t="s">
        <v>24</v>
      </c>
      <c r="E907" t="s">
        <v>25</v>
      </c>
      <c r="F907">
        <v>1</v>
      </c>
      <c r="G907">
        <v>9791136903754</v>
      </c>
      <c r="H907" t="s">
        <v>26</v>
      </c>
      <c r="I907" t="s">
        <v>361</v>
      </c>
      <c r="J907" t="s">
        <v>256</v>
      </c>
      <c r="K907" t="s">
        <v>29</v>
      </c>
      <c r="L907">
        <v>0</v>
      </c>
      <c r="M907" t="s">
        <v>465</v>
      </c>
      <c r="N907">
        <v>0</v>
      </c>
      <c r="O907">
        <v>0</v>
      </c>
      <c r="P907" t="s">
        <v>466</v>
      </c>
      <c r="Q907" s="2">
        <v>0.7</v>
      </c>
      <c r="R907">
        <v>0</v>
      </c>
      <c r="V907" t="str">
        <f>VLOOKUP(H907,'[1]팀별 출판사'!A:B,2,0)</f>
        <v>소설1팀</v>
      </c>
      <c r="W907" s="6">
        <f t="shared" si="28"/>
        <v>0</v>
      </c>
      <c r="X907" s="6">
        <f t="shared" si="29"/>
        <v>0</v>
      </c>
    </row>
    <row r="908" spans="1:24" x14ac:dyDescent="0.3">
      <c r="A908" t="s">
        <v>1489</v>
      </c>
      <c r="B908" t="s">
        <v>1591</v>
      </c>
      <c r="C908" t="s">
        <v>23</v>
      </c>
      <c r="D908" t="s">
        <v>24</v>
      </c>
      <c r="E908" t="s">
        <v>25</v>
      </c>
      <c r="F908">
        <v>1</v>
      </c>
      <c r="G908">
        <v>9791133148462</v>
      </c>
      <c r="H908" t="s">
        <v>32</v>
      </c>
      <c r="I908" t="s">
        <v>1592</v>
      </c>
      <c r="J908" t="s">
        <v>284</v>
      </c>
      <c r="K908" t="s">
        <v>29</v>
      </c>
      <c r="L908">
        <v>0</v>
      </c>
      <c r="M908" t="s">
        <v>29</v>
      </c>
      <c r="N908">
        <v>0</v>
      </c>
      <c r="O908">
        <v>0</v>
      </c>
      <c r="P908" t="s">
        <v>30</v>
      </c>
      <c r="Q908" s="2">
        <v>0.7</v>
      </c>
      <c r="R908">
        <v>0</v>
      </c>
      <c r="V908" t="str">
        <f>VLOOKUP(H908,'[1]팀별 출판사'!A:B,2,0)</f>
        <v>소설1팀</v>
      </c>
      <c r="W908" s="6">
        <f t="shared" si="28"/>
        <v>0</v>
      </c>
      <c r="X908" s="6">
        <f t="shared" si="29"/>
        <v>0</v>
      </c>
    </row>
    <row r="909" spans="1:24" x14ac:dyDescent="0.3">
      <c r="A909" t="s">
        <v>1489</v>
      </c>
      <c r="B909" t="s">
        <v>1593</v>
      </c>
      <c r="C909" t="s">
        <v>23</v>
      </c>
      <c r="D909" t="s">
        <v>24</v>
      </c>
      <c r="E909" t="s">
        <v>25</v>
      </c>
      <c r="F909">
        <v>1</v>
      </c>
      <c r="G909">
        <v>9791136930491</v>
      </c>
      <c r="H909" t="s">
        <v>26</v>
      </c>
      <c r="I909" t="s">
        <v>151</v>
      </c>
      <c r="J909" t="s">
        <v>46</v>
      </c>
      <c r="K909" t="s">
        <v>29</v>
      </c>
      <c r="L909">
        <v>0</v>
      </c>
      <c r="M909" t="s">
        <v>47</v>
      </c>
      <c r="N909">
        <v>0</v>
      </c>
      <c r="O909">
        <v>0</v>
      </c>
      <c r="P909" t="s">
        <v>48</v>
      </c>
      <c r="Q909" s="2">
        <v>0.7</v>
      </c>
      <c r="R909">
        <v>0</v>
      </c>
      <c r="V909" t="str">
        <f>VLOOKUP(H909,'[1]팀별 출판사'!A:B,2,0)</f>
        <v>소설1팀</v>
      </c>
      <c r="W909" s="6">
        <f t="shared" si="28"/>
        <v>0</v>
      </c>
      <c r="X909" s="6">
        <f t="shared" si="29"/>
        <v>0</v>
      </c>
    </row>
    <row r="910" spans="1:24" x14ac:dyDescent="0.3">
      <c r="A910" t="s">
        <v>1489</v>
      </c>
      <c r="B910" t="s">
        <v>1594</v>
      </c>
      <c r="C910" t="s">
        <v>23</v>
      </c>
      <c r="D910" t="s">
        <v>24</v>
      </c>
      <c r="E910" t="s">
        <v>25</v>
      </c>
      <c r="F910">
        <v>1</v>
      </c>
      <c r="G910">
        <v>9791136930552</v>
      </c>
      <c r="H910" t="s">
        <v>26</v>
      </c>
      <c r="I910" t="s">
        <v>45</v>
      </c>
      <c r="J910" t="s">
        <v>46</v>
      </c>
      <c r="K910" t="s">
        <v>29</v>
      </c>
      <c r="L910">
        <v>0</v>
      </c>
      <c r="M910" t="s">
        <v>47</v>
      </c>
      <c r="N910">
        <v>0</v>
      </c>
      <c r="O910">
        <v>0</v>
      </c>
      <c r="P910" t="s">
        <v>48</v>
      </c>
      <c r="Q910" s="2">
        <v>0.7</v>
      </c>
      <c r="R910">
        <v>0</v>
      </c>
      <c r="V910" t="str">
        <f>VLOOKUP(H910,'[1]팀별 출판사'!A:B,2,0)</f>
        <v>소설1팀</v>
      </c>
      <c r="W910" s="6">
        <f t="shared" si="28"/>
        <v>0</v>
      </c>
      <c r="X910" s="6">
        <f t="shared" si="29"/>
        <v>0</v>
      </c>
    </row>
    <row r="911" spans="1:24" x14ac:dyDescent="0.3">
      <c r="A911" t="s">
        <v>1489</v>
      </c>
      <c r="B911" t="s">
        <v>1595</v>
      </c>
      <c r="C911" t="s">
        <v>23</v>
      </c>
      <c r="D911" t="s">
        <v>24</v>
      </c>
      <c r="E911" t="s">
        <v>25</v>
      </c>
      <c r="F911">
        <v>1</v>
      </c>
      <c r="G911">
        <v>9791170100041</v>
      </c>
      <c r="H911" t="s">
        <v>67</v>
      </c>
      <c r="I911" t="s">
        <v>346</v>
      </c>
      <c r="J911" t="s">
        <v>347</v>
      </c>
      <c r="K911" t="s">
        <v>29</v>
      </c>
      <c r="L911">
        <v>0</v>
      </c>
      <c r="M911" t="s">
        <v>29</v>
      </c>
      <c r="N911">
        <v>0</v>
      </c>
      <c r="O911">
        <v>0</v>
      </c>
      <c r="P911" t="s">
        <v>30</v>
      </c>
      <c r="Q911" s="2">
        <v>0.7</v>
      </c>
      <c r="R911">
        <v>0</v>
      </c>
      <c r="V911" t="str">
        <f>VLOOKUP(H911,'[1]팀별 출판사'!A:B,2,0)</f>
        <v>소설1팀</v>
      </c>
      <c r="W911" s="6">
        <f t="shared" si="28"/>
        <v>0</v>
      </c>
      <c r="X911" s="6">
        <f t="shared" si="29"/>
        <v>0</v>
      </c>
    </row>
    <row r="912" spans="1:24" x14ac:dyDescent="0.3">
      <c r="A912" t="s">
        <v>1489</v>
      </c>
      <c r="B912" t="s">
        <v>1596</v>
      </c>
      <c r="C912" t="s">
        <v>23</v>
      </c>
      <c r="D912" t="s">
        <v>24</v>
      </c>
      <c r="E912" t="s">
        <v>25</v>
      </c>
      <c r="F912">
        <v>1</v>
      </c>
      <c r="G912">
        <v>9791170100546</v>
      </c>
      <c r="H912" t="s">
        <v>67</v>
      </c>
      <c r="I912" t="s">
        <v>428</v>
      </c>
      <c r="J912" t="s">
        <v>429</v>
      </c>
      <c r="K912" t="s">
        <v>29</v>
      </c>
      <c r="L912">
        <v>0</v>
      </c>
      <c r="M912" t="s">
        <v>29</v>
      </c>
      <c r="N912">
        <v>0</v>
      </c>
      <c r="O912">
        <v>0</v>
      </c>
      <c r="P912" t="s">
        <v>30</v>
      </c>
      <c r="Q912" s="2">
        <v>0.7</v>
      </c>
      <c r="R912">
        <v>0</v>
      </c>
      <c r="V912" t="str">
        <f>VLOOKUP(H912,'[1]팀별 출판사'!A:B,2,0)</f>
        <v>소설1팀</v>
      </c>
      <c r="W912" s="6">
        <f t="shared" si="28"/>
        <v>0</v>
      </c>
      <c r="X912" s="6">
        <f t="shared" si="29"/>
        <v>0</v>
      </c>
    </row>
    <row r="913" spans="1:24" x14ac:dyDescent="0.3">
      <c r="A913" t="s">
        <v>1489</v>
      </c>
      <c r="B913" t="s">
        <v>1597</v>
      </c>
      <c r="C913" t="s">
        <v>23</v>
      </c>
      <c r="D913" t="s">
        <v>24</v>
      </c>
      <c r="E913" t="s">
        <v>25</v>
      </c>
      <c r="F913">
        <v>1</v>
      </c>
      <c r="G913">
        <v>9791133101863</v>
      </c>
      <c r="H913" t="s">
        <v>32</v>
      </c>
      <c r="I913" t="s">
        <v>159</v>
      </c>
      <c r="J913" t="s">
        <v>160</v>
      </c>
      <c r="K913" t="s">
        <v>29</v>
      </c>
      <c r="L913">
        <v>0</v>
      </c>
      <c r="M913" t="s">
        <v>29</v>
      </c>
      <c r="N913">
        <v>0</v>
      </c>
      <c r="O913">
        <v>0</v>
      </c>
      <c r="P913" t="s">
        <v>30</v>
      </c>
      <c r="Q913" s="2">
        <v>0.7</v>
      </c>
      <c r="R913">
        <v>0</v>
      </c>
      <c r="V913" t="str">
        <f>VLOOKUP(H913,'[1]팀별 출판사'!A:B,2,0)</f>
        <v>소설1팀</v>
      </c>
      <c r="W913" s="6">
        <f t="shared" si="28"/>
        <v>0</v>
      </c>
      <c r="X913" s="6">
        <f t="shared" si="29"/>
        <v>0</v>
      </c>
    </row>
    <row r="914" spans="1:24" x14ac:dyDescent="0.3">
      <c r="A914" t="s">
        <v>1489</v>
      </c>
      <c r="B914" t="s">
        <v>1598</v>
      </c>
      <c r="C914" t="s">
        <v>23</v>
      </c>
      <c r="D914" t="s">
        <v>24</v>
      </c>
      <c r="E914" t="s">
        <v>25</v>
      </c>
      <c r="F914">
        <v>1</v>
      </c>
      <c r="G914">
        <v>9791133101801</v>
      </c>
      <c r="H914" t="s">
        <v>32</v>
      </c>
      <c r="I914" t="s">
        <v>1173</v>
      </c>
      <c r="J914" t="s">
        <v>160</v>
      </c>
      <c r="K914" t="s">
        <v>29</v>
      </c>
      <c r="L914">
        <v>0</v>
      </c>
      <c r="M914" t="s">
        <v>29</v>
      </c>
      <c r="N914">
        <v>0</v>
      </c>
      <c r="O914">
        <v>0</v>
      </c>
      <c r="P914" t="s">
        <v>30</v>
      </c>
      <c r="Q914" s="2">
        <v>0.7</v>
      </c>
      <c r="R914">
        <v>0</v>
      </c>
      <c r="V914" t="str">
        <f>VLOOKUP(H914,'[1]팀별 출판사'!A:B,2,0)</f>
        <v>소설1팀</v>
      </c>
      <c r="W914" s="6">
        <f t="shared" si="28"/>
        <v>0</v>
      </c>
      <c r="X914" s="6">
        <f t="shared" si="29"/>
        <v>0</v>
      </c>
    </row>
    <row r="915" spans="1:24" x14ac:dyDescent="0.3">
      <c r="A915" t="s">
        <v>1489</v>
      </c>
      <c r="B915" t="s">
        <v>1599</v>
      </c>
      <c r="C915" t="s">
        <v>23</v>
      </c>
      <c r="D915" t="s">
        <v>24</v>
      </c>
      <c r="E915" t="s">
        <v>25</v>
      </c>
      <c r="F915">
        <v>1</v>
      </c>
      <c r="G915">
        <v>9791136942142</v>
      </c>
      <c r="H915" t="s">
        <v>26</v>
      </c>
      <c r="I915" t="s">
        <v>180</v>
      </c>
      <c r="J915" t="s">
        <v>46</v>
      </c>
      <c r="K915" t="s">
        <v>29</v>
      </c>
      <c r="L915">
        <v>0</v>
      </c>
      <c r="M915" t="s">
        <v>29</v>
      </c>
      <c r="N915">
        <v>0</v>
      </c>
      <c r="O915">
        <v>0</v>
      </c>
      <c r="P915" t="s">
        <v>30</v>
      </c>
      <c r="Q915" s="2">
        <v>0.7</v>
      </c>
      <c r="R915">
        <v>0</v>
      </c>
      <c r="V915" t="str">
        <f>VLOOKUP(H915,'[1]팀별 출판사'!A:B,2,0)</f>
        <v>소설1팀</v>
      </c>
      <c r="W915" s="6">
        <f t="shared" si="28"/>
        <v>0</v>
      </c>
      <c r="X915" s="6">
        <f t="shared" si="29"/>
        <v>0</v>
      </c>
    </row>
    <row r="916" spans="1:24" x14ac:dyDescent="0.3">
      <c r="A916" t="s">
        <v>1489</v>
      </c>
      <c r="B916" t="s">
        <v>1600</v>
      </c>
      <c r="C916" t="s">
        <v>23</v>
      </c>
      <c r="D916" t="s">
        <v>24</v>
      </c>
      <c r="E916" t="s">
        <v>25</v>
      </c>
      <c r="F916">
        <v>1</v>
      </c>
      <c r="G916">
        <v>9791136941589</v>
      </c>
      <c r="H916" t="s">
        <v>26</v>
      </c>
      <c r="I916" t="s">
        <v>275</v>
      </c>
      <c r="J916" t="s">
        <v>276</v>
      </c>
      <c r="K916" t="s">
        <v>29</v>
      </c>
      <c r="L916">
        <v>0</v>
      </c>
      <c r="M916" t="s">
        <v>29</v>
      </c>
      <c r="N916">
        <v>0</v>
      </c>
      <c r="O916">
        <v>0</v>
      </c>
      <c r="P916" t="s">
        <v>30</v>
      </c>
      <c r="Q916" s="2">
        <v>0.7</v>
      </c>
      <c r="R916">
        <v>0</v>
      </c>
      <c r="V916" t="str">
        <f>VLOOKUP(H916,'[1]팀별 출판사'!A:B,2,0)</f>
        <v>소설1팀</v>
      </c>
      <c r="W916" s="6">
        <f t="shared" si="28"/>
        <v>0</v>
      </c>
      <c r="X916" s="6">
        <f t="shared" si="29"/>
        <v>0</v>
      </c>
    </row>
    <row r="917" spans="1:24" x14ac:dyDescent="0.3">
      <c r="A917" t="s">
        <v>1489</v>
      </c>
      <c r="B917" t="s">
        <v>1467</v>
      </c>
      <c r="C917" t="s">
        <v>23</v>
      </c>
      <c r="D917" t="s">
        <v>1601</v>
      </c>
      <c r="E917" t="s">
        <v>25</v>
      </c>
      <c r="F917">
        <v>-1</v>
      </c>
      <c r="G917">
        <v>9791173783722</v>
      </c>
      <c r="H917" t="s">
        <v>36</v>
      </c>
      <c r="I917" t="s">
        <v>118</v>
      </c>
      <c r="J917" t="s">
        <v>119</v>
      </c>
      <c r="K917" t="s">
        <v>29</v>
      </c>
      <c r="L917" s="1">
        <v>3600</v>
      </c>
      <c r="M917" t="s">
        <v>29</v>
      </c>
      <c r="N917" s="1">
        <v>3600</v>
      </c>
      <c r="O917" s="1">
        <v>3600</v>
      </c>
      <c r="P917" t="s">
        <v>30</v>
      </c>
      <c r="Q917" s="2">
        <v>0.7</v>
      </c>
      <c r="R917" s="1">
        <v>-2520</v>
      </c>
      <c r="S917" t="s">
        <v>29</v>
      </c>
      <c r="T917" s="1">
        <v>-2520</v>
      </c>
      <c r="V917" t="str">
        <f>VLOOKUP(H917,'[1]팀별 출판사'!A:B,2,0)</f>
        <v>소설2팀</v>
      </c>
      <c r="W917" s="6">
        <f t="shared" si="28"/>
        <v>0</v>
      </c>
      <c r="X917" s="6">
        <f t="shared" si="29"/>
        <v>-2520</v>
      </c>
    </row>
    <row r="918" spans="1:24" x14ac:dyDescent="0.3">
      <c r="A918" t="s">
        <v>1489</v>
      </c>
      <c r="B918" t="s">
        <v>1602</v>
      </c>
      <c r="C918" t="s">
        <v>23</v>
      </c>
      <c r="D918" t="s">
        <v>24</v>
      </c>
      <c r="E918" t="s">
        <v>25</v>
      </c>
      <c r="F918">
        <v>1</v>
      </c>
      <c r="G918">
        <v>9791136903846</v>
      </c>
      <c r="H918" t="s">
        <v>26</v>
      </c>
      <c r="I918" t="s">
        <v>1334</v>
      </c>
      <c r="J918" t="s">
        <v>256</v>
      </c>
      <c r="K918" t="s">
        <v>29</v>
      </c>
      <c r="L918" s="1">
        <v>3200</v>
      </c>
      <c r="M918" t="s">
        <v>29</v>
      </c>
      <c r="N918" s="1">
        <v>3200</v>
      </c>
      <c r="O918" s="1">
        <v>3200</v>
      </c>
      <c r="P918" t="s">
        <v>30</v>
      </c>
      <c r="Q918" s="2">
        <v>0.7</v>
      </c>
      <c r="R918" s="1">
        <v>2240</v>
      </c>
      <c r="S918" t="s">
        <v>29</v>
      </c>
      <c r="T918" s="1">
        <v>2240</v>
      </c>
      <c r="V918" t="str">
        <f>VLOOKUP(H918,'[1]팀별 출판사'!A:B,2,0)</f>
        <v>소설1팀</v>
      </c>
      <c r="W918" s="6">
        <f t="shared" si="28"/>
        <v>0</v>
      </c>
      <c r="X918" s="6">
        <f t="shared" si="29"/>
        <v>2240</v>
      </c>
    </row>
    <row r="919" spans="1:24" x14ac:dyDescent="0.3">
      <c r="A919" t="s">
        <v>1489</v>
      </c>
      <c r="B919" t="s">
        <v>1603</v>
      </c>
      <c r="C919" t="s">
        <v>23</v>
      </c>
      <c r="D919" t="s">
        <v>24</v>
      </c>
      <c r="E919" t="s">
        <v>25</v>
      </c>
      <c r="F919">
        <v>1</v>
      </c>
      <c r="G919">
        <v>9791136930552</v>
      </c>
      <c r="H919" t="s">
        <v>26</v>
      </c>
      <c r="I919" t="s">
        <v>45</v>
      </c>
      <c r="J919" t="s">
        <v>46</v>
      </c>
      <c r="K919" t="s">
        <v>29</v>
      </c>
      <c r="L919">
        <v>0</v>
      </c>
      <c r="M919" t="s">
        <v>47</v>
      </c>
      <c r="N919">
        <v>0</v>
      </c>
      <c r="O919">
        <v>0</v>
      </c>
      <c r="P919" t="s">
        <v>48</v>
      </c>
      <c r="Q919" s="2">
        <v>0.7</v>
      </c>
      <c r="R919">
        <v>0</v>
      </c>
      <c r="V919" t="str">
        <f>VLOOKUP(H919,'[1]팀별 출판사'!A:B,2,0)</f>
        <v>소설1팀</v>
      </c>
      <c r="W919" s="6">
        <f t="shared" si="28"/>
        <v>0</v>
      </c>
      <c r="X919" s="6">
        <f t="shared" si="29"/>
        <v>0</v>
      </c>
    </row>
    <row r="920" spans="1:24" x14ac:dyDescent="0.3">
      <c r="A920" t="s">
        <v>1489</v>
      </c>
      <c r="B920" t="s">
        <v>1604</v>
      </c>
      <c r="C920" t="s">
        <v>23</v>
      </c>
      <c r="D920" t="s">
        <v>24</v>
      </c>
      <c r="E920" t="s">
        <v>25</v>
      </c>
      <c r="F920">
        <v>1</v>
      </c>
      <c r="G920">
        <v>9791170107385</v>
      </c>
      <c r="H920" t="s">
        <v>67</v>
      </c>
      <c r="I920" t="s">
        <v>1605</v>
      </c>
      <c r="J920" t="s">
        <v>392</v>
      </c>
      <c r="K920" t="s">
        <v>29</v>
      </c>
      <c r="L920" s="1">
        <v>2500</v>
      </c>
      <c r="M920" t="s">
        <v>29</v>
      </c>
      <c r="N920" s="1">
        <v>2500</v>
      </c>
      <c r="O920" s="1">
        <v>2500</v>
      </c>
      <c r="P920" t="s">
        <v>30</v>
      </c>
      <c r="Q920" s="2">
        <v>0.7</v>
      </c>
      <c r="R920" s="1">
        <v>1750</v>
      </c>
      <c r="S920" t="s">
        <v>29</v>
      </c>
      <c r="T920" s="1">
        <v>1750</v>
      </c>
      <c r="V920" t="str">
        <f>VLOOKUP(H920,'[1]팀별 출판사'!A:B,2,0)</f>
        <v>소설1팀</v>
      </c>
      <c r="W920" s="6">
        <f t="shared" si="28"/>
        <v>0</v>
      </c>
      <c r="X920" s="6">
        <f t="shared" si="29"/>
        <v>1750</v>
      </c>
    </row>
    <row r="921" spans="1:24" x14ac:dyDescent="0.3">
      <c r="A921" t="s">
        <v>1489</v>
      </c>
      <c r="B921" t="s">
        <v>1606</v>
      </c>
      <c r="C921" t="s">
        <v>23</v>
      </c>
      <c r="D921" t="s">
        <v>24</v>
      </c>
      <c r="E921" t="s">
        <v>25</v>
      </c>
      <c r="F921">
        <v>1</v>
      </c>
      <c r="G921" t="s">
        <v>1607</v>
      </c>
      <c r="H921" t="s">
        <v>32</v>
      </c>
      <c r="I921" t="s">
        <v>1608</v>
      </c>
      <c r="J921" t="s">
        <v>166</v>
      </c>
      <c r="K921" t="s">
        <v>29</v>
      </c>
      <c r="L921">
        <v>0</v>
      </c>
      <c r="M921" t="s">
        <v>29</v>
      </c>
      <c r="N921">
        <v>0</v>
      </c>
      <c r="O921">
        <v>0</v>
      </c>
      <c r="P921" t="s">
        <v>30</v>
      </c>
      <c r="Q921" s="2">
        <v>0.7</v>
      </c>
      <c r="R921">
        <v>0</v>
      </c>
      <c r="V921" t="str">
        <f>VLOOKUP(H921,'[1]팀별 출판사'!A:B,2,0)</f>
        <v>소설1팀</v>
      </c>
      <c r="W921" s="6">
        <f t="shared" si="28"/>
        <v>0</v>
      </c>
      <c r="X921" s="6">
        <f t="shared" si="29"/>
        <v>0</v>
      </c>
    </row>
    <row r="922" spans="1:24" x14ac:dyDescent="0.3">
      <c r="A922" t="s">
        <v>1489</v>
      </c>
      <c r="B922" t="s">
        <v>1609</v>
      </c>
      <c r="C922" t="s">
        <v>23</v>
      </c>
      <c r="D922" t="s">
        <v>24</v>
      </c>
      <c r="E922" t="s">
        <v>25</v>
      </c>
      <c r="F922">
        <v>1</v>
      </c>
      <c r="G922">
        <v>9791170102984</v>
      </c>
      <c r="H922" t="s">
        <v>67</v>
      </c>
      <c r="I922" t="s">
        <v>1610</v>
      </c>
      <c r="J922" t="s">
        <v>1200</v>
      </c>
      <c r="K922" t="s">
        <v>29</v>
      </c>
      <c r="L922">
        <v>0</v>
      </c>
      <c r="M922" t="s">
        <v>70</v>
      </c>
      <c r="N922">
        <v>0</v>
      </c>
      <c r="O922">
        <v>0</v>
      </c>
      <c r="P922" t="s">
        <v>71</v>
      </c>
      <c r="Q922" s="2">
        <v>0.7</v>
      </c>
      <c r="R922">
        <v>0</v>
      </c>
      <c r="V922" t="str">
        <f>VLOOKUP(H922,'[1]팀별 출판사'!A:B,2,0)</f>
        <v>소설1팀</v>
      </c>
      <c r="W922" s="6">
        <f t="shared" si="28"/>
        <v>0</v>
      </c>
      <c r="X922" s="6">
        <f t="shared" si="29"/>
        <v>0</v>
      </c>
    </row>
    <row r="923" spans="1:24" x14ac:dyDescent="0.3">
      <c r="A923" t="s">
        <v>1489</v>
      </c>
      <c r="B923" t="s">
        <v>1611</v>
      </c>
      <c r="C923" t="s">
        <v>23</v>
      </c>
      <c r="D923" t="s">
        <v>24</v>
      </c>
      <c r="E923" t="s">
        <v>25</v>
      </c>
      <c r="F923">
        <v>1</v>
      </c>
      <c r="G923">
        <v>9791170106715</v>
      </c>
      <c r="H923" t="s">
        <v>67</v>
      </c>
      <c r="I923" t="s">
        <v>68</v>
      </c>
      <c r="J923" t="s">
        <v>69</v>
      </c>
      <c r="K923" t="s">
        <v>29</v>
      </c>
      <c r="L923">
        <v>0</v>
      </c>
      <c r="M923" t="s">
        <v>478</v>
      </c>
      <c r="N923">
        <v>0</v>
      </c>
      <c r="O923">
        <v>0</v>
      </c>
      <c r="P923" t="s">
        <v>479</v>
      </c>
      <c r="Q923" s="2">
        <v>0.7</v>
      </c>
      <c r="R923">
        <v>0</v>
      </c>
      <c r="V923" t="str">
        <f>VLOOKUP(H923,'[1]팀별 출판사'!A:B,2,0)</f>
        <v>소설1팀</v>
      </c>
      <c r="W923" s="6">
        <f t="shared" si="28"/>
        <v>0</v>
      </c>
      <c r="X923" s="6">
        <f t="shared" si="29"/>
        <v>0</v>
      </c>
    </row>
    <row r="924" spans="1:24" x14ac:dyDescent="0.3">
      <c r="A924" t="s">
        <v>1489</v>
      </c>
      <c r="B924" t="s">
        <v>1612</v>
      </c>
      <c r="C924" t="s">
        <v>23</v>
      </c>
      <c r="D924" t="s">
        <v>24</v>
      </c>
      <c r="E924" t="s">
        <v>25</v>
      </c>
      <c r="F924">
        <v>1</v>
      </c>
      <c r="G924">
        <v>9791136911001</v>
      </c>
      <c r="H924" t="s">
        <v>32</v>
      </c>
      <c r="I924" t="s">
        <v>795</v>
      </c>
      <c r="J924" t="s">
        <v>160</v>
      </c>
      <c r="K924" t="s">
        <v>29</v>
      </c>
      <c r="L924" s="1">
        <v>3200</v>
      </c>
      <c r="M924" t="s">
        <v>29</v>
      </c>
      <c r="N924" s="1">
        <v>3200</v>
      </c>
      <c r="O924" s="1">
        <v>3200</v>
      </c>
      <c r="P924" t="s">
        <v>30</v>
      </c>
      <c r="Q924" s="2">
        <v>0.7</v>
      </c>
      <c r="R924" s="1">
        <v>2240</v>
      </c>
      <c r="S924" t="s">
        <v>29</v>
      </c>
      <c r="T924" s="1">
        <v>2240</v>
      </c>
      <c r="V924" t="str">
        <f>VLOOKUP(H924,'[1]팀별 출판사'!A:B,2,0)</f>
        <v>소설1팀</v>
      </c>
      <c r="W924" s="6">
        <f t="shared" si="28"/>
        <v>0</v>
      </c>
      <c r="X924" s="6">
        <f t="shared" si="29"/>
        <v>2240</v>
      </c>
    </row>
    <row r="925" spans="1:24" x14ac:dyDescent="0.3">
      <c r="A925" t="s">
        <v>1489</v>
      </c>
      <c r="B925" t="s">
        <v>1612</v>
      </c>
      <c r="C925" t="s">
        <v>23</v>
      </c>
      <c r="D925" t="s">
        <v>24</v>
      </c>
      <c r="E925" t="s">
        <v>25</v>
      </c>
      <c r="F925">
        <v>1</v>
      </c>
      <c r="G925">
        <v>9791136911025</v>
      </c>
      <c r="H925" t="s">
        <v>32</v>
      </c>
      <c r="I925" t="s">
        <v>884</v>
      </c>
      <c r="J925" t="s">
        <v>160</v>
      </c>
      <c r="K925" t="s">
        <v>29</v>
      </c>
      <c r="L925" s="1">
        <v>3200</v>
      </c>
      <c r="M925" t="s">
        <v>29</v>
      </c>
      <c r="N925" s="1">
        <v>3200</v>
      </c>
      <c r="O925" s="1">
        <v>3200</v>
      </c>
      <c r="P925" t="s">
        <v>30</v>
      </c>
      <c r="Q925" s="2">
        <v>0.7</v>
      </c>
      <c r="R925" s="1">
        <v>2240</v>
      </c>
      <c r="S925" t="s">
        <v>29</v>
      </c>
      <c r="T925" s="1">
        <v>2240</v>
      </c>
      <c r="V925" t="str">
        <f>VLOOKUP(H925,'[1]팀별 출판사'!A:B,2,0)</f>
        <v>소설1팀</v>
      </c>
      <c r="W925" s="6">
        <f t="shared" si="28"/>
        <v>0</v>
      </c>
      <c r="X925" s="6">
        <f t="shared" si="29"/>
        <v>2240</v>
      </c>
    </row>
    <row r="926" spans="1:24" x14ac:dyDescent="0.3">
      <c r="A926" t="s">
        <v>1489</v>
      </c>
      <c r="B926" t="s">
        <v>1613</v>
      </c>
      <c r="C926" t="s">
        <v>23</v>
      </c>
      <c r="D926" t="s">
        <v>24</v>
      </c>
      <c r="E926" t="s">
        <v>25</v>
      </c>
      <c r="F926">
        <v>1</v>
      </c>
      <c r="G926" t="s">
        <v>1614</v>
      </c>
      <c r="H926" t="s">
        <v>32</v>
      </c>
      <c r="I926" t="s">
        <v>1615</v>
      </c>
      <c r="J926" t="s">
        <v>202</v>
      </c>
      <c r="K926" t="s">
        <v>29</v>
      </c>
      <c r="L926" s="1">
        <v>3200</v>
      </c>
      <c r="M926" t="s">
        <v>29</v>
      </c>
      <c r="N926" s="1">
        <v>3200</v>
      </c>
      <c r="O926" s="1">
        <v>3200</v>
      </c>
      <c r="P926" t="s">
        <v>30</v>
      </c>
      <c r="Q926" s="2">
        <v>0.7</v>
      </c>
      <c r="R926" s="1">
        <v>2240</v>
      </c>
      <c r="S926" t="s">
        <v>29</v>
      </c>
      <c r="T926" s="1">
        <v>2240</v>
      </c>
      <c r="V926" t="str">
        <f>VLOOKUP(H926,'[1]팀별 출판사'!A:B,2,0)</f>
        <v>소설1팀</v>
      </c>
      <c r="W926" s="6">
        <f t="shared" si="28"/>
        <v>0</v>
      </c>
      <c r="X926" s="6">
        <f t="shared" si="29"/>
        <v>2240</v>
      </c>
    </row>
    <row r="927" spans="1:24" x14ac:dyDescent="0.3">
      <c r="A927" t="s">
        <v>1489</v>
      </c>
      <c r="B927" t="s">
        <v>1616</v>
      </c>
      <c r="C927" t="s">
        <v>23</v>
      </c>
      <c r="D927" t="s">
        <v>24</v>
      </c>
      <c r="E927" t="s">
        <v>25</v>
      </c>
      <c r="F927">
        <v>1</v>
      </c>
      <c r="G927">
        <v>9791136917409</v>
      </c>
      <c r="H927" t="s">
        <v>1617</v>
      </c>
      <c r="I927" t="s">
        <v>1618</v>
      </c>
      <c r="J927" t="s">
        <v>1619</v>
      </c>
      <c r="K927" t="s">
        <v>29</v>
      </c>
      <c r="L927" s="1">
        <v>2500</v>
      </c>
      <c r="M927" t="s">
        <v>136</v>
      </c>
      <c r="N927">
        <v>298</v>
      </c>
      <c r="O927">
        <v>271</v>
      </c>
      <c r="P927" t="s">
        <v>137</v>
      </c>
      <c r="Q927" s="2">
        <v>0.7</v>
      </c>
      <c r="R927">
        <v>190</v>
      </c>
      <c r="S927" t="s">
        <v>29</v>
      </c>
      <c r="T927" s="1">
        <v>1769</v>
      </c>
      <c r="U927">
        <v>9.3086699999999993</v>
      </c>
      <c r="V927" t="str">
        <f>VLOOKUP(H927,'[1]팀별 출판사'!A:B,2,0)</f>
        <v>소설2팀</v>
      </c>
      <c r="W927" s="6">
        <f t="shared" si="28"/>
        <v>0</v>
      </c>
      <c r="X927" s="6">
        <f t="shared" si="29"/>
        <v>1769</v>
      </c>
    </row>
    <row r="928" spans="1:24" x14ac:dyDescent="0.3">
      <c r="A928" t="s">
        <v>1489</v>
      </c>
      <c r="B928" t="s">
        <v>1620</v>
      </c>
      <c r="C928" t="s">
        <v>23</v>
      </c>
      <c r="D928" t="s">
        <v>24</v>
      </c>
      <c r="E928" t="s">
        <v>25</v>
      </c>
      <c r="F928">
        <v>1</v>
      </c>
      <c r="G928" t="s">
        <v>1036</v>
      </c>
      <c r="H928" t="s">
        <v>32</v>
      </c>
      <c r="I928" t="s">
        <v>1037</v>
      </c>
      <c r="J928" t="s">
        <v>311</v>
      </c>
      <c r="K928" t="s">
        <v>29</v>
      </c>
      <c r="L928">
        <v>0</v>
      </c>
      <c r="M928" t="s">
        <v>948</v>
      </c>
      <c r="N928">
        <v>0</v>
      </c>
      <c r="O928">
        <v>0</v>
      </c>
      <c r="P928" t="s">
        <v>949</v>
      </c>
      <c r="Q928" s="2">
        <v>0.7</v>
      </c>
      <c r="R928">
        <v>0</v>
      </c>
      <c r="V928" t="str">
        <f>VLOOKUP(H928,'[1]팀별 출판사'!A:B,2,0)</f>
        <v>소설1팀</v>
      </c>
      <c r="W928" s="6">
        <f t="shared" si="28"/>
        <v>0</v>
      </c>
      <c r="X928" s="6">
        <f t="shared" si="29"/>
        <v>0</v>
      </c>
    </row>
    <row r="929" spans="1:24" x14ac:dyDescent="0.3">
      <c r="A929" t="s">
        <v>1489</v>
      </c>
      <c r="B929" t="s">
        <v>1621</v>
      </c>
      <c r="C929" t="s">
        <v>23</v>
      </c>
      <c r="D929" t="s">
        <v>24</v>
      </c>
      <c r="E929" t="s">
        <v>25</v>
      </c>
      <c r="F929">
        <v>1</v>
      </c>
      <c r="G929" t="s">
        <v>1622</v>
      </c>
      <c r="H929" t="s">
        <v>32</v>
      </c>
      <c r="I929" t="s">
        <v>1623</v>
      </c>
      <c r="J929" t="s">
        <v>311</v>
      </c>
      <c r="K929" t="s">
        <v>29</v>
      </c>
      <c r="L929">
        <v>0</v>
      </c>
      <c r="M929" t="s">
        <v>948</v>
      </c>
      <c r="N929">
        <v>0</v>
      </c>
      <c r="O929">
        <v>0</v>
      </c>
      <c r="P929" t="s">
        <v>949</v>
      </c>
      <c r="Q929" s="2">
        <v>0.7</v>
      </c>
      <c r="R929">
        <v>0</v>
      </c>
      <c r="V929" t="str">
        <f>VLOOKUP(H929,'[1]팀별 출판사'!A:B,2,0)</f>
        <v>소설1팀</v>
      </c>
      <c r="W929" s="6">
        <f t="shared" si="28"/>
        <v>0</v>
      </c>
      <c r="X929" s="6">
        <f t="shared" si="29"/>
        <v>0</v>
      </c>
    </row>
    <row r="930" spans="1:24" x14ac:dyDescent="0.3">
      <c r="A930" t="s">
        <v>1489</v>
      </c>
      <c r="B930" t="s">
        <v>1624</v>
      </c>
      <c r="C930" t="s">
        <v>23</v>
      </c>
      <c r="D930" t="s">
        <v>24</v>
      </c>
      <c r="E930" t="s">
        <v>25</v>
      </c>
      <c r="F930">
        <v>1</v>
      </c>
      <c r="G930">
        <v>9791136930491</v>
      </c>
      <c r="H930" t="s">
        <v>26</v>
      </c>
      <c r="I930" t="s">
        <v>151</v>
      </c>
      <c r="J930" t="s">
        <v>46</v>
      </c>
      <c r="K930" t="s">
        <v>29</v>
      </c>
      <c r="L930">
        <v>0</v>
      </c>
      <c r="M930" t="s">
        <v>127</v>
      </c>
      <c r="N930">
        <v>0</v>
      </c>
      <c r="O930">
        <v>0</v>
      </c>
      <c r="P930" t="s">
        <v>128</v>
      </c>
      <c r="Q930" s="2">
        <v>0.7</v>
      </c>
      <c r="R930">
        <v>0</v>
      </c>
      <c r="V930" t="str">
        <f>VLOOKUP(H930,'[1]팀별 출판사'!A:B,2,0)</f>
        <v>소설1팀</v>
      </c>
      <c r="W930" s="6">
        <f t="shared" si="28"/>
        <v>0</v>
      </c>
      <c r="X930" s="6">
        <f t="shared" si="29"/>
        <v>0</v>
      </c>
    </row>
    <row r="931" spans="1:24" x14ac:dyDescent="0.3">
      <c r="A931" t="s">
        <v>1489</v>
      </c>
      <c r="B931" t="s">
        <v>1625</v>
      </c>
      <c r="C931" t="s">
        <v>23</v>
      </c>
      <c r="D931" t="s">
        <v>24</v>
      </c>
      <c r="E931" t="s">
        <v>25</v>
      </c>
      <c r="F931">
        <v>1</v>
      </c>
      <c r="G931">
        <v>9791133140589</v>
      </c>
      <c r="H931" t="s">
        <v>32</v>
      </c>
      <c r="I931" t="s">
        <v>1626</v>
      </c>
      <c r="J931" t="s">
        <v>1627</v>
      </c>
      <c r="K931" t="s">
        <v>29</v>
      </c>
      <c r="L931">
        <v>0</v>
      </c>
      <c r="M931" t="s">
        <v>948</v>
      </c>
      <c r="N931">
        <v>0</v>
      </c>
      <c r="O931">
        <v>0</v>
      </c>
      <c r="P931" t="s">
        <v>949</v>
      </c>
      <c r="Q931" s="2">
        <v>0.7</v>
      </c>
      <c r="R931">
        <v>0</v>
      </c>
      <c r="V931" t="str">
        <f>VLOOKUP(H931,'[1]팀별 출판사'!A:B,2,0)</f>
        <v>소설1팀</v>
      </c>
      <c r="W931" s="6">
        <f t="shared" si="28"/>
        <v>0</v>
      </c>
      <c r="X931" s="6">
        <f t="shared" si="29"/>
        <v>0</v>
      </c>
    </row>
    <row r="932" spans="1:24" x14ac:dyDescent="0.3">
      <c r="A932" t="s">
        <v>1489</v>
      </c>
      <c r="B932" t="s">
        <v>1628</v>
      </c>
      <c r="C932" t="s">
        <v>23</v>
      </c>
      <c r="D932" t="s">
        <v>24</v>
      </c>
      <c r="E932" t="s">
        <v>25</v>
      </c>
      <c r="F932">
        <v>1</v>
      </c>
      <c r="G932">
        <v>9791136936769</v>
      </c>
      <c r="H932" t="s">
        <v>32</v>
      </c>
      <c r="I932" t="s">
        <v>792</v>
      </c>
      <c r="J932" t="s">
        <v>793</v>
      </c>
      <c r="K932" t="s">
        <v>29</v>
      </c>
      <c r="L932">
        <v>0</v>
      </c>
      <c r="M932" t="s">
        <v>29</v>
      </c>
      <c r="N932">
        <v>0</v>
      </c>
      <c r="O932">
        <v>0</v>
      </c>
      <c r="P932" t="s">
        <v>30</v>
      </c>
      <c r="Q932" s="2">
        <v>0.7</v>
      </c>
      <c r="R932">
        <v>0</v>
      </c>
      <c r="V932" t="str">
        <f>VLOOKUP(H932,'[1]팀별 출판사'!A:B,2,0)</f>
        <v>소설1팀</v>
      </c>
      <c r="W932" s="6">
        <f t="shared" si="28"/>
        <v>0</v>
      </c>
      <c r="X932" s="6">
        <f t="shared" si="29"/>
        <v>0</v>
      </c>
    </row>
    <row r="933" spans="1:24" x14ac:dyDescent="0.3">
      <c r="A933" t="s">
        <v>1489</v>
      </c>
      <c r="B933" t="s">
        <v>1629</v>
      </c>
      <c r="C933" t="s">
        <v>23</v>
      </c>
      <c r="D933" t="s">
        <v>24</v>
      </c>
      <c r="E933" t="s">
        <v>25</v>
      </c>
      <c r="F933">
        <v>1</v>
      </c>
      <c r="G933">
        <v>9791136903600</v>
      </c>
      <c r="H933" t="s">
        <v>26</v>
      </c>
      <c r="I933" t="s">
        <v>1630</v>
      </c>
      <c r="J933" t="s">
        <v>1376</v>
      </c>
      <c r="K933" t="s">
        <v>29</v>
      </c>
      <c r="L933" s="1">
        <v>3200</v>
      </c>
      <c r="M933" t="s">
        <v>70</v>
      </c>
      <c r="N933">
        <v>2.2200000000000002</v>
      </c>
      <c r="O933">
        <v>2.2200000000000002</v>
      </c>
      <c r="P933" t="s">
        <v>71</v>
      </c>
      <c r="Q933" s="2">
        <v>0.7</v>
      </c>
      <c r="R933">
        <v>1.55</v>
      </c>
      <c r="S933" t="s">
        <v>29</v>
      </c>
      <c r="T933" s="1">
        <v>2269</v>
      </c>
      <c r="U933" s="3">
        <v>1463.5550000000001</v>
      </c>
      <c r="V933" t="str">
        <f>VLOOKUP(H933,'[1]팀별 출판사'!A:B,2,0)</f>
        <v>소설1팀</v>
      </c>
      <c r="W933" s="6">
        <f t="shared" si="28"/>
        <v>680.69999999999993</v>
      </c>
      <c r="X933" s="6">
        <f t="shared" si="29"/>
        <v>1588.3000000000002</v>
      </c>
    </row>
    <row r="934" spans="1:24" x14ac:dyDescent="0.3">
      <c r="A934" t="s">
        <v>1489</v>
      </c>
      <c r="B934" t="s">
        <v>1631</v>
      </c>
      <c r="C934" t="s">
        <v>23</v>
      </c>
      <c r="D934" t="s">
        <v>24</v>
      </c>
      <c r="E934" t="s">
        <v>25</v>
      </c>
      <c r="F934">
        <v>1</v>
      </c>
      <c r="G934">
        <v>9791136911094</v>
      </c>
      <c r="H934" t="s">
        <v>26</v>
      </c>
      <c r="I934" t="s">
        <v>1632</v>
      </c>
      <c r="J934" t="s">
        <v>160</v>
      </c>
      <c r="K934" t="s">
        <v>29</v>
      </c>
      <c r="L934" s="1">
        <v>3200</v>
      </c>
      <c r="M934" t="s">
        <v>29</v>
      </c>
      <c r="N934" s="1">
        <v>3200</v>
      </c>
      <c r="O934" s="1">
        <v>3200</v>
      </c>
      <c r="P934" t="s">
        <v>30</v>
      </c>
      <c r="Q934" s="2">
        <v>0.7</v>
      </c>
      <c r="R934" s="1">
        <v>2240</v>
      </c>
      <c r="S934" t="s">
        <v>29</v>
      </c>
      <c r="T934" s="1">
        <v>2240</v>
      </c>
      <c r="V934" t="str">
        <f>VLOOKUP(H934,'[1]팀별 출판사'!A:B,2,0)</f>
        <v>소설1팀</v>
      </c>
      <c r="W934" s="6">
        <f t="shared" si="28"/>
        <v>0</v>
      </c>
      <c r="X934" s="6">
        <f t="shared" si="29"/>
        <v>2240</v>
      </c>
    </row>
    <row r="935" spans="1:24" x14ac:dyDescent="0.3">
      <c r="A935" t="s">
        <v>1489</v>
      </c>
      <c r="B935" t="s">
        <v>1633</v>
      </c>
      <c r="C935" t="s">
        <v>23</v>
      </c>
      <c r="D935" t="s">
        <v>24</v>
      </c>
      <c r="E935" t="s">
        <v>25</v>
      </c>
      <c r="F935">
        <v>1</v>
      </c>
      <c r="G935">
        <v>9791136931375</v>
      </c>
      <c r="H935" t="s">
        <v>32</v>
      </c>
      <c r="I935" t="s">
        <v>189</v>
      </c>
      <c r="J935" t="s">
        <v>46</v>
      </c>
      <c r="K935" t="s">
        <v>29</v>
      </c>
      <c r="L935">
        <v>0</v>
      </c>
      <c r="M935" t="s">
        <v>152</v>
      </c>
      <c r="N935">
        <v>0</v>
      </c>
      <c r="O935">
        <v>0</v>
      </c>
      <c r="P935" t="s">
        <v>153</v>
      </c>
      <c r="Q935" s="2">
        <v>0.7</v>
      </c>
      <c r="R935">
        <v>0</v>
      </c>
      <c r="V935" t="str">
        <f>VLOOKUP(H935,'[1]팀별 출판사'!A:B,2,0)</f>
        <v>소설1팀</v>
      </c>
      <c r="W935" s="6">
        <f t="shared" si="28"/>
        <v>0</v>
      </c>
      <c r="X935" s="6">
        <f t="shared" si="29"/>
        <v>0</v>
      </c>
    </row>
    <row r="936" spans="1:24" x14ac:dyDescent="0.3">
      <c r="A936" t="s">
        <v>1489</v>
      </c>
      <c r="B936" t="s">
        <v>1634</v>
      </c>
      <c r="C936" t="s">
        <v>23</v>
      </c>
      <c r="D936" t="s">
        <v>24</v>
      </c>
      <c r="E936" t="s">
        <v>25</v>
      </c>
      <c r="F936">
        <v>1</v>
      </c>
      <c r="G936">
        <v>9791136931375</v>
      </c>
      <c r="H936" t="s">
        <v>32</v>
      </c>
      <c r="I936" t="s">
        <v>189</v>
      </c>
      <c r="J936" t="s">
        <v>46</v>
      </c>
      <c r="K936" t="s">
        <v>29</v>
      </c>
      <c r="L936">
        <v>0</v>
      </c>
      <c r="M936" t="s">
        <v>152</v>
      </c>
      <c r="N936">
        <v>0</v>
      </c>
      <c r="O936">
        <v>0</v>
      </c>
      <c r="P936" t="s">
        <v>153</v>
      </c>
      <c r="Q936" s="2">
        <v>0.7</v>
      </c>
      <c r="R936">
        <v>0</v>
      </c>
      <c r="V936" t="str">
        <f>VLOOKUP(H936,'[1]팀별 출판사'!A:B,2,0)</f>
        <v>소설1팀</v>
      </c>
      <c r="W936" s="6">
        <f t="shared" si="28"/>
        <v>0</v>
      </c>
      <c r="X936" s="6">
        <f t="shared" si="29"/>
        <v>0</v>
      </c>
    </row>
    <row r="937" spans="1:24" x14ac:dyDescent="0.3">
      <c r="A937" t="s">
        <v>1489</v>
      </c>
      <c r="B937" t="s">
        <v>1635</v>
      </c>
      <c r="C937" t="s">
        <v>23</v>
      </c>
      <c r="D937" t="s">
        <v>24</v>
      </c>
      <c r="E937" t="s">
        <v>25</v>
      </c>
      <c r="F937">
        <v>1</v>
      </c>
      <c r="G937">
        <v>9791136935496</v>
      </c>
      <c r="H937" t="s">
        <v>32</v>
      </c>
      <c r="I937" t="s">
        <v>441</v>
      </c>
      <c r="J937" t="s">
        <v>442</v>
      </c>
      <c r="K937" t="s">
        <v>29</v>
      </c>
      <c r="L937">
        <v>0</v>
      </c>
      <c r="M937" t="s">
        <v>152</v>
      </c>
      <c r="N937">
        <v>0</v>
      </c>
      <c r="O937">
        <v>0</v>
      </c>
      <c r="P937" t="s">
        <v>153</v>
      </c>
      <c r="Q937" s="2">
        <v>0.7</v>
      </c>
      <c r="R937">
        <v>0</v>
      </c>
      <c r="V937" t="str">
        <f>VLOOKUP(H937,'[1]팀별 출판사'!A:B,2,0)</f>
        <v>소설1팀</v>
      </c>
      <c r="W937" s="6">
        <f t="shared" si="28"/>
        <v>0</v>
      </c>
      <c r="X937" s="6">
        <f t="shared" si="29"/>
        <v>0</v>
      </c>
    </row>
    <row r="938" spans="1:24" x14ac:dyDescent="0.3">
      <c r="A938" t="s">
        <v>1489</v>
      </c>
      <c r="B938" t="s">
        <v>1636</v>
      </c>
      <c r="C938" t="s">
        <v>23</v>
      </c>
      <c r="D938" t="s">
        <v>24</v>
      </c>
      <c r="E938" t="s">
        <v>25</v>
      </c>
      <c r="F938">
        <v>1</v>
      </c>
      <c r="G938">
        <v>9791136946782</v>
      </c>
      <c r="H938" t="s">
        <v>26</v>
      </c>
      <c r="I938" t="s">
        <v>291</v>
      </c>
      <c r="J938" t="s">
        <v>28</v>
      </c>
      <c r="K938" t="s">
        <v>29</v>
      </c>
      <c r="L938">
        <v>0</v>
      </c>
      <c r="M938" t="s">
        <v>29</v>
      </c>
      <c r="N938">
        <v>0</v>
      </c>
      <c r="O938">
        <v>0</v>
      </c>
      <c r="P938" t="s">
        <v>30</v>
      </c>
      <c r="Q938" s="2">
        <v>0.7</v>
      </c>
      <c r="R938">
        <v>0</v>
      </c>
      <c r="V938" t="str">
        <f>VLOOKUP(H938,'[1]팀별 출판사'!A:B,2,0)</f>
        <v>소설1팀</v>
      </c>
      <c r="W938" s="6">
        <f t="shared" si="28"/>
        <v>0</v>
      </c>
      <c r="X938" s="6">
        <f t="shared" si="29"/>
        <v>0</v>
      </c>
    </row>
    <row r="939" spans="1:24" x14ac:dyDescent="0.3">
      <c r="A939" t="s">
        <v>1489</v>
      </c>
      <c r="B939" t="s">
        <v>1637</v>
      </c>
      <c r="C939" t="s">
        <v>23</v>
      </c>
      <c r="D939" t="s">
        <v>24</v>
      </c>
      <c r="E939" t="s">
        <v>25</v>
      </c>
      <c r="F939">
        <v>1</v>
      </c>
      <c r="G939">
        <v>9791136931375</v>
      </c>
      <c r="H939" t="s">
        <v>32</v>
      </c>
      <c r="I939" t="s">
        <v>189</v>
      </c>
      <c r="J939" t="s">
        <v>46</v>
      </c>
      <c r="K939" t="s">
        <v>29</v>
      </c>
      <c r="L939">
        <v>0</v>
      </c>
      <c r="M939" t="s">
        <v>152</v>
      </c>
      <c r="N939">
        <v>0</v>
      </c>
      <c r="O939">
        <v>0</v>
      </c>
      <c r="P939" t="s">
        <v>153</v>
      </c>
      <c r="Q939" s="2">
        <v>0.7</v>
      </c>
      <c r="R939">
        <v>0</v>
      </c>
      <c r="V939" t="str">
        <f>VLOOKUP(H939,'[1]팀별 출판사'!A:B,2,0)</f>
        <v>소설1팀</v>
      </c>
      <c r="W939" s="6">
        <f t="shared" si="28"/>
        <v>0</v>
      </c>
      <c r="X939" s="6">
        <f t="shared" si="29"/>
        <v>0</v>
      </c>
    </row>
    <row r="940" spans="1:24" x14ac:dyDescent="0.3">
      <c r="A940" t="s">
        <v>1489</v>
      </c>
      <c r="B940" t="s">
        <v>1638</v>
      </c>
      <c r="C940" t="s">
        <v>23</v>
      </c>
      <c r="D940" t="s">
        <v>24</v>
      </c>
      <c r="E940" t="s">
        <v>25</v>
      </c>
      <c r="F940">
        <v>1</v>
      </c>
      <c r="G940">
        <v>9791136930491</v>
      </c>
      <c r="H940" t="s">
        <v>26</v>
      </c>
      <c r="I940" t="s">
        <v>151</v>
      </c>
      <c r="J940" t="s">
        <v>46</v>
      </c>
      <c r="K940" t="s">
        <v>29</v>
      </c>
      <c r="L940">
        <v>0</v>
      </c>
      <c r="M940" t="s">
        <v>152</v>
      </c>
      <c r="N940">
        <v>0</v>
      </c>
      <c r="O940">
        <v>0</v>
      </c>
      <c r="P940" t="s">
        <v>153</v>
      </c>
      <c r="Q940" s="2">
        <v>0.7</v>
      </c>
      <c r="R940">
        <v>0</v>
      </c>
      <c r="V940" t="str">
        <f>VLOOKUP(H940,'[1]팀별 출판사'!A:B,2,0)</f>
        <v>소설1팀</v>
      </c>
      <c r="W940" s="6">
        <f t="shared" si="28"/>
        <v>0</v>
      </c>
      <c r="X940" s="6">
        <f t="shared" si="29"/>
        <v>0</v>
      </c>
    </row>
    <row r="941" spans="1:24" x14ac:dyDescent="0.3">
      <c r="A941" t="s">
        <v>1489</v>
      </c>
      <c r="B941" t="s">
        <v>1639</v>
      </c>
      <c r="C941" t="s">
        <v>23</v>
      </c>
      <c r="D941" t="s">
        <v>24</v>
      </c>
      <c r="E941" t="s">
        <v>25</v>
      </c>
      <c r="F941">
        <v>1</v>
      </c>
      <c r="G941">
        <v>9791136930224</v>
      </c>
      <c r="H941" t="s">
        <v>32</v>
      </c>
      <c r="I941" t="s">
        <v>172</v>
      </c>
      <c r="J941" t="s">
        <v>46</v>
      </c>
      <c r="K941" t="s">
        <v>29</v>
      </c>
      <c r="L941">
        <v>0</v>
      </c>
      <c r="M941" t="s">
        <v>152</v>
      </c>
      <c r="N941">
        <v>0</v>
      </c>
      <c r="O941">
        <v>0</v>
      </c>
      <c r="P941" t="s">
        <v>153</v>
      </c>
      <c r="Q941" s="2">
        <v>0.7</v>
      </c>
      <c r="R941">
        <v>0</v>
      </c>
      <c r="V941" t="str">
        <f>VLOOKUP(H941,'[1]팀별 출판사'!A:B,2,0)</f>
        <v>소설1팀</v>
      </c>
      <c r="W941" s="6">
        <f t="shared" si="28"/>
        <v>0</v>
      </c>
      <c r="X941" s="6">
        <f t="shared" si="29"/>
        <v>0</v>
      </c>
    </row>
    <row r="942" spans="1:24" x14ac:dyDescent="0.3">
      <c r="A942" t="s">
        <v>1489</v>
      </c>
      <c r="B942" t="s">
        <v>1640</v>
      </c>
      <c r="C942" t="s">
        <v>23</v>
      </c>
      <c r="D942" t="s">
        <v>24</v>
      </c>
      <c r="E942" t="s">
        <v>25</v>
      </c>
      <c r="F942">
        <v>1</v>
      </c>
      <c r="G942">
        <v>9791136931399</v>
      </c>
      <c r="H942" t="s">
        <v>32</v>
      </c>
      <c r="I942" t="s">
        <v>482</v>
      </c>
      <c r="J942" t="s">
        <v>46</v>
      </c>
      <c r="K942" t="s">
        <v>29</v>
      </c>
      <c r="L942">
        <v>0</v>
      </c>
      <c r="M942" t="s">
        <v>152</v>
      </c>
      <c r="N942">
        <v>0</v>
      </c>
      <c r="O942">
        <v>0</v>
      </c>
      <c r="P942" t="s">
        <v>153</v>
      </c>
      <c r="Q942" s="2">
        <v>0.7</v>
      </c>
      <c r="R942">
        <v>0</v>
      </c>
      <c r="V942" t="str">
        <f>VLOOKUP(H942,'[1]팀별 출판사'!A:B,2,0)</f>
        <v>소설1팀</v>
      </c>
      <c r="W942" s="6">
        <f t="shared" si="28"/>
        <v>0</v>
      </c>
      <c r="X942" s="6">
        <f t="shared" si="29"/>
        <v>0</v>
      </c>
    </row>
    <row r="943" spans="1:24" x14ac:dyDescent="0.3">
      <c r="A943" t="s">
        <v>1489</v>
      </c>
      <c r="B943" t="s">
        <v>1641</v>
      </c>
      <c r="C943" t="s">
        <v>23</v>
      </c>
      <c r="D943" t="s">
        <v>24</v>
      </c>
      <c r="E943" t="s">
        <v>25</v>
      </c>
      <c r="F943">
        <v>1</v>
      </c>
      <c r="G943">
        <v>9791136942142</v>
      </c>
      <c r="H943" t="s">
        <v>26</v>
      </c>
      <c r="I943" t="s">
        <v>180</v>
      </c>
      <c r="J943" t="s">
        <v>46</v>
      </c>
      <c r="K943" t="s">
        <v>29</v>
      </c>
      <c r="L943">
        <v>0</v>
      </c>
      <c r="M943" t="s">
        <v>152</v>
      </c>
      <c r="N943">
        <v>0</v>
      </c>
      <c r="O943">
        <v>0</v>
      </c>
      <c r="P943" t="s">
        <v>153</v>
      </c>
      <c r="Q943" s="2">
        <v>0.7</v>
      </c>
      <c r="R943">
        <v>0</v>
      </c>
      <c r="V943" t="str">
        <f>VLOOKUP(H943,'[1]팀별 출판사'!A:B,2,0)</f>
        <v>소설1팀</v>
      </c>
      <c r="W943" s="6">
        <f t="shared" si="28"/>
        <v>0</v>
      </c>
      <c r="X943" s="6">
        <f t="shared" si="29"/>
        <v>0</v>
      </c>
    </row>
    <row r="944" spans="1:24" x14ac:dyDescent="0.3">
      <c r="A944" t="s">
        <v>1489</v>
      </c>
      <c r="B944" t="s">
        <v>1642</v>
      </c>
      <c r="C944" t="s">
        <v>23</v>
      </c>
      <c r="D944" t="s">
        <v>24</v>
      </c>
      <c r="E944" t="s">
        <v>25</v>
      </c>
      <c r="F944">
        <v>1</v>
      </c>
      <c r="G944">
        <v>9791170100041</v>
      </c>
      <c r="H944" t="s">
        <v>67</v>
      </c>
      <c r="I944" t="s">
        <v>346</v>
      </c>
      <c r="J944" t="s">
        <v>347</v>
      </c>
      <c r="K944" t="s">
        <v>29</v>
      </c>
      <c r="L944">
        <v>0</v>
      </c>
      <c r="M944" t="s">
        <v>29</v>
      </c>
      <c r="N944">
        <v>0</v>
      </c>
      <c r="O944">
        <v>0</v>
      </c>
      <c r="P944" t="s">
        <v>30</v>
      </c>
      <c r="Q944" s="2">
        <v>0.7</v>
      </c>
      <c r="R944">
        <v>0</v>
      </c>
      <c r="V944" t="str">
        <f>VLOOKUP(H944,'[1]팀별 출판사'!A:B,2,0)</f>
        <v>소설1팀</v>
      </c>
      <c r="W944" s="6">
        <f t="shared" si="28"/>
        <v>0</v>
      </c>
      <c r="X944" s="6">
        <f t="shared" si="29"/>
        <v>0</v>
      </c>
    </row>
    <row r="945" spans="1:24" x14ac:dyDescent="0.3">
      <c r="A945" t="s">
        <v>1489</v>
      </c>
      <c r="B945" t="s">
        <v>1643</v>
      </c>
      <c r="C945" t="s">
        <v>23</v>
      </c>
      <c r="D945" t="s">
        <v>24</v>
      </c>
      <c r="E945" t="s">
        <v>25</v>
      </c>
      <c r="F945">
        <v>1</v>
      </c>
      <c r="G945">
        <v>9791136988829</v>
      </c>
      <c r="H945" t="s">
        <v>26</v>
      </c>
      <c r="I945" t="s">
        <v>1644</v>
      </c>
      <c r="J945" t="s">
        <v>28</v>
      </c>
      <c r="K945" t="s">
        <v>29</v>
      </c>
      <c r="L945" s="1">
        <v>3200</v>
      </c>
      <c r="M945" t="s">
        <v>29</v>
      </c>
      <c r="N945" s="1">
        <v>3200</v>
      </c>
      <c r="O945" s="1">
        <v>3200</v>
      </c>
      <c r="P945" t="s">
        <v>30</v>
      </c>
      <c r="Q945" s="2">
        <v>0.7</v>
      </c>
      <c r="R945" s="1">
        <v>2240</v>
      </c>
      <c r="S945" t="s">
        <v>29</v>
      </c>
      <c r="T945" s="1">
        <v>2240</v>
      </c>
      <c r="V945" t="str">
        <f>VLOOKUP(H945,'[1]팀별 출판사'!A:B,2,0)</f>
        <v>소설1팀</v>
      </c>
      <c r="W945" s="6">
        <f t="shared" si="28"/>
        <v>0</v>
      </c>
      <c r="X945" s="6">
        <f t="shared" si="29"/>
        <v>2240</v>
      </c>
    </row>
    <row r="946" spans="1:24" x14ac:dyDescent="0.3">
      <c r="A946" t="s">
        <v>1489</v>
      </c>
      <c r="B946" t="s">
        <v>1645</v>
      </c>
      <c r="C946" t="s">
        <v>23</v>
      </c>
      <c r="D946" t="s">
        <v>24</v>
      </c>
      <c r="E946" t="s">
        <v>25</v>
      </c>
      <c r="F946">
        <v>1</v>
      </c>
      <c r="G946">
        <v>9791136944702</v>
      </c>
      <c r="H946" t="s">
        <v>26</v>
      </c>
      <c r="I946" t="s">
        <v>913</v>
      </c>
      <c r="J946" t="s">
        <v>284</v>
      </c>
      <c r="K946" t="s">
        <v>29</v>
      </c>
      <c r="L946">
        <v>0</v>
      </c>
      <c r="M946" t="s">
        <v>70</v>
      </c>
      <c r="N946">
        <v>0</v>
      </c>
      <c r="O946">
        <v>0</v>
      </c>
      <c r="P946" t="s">
        <v>71</v>
      </c>
      <c r="Q946" s="2">
        <v>0.7</v>
      </c>
      <c r="R946">
        <v>0</v>
      </c>
      <c r="V946" t="str">
        <f>VLOOKUP(H946,'[1]팀별 출판사'!A:B,2,0)</f>
        <v>소설1팀</v>
      </c>
      <c r="W946" s="6">
        <f t="shared" si="28"/>
        <v>0</v>
      </c>
      <c r="X946" s="6">
        <f t="shared" si="29"/>
        <v>0</v>
      </c>
    </row>
    <row r="947" spans="1:24" x14ac:dyDescent="0.3">
      <c r="A947" t="s">
        <v>1489</v>
      </c>
      <c r="B947" t="s">
        <v>1646</v>
      </c>
      <c r="C947" t="s">
        <v>23</v>
      </c>
      <c r="D947" t="s">
        <v>24</v>
      </c>
      <c r="E947" t="s">
        <v>25</v>
      </c>
      <c r="F947">
        <v>1</v>
      </c>
      <c r="G947">
        <v>9791133188260</v>
      </c>
      <c r="H947" t="s">
        <v>26</v>
      </c>
      <c r="I947" t="s">
        <v>822</v>
      </c>
      <c r="J947" t="s">
        <v>743</v>
      </c>
      <c r="K947" t="s">
        <v>29</v>
      </c>
      <c r="L947">
        <v>0</v>
      </c>
      <c r="M947" t="s">
        <v>70</v>
      </c>
      <c r="N947">
        <v>0</v>
      </c>
      <c r="O947">
        <v>0</v>
      </c>
      <c r="P947" t="s">
        <v>71</v>
      </c>
      <c r="Q947" s="2">
        <v>0.7</v>
      </c>
      <c r="R947">
        <v>0</v>
      </c>
      <c r="V947" t="str">
        <f>VLOOKUP(H947,'[1]팀별 출판사'!A:B,2,0)</f>
        <v>소설1팀</v>
      </c>
      <c r="W947" s="6">
        <f t="shared" si="28"/>
        <v>0</v>
      </c>
      <c r="X947" s="6">
        <f t="shared" si="29"/>
        <v>0</v>
      </c>
    </row>
    <row r="948" spans="1:24" x14ac:dyDescent="0.3">
      <c r="A948" t="s">
        <v>1489</v>
      </c>
      <c r="B948" t="s">
        <v>1647</v>
      </c>
      <c r="C948" t="s">
        <v>23</v>
      </c>
      <c r="D948" t="s">
        <v>24</v>
      </c>
      <c r="E948" t="s">
        <v>25</v>
      </c>
      <c r="F948">
        <v>1</v>
      </c>
      <c r="G948">
        <v>9791136946782</v>
      </c>
      <c r="H948" t="s">
        <v>26</v>
      </c>
      <c r="I948" t="s">
        <v>291</v>
      </c>
      <c r="J948" t="s">
        <v>28</v>
      </c>
      <c r="K948" t="s">
        <v>29</v>
      </c>
      <c r="L948">
        <v>0</v>
      </c>
      <c r="M948" t="s">
        <v>70</v>
      </c>
      <c r="N948">
        <v>0</v>
      </c>
      <c r="O948">
        <v>0</v>
      </c>
      <c r="P948" t="s">
        <v>71</v>
      </c>
      <c r="Q948" s="2">
        <v>0.7</v>
      </c>
      <c r="R948">
        <v>0</v>
      </c>
      <c r="V948" t="str">
        <f>VLOOKUP(H948,'[1]팀별 출판사'!A:B,2,0)</f>
        <v>소설1팀</v>
      </c>
      <c r="W948" s="6">
        <f t="shared" si="28"/>
        <v>0</v>
      </c>
      <c r="X948" s="6">
        <f t="shared" si="29"/>
        <v>0</v>
      </c>
    </row>
    <row r="949" spans="1:24" x14ac:dyDescent="0.3">
      <c r="A949" t="s">
        <v>1489</v>
      </c>
      <c r="B949" t="s">
        <v>1648</v>
      </c>
      <c r="C949" t="s">
        <v>23</v>
      </c>
      <c r="D949" t="s">
        <v>24</v>
      </c>
      <c r="E949" t="s">
        <v>25</v>
      </c>
      <c r="F949">
        <v>1</v>
      </c>
      <c r="G949">
        <v>9791136946775</v>
      </c>
      <c r="H949" t="s">
        <v>26</v>
      </c>
      <c r="I949" t="s">
        <v>238</v>
      </c>
      <c r="J949" t="s">
        <v>28</v>
      </c>
      <c r="K949" t="s">
        <v>29</v>
      </c>
      <c r="L949">
        <v>0</v>
      </c>
      <c r="M949" t="s">
        <v>70</v>
      </c>
      <c r="N949">
        <v>0</v>
      </c>
      <c r="O949">
        <v>0</v>
      </c>
      <c r="P949" t="s">
        <v>71</v>
      </c>
      <c r="Q949" s="2">
        <v>0.7</v>
      </c>
      <c r="R949">
        <v>0</v>
      </c>
      <c r="V949" t="str">
        <f>VLOOKUP(H949,'[1]팀별 출판사'!A:B,2,0)</f>
        <v>소설1팀</v>
      </c>
      <c r="W949" s="6">
        <f t="shared" si="28"/>
        <v>0</v>
      </c>
      <c r="X949" s="6">
        <f t="shared" si="29"/>
        <v>0</v>
      </c>
    </row>
    <row r="950" spans="1:24" x14ac:dyDescent="0.3">
      <c r="A950" t="s">
        <v>1489</v>
      </c>
      <c r="B950" t="s">
        <v>1649</v>
      </c>
      <c r="C950" t="s">
        <v>23</v>
      </c>
      <c r="D950" t="s">
        <v>24</v>
      </c>
      <c r="E950" t="s">
        <v>25</v>
      </c>
      <c r="F950">
        <v>1</v>
      </c>
      <c r="G950">
        <v>9791136931375</v>
      </c>
      <c r="H950" t="s">
        <v>32</v>
      </c>
      <c r="I950" t="s">
        <v>189</v>
      </c>
      <c r="J950" t="s">
        <v>46</v>
      </c>
      <c r="K950" t="s">
        <v>29</v>
      </c>
      <c r="L950">
        <v>0</v>
      </c>
      <c r="M950" t="s">
        <v>152</v>
      </c>
      <c r="N950">
        <v>0</v>
      </c>
      <c r="O950">
        <v>0</v>
      </c>
      <c r="P950" t="s">
        <v>153</v>
      </c>
      <c r="Q950" s="2">
        <v>0.7</v>
      </c>
      <c r="R950">
        <v>0</v>
      </c>
      <c r="V950" t="str">
        <f>VLOOKUP(H950,'[1]팀별 출판사'!A:B,2,0)</f>
        <v>소설1팀</v>
      </c>
      <c r="W950" s="6">
        <f t="shared" si="28"/>
        <v>0</v>
      </c>
      <c r="X950" s="6">
        <f t="shared" si="29"/>
        <v>0</v>
      </c>
    </row>
    <row r="951" spans="1:24" x14ac:dyDescent="0.3">
      <c r="A951" t="s">
        <v>1489</v>
      </c>
      <c r="B951" t="s">
        <v>1650</v>
      </c>
      <c r="C951" t="s">
        <v>23</v>
      </c>
      <c r="D951" t="s">
        <v>24</v>
      </c>
      <c r="E951" t="s">
        <v>25</v>
      </c>
      <c r="F951">
        <v>1</v>
      </c>
      <c r="G951">
        <v>9791136943446</v>
      </c>
      <c r="H951" t="s">
        <v>26</v>
      </c>
      <c r="I951" t="s">
        <v>1651</v>
      </c>
      <c r="J951" t="s">
        <v>284</v>
      </c>
      <c r="K951" t="s">
        <v>29</v>
      </c>
      <c r="L951">
        <v>0</v>
      </c>
      <c r="M951" t="s">
        <v>70</v>
      </c>
      <c r="N951">
        <v>0</v>
      </c>
      <c r="O951">
        <v>0</v>
      </c>
      <c r="P951" t="s">
        <v>71</v>
      </c>
      <c r="Q951" s="2">
        <v>0.7</v>
      </c>
      <c r="R951">
        <v>0</v>
      </c>
      <c r="V951" t="str">
        <f>VLOOKUP(H951,'[1]팀별 출판사'!A:B,2,0)</f>
        <v>소설1팀</v>
      </c>
      <c r="W951" s="6">
        <f t="shared" si="28"/>
        <v>0</v>
      </c>
      <c r="X951" s="6">
        <f t="shared" si="29"/>
        <v>0</v>
      </c>
    </row>
    <row r="952" spans="1:24" x14ac:dyDescent="0.3">
      <c r="A952" t="s">
        <v>1489</v>
      </c>
      <c r="B952" t="s">
        <v>1652</v>
      </c>
      <c r="C952" t="s">
        <v>23</v>
      </c>
      <c r="D952" t="s">
        <v>24</v>
      </c>
      <c r="E952" t="s">
        <v>25</v>
      </c>
      <c r="F952">
        <v>1</v>
      </c>
      <c r="G952">
        <v>9791194664369</v>
      </c>
      <c r="H952" t="s">
        <v>79</v>
      </c>
      <c r="I952" t="s">
        <v>156</v>
      </c>
      <c r="J952" t="s">
        <v>157</v>
      </c>
      <c r="K952" t="s">
        <v>29</v>
      </c>
      <c r="L952">
        <v>0</v>
      </c>
      <c r="M952" t="s">
        <v>29</v>
      </c>
      <c r="N952">
        <v>0</v>
      </c>
      <c r="O952">
        <v>0</v>
      </c>
      <c r="P952" t="s">
        <v>30</v>
      </c>
      <c r="Q952" s="2">
        <v>0.7</v>
      </c>
      <c r="R952">
        <v>0</v>
      </c>
      <c r="V952" t="str">
        <f>VLOOKUP(H952,'[1]팀별 출판사'!A:B,2,0)</f>
        <v>소설1팀</v>
      </c>
      <c r="W952" s="6">
        <f t="shared" si="28"/>
        <v>0</v>
      </c>
      <c r="X952" s="6">
        <f t="shared" si="29"/>
        <v>0</v>
      </c>
    </row>
    <row r="953" spans="1:24" x14ac:dyDescent="0.3">
      <c r="A953" t="s">
        <v>1489</v>
      </c>
      <c r="B953" t="s">
        <v>1653</v>
      </c>
      <c r="C953" t="s">
        <v>23</v>
      </c>
      <c r="D953" t="s">
        <v>24</v>
      </c>
      <c r="E953" t="s">
        <v>25</v>
      </c>
      <c r="F953">
        <v>1</v>
      </c>
      <c r="G953">
        <v>9791136965455</v>
      </c>
      <c r="H953" t="s">
        <v>26</v>
      </c>
      <c r="I953" t="s">
        <v>472</v>
      </c>
      <c r="J953" t="s">
        <v>157</v>
      </c>
      <c r="K953" t="s">
        <v>29</v>
      </c>
      <c r="L953">
        <v>0</v>
      </c>
      <c r="M953" t="s">
        <v>29</v>
      </c>
      <c r="N953">
        <v>0</v>
      </c>
      <c r="O953">
        <v>0</v>
      </c>
      <c r="P953" t="s">
        <v>30</v>
      </c>
      <c r="Q953" s="2">
        <v>0.7</v>
      </c>
      <c r="R953">
        <v>0</v>
      </c>
      <c r="V953" t="str">
        <f>VLOOKUP(H953,'[1]팀별 출판사'!A:B,2,0)</f>
        <v>소설1팀</v>
      </c>
      <c r="W953" s="6">
        <f t="shared" si="28"/>
        <v>0</v>
      </c>
      <c r="X953" s="6">
        <f t="shared" si="29"/>
        <v>0</v>
      </c>
    </row>
    <row r="954" spans="1:24" x14ac:dyDescent="0.3">
      <c r="A954" t="s">
        <v>1489</v>
      </c>
      <c r="B954" t="s">
        <v>1654</v>
      </c>
      <c r="C954" t="s">
        <v>23</v>
      </c>
      <c r="D954" t="s">
        <v>24</v>
      </c>
      <c r="E954" t="s">
        <v>25</v>
      </c>
      <c r="F954">
        <v>1</v>
      </c>
      <c r="G954">
        <v>9791157532407</v>
      </c>
      <c r="H954" t="s">
        <v>32</v>
      </c>
      <c r="I954" t="s">
        <v>1655</v>
      </c>
      <c r="J954" t="s">
        <v>43</v>
      </c>
      <c r="K954" t="s">
        <v>29</v>
      </c>
      <c r="L954">
        <v>0</v>
      </c>
      <c r="M954" t="s">
        <v>29</v>
      </c>
      <c r="N954">
        <v>0</v>
      </c>
      <c r="O954">
        <v>0</v>
      </c>
      <c r="P954" t="s">
        <v>30</v>
      </c>
      <c r="Q954" s="2">
        <v>0.7</v>
      </c>
      <c r="R954">
        <v>0</v>
      </c>
      <c r="V954" t="str">
        <f>VLOOKUP(H954,'[1]팀별 출판사'!A:B,2,0)</f>
        <v>소설1팀</v>
      </c>
      <c r="W954" s="6">
        <f t="shared" si="28"/>
        <v>0</v>
      </c>
      <c r="X954" s="6">
        <f t="shared" si="29"/>
        <v>0</v>
      </c>
    </row>
    <row r="955" spans="1:24" x14ac:dyDescent="0.3">
      <c r="A955" t="s">
        <v>1489</v>
      </c>
      <c r="B955" t="s">
        <v>1656</v>
      </c>
      <c r="C955" t="s">
        <v>23</v>
      </c>
      <c r="D955" t="s">
        <v>24</v>
      </c>
      <c r="E955" t="s">
        <v>25</v>
      </c>
      <c r="F955">
        <v>1</v>
      </c>
      <c r="G955" t="s">
        <v>797</v>
      </c>
      <c r="H955" t="s">
        <v>32</v>
      </c>
      <c r="I955" t="s">
        <v>798</v>
      </c>
      <c r="J955" t="s">
        <v>43</v>
      </c>
      <c r="K955" t="s">
        <v>29</v>
      </c>
      <c r="L955">
        <v>0</v>
      </c>
      <c r="M955" t="s">
        <v>29</v>
      </c>
      <c r="N955">
        <v>0</v>
      </c>
      <c r="O955">
        <v>0</v>
      </c>
      <c r="P955" t="s">
        <v>30</v>
      </c>
      <c r="Q955" s="2">
        <v>0.7</v>
      </c>
      <c r="R955">
        <v>0</v>
      </c>
      <c r="V955" t="str">
        <f>VLOOKUP(H955,'[1]팀별 출판사'!A:B,2,0)</f>
        <v>소설1팀</v>
      </c>
      <c r="W955" s="6">
        <f t="shared" si="28"/>
        <v>0</v>
      </c>
      <c r="X955" s="6">
        <f t="shared" si="29"/>
        <v>0</v>
      </c>
    </row>
    <row r="956" spans="1:24" x14ac:dyDescent="0.3">
      <c r="A956" t="s">
        <v>1489</v>
      </c>
      <c r="B956" t="s">
        <v>1657</v>
      </c>
      <c r="C956" t="s">
        <v>23</v>
      </c>
      <c r="D956" t="s">
        <v>24</v>
      </c>
      <c r="E956" t="s">
        <v>25</v>
      </c>
      <c r="F956">
        <v>1</v>
      </c>
      <c r="G956" t="s">
        <v>1658</v>
      </c>
      <c r="H956" t="s">
        <v>32</v>
      </c>
      <c r="I956" t="s">
        <v>1659</v>
      </c>
      <c r="J956" t="s">
        <v>43</v>
      </c>
      <c r="K956" t="s">
        <v>29</v>
      </c>
      <c r="L956">
        <v>0</v>
      </c>
      <c r="M956" t="s">
        <v>29</v>
      </c>
      <c r="N956">
        <v>0</v>
      </c>
      <c r="O956">
        <v>0</v>
      </c>
      <c r="P956" t="s">
        <v>30</v>
      </c>
      <c r="Q956" s="2">
        <v>0.7</v>
      </c>
      <c r="R956">
        <v>0</v>
      </c>
      <c r="V956" t="str">
        <f>VLOOKUP(H956,'[1]팀별 출판사'!A:B,2,0)</f>
        <v>소설1팀</v>
      </c>
      <c r="W956" s="6">
        <f t="shared" si="28"/>
        <v>0</v>
      </c>
      <c r="X956" s="6">
        <f t="shared" si="29"/>
        <v>0</v>
      </c>
    </row>
    <row r="957" spans="1:24" x14ac:dyDescent="0.3">
      <c r="A957" t="s">
        <v>1489</v>
      </c>
      <c r="B957" t="s">
        <v>1660</v>
      </c>
      <c r="C957" t="s">
        <v>23</v>
      </c>
      <c r="D957" t="s">
        <v>24</v>
      </c>
      <c r="E957" t="s">
        <v>25</v>
      </c>
      <c r="F957">
        <v>1</v>
      </c>
      <c r="G957">
        <v>9791170106715</v>
      </c>
      <c r="H957" t="s">
        <v>67</v>
      </c>
      <c r="I957" t="s">
        <v>1661</v>
      </c>
      <c r="J957" t="s">
        <v>69</v>
      </c>
      <c r="K957" t="s">
        <v>29</v>
      </c>
      <c r="L957">
        <v>0</v>
      </c>
      <c r="M957" t="s">
        <v>29</v>
      </c>
      <c r="N957">
        <v>0</v>
      </c>
      <c r="O957">
        <v>0</v>
      </c>
      <c r="P957" t="s">
        <v>30</v>
      </c>
      <c r="Q957" s="2">
        <v>0.7</v>
      </c>
      <c r="R957">
        <v>0</v>
      </c>
      <c r="V957" t="str">
        <f>VLOOKUP(H957,'[1]팀별 출판사'!A:B,2,0)</f>
        <v>소설1팀</v>
      </c>
      <c r="W957" s="6">
        <f t="shared" si="28"/>
        <v>0</v>
      </c>
      <c r="X957" s="6">
        <f t="shared" si="29"/>
        <v>0</v>
      </c>
    </row>
    <row r="958" spans="1:24" x14ac:dyDescent="0.3">
      <c r="A958" t="s">
        <v>1489</v>
      </c>
      <c r="B958" t="s">
        <v>1662</v>
      </c>
      <c r="C958" t="s">
        <v>23</v>
      </c>
      <c r="D958" t="s">
        <v>24</v>
      </c>
      <c r="E958" t="s">
        <v>25</v>
      </c>
      <c r="F958">
        <v>1</v>
      </c>
      <c r="G958">
        <v>9791194664369</v>
      </c>
      <c r="H958" t="s">
        <v>79</v>
      </c>
      <c r="I958" t="s">
        <v>156</v>
      </c>
      <c r="J958" t="s">
        <v>157</v>
      </c>
      <c r="K958" t="s">
        <v>29</v>
      </c>
      <c r="L958">
        <v>0</v>
      </c>
      <c r="M958" t="s">
        <v>152</v>
      </c>
      <c r="N958">
        <v>0</v>
      </c>
      <c r="O958">
        <v>0</v>
      </c>
      <c r="P958" t="s">
        <v>153</v>
      </c>
      <c r="Q958" s="2">
        <v>0.7</v>
      </c>
      <c r="R958">
        <v>0</v>
      </c>
      <c r="V958" t="str">
        <f>VLOOKUP(H958,'[1]팀별 출판사'!A:B,2,0)</f>
        <v>소설1팀</v>
      </c>
      <c r="W958" s="6">
        <f t="shared" si="28"/>
        <v>0</v>
      </c>
      <c r="X958" s="6">
        <f t="shared" si="29"/>
        <v>0</v>
      </c>
    </row>
    <row r="959" spans="1:24" x14ac:dyDescent="0.3">
      <c r="A959" t="s">
        <v>1489</v>
      </c>
      <c r="B959" t="s">
        <v>1663</v>
      </c>
      <c r="C959" t="s">
        <v>23</v>
      </c>
      <c r="D959" t="s">
        <v>24</v>
      </c>
      <c r="E959" t="s">
        <v>25</v>
      </c>
      <c r="F959">
        <v>1</v>
      </c>
      <c r="G959">
        <v>9791173783883</v>
      </c>
      <c r="H959" t="s">
        <v>26</v>
      </c>
      <c r="I959" t="s">
        <v>936</v>
      </c>
      <c r="J959" t="s">
        <v>937</v>
      </c>
      <c r="K959" t="s">
        <v>29</v>
      </c>
      <c r="L959">
        <v>0</v>
      </c>
      <c r="M959" t="s">
        <v>29</v>
      </c>
      <c r="N959">
        <v>0</v>
      </c>
      <c r="O959">
        <v>0</v>
      </c>
      <c r="P959" t="s">
        <v>30</v>
      </c>
      <c r="Q959" s="2">
        <v>0.7</v>
      </c>
      <c r="R959">
        <v>0</v>
      </c>
      <c r="V959" t="str">
        <f>VLOOKUP(H959,'[1]팀별 출판사'!A:B,2,0)</f>
        <v>소설1팀</v>
      </c>
      <c r="W959" s="6">
        <f t="shared" si="28"/>
        <v>0</v>
      </c>
      <c r="X959" s="6">
        <f t="shared" si="29"/>
        <v>0</v>
      </c>
    </row>
    <row r="960" spans="1:24" x14ac:dyDescent="0.3">
      <c r="A960" t="s">
        <v>1489</v>
      </c>
      <c r="B960" t="s">
        <v>1664</v>
      </c>
      <c r="C960" t="s">
        <v>23</v>
      </c>
      <c r="D960" t="s">
        <v>24</v>
      </c>
      <c r="E960" t="s">
        <v>25</v>
      </c>
      <c r="F960">
        <v>1</v>
      </c>
      <c r="G960">
        <v>9791136931375</v>
      </c>
      <c r="H960" t="s">
        <v>32</v>
      </c>
      <c r="I960" t="s">
        <v>189</v>
      </c>
      <c r="J960" t="s">
        <v>46</v>
      </c>
      <c r="K960" t="s">
        <v>29</v>
      </c>
      <c r="L960">
        <v>0</v>
      </c>
      <c r="M960" t="s">
        <v>47</v>
      </c>
      <c r="N960">
        <v>0</v>
      </c>
      <c r="O960">
        <v>0</v>
      </c>
      <c r="P960" t="s">
        <v>48</v>
      </c>
      <c r="Q960" s="2">
        <v>0.7</v>
      </c>
      <c r="R960">
        <v>0</v>
      </c>
      <c r="V960" t="str">
        <f>VLOOKUP(H960,'[1]팀별 출판사'!A:B,2,0)</f>
        <v>소설1팀</v>
      </c>
      <c r="W960" s="6">
        <f t="shared" si="28"/>
        <v>0</v>
      </c>
      <c r="X960" s="6">
        <f t="shared" si="29"/>
        <v>0</v>
      </c>
    </row>
    <row r="961" spans="1:24" x14ac:dyDescent="0.3">
      <c r="A961" t="s">
        <v>1489</v>
      </c>
      <c r="B961" t="s">
        <v>1665</v>
      </c>
      <c r="C961" t="s">
        <v>23</v>
      </c>
      <c r="D961" t="s">
        <v>24</v>
      </c>
      <c r="E961" t="s">
        <v>25</v>
      </c>
      <c r="F961">
        <v>1</v>
      </c>
      <c r="G961">
        <v>9791136930552</v>
      </c>
      <c r="H961" t="s">
        <v>26</v>
      </c>
      <c r="I961" t="s">
        <v>45</v>
      </c>
      <c r="J961" t="s">
        <v>46</v>
      </c>
      <c r="K961" t="s">
        <v>29</v>
      </c>
      <c r="L961">
        <v>0</v>
      </c>
      <c r="M961" t="s">
        <v>47</v>
      </c>
      <c r="N961">
        <v>0</v>
      </c>
      <c r="O961">
        <v>0</v>
      </c>
      <c r="P961" t="s">
        <v>48</v>
      </c>
      <c r="Q961" s="2">
        <v>0.7</v>
      </c>
      <c r="R961">
        <v>0</v>
      </c>
      <c r="V961" t="str">
        <f>VLOOKUP(H961,'[1]팀별 출판사'!A:B,2,0)</f>
        <v>소설1팀</v>
      </c>
      <c r="W961" s="6">
        <f t="shared" si="28"/>
        <v>0</v>
      </c>
      <c r="X961" s="6">
        <f t="shared" si="29"/>
        <v>0</v>
      </c>
    </row>
    <row r="962" spans="1:24" x14ac:dyDescent="0.3">
      <c r="A962" t="s">
        <v>1489</v>
      </c>
      <c r="B962" t="s">
        <v>1666</v>
      </c>
      <c r="C962" t="s">
        <v>23</v>
      </c>
      <c r="D962" t="s">
        <v>24</v>
      </c>
      <c r="E962" t="s">
        <v>25</v>
      </c>
      <c r="F962">
        <v>1</v>
      </c>
      <c r="G962">
        <v>9791136930491</v>
      </c>
      <c r="H962" t="s">
        <v>26</v>
      </c>
      <c r="I962" t="s">
        <v>151</v>
      </c>
      <c r="J962" t="s">
        <v>46</v>
      </c>
      <c r="K962" t="s">
        <v>29</v>
      </c>
      <c r="L962">
        <v>0</v>
      </c>
      <c r="M962" t="s">
        <v>47</v>
      </c>
      <c r="N962">
        <v>0</v>
      </c>
      <c r="O962">
        <v>0</v>
      </c>
      <c r="P962" t="s">
        <v>48</v>
      </c>
      <c r="Q962" s="2">
        <v>0.7</v>
      </c>
      <c r="R962">
        <v>0</v>
      </c>
      <c r="V962" t="str">
        <f>VLOOKUP(H962,'[1]팀별 출판사'!A:B,2,0)</f>
        <v>소설1팀</v>
      </c>
      <c r="W962" s="6">
        <f t="shared" ref="W962:W1025" si="30">IF(P962="US", T962*30%, 0)</f>
        <v>0</v>
      </c>
      <c r="X962" s="6">
        <f t="shared" ref="X962:X1025" si="31">T962-W962</f>
        <v>0</v>
      </c>
    </row>
    <row r="963" spans="1:24" x14ac:dyDescent="0.3">
      <c r="A963" t="s">
        <v>1489</v>
      </c>
      <c r="B963" t="s">
        <v>1667</v>
      </c>
      <c r="C963" t="s">
        <v>23</v>
      </c>
      <c r="D963" t="s">
        <v>24</v>
      </c>
      <c r="E963" t="s">
        <v>25</v>
      </c>
      <c r="F963">
        <v>1</v>
      </c>
      <c r="G963">
        <v>9791133147434</v>
      </c>
      <c r="H963" t="s">
        <v>32</v>
      </c>
      <c r="I963" t="s">
        <v>1668</v>
      </c>
      <c r="J963" t="s">
        <v>284</v>
      </c>
      <c r="K963" t="s">
        <v>29</v>
      </c>
      <c r="L963">
        <v>0</v>
      </c>
      <c r="M963" t="s">
        <v>362</v>
      </c>
      <c r="N963">
        <v>0</v>
      </c>
      <c r="O963">
        <v>0</v>
      </c>
      <c r="P963" t="s">
        <v>363</v>
      </c>
      <c r="Q963" s="2">
        <v>0.7</v>
      </c>
      <c r="R963">
        <v>0</v>
      </c>
      <c r="V963" t="str">
        <f>VLOOKUP(H963,'[1]팀별 출판사'!A:B,2,0)</f>
        <v>소설1팀</v>
      </c>
      <c r="W963" s="6">
        <f t="shared" si="30"/>
        <v>0</v>
      </c>
      <c r="X963" s="6">
        <f t="shared" si="31"/>
        <v>0</v>
      </c>
    </row>
    <row r="964" spans="1:24" x14ac:dyDescent="0.3">
      <c r="A964" t="s">
        <v>1489</v>
      </c>
      <c r="B964" t="s">
        <v>1669</v>
      </c>
      <c r="C964" t="s">
        <v>23</v>
      </c>
      <c r="D964" t="s">
        <v>24</v>
      </c>
      <c r="E964" t="s">
        <v>25</v>
      </c>
      <c r="F964">
        <v>1</v>
      </c>
      <c r="G964">
        <v>9791133101573</v>
      </c>
      <c r="H964" t="s">
        <v>32</v>
      </c>
      <c r="I964" t="s">
        <v>1670</v>
      </c>
      <c r="J964" t="s">
        <v>160</v>
      </c>
      <c r="K964" t="s">
        <v>29</v>
      </c>
      <c r="L964" s="1">
        <v>3000</v>
      </c>
      <c r="M964" t="s">
        <v>29</v>
      </c>
      <c r="N964" s="1">
        <v>3000</v>
      </c>
      <c r="O964" s="1">
        <v>3000</v>
      </c>
      <c r="P964" t="s">
        <v>30</v>
      </c>
      <c r="Q964" s="2">
        <v>0.7</v>
      </c>
      <c r="R964" s="1">
        <v>2100</v>
      </c>
      <c r="S964" t="s">
        <v>29</v>
      </c>
      <c r="T964" s="1">
        <v>2100</v>
      </c>
      <c r="V964" t="str">
        <f>VLOOKUP(H964,'[1]팀별 출판사'!A:B,2,0)</f>
        <v>소설1팀</v>
      </c>
      <c r="W964" s="6">
        <f t="shared" si="30"/>
        <v>0</v>
      </c>
      <c r="X964" s="6">
        <f t="shared" si="31"/>
        <v>2100</v>
      </c>
    </row>
    <row r="965" spans="1:24" x14ac:dyDescent="0.3">
      <c r="A965" t="s">
        <v>1489</v>
      </c>
      <c r="B965" t="s">
        <v>1671</v>
      </c>
      <c r="C965" t="s">
        <v>23</v>
      </c>
      <c r="D965" t="s">
        <v>24</v>
      </c>
      <c r="E965" t="s">
        <v>25</v>
      </c>
      <c r="F965">
        <v>1</v>
      </c>
      <c r="G965">
        <v>9791133183609</v>
      </c>
      <c r="H965" t="s">
        <v>26</v>
      </c>
      <c r="I965" t="s">
        <v>1672</v>
      </c>
      <c r="J965" t="s">
        <v>1245</v>
      </c>
      <c r="K965" t="s">
        <v>29</v>
      </c>
      <c r="L965">
        <v>0</v>
      </c>
      <c r="M965" t="s">
        <v>29</v>
      </c>
      <c r="N965">
        <v>0</v>
      </c>
      <c r="O965">
        <v>0</v>
      </c>
      <c r="P965" t="s">
        <v>30</v>
      </c>
      <c r="Q965" s="2">
        <v>0.7</v>
      </c>
      <c r="R965">
        <v>0</v>
      </c>
      <c r="V965" t="str">
        <f>VLOOKUP(H965,'[1]팀별 출판사'!A:B,2,0)</f>
        <v>소설1팀</v>
      </c>
      <c r="W965" s="6">
        <f t="shared" si="30"/>
        <v>0</v>
      </c>
      <c r="X965" s="6">
        <f t="shared" si="31"/>
        <v>0</v>
      </c>
    </row>
    <row r="966" spans="1:24" x14ac:dyDescent="0.3">
      <c r="A966" t="s">
        <v>1489</v>
      </c>
      <c r="B966" t="s">
        <v>1673</v>
      </c>
      <c r="C966" t="s">
        <v>23</v>
      </c>
      <c r="D966" t="s">
        <v>24</v>
      </c>
      <c r="E966" t="s">
        <v>25</v>
      </c>
      <c r="F966">
        <v>1</v>
      </c>
      <c r="G966">
        <v>9791136931382</v>
      </c>
      <c r="H966" t="s">
        <v>32</v>
      </c>
      <c r="I966" t="s">
        <v>523</v>
      </c>
      <c r="J966" t="s">
        <v>46</v>
      </c>
      <c r="K966" t="s">
        <v>29</v>
      </c>
      <c r="L966">
        <v>0</v>
      </c>
      <c r="M966" t="s">
        <v>47</v>
      </c>
      <c r="N966">
        <v>0</v>
      </c>
      <c r="O966">
        <v>0</v>
      </c>
      <c r="P966" t="s">
        <v>48</v>
      </c>
      <c r="Q966" s="2">
        <v>0.7</v>
      </c>
      <c r="R966">
        <v>0</v>
      </c>
      <c r="V966" t="str">
        <f>VLOOKUP(H966,'[1]팀별 출판사'!A:B,2,0)</f>
        <v>소설1팀</v>
      </c>
      <c r="W966" s="6">
        <f t="shared" si="30"/>
        <v>0</v>
      </c>
      <c r="X966" s="6">
        <f t="shared" si="31"/>
        <v>0</v>
      </c>
    </row>
    <row r="967" spans="1:24" x14ac:dyDescent="0.3">
      <c r="A967" t="s">
        <v>1489</v>
      </c>
      <c r="B967" t="s">
        <v>1674</v>
      </c>
      <c r="C967" t="s">
        <v>23</v>
      </c>
      <c r="D967" t="s">
        <v>24</v>
      </c>
      <c r="E967" t="s">
        <v>25</v>
      </c>
      <c r="F967">
        <v>1</v>
      </c>
      <c r="G967">
        <v>9791172927844</v>
      </c>
      <c r="H967" t="s">
        <v>79</v>
      </c>
      <c r="I967" t="s">
        <v>1168</v>
      </c>
      <c r="J967" t="s">
        <v>81</v>
      </c>
      <c r="K967" t="s">
        <v>29</v>
      </c>
      <c r="L967">
        <v>0</v>
      </c>
      <c r="M967" t="s">
        <v>70</v>
      </c>
      <c r="N967">
        <v>0</v>
      </c>
      <c r="O967">
        <v>0</v>
      </c>
      <c r="P967" t="s">
        <v>71</v>
      </c>
      <c r="Q967" s="2">
        <v>0.7</v>
      </c>
      <c r="R967">
        <v>0</v>
      </c>
      <c r="V967" t="str">
        <f>VLOOKUP(H967,'[1]팀별 출판사'!A:B,2,0)</f>
        <v>소설1팀</v>
      </c>
      <c r="W967" s="6">
        <f t="shared" si="30"/>
        <v>0</v>
      </c>
      <c r="X967" s="6">
        <f t="shared" si="31"/>
        <v>0</v>
      </c>
    </row>
    <row r="968" spans="1:24" x14ac:dyDescent="0.3">
      <c r="A968" t="s">
        <v>1489</v>
      </c>
      <c r="B968" t="s">
        <v>1675</v>
      </c>
      <c r="C968" t="s">
        <v>23</v>
      </c>
      <c r="D968" t="s">
        <v>24</v>
      </c>
      <c r="E968" t="s">
        <v>25</v>
      </c>
      <c r="F968">
        <v>1</v>
      </c>
      <c r="G968">
        <v>9791133169290</v>
      </c>
      <c r="H968" t="s">
        <v>32</v>
      </c>
      <c r="I968" t="s">
        <v>671</v>
      </c>
      <c r="J968" t="s">
        <v>160</v>
      </c>
      <c r="K968" t="s">
        <v>29</v>
      </c>
      <c r="L968">
        <v>0</v>
      </c>
      <c r="M968" t="s">
        <v>29</v>
      </c>
      <c r="N968">
        <v>0</v>
      </c>
      <c r="O968">
        <v>0</v>
      </c>
      <c r="P968" t="s">
        <v>30</v>
      </c>
      <c r="Q968" s="2">
        <v>0.7</v>
      </c>
      <c r="R968">
        <v>0</v>
      </c>
      <c r="V968" t="str">
        <f>VLOOKUP(H968,'[1]팀별 출판사'!A:B,2,0)</f>
        <v>소설1팀</v>
      </c>
      <c r="W968" s="6">
        <f t="shared" si="30"/>
        <v>0</v>
      </c>
      <c r="X968" s="6">
        <f t="shared" si="31"/>
        <v>0</v>
      </c>
    </row>
    <row r="969" spans="1:24" x14ac:dyDescent="0.3">
      <c r="A969" t="s">
        <v>1489</v>
      </c>
      <c r="B969" t="s">
        <v>1676</v>
      </c>
      <c r="C969" t="s">
        <v>23</v>
      </c>
      <c r="D969" t="s">
        <v>24</v>
      </c>
      <c r="E969" t="s">
        <v>25</v>
      </c>
      <c r="F969">
        <v>1</v>
      </c>
      <c r="G969">
        <v>9791133101863</v>
      </c>
      <c r="H969" t="s">
        <v>32</v>
      </c>
      <c r="I969" t="s">
        <v>1677</v>
      </c>
      <c r="J969" t="s">
        <v>160</v>
      </c>
      <c r="K969" t="s">
        <v>29</v>
      </c>
      <c r="L969">
        <v>0</v>
      </c>
      <c r="M969" t="s">
        <v>29</v>
      </c>
      <c r="N969">
        <v>0</v>
      </c>
      <c r="O969">
        <v>0</v>
      </c>
      <c r="P969" t="s">
        <v>30</v>
      </c>
      <c r="Q969" s="2">
        <v>0.7</v>
      </c>
      <c r="R969">
        <v>0</v>
      </c>
      <c r="V969" t="str">
        <f>VLOOKUP(H969,'[1]팀별 출판사'!A:B,2,0)</f>
        <v>소설1팀</v>
      </c>
      <c r="W969" s="6">
        <f t="shared" si="30"/>
        <v>0</v>
      </c>
      <c r="X969" s="6">
        <f t="shared" si="31"/>
        <v>0</v>
      </c>
    </row>
    <row r="970" spans="1:24" x14ac:dyDescent="0.3">
      <c r="A970" t="s">
        <v>1489</v>
      </c>
      <c r="B970" t="s">
        <v>1678</v>
      </c>
      <c r="C970" t="s">
        <v>23</v>
      </c>
      <c r="D970" t="s">
        <v>24</v>
      </c>
      <c r="E970" t="s">
        <v>25</v>
      </c>
      <c r="F970">
        <v>1</v>
      </c>
      <c r="G970">
        <v>9791133103348</v>
      </c>
      <c r="H970" t="s">
        <v>32</v>
      </c>
      <c r="I970" t="s">
        <v>773</v>
      </c>
      <c r="J970" t="s">
        <v>160</v>
      </c>
      <c r="K970" t="s">
        <v>29</v>
      </c>
      <c r="L970" s="1">
        <v>2500</v>
      </c>
      <c r="M970" t="s">
        <v>29</v>
      </c>
      <c r="N970" s="1">
        <v>2500</v>
      </c>
      <c r="O970" s="1">
        <v>2500</v>
      </c>
      <c r="P970" t="s">
        <v>30</v>
      </c>
      <c r="Q970" s="2">
        <v>0.7</v>
      </c>
      <c r="R970" s="1">
        <v>1750</v>
      </c>
      <c r="S970" t="s">
        <v>29</v>
      </c>
      <c r="T970" s="1">
        <v>1750</v>
      </c>
      <c r="V970" t="str">
        <f>VLOOKUP(H970,'[1]팀별 출판사'!A:B,2,0)</f>
        <v>소설1팀</v>
      </c>
      <c r="W970" s="6">
        <f t="shared" si="30"/>
        <v>0</v>
      </c>
      <c r="X970" s="6">
        <f t="shared" si="31"/>
        <v>1750</v>
      </c>
    </row>
    <row r="971" spans="1:24" x14ac:dyDescent="0.3">
      <c r="A971" t="s">
        <v>1489</v>
      </c>
      <c r="B971" t="s">
        <v>1679</v>
      </c>
      <c r="C971" t="s">
        <v>23</v>
      </c>
      <c r="D971" t="s">
        <v>24</v>
      </c>
      <c r="E971" t="s">
        <v>25</v>
      </c>
      <c r="F971">
        <v>1</v>
      </c>
      <c r="G971">
        <v>9791133101788</v>
      </c>
      <c r="H971" t="s">
        <v>32</v>
      </c>
      <c r="I971" t="s">
        <v>870</v>
      </c>
      <c r="J971" t="s">
        <v>160</v>
      </c>
      <c r="K971" t="s">
        <v>29</v>
      </c>
      <c r="L971">
        <v>0</v>
      </c>
      <c r="M971" t="s">
        <v>29</v>
      </c>
      <c r="N971">
        <v>0</v>
      </c>
      <c r="O971">
        <v>0</v>
      </c>
      <c r="P971" t="s">
        <v>30</v>
      </c>
      <c r="Q971" s="2">
        <v>0.7</v>
      </c>
      <c r="R971">
        <v>0</v>
      </c>
      <c r="V971" t="str">
        <f>VLOOKUP(H971,'[1]팀별 출판사'!A:B,2,0)</f>
        <v>소설1팀</v>
      </c>
      <c r="W971" s="6">
        <f t="shared" si="30"/>
        <v>0</v>
      </c>
      <c r="X971" s="6">
        <f t="shared" si="31"/>
        <v>0</v>
      </c>
    </row>
    <row r="972" spans="1:24" x14ac:dyDescent="0.3">
      <c r="A972" t="s">
        <v>1489</v>
      </c>
      <c r="B972" t="s">
        <v>1680</v>
      </c>
      <c r="C972" t="s">
        <v>23</v>
      </c>
      <c r="D972" t="s">
        <v>24</v>
      </c>
      <c r="E972" t="s">
        <v>25</v>
      </c>
      <c r="F972">
        <v>1</v>
      </c>
      <c r="G972">
        <v>9791133103379</v>
      </c>
      <c r="H972" t="s">
        <v>32</v>
      </c>
      <c r="I972" t="s">
        <v>776</v>
      </c>
      <c r="J972" t="s">
        <v>160</v>
      </c>
      <c r="K972" t="s">
        <v>29</v>
      </c>
      <c r="L972" s="1">
        <v>2500</v>
      </c>
      <c r="M972" t="s">
        <v>29</v>
      </c>
      <c r="N972" s="1">
        <v>2500</v>
      </c>
      <c r="O972" s="1">
        <v>2500</v>
      </c>
      <c r="P972" t="s">
        <v>30</v>
      </c>
      <c r="Q972" s="2">
        <v>0.7</v>
      </c>
      <c r="R972" s="1">
        <v>1750</v>
      </c>
      <c r="S972" t="s">
        <v>29</v>
      </c>
      <c r="T972" s="1">
        <v>1750</v>
      </c>
      <c r="V972" t="str">
        <f>VLOOKUP(H972,'[1]팀별 출판사'!A:B,2,0)</f>
        <v>소설1팀</v>
      </c>
      <c r="W972" s="6">
        <f t="shared" si="30"/>
        <v>0</v>
      </c>
      <c r="X972" s="6">
        <f t="shared" si="31"/>
        <v>1750</v>
      </c>
    </row>
    <row r="973" spans="1:24" x14ac:dyDescent="0.3">
      <c r="A973" t="s">
        <v>1489</v>
      </c>
      <c r="B973" t="s">
        <v>1681</v>
      </c>
      <c r="C973" t="s">
        <v>23</v>
      </c>
      <c r="D973" t="s">
        <v>24</v>
      </c>
      <c r="E973" t="s">
        <v>25</v>
      </c>
      <c r="F973">
        <v>1</v>
      </c>
      <c r="G973">
        <v>9791136946782</v>
      </c>
      <c r="H973" t="s">
        <v>26</v>
      </c>
      <c r="I973" t="s">
        <v>291</v>
      </c>
      <c r="J973" t="s">
        <v>28</v>
      </c>
      <c r="K973" t="s">
        <v>29</v>
      </c>
      <c r="L973">
        <v>0</v>
      </c>
      <c r="M973" t="s">
        <v>29</v>
      </c>
      <c r="N973">
        <v>0</v>
      </c>
      <c r="O973">
        <v>0</v>
      </c>
      <c r="P973" t="s">
        <v>30</v>
      </c>
      <c r="Q973" s="2">
        <v>0.7</v>
      </c>
      <c r="R973">
        <v>0</v>
      </c>
      <c r="V973" t="str">
        <f>VLOOKUP(H973,'[1]팀별 출판사'!A:B,2,0)</f>
        <v>소설1팀</v>
      </c>
      <c r="W973" s="6">
        <f t="shared" si="30"/>
        <v>0</v>
      </c>
      <c r="X973" s="6">
        <f t="shared" si="31"/>
        <v>0</v>
      </c>
    </row>
    <row r="974" spans="1:24" x14ac:dyDescent="0.3">
      <c r="A974" t="s">
        <v>1489</v>
      </c>
      <c r="B974" t="s">
        <v>1682</v>
      </c>
      <c r="C974" t="s">
        <v>23</v>
      </c>
      <c r="D974" t="s">
        <v>24</v>
      </c>
      <c r="E974" t="s">
        <v>25</v>
      </c>
      <c r="F974">
        <v>1</v>
      </c>
      <c r="G974">
        <v>9791136988157</v>
      </c>
      <c r="H974" t="s">
        <v>26</v>
      </c>
      <c r="I974" t="s">
        <v>1683</v>
      </c>
      <c r="J974" t="s">
        <v>28</v>
      </c>
      <c r="K974" t="s">
        <v>29</v>
      </c>
      <c r="L974" s="1">
        <v>3200</v>
      </c>
      <c r="M974" t="s">
        <v>29</v>
      </c>
      <c r="N974" s="1">
        <v>3200</v>
      </c>
      <c r="O974" s="1">
        <v>3200</v>
      </c>
      <c r="P974" t="s">
        <v>30</v>
      </c>
      <c r="Q974" s="2">
        <v>0.7</v>
      </c>
      <c r="R974" s="1">
        <v>2240</v>
      </c>
      <c r="S974" t="s">
        <v>29</v>
      </c>
      <c r="T974" s="1">
        <v>2240</v>
      </c>
      <c r="V974" t="str">
        <f>VLOOKUP(H974,'[1]팀별 출판사'!A:B,2,0)</f>
        <v>소설1팀</v>
      </c>
      <c r="W974" s="6">
        <f t="shared" si="30"/>
        <v>0</v>
      </c>
      <c r="X974" s="6">
        <f t="shared" si="31"/>
        <v>2240</v>
      </c>
    </row>
    <row r="975" spans="1:24" x14ac:dyDescent="0.3">
      <c r="A975" t="s">
        <v>1489</v>
      </c>
      <c r="B975" t="s">
        <v>1684</v>
      </c>
      <c r="C975" t="s">
        <v>23</v>
      </c>
      <c r="D975" t="s">
        <v>24</v>
      </c>
      <c r="E975" t="s">
        <v>25</v>
      </c>
      <c r="F975">
        <v>1</v>
      </c>
      <c r="G975">
        <v>9791136988836</v>
      </c>
      <c r="H975" t="s">
        <v>26</v>
      </c>
      <c r="I975" t="s">
        <v>1685</v>
      </c>
      <c r="J975" t="s">
        <v>28</v>
      </c>
      <c r="K975" t="s">
        <v>29</v>
      </c>
      <c r="L975" s="1">
        <v>3200</v>
      </c>
      <c r="M975" t="s">
        <v>29</v>
      </c>
      <c r="N975" s="1">
        <v>3200</v>
      </c>
      <c r="O975" s="1">
        <v>3200</v>
      </c>
      <c r="P975" t="s">
        <v>30</v>
      </c>
      <c r="Q975" s="2">
        <v>0.7</v>
      </c>
      <c r="R975" s="1">
        <v>2240</v>
      </c>
      <c r="S975" t="s">
        <v>29</v>
      </c>
      <c r="T975" s="1">
        <v>2240</v>
      </c>
      <c r="V975" t="str">
        <f>VLOOKUP(H975,'[1]팀별 출판사'!A:B,2,0)</f>
        <v>소설1팀</v>
      </c>
      <c r="W975" s="6">
        <f t="shared" si="30"/>
        <v>0</v>
      </c>
      <c r="X975" s="6">
        <f t="shared" si="31"/>
        <v>2240</v>
      </c>
    </row>
    <row r="976" spans="1:24" x14ac:dyDescent="0.3">
      <c r="A976" t="s">
        <v>1489</v>
      </c>
      <c r="B976" t="s">
        <v>1686</v>
      </c>
      <c r="C976" t="s">
        <v>23</v>
      </c>
      <c r="D976" t="s">
        <v>24</v>
      </c>
      <c r="E976" t="s">
        <v>25</v>
      </c>
      <c r="F976">
        <v>1</v>
      </c>
      <c r="G976">
        <v>9791173786136</v>
      </c>
      <c r="H976" t="s">
        <v>79</v>
      </c>
      <c r="I976" t="s">
        <v>1476</v>
      </c>
      <c r="J976" t="s">
        <v>81</v>
      </c>
      <c r="K976" t="s">
        <v>29</v>
      </c>
      <c r="L976">
        <v>0</v>
      </c>
      <c r="M976" t="s">
        <v>70</v>
      </c>
      <c r="N976">
        <v>0</v>
      </c>
      <c r="O976">
        <v>0</v>
      </c>
      <c r="P976" t="s">
        <v>71</v>
      </c>
      <c r="Q976" s="2">
        <v>0.7</v>
      </c>
      <c r="R976">
        <v>0</v>
      </c>
      <c r="V976" t="str">
        <f>VLOOKUP(H976,'[1]팀별 출판사'!A:B,2,0)</f>
        <v>소설1팀</v>
      </c>
      <c r="W976" s="6">
        <f t="shared" si="30"/>
        <v>0</v>
      </c>
      <c r="X976" s="6">
        <f t="shared" si="31"/>
        <v>0</v>
      </c>
    </row>
    <row r="977" spans="1:24" x14ac:dyDescent="0.3">
      <c r="A977" t="s">
        <v>1489</v>
      </c>
      <c r="B977" t="s">
        <v>1687</v>
      </c>
      <c r="C977" t="s">
        <v>23</v>
      </c>
      <c r="D977" t="s">
        <v>24</v>
      </c>
      <c r="E977" t="s">
        <v>25</v>
      </c>
      <c r="F977">
        <v>1</v>
      </c>
      <c r="G977">
        <v>9791136941862</v>
      </c>
      <c r="H977" t="s">
        <v>26</v>
      </c>
      <c r="I977" t="s">
        <v>894</v>
      </c>
      <c r="J977" t="s">
        <v>81</v>
      </c>
      <c r="K977" t="s">
        <v>29</v>
      </c>
      <c r="L977">
        <v>0</v>
      </c>
      <c r="M977" t="s">
        <v>70</v>
      </c>
      <c r="N977">
        <v>0</v>
      </c>
      <c r="O977">
        <v>0</v>
      </c>
      <c r="P977" t="s">
        <v>71</v>
      </c>
      <c r="Q977" s="2">
        <v>0.7</v>
      </c>
      <c r="R977">
        <v>0</v>
      </c>
      <c r="V977" t="str">
        <f>VLOOKUP(H977,'[1]팀별 출판사'!A:B,2,0)</f>
        <v>소설1팀</v>
      </c>
      <c r="W977" s="6">
        <f t="shared" si="30"/>
        <v>0</v>
      </c>
      <c r="X977" s="6">
        <f t="shared" si="31"/>
        <v>0</v>
      </c>
    </row>
    <row r="978" spans="1:24" x14ac:dyDescent="0.3">
      <c r="A978" t="s">
        <v>1489</v>
      </c>
      <c r="B978" t="s">
        <v>1688</v>
      </c>
      <c r="C978" t="s">
        <v>23</v>
      </c>
      <c r="D978" t="s">
        <v>24</v>
      </c>
      <c r="E978" t="s">
        <v>25</v>
      </c>
      <c r="F978">
        <v>1</v>
      </c>
      <c r="G978">
        <v>9791157532100</v>
      </c>
      <c r="H978" t="s">
        <v>32</v>
      </c>
      <c r="I978" t="s">
        <v>1432</v>
      </c>
      <c r="J978" t="s">
        <v>112</v>
      </c>
      <c r="K978" t="s">
        <v>29</v>
      </c>
      <c r="L978">
        <v>0</v>
      </c>
      <c r="M978" t="s">
        <v>948</v>
      </c>
      <c r="N978">
        <v>0</v>
      </c>
      <c r="O978">
        <v>0</v>
      </c>
      <c r="P978" t="s">
        <v>949</v>
      </c>
      <c r="Q978" s="2">
        <v>0.7</v>
      </c>
      <c r="R978">
        <v>0</v>
      </c>
      <c r="V978" t="str">
        <f>VLOOKUP(H978,'[1]팀별 출판사'!A:B,2,0)</f>
        <v>소설1팀</v>
      </c>
      <c r="W978" s="6">
        <f t="shared" si="30"/>
        <v>0</v>
      </c>
      <c r="X978" s="6">
        <f t="shared" si="31"/>
        <v>0</v>
      </c>
    </row>
    <row r="979" spans="1:24" x14ac:dyDescent="0.3">
      <c r="A979" t="s">
        <v>1489</v>
      </c>
      <c r="B979" t="s">
        <v>1689</v>
      </c>
      <c r="C979" t="s">
        <v>23</v>
      </c>
      <c r="D979" t="s">
        <v>24</v>
      </c>
      <c r="E979" t="s">
        <v>25</v>
      </c>
      <c r="F979">
        <v>1</v>
      </c>
      <c r="G979">
        <v>9791170104735</v>
      </c>
      <c r="H979" t="s">
        <v>67</v>
      </c>
      <c r="I979" t="s">
        <v>1072</v>
      </c>
      <c r="J979" t="s">
        <v>1073</v>
      </c>
      <c r="K979" t="s">
        <v>29</v>
      </c>
      <c r="L979">
        <v>0</v>
      </c>
      <c r="M979" t="s">
        <v>29</v>
      </c>
      <c r="N979">
        <v>0</v>
      </c>
      <c r="O979">
        <v>0</v>
      </c>
      <c r="P979" t="s">
        <v>30</v>
      </c>
      <c r="Q979" s="2">
        <v>0.7</v>
      </c>
      <c r="R979">
        <v>0</v>
      </c>
      <c r="V979" t="str">
        <f>VLOOKUP(H979,'[1]팀별 출판사'!A:B,2,0)</f>
        <v>소설1팀</v>
      </c>
      <c r="W979" s="6">
        <f t="shared" si="30"/>
        <v>0</v>
      </c>
      <c r="X979" s="6">
        <f t="shared" si="31"/>
        <v>0</v>
      </c>
    </row>
    <row r="980" spans="1:24" x14ac:dyDescent="0.3">
      <c r="A980" t="s">
        <v>1489</v>
      </c>
      <c r="B980" t="s">
        <v>1690</v>
      </c>
      <c r="C980" t="s">
        <v>23</v>
      </c>
      <c r="D980" t="s">
        <v>24</v>
      </c>
      <c r="E980" t="s">
        <v>25</v>
      </c>
      <c r="F980">
        <v>1</v>
      </c>
      <c r="G980">
        <v>9791136944177</v>
      </c>
      <c r="H980" t="s">
        <v>26</v>
      </c>
      <c r="I980" t="s">
        <v>1691</v>
      </c>
      <c r="J980" t="s">
        <v>1692</v>
      </c>
      <c r="K980" t="s">
        <v>29</v>
      </c>
      <c r="L980" s="1">
        <v>3200</v>
      </c>
      <c r="M980" t="s">
        <v>29</v>
      </c>
      <c r="N980" s="1">
        <v>3200</v>
      </c>
      <c r="O980" s="1">
        <v>3200</v>
      </c>
      <c r="P980" t="s">
        <v>30</v>
      </c>
      <c r="Q980" s="2">
        <v>0.7</v>
      </c>
      <c r="R980" s="1">
        <v>2240</v>
      </c>
      <c r="S980" t="s">
        <v>29</v>
      </c>
      <c r="T980" s="1">
        <v>2240</v>
      </c>
      <c r="V980" t="str">
        <f>VLOOKUP(H980,'[1]팀별 출판사'!A:B,2,0)</f>
        <v>소설1팀</v>
      </c>
      <c r="W980" s="6">
        <f t="shared" si="30"/>
        <v>0</v>
      </c>
      <c r="X980" s="6">
        <f t="shared" si="31"/>
        <v>2240</v>
      </c>
    </row>
    <row r="981" spans="1:24" x14ac:dyDescent="0.3">
      <c r="A981" t="s">
        <v>1489</v>
      </c>
      <c r="B981" t="s">
        <v>1693</v>
      </c>
      <c r="C981" t="s">
        <v>23</v>
      </c>
      <c r="D981" t="s">
        <v>24</v>
      </c>
      <c r="E981" t="s">
        <v>25</v>
      </c>
      <c r="F981">
        <v>1</v>
      </c>
      <c r="G981">
        <v>9791170106500</v>
      </c>
      <c r="H981" t="s">
        <v>67</v>
      </c>
      <c r="I981" t="s">
        <v>931</v>
      </c>
      <c r="J981" t="s">
        <v>932</v>
      </c>
      <c r="K981" t="s">
        <v>29</v>
      </c>
      <c r="L981">
        <v>0</v>
      </c>
      <c r="M981" t="s">
        <v>478</v>
      </c>
      <c r="N981">
        <v>0</v>
      </c>
      <c r="O981">
        <v>0</v>
      </c>
      <c r="P981" t="s">
        <v>479</v>
      </c>
      <c r="Q981" s="2">
        <v>0.7</v>
      </c>
      <c r="R981">
        <v>0</v>
      </c>
      <c r="V981" t="str">
        <f>VLOOKUP(H981,'[1]팀별 출판사'!A:B,2,0)</f>
        <v>소설1팀</v>
      </c>
      <c r="W981" s="6">
        <f t="shared" si="30"/>
        <v>0</v>
      </c>
      <c r="X981" s="6">
        <f t="shared" si="31"/>
        <v>0</v>
      </c>
    </row>
    <row r="982" spans="1:24" x14ac:dyDescent="0.3">
      <c r="A982" t="s">
        <v>1489</v>
      </c>
      <c r="B982" t="s">
        <v>1694</v>
      </c>
      <c r="C982" t="s">
        <v>23</v>
      </c>
      <c r="D982" t="s">
        <v>24</v>
      </c>
      <c r="E982" t="s">
        <v>25</v>
      </c>
      <c r="F982">
        <v>1</v>
      </c>
      <c r="G982">
        <v>9791175302495</v>
      </c>
      <c r="H982" t="s">
        <v>26</v>
      </c>
      <c r="I982" t="s">
        <v>1695</v>
      </c>
      <c r="J982" t="s">
        <v>603</v>
      </c>
      <c r="K982" t="s">
        <v>29</v>
      </c>
      <c r="L982" s="1">
        <v>3200</v>
      </c>
      <c r="M982" t="s">
        <v>29</v>
      </c>
      <c r="N982" s="1">
        <v>3200</v>
      </c>
      <c r="O982" s="1">
        <v>3200</v>
      </c>
      <c r="P982" t="s">
        <v>30</v>
      </c>
      <c r="Q982" s="2">
        <v>0.7</v>
      </c>
      <c r="R982" s="1">
        <v>2240</v>
      </c>
      <c r="S982" t="s">
        <v>29</v>
      </c>
      <c r="T982" s="1">
        <v>2240</v>
      </c>
      <c r="V982" t="str">
        <f>VLOOKUP(H982,'[1]팀별 출판사'!A:B,2,0)</f>
        <v>소설1팀</v>
      </c>
      <c r="W982" s="6">
        <f t="shared" si="30"/>
        <v>0</v>
      </c>
      <c r="X982" s="6">
        <f t="shared" si="31"/>
        <v>2240</v>
      </c>
    </row>
    <row r="983" spans="1:24" x14ac:dyDescent="0.3">
      <c r="A983" t="s">
        <v>1489</v>
      </c>
      <c r="B983" t="s">
        <v>1694</v>
      </c>
      <c r="C983" t="s">
        <v>23</v>
      </c>
      <c r="D983" t="s">
        <v>24</v>
      </c>
      <c r="E983" t="s">
        <v>25</v>
      </c>
      <c r="F983">
        <v>1</v>
      </c>
      <c r="G983">
        <v>9791175302501</v>
      </c>
      <c r="H983" t="s">
        <v>26</v>
      </c>
      <c r="I983" t="s">
        <v>1696</v>
      </c>
      <c r="J983" t="s">
        <v>603</v>
      </c>
      <c r="K983" t="s">
        <v>29</v>
      </c>
      <c r="L983" s="1">
        <v>3200</v>
      </c>
      <c r="M983" t="s">
        <v>29</v>
      </c>
      <c r="N983" s="1">
        <v>3200</v>
      </c>
      <c r="O983" s="1">
        <v>3200</v>
      </c>
      <c r="P983" t="s">
        <v>30</v>
      </c>
      <c r="Q983" s="2">
        <v>0.7</v>
      </c>
      <c r="R983" s="1">
        <v>2240</v>
      </c>
      <c r="S983" t="s">
        <v>29</v>
      </c>
      <c r="T983" s="1">
        <v>2240</v>
      </c>
      <c r="V983" t="str">
        <f>VLOOKUP(H983,'[1]팀별 출판사'!A:B,2,0)</f>
        <v>소설1팀</v>
      </c>
      <c r="W983" s="6">
        <f t="shared" si="30"/>
        <v>0</v>
      </c>
      <c r="X983" s="6">
        <f t="shared" si="31"/>
        <v>2240</v>
      </c>
    </row>
    <row r="984" spans="1:24" x14ac:dyDescent="0.3">
      <c r="A984" t="s">
        <v>1489</v>
      </c>
      <c r="B984" t="s">
        <v>1694</v>
      </c>
      <c r="C984" t="s">
        <v>23</v>
      </c>
      <c r="D984" t="s">
        <v>24</v>
      </c>
      <c r="E984" t="s">
        <v>25</v>
      </c>
      <c r="F984">
        <v>1</v>
      </c>
      <c r="G984">
        <v>9791175302518</v>
      </c>
      <c r="H984" t="s">
        <v>26</v>
      </c>
      <c r="I984" t="s">
        <v>1697</v>
      </c>
      <c r="J984" t="s">
        <v>603</v>
      </c>
      <c r="K984" t="s">
        <v>29</v>
      </c>
      <c r="L984" s="1">
        <v>3200</v>
      </c>
      <c r="M984" t="s">
        <v>29</v>
      </c>
      <c r="N984" s="1">
        <v>3200</v>
      </c>
      <c r="O984" s="1">
        <v>3200</v>
      </c>
      <c r="P984" t="s">
        <v>30</v>
      </c>
      <c r="Q984" s="2">
        <v>0.7</v>
      </c>
      <c r="R984" s="1">
        <v>2240</v>
      </c>
      <c r="S984" t="s">
        <v>29</v>
      </c>
      <c r="T984" s="1">
        <v>2240</v>
      </c>
      <c r="V984" t="str">
        <f>VLOOKUP(H984,'[1]팀별 출판사'!A:B,2,0)</f>
        <v>소설1팀</v>
      </c>
      <c r="W984" s="6">
        <f t="shared" si="30"/>
        <v>0</v>
      </c>
      <c r="X984" s="6">
        <f t="shared" si="31"/>
        <v>2240</v>
      </c>
    </row>
    <row r="985" spans="1:24" x14ac:dyDescent="0.3">
      <c r="A985" t="s">
        <v>1489</v>
      </c>
      <c r="B985" t="s">
        <v>1694</v>
      </c>
      <c r="C985" t="s">
        <v>23</v>
      </c>
      <c r="D985" t="s">
        <v>24</v>
      </c>
      <c r="E985" t="s">
        <v>25</v>
      </c>
      <c r="F985">
        <v>1</v>
      </c>
      <c r="G985">
        <v>9791175302525</v>
      </c>
      <c r="H985" t="s">
        <v>26</v>
      </c>
      <c r="I985" t="s">
        <v>1698</v>
      </c>
      <c r="J985" t="s">
        <v>603</v>
      </c>
      <c r="K985" t="s">
        <v>29</v>
      </c>
      <c r="L985" s="1">
        <v>3200</v>
      </c>
      <c r="M985" t="s">
        <v>29</v>
      </c>
      <c r="N985" s="1">
        <v>3200</v>
      </c>
      <c r="O985" s="1">
        <v>3200</v>
      </c>
      <c r="P985" t="s">
        <v>30</v>
      </c>
      <c r="Q985" s="2">
        <v>0.7</v>
      </c>
      <c r="R985" s="1">
        <v>2240</v>
      </c>
      <c r="S985" t="s">
        <v>29</v>
      </c>
      <c r="T985" s="1">
        <v>2240</v>
      </c>
      <c r="V985" t="str">
        <f>VLOOKUP(H985,'[1]팀별 출판사'!A:B,2,0)</f>
        <v>소설1팀</v>
      </c>
      <c r="W985" s="6">
        <f t="shared" si="30"/>
        <v>0</v>
      </c>
      <c r="X985" s="6">
        <f t="shared" si="31"/>
        <v>2240</v>
      </c>
    </row>
    <row r="986" spans="1:24" x14ac:dyDescent="0.3">
      <c r="A986" t="s">
        <v>1489</v>
      </c>
      <c r="B986" t="s">
        <v>1694</v>
      </c>
      <c r="C986" t="s">
        <v>23</v>
      </c>
      <c r="D986" t="s">
        <v>24</v>
      </c>
      <c r="E986" t="s">
        <v>25</v>
      </c>
      <c r="F986">
        <v>1</v>
      </c>
      <c r="G986">
        <v>9791175302532</v>
      </c>
      <c r="H986" t="s">
        <v>26</v>
      </c>
      <c r="I986" t="s">
        <v>1699</v>
      </c>
      <c r="J986" t="s">
        <v>603</v>
      </c>
      <c r="K986" t="s">
        <v>29</v>
      </c>
      <c r="L986" s="1">
        <v>3200</v>
      </c>
      <c r="M986" t="s">
        <v>29</v>
      </c>
      <c r="N986" s="1">
        <v>3200</v>
      </c>
      <c r="O986" s="1">
        <v>3200</v>
      </c>
      <c r="P986" t="s">
        <v>30</v>
      </c>
      <c r="Q986" s="2">
        <v>0.7</v>
      </c>
      <c r="R986" s="1">
        <v>2240</v>
      </c>
      <c r="S986" t="s">
        <v>29</v>
      </c>
      <c r="T986" s="1">
        <v>2240</v>
      </c>
      <c r="V986" t="str">
        <f>VLOOKUP(H986,'[1]팀별 출판사'!A:B,2,0)</f>
        <v>소설1팀</v>
      </c>
      <c r="W986" s="6">
        <f t="shared" si="30"/>
        <v>0</v>
      </c>
      <c r="X986" s="6">
        <f t="shared" si="31"/>
        <v>2240</v>
      </c>
    </row>
    <row r="987" spans="1:24" x14ac:dyDescent="0.3">
      <c r="A987" t="s">
        <v>1489</v>
      </c>
      <c r="B987" t="s">
        <v>1694</v>
      </c>
      <c r="C987" t="s">
        <v>23</v>
      </c>
      <c r="D987" t="s">
        <v>24</v>
      </c>
      <c r="E987" t="s">
        <v>25</v>
      </c>
      <c r="F987">
        <v>1</v>
      </c>
      <c r="G987">
        <v>9791175302549</v>
      </c>
      <c r="H987" t="s">
        <v>26</v>
      </c>
      <c r="I987" t="s">
        <v>1700</v>
      </c>
      <c r="J987" t="s">
        <v>603</v>
      </c>
      <c r="K987" t="s">
        <v>29</v>
      </c>
      <c r="L987" s="1">
        <v>3200</v>
      </c>
      <c r="M987" t="s">
        <v>29</v>
      </c>
      <c r="N987" s="1">
        <v>3200</v>
      </c>
      <c r="O987" s="1">
        <v>3200</v>
      </c>
      <c r="P987" t="s">
        <v>30</v>
      </c>
      <c r="Q987" s="2">
        <v>0.7</v>
      </c>
      <c r="R987" s="1">
        <v>2240</v>
      </c>
      <c r="S987" t="s">
        <v>29</v>
      </c>
      <c r="T987" s="1">
        <v>2240</v>
      </c>
      <c r="V987" t="str">
        <f>VLOOKUP(H987,'[1]팀별 출판사'!A:B,2,0)</f>
        <v>소설1팀</v>
      </c>
      <c r="W987" s="6">
        <f t="shared" si="30"/>
        <v>0</v>
      </c>
      <c r="X987" s="6">
        <f t="shared" si="31"/>
        <v>2240</v>
      </c>
    </row>
    <row r="988" spans="1:24" x14ac:dyDescent="0.3">
      <c r="A988" t="s">
        <v>1489</v>
      </c>
      <c r="B988" t="s">
        <v>1694</v>
      </c>
      <c r="C988" t="s">
        <v>23</v>
      </c>
      <c r="D988" t="s">
        <v>24</v>
      </c>
      <c r="E988" t="s">
        <v>25</v>
      </c>
      <c r="F988">
        <v>1</v>
      </c>
      <c r="G988">
        <v>9791175302556</v>
      </c>
      <c r="H988" t="s">
        <v>26</v>
      </c>
      <c r="I988" t="s">
        <v>1701</v>
      </c>
      <c r="J988" t="s">
        <v>603</v>
      </c>
      <c r="K988" t="s">
        <v>29</v>
      </c>
      <c r="L988" s="1">
        <v>3200</v>
      </c>
      <c r="M988" t="s">
        <v>29</v>
      </c>
      <c r="N988" s="1">
        <v>3200</v>
      </c>
      <c r="O988" s="1">
        <v>3200</v>
      </c>
      <c r="P988" t="s">
        <v>30</v>
      </c>
      <c r="Q988" s="2">
        <v>0.7</v>
      </c>
      <c r="R988" s="1">
        <v>2240</v>
      </c>
      <c r="S988" t="s">
        <v>29</v>
      </c>
      <c r="T988" s="1">
        <v>2240</v>
      </c>
      <c r="V988" t="str">
        <f>VLOOKUP(H988,'[1]팀별 출판사'!A:B,2,0)</f>
        <v>소설1팀</v>
      </c>
      <c r="W988" s="6">
        <f t="shared" si="30"/>
        <v>0</v>
      </c>
      <c r="X988" s="6">
        <f t="shared" si="31"/>
        <v>2240</v>
      </c>
    </row>
    <row r="989" spans="1:24" x14ac:dyDescent="0.3">
      <c r="A989" t="s">
        <v>1489</v>
      </c>
      <c r="B989" t="s">
        <v>1702</v>
      </c>
      <c r="C989" t="s">
        <v>23</v>
      </c>
      <c r="D989" t="s">
        <v>24</v>
      </c>
      <c r="E989" t="s">
        <v>25</v>
      </c>
      <c r="F989">
        <v>1</v>
      </c>
      <c r="G989">
        <v>9791136927248</v>
      </c>
      <c r="H989" t="s">
        <v>36</v>
      </c>
      <c r="I989" t="s">
        <v>37</v>
      </c>
      <c r="J989" t="s">
        <v>38</v>
      </c>
      <c r="K989" t="s">
        <v>29</v>
      </c>
      <c r="L989" s="1">
        <v>3300</v>
      </c>
      <c r="M989" t="s">
        <v>933</v>
      </c>
      <c r="N989">
        <v>242.54</v>
      </c>
      <c r="O989">
        <v>205.54</v>
      </c>
      <c r="P989" t="s">
        <v>934</v>
      </c>
      <c r="Q989" s="2">
        <v>0.7</v>
      </c>
      <c r="R989">
        <v>143.88</v>
      </c>
      <c r="S989" t="s">
        <v>29</v>
      </c>
      <c r="T989" s="1">
        <v>2323</v>
      </c>
      <c r="U989">
        <v>16.14245</v>
      </c>
      <c r="V989" t="str">
        <f>VLOOKUP(H989,'[1]팀별 출판사'!A:B,2,0)</f>
        <v>소설2팀</v>
      </c>
      <c r="W989" s="6">
        <f t="shared" si="30"/>
        <v>0</v>
      </c>
      <c r="X989" s="6">
        <f t="shared" si="31"/>
        <v>2323</v>
      </c>
    </row>
    <row r="990" spans="1:24" x14ac:dyDescent="0.3">
      <c r="A990" t="s">
        <v>1489</v>
      </c>
      <c r="B990" t="s">
        <v>1703</v>
      </c>
      <c r="C990" t="s">
        <v>23</v>
      </c>
      <c r="D990" t="s">
        <v>24</v>
      </c>
      <c r="E990" t="s">
        <v>25</v>
      </c>
      <c r="F990">
        <v>1</v>
      </c>
      <c r="G990">
        <v>9791133103348</v>
      </c>
      <c r="H990" t="s">
        <v>32</v>
      </c>
      <c r="I990" t="s">
        <v>773</v>
      </c>
      <c r="J990" t="s">
        <v>160</v>
      </c>
      <c r="K990" t="s">
        <v>29</v>
      </c>
      <c r="L990" s="1">
        <v>2500</v>
      </c>
      <c r="M990" t="s">
        <v>29</v>
      </c>
      <c r="N990" s="1">
        <v>2500</v>
      </c>
      <c r="O990" s="1">
        <v>2500</v>
      </c>
      <c r="P990" t="s">
        <v>30</v>
      </c>
      <c r="Q990" s="2">
        <v>0.7</v>
      </c>
      <c r="R990" s="1">
        <v>1750</v>
      </c>
      <c r="S990" t="s">
        <v>29</v>
      </c>
      <c r="T990" s="1">
        <v>1750</v>
      </c>
      <c r="V990" t="str">
        <f>VLOOKUP(H990,'[1]팀별 출판사'!A:B,2,0)</f>
        <v>소설1팀</v>
      </c>
      <c r="W990" s="6">
        <f t="shared" si="30"/>
        <v>0</v>
      </c>
      <c r="X990" s="6">
        <f t="shared" si="31"/>
        <v>1750</v>
      </c>
    </row>
    <row r="991" spans="1:24" x14ac:dyDescent="0.3">
      <c r="A991" t="s">
        <v>1489</v>
      </c>
      <c r="B991" t="s">
        <v>1704</v>
      </c>
      <c r="C991" t="s">
        <v>23</v>
      </c>
      <c r="D991" t="s">
        <v>24</v>
      </c>
      <c r="E991" t="s">
        <v>25</v>
      </c>
      <c r="F991">
        <v>1</v>
      </c>
      <c r="G991">
        <v>9791136988966</v>
      </c>
      <c r="H991" t="s">
        <v>26</v>
      </c>
      <c r="I991" t="s">
        <v>1705</v>
      </c>
      <c r="J991" t="s">
        <v>28</v>
      </c>
      <c r="K991" t="s">
        <v>29</v>
      </c>
      <c r="L991" s="1">
        <v>3200</v>
      </c>
      <c r="M991" t="s">
        <v>29</v>
      </c>
      <c r="N991" s="1">
        <v>3200</v>
      </c>
      <c r="O991" s="1">
        <v>3200</v>
      </c>
      <c r="P991" t="s">
        <v>30</v>
      </c>
      <c r="Q991" s="2">
        <v>0.7</v>
      </c>
      <c r="R991" s="1">
        <v>2240</v>
      </c>
      <c r="S991" t="s">
        <v>29</v>
      </c>
      <c r="T991" s="1">
        <v>2240</v>
      </c>
      <c r="V991" t="str">
        <f>VLOOKUP(H991,'[1]팀별 출판사'!A:B,2,0)</f>
        <v>소설1팀</v>
      </c>
      <c r="W991" s="6">
        <f t="shared" si="30"/>
        <v>0</v>
      </c>
      <c r="X991" s="6">
        <f t="shared" si="31"/>
        <v>2240</v>
      </c>
    </row>
    <row r="992" spans="1:24" x14ac:dyDescent="0.3">
      <c r="A992" t="s">
        <v>1489</v>
      </c>
      <c r="B992" t="s">
        <v>1706</v>
      </c>
      <c r="C992" t="s">
        <v>23</v>
      </c>
      <c r="D992" t="s">
        <v>24</v>
      </c>
      <c r="E992" t="s">
        <v>25</v>
      </c>
      <c r="F992">
        <v>1</v>
      </c>
      <c r="G992" t="s">
        <v>1707</v>
      </c>
      <c r="H992" t="s">
        <v>32</v>
      </c>
      <c r="I992" t="s">
        <v>1708</v>
      </c>
      <c r="J992" t="s">
        <v>202</v>
      </c>
      <c r="K992" t="s">
        <v>29</v>
      </c>
      <c r="L992" s="1">
        <v>3200</v>
      </c>
      <c r="M992" t="s">
        <v>29</v>
      </c>
      <c r="N992" s="1">
        <v>3200</v>
      </c>
      <c r="O992" s="1">
        <v>3200</v>
      </c>
      <c r="P992" t="s">
        <v>30</v>
      </c>
      <c r="Q992" s="2">
        <v>0.7</v>
      </c>
      <c r="R992" s="1">
        <v>2240</v>
      </c>
      <c r="S992" t="s">
        <v>29</v>
      </c>
      <c r="T992" s="1">
        <v>2240</v>
      </c>
      <c r="V992" t="str">
        <f>VLOOKUP(H992,'[1]팀별 출판사'!A:B,2,0)</f>
        <v>소설1팀</v>
      </c>
      <c r="W992" s="6">
        <f t="shared" si="30"/>
        <v>0</v>
      </c>
      <c r="X992" s="6">
        <f t="shared" si="31"/>
        <v>2240</v>
      </c>
    </row>
    <row r="993" spans="1:24" x14ac:dyDescent="0.3">
      <c r="A993" t="s">
        <v>1489</v>
      </c>
      <c r="B993" t="s">
        <v>1709</v>
      </c>
      <c r="C993" t="s">
        <v>23</v>
      </c>
      <c r="D993" t="s">
        <v>24</v>
      </c>
      <c r="E993" t="s">
        <v>25</v>
      </c>
      <c r="F993">
        <v>1</v>
      </c>
      <c r="G993">
        <v>9791133145782</v>
      </c>
      <c r="H993" t="s">
        <v>32</v>
      </c>
      <c r="I993" t="s">
        <v>177</v>
      </c>
      <c r="J993" t="s">
        <v>178</v>
      </c>
      <c r="K993" t="s">
        <v>29</v>
      </c>
      <c r="L993">
        <v>0</v>
      </c>
      <c r="M993" t="s">
        <v>29</v>
      </c>
      <c r="N993">
        <v>0</v>
      </c>
      <c r="O993">
        <v>0</v>
      </c>
      <c r="P993" t="s">
        <v>30</v>
      </c>
      <c r="Q993" s="2">
        <v>0.7</v>
      </c>
      <c r="R993">
        <v>0</v>
      </c>
      <c r="V993" t="str">
        <f>VLOOKUP(H993,'[1]팀별 출판사'!A:B,2,0)</f>
        <v>소설1팀</v>
      </c>
      <c r="W993" s="6">
        <f t="shared" si="30"/>
        <v>0</v>
      </c>
      <c r="X993" s="6">
        <f t="shared" si="31"/>
        <v>0</v>
      </c>
    </row>
    <row r="994" spans="1:24" x14ac:dyDescent="0.3">
      <c r="A994" t="s">
        <v>1489</v>
      </c>
      <c r="B994" t="s">
        <v>1710</v>
      </c>
      <c r="C994" t="s">
        <v>23</v>
      </c>
      <c r="D994" t="s">
        <v>24</v>
      </c>
      <c r="E994" t="s">
        <v>25</v>
      </c>
      <c r="F994">
        <v>1</v>
      </c>
      <c r="G994">
        <v>9791136931375</v>
      </c>
      <c r="H994" t="s">
        <v>32</v>
      </c>
      <c r="I994" t="s">
        <v>189</v>
      </c>
      <c r="J994" t="s">
        <v>46</v>
      </c>
      <c r="K994" t="s">
        <v>29</v>
      </c>
      <c r="L994">
        <v>0</v>
      </c>
      <c r="M994" t="s">
        <v>47</v>
      </c>
      <c r="N994">
        <v>0</v>
      </c>
      <c r="O994">
        <v>0</v>
      </c>
      <c r="P994" t="s">
        <v>48</v>
      </c>
      <c r="Q994" s="2">
        <v>0.7</v>
      </c>
      <c r="R994">
        <v>0</v>
      </c>
      <c r="V994" t="str">
        <f>VLOOKUP(H994,'[1]팀별 출판사'!A:B,2,0)</f>
        <v>소설1팀</v>
      </c>
      <c r="W994" s="6">
        <f t="shared" si="30"/>
        <v>0</v>
      </c>
      <c r="X994" s="6">
        <f t="shared" si="31"/>
        <v>0</v>
      </c>
    </row>
    <row r="995" spans="1:24" x14ac:dyDescent="0.3">
      <c r="A995" t="s">
        <v>1489</v>
      </c>
      <c r="B995" t="s">
        <v>1711</v>
      </c>
      <c r="C995" t="s">
        <v>23</v>
      </c>
      <c r="D995" t="s">
        <v>24</v>
      </c>
      <c r="E995" t="s">
        <v>25</v>
      </c>
      <c r="F995">
        <v>1</v>
      </c>
      <c r="G995">
        <v>9791133147762</v>
      </c>
      <c r="H995" t="s">
        <v>32</v>
      </c>
      <c r="I995" t="s">
        <v>1293</v>
      </c>
      <c r="J995" t="s">
        <v>284</v>
      </c>
      <c r="K995" t="s">
        <v>29</v>
      </c>
      <c r="L995">
        <v>0</v>
      </c>
      <c r="M995" t="s">
        <v>948</v>
      </c>
      <c r="N995">
        <v>0</v>
      </c>
      <c r="O995">
        <v>0</v>
      </c>
      <c r="P995" t="s">
        <v>949</v>
      </c>
      <c r="Q995" s="2">
        <v>0.7</v>
      </c>
      <c r="R995">
        <v>0</v>
      </c>
      <c r="V995" t="str">
        <f>VLOOKUP(H995,'[1]팀별 출판사'!A:B,2,0)</f>
        <v>소설1팀</v>
      </c>
      <c r="W995" s="6">
        <f t="shared" si="30"/>
        <v>0</v>
      </c>
      <c r="X995" s="6">
        <f t="shared" si="31"/>
        <v>0</v>
      </c>
    </row>
    <row r="996" spans="1:24" x14ac:dyDescent="0.3">
      <c r="A996" t="s">
        <v>1489</v>
      </c>
      <c r="B996" t="s">
        <v>1712</v>
      </c>
      <c r="C996" t="s">
        <v>23</v>
      </c>
      <c r="D996" t="s">
        <v>24</v>
      </c>
      <c r="E996" t="s">
        <v>25</v>
      </c>
      <c r="F996">
        <v>1</v>
      </c>
      <c r="G996">
        <v>9791133171934</v>
      </c>
      <c r="H996" t="s">
        <v>26</v>
      </c>
      <c r="I996" t="s">
        <v>1352</v>
      </c>
      <c r="J996" t="s">
        <v>311</v>
      </c>
      <c r="K996" t="s">
        <v>29</v>
      </c>
      <c r="L996">
        <v>0</v>
      </c>
      <c r="M996" t="s">
        <v>948</v>
      </c>
      <c r="N996">
        <v>0</v>
      </c>
      <c r="O996">
        <v>0</v>
      </c>
      <c r="P996" t="s">
        <v>949</v>
      </c>
      <c r="Q996" s="2">
        <v>0.7</v>
      </c>
      <c r="R996">
        <v>0</v>
      </c>
      <c r="V996" t="str">
        <f>VLOOKUP(H996,'[1]팀별 출판사'!A:B,2,0)</f>
        <v>소설1팀</v>
      </c>
      <c r="W996" s="6">
        <f t="shared" si="30"/>
        <v>0</v>
      </c>
      <c r="X996" s="6">
        <f t="shared" si="31"/>
        <v>0</v>
      </c>
    </row>
    <row r="997" spans="1:24" x14ac:dyDescent="0.3">
      <c r="A997" t="s">
        <v>1489</v>
      </c>
      <c r="B997" t="s">
        <v>1713</v>
      </c>
      <c r="C997" t="s">
        <v>23</v>
      </c>
      <c r="D997" t="s">
        <v>24</v>
      </c>
      <c r="E997" t="s">
        <v>25</v>
      </c>
      <c r="F997">
        <v>1</v>
      </c>
      <c r="G997">
        <v>9791133152759</v>
      </c>
      <c r="H997" t="s">
        <v>32</v>
      </c>
      <c r="I997" t="s">
        <v>809</v>
      </c>
      <c r="J997" t="s">
        <v>810</v>
      </c>
      <c r="K997" t="s">
        <v>29</v>
      </c>
      <c r="L997">
        <v>0</v>
      </c>
      <c r="M997" t="s">
        <v>948</v>
      </c>
      <c r="N997">
        <v>0</v>
      </c>
      <c r="O997">
        <v>0</v>
      </c>
      <c r="P997" t="s">
        <v>949</v>
      </c>
      <c r="Q997" s="2">
        <v>0.7</v>
      </c>
      <c r="R997">
        <v>0</v>
      </c>
      <c r="V997" t="str">
        <f>VLOOKUP(H997,'[1]팀별 출판사'!A:B,2,0)</f>
        <v>소설1팀</v>
      </c>
      <c r="W997" s="6">
        <f t="shared" si="30"/>
        <v>0</v>
      </c>
      <c r="X997" s="6">
        <f t="shared" si="31"/>
        <v>0</v>
      </c>
    </row>
    <row r="998" spans="1:24" x14ac:dyDescent="0.3">
      <c r="A998" t="s">
        <v>1489</v>
      </c>
      <c r="B998" t="s">
        <v>1714</v>
      </c>
      <c r="C998" t="s">
        <v>23</v>
      </c>
      <c r="D998" t="s">
        <v>24</v>
      </c>
      <c r="E998" t="s">
        <v>25</v>
      </c>
      <c r="F998">
        <v>1</v>
      </c>
      <c r="G998">
        <v>9791133183975</v>
      </c>
      <c r="H998" t="s">
        <v>26</v>
      </c>
      <c r="I998" t="s">
        <v>1715</v>
      </c>
      <c r="J998" t="s">
        <v>1716</v>
      </c>
      <c r="K998" t="s">
        <v>29</v>
      </c>
      <c r="L998">
        <v>0</v>
      </c>
      <c r="M998" t="s">
        <v>29</v>
      </c>
      <c r="N998">
        <v>0</v>
      </c>
      <c r="O998">
        <v>0</v>
      </c>
      <c r="P998" t="s">
        <v>30</v>
      </c>
      <c r="Q998" s="2">
        <v>0.7</v>
      </c>
      <c r="R998">
        <v>0</v>
      </c>
      <c r="V998" t="str">
        <f>VLOOKUP(H998,'[1]팀별 출판사'!A:B,2,0)</f>
        <v>소설1팀</v>
      </c>
      <c r="W998" s="6">
        <f t="shared" si="30"/>
        <v>0</v>
      </c>
      <c r="X998" s="6">
        <f t="shared" si="31"/>
        <v>0</v>
      </c>
    </row>
    <row r="999" spans="1:24" x14ac:dyDescent="0.3">
      <c r="A999" t="s">
        <v>1489</v>
      </c>
      <c r="B999" t="s">
        <v>1717</v>
      </c>
      <c r="C999" t="s">
        <v>23</v>
      </c>
      <c r="D999" t="s">
        <v>24</v>
      </c>
      <c r="E999" t="s">
        <v>25</v>
      </c>
      <c r="F999">
        <v>1</v>
      </c>
      <c r="G999" t="s">
        <v>1138</v>
      </c>
      <c r="H999" t="s">
        <v>32</v>
      </c>
      <c r="I999" t="s">
        <v>1139</v>
      </c>
      <c r="J999" t="s">
        <v>311</v>
      </c>
      <c r="K999" t="s">
        <v>29</v>
      </c>
      <c r="L999">
        <v>0</v>
      </c>
      <c r="M999" t="s">
        <v>29</v>
      </c>
      <c r="N999">
        <v>0</v>
      </c>
      <c r="O999">
        <v>0</v>
      </c>
      <c r="P999" t="s">
        <v>30</v>
      </c>
      <c r="Q999" s="2">
        <v>0.7</v>
      </c>
      <c r="R999">
        <v>0</v>
      </c>
      <c r="V999" t="str">
        <f>VLOOKUP(H999,'[1]팀별 출판사'!A:B,2,0)</f>
        <v>소설1팀</v>
      </c>
      <c r="W999" s="6">
        <f t="shared" si="30"/>
        <v>0</v>
      </c>
      <c r="X999" s="6">
        <f t="shared" si="31"/>
        <v>0</v>
      </c>
    </row>
    <row r="1000" spans="1:24" x14ac:dyDescent="0.3">
      <c r="A1000" t="s">
        <v>1489</v>
      </c>
      <c r="B1000" t="s">
        <v>1718</v>
      </c>
      <c r="C1000" t="s">
        <v>23</v>
      </c>
      <c r="D1000" t="s">
        <v>24</v>
      </c>
      <c r="E1000" t="s">
        <v>25</v>
      </c>
      <c r="F1000">
        <v>1</v>
      </c>
      <c r="G1000">
        <v>9791136965455</v>
      </c>
      <c r="H1000" t="s">
        <v>26</v>
      </c>
      <c r="I1000" t="s">
        <v>472</v>
      </c>
      <c r="J1000" t="s">
        <v>157</v>
      </c>
      <c r="K1000" t="s">
        <v>29</v>
      </c>
      <c r="L1000">
        <v>0</v>
      </c>
      <c r="M1000" t="s">
        <v>29</v>
      </c>
      <c r="N1000">
        <v>0</v>
      </c>
      <c r="O1000">
        <v>0</v>
      </c>
      <c r="P1000" t="s">
        <v>30</v>
      </c>
      <c r="Q1000" s="2">
        <v>0.7</v>
      </c>
      <c r="R1000">
        <v>0</v>
      </c>
      <c r="V1000" t="str">
        <f>VLOOKUP(H1000,'[1]팀별 출판사'!A:B,2,0)</f>
        <v>소설1팀</v>
      </c>
      <c r="W1000" s="6">
        <f t="shared" si="30"/>
        <v>0</v>
      </c>
      <c r="X1000" s="6">
        <f t="shared" si="31"/>
        <v>0</v>
      </c>
    </row>
    <row r="1001" spans="1:24" x14ac:dyDescent="0.3">
      <c r="A1001" t="s">
        <v>1489</v>
      </c>
      <c r="B1001" t="s">
        <v>1719</v>
      </c>
      <c r="C1001" t="s">
        <v>23</v>
      </c>
      <c r="D1001" t="s">
        <v>24</v>
      </c>
      <c r="E1001" t="s">
        <v>25</v>
      </c>
      <c r="F1001">
        <v>1</v>
      </c>
      <c r="G1001" t="s">
        <v>1720</v>
      </c>
      <c r="H1001" t="s">
        <v>32</v>
      </c>
      <c r="I1001" t="s">
        <v>1721</v>
      </c>
      <c r="J1001" t="s">
        <v>311</v>
      </c>
      <c r="K1001" t="s">
        <v>29</v>
      </c>
      <c r="L1001" s="1">
        <v>3200</v>
      </c>
      <c r="M1001" t="s">
        <v>29</v>
      </c>
      <c r="N1001" s="1">
        <v>3200</v>
      </c>
      <c r="O1001" s="1">
        <v>3200</v>
      </c>
      <c r="P1001" t="s">
        <v>30</v>
      </c>
      <c r="Q1001" s="2">
        <v>0.7</v>
      </c>
      <c r="R1001" s="1">
        <v>2240</v>
      </c>
      <c r="S1001" t="s">
        <v>29</v>
      </c>
      <c r="T1001" s="1">
        <v>2240</v>
      </c>
      <c r="V1001" t="str">
        <f>VLOOKUP(H1001,'[1]팀별 출판사'!A:B,2,0)</f>
        <v>소설1팀</v>
      </c>
      <c r="W1001" s="6">
        <f t="shared" si="30"/>
        <v>0</v>
      </c>
      <c r="X1001" s="6">
        <f t="shared" si="31"/>
        <v>2240</v>
      </c>
    </row>
    <row r="1002" spans="1:24" x14ac:dyDescent="0.3">
      <c r="A1002" t="s">
        <v>1489</v>
      </c>
      <c r="B1002" t="s">
        <v>1722</v>
      </c>
      <c r="C1002" t="s">
        <v>23</v>
      </c>
      <c r="D1002" t="s">
        <v>24</v>
      </c>
      <c r="E1002" t="s">
        <v>25</v>
      </c>
      <c r="F1002">
        <v>1</v>
      </c>
      <c r="G1002">
        <v>9791133186501</v>
      </c>
      <c r="H1002" t="s">
        <v>26</v>
      </c>
      <c r="I1002" t="s">
        <v>64</v>
      </c>
      <c r="J1002" t="s">
        <v>65</v>
      </c>
      <c r="K1002" t="s">
        <v>29</v>
      </c>
      <c r="L1002">
        <v>0</v>
      </c>
      <c r="M1002" t="s">
        <v>29</v>
      </c>
      <c r="N1002">
        <v>0</v>
      </c>
      <c r="O1002">
        <v>0</v>
      </c>
      <c r="P1002" t="s">
        <v>30</v>
      </c>
      <c r="Q1002" s="2">
        <v>0.7</v>
      </c>
      <c r="R1002">
        <v>0</v>
      </c>
      <c r="V1002" t="str">
        <f>VLOOKUP(H1002,'[1]팀별 출판사'!A:B,2,0)</f>
        <v>소설1팀</v>
      </c>
      <c r="W1002" s="6">
        <f t="shared" si="30"/>
        <v>0</v>
      </c>
      <c r="X1002" s="6">
        <f t="shared" si="31"/>
        <v>0</v>
      </c>
    </row>
    <row r="1003" spans="1:24" x14ac:dyDescent="0.3">
      <c r="A1003" t="s">
        <v>1489</v>
      </c>
      <c r="B1003" t="s">
        <v>1723</v>
      </c>
      <c r="C1003" t="s">
        <v>23</v>
      </c>
      <c r="D1003" t="s">
        <v>24</v>
      </c>
      <c r="E1003" t="s">
        <v>25</v>
      </c>
      <c r="F1003">
        <v>1</v>
      </c>
      <c r="G1003">
        <v>9791136930347</v>
      </c>
      <c r="H1003" t="s">
        <v>32</v>
      </c>
      <c r="I1003" t="s">
        <v>1724</v>
      </c>
      <c r="J1003" t="s">
        <v>157</v>
      </c>
      <c r="K1003" t="s">
        <v>29</v>
      </c>
      <c r="L1003" s="1">
        <v>3200</v>
      </c>
      <c r="M1003" t="s">
        <v>29</v>
      </c>
      <c r="N1003" s="1">
        <v>3200</v>
      </c>
      <c r="O1003" s="1">
        <v>3200</v>
      </c>
      <c r="P1003" t="s">
        <v>30</v>
      </c>
      <c r="Q1003" s="2">
        <v>0.7</v>
      </c>
      <c r="R1003" s="1">
        <v>2240</v>
      </c>
      <c r="S1003" t="s">
        <v>29</v>
      </c>
      <c r="T1003" s="1">
        <v>2240</v>
      </c>
      <c r="V1003" t="str">
        <f>VLOOKUP(H1003,'[1]팀별 출판사'!A:B,2,0)</f>
        <v>소설1팀</v>
      </c>
      <c r="W1003" s="6">
        <f t="shared" si="30"/>
        <v>0</v>
      </c>
      <c r="X1003" s="6">
        <f t="shared" si="31"/>
        <v>2240</v>
      </c>
    </row>
    <row r="1004" spans="1:24" x14ac:dyDescent="0.3">
      <c r="A1004" t="s">
        <v>1489</v>
      </c>
      <c r="B1004" t="s">
        <v>1725</v>
      </c>
      <c r="C1004" t="s">
        <v>23</v>
      </c>
      <c r="D1004" t="s">
        <v>24</v>
      </c>
      <c r="E1004" t="s">
        <v>25</v>
      </c>
      <c r="F1004">
        <v>1</v>
      </c>
      <c r="G1004">
        <v>9791173782855</v>
      </c>
      <c r="H1004" t="s">
        <v>26</v>
      </c>
      <c r="I1004" t="s">
        <v>1726</v>
      </c>
      <c r="J1004" t="s">
        <v>284</v>
      </c>
      <c r="K1004" t="s">
        <v>29</v>
      </c>
      <c r="L1004" s="1">
        <v>3200</v>
      </c>
      <c r="M1004" t="s">
        <v>29</v>
      </c>
      <c r="N1004" s="1">
        <v>3200</v>
      </c>
      <c r="O1004" s="1">
        <v>3200</v>
      </c>
      <c r="P1004" t="s">
        <v>30</v>
      </c>
      <c r="Q1004" s="2">
        <v>0.7</v>
      </c>
      <c r="R1004" s="1">
        <v>2240</v>
      </c>
      <c r="S1004" t="s">
        <v>29</v>
      </c>
      <c r="T1004" s="1">
        <v>2240</v>
      </c>
      <c r="V1004" t="str">
        <f>VLOOKUP(H1004,'[1]팀별 출판사'!A:B,2,0)</f>
        <v>소설1팀</v>
      </c>
      <c r="W1004" s="6">
        <f t="shared" si="30"/>
        <v>0</v>
      </c>
      <c r="X1004" s="6">
        <f t="shared" si="31"/>
        <v>2240</v>
      </c>
    </row>
    <row r="1005" spans="1:24" x14ac:dyDescent="0.3">
      <c r="A1005" t="s">
        <v>1489</v>
      </c>
      <c r="B1005" t="s">
        <v>1727</v>
      </c>
      <c r="C1005" t="s">
        <v>23</v>
      </c>
      <c r="D1005" t="s">
        <v>24</v>
      </c>
      <c r="E1005" t="s">
        <v>25</v>
      </c>
      <c r="F1005">
        <v>1</v>
      </c>
      <c r="G1005">
        <v>9791170101321</v>
      </c>
      <c r="H1005" t="s">
        <v>67</v>
      </c>
      <c r="I1005" t="s">
        <v>848</v>
      </c>
      <c r="J1005" t="s">
        <v>414</v>
      </c>
      <c r="K1005" t="s">
        <v>29</v>
      </c>
      <c r="L1005">
        <v>0</v>
      </c>
      <c r="M1005" t="s">
        <v>29</v>
      </c>
      <c r="N1005">
        <v>0</v>
      </c>
      <c r="O1005">
        <v>0</v>
      </c>
      <c r="P1005" t="s">
        <v>30</v>
      </c>
      <c r="Q1005" s="2">
        <v>0.7</v>
      </c>
      <c r="R1005">
        <v>0</v>
      </c>
      <c r="V1005" t="str">
        <f>VLOOKUP(H1005,'[1]팀별 출판사'!A:B,2,0)</f>
        <v>소설1팀</v>
      </c>
      <c r="W1005" s="6">
        <f t="shared" si="30"/>
        <v>0</v>
      </c>
      <c r="X1005" s="6">
        <f t="shared" si="31"/>
        <v>0</v>
      </c>
    </row>
    <row r="1006" spans="1:24" x14ac:dyDescent="0.3">
      <c r="A1006" t="s">
        <v>1489</v>
      </c>
      <c r="B1006" t="s">
        <v>1728</v>
      </c>
      <c r="C1006" t="s">
        <v>23</v>
      </c>
      <c r="D1006" t="s">
        <v>24</v>
      </c>
      <c r="E1006" t="s">
        <v>25</v>
      </c>
      <c r="F1006">
        <v>1</v>
      </c>
      <c r="G1006">
        <v>9791136988973</v>
      </c>
      <c r="H1006" t="s">
        <v>26</v>
      </c>
      <c r="I1006" t="s">
        <v>1729</v>
      </c>
      <c r="J1006" t="s">
        <v>28</v>
      </c>
      <c r="K1006" t="s">
        <v>29</v>
      </c>
      <c r="L1006" s="1">
        <v>3200</v>
      </c>
      <c r="M1006" t="s">
        <v>29</v>
      </c>
      <c r="N1006" s="1">
        <v>3200</v>
      </c>
      <c r="O1006" s="1">
        <v>3200</v>
      </c>
      <c r="P1006" t="s">
        <v>30</v>
      </c>
      <c r="Q1006" s="2">
        <v>0.7</v>
      </c>
      <c r="R1006" s="1">
        <v>2240</v>
      </c>
      <c r="S1006" t="s">
        <v>29</v>
      </c>
      <c r="T1006" s="1">
        <v>2240</v>
      </c>
      <c r="V1006" t="str">
        <f>VLOOKUP(H1006,'[1]팀별 출판사'!A:B,2,0)</f>
        <v>소설1팀</v>
      </c>
      <c r="W1006" s="6">
        <f t="shared" si="30"/>
        <v>0</v>
      </c>
      <c r="X1006" s="6">
        <f t="shared" si="31"/>
        <v>2240</v>
      </c>
    </row>
    <row r="1007" spans="1:24" x14ac:dyDescent="0.3">
      <c r="A1007" t="s">
        <v>1489</v>
      </c>
      <c r="B1007" t="s">
        <v>1730</v>
      </c>
      <c r="C1007" t="s">
        <v>23</v>
      </c>
      <c r="D1007" t="s">
        <v>24</v>
      </c>
      <c r="E1007" t="s">
        <v>25</v>
      </c>
      <c r="F1007">
        <v>1</v>
      </c>
      <c r="G1007">
        <v>9791157532131</v>
      </c>
      <c r="H1007" t="s">
        <v>32</v>
      </c>
      <c r="I1007" t="s">
        <v>315</v>
      </c>
      <c r="J1007" t="s">
        <v>112</v>
      </c>
      <c r="K1007" t="s">
        <v>29</v>
      </c>
      <c r="L1007" s="1">
        <v>3200</v>
      </c>
      <c r="M1007" t="s">
        <v>29</v>
      </c>
      <c r="N1007" s="1">
        <v>3200</v>
      </c>
      <c r="O1007" s="1">
        <v>3200</v>
      </c>
      <c r="P1007" t="s">
        <v>30</v>
      </c>
      <c r="Q1007" s="2">
        <v>0.7</v>
      </c>
      <c r="R1007" s="1">
        <v>2240</v>
      </c>
      <c r="S1007" t="s">
        <v>29</v>
      </c>
      <c r="T1007" s="1">
        <v>2240</v>
      </c>
      <c r="V1007" t="str">
        <f>VLOOKUP(H1007,'[1]팀별 출판사'!A:B,2,0)</f>
        <v>소설1팀</v>
      </c>
      <c r="W1007" s="6">
        <f t="shared" si="30"/>
        <v>0</v>
      </c>
      <c r="X1007" s="6">
        <f t="shared" si="31"/>
        <v>2240</v>
      </c>
    </row>
    <row r="1008" spans="1:24" x14ac:dyDescent="0.3">
      <c r="A1008" t="s">
        <v>1489</v>
      </c>
      <c r="B1008" t="s">
        <v>1731</v>
      </c>
      <c r="C1008" t="s">
        <v>23</v>
      </c>
      <c r="D1008" t="s">
        <v>24</v>
      </c>
      <c r="E1008" t="s">
        <v>25</v>
      </c>
      <c r="F1008">
        <v>1</v>
      </c>
      <c r="G1008">
        <v>9791133143801</v>
      </c>
      <c r="H1008" t="s">
        <v>32</v>
      </c>
      <c r="I1008" t="s">
        <v>1056</v>
      </c>
      <c r="J1008" t="s">
        <v>88</v>
      </c>
      <c r="K1008" t="s">
        <v>29</v>
      </c>
      <c r="L1008">
        <v>0</v>
      </c>
      <c r="M1008" t="s">
        <v>29</v>
      </c>
      <c r="N1008">
        <v>0</v>
      </c>
      <c r="O1008">
        <v>0</v>
      </c>
      <c r="P1008" t="s">
        <v>30</v>
      </c>
      <c r="Q1008" s="2">
        <v>0.7</v>
      </c>
      <c r="R1008">
        <v>0</v>
      </c>
      <c r="V1008" t="str">
        <f>VLOOKUP(H1008,'[1]팀별 출판사'!A:B,2,0)</f>
        <v>소설1팀</v>
      </c>
      <c r="W1008" s="6">
        <f t="shared" si="30"/>
        <v>0</v>
      </c>
      <c r="X1008" s="6">
        <f t="shared" si="31"/>
        <v>0</v>
      </c>
    </row>
    <row r="1009" spans="1:24" x14ac:dyDescent="0.3">
      <c r="A1009" t="s">
        <v>1489</v>
      </c>
      <c r="B1009" t="s">
        <v>1732</v>
      </c>
      <c r="C1009" t="s">
        <v>23</v>
      </c>
      <c r="D1009" t="s">
        <v>24</v>
      </c>
      <c r="E1009" t="s">
        <v>25</v>
      </c>
      <c r="F1009">
        <v>1</v>
      </c>
      <c r="G1009">
        <v>9791136931382</v>
      </c>
      <c r="H1009" t="s">
        <v>32</v>
      </c>
      <c r="I1009" t="s">
        <v>523</v>
      </c>
      <c r="J1009" t="s">
        <v>46</v>
      </c>
      <c r="K1009" t="s">
        <v>29</v>
      </c>
      <c r="L1009">
        <v>0</v>
      </c>
      <c r="M1009" t="s">
        <v>29</v>
      </c>
      <c r="N1009">
        <v>0</v>
      </c>
      <c r="O1009">
        <v>0</v>
      </c>
      <c r="P1009" t="s">
        <v>30</v>
      </c>
      <c r="Q1009" s="2">
        <v>0.7</v>
      </c>
      <c r="R1009">
        <v>0</v>
      </c>
      <c r="V1009" t="str">
        <f>VLOOKUP(H1009,'[1]팀별 출판사'!A:B,2,0)</f>
        <v>소설1팀</v>
      </c>
      <c r="W1009" s="6">
        <f t="shared" si="30"/>
        <v>0</v>
      </c>
      <c r="X1009" s="6">
        <f t="shared" si="31"/>
        <v>0</v>
      </c>
    </row>
    <row r="1010" spans="1:24" x14ac:dyDescent="0.3">
      <c r="A1010" t="s">
        <v>1489</v>
      </c>
      <c r="B1010" t="s">
        <v>1733</v>
      </c>
      <c r="C1010" t="s">
        <v>23</v>
      </c>
      <c r="D1010" t="s">
        <v>24</v>
      </c>
      <c r="E1010" t="s">
        <v>25</v>
      </c>
      <c r="F1010">
        <v>1</v>
      </c>
      <c r="G1010">
        <v>9791173785993</v>
      </c>
      <c r="H1010" t="s">
        <v>26</v>
      </c>
      <c r="I1010" t="s">
        <v>769</v>
      </c>
      <c r="J1010" t="s">
        <v>81</v>
      </c>
      <c r="K1010" t="s">
        <v>29</v>
      </c>
      <c r="L1010">
        <v>0</v>
      </c>
      <c r="M1010" t="s">
        <v>29</v>
      </c>
      <c r="N1010">
        <v>0</v>
      </c>
      <c r="O1010">
        <v>0</v>
      </c>
      <c r="P1010" t="s">
        <v>30</v>
      </c>
      <c r="Q1010" s="2">
        <v>0.7</v>
      </c>
      <c r="R1010">
        <v>0</v>
      </c>
      <c r="V1010" t="str">
        <f>VLOOKUP(H1010,'[1]팀별 출판사'!A:B,2,0)</f>
        <v>소설1팀</v>
      </c>
      <c r="W1010" s="6">
        <f t="shared" si="30"/>
        <v>0</v>
      </c>
      <c r="X1010" s="6">
        <f t="shared" si="31"/>
        <v>0</v>
      </c>
    </row>
    <row r="1011" spans="1:24" x14ac:dyDescent="0.3">
      <c r="A1011" t="s">
        <v>1489</v>
      </c>
      <c r="B1011" t="s">
        <v>1734</v>
      </c>
      <c r="C1011" t="s">
        <v>23</v>
      </c>
      <c r="D1011" t="s">
        <v>24</v>
      </c>
      <c r="E1011" t="s">
        <v>25</v>
      </c>
      <c r="F1011">
        <v>1</v>
      </c>
      <c r="G1011">
        <v>9791136930699</v>
      </c>
      <c r="H1011" t="s">
        <v>32</v>
      </c>
      <c r="I1011" t="s">
        <v>1735</v>
      </c>
      <c r="J1011" t="s">
        <v>34</v>
      </c>
      <c r="K1011" t="s">
        <v>29</v>
      </c>
      <c r="L1011">
        <v>0</v>
      </c>
      <c r="M1011" t="s">
        <v>29</v>
      </c>
      <c r="N1011">
        <v>0</v>
      </c>
      <c r="O1011">
        <v>0</v>
      </c>
      <c r="P1011" t="s">
        <v>30</v>
      </c>
      <c r="Q1011" s="2">
        <v>0.7</v>
      </c>
      <c r="R1011">
        <v>0</v>
      </c>
      <c r="V1011" t="str">
        <f>VLOOKUP(H1011,'[1]팀별 출판사'!A:B,2,0)</f>
        <v>소설1팀</v>
      </c>
      <c r="W1011" s="6">
        <f t="shared" si="30"/>
        <v>0</v>
      </c>
      <c r="X1011" s="6">
        <f t="shared" si="31"/>
        <v>0</v>
      </c>
    </row>
    <row r="1012" spans="1:24" x14ac:dyDescent="0.3">
      <c r="A1012" t="s">
        <v>1489</v>
      </c>
      <c r="B1012" t="s">
        <v>1736</v>
      </c>
      <c r="C1012" t="s">
        <v>23</v>
      </c>
      <c r="D1012" t="s">
        <v>24</v>
      </c>
      <c r="E1012" t="s">
        <v>25</v>
      </c>
      <c r="F1012">
        <v>1</v>
      </c>
      <c r="G1012">
        <v>9791133105441</v>
      </c>
      <c r="H1012" t="s">
        <v>32</v>
      </c>
      <c r="I1012" t="s">
        <v>116</v>
      </c>
      <c r="J1012" t="s">
        <v>88</v>
      </c>
      <c r="K1012" t="s">
        <v>29</v>
      </c>
      <c r="L1012">
        <v>0</v>
      </c>
      <c r="M1012" t="s">
        <v>29</v>
      </c>
      <c r="N1012">
        <v>0</v>
      </c>
      <c r="O1012">
        <v>0</v>
      </c>
      <c r="P1012" t="s">
        <v>30</v>
      </c>
      <c r="Q1012" s="2">
        <v>0.7</v>
      </c>
      <c r="R1012">
        <v>0</v>
      </c>
      <c r="V1012" t="str">
        <f>VLOOKUP(H1012,'[1]팀별 출판사'!A:B,2,0)</f>
        <v>소설1팀</v>
      </c>
      <c r="W1012" s="6">
        <f t="shared" si="30"/>
        <v>0</v>
      </c>
      <c r="X1012" s="6">
        <f t="shared" si="31"/>
        <v>0</v>
      </c>
    </row>
    <row r="1013" spans="1:24" x14ac:dyDescent="0.3">
      <c r="A1013" t="s">
        <v>1489</v>
      </c>
      <c r="B1013" t="s">
        <v>1737</v>
      </c>
      <c r="C1013" t="s">
        <v>23</v>
      </c>
      <c r="D1013" t="s">
        <v>24</v>
      </c>
      <c r="E1013" t="s">
        <v>25</v>
      </c>
      <c r="F1013">
        <v>1</v>
      </c>
      <c r="G1013">
        <v>9791136934925</v>
      </c>
      <c r="H1013" t="s">
        <v>32</v>
      </c>
      <c r="I1013" t="s">
        <v>385</v>
      </c>
      <c r="J1013" t="s">
        <v>126</v>
      </c>
      <c r="K1013" t="s">
        <v>29</v>
      </c>
      <c r="L1013">
        <v>0</v>
      </c>
      <c r="M1013" t="s">
        <v>127</v>
      </c>
      <c r="N1013">
        <v>0</v>
      </c>
      <c r="O1013">
        <v>0</v>
      </c>
      <c r="P1013" t="s">
        <v>128</v>
      </c>
      <c r="Q1013" s="2">
        <v>0.7</v>
      </c>
      <c r="R1013">
        <v>0</v>
      </c>
      <c r="V1013" t="str">
        <f>VLOOKUP(H1013,'[1]팀별 출판사'!A:B,2,0)</f>
        <v>소설1팀</v>
      </c>
      <c r="W1013" s="6">
        <f t="shared" si="30"/>
        <v>0</v>
      </c>
      <c r="X1013" s="6">
        <f t="shared" si="31"/>
        <v>0</v>
      </c>
    </row>
    <row r="1014" spans="1:24" x14ac:dyDescent="0.3">
      <c r="A1014" t="s">
        <v>1489</v>
      </c>
      <c r="B1014" t="s">
        <v>1738</v>
      </c>
      <c r="C1014" t="s">
        <v>23</v>
      </c>
      <c r="D1014" t="s">
        <v>24</v>
      </c>
      <c r="E1014" t="s">
        <v>25</v>
      </c>
      <c r="F1014">
        <v>1</v>
      </c>
      <c r="G1014">
        <v>9791157533503</v>
      </c>
      <c r="H1014" t="s">
        <v>32</v>
      </c>
      <c r="I1014" t="s">
        <v>383</v>
      </c>
      <c r="J1014" t="s">
        <v>187</v>
      </c>
      <c r="K1014" t="s">
        <v>29</v>
      </c>
      <c r="L1014">
        <v>0</v>
      </c>
      <c r="M1014" t="s">
        <v>29</v>
      </c>
      <c r="N1014">
        <v>0</v>
      </c>
      <c r="O1014">
        <v>0</v>
      </c>
      <c r="P1014" t="s">
        <v>30</v>
      </c>
      <c r="Q1014" s="2">
        <v>0.7</v>
      </c>
      <c r="R1014">
        <v>0</v>
      </c>
      <c r="V1014" t="str">
        <f>VLOOKUP(H1014,'[1]팀별 출판사'!A:B,2,0)</f>
        <v>소설1팀</v>
      </c>
      <c r="W1014" s="6">
        <f t="shared" si="30"/>
        <v>0</v>
      </c>
      <c r="X1014" s="6">
        <f t="shared" si="31"/>
        <v>0</v>
      </c>
    </row>
    <row r="1015" spans="1:24" x14ac:dyDescent="0.3">
      <c r="A1015" t="s">
        <v>1489</v>
      </c>
      <c r="B1015" t="s">
        <v>1739</v>
      </c>
      <c r="C1015" t="s">
        <v>23</v>
      </c>
      <c r="D1015" t="s">
        <v>24</v>
      </c>
      <c r="E1015" t="s">
        <v>25</v>
      </c>
      <c r="F1015">
        <v>1</v>
      </c>
      <c r="G1015">
        <v>9791173785092</v>
      </c>
      <c r="H1015" t="s">
        <v>26</v>
      </c>
      <c r="I1015" t="s">
        <v>327</v>
      </c>
      <c r="J1015" t="s">
        <v>62</v>
      </c>
      <c r="K1015" t="s">
        <v>29</v>
      </c>
      <c r="L1015">
        <v>0</v>
      </c>
      <c r="M1015" t="s">
        <v>29</v>
      </c>
      <c r="N1015">
        <v>0</v>
      </c>
      <c r="O1015">
        <v>0</v>
      </c>
      <c r="P1015" t="s">
        <v>30</v>
      </c>
      <c r="Q1015" s="2">
        <v>0.7</v>
      </c>
      <c r="R1015">
        <v>0</v>
      </c>
      <c r="V1015" t="str">
        <f>VLOOKUP(H1015,'[1]팀별 출판사'!A:B,2,0)</f>
        <v>소설1팀</v>
      </c>
      <c r="W1015" s="6">
        <f t="shared" si="30"/>
        <v>0</v>
      </c>
      <c r="X1015" s="6">
        <f t="shared" si="31"/>
        <v>0</v>
      </c>
    </row>
    <row r="1016" spans="1:24" x14ac:dyDescent="0.3">
      <c r="A1016" t="s">
        <v>1489</v>
      </c>
      <c r="B1016" t="s">
        <v>1740</v>
      </c>
      <c r="C1016" t="s">
        <v>23</v>
      </c>
      <c r="D1016" t="s">
        <v>24</v>
      </c>
      <c r="E1016" t="s">
        <v>25</v>
      </c>
      <c r="F1016">
        <v>1</v>
      </c>
      <c r="G1016">
        <v>9791136988133</v>
      </c>
      <c r="H1016" t="s">
        <v>26</v>
      </c>
      <c r="I1016" t="s">
        <v>614</v>
      </c>
      <c r="J1016" t="s">
        <v>28</v>
      </c>
      <c r="K1016" t="s">
        <v>29</v>
      </c>
      <c r="L1016">
        <v>0</v>
      </c>
      <c r="M1016" t="s">
        <v>29</v>
      </c>
      <c r="N1016">
        <v>0</v>
      </c>
      <c r="O1016">
        <v>0</v>
      </c>
      <c r="P1016" t="s">
        <v>30</v>
      </c>
      <c r="Q1016" s="2">
        <v>0.7</v>
      </c>
      <c r="R1016">
        <v>0</v>
      </c>
      <c r="V1016" t="str">
        <f>VLOOKUP(H1016,'[1]팀별 출판사'!A:B,2,0)</f>
        <v>소설1팀</v>
      </c>
      <c r="W1016" s="6">
        <f t="shared" si="30"/>
        <v>0</v>
      </c>
      <c r="X1016" s="6">
        <f t="shared" si="31"/>
        <v>0</v>
      </c>
    </row>
    <row r="1017" spans="1:24" x14ac:dyDescent="0.3">
      <c r="A1017" t="s">
        <v>1489</v>
      </c>
      <c r="B1017" t="s">
        <v>1741</v>
      </c>
      <c r="C1017" t="s">
        <v>23</v>
      </c>
      <c r="D1017" t="s">
        <v>24</v>
      </c>
      <c r="E1017" t="s">
        <v>25</v>
      </c>
      <c r="F1017">
        <v>1</v>
      </c>
      <c r="G1017">
        <v>9791170100089</v>
      </c>
      <c r="H1017" t="s">
        <v>67</v>
      </c>
      <c r="I1017" t="s">
        <v>1742</v>
      </c>
      <c r="J1017" t="s">
        <v>347</v>
      </c>
      <c r="K1017" t="s">
        <v>29</v>
      </c>
      <c r="L1017">
        <v>0</v>
      </c>
      <c r="M1017" t="s">
        <v>29</v>
      </c>
      <c r="N1017">
        <v>0</v>
      </c>
      <c r="O1017">
        <v>0</v>
      </c>
      <c r="P1017" t="s">
        <v>30</v>
      </c>
      <c r="Q1017" s="2">
        <v>0.7</v>
      </c>
      <c r="R1017">
        <v>0</v>
      </c>
      <c r="V1017" t="str">
        <f>VLOOKUP(H1017,'[1]팀별 출판사'!A:B,2,0)</f>
        <v>소설1팀</v>
      </c>
      <c r="W1017" s="6">
        <f t="shared" si="30"/>
        <v>0</v>
      </c>
      <c r="X1017" s="6">
        <f t="shared" si="31"/>
        <v>0</v>
      </c>
    </row>
    <row r="1018" spans="1:24" x14ac:dyDescent="0.3">
      <c r="A1018" t="s">
        <v>1743</v>
      </c>
      <c r="B1018" t="s">
        <v>1744</v>
      </c>
      <c r="C1018" t="s">
        <v>23</v>
      </c>
      <c r="D1018" t="s">
        <v>24</v>
      </c>
      <c r="E1018" t="s">
        <v>25</v>
      </c>
      <c r="F1018">
        <v>1</v>
      </c>
      <c r="G1018">
        <v>9791170104537</v>
      </c>
      <c r="H1018" t="s">
        <v>67</v>
      </c>
      <c r="I1018" t="s">
        <v>1745</v>
      </c>
      <c r="J1018" t="s">
        <v>1746</v>
      </c>
      <c r="K1018" t="s">
        <v>29</v>
      </c>
      <c r="L1018">
        <v>0</v>
      </c>
      <c r="M1018" t="s">
        <v>29</v>
      </c>
      <c r="N1018">
        <v>0</v>
      </c>
      <c r="O1018">
        <v>0</v>
      </c>
      <c r="P1018" t="s">
        <v>30</v>
      </c>
      <c r="Q1018" s="2">
        <v>0.7</v>
      </c>
      <c r="R1018">
        <v>0</v>
      </c>
      <c r="V1018" t="str">
        <f>VLOOKUP(H1018,'[1]팀별 출판사'!A:B,2,0)</f>
        <v>소설1팀</v>
      </c>
      <c r="W1018" s="6">
        <f t="shared" si="30"/>
        <v>0</v>
      </c>
      <c r="X1018" s="6">
        <f t="shared" si="31"/>
        <v>0</v>
      </c>
    </row>
    <row r="1019" spans="1:24" x14ac:dyDescent="0.3">
      <c r="A1019" t="s">
        <v>1743</v>
      </c>
      <c r="B1019" t="s">
        <v>1747</v>
      </c>
      <c r="C1019" t="s">
        <v>23</v>
      </c>
      <c r="D1019" t="s">
        <v>24</v>
      </c>
      <c r="E1019" t="s">
        <v>25</v>
      </c>
      <c r="F1019">
        <v>1</v>
      </c>
      <c r="G1019">
        <v>9791170104070</v>
      </c>
      <c r="H1019" t="s">
        <v>67</v>
      </c>
      <c r="I1019" t="s">
        <v>1748</v>
      </c>
      <c r="J1019" t="s">
        <v>241</v>
      </c>
      <c r="K1019" t="s">
        <v>29</v>
      </c>
      <c r="L1019">
        <v>0</v>
      </c>
      <c r="M1019" t="s">
        <v>29</v>
      </c>
      <c r="N1019">
        <v>0</v>
      </c>
      <c r="O1019">
        <v>0</v>
      </c>
      <c r="P1019" t="s">
        <v>30</v>
      </c>
      <c r="Q1019" s="2">
        <v>0.7</v>
      </c>
      <c r="R1019">
        <v>0</v>
      </c>
      <c r="V1019" t="str">
        <f>VLOOKUP(H1019,'[1]팀별 출판사'!A:B,2,0)</f>
        <v>소설1팀</v>
      </c>
      <c r="W1019" s="6">
        <f t="shared" si="30"/>
        <v>0</v>
      </c>
      <c r="X1019" s="6">
        <f t="shared" si="31"/>
        <v>0</v>
      </c>
    </row>
    <row r="1020" spans="1:24" x14ac:dyDescent="0.3">
      <c r="A1020" t="s">
        <v>1743</v>
      </c>
      <c r="B1020" t="s">
        <v>1749</v>
      </c>
      <c r="C1020" t="s">
        <v>23</v>
      </c>
      <c r="D1020" t="s">
        <v>24</v>
      </c>
      <c r="E1020" t="s">
        <v>25</v>
      </c>
      <c r="F1020">
        <v>1</v>
      </c>
      <c r="G1020">
        <v>9791170103158</v>
      </c>
      <c r="H1020" t="s">
        <v>67</v>
      </c>
      <c r="I1020" t="s">
        <v>1750</v>
      </c>
      <c r="J1020" t="s">
        <v>1200</v>
      </c>
      <c r="K1020" t="s">
        <v>29</v>
      </c>
      <c r="L1020">
        <v>0</v>
      </c>
      <c r="M1020" t="s">
        <v>29</v>
      </c>
      <c r="N1020">
        <v>0</v>
      </c>
      <c r="O1020">
        <v>0</v>
      </c>
      <c r="P1020" t="s">
        <v>30</v>
      </c>
      <c r="Q1020" s="2">
        <v>0.7</v>
      </c>
      <c r="R1020">
        <v>0</v>
      </c>
      <c r="V1020" t="str">
        <f>VLOOKUP(H1020,'[1]팀별 출판사'!A:B,2,0)</f>
        <v>소설1팀</v>
      </c>
      <c r="W1020" s="6">
        <f t="shared" si="30"/>
        <v>0</v>
      </c>
      <c r="X1020" s="6">
        <f t="shared" si="31"/>
        <v>0</v>
      </c>
    </row>
    <row r="1021" spans="1:24" x14ac:dyDescent="0.3">
      <c r="A1021" t="s">
        <v>1743</v>
      </c>
      <c r="B1021" t="s">
        <v>1751</v>
      </c>
      <c r="C1021" t="s">
        <v>23</v>
      </c>
      <c r="D1021" t="s">
        <v>24</v>
      </c>
      <c r="E1021" t="s">
        <v>25</v>
      </c>
      <c r="F1021">
        <v>1</v>
      </c>
      <c r="G1021">
        <v>9791170104599</v>
      </c>
      <c r="H1021" t="s">
        <v>67</v>
      </c>
      <c r="I1021" t="s">
        <v>1562</v>
      </c>
      <c r="J1021" t="s">
        <v>241</v>
      </c>
      <c r="K1021" t="s">
        <v>29</v>
      </c>
      <c r="L1021">
        <v>0</v>
      </c>
      <c r="M1021" t="s">
        <v>29</v>
      </c>
      <c r="N1021">
        <v>0</v>
      </c>
      <c r="O1021">
        <v>0</v>
      </c>
      <c r="P1021" t="s">
        <v>30</v>
      </c>
      <c r="Q1021" s="2">
        <v>0.7</v>
      </c>
      <c r="R1021">
        <v>0</v>
      </c>
      <c r="V1021" t="str">
        <f>VLOOKUP(H1021,'[1]팀별 출판사'!A:B,2,0)</f>
        <v>소설1팀</v>
      </c>
      <c r="W1021" s="6">
        <f t="shared" si="30"/>
        <v>0</v>
      </c>
      <c r="X1021" s="6">
        <f t="shared" si="31"/>
        <v>0</v>
      </c>
    </row>
    <row r="1022" spans="1:24" x14ac:dyDescent="0.3">
      <c r="A1022" t="s">
        <v>1743</v>
      </c>
      <c r="B1022" t="s">
        <v>1752</v>
      </c>
      <c r="C1022" t="s">
        <v>23</v>
      </c>
      <c r="D1022" t="s">
        <v>24</v>
      </c>
      <c r="E1022" t="s">
        <v>25</v>
      </c>
      <c r="F1022">
        <v>1</v>
      </c>
      <c r="G1022">
        <v>9791133173402</v>
      </c>
      <c r="H1022" t="s">
        <v>26</v>
      </c>
      <c r="I1022" t="s">
        <v>1039</v>
      </c>
      <c r="J1022" t="s">
        <v>287</v>
      </c>
      <c r="K1022" t="s">
        <v>29</v>
      </c>
      <c r="L1022">
        <v>0</v>
      </c>
      <c r="M1022" t="s">
        <v>29</v>
      </c>
      <c r="N1022">
        <v>0</v>
      </c>
      <c r="O1022">
        <v>0</v>
      </c>
      <c r="P1022" t="s">
        <v>30</v>
      </c>
      <c r="Q1022" s="2">
        <v>0.7</v>
      </c>
      <c r="R1022">
        <v>0</v>
      </c>
      <c r="V1022" t="str">
        <f>VLOOKUP(H1022,'[1]팀별 출판사'!A:B,2,0)</f>
        <v>소설1팀</v>
      </c>
      <c r="W1022" s="6">
        <f t="shared" si="30"/>
        <v>0</v>
      </c>
      <c r="X1022" s="6">
        <f t="shared" si="31"/>
        <v>0</v>
      </c>
    </row>
    <row r="1023" spans="1:24" x14ac:dyDescent="0.3">
      <c r="A1023" t="s">
        <v>1743</v>
      </c>
      <c r="B1023" t="s">
        <v>1753</v>
      </c>
      <c r="C1023" t="s">
        <v>23</v>
      </c>
      <c r="D1023" t="s">
        <v>24</v>
      </c>
      <c r="E1023" t="s">
        <v>25</v>
      </c>
      <c r="F1023">
        <v>1</v>
      </c>
      <c r="G1023">
        <v>9791136931375</v>
      </c>
      <c r="H1023" t="s">
        <v>32</v>
      </c>
      <c r="I1023" t="s">
        <v>189</v>
      </c>
      <c r="J1023" t="s">
        <v>46</v>
      </c>
      <c r="K1023" t="s">
        <v>29</v>
      </c>
      <c r="L1023">
        <v>0</v>
      </c>
      <c r="M1023" t="s">
        <v>152</v>
      </c>
      <c r="N1023">
        <v>0</v>
      </c>
      <c r="O1023">
        <v>0</v>
      </c>
      <c r="P1023" t="s">
        <v>153</v>
      </c>
      <c r="Q1023" s="2">
        <v>0.7</v>
      </c>
      <c r="R1023">
        <v>0</v>
      </c>
      <c r="V1023" t="str">
        <f>VLOOKUP(H1023,'[1]팀별 출판사'!A:B,2,0)</f>
        <v>소설1팀</v>
      </c>
      <c r="W1023" s="6">
        <f t="shared" si="30"/>
        <v>0</v>
      </c>
      <c r="X1023" s="6">
        <f t="shared" si="31"/>
        <v>0</v>
      </c>
    </row>
    <row r="1024" spans="1:24" x14ac:dyDescent="0.3">
      <c r="A1024" t="s">
        <v>1743</v>
      </c>
      <c r="B1024" t="s">
        <v>1754</v>
      </c>
      <c r="C1024" t="s">
        <v>23</v>
      </c>
      <c r="D1024" t="s">
        <v>24</v>
      </c>
      <c r="E1024" t="s">
        <v>25</v>
      </c>
      <c r="F1024">
        <v>1</v>
      </c>
      <c r="G1024">
        <v>9791136930224</v>
      </c>
      <c r="H1024" t="s">
        <v>32</v>
      </c>
      <c r="I1024" t="s">
        <v>172</v>
      </c>
      <c r="J1024" t="s">
        <v>46</v>
      </c>
      <c r="K1024" t="s">
        <v>29</v>
      </c>
      <c r="L1024">
        <v>0</v>
      </c>
      <c r="M1024" t="s">
        <v>152</v>
      </c>
      <c r="N1024">
        <v>0</v>
      </c>
      <c r="O1024">
        <v>0</v>
      </c>
      <c r="P1024" t="s">
        <v>153</v>
      </c>
      <c r="Q1024" s="2">
        <v>0.7</v>
      </c>
      <c r="R1024">
        <v>0</v>
      </c>
      <c r="V1024" t="str">
        <f>VLOOKUP(H1024,'[1]팀별 출판사'!A:B,2,0)</f>
        <v>소설1팀</v>
      </c>
      <c r="W1024" s="6">
        <f t="shared" si="30"/>
        <v>0</v>
      </c>
      <c r="X1024" s="6">
        <f t="shared" si="31"/>
        <v>0</v>
      </c>
    </row>
    <row r="1025" spans="1:24" x14ac:dyDescent="0.3">
      <c r="A1025" t="s">
        <v>1743</v>
      </c>
      <c r="B1025" t="s">
        <v>1755</v>
      </c>
      <c r="C1025" t="s">
        <v>23</v>
      </c>
      <c r="D1025" t="s">
        <v>24</v>
      </c>
      <c r="E1025" t="s">
        <v>25</v>
      </c>
      <c r="F1025">
        <v>1</v>
      </c>
      <c r="G1025">
        <v>9791136930491</v>
      </c>
      <c r="H1025" t="s">
        <v>26</v>
      </c>
      <c r="I1025" t="s">
        <v>151</v>
      </c>
      <c r="J1025" t="s">
        <v>46</v>
      </c>
      <c r="K1025" t="s">
        <v>29</v>
      </c>
      <c r="L1025">
        <v>0</v>
      </c>
      <c r="M1025" t="s">
        <v>152</v>
      </c>
      <c r="N1025">
        <v>0</v>
      </c>
      <c r="O1025">
        <v>0</v>
      </c>
      <c r="P1025" t="s">
        <v>153</v>
      </c>
      <c r="Q1025" s="2">
        <v>0.7</v>
      </c>
      <c r="R1025">
        <v>0</v>
      </c>
      <c r="V1025" t="str">
        <f>VLOOKUP(H1025,'[1]팀별 출판사'!A:B,2,0)</f>
        <v>소설1팀</v>
      </c>
      <c r="W1025" s="6">
        <f t="shared" si="30"/>
        <v>0</v>
      </c>
      <c r="X1025" s="6">
        <f t="shared" si="31"/>
        <v>0</v>
      </c>
    </row>
    <row r="1026" spans="1:24" x14ac:dyDescent="0.3">
      <c r="A1026" t="s">
        <v>1743</v>
      </c>
      <c r="B1026" t="s">
        <v>1756</v>
      </c>
      <c r="C1026" t="s">
        <v>23</v>
      </c>
      <c r="D1026" t="s">
        <v>24</v>
      </c>
      <c r="E1026" t="s">
        <v>25</v>
      </c>
      <c r="F1026">
        <v>1</v>
      </c>
      <c r="G1026">
        <v>9791136930156</v>
      </c>
      <c r="H1026" t="s">
        <v>32</v>
      </c>
      <c r="I1026" t="s">
        <v>702</v>
      </c>
      <c r="J1026" t="s">
        <v>34</v>
      </c>
      <c r="K1026" t="s">
        <v>29</v>
      </c>
      <c r="L1026">
        <v>0</v>
      </c>
      <c r="M1026" t="s">
        <v>152</v>
      </c>
      <c r="N1026">
        <v>0</v>
      </c>
      <c r="O1026">
        <v>0</v>
      </c>
      <c r="P1026" t="s">
        <v>153</v>
      </c>
      <c r="Q1026" s="2">
        <v>0.7</v>
      </c>
      <c r="R1026">
        <v>0</v>
      </c>
      <c r="V1026" t="str">
        <f>VLOOKUP(H1026,'[1]팀별 출판사'!A:B,2,0)</f>
        <v>소설1팀</v>
      </c>
      <c r="W1026" s="6">
        <f t="shared" ref="W1026:W1089" si="32">IF(P1026="US", T1026*30%, 0)</f>
        <v>0</v>
      </c>
      <c r="X1026" s="6">
        <f t="shared" ref="X1026:X1089" si="33">T1026-W1026</f>
        <v>0</v>
      </c>
    </row>
    <row r="1027" spans="1:24" x14ac:dyDescent="0.3">
      <c r="A1027" t="s">
        <v>1743</v>
      </c>
      <c r="B1027" t="s">
        <v>1757</v>
      </c>
      <c r="C1027" t="s">
        <v>23</v>
      </c>
      <c r="D1027" t="s">
        <v>24</v>
      </c>
      <c r="E1027" t="s">
        <v>25</v>
      </c>
      <c r="F1027">
        <v>1</v>
      </c>
      <c r="G1027">
        <v>9791173782862</v>
      </c>
      <c r="H1027" t="s">
        <v>26</v>
      </c>
      <c r="I1027" t="s">
        <v>1758</v>
      </c>
      <c r="J1027" t="s">
        <v>284</v>
      </c>
      <c r="K1027" t="s">
        <v>29</v>
      </c>
      <c r="L1027" s="1">
        <v>3200</v>
      </c>
      <c r="M1027" t="s">
        <v>29</v>
      </c>
      <c r="N1027" s="1">
        <v>3200</v>
      </c>
      <c r="O1027" s="1">
        <v>3200</v>
      </c>
      <c r="P1027" t="s">
        <v>30</v>
      </c>
      <c r="Q1027" s="2">
        <v>0.7</v>
      </c>
      <c r="R1027" s="1">
        <v>2240</v>
      </c>
      <c r="S1027" t="s">
        <v>29</v>
      </c>
      <c r="T1027" s="1">
        <v>2240</v>
      </c>
      <c r="V1027" t="str">
        <f>VLOOKUP(H1027,'[1]팀별 출판사'!A:B,2,0)</f>
        <v>소설1팀</v>
      </c>
      <c r="W1027" s="6">
        <f t="shared" si="32"/>
        <v>0</v>
      </c>
      <c r="X1027" s="6">
        <f t="shared" si="33"/>
        <v>2240</v>
      </c>
    </row>
    <row r="1028" spans="1:24" x14ac:dyDescent="0.3">
      <c r="A1028" t="s">
        <v>1743</v>
      </c>
      <c r="B1028" t="s">
        <v>1759</v>
      </c>
      <c r="C1028" t="s">
        <v>23</v>
      </c>
      <c r="D1028" t="s">
        <v>24</v>
      </c>
      <c r="E1028" t="s">
        <v>25</v>
      </c>
      <c r="F1028">
        <v>1</v>
      </c>
      <c r="G1028">
        <v>9788928005826</v>
      </c>
      <c r="H1028" t="s">
        <v>32</v>
      </c>
      <c r="I1028" t="s">
        <v>310</v>
      </c>
      <c r="J1028" t="s">
        <v>311</v>
      </c>
      <c r="K1028" t="s">
        <v>29</v>
      </c>
      <c r="L1028">
        <v>0</v>
      </c>
      <c r="M1028" t="s">
        <v>29</v>
      </c>
      <c r="N1028">
        <v>0</v>
      </c>
      <c r="O1028">
        <v>0</v>
      </c>
      <c r="P1028" t="s">
        <v>30</v>
      </c>
      <c r="Q1028" s="2">
        <v>0.7</v>
      </c>
      <c r="R1028">
        <v>0</v>
      </c>
      <c r="V1028" t="str">
        <f>VLOOKUP(H1028,'[1]팀별 출판사'!A:B,2,0)</f>
        <v>소설1팀</v>
      </c>
      <c r="W1028" s="6">
        <f t="shared" si="32"/>
        <v>0</v>
      </c>
      <c r="X1028" s="6">
        <f t="shared" si="33"/>
        <v>0</v>
      </c>
    </row>
    <row r="1029" spans="1:24" x14ac:dyDescent="0.3">
      <c r="A1029" t="s">
        <v>1743</v>
      </c>
      <c r="B1029" t="s">
        <v>1760</v>
      </c>
      <c r="C1029" t="s">
        <v>23</v>
      </c>
      <c r="D1029" t="s">
        <v>24</v>
      </c>
      <c r="E1029" t="s">
        <v>25</v>
      </c>
      <c r="F1029">
        <v>1</v>
      </c>
      <c r="G1029">
        <v>9791170101307</v>
      </c>
      <c r="H1029" t="s">
        <v>67</v>
      </c>
      <c r="I1029" t="s">
        <v>413</v>
      </c>
      <c r="J1029" t="s">
        <v>414</v>
      </c>
      <c r="K1029" t="s">
        <v>29</v>
      </c>
      <c r="L1029">
        <v>0</v>
      </c>
      <c r="M1029" t="s">
        <v>29</v>
      </c>
      <c r="N1029">
        <v>0</v>
      </c>
      <c r="O1029">
        <v>0</v>
      </c>
      <c r="P1029" t="s">
        <v>30</v>
      </c>
      <c r="Q1029" s="2">
        <v>0.7</v>
      </c>
      <c r="R1029">
        <v>0</v>
      </c>
      <c r="V1029" t="str">
        <f>VLOOKUP(H1029,'[1]팀별 출판사'!A:B,2,0)</f>
        <v>소설1팀</v>
      </c>
      <c r="W1029" s="6">
        <f t="shared" si="32"/>
        <v>0</v>
      </c>
      <c r="X1029" s="6">
        <f t="shared" si="33"/>
        <v>0</v>
      </c>
    </row>
    <row r="1030" spans="1:24" x14ac:dyDescent="0.3">
      <c r="A1030" t="s">
        <v>1743</v>
      </c>
      <c r="B1030" t="s">
        <v>1761</v>
      </c>
      <c r="C1030" t="s">
        <v>23</v>
      </c>
      <c r="D1030" t="s">
        <v>24</v>
      </c>
      <c r="E1030" t="s">
        <v>25</v>
      </c>
      <c r="F1030">
        <v>1</v>
      </c>
      <c r="G1030">
        <v>9791136931382</v>
      </c>
      <c r="H1030" t="s">
        <v>32</v>
      </c>
      <c r="I1030" t="s">
        <v>523</v>
      </c>
      <c r="J1030" t="s">
        <v>46</v>
      </c>
      <c r="K1030" t="s">
        <v>29</v>
      </c>
      <c r="L1030">
        <v>0</v>
      </c>
      <c r="M1030" t="s">
        <v>47</v>
      </c>
      <c r="N1030">
        <v>0</v>
      </c>
      <c r="O1030">
        <v>0</v>
      </c>
      <c r="P1030" t="s">
        <v>48</v>
      </c>
      <c r="Q1030" s="2">
        <v>0.7</v>
      </c>
      <c r="R1030">
        <v>0</v>
      </c>
      <c r="V1030" t="str">
        <f>VLOOKUP(H1030,'[1]팀별 출판사'!A:B,2,0)</f>
        <v>소설1팀</v>
      </c>
      <c r="W1030" s="6">
        <f t="shared" si="32"/>
        <v>0</v>
      </c>
      <c r="X1030" s="6">
        <f t="shared" si="33"/>
        <v>0</v>
      </c>
    </row>
    <row r="1031" spans="1:24" x14ac:dyDescent="0.3">
      <c r="A1031" t="s">
        <v>1743</v>
      </c>
      <c r="B1031" t="s">
        <v>1762</v>
      </c>
      <c r="C1031" t="s">
        <v>23</v>
      </c>
      <c r="D1031" t="s">
        <v>24</v>
      </c>
      <c r="E1031" t="s">
        <v>25</v>
      </c>
      <c r="F1031">
        <v>1</v>
      </c>
      <c r="G1031" t="s">
        <v>1763</v>
      </c>
      <c r="H1031" t="s">
        <v>208</v>
      </c>
      <c r="I1031" t="s">
        <v>1764</v>
      </c>
      <c r="J1031" t="s">
        <v>210</v>
      </c>
      <c r="K1031" t="s">
        <v>29</v>
      </c>
      <c r="L1031" s="1">
        <v>2000</v>
      </c>
      <c r="M1031" t="s">
        <v>29</v>
      </c>
      <c r="N1031" s="1">
        <v>2000</v>
      </c>
      <c r="O1031" s="1">
        <v>2000</v>
      </c>
      <c r="P1031" t="s">
        <v>30</v>
      </c>
      <c r="Q1031" s="2">
        <v>0.7</v>
      </c>
      <c r="R1031" s="1">
        <v>1400</v>
      </c>
      <c r="S1031" t="s">
        <v>29</v>
      </c>
      <c r="T1031" s="1">
        <v>1400</v>
      </c>
      <c r="V1031" t="str">
        <f>VLOOKUP(H1031,'[1]팀별 출판사'!A:B,2,0)</f>
        <v>소설1팀</v>
      </c>
      <c r="W1031" s="6">
        <f t="shared" si="32"/>
        <v>0</v>
      </c>
      <c r="X1031" s="6">
        <f t="shared" si="33"/>
        <v>1400</v>
      </c>
    </row>
    <row r="1032" spans="1:24" x14ac:dyDescent="0.3">
      <c r="A1032" t="s">
        <v>1743</v>
      </c>
      <c r="B1032" t="s">
        <v>1762</v>
      </c>
      <c r="C1032" t="s">
        <v>23</v>
      </c>
      <c r="D1032" t="s">
        <v>24</v>
      </c>
      <c r="E1032" t="s">
        <v>25</v>
      </c>
      <c r="F1032">
        <v>1</v>
      </c>
      <c r="G1032" t="s">
        <v>1765</v>
      </c>
      <c r="H1032" t="s">
        <v>208</v>
      </c>
      <c r="I1032" t="s">
        <v>1766</v>
      </c>
      <c r="J1032" t="s">
        <v>210</v>
      </c>
      <c r="K1032" t="s">
        <v>29</v>
      </c>
      <c r="L1032" s="1">
        <v>2000</v>
      </c>
      <c r="M1032" t="s">
        <v>29</v>
      </c>
      <c r="N1032" s="1">
        <v>2000</v>
      </c>
      <c r="O1032" s="1">
        <v>2000</v>
      </c>
      <c r="P1032" t="s">
        <v>30</v>
      </c>
      <c r="Q1032" s="2">
        <v>0.7</v>
      </c>
      <c r="R1032" s="1">
        <v>1400</v>
      </c>
      <c r="S1032" t="s">
        <v>29</v>
      </c>
      <c r="T1032" s="1">
        <v>1400</v>
      </c>
      <c r="V1032" t="str">
        <f>VLOOKUP(H1032,'[1]팀별 출판사'!A:B,2,0)</f>
        <v>소설1팀</v>
      </c>
      <c r="W1032" s="6">
        <f t="shared" si="32"/>
        <v>0</v>
      </c>
      <c r="X1032" s="6">
        <f t="shared" si="33"/>
        <v>1400</v>
      </c>
    </row>
    <row r="1033" spans="1:24" x14ac:dyDescent="0.3">
      <c r="A1033" t="s">
        <v>1743</v>
      </c>
      <c r="B1033" t="s">
        <v>1762</v>
      </c>
      <c r="C1033" t="s">
        <v>23</v>
      </c>
      <c r="D1033" t="s">
        <v>24</v>
      </c>
      <c r="E1033" t="s">
        <v>25</v>
      </c>
      <c r="F1033">
        <v>1</v>
      </c>
      <c r="G1033" t="s">
        <v>1767</v>
      </c>
      <c r="H1033" t="s">
        <v>208</v>
      </c>
      <c r="I1033" t="s">
        <v>1768</v>
      </c>
      <c r="J1033" t="s">
        <v>210</v>
      </c>
      <c r="K1033" t="s">
        <v>29</v>
      </c>
      <c r="L1033" s="1">
        <v>2000</v>
      </c>
      <c r="M1033" t="s">
        <v>29</v>
      </c>
      <c r="N1033" s="1">
        <v>2000</v>
      </c>
      <c r="O1033" s="1">
        <v>2000</v>
      </c>
      <c r="P1033" t="s">
        <v>30</v>
      </c>
      <c r="Q1033" s="2">
        <v>0.7</v>
      </c>
      <c r="R1033" s="1">
        <v>1400</v>
      </c>
      <c r="S1033" t="s">
        <v>29</v>
      </c>
      <c r="T1033" s="1">
        <v>1400</v>
      </c>
      <c r="V1033" t="str">
        <f>VLOOKUP(H1033,'[1]팀별 출판사'!A:B,2,0)</f>
        <v>소설1팀</v>
      </c>
      <c r="W1033" s="6">
        <f t="shared" si="32"/>
        <v>0</v>
      </c>
      <c r="X1033" s="6">
        <f t="shared" si="33"/>
        <v>1400</v>
      </c>
    </row>
    <row r="1034" spans="1:24" x14ac:dyDescent="0.3">
      <c r="A1034" t="s">
        <v>1743</v>
      </c>
      <c r="B1034" t="s">
        <v>1769</v>
      </c>
      <c r="C1034" t="s">
        <v>23</v>
      </c>
      <c r="D1034" t="s">
        <v>24</v>
      </c>
      <c r="E1034" t="s">
        <v>25</v>
      </c>
      <c r="F1034">
        <v>1</v>
      </c>
      <c r="G1034">
        <v>9791175300897</v>
      </c>
      <c r="H1034" t="s">
        <v>26</v>
      </c>
      <c r="I1034" t="s">
        <v>1218</v>
      </c>
      <c r="J1034" t="s">
        <v>965</v>
      </c>
      <c r="K1034" t="s">
        <v>29</v>
      </c>
      <c r="L1034">
        <v>0</v>
      </c>
      <c r="M1034" t="s">
        <v>29</v>
      </c>
      <c r="N1034">
        <v>0</v>
      </c>
      <c r="O1034">
        <v>0</v>
      </c>
      <c r="P1034" t="s">
        <v>30</v>
      </c>
      <c r="Q1034" s="2">
        <v>0.7</v>
      </c>
      <c r="R1034">
        <v>0</v>
      </c>
      <c r="V1034" t="str">
        <f>VLOOKUP(H1034,'[1]팀별 출판사'!A:B,2,0)</f>
        <v>소설1팀</v>
      </c>
      <c r="W1034" s="6">
        <f t="shared" si="32"/>
        <v>0</v>
      </c>
      <c r="X1034" s="6">
        <f t="shared" si="33"/>
        <v>0</v>
      </c>
    </row>
    <row r="1035" spans="1:24" x14ac:dyDescent="0.3">
      <c r="A1035" t="s">
        <v>1743</v>
      </c>
      <c r="B1035" t="s">
        <v>1770</v>
      </c>
      <c r="C1035" t="s">
        <v>23</v>
      </c>
      <c r="D1035" t="s">
        <v>24</v>
      </c>
      <c r="E1035" t="s">
        <v>25</v>
      </c>
      <c r="F1035">
        <v>1</v>
      </c>
      <c r="G1035">
        <v>9791136930491</v>
      </c>
      <c r="H1035" t="s">
        <v>26</v>
      </c>
      <c r="I1035" t="s">
        <v>151</v>
      </c>
      <c r="J1035" t="s">
        <v>46</v>
      </c>
      <c r="K1035" t="s">
        <v>29</v>
      </c>
      <c r="L1035">
        <v>0</v>
      </c>
      <c r="M1035" t="s">
        <v>47</v>
      </c>
      <c r="N1035">
        <v>0</v>
      </c>
      <c r="O1035">
        <v>0</v>
      </c>
      <c r="P1035" t="s">
        <v>48</v>
      </c>
      <c r="Q1035" s="2">
        <v>0.7</v>
      </c>
      <c r="R1035">
        <v>0</v>
      </c>
      <c r="V1035" t="str">
        <f>VLOOKUP(H1035,'[1]팀별 출판사'!A:B,2,0)</f>
        <v>소설1팀</v>
      </c>
      <c r="W1035" s="6">
        <f t="shared" si="32"/>
        <v>0</v>
      </c>
      <c r="X1035" s="6">
        <f t="shared" si="33"/>
        <v>0</v>
      </c>
    </row>
    <row r="1036" spans="1:24" x14ac:dyDescent="0.3">
      <c r="A1036" t="s">
        <v>1743</v>
      </c>
      <c r="B1036" t="s">
        <v>1771</v>
      </c>
      <c r="C1036" t="s">
        <v>23</v>
      </c>
      <c r="D1036" t="s">
        <v>24</v>
      </c>
      <c r="E1036" t="s">
        <v>25</v>
      </c>
      <c r="F1036">
        <v>1</v>
      </c>
      <c r="G1036">
        <v>9791136931375</v>
      </c>
      <c r="H1036" t="s">
        <v>32</v>
      </c>
      <c r="I1036" t="s">
        <v>189</v>
      </c>
      <c r="J1036" t="s">
        <v>46</v>
      </c>
      <c r="K1036" t="s">
        <v>29</v>
      </c>
      <c r="L1036">
        <v>0</v>
      </c>
      <c r="M1036" t="s">
        <v>47</v>
      </c>
      <c r="N1036">
        <v>0</v>
      </c>
      <c r="O1036">
        <v>0</v>
      </c>
      <c r="P1036" t="s">
        <v>48</v>
      </c>
      <c r="Q1036" s="2">
        <v>0.7</v>
      </c>
      <c r="R1036">
        <v>0</v>
      </c>
      <c r="V1036" t="str">
        <f>VLOOKUP(H1036,'[1]팀별 출판사'!A:B,2,0)</f>
        <v>소설1팀</v>
      </c>
      <c r="W1036" s="6">
        <f t="shared" si="32"/>
        <v>0</v>
      </c>
      <c r="X1036" s="6">
        <f t="shared" si="33"/>
        <v>0</v>
      </c>
    </row>
    <row r="1037" spans="1:24" x14ac:dyDescent="0.3">
      <c r="A1037" t="s">
        <v>1743</v>
      </c>
      <c r="B1037" t="s">
        <v>1772</v>
      </c>
      <c r="C1037" t="s">
        <v>23</v>
      </c>
      <c r="D1037" t="s">
        <v>24</v>
      </c>
      <c r="E1037" t="s">
        <v>25</v>
      </c>
      <c r="F1037">
        <v>1</v>
      </c>
      <c r="G1037" t="s">
        <v>1773</v>
      </c>
      <c r="H1037" t="s">
        <v>32</v>
      </c>
      <c r="I1037" t="s">
        <v>1774</v>
      </c>
      <c r="J1037" t="s">
        <v>51</v>
      </c>
      <c r="K1037" t="s">
        <v>29</v>
      </c>
      <c r="L1037" s="1">
        <v>3500</v>
      </c>
      <c r="M1037" t="s">
        <v>29</v>
      </c>
      <c r="N1037" s="1">
        <v>3500</v>
      </c>
      <c r="O1037" s="1">
        <v>3500</v>
      </c>
      <c r="P1037" t="s">
        <v>30</v>
      </c>
      <c r="Q1037" s="2">
        <v>0.7</v>
      </c>
      <c r="R1037" s="1">
        <v>2450</v>
      </c>
      <c r="S1037" t="s">
        <v>29</v>
      </c>
      <c r="T1037" s="1">
        <v>2450</v>
      </c>
      <c r="V1037" t="str">
        <f>VLOOKUP(H1037,'[1]팀별 출판사'!A:B,2,0)</f>
        <v>소설1팀</v>
      </c>
      <c r="W1037" s="6">
        <f t="shared" si="32"/>
        <v>0</v>
      </c>
      <c r="X1037" s="6">
        <f t="shared" si="33"/>
        <v>2450</v>
      </c>
    </row>
    <row r="1038" spans="1:24" x14ac:dyDescent="0.3">
      <c r="A1038" t="s">
        <v>1743</v>
      </c>
      <c r="B1038" t="s">
        <v>1775</v>
      </c>
      <c r="C1038" t="s">
        <v>23</v>
      </c>
      <c r="D1038" t="s">
        <v>24</v>
      </c>
      <c r="E1038" t="s">
        <v>25</v>
      </c>
      <c r="F1038">
        <v>1</v>
      </c>
      <c r="G1038">
        <v>9791136946782</v>
      </c>
      <c r="H1038" t="s">
        <v>26</v>
      </c>
      <c r="I1038" t="s">
        <v>291</v>
      </c>
      <c r="J1038" t="s">
        <v>28</v>
      </c>
      <c r="K1038" t="s">
        <v>29</v>
      </c>
      <c r="L1038">
        <v>0</v>
      </c>
      <c r="M1038" t="s">
        <v>29</v>
      </c>
      <c r="N1038">
        <v>0</v>
      </c>
      <c r="O1038">
        <v>0</v>
      </c>
      <c r="P1038" t="s">
        <v>30</v>
      </c>
      <c r="Q1038" s="2">
        <v>0.7</v>
      </c>
      <c r="R1038">
        <v>0</v>
      </c>
      <c r="V1038" t="str">
        <f>VLOOKUP(H1038,'[1]팀별 출판사'!A:B,2,0)</f>
        <v>소설1팀</v>
      </c>
      <c r="W1038" s="6">
        <f t="shared" si="32"/>
        <v>0</v>
      </c>
      <c r="X1038" s="6">
        <f t="shared" si="33"/>
        <v>0</v>
      </c>
    </row>
    <row r="1039" spans="1:24" x14ac:dyDescent="0.3">
      <c r="A1039" t="s">
        <v>1743</v>
      </c>
      <c r="B1039" t="s">
        <v>1776</v>
      </c>
      <c r="C1039" t="s">
        <v>23</v>
      </c>
      <c r="D1039" t="s">
        <v>24</v>
      </c>
      <c r="E1039" t="s">
        <v>25</v>
      </c>
      <c r="F1039">
        <v>1</v>
      </c>
      <c r="G1039">
        <v>9791157532148</v>
      </c>
      <c r="H1039" t="s">
        <v>32</v>
      </c>
      <c r="I1039" t="s">
        <v>376</v>
      </c>
      <c r="J1039" t="s">
        <v>112</v>
      </c>
      <c r="K1039" t="s">
        <v>29</v>
      </c>
      <c r="L1039" s="1">
        <v>3200</v>
      </c>
      <c r="M1039" t="s">
        <v>29</v>
      </c>
      <c r="N1039" s="1">
        <v>3200</v>
      </c>
      <c r="O1039" s="1">
        <v>3200</v>
      </c>
      <c r="P1039" t="s">
        <v>30</v>
      </c>
      <c r="Q1039" s="2">
        <v>0.7</v>
      </c>
      <c r="R1039" s="1">
        <v>2240</v>
      </c>
      <c r="S1039" t="s">
        <v>29</v>
      </c>
      <c r="T1039" s="1">
        <v>2240</v>
      </c>
      <c r="V1039" t="str">
        <f>VLOOKUP(H1039,'[1]팀별 출판사'!A:B,2,0)</f>
        <v>소설1팀</v>
      </c>
      <c r="W1039" s="6">
        <f t="shared" si="32"/>
        <v>0</v>
      </c>
      <c r="X1039" s="6">
        <f t="shared" si="33"/>
        <v>2240</v>
      </c>
    </row>
    <row r="1040" spans="1:24" x14ac:dyDescent="0.3">
      <c r="A1040" t="s">
        <v>1743</v>
      </c>
      <c r="B1040" t="s">
        <v>1777</v>
      </c>
      <c r="C1040" t="s">
        <v>23</v>
      </c>
      <c r="D1040" t="s">
        <v>24</v>
      </c>
      <c r="E1040" t="s">
        <v>25</v>
      </c>
      <c r="F1040">
        <v>1</v>
      </c>
      <c r="G1040">
        <v>9791133167227</v>
      </c>
      <c r="H1040" t="s">
        <v>32</v>
      </c>
      <c r="I1040" t="s">
        <v>313</v>
      </c>
      <c r="J1040" t="s">
        <v>160</v>
      </c>
      <c r="K1040" t="s">
        <v>29</v>
      </c>
      <c r="L1040">
        <v>0</v>
      </c>
      <c r="M1040" t="s">
        <v>29</v>
      </c>
      <c r="N1040">
        <v>0</v>
      </c>
      <c r="O1040">
        <v>0</v>
      </c>
      <c r="P1040" t="s">
        <v>30</v>
      </c>
      <c r="Q1040" s="2">
        <v>0.7</v>
      </c>
      <c r="R1040">
        <v>0</v>
      </c>
      <c r="V1040" t="str">
        <f>VLOOKUP(H1040,'[1]팀별 출판사'!A:B,2,0)</f>
        <v>소설1팀</v>
      </c>
      <c r="W1040" s="6">
        <f t="shared" si="32"/>
        <v>0</v>
      </c>
      <c r="X1040" s="6">
        <f t="shared" si="33"/>
        <v>0</v>
      </c>
    </row>
    <row r="1041" spans="1:24" x14ac:dyDescent="0.3">
      <c r="A1041" t="s">
        <v>1743</v>
      </c>
      <c r="B1041" t="s">
        <v>1778</v>
      </c>
      <c r="C1041" t="s">
        <v>23</v>
      </c>
      <c r="D1041" t="s">
        <v>24</v>
      </c>
      <c r="E1041" t="s">
        <v>25</v>
      </c>
      <c r="F1041">
        <v>1</v>
      </c>
      <c r="G1041" t="s">
        <v>1779</v>
      </c>
      <c r="H1041" t="s">
        <v>32</v>
      </c>
      <c r="I1041" t="s">
        <v>1780</v>
      </c>
      <c r="J1041" t="s">
        <v>220</v>
      </c>
      <c r="K1041" t="s">
        <v>29</v>
      </c>
      <c r="L1041">
        <v>0</v>
      </c>
      <c r="M1041" t="s">
        <v>29</v>
      </c>
      <c r="N1041">
        <v>0</v>
      </c>
      <c r="O1041">
        <v>0</v>
      </c>
      <c r="P1041" t="s">
        <v>30</v>
      </c>
      <c r="Q1041" s="2">
        <v>0.7</v>
      </c>
      <c r="R1041">
        <v>0</v>
      </c>
      <c r="V1041" t="str">
        <f>VLOOKUP(H1041,'[1]팀별 출판사'!A:B,2,0)</f>
        <v>소설1팀</v>
      </c>
      <c r="W1041" s="6">
        <f t="shared" si="32"/>
        <v>0</v>
      </c>
      <c r="X1041" s="6">
        <f t="shared" si="33"/>
        <v>0</v>
      </c>
    </row>
    <row r="1042" spans="1:24" x14ac:dyDescent="0.3">
      <c r="A1042" t="s">
        <v>1743</v>
      </c>
      <c r="B1042" t="s">
        <v>1781</v>
      </c>
      <c r="C1042" t="s">
        <v>23</v>
      </c>
      <c r="D1042" t="s">
        <v>24</v>
      </c>
      <c r="E1042" t="s">
        <v>25</v>
      </c>
      <c r="F1042">
        <v>1</v>
      </c>
      <c r="G1042">
        <v>9791173782879</v>
      </c>
      <c r="H1042" t="s">
        <v>26</v>
      </c>
      <c r="I1042" t="s">
        <v>1782</v>
      </c>
      <c r="J1042" t="s">
        <v>284</v>
      </c>
      <c r="K1042" t="s">
        <v>29</v>
      </c>
      <c r="L1042" s="1">
        <v>3200</v>
      </c>
      <c r="M1042" t="s">
        <v>29</v>
      </c>
      <c r="N1042" s="1">
        <v>3200</v>
      </c>
      <c r="O1042" s="1">
        <v>3200</v>
      </c>
      <c r="P1042" t="s">
        <v>30</v>
      </c>
      <c r="Q1042" s="2">
        <v>0.7</v>
      </c>
      <c r="R1042" s="1">
        <v>2240</v>
      </c>
      <c r="S1042" t="s">
        <v>29</v>
      </c>
      <c r="T1042" s="1">
        <v>2240</v>
      </c>
      <c r="V1042" t="str">
        <f>VLOOKUP(H1042,'[1]팀별 출판사'!A:B,2,0)</f>
        <v>소설1팀</v>
      </c>
      <c r="W1042" s="6">
        <f t="shared" si="32"/>
        <v>0</v>
      </c>
      <c r="X1042" s="6">
        <f t="shared" si="33"/>
        <v>2240</v>
      </c>
    </row>
    <row r="1043" spans="1:24" x14ac:dyDescent="0.3">
      <c r="A1043" t="s">
        <v>1743</v>
      </c>
      <c r="B1043" t="s">
        <v>1783</v>
      </c>
      <c r="C1043" t="s">
        <v>23</v>
      </c>
      <c r="D1043" t="s">
        <v>24</v>
      </c>
      <c r="E1043" t="s">
        <v>25</v>
      </c>
      <c r="F1043">
        <v>1</v>
      </c>
      <c r="G1043">
        <v>9791136958662</v>
      </c>
      <c r="H1043" t="s">
        <v>79</v>
      </c>
      <c r="I1043" t="s">
        <v>396</v>
      </c>
      <c r="J1043" t="s">
        <v>81</v>
      </c>
      <c r="K1043" t="s">
        <v>29</v>
      </c>
      <c r="L1043">
        <v>0</v>
      </c>
      <c r="M1043" t="s">
        <v>29</v>
      </c>
      <c r="N1043">
        <v>0</v>
      </c>
      <c r="O1043">
        <v>0</v>
      </c>
      <c r="P1043" t="s">
        <v>30</v>
      </c>
      <c r="Q1043" s="2">
        <v>0.7</v>
      </c>
      <c r="R1043">
        <v>0</v>
      </c>
      <c r="V1043" t="str">
        <f>VLOOKUP(H1043,'[1]팀별 출판사'!A:B,2,0)</f>
        <v>소설1팀</v>
      </c>
      <c r="W1043" s="6">
        <f t="shared" si="32"/>
        <v>0</v>
      </c>
      <c r="X1043" s="6">
        <f t="shared" si="33"/>
        <v>0</v>
      </c>
    </row>
    <row r="1044" spans="1:24" x14ac:dyDescent="0.3">
      <c r="A1044" t="s">
        <v>1743</v>
      </c>
      <c r="B1044" t="s">
        <v>1784</v>
      </c>
      <c r="C1044" t="s">
        <v>23</v>
      </c>
      <c r="D1044" t="s">
        <v>24</v>
      </c>
      <c r="E1044" t="s">
        <v>25</v>
      </c>
      <c r="F1044">
        <v>1</v>
      </c>
      <c r="G1044">
        <v>9791136941589</v>
      </c>
      <c r="H1044" t="s">
        <v>26</v>
      </c>
      <c r="I1044" t="s">
        <v>275</v>
      </c>
      <c r="J1044" t="s">
        <v>276</v>
      </c>
      <c r="K1044" t="s">
        <v>29</v>
      </c>
      <c r="L1044">
        <v>0</v>
      </c>
      <c r="M1044" t="s">
        <v>29</v>
      </c>
      <c r="N1044">
        <v>0</v>
      </c>
      <c r="O1044">
        <v>0</v>
      </c>
      <c r="P1044" t="s">
        <v>30</v>
      </c>
      <c r="Q1044" s="2">
        <v>0.7</v>
      </c>
      <c r="R1044">
        <v>0</v>
      </c>
      <c r="V1044" t="str">
        <f>VLOOKUP(H1044,'[1]팀별 출판사'!A:B,2,0)</f>
        <v>소설1팀</v>
      </c>
      <c r="W1044" s="6">
        <f t="shared" si="32"/>
        <v>0</v>
      </c>
      <c r="X1044" s="6">
        <f t="shared" si="33"/>
        <v>0</v>
      </c>
    </row>
    <row r="1045" spans="1:24" x14ac:dyDescent="0.3">
      <c r="A1045" t="s">
        <v>1743</v>
      </c>
      <c r="B1045" t="s">
        <v>1785</v>
      </c>
      <c r="C1045" t="s">
        <v>23</v>
      </c>
      <c r="D1045" t="s">
        <v>24</v>
      </c>
      <c r="E1045" t="s">
        <v>25</v>
      </c>
      <c r="F1045">
        <v>1</v>
      </c>
      <c r="G1045">
        <v>9791172927851</v>
      </c>
      <c r="H1045" t="s">
        <v>79</v>
      </c>
      <c r="I1045" t="s">
        <v>1786</v>
      </c>
      <c r="J1045" t="s">
        <v>81</v>
      </c>
      <c r="K1045" t="s">
        <v>29</v>
      </c>
      <c r="L1045" s="1">
        <v>3200</v>
      </c>
      <c r="M1045" t="s">
        <v>70</v>
      </c>
      <c r="N1045">
        <v>2.2200000000000002</v>
      </c>
      <c r="O1045">
        <v>2.2200000000000002</v>
      </c>
      <c r="P1045" t="s">
        <v>71</v>
      </c>
      <c r="Q1045" s="2">
        <v>0.7</v>
      </c>
      <c r="R1045">
        <v>1.55</v>
      </c>
      <c r="S1045" t="s">
        <v>29</v>
      </c>
      <c r="T1045" s="1">
        <v>2269</v>
      </c>
      <c r="U1045" s="3">
        <v>1463.9845399999999</v>
      </c>
      <c r="V1045" t="str">
        <f>VLOOKUP(H1045,'[1]팀별 출판사'!A:B,2,0)</f>
        <v>소설1팀</v>
      </c>
      <c r="W1045" s="6">
        <f t="shared" si="32"/>
        <v>680.69999999999993</v>
      </c>
      <c r="X1045" s="6">
        <f t="shared" si="33"/>
        <v>1588.3000000000002</v>
      </c>
    </row>
    <row r="1046" spans="1:24" x14ac:dyDescent="0.3">
      <c r="A1046" t="s">
        <v>1743</v>
      </c>
      <c r="B1046" t="s">
        <v>1785</v>
      </c>
      <c r="C1046" t="s">
        <v>23</v>
      </c>
      <c r="D1046" t="s">
        <v>24</v>
      </c>
      <c r="E1046" t="s">
        <v>25</v>
      </c>
      <c r="F1046">
        <v>1</v>
      </c>
      <c r="G1046">
        <v>9791172927868</v>
      </c>
      <c r="H1046" t="s">
        <v>79</v>
      </c>
      <c r="I1046" t="s">
        <v>1787</v>
      </c>
      <c r="J1046" t="s">
        <v>81</v>
      </c>
      <c r="K1046" t="s">
        <v>29</v>
      </c>
      <c r="L1046" s="1">
        <v>3200</v>
      </c>
      <c r="M1046" t="s">
        <v>70</v>
      </c>
      <c r="N1046">
        <v>2.2200000000000002</v>
      </c>
      <c r="O1046">
        <v>2.2200000000000002</v>
      </c>
      <c r="P1046" t="s">
        <v>71</v>
      </c>
      <c r="Q1046" s="2">
        <v>0.7</v>
      </c>
      <c r="R1046">
        <v>1.55</v>
      </c>
      <c r="S1046" t="s">
        <v>29</v>
      </c>
      <c r="T1046" s="1">
        <v>2269</v>
      </c>
      <c r="U1046" s="3">
        <v>1463.9845399999999</v>
      </c>
      <c r="V1046" t="str">
        <f>VLOOKUP(H1046,'[1]팀별 출판사'!A:B,2,0)</f>
        <v>소설1팀</v>
      </c>
      <c r="W1046" s="6">
        <f t="shared" si="32"/>
        <v>680.69999999999993</v>
      </c>
      <c r="X1046" s="6">
        <f t="shared" si="33"/>
        <v>1588.3000000000002</v>
      </c>
    </row>
    <row r="1047" spans="1:24" x14ac:dyDescent="0.3">
      <c r="A1047" t="s">
        <v>1743</v>
      </c>
      <c r="B1047" t="s">
        <v>1785</v>
      </c>
      <c r="C1047" t="s">
        <v>23</v>
      </c>
      <c r="D1047" t="s">
        <v>24</v>
      </c>
      <c r="E1047" t="s">
        <v>25</v>
      </c>
      <c r="F1047">
        <v>1</v>
      </c>
      <c r="G1047">
        <v>9791172927875</v>
      </c>
      <c r="H1047" t="s">
        <v>79</v>
      </c>
      <c r="I1047" t="s">
        <v>1417</v>
      </c>
      <c r="J1047" t="s">
        <v>81</v>
      </c>
      <c r="K1047" t="s">
        <v>29</v>
      </c>
      <c r="L1047" s="1">
        <v>3200</v>
      </c>
      <c r="M1047" t="s">
        <v>70</v>
      </c>
      <c r="N1047">
        <v>2.2200000000000002</v>
      </c>
      <c r="O1047">
        <v>2.2200000000000002</v>
      </c>
      <c r="P1047" t="s">
        <v>71</v>
      </c>
      <c r="Q1047" s="2">
        <v>0.7</v>
      </c>
      <c r="R1047">
        <v>1.55</v>
      </c>
      <c r="S1047" t="s">
        <v>29</v>
      </c>
      <c r="T1047" s="1">
        <v>2269</v>
      </c>
      <c r="U1047" s="3">
        <v>1463.9845399999999</v>
      </c>
      <c r="V1047" t="str">
        <f>VLOOKUP(H1047,'[1]팀별 출판사'!A:B,2,0)</f>
        <v>소설1팀</v>
      </c>
      <c r="W1047" s="6">
        <f t="shared" si="32"/>
        <v>680.69999999999993</v>
      </c>
      <c r="X1047" s="6">
        <f t="shared" si="33"/>
        <v>1588.3000000000002</v>
      </c>
    </row>
    <row r="1048" spans="1:24" x14ac:dyDescent="0.3">
      <c r="A1048" t="s">
        <v>1743</v>
      </c>
      <c r="B1048" t="s">
        <v>1785</v>
      </c>
      <c r="C1048" t="s">
        <v>23</v>
      </c>
      <c r="D1048" t="s">
        <v>24</v>
      </c>
      <c r="E1048" t="s">
        <v>25</v>
      </c>
      <c r="F1048">
        <v>1</v>
      </c>
      <c r="G1048">
        <v>9791172927943</v>
      </c>
      <c r="H1048" t="s">
        <v>79</v>
      </c>
      <c r="I1048" t="s">
        <v>1788</v>
      </c>
      <c r="J1048" t="s">
        <v>81</v>
      </c>
      <c r="K1048" t="s">
        <v>29</v>
      </c>
      <c r="L1048" s="1">
        <v>3200</v>
      </c>
      <c r="M1048" t="s">
        <v>70</v>
      </c>
      <c r="N1048">
        <v>2.2200000000000002</v>
      </c>
      <c r="O1048">
        <v>2.2200000000000002</v>
      </c>
      <c r="P1048" t="s">
        <v>71</v>
      </c>
      <c r="Q1048" s="2">
        <v>0.7</v>
      </c>
      <c r="R1048">
        <v>1.55</v>
      </c>
      <c r="S1048" t="s">
        <v>29</v>
      </c>
      <c r="T1048" s="1">
        <v>2269</v>
      </c>
      <c r="U1048" s="3">
        <v>1463.9845399999999</v>
      </c>
      <c r="V1048" t="str">
        <f>VLOOKUP(H1048,'[1]팀별 출판사'!A:B,2,0)</f>
        <v>소설1팀</v>
      </c>
      <c r="W1048" s="6">
        <f t="shared" si="32"/>
        <v>680.69999999999993</v>
      </c>
      <c r="X1048" s="6">
        <f t="shared" si="33"/>
        <v>1588.3000000000002</v>
      </c>
    </row>
    <row r="1049" spans="1:24" x14ac:dyDescent="0.3">
      <c r="A1049" t="s">
        <v>1743</v>
      </c>
      <c r="B1049" t="s">
        <v>1785</v>
      </c>
      <c r="C1049" t="s">
        <v>23</v>
      </c>
      <c r="D1049" t="s">
        <v>24</v>
      </c>
      <c r="E1049" t="s">
        <v>25</v>
      </c>
      <c r="F1049">
        <v>1</v>
      </c>
      <c r="G1049">
        <v>9791172927950</v>
      </c>
      <c r="H1049" t="s">
        <v>79</v>
      </c>
      <c r="I1049" t="s">
        <v>1789</v>
      </c>
      <c r="J1049" t="s">
        <v>81</v>
      </c>
      <c r="K1049" t="s">
        <v>29</v>
      </c>
      <c r="L1049" s="1">
        <v>3200</v>
      </c>
      <c r="M1049" t="s">
        <v>70</v>
      </c>
      <c r="N1049">
        <v>2.2200000000000002</v>
      </c>
      <c r="O1049">
        <v>2.2200000000000002</v>
      </c>
      <c r="P1049" t="s">
        <v>71</v>
      </c>
      <c r="Q1049" s="2">
        <v>0.7</v>
      </c>
      <c r="R1049">
        <v>1.55</v>
      </c>
      <c r="S1049" t="s">
        <v>29</v>
      </c>
      <c r="T1049" s="1">
        <v>2269</v>
      </c>
      <c r="U1049" s="3">
        <v>1463.9845399999999</v>
      </c>
      <c r="V1049" t="str">
        <f>VLOOKUP(H1049,'[1]팀별 출판사'!A:B,2,0)</f>
        <v>소설1팀</v>
      </c>
      <c r="W1049" s="6">
        <f t="shared" si="32"/>
        <v>680.69999999999993</v>
      </c>
      <c r="X1049" s="6">
        <f t="shared" si="33"/>
        <v>1588.3000000000002</v>
      </c>
    </row>
    <row r="1050" spans="1:24" x14ac:dyDescent="0.3">
      <c r="A1050" t="s">
        <v>1743</v>
      </c>
      <c r="B1050" t="s">
        <v>1785</v>
      </c>
      <c r="C1050" t="s">
        <v>23</v>
      </c>
      <c r="D1050" t="s">
        <v>24</v>
      </c>
      <c r="E1050" t="s">
        <v>25</v>
      </c>
      <c r="F1050">
        <v>1</v>
      </c>
      <c r="G1050">
        <v>9791172927967</v>
      </c>
      <c r="H1050" t="s">
        <v>79</v>
      </c>
      <c r="I1050" t="s">
        <v>1790</v>
      </c>
      <c r="J1050" t="s">
        <v>81</v>
      </c>
      <c r="K1050" t="s">
        <v>29</v>
      </c>
      <c r="L1050" s="1">
        <v>3200</v>
      </c>
      <c r="M1050" t="s">
        <v>70</v>
      </c>
      <c r="N1050">
        <v>2.2200000000000002</v>
      </c>
      <c r="O1050">
        <v>2.2200000000000002</v>
      </c>
      <c r="P1050" t="s">
        <v>71</v>
      </c>
      <c r="Q1050" s="2">
        <v>0.7</v>
      </c>
      <c r="R1050">
        <v>1.55</v>
      </c>
      <c r="S1050" t="s">
        <v>29</v>
      </c>
      <c r="T1050" s="1">
        <v>2269</v>
      </c>
      <c r="U1050" s="3">
        <v>1463.9845399999999</v>
      </c>
      <c r="V1050" t="str">
        <f>VLOOKUP(H1050,'[1]팀별 출판사'!A:B,2,0)</f>
        <v>소설1팀</v>
      </c>
      <c r="W1050" s="6">
        <f t="shared" si="32"/>
        <v>680.69999999999993</v>
      </c>
      <c r="X1050" s="6">
        <f t="shared" si="33"/>
        <v>1588.3000000000002</v>
      </c>
    </row>
    <row r="1051" spans="1:24" x14ac:dyDescent="0.3">
      <c r="A1051" t="s">
        <v>1743</v>
      </c>
      <c r="B1051" t="s">
        <v>1785</v>
      </c>
      <c r="C1051" t="s">
        <v>23</v>
      </c>
      <c r="D1051" t="s">
        <v>24</v>
      </c>
      <c r="E1051" t="s">
        <v>25</v>
      </c>
      <c r="F1051">
        <v>1</v>
      </c>
      <c r="G1051">
        <v>9791172927974</v>
      </c>
      <c r="H1051" t="s">
        <v>79</v>
      </c>
      <c r="I1051" t="s">
        <v>1791</v>
      </c>
      <c r="J1051" t="s">
        <v>81</v>
      </c>
      <c r="K1051" t="s">
        <v>29</v>
      </c>
      <c r="L1051" s="1">
        <v>3200</v>
      </c>
      <c r="M1051" t="s">
        <v>70</v>
      </c>
      <c r="N1051">
        <v>2.2200000000000002</v>
      </c>
      <c r="O1051">
        <v>2.2200000000000002</v>
      </c>
      <c r="P1051" t="s">
        <v>71</v>
      </c>
      <c r="Q1051" s="2">
        <v>0.7</v>
      </c>
      <c r="R1051">
        <v>1.55</v>
      </c>
      <c r="S1051" t="s">
        <v>29</v>
      </c>
      <c r="T1051" s="1">
        <v>2269</v>
      </c>
      <c r="U1051" s="3">
        <v>1463.9845399999999</v>
      </c>
      <c r="V1051" t="str">
        <f>VLOOKUP(H1051,'[1]팀별 출판사'!A:B,2,0)</f>
        <v>소설1팀</v>
      </c>
      <c r="W1051" s="6">
        <f t="shared" si="32"/>
        <v>680.69999999999993</v>
      </c>
      <c r="X1051" s="6">
        <f t="shared" si="33"/>
        <v>1588.3000000000002</v>
      </c>
    </row>
    <row r="1052" spans="1:24" x14ac:dyDescent="0.3">
      <c r="A1052" t="s">
        <v>1743</v>
      </c>
      <c r="B1052" t="s">
        <v>1792</v>
      </c>
      <c r="C1052" t="s">
        <v>23</v>
      </c>
      <c r="D1052" t="s">
        <v>24</v>
      </c>
      <c r="E1052" t="s">
        <v>25</v>
      </c>
      <c r="F1052">
        <v>1</v>
      </c>
      <c r="G1052">
        <v>9791194664369</v>
      </c>
      <c r="H1052" t="s">
        <v>79</v>
      </c>
      <c r="I1052" t="s">
        <v>156</v>
      </c>
      <c r="J1052" t="s">
        <v>157</v>
      </c>
      <c r="K1052" t="s">
        <v>29</v>
      </c>
      <c r="L1052">
        <v>0</v>
      </c>
      <c r="M1052" t="s">
        <v>127</v>
      </c>
      <c r="N1052">
        <v>0</v>
      </c>
      <c r="O1052">
        <v>0</v>
      </c>
      <c r="P1052" t="s">
        <v>128</v>
      </c>
      <c r="Q1052" s="2">
        <v>0.7</v>
      </c>
      <c r="R1052">
        <v>0</v>
      </c>
      <c r="V1052" t="str">
        <f>VLOOKUP(H1052,'[1]팀별 출판사'!A:B,2,0)</f>
        <v>소설1팀</v>
      </c>
      <c r="W1052" s="6">
        <f t="shared" si="32"/>
        <v>0</v>
      </c>
      <c r="X1052" s="6">
        <f t="shared" si="33"/>
        <v>0</v>
      </c>
    </row>
    <row r="1053" spans="1:24" x14ac:dyDescent="0.3">
      <c r="A1053" t="s">
        <v>1743</v>
      </c>
      <c r="B1053" t="s">
        <v>1793</v>
      </c>
      <c r="C1053" t="s">
        <v>23</v>
      </c>
      <c r="D1053" t="s">
        <v>24</v>
      </c>
      <c r="E1053" t="s">
        <v>25</v>
      </c>
      <c r="F1053">
        <v>1</v>
      </c>
      <c r="G1053">
        <v>9791133101863</v>
      </c>
      <c r="H1053" t="s">
        <v>32</v>
      </c>
      <c r="I1053" t="s">
        <v>159</v>
      </c>
      <c r="J1053" t="s">
        <v>160</v>
      </c>
      <c r="K1053" t="s">
        <v>29</v>
      </c>
      <c r="L1053">
        <v>0</v>
      </c>
      <c r="M1053" t="s">
        <v>29</v>
      </c>
      <c r="N1053">
        <v>0</v>
      </c>
      <c r="O1053">
        <v>0</v>
      </c>
      <c r="P1053" t="s">
        <v>30</v>
      </c>
      <c r="Q1053" s="2">
        <v>0.7</v>
      </c>
      <c r="R1053">
        <v>0</v>
      </c>
      <c r="V1053" t="str">
        <f>VLOOKUP(H1053,'[1]팀별 출판사'!A:B,2,0)</f>
        <v>소설1팀</v>
      </c>
      <c r="W1053" s="6">
        <f t="shared" si="32"/>
        <v>0</v>
      </c>
      <c r="X1053" s="6">
        <f t="shared" si="33"/>
        <v>0</v>
      </c>
    </row>
    <row r="1054" spans="1:24" x14ac:dyDescent="0.3">
      <c r="A1054" t="s">
        <v>1743</v>
      </c>
      <c r="B1054" t="s">
        <v>1794</v>
      </c>
      <c r="C1054" t="s">
        <v>23</v>
      </c>
      <c r="D1054" t="s">
        <v>24</v>
      </c>
      <c r="E1054" t="s">
        <v>25</v>
      </c>
      <c r="F1054">
        <v>1</v>
      </c>
      <c r="G1054">
        <v>9791170107392</v>
      </c>
      <c r="H1054" t="s">
        <v>67</v>
      </c>
      <c r="I1054" t="s">
        <v>1795</v>
      </c>
      <c r="J1054" t="s">
        <v>392</v>
      </c>
      <c r="K1054" t="s">
        <v>29</v>
      </c>
      <c r="L1054" s="1">
        <v>2500</v>
      </c>
      <c r="M1054" t="s">
        <v>29</v>
      </c>
      <c r="N1054" s="1">
        <v>2500</v>
      </c>
      <c r="O1054" s="1">
        <v>2500</v>
      </c>
      <c r="P1054" t="s">
        <v>30</v>
      </c>
      <c r="Q1054" s="2">
        <v>0.7</v>
      </c>
      <c r="R1054" s="1">
        <v>1750</v>
      </c>
      <c r="S1054" t="s">
        <v>29</v>
      </c>
      <c r="T1054" s="1">
        <v>1750</v>
      </c>
      <c r="V1054" t="str">
        <f>VLOOKUP(H1054,'[1]팀별 출판사'!A:B,2,0)</f>
        <v>소설1팀</v>
      </c>
      <c r="W1054" s="6">
        <f t="shared" si="32"/>
        <v>0</v>
      </c>
      <c r="X1054" s="6">
        <f t="shared" si="33"/>
        <v>1750</v>
      </c>
    </row>
    <row r="1055" spans="1:24" x14ac:dyDescent="0.3">
      <c r="A1055" t="s">
        <v>1743</v>
      </c>
      <c r="B1055" t="s">
        <v>1796</v>
      </c>
      <c r="C1055" t="s">
        <v>23</v>
      </c>
      <c r="D1055" t="s">
        <v>24</v>
      </c>
      <c r="E1055" t="s">
        <v>25</v>
      </c>
      <c r="F1055">
        <v>1</v>
      </c>
      <c r="G1055">
        <v>9791170101734</v>
      </c>
      <c r="H1055" t="s">
        <v>67</v>
      </c>
      <c r="I1055" t="s">
        <v>1797</v>
      </c>
      <c r="J1055" t="s">
        <v>1798</v>
      </c>
      <c r="K1055" t="s">
        <v>29</v>
      </c>
      <c r="L1055">
        <v>0</v>
      </c>
      <c r="M1055" t="s">
        <v>29</v>
      </c>
      <c r="N1055">
        <v>0</v>
      </c>
      <c r="O1055">
        <v>0</v>
      </c>
      <c r="P1055" t="s">
        <v>30</v>
      </c>
      <c r="Q1055" s="2">
        <v>0.7</v>
      </c>
      <c r="R1055">
        <v>0</v>
      </c>
      <c r="V1055" t="str">
        <f>VLOOKUP(H1055,'[1]팀별 출판사'!A:B,2,0)</f>
        <v>소설1팀</v>
      </c>
      <c r="W1055" s="6">
        <f t="shared" si="32"/>
        <v>0</v>
      </c>
      <c r="X1055" s="6">
        <f t="shared" si="33"/>
        <v>0</v>
      </c>
    </row>
    <row r="1056" spans="1:24" x14ac:dyDescent="0.3">
      <c r="A1056" t="s">
        <v>1743</v>
      </c>
      <c r="B1056" t="s">
        <v>1799</v>
      </c>
      <c r="C1056" t="s">
        <v>23</v>
      </c>
      <c r="D1056" t="s">
        <v>24</v>
      </c>
      <c r="E1056" t="s">
        <v>25</v>
      </c>
      <c r="F1056">
        <v>1</v>
      </c>
      <c r="G1056" t="s">
        <v>1036</v>
      </c>
      <c r="H1056" t="s">
        <v>32</v>
      </c>
      <c r="I1056" t="s">
        <v>1037</v>
      </c>
      <c r="J1056" t="s">
        <v>311</v>
      </c>
      <c r="K1056" t="s">
        <v>29</v>
      </c>
      <c r="L1056">
        <v>0</v>
      </c>
      <c r="M1056" t="s">
        <v>29</v>
      </c>
      <c r="N1056">
        <v>0</v>
      </c>
      <c r="O1056">
        <v>0</v>
      </c>
      <c r="P1056" t="s">
        <v>30</v>
      </c>
      <c r="Q1056" s="2">
        <v>0.7</v>
      </c>
      <c r="R1056">
        <v>0</v>
      </c>
      <c r="V1056" t="str">
        <f>VLOOKUP(H1056,'[1]팀별 출판사'!A:B,2,0)</f>
        <v>소설1팀</v>
      </c>
      <c r="W1056" s="6">
        <f t="shared" si="32"/>
        <v>0</v>
      </c>
      <c r="X1056" s="6">
        <f t="shared" si="33"/>
        <v>0</v>
      </c>
    </row>
    <row r="1057" spans="1:24" x14ac:dyDescent="0.3">
      <c r="A1057" t="s">
        <v>1743</v>
      </c>
      <c r="B1057" t="s">
        <v>1800</v>
      </c>
      <c r="C1057" t="s">
        <v>23</v>
      </c>
      <c r="D1057" t="s">
        <v>24</v>
      </c>
      <c r="E1057" t="s">
        <v>25</v>
      </c>
      <c r="F1057">
        <v>1</v>
      </c>
      <c r="G1057">
        <v>9791133186501</v>
      </c>
      <c r="H1057" t="s">
        <v>26</v>
      </c>
      <c r="I1057" t="s">
        <v>64</v>
      </c>
      <c r="J1057" t="s">
        <v>65</v>
      </c>
      <c r="K1057" t="s">
        <v>29</v>
      </c>
      <c r="L1057">
        <v>0</v>
      </c>
      <c r="M1057" t="s">
        <v>29</v>
      </c>
      <c r="N1057">
        <v>0</v>
      </c>
      <c r="O1057">
        <v>0</v>
      </c>
      <c r="P1057" t="s">
        <v>30</v>
      </c>
      <c r="Q1057" s="2">
        <v>0.7</v>
      </c>
      <c r="R1057">
        <v>0</v>
      </c>
      <c r="V1057" t="str">
        <f>VLOOKUP(H1057,'[1]팀별 출판사'!A:B,2,0)</f>
        <v>소설1팀</v>
      </c>
      <c r="W1057" s="6">
        <f t="shared" si="32"/>
        <v>0</v>
      </c>
      <c r="X1057" s="6">
        <f t="shared" si="33"/>
        <v>0</v>
      </c>
    </row>
    <row r="1058" spans="1:24" x14ac:dyDescent="0.3">
      <c r="A1058" t="s">
        <v>1743</v>
      </c>
      <c r="B1058" t="s">
        <v>1801</v>
      </c>
      <c r="C1058" t="s">
        <v>23</v>
      </c>
      <c r="D1058" t="s">
        <v>24</v>
      </c>
      <c r="E1058" t="s">
        <v>25</v>
      </c>
      <c r="F1058">
        <v>1</v>
      </c>
      <c r="G1058">
        <v>9791136903754</v>
      </c>
      <c r="H1058" t="s">
        <v>26</v>
      </c>
      <c r="I1058" t="s">
        <v>361</v>
      </c>
      <c r="J1058" t="s">
        <v>256</v>
      </c>
      <c r="K1058" t="s">
        <v>29</v>
      </c>
      <c r="L1058">
        <v>0</v>
      </c>
      <c r="M1058" t="s">
        <v>29</v>
      </c>
      <c r="N1058">
        <v>0</v>
      </c>
      <c r="O1058">
        <v>0</v>
      </c>
      <c r="P1058" t="s">
        <v>30</v>
      </c>
      <c r="Q1058" s="2">
        <v>0.7</v>
      </c>
      <c r="R1058">
        <v>0</v>
      </c>
      <c r="V1058" t="str">
        <f>VLOOKUP(H1058,'[1]팀별 출판사'!A:B,2,0)</f>
        <v>소설1팀</v>
      </c>
      <c r="W1058" s="6">
        <f t="shared" si="32"/>
        <v>0</v>
      </c>
      <c r="X1058" s="6">
        <f t="shared" si="33"/>
        <v>0</v>
      </c>
    </row>
    <row r="1059" spans="1:24" x14ac:dyDescent="0.3">
      <c r="A1059" t="s">
        <v>1743</v>
      </c>
      <c r="B1059" t="s">
        <v>1802</v>
      </c>
      <c r="C1059" t="s">
        <v>23</v>
      </c>
      <c r="D1059" t="s">
        <v>24</v>
      </c>
      <c r="E1059" t="s">
        <v>25</v>
      </c>
      <c r="F1059">
        <v>1</v>
      </c>
      <c r="G1059">
        <v>9791136916419</v>
      </c>
      <c r="H1059" t="s">
        <v>26</v>
      </c>
      <c r="I1059" t="s">
        <v>1803</v>
      </c>
      <c r="J1059" t="s">
        <v>62</v>
      </c>
      <c r="K1059" t="s">
        <v>29</v>
      </c>
      <c r="L1059" s="1">
        <v>3200</v>
      </c>
      <c r="M1059" t="s">
        <v>29</v>
      </c>
      <c r="N1059" s="1">
        <v>3200</v>
      </c>
      <c r="O1059" s="1">
        <v>3200</v>
      </c>
      <c r="P1059" t="s">
        <v>30</v>
      </c>
      <c r="Q1059" s="2">
        <v>0.7</v>
      </c>
      <c r="R1059" s="1">
        <v>2240</v>
      </c>
      <c r="S1059" t="s">
        <v>29</v>
      </c>
      <c r="T1059" s="1">
        <v>2240</v>
      </c>
      <c r="V1059" t="str">
        <f>VLOOKUP(H1059,'[1]팀별 출판사'!A:B,2,0)</f>
        <v>소설1팀</v>
      </c>
      <c r="W1059" s="6">
        <f t="shared" si="32"/>
        <v>0</v>
      </c>
      <c r="X1059" s="6">
        <f t="shared" si="33"/>
        <v>2240</v>
      </c>
    </row>
    <row r="1060" spans="1:24" x14ac:dyDescent="0.3">
      <c r="A1060" t="s">
        <v>1743</v>
      </c>
      <c r="B1060" t="s">
        <v>1804</v>
      </c>
      <c r="C1060" t="s">
        <v>23</v>
      </c>
      <c r="D1060" t="s">
        <v>24</v>
      </c>
      <c r="E1060" t="s">
        <v>25</v>
      </c>
      <c r="F1060">
        <v>1</v>
      </c>
      <c r="G1060">
        <v>9791173786884</v>
      </c>
      <c r="H1060" t="s">
        <v>26</v>
      </c>
      <c r="I1060" t="s">
        <v>1805</v>
      </c>
      <c r="J1060" t="s">
        <v>256</v>
      </c>
      <c r="K1060" t="s">
        <v>29</v>
      </c>
      <c r="L1060">
        <v>0</v>
      </c>
      <c r="M1060" t="s">
        <v>29</v>
      </c>
      <c r="N1060">
        <v>0</v>
      </c>
      <c r="O1060">
        <v>0</v>
      </c>
      <c r="P1060" t="s">
        <v>30</v>
      </c>
      <c r="Q1060" s="2">
        <v>0.7</v>
      </c>
      <c r="R1060">
        <v>0</v>
      </c>
      <c r="V1060" t="str">
        <f>VLOOKUP(H1060,'[1]팀별 출판사'!A:B,2,0)</f>
        <v>소설1팀</v>
      </c>
      <c r="W1060" s="6">
        <f t="shared" si="32"/>
        <v>0</v>
      </c>
      <c r="X1060" s="6">
        <f t="shared" si="33"/>
        <v>0</v>
      </c>
    </row>
    <row r="1061" spans="1:24" x14ac:dyDescent="0.3">
      <c r="A1061" t="s">
        <v>1743</v>
      </c>
      <c r="B1061" t="s">
        <v>1806</v>
      </c>
      <c r="C1061" t="s">
        <v>23</v>
      </c>
      <c r="D1061" t="s">
        <v>24</v>
      </c>
      <c r="E1061" t="s">
        <v>25</v>
      </c>
      <c r="F1061">
        <v>1</v>
      </c>
      <c r="G1061">
        <v>9791136907240</v>
      </c>
      <c r="H1061" t="s">
        <v>26</v>
      </c>
      <c r="I1061" t="s">
        <v>1807</v>
      </c>
      <c r="J1061" t="s">
        <v>1348</v>
      </c>
      <c r="K1061" t="s">
        <v>29</v>
      </c>
      <c r="L1061" s="1">
        <v>3200</v>
      </c>
      <c r="M1061" t="s">
        <v>29</v>
      </c>
      <c r="N1061" s="1">
        <v>3200</v>
      </c>
      <c r="O1061" s="1">
        <v>3200</v>
      </c>
      <c r="P1061" t="s">
        <v>30</v>
      </c>
      <c r="Q1061" s="2">
        <v>0.7</v>
      </c>
      <c r="R1061" s="1">
        <v>2240</v>
      </c>
      <c r="S1061" t="s">
        <v>29</v>
      </c>
      <c r="T1061" s="1">
        <v>2240</v>
      </c>
      <c r="V1061" t="str">
        <f>VLOOKUP(H1061,'[1]팀별 출판사'!A:B,2,0)</f>
        <v>소설1팀</v>
      </c>
      <c r="W1061" s="6">
        <f t="shared" si="32"/>
        <v>0</v>
      </c>
      <c r="X1061" s="6">
        <f t="shared" si="33"/>
        <v>2240</v>
      </c>
    </row>
    <row r="1062" spans="1:24" x14ac:dyDescent="0.3">
      <c r="A1062" t="s">
        <v>1743</v>
      </c>
      <c r="B1062" t="s">
        <v>1808</v>
      </c>
      <c r="C1062" t="s">
        <v>23</v>
      </c>
      <c r="D1062" t="s">
        <v>24</v>
      </c>
      <c r="E1062" t="s">
        <v>25</v>
      </c>
      <c r="F1062">
        <v>1</v>
      </c>
      <c r="G1062">
        <v>9791133173402</v>
      </c>
      <c r="H1062" t="s">
        <v>26</v>
      </c>
      <c r="I1062" t="s">
        <v>1039</v>
      </c>
      <c r="J1062" t="s">
        <v>287</v>
      </c>
      <c r="K1062" t="s">
        <v>29</v>
      </c>
      <c r="L1062">
        <v>0</v>
      </c>
      <c r="M1062" t="s">
        <v>29</v>
      </c>
      <c r="N1062">
        <v>0</v>
      </c>
      <c r="O1062">
        <v>0</v>
      </c>
      <c r="P1062" t="s">
        <v>30</v>
      </c>
      <c r="Q1062" s="2">
        <v>0.7</v>
      </c>
      <c r="R1062">
        <v>0</v>
      </c>
      <c r="V1062" t="str">
        <f>VLOOKUP(H1062,'[1]팀별 출판사'!A:B,2,0)</f>
        <v>소설1팀</v>
      </c>
      <c r="W1062" s="6">
        <f t="shared" si="32"/>
        <v>0</v>
      </c>
      <c r="X1062" s="6">
        <f t="shared" si="33"/>
        <v>0</v>
      </c>
    </row>
    <row r="1063" spans="1:24" x14ac:dyDescent="0.3">
      <c r="A1063" t="s">
        <v>1743</v>
      </c>
      <c r="B1063" t="s">
        <v>1809</v>
      </c>
      <c r="C1063" t="s">
        <v>23</v>
      </c>
      <c r="D1063" t="s">
        <v>24</v>
      </c>
      <c r="E1063" t="s">
        <v>25</v>
      </c>
      <c r="F1063">
        <v>1</v>
      </c>
      <c r="G1063">
        <v>9791136911216</v>
      </c>
      <c r="H1063" t="s">
        <v>32</v>
      </c>
      <c r="I1063" t="s">
        <v>918</v>
      </c>
      <c r="J1063" t="s">
        <v>160</v>
      </c>
      <c r="K1063" t="s">
        <v>29</v>
      </c>
      <c r="L1063" s="1">
        <v>3200</v>
      </c>
      <c r="M1063" t="s">
        <v>29</v>
      </c>
      <c r="N1063" s="1">
        <v>3200</v>
      </c>
      <c r="O1063" s="1">
        <v>3200</v>
      </c>
      <c r="P1063" t="s">
        <v>30</v>
      </c>
      <c r="Q1063" s="2">
        <v>0.7</v>
      </c>
      <c r="R1063" s="1">
        <v>2240</v>
      </c>
      <c r="S1063" t="s">
        <v>29</v>
      </c>
      <c r="T1063" s="1">
        <v>2240</v>
      </c>
      <c r="V1063" t="str">
        <f>VLOOKUP(H1063,'[1]팀별 출판사'!A:B,2,0)</f>
        <v>소설1팀</v>
      </c>
      <c r="W1063" s="6">
        <f t="shared" si="32"/>
        <v>0</v>
      </c>
      <c r="X1063" s="6">
        <f t="shared" si="33"/>
        <v>2240</v>
      </c>
    </row>
    <row r="1064" spans="1:24" x14ac:dyDescent="0.3">
      <c r="A1064" t="s">
        <v>1743</v>
      </c>
      <c r="B1064" t="s">
        <v>1810</v>
      </c>
      <c r="C1064" t="s">
        <v>23</v>
      </c>
      <c r="D1064" t="s">
        <v>24</v>
      </c>
      <c r="E1064" t="s">
        <v>25</v>
      </c>
      <c r="F1064">
        <v>1</v>
      </c>
      <c r="G1064">
        <v>9791136930361</v>
      </c>
      <c r="H1064" t="s">
        <v>32</v>
      </c>
      <c r="I1064" t="s">
        <v>33</v>
      </c>
      <c r="J1064" t="s">
        <v>34</v>
      </c>
      <c r="K1064" t="s">
        <v>29</v>
      </c>
      <c r="L1064">
        <v>0</v>
      </c>
      <c r="M1064" t="s">
        <v>362</v>
      </c>
      <c r="N1064">
        <v>0</v>
      </c>
      <c r="O1064">
        <v>0</v>
      </c>
      <c r="P1064" t="s">
        <v>363</v>
      </c>
      <c r="Q1064" s="2">
        <v>0.7</v>
      </c>
      <c r="R1064">
        <v>0</v>
      </c>
      <c r="V1064" t="str">
        <f>VLOOKUP(H1064,'[1]팀별 출판사'!A:B,2,0)</f>
        <v>소설1팀</v>
      </c>
      <c r="W1064" s="6">
        <f t="shared" si="32"/>
        <v>0</v>
      </c>
      <c r="X1064" s="6">
        <f t="shared" si="33"/>
        <v>0</v>
      </c>
    </row>
    <row r="1065" spans="1:24" x14ac:dyDescent="0.3">
      <c r="A1065" t="s">
        <v>1743</v>
      </c>
      <c r="B1065" t="s">
        <v>1811</v>
      </c>
      <c r="C1065" t="s">
        <v>23</v>
      </c>
      <c r="D1065" t="s">
        <v>24</v>
      </c>
      <c r="E1065" t="s">
        <v>25</v>
      </c>
      <c r="F1065">
        <v>1</v>
      </c>
      <c r="G1065">
        <v>9791175303980</v>
      </c>
      <c r="H1065" t="s">
        <v>79</v>
      </c>
      <c r="I1065" t="s">
        <v>1812</v>
      </c>
      <c r="J1065" t="s">
        <v>571</v>
      </c>
      <c r="K1065" t="s">
        <v>29</v>
      </c>
      <c r="L1065" s="1">
        <v>3200</v>
      </c>
      <c r="M1065" t="s">
        <v>29</v>
      </c>
      <c r="N1065" s="1">
        <v>3200</v>
      </c>
      <c r="O1065" s="1">
        <v>3200</v>
      </c>
      <c r="P1065" t="s">
        <v>30</v>
      </c>
      <c r="Q1065" s="2">
        <v>0.7</v>
      </c>
      <c r="R1065" s="1">
        <v>2240</v>
      </c>
      <c r="S1065" t="s">
        <v>29</v>
      </c>
      <c r="T1065" s="1">
        <v>2240</v>
      </c>
      <c r="V1065" t="str">
        <f>VLOOKUP(H1065,'[1]팀별 출판사'!A:B,2,0)</f>
        <v>소설1팀</v>
      </c>
      <c r="W1065" s="6">
        <f t="shared" si="32"/>
        <v>0</v>
      </c>
      <c r="X1065" s="6">
        <f t="shared" si="33"/>
        <v>2240</v>
      </c>
    </row>
    <row r="1066" spans="1:24" x14ac:dyDescent="0.3">
      <c r="A1066" t="s">
        <v>1743</v>
      </c>
      <c r="B1066" t="s">
        <v>1813</v>
      </c>
      <c r="C1066" t="s">
        <v>23</v>
      </c>
      <c r="D1066" t="s">
        <v>24</v>
      </c>
      <c r="E1066" t="s">
        <v>25</v>
      </c>
      <c r="F1066">
        <v>1</v>
      </c>
      <c r="G1066">
        <v>9791136926791</v>
      </c>
      <c r="H1066" t="s">
        <v>26</v>
      </c>
      <c r="I1066" t="s">
        <v>1814</v>
      </c>
      <c r="J1066" t="s">
        <v>62</v>
      </c>
      <c r="K1066" t="s">
        <v>29</v>
      </c>
      <c r="L1066" s="1">
        <v>3200</v>
      </c>
      <c r="M1066" t="s">
        <v>29</v>
      </c>
      <c r="N1066" s="1">
        <v>3200</v>
      </c>
      <c r="O1066" s="1">
        <v>3200</v>
      </c>
      <c r="P1066" t="s">
        <v>30</v>
      </c>
      <c r="Q1066" s="2">
        <v>0.7</v>
      </c>
      <c r="R1066" s="1">
        <v>2240</v>
      </c>
      <c r="S1066" t="s">
        <v>29</v>
      </c>
      <c r="T1066" s="1">
        <v>2240</v>
      </c>
      <c r="V1066" t="str">
        <f>VLOOKUP(H1066,'[1]팀별 출판사'!A:B,2,0)</f>
        <v>소설1팀</v>
      </c>
      <c r="W1066" s="6">
        <f t="shared" si="32"/>
        <v>0</v>
      </c>
      <c r="X1066" s="6">
        <f t="shared" si="33"/>
        <v>2240</v>
      </c>
    </row>
    <row r="1067" spans="1:24" x14ac:dyDescent="0.3">
      <c r="A1067" t="s">
        <v>1743</v>
      </c>
      <c r="B1067" t="s">
        <v>1815</v>
      </c>
      <c r="C1067" t="s">
        <v>23</v>
      </c>
      <c r="D1067" t="s">
        <v>24</v>
      </c>
      <c r="E1067" t="s">
        <v>25</v>
      </c>
      <c r="F1067">
        <v>1</v>
      </c>
      <c r="G1067">
        <v>9791172927844</v>
      </c>
      <c r="H1067" t="s">
        <v>79</v>
      </c>
      <c r="I1067" t="s">
        <v>1168</v>
      </c>
      <c r="J1067" t="s">
        <v>81</v>
      </c>
      <c r="K1067" t="s">
        <v>29</v>
      </c>
      <c r="L1067">
        <v>0</v>
      </c>
      <c r="M1067" t="s">
        <v>29</v>
      </c>
      <c r="N1067">
        <v>0</v>
      </c>
      <c r="O1067">
        <v>0</v>
      </c>
      <c r="P1067" t="s">
        <v>30</v>
      </c>
      <c r="Q1067" s="2">
        <v>0.7</v>
      </c>
      <c r="R1067">
        <v>0</v>
      </c>
      <c r="V1067" t="str">
        <f>VLOOKUP(H1067,'[1]팀별 출판사'!A:B,2,0)</f>
        <v>소설1팀</v>
      </c>
      <c r="W1067" s="6">
        <f t="shared" si="32"/>
        <v>0</v>
      </c>
      <c r="X1067" s="6">
        <f t="shared" si="33"/>
        <v>0</v>
      </c>
    </row>
    <row r="1068" spans="1:24" x14ac:dyDescent="0.3">
      <c r="A1068" t="s">
        <v>1743</v>
      </c>
      <c r="B1068" t="s">
        <v>1816</v>
      </c>
      <c r="C1068" t="s">
        <v>23</v>
      </c>
      <c r="D1068" t="s">
        <v>24</v>
      </c>
      <c r="E1068" t="s">
        <v>25</v>
      </c>
      <c r="F1068">
        <v>1</v>
      </c>
      <c r="G1068">
        <v>9791136930118</v>
      </c>
      <c r="H1068" t="s">
        <v>32</v>
      </c>
      <c r="I1068" t="s">
        <v>828</v>
      </c>
      <c r="J1068" t="s">
        <v>157</v>
      </c>
      <c r="K1068" t="s">
        <v>29</v>
      </c>
      <c r="L1068">
        <v>0</v>
      </c>
      <c r="M1068" t="s">
        <v>29</v>
      </c>
      <c r="N1068">
        <v>0</v>
      </c>
      <c r="O1068">
        <v>0</v>
      </c>
      <c r="P1068" t="s">
        <v>30</v>
      </c>
      <c r="Q1068" s="2">
        <v>0.7</v>
      </c>
      <c r="R1068">
        <v>0</v>
      </c>
      <c r="V1068" t="str">
        <f>VLOOKUP(H1068,'[1]팀별 출판사'!A:B,2,0)</f>
        <v>소설1팀</v>
      </c>
      <c r="W1068" s="6">
        <f t="shared" si="32"/>
        <v>0</v>
      </c>
      <c r="X1068" s="6">
        <f t="shared" si="33"/>
        <v>0</v>
      </c>
    </row>
    <row r="1069" spans="1:24" x14ac:dyDescent="0.3">
      <c r="A1069" t="s">
        <v>1743</v>
      </c>
      <c r="B1069" t="s">
        <v>1817</v>
      </c>
      <c r="C1069" t="s">
        <v>23</v>
      </c>
      <c r="D1069" t="s">
        <v>24</v>
      </c>
      <c r="E1069" t="s">
        <v>25</v>
      </c>
      <c r="F1069">
        <v>1</v>
      </c>
      <c r="G1069">
        <v>9791170106715</v>
      </c>
      <c r="H1069" t="s">
        <v>67</v>
      </c>
      <c r="I1069" t="s">
        <v>68</v>
      </c>
      <c r="J1069" t="s">
        <v>69</v>
      </c>
      <c r="K1069" t="s">
        <v>29</v>
      </c>
      <c r="L1069">
        <v>0</v>
      </c>
      <c r="M1069" t="s">
        <v>29</v>
      </c>
      <c r="N1069">
        <v>0</v>
      </c>
      <c r="O1069">
        <v>0</v>
      </c>
      <c r="P1069" t="s">
        <v>30</v>
      </c>
      <c r="Q1069" s="2">
        <v>0.7</v>
      </c>
      <c r="R1069">
        <v>0</v>
      </c>
      <c r="V1069" t="str">
        <f>VLOOKUP(H1069,'[1]팀별 출판사'!A:B,2,0)</f>
        <v>소설1팀</v>
      </c>
      <c r="W1069" s="6">
        <f t="shared" si="32"/>
        <v>0</v>
      </c>
      <c r="X1069" s="6">
        <f t="shared" si="33"/>
        <v>0</v>
      </c>
    </row>
    <row r="1070" spans="1:24" x14ac:dyDescent="0.3">
      <c r="A1070" t="s">
        <v>1743</v>
      </c>
      <c r="B1070" t="s">
        <v>1818</v>
      </c>
      <c r="C1070" t="s">
        <v>23</v>
      </c>
      <c r="D1070" t="s">
        <v>24</v>
      </c>
      <c r="E1070" t="s">
        <v>25</v>
      </c>
      <c r="F1070">
        <v>1</v>
      </c>
      <c r="G1070">
        <v>9791136958709</v>
      </c>
      <c r="H1070" t="s">
        <v>79</v>
      </c>
      <c r="I1070" t="s">
        <v>234</v>
      </c>
      <c r="J1070" t="s">
        <v>81</v>
      </c>
      <c r="K1070" t="s">
        <v>29</v>
      </c>
      <c r="L1070" s="1">
        <v>3200</v>
      </c>
      <c r="M1070" t="s">
        <v>29</v>
      </c>
      <c r="N1070" s="1">
        <v>3200</v>
      </c>
      <c r="O1070" s="1">
        <v>3200</v>
      </c>
      <c r="P1070" t="s">
        <v>30</v>
      </c>
      <c r="Q1070" s="2">
        <v>0.7</v>
      </c>
      <c r="R1070" s="1">
        <v>2240</v>
      </c>
      <c r="S1070" t="s">
        <v>29</v>
      </c>
      <c r="T1070" s="1">
        <v>2240</v>
      </c>
      <c r="V1070" t="str">
        <f>VLOOKUP(H1070,'[1]팀별 출판사'!A:B,2,0)</f>
        <v>소설1팀</v>
      </c>
      <c r="W1070" s="6">
        <f t="shared" si="32"/>
        <v>0</v>
      </c>
      <c r="X1070" s="6">
        <f t="shared" si="33"/>
        <v>2240</v>
      </c>
    </row>
    <row r="1071" spans="1:24" x14ac:dyDescent="0.3">
      <c r="A1071" t="s">
        <v>1743</v>
      </c>
      <c r="B1071" t="s">
        <v>1819</v>
      </c>
      <c r="C1071" t="s">
        <v>23</v>
      </c>
      <c r="D1071" t="s">
        <v>24</v>
      </c>
      <c r="E1071" t="s">
        <v>25</v>
      </c>
      <c r="F1071">
        <v>1</v>
      </c>
      <c r="G1071">
        <v>9791133186501</v>
      </c>
      <c r="H1071" t="s">
        <v>26</v>
      </c>
      <c r="I1071" t="s">
        <v>64</v>
      </c>
      <c r="J1071" t="s">
        <v>65</v>
      </c>
      <c r="K1071" t="s">
        <v>29</v>
      </c>
      <c r="L1071">
        <v>0</v>
      </c>
      <c r="M1071" t="s">
        <v>29</v>
      </c>
      <c r="N1071">
        <v>0</v>
      </c>
      <c r="O1071">
        <v>0</v>
      </c>
      <c r="P1071" t="s">
        <v>30</v>
      </c>
      <c r="Q1071" s="2">
        <v>0.7</v>
      </c>
      <c r="R1071">
        <v>0</v>
      </c>
      <c r="V1071" t="str">
        <f>VLOOKUP(H1071,'[1]팀별 출판사'!A:B,2,0)</f>
        <v>소설1팀</v>
      </c>
      <c r="W1071" s="6">
        <f t="shared" si="32"/>
        <v>0</v>
      </c>
      <c r="X1071" s="6">
        <f t="shared" si="33"/>
        <v>0</v>
      </c>
    </row>
    <row r="1072" spans="1:24" x14ac:dyDescent="0.3">
      <c r="A1072" t="s">
        <v>1743</v>
      </c>
      <c r="B1072" t="s">
        <v>1820</v>
      </c>
      <c r="C1072" t="s">
        <v>23</v>
      </c>
      <c r="D1072" t="s">
        <v>24</v>
      </c>
      <c r="E1072" t="s">
        <v>25</v>
      </c>
      <c r="F1072">
        <v>1</v>
      </c>
      <c r="G1072">
        <v>9788928005826</v>
      </c>
      <c r="H1072" t="s">
        <v>32</v>
      </c>
      <c r="I1072" t="s">
        <v>310</v>
      </c>
      <c r="J1072" t="s">
        <v>311</v>
      </c>
      <c r="K1072" t="s">
        <v>29</v>
      </c>
      <c r="L1072">
        <v>0</v>
      </c>
      <c r="M1072" t="s">
        <v>29</v>
      </c>
      <c r="N1072">
        <v>0</v>
      </c>
      <c r="O1072">
        <v>0</v>
      </c>
      <c r="P1072" t="s">
        <v>30</v>
      </c>
      <c r="Q1072" s="2">
        <v>0.7</v>
      </c>
      <c r="R1072">
        <v>0</v>
      </c>
      <c r="V1072" t="str">
        <f>VLOOKUP(H1072,'[1]팀별 출판사'!A:B,2,0)</f>
        <v>소설1팀</v>
      </c>
      <c r="W1072" s="6">
        <f t="shared" si="32"/>
        <v>0</v>
      </c>
      <c r="X1072" s="6">
        <f t="shared" si="33"/>
        <v>0</v>
      </c>
    </row>
    <row r="1073" spans="1:24" x14ac:dyDescent="0.3">
      <c r="A1073" t="s">
        <v>1743</v>
      </c>
      <c r="B1073" t="s">
        <v>1821</v>
      </c>
      <c r="C1073" t="s">
        <v>23</v>
      </c>
      <c r="D1073" t="s">
        <v>24</v>
      </c>
      <c r="E1073" t="s">
        <v>25</v>
      </c>
      <c r="F1073">
        <v>1</v>
      </c>
      <c r="G1073">
        <v>9791133144914</v>
      </c>
      <c r="H1073" t="s">
        <v>32</v>
      </c>
      <c r="I1073" t="s">
        <v>1822</v>
      </c>
      <c r="J1073" t="s">
        <v>1192</v>
      </c>
      <c r="K1073" t="s">
        <v>29</v>
      </c>
      <c r="L1073">
        <v>0</v>
      </c>
      <c r="M1073" t="s">
        <v>29</v>
      </c>
      <c r="N1073">
        <v>0</v>
      </c>
      <c r="O1073">
        <v>0</v>
      </c>
      <c r="P1073" t="s">
        <v>30</v>
      </c>
      <c r="Q1073" s="2">
        <v>0.7</v>
      </c>
      <c r="R1073">
        <v>0</v>
      </c>
      <c r="V1073" t="str">
        <f>VLOOKUP(H1073,'[1]팀별 출판사'!A:B,2,0)</f>
        <v>소설1팀</v>
      </c>
      <c r="W1073" s="6">
        <f t="shared" si="32"/>
        <v>0</v>
      </c>
      <c r="X1073" s="6">
        <f t="shared" si="33"/>
        <v>0</v>
      </c>
    </row>
    <row r="1074" spans="1:24" x14ac:dyDescent="0.3">
      <c r="A1074" t="s">
        <v>1743</v>
      </c>
      <c r="B1074" t="s">
        <v>1823</v>
      </c>
      <c r="C1074" t="s">
        <v>23</v>
      </c>
      <c r="D1074" t="s">
        <v>24</v>
      </c>
      <c r="E1074" t="s">
        <v>25</v>
      </c>
      <c r="F1074">
        <v>1</v>
      </c>
      <c r="G1074">
        <v>9791133169290</v>
      </c>
      <c r="H1074" t="s">
        <v>32</v>
      </c>
      <c r="I1074" t="s">
        <v>671</v>
      </c>
      <c r="J1074" t="s">
        <v>160</v>
      </c>
      <c r="K1074" t="s">
        <v>29</v>
      </c>
      <c r="L1074">
        <v>0</v>
      </c>
      <c r="M1074" t="s">
        <v>29</v>
      </c>
      <c r="N1074">
        <v>0</v>
      </c>
      <c r="O1074">
        <v>0</v>
      </c>
      <c r="P1074" t="s">
        <v>30</v>
      </c>
      <c r="Q1074" s="2">
        <v>0.7</v>
      </c>
      <c r="R1074">
        <v>0</v>
      </c>
      <c r="V1074" t="str">
        <f>VLOOKUP(H1074,'[1]팀별 출판사'!A:B,2,0)</f>
        <v>소설1팀</v>
      </c>
      <c r="W1074" s="6">
        <f t="shared" si="32"/>
        <v>0</v>
      </c>
      <c r="X1074" s="6">
        <f t="shared" si="33"/>
        <v>0</v>
      </c>
    </row>
    <row r="1075" spans="1:24" x14ac:dyDescent="0.3">
      <c r="A1075" t="s">
        <v>1743</v>
      </c>
      <c r="B1075" t="s">
        <v>1824</v>
      </c>
      <c r="C1075" t="s">
        <v>23</v>
      </c>
      <c r="D1075" t="s">
        <v>24</v>
      </c>
      <c r="E1075" t="s">
        <v>25</v>
      </c>
      <c r="F1075">
        <v>1</v>
      </c>
      <c r="G1075">
        <v>9791136930491</v>
      </c>
      <c r="H1075" t="s">
        <v>26</v>
      </c>
      <c r="I1075" t="s">
        <v>151</v>
      </c>
      <c r="J1075" t="s">
        <v>46</v>
      </c>
      <c r="K1075" t="s">
        <v>29</v>
      </c>
      <c r="L1075">
        <v>0</v>
      </c>
      <c r="M1075" t="s">
        <v>152</v>
      </c>
      <c r="N1075">
        <v>0</v>
      </c>
      <c r="O1075">
        <v>0</v>
      </c>
      <c r="P1075" t="s">
        <v>153</v>
      </c>
      <c r="Q1075" s="2">
        <v>0.7</v>
      </c>
      <c r="R1075">
        <v>0</v>
      </c>
      <c r="V1075" t="str">
        <f>VLOOKUP(H1075,'[1]팀별 출판사'!A:B,2,0)</f>
        <v>소설1팀</v>
      </c>
      <c r="W1075" s="6">
        <f t="shared" si="32"/>
        <v>0</v>
      </c>
      <c r="X1075" s="6">
        <f t="shared" si="33"/>
        <v>0</v>
      </c>
    </row>
    <row r="1076" spans="1:24" x14ac:dyDescent="0.3">
      <c r="A1076" t="s">
        <v>1743</v>
      </c>
      <c r="B1076" t="s">
        <v>1825</v>
      </c>
      <c r="C1076" t="s">
        <v>23</v>
      </c>
      <c r="D1076" t="s">
        <v>24</v>
      </c>
      <c r="E1076" t="s">
        <v>25</v>
      </c>
      <c r="F1076">
        <v>1</v>
      </c>
      <c r="G1076">
        <v>9791136934925</v>
      </c>
      <c r="H1076" t="s">
        <v>32</v>
      </c>
      <c r="I1076" t="s">
        <v>385</v>
      </c>
      <c r="J1076" t="s">
        <v>126</v>
      </c>
      <c r="K1076" t="s">
        <v>29</v>
      </c>
      <c r="L1076">
        <v>0</v>
      </c>
      <c r="M1076" t="s">
        <v>47</v>
      </c>
      <c r="N1076">
        <v>0</v>
      </c>
      <c r="O1076">
        <v>0</v>
      </c>
      <c r="P1076" t="s">
        <v>48</v>
      </c>
      <c r="Q1076" s="2">
        <v>0.7</v>
      </c>
      <c r="R1076">
        <v>0</v>
      </c>
      <c r="V1076" t="str">
        <f>VLOOKUP(H1076,'[1]팀별 출판사'!A:B,2,0)</f>
        <v>소설1팀</v>
      </c>
      <c r="W1076" s="6">
        <f t="shared" si="32"/>
        <v>0</v>
      </c>
      <c r="X1076" s="6">
        <f t="shared" si="33"/>
        <v>0</v>
      </c>
    </row>
    <row r="1077" spans="1:24" x14ac:dyDescent="0.3">
      <c r="A1077" t="s">
        <v>1743</v>
      </c>
      <c r="B1077" t="s">
        <v>1826</v>
      </c>
      <c r="C1077" t="s">
        <v>23</v>
      </c>
      <c r="D1077" t="s">
        <v>24</v>
      </c>
      <c r="E1077" t="s">
        <v>25</v>
      </c>
      <c r="F1077">
        <v>1</v>
      </c>
      <c r="G1077">
        <v>9791136935007</v>
      </c>
      <c r="H1077" t="s">
        <v>32</v>
      </c>
      <c r="I1077" t="s">
        <v>1081</v>
      </c>
      <c r="J1077" t="s">
        <v>1082</v>
      </c>
      <c r="K1077" t="s">
        <v>29</v>
      </c>
      <c r="L1077">
        <v>0</v>
      </c>
      <c r="M1077" t="s">
        <v>1827</v>
      </c>
      <c r="N1077">
        <v>0</v>
      </c>
      <c r="O1077">
        <v>0</v>
      </c>
      <c r="P1077" t="s">
        <v>1828</v>
      </c>
      <c r="Q1077" s="2">
        <v>0.7</v>
      </c>
      <c r="R1077">
        <v>0</v>
      </c>
      <c r="V1077" t="str">
        <f>VLOOKUP(H1077,'[1]팀별 출판사'!A:B,2,0)</f>
        <v>소설1팀</v>
      </c>
      <c r="W1077" s="6">
        <f t="shared" si="32"/>
        <v>0</v>
      </c>
      <c r="X1077" s="6">
        <f t="shared" si="33"/>
        <v>0</v>
      </c>
    </row>
    <row r="1078" spans="1:24" x14ac:dyDescent="0.3">
      <c r="A1078" t="s">
        <v>1743</v>
      </c>
      <c r="B1078" t="s">
        <v>1829</v>
      </c>
      <c r="C1078" t="s">
        <v>23</v>
      </c>
      <c r="D1078" t="s">
        <v>24</v>
      </c>
      <c r="E1078" t="s">
        <v>25</v>
      </c>
      <c r="F1078">
        <v>1</v>
      </c>
      <c r="G1078">
        <v>9791136903617</v>
      </c>
      <c r="H1078" t="s">
        <v>26</v>
      </c>
      <c r="I1078" t="s">
        <v>1830</v>
      </c>
      <c r="J1078" t="s">
        <v>1376</v>
      </c>
      <c r="K1078" t="s">
        <v>29</v>
      </c>
      <c r="L1078" s="1">
        <v>3200</v>
      </c>
      <c r="M1078" t="s">
        <v>70</v>
      </c>
      <c r="N1078">
        <v>2.2200000000000002</v>
      </c>
      <c r="O1078">
        <v>2.2200000000000002</v>
      </c>
      <c r="P1078" t="s">
        <v>71</v>
      </c>
      <c r="Q1078" s="2">
        <v>0.7</v>
      </c>
      <c r="R1078">
        <v>1.55</v>
      </c>
      <c r="S1078" t="s">
        <v>29</v>
      </c>
      <c r="T1078" s="1">
        <v>2269</v>
      </c>
      <c r="U1078" s="3">
        <v>1463.9845399999999</v>
      </c>
      <c r="V1078" t="str">
        <f>VLOOKUP(H1078,'[1]팀별 출판사'!A:B,2,0)</f>
        <v>소설1팀</v>
      </c>
      <c r="W1078" s="6">
        <f t="shared" si="32"/>
        <v>680.69999999999993</v>
      </c>
      <c r="X1078" s="6">
        <f t="shared" si="33"/>
        <v>1588.3000000000002</v>
      </c>
    </row>
    <row r="1079" spans="1:24" x14ac:dyDescent="0.3">
      <c r="A1079" t="s">
        <v>1743</v>
      </c>
      <c r="B1079" t="s">
        <v>1829</v>
      </c>
      <c r="C1079" t="s">
        <v>23</v>
      </c>
      <c r="D1079" t="s">
        <v>24</v>
      </c>
      <c r="E1079" t="s">
        <v>25</v>
      </c>
      <c r="F1079">
        <v>1</v>
      </c>
      <c r="G1079">
        <v>9791136903624</v>
      </c>
      <c r="H1079" t="s">
        <v>26</v>
      </c>
      <c r="I1079" t="s">
        <v>1831</v>
      </c>
      <c r="J1079" t="s">
        <v>1376</v>
      </c>
      <c r="K1079" t="s">
        <v>29</v>
      </c>
      <c r="L1079" s="1">
        <v>3200</v>
      </c>
      <c r="M1079" t="s">
        <v>70</v>
      </c>
      <c r="N1079">
        <v>2.2200000000000002</v>
      </c>
      <c r="O1079">
        <v>2.2200000000000002</v>
      </c>
      <c r="P1079" t="s">
        <v>71</v>
      </c>
      <c r="Q1079" s="2">
        <v>0.7</v>
      </c>
      <c r="R1079">
        <v>1.55</v>
      </c>
      <c r="S1079" t="s">
        <v>29</v>
      </c>
      <c r="T1079" s="1">
        <v>2269</v>
      </c>
      <c r="U1079" s="3">
        <v>1463.9845399999999</v>
      </c>
      <c r="V1079" t="str">
        <f>VLOOKUP(H1079,'[1]팀별 출판사'!A:B,2,0)</f>
        <v>소설1팀</v>
      </c>
      <c r="W1079" s="6">
        <f t="shared" si="32"/>
        <v>680.69999999999993</v>
      </c>
      <c r="X1079" s="6">
        <f t="shared" si="33"/>
        <v>1588.3000000000002</v>
      </c>
    </row>
    <row r="1080" spans="1:24" x14ac:dyDescent="0.3">
      <c r="A1080" t="s">
        <v>1743</v>
      </c>
      <c r="B1080" t="s">
        <v>1832</v>
      </c>
      <c r="C1080" t="s">
        <v>23</v>
      </c>
      <c r="D1080" t="s">
        <v>24</v>
      </c>
      <c r="E1080" t="s">
        <v>25</v>
      </c>
      <c r="F1080">
        <v>1</v>
      </c>
      <c r="G1080">
        <v>9791194664369</v>
      </c>
      <c r="H1080" t="s">
        <v>79</v>
      </c>
      <c r="I1080" t="s">
        <v>156</v>
      </c>
      <c r="J1080" t="s">
        <v>157</v>
      </c>
      <c r="K1080" t="s">
        <v>29</v>
      </c>
      <c r="L1080">
        <v>0</v>
      </c>
      <c r="M1080" t="s">
        <v>47</v>
      </c>
      <c r="N1080">
        <v>0</v>
      </c>
      <c r="O1080">
        <v>0</v>
      </c>
      <c r="P1080" t="s">
        <v>48</v>
      </c>
      <c r="Q1080" s="2">
        <v>0.7</v>
      </c>
      <c r="R1080">
        <v>0</v>
      </c>
      <c r="V1080" t="str">
        <f>VLOOKUP(H1080,'[1]팀별 출판사'!A:B,2,0)</f>
        <v>소설1팀</v>
      </c>
      <c r="W1080" s="6">
        <f t="shared" si="32"/>
        <v>0</v>
      </c>
      <c r="X1080" s="6">
        <f t="shared" si="33"/>
        <v>0</v>
      </c>
    </row>
    <row r="1081" spans="1:24" x14ac:dyDescent="0.3">
      <c r="A1081" t="s">
        <v>1743</v>
      </c>
      <c r="B1081" t="s">
        <v>1833</v>
      </c>
      <c r="C1081" t="s">
        <v>23</v>
      </c>
      <c r="D1081" t="s">
        <v>24</v>
      </c>
      <c r="E1081" t="s">
        <v>25</v>
      </c>
      <c r="F1081">
        <v>1</v>
      </c>
      <c r="G1081">
        <v>9791133130184</v>
      </c>
      <c r="H1081" t="s">
        <v>32</v>
      </c>
      <c r="I1081" t="s">
        <v>669</v>
      </c>
      <c r="J1081" t="s">
        <v>160</v>
      </c>
      <c r="K1081" t="s">
        <v>29</v>
      </c>
      <c r="L1081">
        <v>0</v>
      </c>
      <c r="M1081" t="s">
        <v>29</v>
      </c>
      <c r="N1081">
        <v>0</v>
      </c>
      <c r="O1081">
        <v>0</v>
      </c>
      <c r="P1081" t="s">
        <v>30</v>
      </c>
      <c r="Q1081" s="2">
        <v>0.7</v>
      </c>
      <c r="R1081">
        <v>0</v>
      </c>
      <c r="V1081" t="str">
        <f>VLOOKUP(H1081,'[1]팀별 출판사'!A:B,2,0)</f>
        <v>소설1팀</v>
      </c>
      <c r="W1081" s="6">
        <f t="shared" si="32"/>
        <v>0</v>
      </c>
      <c r="X1081" s="6">
        <f t="shared" si="33"/>
        <v>0</v>
      </c>
    </row>
    <row r="1082" spans="1:24" x14ac:dyDescent="0.3">
      <c r="A1082" t="s">
        <v>1743</v>
      </c>
      <c r="B1082" t="s">
        <v>1834</v>
      </c>
      <c r="C1082" t="s">
        <v>23</v>
      </c>
      <c r="D1082" t="s">
        <v>24</v>
      </c>
      <c r="E1082" t="s">
        <v>25</v>
      </c>
      <c r="F1082">
        <v>1</v>
      </c>
      <c r="G1082">
        <v>9791136938091</v>
      </c>
      <c r="H1082" t="s">
        <v>263</v>
      </c>
      <c r="I1082" t="s">
        <v>264</v>
      </c>
      <c r="J1082" t="s">
        <v>265</v>
      </c>
      <c r="K1082" t="s">
        <v>29</v>
      </c>
      <c r="L1082" s="1">
        <v>3700</v>
      </c>
      <c r="M1082" t="s">
        <v>120</v>
      </c>
      <c r="N1082">
        <v>1.9</v>
      </c>
      <c r="O1082">
        <v>1.9</v>
      </c>
      <c r="P1082" t="s">
        <v>121</v>
      </c>
      <c r="Q1082" s="2">
        <v>0.7</v>
      </c>
      <c r="R1082">
        <v>1.33</v>
      </c>
      <c r="S1082" t="s">
        <v>29</v>
      </c>
      <c r="T1082" s="1">
        <v>2649</v>
      </c>
      <c r="U1082" s="3">
        <v>1991.9129</v>
      </c>
      <c r="V1082" t="str">
        <f>VLOOKUP(H1082,'[1]팀별 출판사'!A:B,2,0)</f>
        <v>소설2팀</v>
      </c>
      <c r="W1082" s="6">
        <f t="shared" si="32"/>
        <v>0</v>
      </c>
      <c r="X1082" s="6">
        <f t="shared" si="33"/>
        <v>2649</v>
      </c>
    </row>
    <row r="1083" spans="1:24" x14ac:dyDescent="0.3">
      <c r="A1083" t="s">
        <v>1743</v>
      </c>
      <c r="B1083" t="s">
        <v>1835</v>
      </c>
      <c r="C1083" t="s">
        <v>23</v>
      </c>
      <c r="D1083" t="s">
        <v>24</v>
      </c>
      <c r="E1083" t="s">
        <v>25</v>
      </c>
      <c r="F1083">
        <v>1</v>
      </c>
      <c r="G1083">
        <v>9791133106424</v>
      </c>
      <c r="H1083" t="s">
        <v>32</v>
      </c>
      <c r="I1083" t="s">
        <v>1173</v>
      </c>
      <c r="J1083" t="s">
        <v>51</v>
      </c>
      <c r="K1083" t="s">
        <v>29</v>
      </c>
      <c r="L1083">
        <v>0</v>
      </c>
      <c r="M1083" t="s">
        <v>29</v>
      </c>
      <c r="N1083">
        <v>0</v>
      </c>
      <c r="O1083">
        <v>0</v>
      </c>
      <c r="P1083" t="s">
        <v>30</v>
      </c>
      <c r="Q1083" s="2">
        <v>0.7</v>
      </c>
      <c r="R1083">
        <v>0</v>
      </c>
      <c r="V1083" t="str">
        <f>VLOOKUP(H1083,'[1]팀별 출판사'!A:B,2,0)</f>
        <v>소설1팀</v>
      </c>
      <c r="W1083" s="6">
        <f t="shared" si="32"/>
        <v>0</v>
      </c>
      <c r="X1083" s="6">
        <f t="shared" si="33"/>
        <v>0</v>
      </c>
    </row>
    <row r="1084" spans="1:24" x14ac:dyDescent="0.3">
      <c r="A1084" t="s">
        <v>1743</v>
      </c>
      <c r="B1084" t="s">
        <v>1836</v>
      </c>
      <c r="C1084" t="s">
        <v>23</v>
      </c>
      <c r="D1084" t="s">
        <v>24</v>
      </c>
      <c r="E1084" t="s">
        <v>25</v>
      </c>
      <c r="F1084">
        <v>1</v>
      </c>
      <c r="G1084">
        <v>9791157532155</v>
      </c>
      <c r="H1084" t="s">
        <v>32</v>
      </c>
      <c r="I1084" t="s">
        <v>497</v>
      </c>
      <c r="J1084" t="s">
        <v>112</v>
      </c>
      <c r="K1084" t="s">
        <v>29</v>
      </c>
      <c r="L1084" s="1">
        <v>3200</v>
      </c>
      <c r="M1084" t="s">
        <v>29</v>
      </c>
      <c r="N1084" s="1">
        <v>3200</v>
      </c>
      <c r="O1084" s="1">
        <v>3200</v>
      </c>
      <c r="P1084" t="s">
        <v>30</v>
      </c>
      <c r="Q1084" s="2">
        <v>0.7</v>
      </c>
      <c r="R1084" s="1">
        <v>2240</v>
      </c>
      <c r="S1084" t="s">
        <v>29</v>
      </c>
      <c r="T1084" s="1">
        <v>2240</v>
      </c>
      <c r="V1084" t="str">
        <f>VLOOKUP(H1084,'[1]팀별 출판사'!A:B,2,0)</f>
        <v>소설1팀</v>
      </c>
      <c r="W1084" s="6">
        <f t="shared" si="32"/>
        <v>0</v>
      </c>
      <c r="X1084" s="6">
        <f t="shared" si="33"/>
        <v>2240</v>
      </c>
    </row>
    <row r="1085" spans="1:24" x14ac:dyDescent="0.3">
      <c r="A1085" t="s">
        <v>1743</v>
      </c>
      <c r="B1085" t="s">
        <v>1837</v>
      </c>
      <c r="C1085" t="s">
        <v>23</v>
      </c>
      <c r="D1085" t="s">
        <v>24</v>
      </c>
      <c r="E1085" t="s">
        <v>25</v>
      </c>
      <c r="F1085">
        <v>1</v>
      </c>
      <c r="G1085">
        <v>9791136988157</v>
      </c>
      <c r="H1085" t="s">
        <v>26</v>
      </c>
      <c r="I1085" t="s">
        <v>1683</v>
      </c>
      <c r="J1085" t="s">
        <v>28</v>
      </c>
      <c r="K1085" t="s">
        <v>29</v>
      </c>
      <c r="L1085" s="1">
        <v>3200</v>
      </c>
      <c r="M1085" t="s">
        <v>29</v>
      </c>
      <c r="N1085" s="1">
        <v>3200</v>
      </c>
      <c r="O1085" s="1">
        <v>3200</v>
      </c>
      <c r="P1085" t="s">
        <v>30</v>
      </c>
      <c r="Q1085" s="2">
        <v>0.7</v>
      </c>
      <c r="R1085" s="1">
        <v>2240</v>
      </c>
      <c r="S1085" t="s">
        <v>29</v>
      </c>
      <c r="T1085" s="1">
        <v>2240</v>
      </c>
      <c r="V1085" t="str">
        <f>VLOOKUP(H1085,'[1]팀별 출판사'!A:B,2,0)</f>
        <v>소설1팀</v>
      </c>
      <c r="W1085" s="6">
        <f t="shared" si="32"/>
        <v>0</v>
      </c>
      <c r="X1085" s="6">
        <f t="shared" si="33"/>
        <v>2240</v>
      </c>
    </row>
    <row r="1086" spans="1:24" x14ac:dyDescent="0.3">
      <c r="A1086" t="s">
        <v>1743</v>
      </c>
      <c r="B1086" t="s">
        <v>1838</v>
      </c>
      <c r="C1086" t="s">
        <v>23</v>
      </c>
      <c r="D1086" t="s">
        <v>24</v>
      </c>
      <c r="E1086" t="s">
        <v>25</v>
      </c>
      <c r="F1086">
        <v>1</v>
      </c>
      <c r="G1086">
        <v>9791136927255</v>
      </c>
      <c r="H1086" t="s">
        <v>36</v>
      </c>
      <c r="I1086" t="s">
        <v>90</v>
      </c>
      <c r="J1086" t="s">
        <v>38</v>
      </c>
      <c r="K1086" t="s">
        <v>29</v>
      </c>
      <c r="L1086" s="1">
        <v>3300</v>
      </c>
      <c r="M1086" t="s">
        <v>933</v>
      </c>
      <c r="N1086">
        <v>242.54</v>
      </c>
      <c r="O1086">
        <v>205.54</v>
      </c>
      <c r="P1086" t="s">
        <v>934</v>
      </c>
      <c r="Q1086" s="2">
        <v>0.7</v>
      </c>
      <c r="R1086">
        <v>143.88</v>
      </c>
      <c r="S1086" t="s">
        <v>29</v>
      </c>
      <c r="T1086" s="1">
        <v>2323</v>
      </c>
      <c r="U1086">
        <v>16.148710000000001</v>
      </c>
      <c r="V1086" t="str">
        <f>VLOOKUP(H1086,'[1]팀별 출판사'!A:B,2,0)</f>
        <v>소설2팀</v>
      </c>
      <c r="W1086" s="6">
        <f t="shared" si="32"/>
        <v>0</v>
      </c>
      <c r="X1086" s="6">
        <f t="shared" si="33"/>
        <v>2323</v>
      </c>
    </row>
    <row r="1087" spans="1:24" x14ac:dyDescent="0.3">
      <c r="A1087" t="s">
        <v>1743</v>
      </c>
      <c r="B1087" t="s">
        <v>1839</v>
      </c>
      <c r="C1087" t="s">
        <v>23</v>
      </c>
      <c r="D1087" t="s">
        <v>24</v>
      </c>
      <c r="E1087" t="s">
        <v>25</v>
      </c>
      <c r="F1087">
        <v>1</v>
      </c>
      <c r="G1087">
        <v>9791136931375</v>
      </c>
      <c r="H1087" t="s">
        <v>32</v>
      </c>
      <c r="I1087" t="s">
        <v>189</v>
      </c>
      <c r="J1087" t="s">
        <v>46</v>
      </c>
      <c r="K1087" t="s">
        <v>29</v>
      </c>
      <c r="L1087">
        <v>0</v>
      </c>
      <c r="M1087" t="s">
        <v>152</v>
      </c>
      <c r="N1087">
        <v>0</v>
      </c>
      <c r="O1087">
        <v>0</v>
      </c>
      <c r="P1087" t="s">
        <v>153</v>
      </c>
      <c r="Q1087" s="2">
        <v>0.7</v>
      </c>
      <c r="R1087">
        <v>0</v>
      </c>
      <c r="V1087" t="str">
        <f>VLOOKUP(H1087,'[1]팀별 출판사'!A:B,2,0)</f>
        <v>소설1팀</v>
      </c>
      <c r="W1087" s="6">
        <f t="shared" si="32"/>
        <v>0</v>
      </c>
      <c r="X1087" s="6">
        <f t="shared" si="33"/>
        <v>0</v>
      </c>
    </row>
    <row r="1088" spans="1:24" x14ac:dyDescent="0.3">
      <c r="A1088" t="s">
        <v>1743</v>
      </c>
      <c r="B1088" t="s">
        <v>1840</v>
      </c>
      <c r="C1088" t="s">
        <v>23</v>
      </c>
      <c r="D1088" t="s">
        <v>24</v>
      </c>
      <c r="E1088" t="s">
        <v>25</v>
      </c>
      <c r="F1088">
        <v>1</v>
      </c>
      <c r="G1088">
        <v>9791172927165</v>
      </c>
      <c r="H1088" t="s">
        <v>79</v>
      </c>
      <c r="I1088" t="s">
        <v>1841</v>
      </c>
      <c r="J1088" t="s">
        <v>571</v>
      </c>
      <c r="K1088" t="s">
        <v>29</v>
      </c>
      <c r="L1088">
        <v>0</v>
      </c>
      <c r="M1088" t="s">
        <v>152</v>
      </c>
      <c r="N1088">
        <v>0</v>
      </c>
      <c r="O1088">
        <v>0</v>
      </c>
      <c r="P1088" t="s">
        <v>153</v>
      </c>
      <c r="Q1088" s="2">
        <v>0.7</v>
      </c>
      <c r="R1088">
        <v>0</v>
      </c>
      <c r="V1088" t="str">
        <f>VLOOKUP(H1088,'[1]팀별 출판사'!A:B,2,0)</f>
        <v>소설1팀</v>
      </c>
      <c r="W1088" s="6">
        <f t="shared" si="32"/>
        <v>0</v>
      </c>
      <c r="X1088" s="6">
        <f t="shared" si="33"/>
        <v>0</v>
      </c>
    </row>
    <row r="1089" spans="1:24" x14ac:dyDescent="0.3">
      <c r="A1089" t="s">
        <v>1743</v>
      </c>
      <c r="B1089" t="s">
        <v>1842</v>
      </c>
      <c r="C1089" t="s">
        <v>23</v>
      </c>
      <c r="D1089" t="s">
        <v>24</v>
      </c>
      <c r="E1089" t="s">
        <v>25</v>
      </c>
      <c r="F1089">
        <v>1</v>
      </c>
      <c r="G1089">
        <v>9791133105908</v>
      </c>
      <c r="H1089" t="s">
        <v>32</v>
      </c>
      <c r="I1089" t="s">
        <v>662</v>
      </c>
      <c r="J1089" t="s">
        <v>663</v>
      </c>
      <c r="K1089" t="s">
        <v>29</v>
      </c>
      <c r="L1089">
        <v>0</v>
      </c>
      <c r="M1089" t="s">
        <v>70</v>
      </c>
      <c r="N1089">
        <v>0</v>
      </c>
      <c r="O1089">
        <v>0</v>
      </c>
      <c r="P1089" t="s">
        <v>71</v>
      </c>
      <c r="Q1089" s="2">
        <v>0.7</v>
      </c>
      <c r="R1089">
        <v>0</v>
      </c>
      <c r="V1089" t="str">
        <f>VLOOKUP(H1089,'[1]팀별 출판사'!A:B,2,0)</f>
        <v>소설1팀</v>
      </c>
      <c r="W1089" s="6">
        <f t="shared" si="32"/>
        <v>0</v>
      </c>
      <c r="X1089" s="6">
        <f t="shared" si="33"/>
        <v>0</v>
      </c>
    </row>
    <row r="1090" spans="1:24" x14ac:dyDescent="0.3">
      <c r="A1090" t="s">
        <v>1743</v>
      </c>
      <c r="B1090" t="s">
        <v>1843</v>
      </c>
      <c r="C1090" t="s">
        <v>23</v>
      </c>
      <c r="D1090" t="s">
        <v>24</v>
      </c>
      <c r="E1090" t="s">
        <v>25</v>
      </c>
      <c r="F1090">
        <v>1</v>
      </c>
      <c r="G1090">
        <v>9791133167234</v>
      </c>
      <c r="H1090" t="s">
        <v>32</v>
      </c>
      <c r="I1090" t="s">
        <v>984</v>
      </c>
      <c r="J1090" t="s">
        <v>160</v>
      </c>
      <c r="K1090" t="s">
        <v>29</v>
      </c>
      <c r="L1090" s="1">
        <v>2500</v>
      </c>
      <c r="M1090" t="s">
        <v>29</v>
      </c>
      <c r="N1090" s="1">
        <v>2500</v>
      </c>
      <c r="O1090" s="1">
        <v>2500</v>
      </c>
      <c r="P1090" t="s">
        <v>30</v>
      </c>
      <c r="Q1090" s="2">
        <v>0.7</v>
      </c>
      <c r="R1090" s="1">
        <v>1750</v>
      </c>
      <c r="S1090" t="s">
        <v>29</v>
      </c>
      <c r="T1090" s="1">
        <v>1750</v>
      </c>
      <c r="V1090" t="str">
        <f>VLOOKUP(H1090,'[1]팀별 출판사'!A:B,2,0)</f>
        <v>소설1팀</v>
      </c>
      <c r="W1090" s="6">
        <f t="shared" ref="W1090:W1153" si="34">IF(P1090="US", T1090*30%, 0)</f>
        <v>0</v>
      </c>
      <c r="X1090" s="6">
        <f t="shared" ref="X1090:X1153" si="35">T1090-W1090</f>
        <v>1750</v>
      </c>
    </row>
    <row r="1091" spans="1:24" x14ac:dyDescent="0.3">
      <c r="A1091" t="s">
        <v>1743</v>
      </c>
      <c r="B1091" t="s">
        <v>1844</v>
      </c>
      <c r="C1091" t="s">
        <v>23</v>
      </c>
      <c r="D1091" t="s">
        <v>24</v>
      </c>
      <c r="E1091" t="s">
        <v>25</v>
      </c>
      <c r="F1091">
        <v>1</v>
      </c>
      <c r="G1091">
        <v>9791136931382</v>
      </c>
      <c r="H1091" t="s">
        <v>32</v>
      </c>
      <c r="I1091" t="s">
        <v>523</v>
      </c>
      <c r="J1091" t="s">
        <v>46</v>
      </c>
      <c r="K1091" t="s">
        <v>29</v>
      </c>
      <c r="L1091">
        <v>0</v>
      </c>
      <c r="M1091" t="s">
        <v>29</v>
      </c>
      <c r="N1091">
        <v>0</v>
      </c>
      <c r="O1091">
        <v>0</v>
      </c>
      <c r="P1091" t="s">
        <v>30</v>
      </c>
      <c r="Q1091" s="2">
        <v>0.7</v>
      </c>
      <c r="R1091">
        <v>0</v>
      </c>
      <c r="V1091" t="str">
        <f>VLOOKUP(H1091,'[1]팀별 출판사'!A:B,2,0)</f>
        <v>소설1팀</v>
      </c>
      <c r="W1091" s="6">
        <f t="shared" si="34"/>
        <v>0</v>
      </c>
      <c r="X1091" s="6">
        <f t="shared" si="35"/>
        <v>0</v>
      </c>
    </row>
    <row r="1092" spans="1:24" x14ac:dyDescent="0.3">
      <c r="A1092" t="s">
        <v>1743</v>
      </c>
      <c r="B1092" t="s">
        <v>1845</v>
      </c>
      <c r="C1092" t="s">
        <v>23</v>
      </c>
      <c r="D1092" t="s">
        <v>24</v>
      </c>
      <c r="E1092" t="s">
        <v>25</v>
      </c>
      <c r="F1092">
        <v>1</v>
      </c>
      <c r="G1092" t="s">
        <v>1846</v>
      </c>
      <c r="H1092" t="s">
        <v>32</v>
      </c>
      <c r="I1092" t="s">
        <v>1847</v>
      </c>
      <c r="J1092" t="s">
        <v>311</v>
      </c>
      <c r="K1092" t="s">
        <v>29</v>
      </c>
      <c r="L1092" s="1">
        <v>3200</v>
      </c>
      <c r="M1092" t="s">
        <v>29</v>
      </c>
      <c r="N1092" s="1">
        <v>3200</v>
      </c>
      <c r="O1092" s="1">
        <v>3200</v>
      </c>
      <c r="P1092" t="s">
        <v>30</v>
      </c>
      <c r="Q1092" s="2">
        <v>0.7</v>
      </c>
      <c r="R1092" s="1">
        <v>2240</v>
      </c>
      <c r="S1092" t="s">
        <v>29</v>
      </c>
      <c r="T1092" s="1">
        <v>2240</v>
      </c>
      <c r="V1092" t="str">
        <f>VLOOKUP(H1092,'[1]팀별 출판사'!A:B,2,0)</f>
        <v>소설1팀</v>
      </c>
      <c r="W1092" s="6">
        <f t="shared" si="34"/>
        <v>0</v>
      </c>
      <c r="X1092" s="6">
        <f t="shared" si="35"/>
        <v>2240</v>
      </c>
    </row>
    <row r="1093" spans="1:24" x14ac:dyDescent="0.3">
      <c r="A1093" t="s">
        <v>1743</v>
      </c>
      <c r="B1093" t="s">
        <v>1848</v>
      </c>
      <c r="C1093" t="s">
        <v>23</v>
      </c>
      <c r="D1093" t="s">
        <v>24</v>
      </c>
      <c r="E1093" t="s">
        <v>25</v>
      </c>
      <c r="F1093">
        <v>1</v>
      </c>
      <c r="G1093">
        <v>9791173783722</v>
      </c>
      <c r="H1093" t="s">
        <v>36</v>
      </c>
      <c r="I1093" t="s">
        <v>118</v>
      </c>
      <c r="J1093" t="s">
        <v>119</v>
      </c>
      <c r="K1093" t="s">
        <v>29</v>
      </c>
      <c r="L1093" s="1">
        <v>3600</v>
      </c>
      <c r="M1093" t="s">
        <v>362</v>
      </c>
      <c r="N1093">
        <v>164.33</v>
      </c>
      <c r="O1093">
        <v>146.72</v>
      </c>
      <c r="P1093" t="s">
        <v>363</v>
      </c>
      <c r="Q1093" s="2">
        <v>0.7</v>
      </c>
      <c r="R1093">
        <v>102.7</v>
      </c>
      <c r="S1093" t="s">
        <v>29</v>
      </c>
      <c r="T1093" s="1">
        <v>2566</v>
      </c>
      <c r="U1093">
        <v>25.000080000000001</v>
      </c>
      <c r="V1093" t="str">
        <f>VLOOKUP(H1093,'[1]팀별 출판사'!A:B,2,0)</f>
        <v>소설2팀</v>
      </c>
      <c r="W1093" s="6">
        <f t="shared" si="34"/>
        <v>0</v>
      </c>
      <c r="X1093" s="6">
        <f t="shared" si="35"/>
        <v>2566</v>
      </c>
    </row>
    <row r="1094" spans="1:24" x14ac:dyDescent="0.3">
      <c r="A1094" t="s">
        <v>1743</v>
      </c>
      <c r="B1094" t="s">
        <v>1849</v>
      </c>
      <c r="C1094" t="s">
        <v>23</v>
      </c>
      <c r="D1094" t="s">
        <v>24</v>
      </c>
      <c r="E1094" t="s">
        <v>25</v>
      </c>
      <c r="F1094">
        <v>1</v>
      </c>
      <c r="G1094">
        <v>9791136931375</v>
      </c>
      <c r="H1094" t="s">
        <v>32</v>
      </c>
      <c r="I1094" t="s">
        <v>189</v>
      </c>
      <c r="J1094" t="s">
        <v>46</v>
      </c>
      <c r="K1094" t="s">
        <v>29</v>
      </c>
      <c r="L1094">
        <v>0</v>
      </c>
      <c r="M1094" t="s">
        <v>152</v>
      </c>
      <c r="N1094">
        <v>0</v>
      </c>
      <c r="O1094">
        <v>0</v>
      </c>
      <c r="P1094" t="s">
        <v>153</v>
      </c>
      <c r="Q1094" s="2">
        <v>0.7</v>
      </c>
      <c r="R1094">
        <v>0</v>
      </c>
      <c r="V1094" t="str">
        <f>VLOOKUP(H1094,'[1]팀별 출판사'!A:B,2,0)</f>
        <v>소설1팀</v>
      </c>
      <c r="W1094" s="6">
        <f t="shared" si="34"/>
        <v>0</v>
      </c>
      <c r="X1094" s="6">
        <f t="shared" si="35"/>
        <v>0</v>
      </c>
    </row>
    <row r="1095" spans="1:24" x14ac:dyDescent="0.3">
      <c r="A1095" t="s">
        <v>1743</v>
      </c>
      <c r="B1095" t="s">
        <v>1850</v>
      </c>
      <c r="C1095" t="s">
        <v>23</v>
      </c>
      <c r="D1095" t="s">
        <v>24</v>
      </c>
      <c r="E1095" t="s">
        <v>25</v>
      </c>
      <c r="F1095">
        <v>1</v>
      </c>
      <c r="G1095">
        <v>9791172927950</v>
      </c>
      <c r="H1095" t="s">
        <v>79</v>
      </c>
      <c r="I1095" t="s">
        <v>1789</v>
      </c>
      <c r="J1095" t="s">
        <v>81</v>
      </c>
      <c r="K1095" t="s">
        <v>29</v>
      </c>
      <c r="L1095" s="1">
        <v>3200</v>
      </c>
      <c r="M1095" t="s">
        <v>29</v>
      </c>
      <c r="N1095" s="1">
        <v>3200</v>
      </c>
      <c r="O1095" s="1">
        <v>3200</v>
      </c>
      <c r="P1095" t="s">
        <v>30</v>
      </c>
      <c r="Q1095" s="2">
        <v>0.7</v>
      </c>
      <c r="R1095" s="1">
        <v>2240</v>
      </c>
      <c r="S1095" t="s">
        <v>29</v>
      </c>
      <c r="T1095" s="1">
        <v>2240</v>
      </c>
      <c r="V1095" t="str">
        <f>VLOOKUP(H1095,'[1]팀별 출판사'!A:B,2,0)</f>
        <v>소설1팀</v>
      </c>
      <c r="W1095" s="6">
        <f t="shared" si="34"/>
        <v>0</v>
      </c>
      <c r="X1095" s="6">
        <f t="shared" si="35"/>
        <v>2240</v>
      </c>
    </row>
    <row r="1096" spans="1:24" x14ac:dyDescent="0.3">
      <c r="A1096" t="s">
        <v>1743</v>
      </c>
      <c r="B1096" t="s">
        <v>1851</v>
      </c>
      <c r="C1096" t="s">
        <v>23</v>
      </c>
      <c r="D1096" t="s">
        <v>24</v>
      </c>
      <c r="E1096" t="s">
        <v>25</v>
      </c>
      <c r="F1096">
        <v>1</v>
      </c>
      <c r="G1096">
        <v>9791170107408</v>
      </c>
      <c r="H1096" t="s">
        <v>67</v>
      </c>
      <c r="I1096" t="s">
        <v>1852</v>
      </c>
      <c r="J1096" t="s">
        <v>392</v>
      </c>
      <c r="K1096" t="s">
        <v>29</v>
      </c>
      <c r="L1096" s="1">
        <v>2500</v>
      </c>
      <c r="M1096" t="s">
        <v>29</v>
      </c>
      <c r="N1096" s="1">
        <v>2500</v>
      </c>
      <c r="O1096" s="1">
        <v>2500</v>
      </c>
      <c r="P1096" t="s">
        <v>30</v>
      </c>
      <c r="Q1096" s="2">
        <v>0.7</v>
      </c>
      <c r="R1096" s="1">
        <v>1750</v>
      </c>
      <c r="S1096" t="s">
        <v>29</v>
      </c>
      <c r="T1096" s="1">
        <v>1750</v>
      </c>
      <c r="V1096" t="str">
        <f>VLOOKUP(H1096,'[1]팀별 출판사'!A:B,2,0)</f>
        <v>소설1팀</v>
      </c>
      <c r="W1096" s="6">
        <f t="shared" si="34"/>
        <v>0</v>
      </c>
      <c r="X1096" s="6">
        <f t="shared" si="35"/>
        <v>1750</v>
      </c>
    </row>
    <row r="1097" spans="1:24" x14ac:dyDescent="0.3">
      <c r="A1097" t="s">
        <v>1743</v>
      </c>
      <c r="B1097" t="s">
        <v>1853</v>
      </c>
      <c r="C1097" t="s">
        <v>23</v>
      </c>
      <c r="D1097" t="s">
        <v>24</v>
      </c>
      <c r="E1097" t="s">
        <v>25</v>
      </c>
      <c r="F1097">
        <v>1</v>
      </c>
      <c r="G1097">
        <v>9791173783739</v>
      </c>
      <c r="H1097" t="s">
        <v>36</v>
      </c>
      <c r="I1097" t="s">
        <v>191</v>
      </c>
      <c r="J1097" t="s">
        <v>119</v>
      </c>
      <c r="K1097" t="s">
        <v>29</v>
      </c>
      <c r="L1097" s="1">
        <v>3600</v>
      </c>
      <c r="M1097" t="s">
        <v>362</v>
      </c>
      <c r="N1097">
        <v>164.33</v>
      </c>
      <c r="O1097">
        <v>146.72</v>
      </c>
      <c r="P1097" t="s">
        <v>363</v>
      </c>
      <c r="Q1097" s="2">
        <v>0.7</v>
      </c>
      <c r="R1097">
        <v>102.7</v>
      </c>
      <c r="S1097" t="s">
        <v>29</v>
      </c>
      <c r="T1097" s="1">
        <v>2566</v>
      </c>
      <c r="U1097">
        <v>25.000080000000001</v>
      </c>
      <c r="V1097" t="str">
        <f>VLOOKUP(H1097,'[1]팀별 출판사'!A:B,2,0)</f>
        <v>소설2팀</v>
      </c>
      <c r="W1097" s="6">
        <f t="shared" si="34"/>
        <v>0</v>
      </c>
      <c r="X1097" s="6">
        <f t="shared" si="35"/>
        <v>2566</v>
      </c>
    </row>
    <row r="1098" spans="1:24" x14ac:dyDescent="0.3">
      <c r="A1098" t="s">
        <v>1743</v>
      </c>
      <c r="B1098" t="s">
        <v>1854</v>
      </c>
      <c r="C1098" t="s">
        <v>23</v>
      </c>
      <c r="D1098" t="s">
        <v>24</v>
      </c>
      <c r="E1098" t="s">
        <v>25</v>
      </c>
      <c r="F1098">
        <v>1</v>
      </c>
      <c r="G1098">
        <v>9791170106715</v>
      </c>
      <c r="H1098" t="s">
        <v>67</v>
      </c>
      <c r="I1098" t="s">
        <v>68</v>
      </c>
      <c r="J1098" t="s">
        <v>69</v>
      </c>
      <c r="K1098" t="s">
        <v>29</v>
      </c>
      <c r="L1098">
        <v>0</v>
      </c>
      <c r="M1098" t="s">
        <v>193</v>
      </c>
      <c r="N1098">
        <v>0</v>
      </c>
      <c r="O1098">
        <v>0</v>
      </c>
      <c r="P1098" t="s">
        <v>194</v>
      </c>
      <c r="Q1098" s="2">
        <v>0.7</v>
      </c>
      <c r="R1098">
        <v>0</v>
      </c>
      <c r="V1098" t="str">
        <f>VLOOKUP(H1098,'[1]팀별 출판사'!A:B,2,0)</f>
        <v>소설1팀</v>
      </c>
      <c r="W1098" s="6">
        <f t="shared" si="34"/>
        <v>0</v>
      </c>
      <c r="X1098" s="6">
        <f t="shared" si="35"/>
        <v>0</v>
      </c>
    </row>
    <row r="1099" spans="1:24" x14ac:dyDescent="0.3">
      <c r="A1099" t="s">
        <v>1743</v>
      </c>
      <c r="B1099" t="s">
        <v>1855</v>
      </c>
      <c r="C1099" t="s">
        <v>23</v>
      </c>
      <c r="D1099" t="s">
        <v>24</v>
      </c>
      <c r="E1099" t="s">
        <v>25</v>
      </c>
      <c r="F1099">
        <v>1</v>
      </c>
      <c r="G1099">
        <v>9791136925800</v>
      </c>
      <c r="H1099" t="s">
        <v>26</v>
      </c>
      <c r="I1099" t="s">
        <v>1856</v>
      </c>
      <c r="J1099" t="s">
        <v>813</v>
      </c>
      <c r="K1099" t="s">
        <v>29</v>
      </c>
      <c r="L1099">
        <v>0</v>
      </c>
      <c r="M1099" t="s">
        <v>29</v>
      </c>
      <c r="N1099">
        <v>0</v>
      </c>
      <c r="O1099">
        <v>0</v>
      </c>
      <c r="P1099" t="s">
        <v>30</v>
      </c>
      <c r="Q1099" s="2">
        <v>0.7</v>
      </c>
      <c r="R1099">
        <v>0</v>
      </c>
      <c r="V1099" t="str">
        <f>VLOOKUP(H1099,'[1]팀별 출판사'!A:B,2,0)</f>
        <v>소설1팀</v>
      </c>
      <c r="W1099" s="6">
        <f t="shared" si="34"/>
        <v>0</v>
      </c>
      <c r="X1099" s="6">
        <f t="shared" si="35"/>
        <v>0</v>
      </c>
    </row>
    <row r="1100" spans="1:24" x14ac:dyDescent="0.3">
      <c r="A1100" t="s">
        <v>1743</v>
      </c>
      <c r="B1100" t="s">
        <v>1857</v>
      </c>
      <c r="C1100" t="s">
        <v>23</v>
      </c>
      <c r="D1100" t="s">
        <v>24</v>
      </c>
      <c r="E1100" t="s">
        <v>25</v>
      </c>
      <c r="F1100">
        <v>1</v>
      </c>
      <c r="G1100">
        <v>9791136931382</v>
      </c>
      <c r="H1100" t="s">
        <v>32</v>
      </c>
      <c r="I1100" t="s">
        <v>523</v>
      </c>
      <c r="J1100" t="s">
        <v>46</v>
      </c>
      <c r="K1100" t="s">
        <v>29</v>
      </c>
      <c r="L1100">
        <v>0</v>
      </c>
      <c r="M1100" t="s">
        <v>47</v>
      </c>
      <c r="N1100">
        <v>0</v>
      </c>
      <c r="O1100">
        <v>0</v>
      </c>
      <c r="P1100" t="s">
        <v>48</v>
      </c>
      <c r="Q1100" s="2">
        <v>0.7</v>
      </c>
      <c r="R1100">
        <v>0</v>
      </c>
      <c r="V1100" t="str">
        <f>VLOOKUP(H1100,'[1]팀별 출판사'!A:B,2,0)</f>
        <v>소설1팀</v>
      </c>
      <c r="W1100" s="6">
        <f t="shared" si="34"/>
        <v>0</v>
      </c>
      <c r="X1100" s="6">
        <f t="shared" si="35"/>
        <v>0</v>
      </c>
    </row>
    <row r="1101" spans="1:24" x14ac:dyDescent="0.3">
      <c r="A1101" t="s">
        <v>1743</v>
      </c>
      <c r="B1101" t="s">
        <v>1858</v>
      </c>
      <c r="C1101" t="s">
        <v>23</v>
      </c>
      <c r="D1101" t="s">
        <v>24</v>
      </c>
      <c r="E1101" t="s">
        <v>25</v>
      </c>
      <c r="F1101">
        <v>1</v>
      </c>
      <c r="G1101">
        <v>9791136931375</v>
      </c>
      <c r="H1101" t="s">
        <v>32</v>
      </c>
      <c r="I1101" t="s">
        <v>189</v>
      </c>
      <c r="J1101" t="s">
        <v>46</v>
      </c>
      <c r="K1101" t="s">
        <v>29</v>
      </c>
      <c r="L1101">
        <v>0</v>
      </c>
      <c r="M1101" t="s">
        <v>152</v>
      </c>
      <c r="N1101">
        <v>0</v>
      </c>
      <c r="O1101">
        <v>0</v>
      </c>
      <c r="P1101" t="s">
        <v>153</v>
      </c>
      <c r="Q1101" s="2">
        <v>0.7</v>
      </c>
      <c r="R1101">
        <v>0</v>
      </c>
      <c r="V1101" t="str">
        <f>VLOOKUP(H1101,'[1]팀별 출판사'!A:B,2,0)</f>
        <v>소설1팀</v>
      </c>
      <c r="W1101" s="6">
        <f t="shared" si="34"/>
        <v>0</v>
      </c>
      <c r="X1101" s="6">
        <f t="shared" si="35"/>
        <v>0</v>
      </c>
    </row>
    <row r="1102" spans="1:24" x14ac:dyDescent="0.3">
      <c r="A1102" t="s">
        <v>1743</v>
      </c>
      <c r="B1102" t="s">
        <v>1859</v>
      </c>
      <c r="C1102" t="s">
        <v>23</v>
      </c>
      <c r="D1102" t="s">
        <v>24</v>
      </c>
      <c r="E1102" t="s">
        <v>25</v>
      </c>
      <c r="F1102">
        <v>1</v>
      </c>
      <c r="G1102">
        <v>9791136931375</v>
      </c>
      <c r="H1102" t="s">
        <v>32</v>
      </c>
      <c r="I1102" t="s">
        <v>189</v>
      </c>
      <c r="J1102" t="s">
        <v>46</v>
      </c>
      <c r="K1102" t="s">
        <v>29</v>
      </c>
      <c r="L1102">
        <v>0</v>
      </c>
      <c r="M1102" t="s">
        <v>152</v>
      </c>
      <c r="N1102">
        <v>0</v>
      </c>
      <c r="O1102">
        <v>0</v>
      </c>
      <c r="P1102" t="s">
        <v>153</v>
      </c>
      <c r="Q1102" s="2">
        <v>0.7</v>
      </c>
      <c r="R1102">
        <v>0</v>
      </c>
      <c r="V1102" t="str">
        <f>VLOOKUP(H1102,'[1]팀별 출판사'!A:B,2,0)</f>
        <v>소설1팀</v>
      </c>
      <c r="W1102" s="6">
        <f t="shared" si="34"/>
        <v>0</v>
      </c>
      <c r="X1102" s="6">
        <f t="shared" si="35"/>
        <v>0</v>
      </c>
    </row>
    <row r="1103" spans="1:24" x14ac:dyDescent="0.3">
      <c r="A1103" t="s">
        <v>1743</v>
      </c>
      <c r="B1103" t="s">
        <v>1860</v>
      </c>
      <c r="C1103" t="s">
        <v>23</v>
      </c>
      <c r="D1103" t="s">
        <v>24</v>
      </c>
      <c r="E1103" t="s">
        <v>25</v>
      </c>
      <c r="F1103">
        <v>1</v>
      </c>
      <c r="G1103">
        <v>9791136903754</v>
      </c>
      <c r="H1103" t="s">
        <v>26</v>
      </c>
      <c r="I1103" t="s">
        <v>1861</v>
      </c>
      <c r="J1103" t="s">
        <v>256</v>
      </c>
      <c r="K1103" t="s">
        <v>29</v>
      </c>
      <c r="L1103">
        <v>0</v>
      </c>
      <c r="M1103" t="s">
        <v>29</v>
      </c>
      <c r="N1103">
        <v>0</v>
      </c>
      <c r="O1103">
        <v>0</v>
      </c>
      <c r="P1103" t="s">
        <v>30</v>
      </c>
      <c r="Q1103" s="2">
        <v>0.7</v>
      </c>
      <c r="R1103">
        <v>0</v>
      </c>
      <c r="V1103" t="str">
        <f>VLOOKUP(H1103,'[1]팀별 출판사'!A:B,2,0)</f>
        <v>소설1팀</v>
      </c>
      <c r="W1103" s="6">
        <f t="shared" si="34"/>
        <v>0</v>
      </c>
      <c r="X1103" s="6">
        <f t="shared" si="35"/>
        <v>0</v>
      </c>
    </row>
    <row r="1104" spans="1:24" x14ac:dyDescent="0.3">
      <c r="A1104" t="s">
        <v>1743</v>
      </c>
      <c r="B1104" t="s">
        <v>1862</v>
      </c>
      <c r="C1104" t="s">
        <v>23</v>
      </c>
      <c r="D1104" t="s">
        <v>24</v>
      </c>
      <c r="E1104" t="s">
        <v>25</v>
      </c>
      <c r="F1104">
        <v>1</v>
      </c>
      <c r="G1104">
        <v>9791136927248</v>
      </c>
      <c r="H1104" t="s">
        <v>36</v>
      </c>
      <c r="I1104" t="s">
        <v>37</v>
      </c>
      <c r="J1104" t="s">
        <v>38</v>
      </c>
      <c r="K1104" t="s">
        <v>29</v>
      </c>
      <c r="L1104" s="1">
        <v>3300</v>
      </c>
      <c r="M1104" t="s">
        <v>886</v>
      </c>
      <c r="N1104">
        <v>3.13</v>
      </c>
      <c r="O1104">
        <v>3.13</v>
      </c>
      <c r="P1104" t="s">
        <v>887</v>
      </c>
      <c r="Q1104" s="2">
        <v>0.7</v>
      </c>
      <c r="R1104">
        <v>2.19</v>
      </c>
      <c r="S1104" t="s">
        <v>29</v>
      </c>
      <c r="T1104" s="1">
        <v>2344</v>
      </c>
      <c r="U1104" s="3">
        <v>1070.93049</v>
      </c>
      <c r="V1104" t="str">
        <f>VLOOKUP(H1104,'[1]팀별 출판사'!A:B,2,0)</f>
        <v>소설2팀</v>
      </c>
      <c r="W1104" s="6">
        <f t="shared" si="34"/>
        <v>0</v>
      </c>
      <c r="X1104" s="6">
        <f t="shared" si="35"/>
        <v>2344</v>
      </c>
    </row>
    <row r="1105" spans="1:24" x14ac:dyDescent="0.3">
      <c r="A1105" t="s">
        <v>1743</v>
      </c>
      <c r="B1105" t="s">
        <v>1863</v>
      </c>
      <c r="C1105" t="s">
        <v>23</v>
      </c>
      <c r="D1105" t="s">
        <v>24</v>
      </c>
      <c r="E1105" t="s">
        <v>25</v>
      </c>
      <c r="F1105">
        <v>1</v>
      </c>
      <c r="G1105">
        <v>9791136927255</v>
      </c>
      <c r="H1105" t="s">
        <v>36</v>
      </c>
      <c r="I1105" t="s">
        <v>90</v>
      </c>
      <c r="J1105" t="s">
        <v>38</v>
      </c>
      <c r="K1105" t="s">
        <v>29</v>
      </c>
      <c r="L1105" s="1">
        <v>3300</v>
      </c>
      <c r="M1105" t="s">
        <v>886</v>
      </c>
      <c r="N1105">
        <v>3.13</v>
      </c>
      <c r="O1105">
        <v>3.13</v>
      </c>
      <c r="P1105" t="s">
        <v>887</v>
      </c>
      <c r="Q1105" s="2">
        <v>0.7</v>
      </c>
      <c r="R1105">
        <v>2.19</v>
      </c>
      <c r="S1105" t="s">
        <v>29</v>
      </c>
      <c r="T1105" s="1">
        <v>2344</v>
      </c>
      <c r="U1105" s="3">
        <v>1070.93049</v>
      </c>
      <c r="V1105" t="str">
        <f>VLOOKUP(H1105,'[1]팀별 출판사'!A:B,2,0)</f>
        <v>소설2팀</v>
      </c>
      <c r="W1105" s="6">
        <f t="shared" si="34"/>
        <v>0</v>
      </c>
      <c r="X1105" s="6">
        <f t="shared" si="35"/>
        <v>2344</v>
      </c>
    </row>
    <row r="1106" spans="1:24" x14ac:dyDescent="0.3">
      <c r="A1106" t="s">
        <v>1743</v>
      </c>
      <c r="B1106" t="s">
        <v>1864</v>
      </c>
      <c r="C1106" t="s">
        <v>23</v>
      </c>
      <c r="D1106" t="s">
        <v>24</v>
      </c>
      <c r="E1106" t="s">
        <v>25</v>
      </c>
      <c r="F1106">
        <v>1</v>
      </c>
      <c r="G1106">
        <v>9791136930361</v>
      </c>
      <c r="H1106" t="s">
        <v>32</v>
      </c>
      <c r="I1106" t="s">
        <v>33</v>
      </c>
      <c r="J1106" t="s">
        <v>34</v>
      </c>
      <c r="K1106" t="s">
        <v>29</v>
      </c>
      <c r="L1106">
        <v>0</v>
      </c>
      <c r="M1106" t="s">
        <v>29</v>
      </c>
      <c r="N1106">
        <v>0</v>
      </c>
      <c r="O1106">
        <v>0</v>
      </c>
      <c r="P1106" t="s">
        <v>30</v>
      </c>
      <c r="Q1106" s="2">
        <v>0.7</v>
      </c>
      <c r="R1106">
        <v>0</v>
      </c>
      <c r="V1106" t="str">
        <f>VLOOKUP(H1106,'[1]팀별 출판사'!A:B,2,0)</f>
        <v>소설1팀</v>
      </c>
      <c r="W1106" s="6">
        <f t="shared" si="34"/>
        <v>0</v>
      </c>
      <c r="X1106" s="6">
        <f t="shared" si="35"/>
        <v>0</v>
      </c>
    </row>
    <row r="1107" spans="1:24" x14ac:dyDescent="0.3">
      <c r="A1107" t="s">
        <v>1743</v>
      </c>
      <c r="B1107" t="s">
        <v>1865</v>
      </c>
      <c r="C1107" t="s">
        <v>23</v>
      </c>
      <c r="D1107" t="s">
        <v>24</v>
      </c>
      <c r="E1107" t="s">
        <v>25</v>
      </c>
      <c r="F1107">
        <v>1</v>
      </c>
      <c r="G1107">
        <v>9791157531912</v>
      </c>
      <c r="H1107" t="s">
        <v>32</v>
      </c>
      <c r="I1107" t="s">
        <v>1449</v>
      </c>
      <c r="J1107" t="s">
        <v>88</v>
      </c>
      <c r="K1107" t="s">
        <v>29</v>
      </c>
      <c r="L1107">
        <v>0</v>
      </c>
      <c r="M1107" t="s">
        <v>29</v>
      </c>
      <c r="N1107">
        <v>0</v>
      </c>
      <c r="O1107">
        <v>0</v>
      </c>
      <c r="P1107" t="s">
        <v>30</v>
      </c>
      <c r="Q1107" s="2">
        <v>0.7</v>
      </c>
      <c r="R1107">
        <v>0</v>
      </c>
      <c r="V1107" t="str">
        <f>VLOOKUP(H1107,'[1]팀별 출판사'!A:B,2,0)</f>
        <v>소설1팀</v>
      </c>
      <c r="W1107" s="6">
        <f t="shared" si="34"/>
        <v>0</v>
      </c>
      <c r="X1107" s="6">
        <f t="shared" si="35"/>
        <v>0</v>
      </c>
    </row>
    <row r="1108" spans="1:24" x14ac:dyDescent="0.3">
      <c r="A1108" t="s">
        <v>1743</v>
      </c>
      <c r="B1108" t="s">
        <v>1785</v>
      </c>
      <c r="C1108" t="s">
        <v>23</v>
      </c>
      <c r="D1108" t="s">
        <v>1601</v>
      </c>
      <c r="E1108" t="s">
        <v>25</v>
      </c>
      <c r="F1108">
        <v>-1</v>
      </c>
      <c r="G1108">
        <v>9791172927851</v>
      </c>
      <c r="H1108" t="s">
        <v>79</v>
      </c>
      <c r="I1108" t="s">
        <v>1786</v>
      </c>
      <c r="J1108" t="s">
        <v>81</v>
      </c>
      <c r="K1108" t="s">
        <v>29</v>
      </c>
      <c r="L1108" s="1">
        <v>3200</v>
      </c>
      <c r="M1108" t="s">
        <v>70</v>
      </c>
      <c r="N1108">
        <v>2.2200000000000002</v>
      </c>
      <c r="O1108">
        <v>2.2200000000000002</v>
      </c>
      <c r="P1108" t="s">
        <v>71</v>
      </c>
      <c r="Q1108" s="2">
        <v>0.7</v>
      </c>
      <c r="R1108">
        <v>-1.55</v>
      </c>
      <c r="S1108" t="s">
        <v>29</v>
      </c>
      <c r="T1108" s="1">
        <v>-2269</v>
      </c>
      <c r="U1108" s="3">
        <v>1463.9845399999999</v>
      </c>
      <c r="V1108" t="str">
        <f>VLOOKUP(H1108,'[1]팀별 출판사'!A:B,2,0)</f>
        <v>소설1팀</v>
      </c>
      <c r="W1108" s="6">
        <f t="shared" si="34"/>
        <v>-680.69999999999993</v>
      </c>
      <c r="X1108" s="6">
        <f t="shared" si="35"/>
        <v>-1588.3000000000002</v>
      </c>
    </row>
    <row r="1109" spans="1:24" x14ac:dyDescent="0.3">
      <c r="A1109" t="s">
        <v>1743</v>
      </c>
      <c r="B1109" t="s">
        <v>1785</v>
      </c>
      <c r="C1109" t="s">
        <v>23</v>
      </c>
      <c r="D1109" t="s">
        <v>1601</v>
      </c>
      <c r="E1109" t="s">
        <v>25</v>
      </c>
      <c r="F1109">
        <v>-1</v>
      </c>
      <c r="G1109">
        <v>9791172927868</v>
      </c>
      <c r="H1109" t="s">
        <v>79</v>
      </c>
      <c r="I1109" t="s">
        <v>1787</v>
      </c>
      <c r="J1109" t="s">
        <v>81</v>
      </c>
      <c r="K1109" t="s">
        <v>29</v>
      </c>
      <c r="L1109" s="1">
        <v>3200</v>
      </c>
      <c r="M1109" t="s">
        <v>70</v>
      </c>
      <c r="N1109">
        <v>2.2200000000000002</v>
      </c>
      <c r="O1109">
        <v>2.2200000000000002</v>
      </c>
      <c r="P1109" t="s">
        <v>71</v>
      </c>
      <c r="Q1109" s="2">
        <v>0.7</v>
      </c>
      <c r="R1109">
        <v>-1.55</v>
      </c>
      <c r="S1109" t="s">
        <v>29</v>
      </c>
      <c r="T1109" s="1">
        <v>-2269</v>
      </c>
      <c r="U1109" s="3">
        <v>1463.9845399999999</v>
      </c>
      <c r="V1109" t="str">
        <f>VLOOKUP(H1109,'[1]팀별 출판사'!A:B,2,0)</f>
        <v>소설1팀</v>
      </c>
      <c r="W1109" s="6">
        <f t="shared" si="34"/>
        <v>-680.69999999999993</v>
      </c>
      <c r="X1109" s="6">
        <f t="shared" si="35"/>
        <v>-1588.3000000000002</v>
      </c>
    </row>
    <row r="1110" spans="1:24" x14ac:dyDescent="0.3">
      <c r="A1110" t="s">
        <v>1743</v>
      </c>
      <c r="B1110" t="s">
        <v>1785</v>
      </c>
      <c r="C1110" t="s">
        <v>23</v>
      </c>
      <c r="D1110" t="s">
        <v>1601</v>
      </c>
      <c r="E1110" t="s">
        <v>25</v>
      </c>
      <c r="F1110">
        <v>-1</v>
      </c>
      <c r="G1110">
        <v>9791172927875</v>
      </c>
      <c r="H1110" t="s">
        <v>79</v>
      </c>
      <c r="I1110" t="s">
        <v>1417</v>
      </c>
      <c r="J1110" t="s">
        <v>81</v>
      </c>
      <c r="K1110" t="s">
        <v>29</v>
      </c>
      <c r="L1110" s="1">
        <v>3200</v>
      </c>
      <c r="M1110" t="s">
        <v>70</v>
      </c>
      <c r="N1110">
        <v>2.2200000000000002</v>
      </c>
      <c r="O1110">
        <v>2.2200000000000002</v>
      </c>
      <c r="P1110" t="s">
        <v>71</v>
      </c>
      <c r="Q1110" s="2">
        <v>0.7</v>
      </c>
      <c r="R1110">
        <v>-1.55</v>
      </c>
      <c r="S1110" t="s">
        <v>29</v>
      </c>
      <c r="T1110" s="1">
        <v>-2269</v>
      </c>
      <c r="U1110" s="3">
        <v>1463.9845399999999</v>
      </c>
      <c r="V1110" t="str">
        <f>VLOOKUP(H1110,'[1]팀별 출판사'!A:B,2,0)</f>
        <v>소설1팀</v>
      </c>
      <c r="W1110" s="6">
        <f t="shared" si="34"/>
        <v>-680.69999999999993</v>
      </c>
      <c r="X1110" s="6">
        <f t="shared" si="35"/>
        <v>-1588.3000000000002</v>
      </c>
    </row>
    <row r="1111" spans="1:24" x14ac:dyDescent="0.3">
      <c r="A1111" t="s">
        <v>1743</v>
      </c>
      <c r="B1111" t="s">
        <v>1785</v>
      </c>
      <c r="C1111" t="s">
        <v>23</v>
      </c>
      <c r="D1111" t="s">
        <v>1601</v>
      </c>
      <c r="E1111" t="s">
        <v>25</v>
      </c>
      <c r="F1111">
        <v>-1</v>
      </c>
      <c r="G1111">
        <v>9791172927943</v>
      </c>
      <c r="H1111" t="s">
        <v>79</v>
      </c>
      <c r="I1111" t="s">
        <v>1788</v>
      </c>
      <c r="J1111" t="s">
        <v>81</v>
      </c>
      <c r="K1111" t="s">
        <v>29</v>
      </c>
      <c r="L1111" s="1">
        <v>3200</v>
      </c>
      <c r="M1111" t="s">
        <v>70</v>
      </c>
      <c r="N1111">
        <v>2.2200000000000002</v>
      </c>
      <c r="O1111">
        <v>2.2200000000000002</v>
      </c>
      <c r="P1111" t="s">
        <v>71</v>
      </c>
      <c r="Q1111" s="2">
        <v>0.7</v>
      </c>
      <c r="R1111">
        <v>-1.55</v>
      </c>
      <c r="S1111" t="s">
        <v>29</v>
      </c>
      <c r="T1111" s="1">
        <v>-2269</v>
      </c>
      <c r="U1111" s="3">
        <v>1463.9845399999999</v>
      </c>
      <c r="V1111" t="str">
        <f>VLOOKUP(H1111,'[1]팀별 출판사'!A:B,2,0)</f>
        <v>소설1팀</v>
      </c>
      <c r="W1111" s="6">
        <f t="shared" si="34"/>
        <v>-680.69999999999993</v>
      </c>
      <c r="X1111" s="6">
        <f t="shared" si="35"/>
        <v>-1588.3000000000002</v>
      </c>
    </row>
    <row r="1112" spans="1:24" x14ac:dyDescent="0.3">
      <c r="A1112" t="s">
        <v>1743</v>
      </c>
      <c r="B1112" t="s">
        <v>1785</v>
      </c>
      <c r="C1112" t="s">
        <v>23</v>
      </c>
      <c r="D1112" t="s">
        <v>1601</v>
      </c>
      <c r="E1112" t="s">
        <v>25</v>
      </c>
      <c r="F1112">
        <v>-1</v>
      </c>
      <c r="G1112">
        <v>9791172927950</v>
      </c>
      <c r="H1112" t="s">
        <v>79</v>
      </c>
      <c r="I1112" t="s">
        <v>1789</v>
      </c>
      <c r="J1112" t="s">
        <v>81</v>
      </c>
      <c r="K1112" t="s">
        <v>29</v>
      </c>
      <c r="L1112" s="1">
        <v>3200</v>
      </c>
      <c r="M1112" t="s">
        <v>70</v>
      </c>
      <c r="N1112">
        <v>2.2200000000000002</v>
      </c>
      <c r="O1112">
        <v>2.2200000000000002</v>
      </c>
      <c r="P1112" t="s">
        <v>71</v>
      </c>
      <c r="Q1112" s="2">
        <v>0.7</v>
      </c>
      <c r="R1112">
        <v>-1.55</v>
      </c>
      <c r="S1112" t="s">
        <v>29</v>
      </c>
      <c r="T1112" s="1">
        <v>-2269</v>
      </c>
      <c r="U1112" s="3">
        <v>1463.9845399999999</v>
      </c>
      <c r="V1112" t="str">
        <f>VLOOKUP(H1112,'[1]팀별 출판사'!A:B,2,0)</f>
        <v>소설1팀</v>
      </c>
      <c r="W1112" s="6">
        <f t="shared" si="34"/>
        <v>-680.69999999999993</v>
      </c>
      <c r="X1112" s="6">
        <f t="shared" si="35"/>
        <v>-1588.3000000000002</v>
      </c>
    </row>
    <row r="1113" spans="1:24" x14ac:dyDescent="0.3">
      <c r="A1113" t="s">
        <v>1743</v>
      </c>
      <c r="B1113" t="s">
        <v>1785</v>
      </c>
      <c r="C1113" t="s">
        <v>23</v>
      </c>
      <c r="D1113" t="s">
        <v>1601</v>
      </c>
      <c r="E1113" t="s">
        <v>25</v>
      </c>
      <c r="F1113">
        <v>-1</v>
      </c>
      <c r="G1113">
        <v>9791172927967</v>
      </c>
      <c r="H1113" t="s">
        <v>79</v>
      </c>
      <c r="I1113" t="s">
        <v>1790</v>
      </c>
      <c r="J1113" t="s">
        <v>81</v>
      </c>
      <c r="K1113" t="s">
        <v>29</v>
      </c>
      <c r="L1113" s="1">
        <v>3200</v>
      </c>
      <c r="M1113" t="s">
        <v>70</v>
      </c>
      <c r="N1113">
        <v>2.2200000000000002</v>
      </c>
      <c r="O1113">
        <v>2.2200000000000002</v>
      </c>
      <c r="P1113" t="s">
        <v>71</v>
      </c>
      <c r="Q1113" s="2">
        <v>0.7</v>
      </c>
      <c r="R1113">
        <v>-1.55</v>
      </c>
      <c r="S1113" t="s">
        <v>29</v>
      </c>
      <c r="T1113" s="1">
        <v>-2269</v>
      </c>
      <c r="U1113" s="3">
        <v>1463.9845399999999</v>
      </c>
      <c r="V1113" t="str">
        <f>VLOOKUP(H1113,'[1]팀별 출판사'!A:B,2,0)</f>
        <v>소설1팀</v>
      </c>
      <c r="W1113" s="6">
        <f t="shared" si="34"/>
        <v>-680.69999999999993</v>
      </c>
      <c r="X1113" s="6">
        <f t="shared" si="35"/>
        <v>-1588.3000000000002</v>
      </c>
    </row>
    <row r="1114" spans="1:24" x14ac:dyDescent="0.3">
      <c r="A1114" t="s">
        <v>1743</v>
      </c>
      <c r="B1114" t="s">
        <v>1785</v>
      </c>
      <c r="C1114" t="s">
        <v>23</v>
      </c>
      <c r="D1114" t="s">
        <v>1601</v>
      </c>
      <c r="E1114" t="s">
        <v>25</v>
      </c>
      <c r="F1114">
        <v>-1</v>
      </c>
      <c r="G1114">
        <v>9791172927974</v>
      </c>
      <c r="H1114" t="s">
        <v>79</v>
      </c>
      <c r="I1114" t="s">
        <v>1791</v>
      </c>
      <c r="J1114" t="s">
        <v>81</v>
      </c>
      <c r="K1114" t="s">
        <v>29</v>
      </c>
      <c r="L1114" s="1">
        <v>3200</v>
      </c>
      <c r="M1114" t="s">
        <v>70</v>
      </c>
      <c r="N1114">
        <v>2.2200000000000002</v>
      </c>
      <c r="O1114">
        <v>2.2200000000000002</v>
      </c>
      <c r="P1114" t="s">
        <v>71</v>
      </c>
      <c r="Q1114" s="2">
        <v>0.7</v>
      </c>
      <c r="R1114">
        <v>-1.55</v>
      </c>
      <c r="S1114" t="s">
        <v>29</v>
      </c>
      <c r="T1114" s="1">
        <v>-2269</v>
      </c>
      <c r="U1114" s="3">
        <v>1463.9845399999999</v>
      </c>
      <c r="V1114" t="str">
        <f>VLOOKUP(H1114,'[1]팀별 출판사'!A:B,2,0)</f>
        <v>소설1팀</v>
      </c>
      <c r="W1114" s="6">
        <f t="shared" si="34"/>
        <v>-680.69999999999993</v>
      </c>
      <c r="X1114" s="6">
        <f t="shared" si="35"/>
        <v>-1588.3000000000002</v>
      </c>
    </row>
    <row r="1115" spans="1:24" x14ac:dyDescent="0.3">
      <c r="A1115" t="s">
        <v>1743</v>
      </c>
      <c r="B1115" t="s">
        <v>1866</v>
      </c>
      <c r="C1115" t="s">
        <v>23</v>
      </c>
      <c r="D1115" t="s">
        <v>24</v>
      </c>
      <c r="E1115" t="s">
        <v>25</v>
      </c>
      <c r="F1115">
        <v>1</v>
      </c>
      <c r="G1115">
        <v>9791136931375</v>
      </c>
      <c r="H1115" t="s">
        <v>32</v>
      </c>
      <c r="I1115" t="s">
        <v>189</v>
      </c>
      <c r="J1115" t="s">
        <v>46</v>
      </c>
      <c r="K1115" t="s">
        <v>29</v>
      </c>
      <c r="L1115">
        <v>0</v>
      </c>
      <c r="M1115" t="s">
        <v>47</v>
      </c>
      <c r="N1115">
        <v>0</v>
      </c>
      <c r="O1115">
        <v>0</v>
      </c>
      <c r="P1115" t="s">
        <v>48</v>
      </c>
      <c r="Q1115" s="2">
        <v>0.7</v>
      </c>
      <c r="R1115">
        <v>0</v>
      </c>
      <c r="V1115" t="str">
        <f>VLOOKUP(H1115,'[1]팀별 출판사'!A:B,2,0)</f>
        <v>소설1팀</v>
      </c>
      <c r="W1115" s="6">
        <f t="shared" si="34"/>
        <v>0</v>
      </c>
      <c r="X1115" s="6">
        <f t="shared" si="35"/>
        <v>0</v>
      </c>
    </row>
    <row r="1116" spans="1:24" x14ac:dyDescent="0.3">
      <c r="A1116" t="s">
        <v>1743</v>
      </c>
      <c r="B1116" t="s">
        <v>1867</v>
      </c>
      <c r="C1116" t="s">
        <v>23</v>
      </c>
      <c r="D1116" t="s">
        <v>24</v>
      </c>
      <c r="E1116" t="s">
        <v>25</v>
      </c>
      <c r="F1116">
        <v>1</v>
      </c>
      <c r="G1116">
        <v>9791136930156</v>
      </c>
      <c r="H1116" t="s">
        <v>32</v>
      </c>
      <c r="I1116" t="s">
        <v>702</v>
      </c>
      <c r="J1116" t="s">
        <v>34</v>
      </c>
      <c r="K1116" t="s">
        <v>29</v>
      </c>
      <c r="L1116">
        <v>0</v>
      </c>
      <c r="M1116" t="s">
        <v>47</v>
      </c>
      <c r="N1116">
        <v>0</v>
      </c>
      <c r="O1116">
        <v>0</v>
      </c>
      <c r="P1116" t="s">
        <v>48</v>
      </c>
      <c r="Q1116" s="2">
        <v>0.7</v>
      </c>
      <c r="R1116">
        <v>0</v>
      </c>
      <c r="V1116" t="str">
        <f>VLOOKUP(H1116,'[1]팀별 출판사'!A:B,2,0)</f>
        <v>소설1팀</v>
      </c>
      <c r="W1116" s="6">
        <f t="shared" si="34"/>
        <v>0</v>
      </c>
      <c r="X1116" s="6">
        <f t="shared" si="35"/>
        <v>0</v>
      </c>
    </row>
    <row r="1117" spans="1:24" x14ac:dyDescent="0.3">
      <c r="A1117" t="s">
        <v>1743</v>
      </c>
      <c r="B1117" t="s">
        <v>1868</v>
      </c>
      <c r="C1117" t="s">
        <v>23</v>
      </c>
      <c r="D1117" t="s">
        <v>24</v>
      </c>
      <c r="E1117" t="s">
        <v>25</v>
      </c>
      <c r="F1117">
        <v>1</v>
      </c>
      <c r="G1117">
        <v>9791133186501</v>
      </c>
      <c r="H1117" t="s">
        <v>26</v>
      </c>
      <c r="I1117" t="s">
        <v>64</v>
      </c>
      <c r="J1117" t="s">
        <v>65</v>
      </c>
      <c r="K1117" t="s">
        <v>29</v>
      </c>
      <c r="L1117">
        <v>0</v>
      </c>
      <c r="M1117" t="s">
        <v>29</v>
      </c>
      <c r="N1117">
        <v>0</v>
      </c>
      <c r="O1117">
        <v>0</v>
      </c>
      <c r="P1117" t="s">
        <v>30</v>
      </c>
      <c r="Q1117" s="2">
        <v>0.7</v>
      </c>
      <c r="R1117">
        <v>0</v>
      </c>
      <c r="V1117" t="str">
        <f>VLOOKUP(H1117,'[1]팀별 출판사'!A:B,2,0)</f>
        <v>소설1팀</v>
      </c>
      <c r="W1117" s="6">
        <f t="shared" si="34"/>
        <v>0</v>
      </c>
      <c r="X1117" s="6">
        <f t="shared" si="35"/>
        <v>0</v>
      </c>
    </row>
    <row r="1118" spans="1:24" x14ac:dyDescent="0.3">
      <c r="A1118" t="s">
        <v>1743</v>
      </c>
      <c r="B1118" t="s">
        <v>1869</v>
      </c>
      <c r="C1118" t="s">
        <v>23</v>
      </c>
      <c r="D1118" t="s">
        <v>24</v>
      </c>
      <c r="E1118" t="s">
        <v>25</v>
      </c>
      <c r="F1118">
        <v>1</v>
      </c>
      <c r="G1118">
        <v>9791175302280</v>
      </c>
      <c r="H1118" t="s">
        <v>26</v>
      </c>
      <c r="I1118" t="s">
        <v>1535</v>
      </c>
      <c r="J1118" t="s">
        <v>1536</v>
      </c>
      <c r="K1118" t="s">
        <v>29</v>
      </c>
      <c r="L1118">
        <v>0</v>
      </c>
      <c r="M1118" t="s">
        <v>70</v>
      </c>
      <c r="N1118">
        <v>0</v>
      </c>
      <c r="O1118">
        <v>0</v>
      </c>
      <c r="P1118" t="s">
        <v>71</v>
      </c>
      <c r="Q1118" s="2">
        <v>0.7</v>
      </c>
      <c r="R1118">
        <v>0</v>
      </c>
      <c r="V1118" t="str">
        <f>VLOOKUP(H1118,'[1]팀별 출판사'!A:B,2,0)</f>
        <v>소설1팀</v>
      </c>
      <c r="W1118" s="6">
        <f t="shared" si="34"/>
        <v>0</v>
      </c>
      <c r="X1118" s="6">
        <f t="shared" si="35"/>
        <v>0</v>
      </c>
    </row>
    <row r="1119" spans="1:24" x14ac:dyDescent="0.3">
      <c r="A1119" t="s">
        <v>1743</v>
      </c>
      <c r="B1119" t="s">
        <v>1870</v>
      </c>
      <c r="C1119" t="s">
        <v>23</v>
      </c>
      <c r="D1119" t="s">
        <v>24</v>
      </c>
      <c r="E1119" t="s">
        <v>25</v>
      </c>
      <c r="F1119">
        <v>1</v>
      </c>
      <c r="G1119" t="s">
        <v>1871</v>
      </c>
      <c r="H1119" t="s">
        <v>32</v>
      </c>
      <c r="I1119" t="s">
        <v>1872</v>
      </c>
      <c r="J1119" t="s">
        <v>202</v>
      </c>
      <c r="K1119" t="s">
        <v>29</v>
      </c>
      <c r="L1119" s="1">
        <v>3200</v>
      </c>
      <c r="M1119" t="s">
        <v>29</v>
      </c>
      <c r="N1119" s="1">
        <v>3200</v>
      </c>
      <c r="O1119" s="1">
        <v>3200</v>
      </c>
      <c r="P1119" t="s">
        <v>30</v>
      </c>
      <c r="Q1119" s="2">
        <v>0.7</v>
      </c>
      <c r="R1119" s="1">
        <v>2240</v>
      </c>
      <c r="S1119" t="s">
        <v>29</v>
      </c>
      <c r="T1119" s="1">
        <v>2240</v>
      </c>
      <c r="V1119" t="str">
        <f>VLOOKUP(H1119,'[1]팀별 출판사'!A:B,2,0)</f>
        <v>소설1팀</v>
      </c>
      <c r="W1119" s="6">
        <f t="shared" si="34"/>
        <v>0</v>
      </c>
      <c r="X1119" s="6">
        <f t="shared" si="35"/>
        <v>2240</v>
      </c>
    </row>
    <row r="1120" spans="1:24" x14ac:dyDescent="0.3">
      <c r="A1120" t="s">
        <v>1743</v>
      </c>
      <c r="B1120" t="s">
        <v>1873</v>
      </c>
      <c r="C1120" t="s">
        <v>23</v>
      </c>
      <c r="D1120" t="s">
        <v>24</v>
      </c>
      <c r="E1120" t="s">
        <v>25</v>
      </c>
      <c r="F1120">
        <v>1</v>
      </c>
      <c r="G1120">
        <v>9791136946782</v>
      </c>
      <c r="H1120" t="s">
        <v>26</v>
      </c>
      <c r="I1120" t="s">
        <v>291</v>
      </c>
      <c r="J1120" t="s">
        <v>28</v>
      </c>
      <c r="K1120" t="s">
        <v>29</v>
      </c>
      <c r="L1120">
        <v>0</v>
      </c>
      <c r="M1120" t="s">
        <v>29</v>
      </c>
      <c r="N1120">
        <v>0</v>
      </c>
      <c r="O1120">
        <v>0</v>
      </c>
      <c r="P1120" t="s">
        <v>30</v>
      </c>
      <c r="Q1120" s="2">
        <v>0.7</v>
      </c>
      <c r="R1120">
        <v>0</v>
      </c>
      <c r="V1120" t="str">
        <f>VLOOKUP(H1120,'[1]팀별 출판사'!A:B,2,0)</f>
        <v>소설1팀</v>
      </c>
      <c r="W1120" s="6">
        <f t="shared" si="34"/>
        <v>0</v>
      </c>
      <c r="X1120" s="6">
        <f t="shared" si="35"/>
        <v>0</v>
      </c>
    </row>
    <row r="1121" spans="1:24" x14ac:dyDescent="0.3">
      <c r="A1121" t="s">
        <v>1743</v>
      </c>
      <c r="B1121" t="s">
        <v>1464</v>
      </c>
      <c r="C1121" t="s">
        <v>23</v>
      </c>
      <c r="D1121" t="s">
        <v>1601</v>
      </c>
      <c r="E1121" t="s">
        <v>25</v>
      </c>
      <c r="F1121">
        <v>-1</v>
      </c>
      <c r="G1121">
        <v>9791173783739</v>
      </c>
      <c r="H1121" t="s">
        <v>36</v>
      </c>
      <c r="I1121" t="s">
        <v>191</v>
      </c>
      <c r="J1121" t="s">
        <v>119</v>
      </c>
      <c r="K1121" t="s">
        <v>29</v>
      </c>
      <c r="L1121" s="1">
        <v>3600</v>
      </c>
      <c r="M1121" t="s">
        <v>29</v>
      </c>
      <c r="N1121" s="1">
        <v>3600</v>
      </c>
      <c r="O1121" s="1">
        <v>3600</v>
      </c>
      <c r="P1121" t="s">
        <v>30</v>
      </c>
      <c r="Q1121" s="2">
        <v>0.7</v>
      </c>
      <c r="R1121" s="1">
        <v>-2520</v>
      </c>
      <c r="S1121" t="s">
        <v>29</v>
      </c>
      <c r="T1121" s="1">
        <v>-2520</v>
      </c>
      <c r="V1121" t="str">
        <f>VLOOKUP(H1121,'[1]팀별 출판사'!A:B,2,0)</f>
        <v>소설2팀</v>
      </c>
      <c r="W1121" s="6">
        <f t="shared" si="34"/>
        <v>0</v>
      </c>
      <c r="X1121" s="6">
        <f t="shared" si="35"/>
        <v>-2520</v>
      </c>
    </row>
    <row r="1122" spans="1:24" x14ac:dyDescent="0.3">
      <c r="A1122" t="s">
        <v>1743</v>
      </c>
      <c r="B1122" t="s">
        <v>1874</v>
      </c>
      <c r="C1122" t="s">
        <v>23</v>
      </c>
      <c r="D1122" t="s">
        <v>24</v>
      </c>
      <c r="E1122" t="s">
        <v>25</v>
      </c>
      <c r="F1122">
        <v>1</v>
      </c>
      <c r="G1122">
        <v>9791133105908</v>
      </c>
      <c r="H1122" t="s">
        <v>32</v>
      </c>
      <c r="I1122" t="s">
        <v>1875</v>
      </c>
      <c r="J1122" t="s">
        <v>663</v>
      </c>
      <c r="K1122" t="s">
        <v>29</v>
      </c>
      <c r="L1122">
        <v>0</v>
      </c>
      <c r="M1122" t="s">
        <v>29</v>
      </c>
      <c r="N1122">
        <v>0</v>
      </c>
      <c r="O1122">
        <v>0</v>
      </c>
      <c r="P1122" t="s">
        <v>30</v>
      </c>
      <c r="Q1122" s="2">
        <v>0.7</v>
      </c>
      <c r="R1122">
        <v>0</v>
      </c>
      <c r="V1122" t="str">
        <f>VLOOKUP(H1122,'[1]팀별 출판사'!A:B,2,0)</f>
        <v>소설1팀</v>
      </c>
      <c r="W1122" s="6">
        <f t="shared" si="34"/>
        <v>0</v>
      </c>
      <c r="X1122" s="6">
        <f t="shared" si="35"/>
        <v>0</v>
      </c>
    </row>
    <row r="1123" spans="1:24" x14ac:dyDescent="0.3">
      <c r="A1123" t="s">
        <v>1743</v>
      </c>
      <c r="B1123" t="s">
        <v>1876</v>
      </c>
      <c r="C1123" t="s">
        <v>23</v>
      </c>
      <c r="D1123" t="s">
        <v>24</v>
      </c>
      <c r="E1123" t="s">
        <v>25</v>
      </c>
      <c r="F1123">
        <v>1</v>
      </c>
      <c r="G1123">
        <v>9791136931375</v>
      </c>
      <c r="H1123" t="s">
        <v>32</v>
      </c>
      <c r="I1123" t="s">
        <v>189</v>
      </c>
      <c r="J1123" t="s">
        <v>46</v>
      </c>
      <c r="K1123" t="s">
        <v>29</v>
      </c>
      <c r="L1123">
        <v>0</v>
      </c>
      <c r="M1123" t="s">
        <v>47</v>
      </c>
      <c r="N1123">
        <v>0</v>
      </c>
      <c r="O1123">
        <v>0</v>
      </c>
      <c r="P1123" t="s">
        <v>48</v>
      </c>
      <c r="Q1123" s="2">
        <v>0.7</v>
      </c>
      <c r="R1123">
        <v>0</v>
      </c>
      <c r="V1123" t="str">
        <f>VLOOKUP(H1123,'[1]팀별 출판사'!A:B,2,0)</f>
        <v>소설1팀</v>
      </c>
      <c r="W1123" s="6">
        <f t="shared" si="34"/>
        <v>0</v>
      </c>
      <c r="X1123" s="6">
        <f t="shared" si="35"/>
        <v>0</v>
      </c>
    </row>
    <row r="1124" spans="1:24" x14ac:dyDescent="0.3">
      <c r="A1124" t="s">
        <v>1743</v>
      </c>
      <c r="B1124" t="s">
        <v>1877</v>
      </c>
      <c r="C1124" t="s">
        <v>23</v>
      </c>
      <c r="D1124" t="s">
        <v>24</v>
      </c>
      <c r="E1124" t="s">
        <v>25</v>
      </c>
      <c r="F1124">
        <v>1</v>
      </c>
      <c r="G1124">
        <v>9791157532162</v>
      </c>
      <c r="H1124" t="s">
        <v>32</v>
      </c>
      <c r="I1124" t="s">
        <v>111</v>
      </c>
      <c r="J1124" t="s">
        <v>112</v>
      </c>
      <c r="K1124" t="s">
        <v>29</v>
      </c>
      <c r="L1124" s="1">
        <v>3200</v>
      </c>
      <c r="M1124" t="s">
        <v>29</v>
      </c>
      <c r="N1124" s="1">
        <v>3200</v>
      </c>
      <c r="O1124" s="1">
        <v>3200</v>
      </c>
      <c r="P1124" t="s">
        <v>30</v>
      </c>
      <c r="Q1124" s="2">
        <v>0.7</v>
      </c>
      <c r="R1124" s="1">
        <v>2240</v>
      </c>
      <c r="S1124" t="s">
        <v>29</v>
      </c>
      <c r="T1124" s="1">
        <v>2240</v>
      </c>
      <c r="V1124" t="str">
        <f>VLOOKUP(H1124,'[1]팀별 출판사'!A:B,2,0)</f>
        <v>소설1팀</v>
      </c>
      <c r="W1124" s="6">
        <f t="shared" si="34"/>
        <v>0</v>
      </c>
      <c r="X1124" s="6">
        <f t="shared" si="35"/>
        <v>2240</v>
      </c>
    </row>
    <row r="1125" spans="1:24" x14ac:dyDescent="0.3">
      <c r="A1125" t="s">
        <v>1743</v>
      </c>
      <c r="B1125" t="s">
        <v>1878</v>
      </c>
      <c r="C1125" t="s">
        <v>23</v>
      </c>
      <c r="D1125" t="s">
        <v>24</v>
      </c>
      <c r="E1125" t="s">
        <v>25</v>
      </c>
      <c r="F1125">
        <v>1</v>
      </c>
      <c r="G1125">
        <v>9791136931382</v>
      </c>
      <c r="H1125" t="s">
        <v>32</v>
      </c>
      <c r="I1125" t="s">
        <v>523</v>
      </c>
      <c r="J1125" t="s">
        <v>46</v>
      </c>
      <c r="K1125" t="s">
        <v>29</v>
      </c>
      <c r="L1125">
        <v>0</v>
      </c>
      <c r="M1125" t="s">
        <v>29</v>
      </c>
      <c r="N1125">
        <v>0</v>
      </c>
      <c r="O1125">
        <v>0</v>
      </c>
      <c r="P1125" t="s">
        <v>30</v>
      </c>
      <c r="Q1125" s="2">
        <v>0.7</v>
      </c>
      <c r="R1125">
        <v>0</v>
      </c>
      <c r="V1125" t="str">
        <f>VLOOKUP(H1125,'[1]팀별 출판사'!A:B,2,0)</f>
        <v>소설1팀</v>
      </c>
      <c r="W1125" s="6">
        <f t="shared" si="34"/>
        <v>0</v>
      </c>
      <c r="X1125" s="6">
        <f t="shared" si="35"/>
        <v>0</v>
      </c>
    </row>
    <row r="1126" spans="1:24" x14ac:dyDescent="0.3">
      <c r="A1126" t="s">
        <v>1743</v>
      </c>
      <c r="B1126" t="s">
        <v>1879</v>
      </c>
      <c r="C1126" t="s">
        <v>23</v>
      </c>
      <c r="D1126" t="s">
        <v>24</v>
      </c>
      <c r="E1126" t="s">
        <v>25</v>
      </c>
      <c r="F1126">
        <v>1</v>
      </c>
      <c r="G1126">
        <v>9791133108985</v>
      </c>
      <c r="H1126" t="s">
        <v>32</v>
      </c>
      <c r="I1126" t="s">
        <v>783</v>
      </c>
      <c r="J1126" t="s">
        <v>144</v>
      </c>
      <c r="K1126" t="s">
        <v>29</v>
      </c>
      <c r="L1126">
        <v>0</v>
      </c>
      <c r="M1126" t="s">
        <v>29</v>
      </c>
      <c r="N1126">
        <v>0</v>
      </c>
      <c r="O1126">
        <v>0</v>
      </c>
      <c r="P1126" t="s">
        <v>30</v>
      </c>
      <c r="Q1126" s="2">
        <v>0.7</v>
      </c>
      <c r="R1126">
        <v>0</v>
      </c>
      <c r="V1126" t="str">
        <f>VLOOKUP(H1126,'[1]팀별 출판사'!A:B,2,0)</f>
        <v>소설1팀</v>
      </c>
      <c r="W1126" s="6">
        <f t="shared" si="34"/>
        <v>0</v>
      </c>
      <c r="X1126" s="6">
        <f t="shared" si="35"/>
        <v>0</v>
      </c>
    </row>
    <row r="1127" spans="1:24" x14ac:dyDescent="0.3">
      <c r="A1127" t="s">
        <v>1743</v>
      </c>
      <c r="B1127" t="s">
        <v>1880</v>
      </c>
      <c r="C1127" t="s">
        <v>23</v>
      </c>
      <c r="D1127" t="s">
        <v>24</v>
      </c>
      <c r="E1127" t="s">
        <v>25</v>
      </c>
      <c r="F1127">
        <v>1</v>
      </c>
      <c r="G1127">
        <v>9791136963284</v>
      </c>
      <c r="H1127" t="s">
        <v>36</v>
      </c>
      <c r="I1127" t="s">
        <v>1881</v>
      </c>
      <c r="J1127" t="s">
        <v>1882</v>
      </c>
      <c r="K1127" t="s">
        <v>29</v>
      </c>
      <c r="L1127" s="1">
        <v>3800</v>
      </c>
      <c r="M1127" t="s">
        <v>29</v>
      </c>
      <c r="N1127" s="1">
        <v>3800</v>
      </c>
      <c r="O1127" s="1">
        <v>3800</v>
      </c>
      <c r="P1127" t="s">
        <v>30</v>
      </c>
      <c r="Q1127" s="2">
        <v>0.7</v>
      </c>
      <c r="R1127" s="1">
        <v>2660</v>
      </c>
      <c r="S1127" t="s">
        <v>29</v>
      </c>
      <c r="T1127" s="1">
        <v>2660</v>
      </c>
      <c r="V1127" t="str">
        <f>VLOOKUP(H1127,'[1]팀별 출판사'!A:B,2,0)</f>
        <v>소설2팀</v>
      </c>
      <c r="W1127" s="6">
        <f t="shared" si="34"/>
        <v>0</v>
      </c>
      <c r="X1127" s="6">
        <f t="shared" si="35"/>
        <v>2660</v>
      </c>
    </row>
    <row r="1128" spans="1:24" x14ac:dyDescent="0.3">
      <c r="A1128" t="s">
        <v>1743</v>
      </c>
      <c r="B1128" t="s">
        <v>1883</v>
      </c>
      <c r="C1128" t="s">
        <v>23</v>
      </c>
      <c r="D1128" t="s">
        <v>24</v>
      </c>
      <c r="E1128" t="s">
        <v>25</v>
      </c>
      <c r="F1128">
        <v>1</v>
      </c>
      <c r="G1128">
        <v>9791136931375</v>
      </c>
      <c r="H1128" t="s">
        <v>32</v>
      </c>
      <c r="I1128" t="s">
        <v>189</v>
      </c>
      <c r="J1128" t="s">
        <v>46</v>
      </c>
      <c r="K1128" t="s">
        <v>29</v>
      </c>
      <c r="L1128">
        <v>0</v>
      </c>
      <c r="M1128" t="s">
        <v>152</v>
      </c>
      <c r="N1128">
        <v>0</v>
      </c>
      <c r="O1128">
        <v>0</v>
      </c>
      <c r="P1128" t="s">
        <v>153</v>
      </c>
      <c r="Q1128" s="2">
        <v>0.7</v>
      </c>
      <c r="R1128">
        <v>0</v>
      </c>
      <c r="V1128" t="str">
        <f>VLOOKUP(H1128,'[1]팀별 출판사'!A:B,2,0)</f>
        <v>소설1팀</v>
      </c>
      <c r="W1128" s="6">
        <f t="shared" si="34"/>
        <v>0</v>
      </c>
      <c r="X1128" s="6">
        <f t="shared" si="35"/>
        <v>0</v>
      </c>
    </row>
    <row r="1129" spans="1:24" x14ac:dyDescent="0.3">
      <c r="A1129" t="s">
        <v>1743</v>
      </c>
      <c r="B1129" t="s">
        <v>1884</v>
      </c>
      <c r="C1129" t="s">
        <v>23</v>
      </c>
      <c r="D1129" t="s">
        <v>24</v>
      </c>
      <c r="E1129" t="s">
        <v>25</v>
      </c>
      <c r="F1129">
        <v>1</v>
      </c>
      <c r="G1129">
        <v>9791136916969</v>
      </c>
      <c r="H1129" t="s">
        <v>26</v>
      </c>
      <c r="I1129" t="s">
        <v>1228</v>
      </c>
      <c r="J1129" t="s">
        <v>436</v>
      </c>
      <c r="K1129" t="s">
        <v>29</v>
      </c>
      <c r="L1129">
        <v>0</v>
      </c>
      <c r="M1129" t="s">
        <v>29</v>
      </c>
      <c r="N1129">
        <v>0</v>
      </c>
      <c r="O1129">
        <v>0</v>
      </c>
      <c r="P1129" t="s">
        <v>30</v>
      </c>
      <c r="Q1129" s="2">
        <v>0.7</v>
      </c>
      <c r="R1129">
        <v>0</v>
      </c>
      <c r="V1129" t="str">
        <f>VLOOKUP(H1129,'[1]팀별 출판사'!A:B,2,0)</f>
        <v>소설1팀</v>
      </c>
      <c r="W1129" s="6">
        <f t="shared" si="34"/>
        <v>0</v>
      </c>
      <c r="X1129" s="6">
        <f t="shared" si="35"/>
        <v>0</v>
      </c>
    </row>
    <row r="1130" spans="1:24" x14ac:dyDescent="0.3">
      <c r="A1130" t="s">
        <v>1743</v>
      </c>
      <c r="B1130" t="s">
        <v>1885</v>
      </c>
      <c r="C1130" t="s">
        <v>23</v>
      </c>
      <c r="D1130" t="s">
        <v>24</v>
      </c>
      <c r="E1130" t="s">
        <v>25</v>
      </c>
      <c r="F1130">
        <v>1</v>
      </c>
      <c r="G1130" t="s">
        <v>1886</v>
      </c>
      <c r="H1130" t="s">
        <v>32</v>
      </c>
      <c r="I1130" t="s">
        <v>1887</v>
      </c>
      <c r="J1130" t="s">
        <v>166</v>
      </c>
      <c r="K1130" t="s">
        <v>29</v>
      </c>
      <c r="L1130">
        <v>0</v>
      </c>
      <c r="M1130" t="s">
        <v>29</v>
      </c>
      <c r="N1130">
        <v>0</v>
      </c>
      <c r="O1130">
        <v>0</v>
      </c>
      <c r="P1130" t="s">
        <v>30</v>
      </c>
      <c r="Q1130" s="2">
        <v>0.7</v>
      </c>
      <c r="R1130">
        <v>0</v>
      </c>
      <c r="V1130" t="str">
        <f>VLOOKUP(H1130,'[1]팀별 출판사'!A:B,2,0)</f>
        <v>소설1팀</v>
      </c>
      <c r="W1130" s="6">
        <f t="shared" si="34"/>
        <v>0</v>
      </c>
      <c r="X1130" s="6">
        <f t="shared" si="35"/>
        <v>0</v>
      </c>
    </row>
    <row r="1131" spans="1:24" x14ac:dyDescent="0.3">
      <c r="A1131" t="s">
        <v>1743</v>
      </c>
      <c r="B1131" t="s">
        <v>1888</v>
      </c>
      <c r="C1131" t="s">
        <v>23</v>
      </c>
      <c r="D1131" t="s">
        <v>24</v>
      </c>
      <c r="E1131" t="s">
        <v>25</v>
      </c>
      <c r="F1131">
        <v>1</v>
      </c>
      <c r="G1131">
        <v>9791136905758</v>
      </c>
      <c r="H1131" t="s">
        <v>26</v>
      </c>
      <c r="I1131" t="s">
        <v>1889</v>
      </c>
      <c r="J1131" t="s">
        <v>459</v>
      </c>
      <c r="K1131" t="s">
        <v>29</v>
      </c>
      <c r="L1131">
        <v>0</v>
      </c>
      <c r="M1131" t="s">
        <v>29</v>
      </c>
      <c r="N1131">
        <v>0</v>
      </c>
      <c r="O1131">
        <v>0</v>
      </c>
      <c r="P1131" t="s">
        <v>30</v>
      </c>
      <c r="Q1131" s="2">
        <v>0.7</v>
      </c>
      <c r="R1131">
        <v>0</v>
      </c>
      <c r="V1131" t="str">
        <f>VLOOKUP(H1131,'[1]팀별 출판사'!A:B,2,0)</f>
        <v>소설1팀</v>
      </c>
      <c r="W1131" s="6">
        <f t="shared" si="34"/>
        <v>0</v>
      </c>
      <c r="X1131" s="6">
        <f t="shared" si="35"/>
        <v>0</v>
      </c>
    </row>
    <row r="1132" spans="1:24" x14ac:dyDescent="0.3">
      <c r="A1132" t="s">
        <v>1743</v>
      </c>
      <c r="B1132" t="s">
        <v>1890</v>
      </c>
      <c r="C1132" t="s">
        <v>23</v>
      </c>
      <c r="D1132" t="s">
        <v>24</v>
      </c>
      <c r="E1132" t="s">
        <v>25</v>
      </c>
      <c r="F1132">
        <v>1</v>
      </c>
      <c r="G1132">
        <v>9791136906250</v>
      </c>
      <c r="H1132" t="s">
        <v>26</v>
      </c>
      <c r="I1132" t="s">
        <v>1891</v>
      </c>
      <c r="J1132" t="s">
        <v>459</v>
      </c>
      <c r="K1132" t="s">
        <v>29</v>
      </c>
      <c r="L1132">
        <v>0</v>
      </c>
      <c r="M1132" t="s">
        <v>29</v>
      </c>
      <c r="N1132">
        <v>0</v>
      </c>
      <c r="O1132">
        <v>0</v>
      </c>
      <c r="P1132" t="s">
        <v>30</v>
      </c>
      <c r="Q1132" s="2">
        <v>0.7</v>
      </c>
      <c r="R1132">
        <v>0</v>
      </c>
      <c r="V1132" t="str">
        <f>VLOOKUP(H1132,'[1]팀별 출판사'!A:B,2,0)</f>
        <v>소설1팀</v>
      </c>
      <c r="W1132" s="6">
        <f t="shared" si="34"/>
        <v>0</v>
      </c>
      <c r="X1132" s="6">
        <f t="shared" si="35"/>
        <v>0</v>
      </c>
    </row>
    <row r="1133" spans="1:24" x14ac:dyDescent="0.3">
      <c r="A1133" t="s">
        <v>1743</v>
      </c>
      <c r="B1133" t="s">
        <v>1892</v>
      </c>
      <c r="C1133" t="s">
        <v>23</v>
      </c>
      <c r="D1133" t="s">
        <v>24</v>
      </c>
      <c r="E1133" t="s">
        <v>25</v>
      </c>
      <c r="F1133">
        <v>1</v>
      </c>
      <c r="G1133">
        <v>9791136906359</v>
      </c>
      <c r="H1133" t="s">
        <v>26</v>
      </c>
      <c r="I1133" t="s">
        <v>1893</v>
      </c>
      <c r="J1133" t="s">
        <v>459</v>
      </c>
      <c r="K1133" t="s">
        <v>29</v>
      </c>
      <c r="L1133">
        <v>0</v>
      </c>
      <c r="M1133" t="s">
        <v>29</v>
      </c>
      <c r="N1133">
        <v>0</v>
      </c>
      <c r="O1133">
        <v>0</v>
      </c>
      <c r="P1133" t="s">
        <v>30</v>
      </c>
      <c r="Q1133" s="2">
        <v>0.7</v>
      </c>
      <c r="R1133">
        <v>0</v>
      </c>
      <c r="V1133" t="str">
        <f>VLOOKUP(H1133,'[1]팀별 출판사'!A:B,2,0)</f>
        <v>소설1팀</v>
      </c>
      <c r="W1133" s="6">
        <f t="shared" si="34"/>
        <v>0</v>
      </c>
      <c r="X1133" s="6">
        <f t="shared" si="35"/>
        <v>0</v>
      </c>
    </row>
    <row r="1134" spans="1:24" x14ac:dyDescent="0.3">
      <c r="A1134" t="s">
        <v>1743</v>
      </c>
      <c r="B1134" t="s">
        <v>1894</v>
      </c>
      <c r="C1134" t="s">
        <v>23</v>
      </c>
      <c r="D1134" t="s">
        <v>24</v>
      </c>
      <c r="E1134" t="s">
        <v>25</v>
      </c>
      <c r="F1134">
        <v>1</v>
      </c>
      <c r="G1134">
        <v>9791136927293</v>
      </c>
      <c r="H1134" t="s">
        <v>26</v>
      </c>
      <c r="I1134" t="s">
        <v>945</v>
      </c>
      <c r="J1134" t="s">
        <v>459</v>
      </c>
      <c r="K1134" t="s">
        <v>29</v>
      </c>
      <c r="L1134">
        <v>0</v>
      </c>
      <c r="M1134" t="s">
        <v>29</v>
      </c>
      <c r="N1134">
        <v>0</v>
      </c>
      <c r="O1134">
        <v>0</v>
      </c>
      <c r="P1134" t="s">
        <v>30</v>
      </c>
      <c r="Q1134" s="2">
        <v>0.7</v>
      </c>
      <c r="R1134">
        <v>0</v>
      </c>
      <c r="V1134" t="str">
        <f>VLOOKUP(H1134,'[1]팀별 출판사'!A:B,2,0)</f>
        <v>소설1팀</v>
      </c>
      <c r="W1134" s="6">
        <f t="shared" si="34"/>
        <v>0</v>
      </c>
      <c r="X1134" s="6">
        <f t="shared" si="35"/>
        <v>0</v>
      </c>
    </row>
    <row r="1135" spans="1:24" x14ac:dyDescent="0.3">
      <c r="A1135" t="s">
        <v>1743</v>
      </c>
      <c r="B1135" t="s">
        <v>1895</v>
      </c>
      <c r="C1135" t="s">
        <v>23</v>
      </c>
      <c r="D1135" t="s">
        <v>24</v>
      </c>
      <c r="E1135" t="s">
        <v>25</v>
      </c>
      <c r="F1135">
        <v>1</v>
      </c>
      <c r="G1135">
        <v>9791136990600</v>
      </c>
      <c r="H1135" t="s">
        <v>26</v>
      </c>
      <c r="I1135" t="s">
        <v>1034</v>
      </c>
      <c r="J1135" t="s">
        <v>459</v>
      </c>
      <c r="K1135" t="s">
        <v>29</v>
      </c>
      <c r="L1135">
        <v>0</v>
      </c>
      <c r="M1135" t="s">
        <v>29</v>
      </c>
      <c r="N1135">
        <v>0</v>
      </c>
      <c r="O1135">
        <v>0</v>
      </c>
      <c r="P1135" t="s">
        <v>30</v>
      </c>
      <c r="Q1135" s="2">
        <v>0.7</v>
      </c>
      <c r="R1135">
        <v>0</v>
      </c>
      <c r="V1135" t="str">
        <f>VLOOKUP(H1135,'[1]팀별 출판사'!A:B,2,0)</f>
        <v>소설1팀</v>
      </c>
      <c r="W1135" s="6">
        <f t="shared" si="34"/>
        <v>0</v>
      </c>
      <c r="X1135" s="6">
        <f t="shared" si="35"/>
        <v>0</v>
      </c>
    </row>
    <row r="1136" spans="1:24" x14ac:dyDescent="0.3">
      <c r="A1136" t="s">
        <v>1743</v>
      </c>
      <c r="B1136" t="s">
        <v>1896</v>
      </c>
      <c r="C1136" t="s">
        <v>23</v>
      </c>
      <c r="D1136" t="s">
        <v>24</v>
      </c>
      <c r="E1136" t="s">
        <v>25</v>
      </c>
      <c r="F1136">
        <v>1</v>
      </c>
      <c r="G1136">
        <v>9791136990310</v>
      </c>
      <c r="H1136" t="s">
        <v>26</v>
      </c>
      <c r="I1136" t="s">
        <v>1897</v>
      </c>
      <c r="J1136" t="s">
        <v>459</v>
      </c>
      <c r="K1136" t="s">
        <v>29</v>
      </c>
      <c r="L1136">
        <v>0</v>
      </c>
      <c r="M1136" t="s">
        <v>29</v>
      </c>
      <c r="N1136">
        <v>0</v>
      </c>
      <c r="O1136">
        <v>0</v>
      </c>
      <c r="P1136" t="s">
        <v>30</v>
      </c>
      <c r="Q1136" s="2">
        <v>0.7</v>
      </c>
      <c r="R1136">
        <v>0</v>
      </c>
      <c r="V1136" t="str">
        <f>VLOOKUP(H1136,'[1]팀별 출판사'!A:B,2,0)</f>
        <v>소설1팀</v>
      </c>
      <c r="W1136" s="6">
        <f t="shared" si="34"/>
        <v>0</v>
      </c>
      <c r="X1136" s="6">
        <f t="shared" si="35"/>
        <v>0</v>
      </c>
    </row>
    <row r="1137" spans="1:24" x14ac:dyDescent="0.3">
      <c r="A1137" t="s">
        <v>1743</v>
      </c>
      <c r="B1137" t="s">
        <v>1898</v>
      </c>
      <c r="C1137" t="s">
        <v>23</v>
      </c>
      <c r="D1137" t="s">
        <v>24</v>
      </c>
      <c r="E1137" t="s">
        <v>25</v>
      </c>
      <c r="F1137">
        <v>1</v>
      </c>
      <c r="G1137">
        <v>9791136912220</v>
      </c>
      <c r="H1137" t="s">
        <v>26</v>
      </c>
      <c r="I1137" t="s">
        <v>529</v>
      </c>
      <c r="J1137" t="s">
        <v>459</v>
      </c>
      <c r="K1137" t="s">
        <v>29</v>
      </c>
      <c r="L1137">
        <v>0</v>
      </c>
      <c r="M1137" t="s">
        <v>29</v>
      </c>
      <c r="N1137">
        <v>0</v>
      </c>
      <c r="O1137">
        <v>0</v>
      </c>
      <c r="P1137" t="s">
        <v>30</v>
      </c>
      <c r="Q1137" s="2">
        <v>0.7</v>
      </c>
      <c r="R1137">
        <v>0</v>
      </c>
      <c r="V1137" t="str">
        <f>VLOOKUP(H1137,'[1]팀별 출판사'!A:B,2,0)</f>
        <v>소설1팀</v>
      </c>
      <c r="W1137" s="6">
        <f t="shared" si="34"/>
        <v>0</v>
      </c>
      <c r="X1137" s="6">
        <f t="shared" si="35"/>
        <v>0</v>
      </c>
    </row>
    <row r="1138" spans="1:24" x14ac:dyDescent="0.3">
      <c r="A1138" t="s">
        <v>1743</v>
      </c>
      <c r="B1138" t="s">
        <v>1899</v>
      </c>
      <c r="C1138" t="s">
        <v>23</v>
      </c>
      <c r="D1138" t="s">
        <v>24</v>
      </c>
      <c r="E1138" t="s">
        <v>25</v>
      </c>
      <c r="F1138">
        <v>1</v>
      </c>
      <c r="G1138">
        <v>9791136916655</v>
      </c>
      <c r="H1138" t="s">
        <v>26</v>
      </c>
      <c r="I1138" t="s">
        <v>305</v>
      </c>
      <c r="J1138" t="s">
        <v>62</v>
      </c>
      <c r="K1138" t="s">
        <v>29</v>
      </c>
      <c r="L1138">
        <v>0</v>
      </c>
      <c r="M1138" t="s">
        <v>29</v>
      </c>
      <c r="N1138">
        <v>0</v>
      </c>
      <c r="O1138">
        <v>0</v>
      </c>
      <c r="P1138" t="s">
        <v>30</v>
      </c>
      <c r="Q1138" s="2">
        <v>0.7</v>
      </c>
      <c r="R1138">
        <v>0</v>
      </c>
      <c r="V1138" t="str">
        <f>VLOOKUP(H1138,'[1]팀별 출판사'!A:B,2,0)</f>
        <v>소설1팀</v>
      </c>
      <c r="W1138" s="6">
        <f t="shared" si="34"/>
        <v>0</v>
      </c>
      <c r="X1138" s="6">
        <f t="shared" si="35"/>
        <v>0</v>
      </c>
    </row>
    <row r="1139" spans="1:24" x14ac:dyDescent="0.3">
      <c r="A1139" t="s">
        <v>1743</v>
      </c>
      <c r="B1139" t="s">
        <v>1900</v>
      </c>
      <c r="C1139" t="s">
        <v>23</v>
      </c>
      <c r="D1139" t="s">
        <v>24</v>
      </c>
      <c r="E1139" t="s">
        <v>25</v>
      </c>
      <c r="F1139">
        <v>1</v>
      </c>
      <c r="G1139">
        <v>9791136925664</v>
      </c>
      <c r="H1139" t="s">
        <v>26</v>
      </c>
      <c r="I1139" t="s">
        <v>453</v>
      </c>
      <c r="J1139" t="s">
        <v>62</v>
      </c>
      <c r="K1139" t="s">
        <v>29</v>
      </c>
      <c r="L1139">
        <v>0</v>
      </c>
      <c r="M1139" t="s">
        <v>29</v>
      </c>
      <c r="N1139">
        <v>0</v>
      </c>
      <c r="O1139">
        <v>0</v>
      </c>
      <c r="P1139" t="s">
        <v>30</v>
      </c>
      <c r="Q1139" s="2">
        <v>0.7</v>
      </c>
      <c r="R1139">
        <v>0</v>
      </c>
      <c r="V1139" t="str">
        <f>VLOOKUP(H1139,'[1]팀별 출판사'!A:B,2,0)</f>
        <v>소설1팀</v>
      </c>
      <c r="W1139" s="6">
        <f t="shared" si="34"/>
        <v>0</v>
      </c>
      <c r="X1139" s="6">
        <f t="shared" si="35"/>
        <v>0</v>
      </c>
    </row>
    <row r="1140" spans="1:24" x14ac:dyDescent="0.3">
      <c r="A1140" t="s">
        <v>1743</v>
      </c>
      <c r="B1140" t="s">
        <v>1901</v>
      </c>
      <c r="C1140" t="s">
        <v>23</v>
      </c>
      <c r="D1140" t="s">
        <v>24</v>
      </c>
      <c r="E1140" t="s">
        <v>25</v>
      </c>
      <c r="F1140">
        <v>1</v>
      </c>
      <c r="G1140">
        <v>9791173785108</v>
      </c>
      <c r="H1140" t="s">
        <v>26</v>
      </c>
      <c r="I1140" t="s">
        <v>1902</v>
      </c>
      <c r="J1140" t="s">
        <v>62</v>
      </c>
      <c r="K1140" t="s">
        <v>29</v>
      </c>
      <c r="L1140" s="1">
        <v>3200</v>
      </c>
      <c r="M1140" t="s">
        <v>29</v>
      </c>
      <c r="N1140" s="1">
        <v>3200</v>
      </c>
      <c r="O1140" s="1">
        <v>3200</v>
      </c>
      <c r="P1140" t="s">
        <v>30</v>
      </c>
      <c r="Q1140" s="2">
        <v>0.7</v>
      </c>
      <c r="R1140" s="1">
        <v>2240</v>
      </c>
      <c r="S1140" t="s">
        <v>29</v>
      </c>
      <c r="T1140" s="1">
        <v>2240</v>
      </c>
      <c r="V1140" t="str">
        <f>VLOOKUP(H1140,'[1]팀별 출판사'!A:B,2,0)</f>
        <v>소설1팀</v>
      </c>
      <c r="W1140" s="6">
        <f t="shared" si="34"/>
        <v>0</v>
      </c>
      <c r="X1140" s="6">
        <f t="shared" si="35"/>
        <v>2240</v>
      </c>
    </row>
    <row r="1141" spans="1:24" x14ac:dyDescent="0.3">
      <c r="A1141" t="s">
        <v>1743</v>
      </c>
      <c r="B1141" t="s">
        <v>1903</v>
      </c>
      <c r="C1141" t="s">
        <v>23</v>
      </c>
      <c r="D1141" t="s">
        <v>24</v>
      </c>
      <c r="E1141" t="s">
        <v>25</v>
      </c>
      <c r="F1141">
        <v>1</v>
      </c>
      <c r="G1141">
        <v>9791136927293</v>
      </c>
      <c r="H1141" t="s">
        <v>26</v>
      </c>
      <c r="I1141" t="s">
        <v>945</v>
      </c>
      <c r="J1141" t="s">
        <v>459</v>
      </c>
      <c r="K1141" t="s">
        <v>29</v>
      </c>
      <c r="L1141">
        <v>0</v>
      </c>
      <c r="M1141" t="s">
        <v>29</v>
      </c>
      <c r="N1141">
        <v>0</v>
      </c>
      <c r="O1141">
        <v>0</v>
      </c>
      <c r="P1141" t="s">
        <v>30</v>
      </c>
      <c r="Q1141" s="2">
        <v>0.7</v>
      </c>
      <c r="R1141">
        <v>0</v>
      </c>
      <c r="V1141" t="str">
        <f>VLOOKUP(H1141,'[1]팀별 출판사'!A:B,2,0)</f>
        <v>소설1팀</v>
      </c>
      <c r="W1141" s="6">
        <f t="shared" si="34"/>
        <v>0</v>
      </c>
      <c r="X1141" s="6">
        <f t="shared" si="35"/>
        <v>0</v>
      </c>
    </row>
    <row r="1142" spans="1:24" x14ac:dyDescent="0.3">
      <c r="A1142" t="s">
        <v>1743</v>
      </c>
      <c r="B1142" t="s">
        <v>1904</v>
      </c>
      <c r="C1142" t="s">
        <v>23</v>
      </c>
      <c r="D1142" t="s">
        <v>24</v>
      </c>
      <c r="E1142" t="s">
        <v>25</v>
      </c>
      <c r="F1142">
        <v>1</v>
      </c>
      <c r="G1142">
        <v>9791136988157</v>
      </c>
      <c r="H1142" t="s">
        <v>26</v>
      </c>
      <c r="I1142" t="s">
        <v>1683</v>
      </c>
      <c r="J1142" t="s">
        <v>28</v>
      </c>
      <c r="K1142" t="s">
        <v>29</v>
      </c>
      <c r="L1142" s="1">
        <v>3200</v>
      </c>
      <c r="M1142" t="s">
        <v>29</v>
      </c>
      <c r="N1142" s="1">
        <v>3200</v>
      </c>
      <c r="O1142" s="1">
        <v>3200</v>
      </c>
      <c r="P1142" t="s">
        <v>30</v>
      </c>
      <c r="Q1142" s="2">
        <v>0.7</v>
      </c>
      <c r="R1142" s="1">
        <v>2240</v>
      </c>
      <c r="S1142" t="s">
        <v>29</v>
      </c>
      <c r="T1142" s="1">
        <v>2240</v>
      </c>
      <c r="V1142" t="str">
        <f>VLOOKUP(H1142,'[1]팀별 출판사'!A:B,2,0)</f>
        <v>소설1팀</v>
      </c>
      <c r="W1142" s="6">
        <f t="shared" si="34"/>
        <v>0</v>
      </c>
      <c r="X1142" s="6">
        <f t="shared" si="35"/>
        <v>2240</v>
      </c>
    </row>
    <row r="1143" spans="1:24" x14ac:dyDescent="0.3">
      <c r="A1143" t="s">
        <v>1743</v>
      </c>
      <c r="B1143" t="s">
        <v>1905</v>
      </c>
      <c r="C1143" t="s">
        <v>23</v>
      </c>
      <c r="D1143" t="s">
        <v>24</v>
      </c>
      <c r="E1143" t="s">
        <v>25</v>
      </c>
      <c r="F1143">
        <v>1</v>
      </c>
      <c r="G1143">
        <v>9791136930491</v>
      </c>
      <c r="H1143" t="s">
        <v>26</v>
      </c>
      <c r="I1143" t="s">
        <v>151</v>
      </c>
      <c r="J1143" t="s">
        <v>46</v>
      </c>
      <c r="K1143" t="s">
        <v>29</v>
      </c>
      <c r="L1143">
        <v>0</v>
      </c>
      <c r="M1143" t="s">
        <v>47</v>
      </c>
      <c r="N1143">
        <v>0</v>
      </c>
      <c r="O1143">
        <v>0</v>
      </c>
      <c r="P1143" t="s">
        <v>48</v>
      </c>
      <c r="Q1143" s="2">
        <v>0.7</v>
      </c>
      <c r="R1143">
        <v>0</v>
      </c>
      <c r="V1143" t="str">
        <f>VLOOKUP(H1143,'[1]팀별 출판사'!A:B,2,0)</f>
        <v>소설1팀</v>
      </c>
      <c r="W1143" s="6">
        <f t="shared" si="34"/>
        <v>0</v>
      </c>
      <c r="X1143" s="6">
        <f t="shared" si="35"/>
        <v>0</v>
      </c>
    </row>
    <row r="1144" spans="1:24" x14ac:dyDescent="0.3">
      <c r="A1144" t="s">
        <v>1743</v>
      </c>
      <c r="B1144" t="s">
        <v>1906</v>
      </c>
      <c r="C1144" t="s">
        <v>23</v>
      </c>
      <c r="D1144" t="s">
        <v>24</v>
      </c>
      <c r="E1144" t="s">
        <v>25</v>
      </c>
      <c r="F1144">
        <v>1</v>
      </c>
      <c r="G1144">
        <v>9791194664369</v>
      </c>
      <c r="H1144" t="s">
        <v>79</v>
      </c>
      <c r="I1144" t="s">
        <v>156</v>
      </c>
      <c r="J1144" t="s">
        <v>157</v>
      </c>
      <c r="K1144" t="s">
        <v>29</v>
      </c>
      <c r="L1144">
        <v>0</v>
      </c>
      <c r="M1144" t="s">
        <v>29</v>
      </c>
      <c r="N1144">
        <v>0</v>
      </c>
      <c r="O1144">
        <v>0</v>
      </c>
      <c r="P1144" t="s">
        <v>30</v>
      </c>
      <c r="Q1144" s="2">
        <v>0.7</v>
      </c>
      <c r="R1144">
        <v>0</v>
      </c>
      <c r="V1144" t="str">
        <f>VLOOKUP(H1144,'[1]팀별 출판사'!A:B,2,0)</f>
        <v>소설1팀</v>
      </c>
      <c r="W1144" s="6">
        <f t="shared" si="34"/>
        <v>0</v>
      </c>
      <c r="X1144" s="6">
        <f t="shared" si="35"/>
        <v>0</v>
      </c>
    </row>
    <row r="1145" spans="1:24" x14ac:dyDescent="0.3">
      <c r="A1145" t="s">
        <v>1743</v>
      </c>
      <c r="B1145" t="s">
        <v>1907</v>
      </c>
      <c r="C1145" t="s">
        <v>23</v>
      </c>
      <c r="D1145" t="s">
        <v>24</v>
      </c>
      <c r="E1145" t="s">
        <v>25</v>
      </c>
      <c r="F1145">
        <v>1</v>
      </c>
      <c r="G1145">
        <v>9791136921758</v>
      </c>
      <c r="H1145" t="s">
        <v>26</v>
      </c>
      <c r="I1145" t="s">
        <v>875</v>
      </c>
      <c r="J1145" t="s">
        <v>876</v>
      </c>
      <c r="K1145" t="s">
        <v>29</v>
      </c>
      <c r="L1145">
        <v>0</v>
      </c>
      <c r="M1145" t="s">
        <v>29</v>
      </c>
      <c r="N1145">
        <v>0</v>
      </c>
      <c r="O1145">
        <v>0</v>
      </c>
      <c r="P1145" t="s">
        <v>30</v>
      </c>
      <c r="Q1145" s="2">
        <v>0.7</v>
      </c>
      <c r="R1145">
        <v>0</v>
      </c>
      <c r="V1145" t="str">
        <f>VLOOKUP(H1145,'[1]팀별 출판사'!A:B,2,0)</f>
        <v>소설1팀</v>
      </c>
      <c r="W1145" s="6">
        <f t="shared" si="34"/>
        <v>0</v>
      </c>
      <c r="X1145" s="6">
        <f t="shared" si="35"/>
        <v>0</v>
      </c>
    </row>
    <row r="1146" spans="1:24" x14ac:dyDescent="0.3">
      <c r="A1146" t="s">
        <v>1743</v>
      </c>
      <c r="B1146" t="s">
        <v>1908</v>
      </c>
      <c r="C1146" t="s">
        <v>23</v>
      </c>
      <c r="D1146" t="s">
        <v>24</v>
      </c>
      <c r="E1146" t="s">
        <v>25</v>
      </c>
      <c r="F1146">
        <v>1</v>
      </c>
      <c r="G1146">
        <v>9791173783722</v>
      </c>
      <c r="H1146" t="s">
        <v>36</v>
      </c>
      <c r="I1146" t="s">
        <v>118</v>
      </c>
      <c r="J1146" t="s">
        <v>119</v>
      </c>
      <c r="K1146" t="s">
        <v>29</v>
      </c>
      <c r="L1146" s="1">
        <v>3600</v>
      </c>
      <c r="M1146" t="s">
        <v>1379</v>
      </c>
      <c r="N1146" s="1">
        <v>46157</v>
      </c>
      <c r="O1146" s="1">
        <v>41583</v>
      </c>
      <c r="P1146" t="s">
        <v>1380</v>
      </c>
      <c r="Q1146" s="2">
        <v>0.7</v>
      </c>
      <c r="R1146" s="1">
        <v>29108</v>
      </c>
      <c r="S1146" t="s">
        <v>29</v>
      </c>
      <c r="T1146" s="1">
        <v>2533</v>
      </c>
      <c r="U1146">
        <v>8.6760000000000004E-2</v>
      </c>
      <c r="V1146" t="str">
        <f>VLOOKUP(H1146,'[1]팀별 출판사'!A:B,2,0)</f>
        <v>소설2팀</v>
      </c>
      <c r="W1146" s="6">
        <f t="shared" si="34"/>
        <v>0</v>
      </c>
      <c r="X1146" s="6">
        <f t="shared" si="35"/>
        <v>2533</v>
      </c>
    </row>
    <row r="1147" spans="1:24" x14ac:dyDescent="0.3">
      <c r="A1147" t="s">
        <v>1743</v>
      </c>
      <c r="B1147" t="s">
        <v>1909</v>
      </c>
      <c r="C1147" t="s">
        <v>23</v>
      </c>
      <c r="D1147" t="s">
        <v>24</v>
      </c>
      <c r="E1147" t="s">
        <v>25</v>
      </c>
      <c r="F1147">
        <v>1</v>
      </c>
      <c r="G1147">
        <v>9791136910981</v>
      </c>
      <c r="H1147" t="s">
        <v>32</v>
      </c>
      <c r="I1147" t="s">
        <v>752</v>
      </c>
      <c r="J1147" t="s">
        <v>160</v>
      </c>
      <c r="K1147" t="s">
        <v>29</v>
      </c>
      <c r="L1147">
        <v>0</v>
      </c>
      <c r="M1147" t="s">
        <v>29</v>
      </c>
      <c r="N1147">
        <v>0</v>
      </c>
      <c r="O1147">
        <v>0</v>
      </c>
      <c r="P1147" t="s">
        <v>30</v>
      </c>
      <c r="Q1147" s="2">
        <v>0.7</v>
      </c>
      <c r="R1147">
        <v>0</v>
      </c>
      <c r="V1147" t="str">
        <f>VLOOKUP(H1147,'[1]팀별 출판사'!A:B,2,0)</f>
        <v>소설1팀</v>
      </c>
      <c r="W1147" s="6">
        <f t="shared" si="34"/>
        <v>0</v>
      </c>
      <c r="X1147" s="6">
        <f t="shared" si="35"/>
        <v>0</v>
      </c>
    </row>
    <row r="1148" spans="1:24" x14ac:dyDescent="0.3">
      <c r="A1148" t="s">
        <v>1743</v>
      </c>
      <c r="B1148" t="s">
        <v>1910</v>
      </c>
      <c r="C1148" t="s">
        <v>23</v>
      </c>
      <c r="D1148" t="s">
        <v>24</v>
      </c>
      <c r="E1148" t="s">
        <v>25</v>
      </c>
      <c r="F1148">
        <v>1</v>
      </c>
      <c r="G1148">
        <v>9791133186501</v>
      </c>
      <c r="H1148" t="s">
        <v>26</v>
      </c>
      <c r="I1148" t="s">
        <v>64</v>
      </c>
      <c r="J1148" t="s">
        <v>65</v>
      </c>
      <c r="K1148" t="s">
        <v>29</v>
      </c>
      <c r="L1148">
        <v>0</v>
      </c>
      <c r="M1148" t="s">
        <v>29</v>
      </c>
      <c r="N1148">
        <v>0</v>
      </c>
      <c r="O1148">
        <v>0</v>
      </c>
      <c r="P1148" t="s">
        <v>30</v>
      </c>
      <c r="Q1148" s="2">
        <v>0.7</v>
      </c>
      <c r="R1148">
        <v>0</v>
      </c>
      <c r="V1148" t="str">
        <f>VLOOKUP(H1148,'[1]팀별 출판사'!A:B,2,0)</f>
        <v>소설1팀</v>
      </c>
      <c r="W1148" s="6">
        <f t="shared" si="34"/>
        <v>0</v>
      </c>
      <c r="X1148" s="6">
        <f t="shared" si="35"/>
        <v>0</v>
      </c>
    </row>
    <row r="1149" spans="1:24" x14ac:dyDescent="0.3">
      <c r="A1149" t="s">
        <v>1743</v>
      </c>
      <c r="B1149" t="s">
        <v>1911</v>
      </c>
      <c r="C1149" t="s">
        <v>23</v>
      </c>
      <c r="D1149" t="s">
        <v>24</v>
      </c>
      <c r="E1149" t="s">
        <v>25</v>
      </c>
      <c r="F1149">
        <v>1</v>
      </c>
      <c r="G1149">
        <v>9791175302297</v>
      </c>
      <c r="H1149" t="s">
        <v>26</v>
      </c>
      <c r="I1149" t="s">
        <v>1912</v>
      </c>
      <c r="J1149" t="s">
        <v>1536</v>
      </c>
      <c r="K1149" t="s">
        <v>29</v>
      </c>
      <c r="L1149" s="1">
        <v>3200</v>
      </c>
      <c r="M1149" t="s">
        <v>29</v>
      </c>
      <c r="N1149" s="1">
        <v>3200</v>
      </c>
      <c r="O1149" s="1">
        <v>3200</v>
      </c>
      <c r="P1149" t="s">
        <v>30</v>
      </c>
      <c r="Q1149" s="2">
        <v>0.7</v>
      </c>
      <c r="R1149" s="1">
        <v>2240</v>
      </c>
      <c r="S1149" t="s">
        <v>29</v>
      </c>
      <c r="T1149" s="1">
        <v>2240</v>
      </c>
      <c r="V1149" t="str">
        <f>VLOOKUP(H1149,'[1]팀별 출판사'!A:B,2,0)</f>
        <v>소설1팀</v>
      </c>
      <c r="W1149" s="6">
        <f t="shared" si="34"/>
        <v>0</v>
      </c>
      <c r="X1149" s="6">
        <f t="shared" si="35"/>
        <v>2240</v>
      </c>
    </row>
    <row r="1150" spans="1:24" x14ac:dyDescent="0.3">
      <c r="A1150" t="s">
        <v>1743</v>
      </c>
      <c r="B1150" t="s">
        <v>1913</v>
      </c>
      <c r="C1150" t="s">
        <v>23</v>
      </c>
      <c r="D1150" t="s">
        <v>24</v>
      </c>
      <c r="E1150" t="s">
        <v>25</v>
      </c>
      <c r="F1150">
        <v>1</v>
      </c>
      <c r="G1150">
        <v>9791170100959</v>
      </c>
      <c r="H1150" t="s">
        <v>67</v>
      </c>
      <c r="I1150" t="s">
        <v>423</v>
      </c>
      <c r="J1150" t="s">
        <v>424</v>
      </c>
      <c r="K1150" t="s">
        <v>29</v>
      </c>
      <c r="L1150">
        <v>0</v>
      </c>
      <c r="M1150" t="s">
        <v>29</v>
      </c>
      <c r="N1150">
        <v>0</v>
      </c>
      <c r="O1150">
        <v>0</v>
      </c>
      <c r="P1150" t="s">
        <v>30</v>
      </c>
      <c r="Q1150" s="2">
        <v>0.7</v>
      </c>
      <c r="R1150">
        <v>0</v>
      </c>
      <c r="V1150" t="str">
        <f>VLOOKUP(H1150,'[1]팀별 출판사'!A:B,2,0)</f>
        <v>소설1팀</v>
      </c>
      <c r="W1150" s="6">
        <f t="shared" si="34"/>
        <v>0</v>
      </c>
      <c r="X1150" s="6">
        <f t="shared" si="35"/>
        <v>0</v>
      </c>
    </row>
    <row r="1151" spans="1:24" x14ac:dyDescent="0.3">
      <c r="A1151" t="s">
        <v>1743</v>
      </c>
      <c r="B1151" t="s">
        <v>1914</v>
      </c>
      <c r="C1151" t="s">
        <v>23</v>
      </c>
      <c r="D1151" t="s">
        <v>24</v>
      </c>
      <c r="E1151" t="s">
        <v>25</v>
      </c>
      <c r="F1151">
        <v>1</v>
      </c>
      <c r="G1151">
        <v>9791136930361</v>
      </c>
      <c r="H1151" t="s">
        <v>32</v>
      </c>
      <c r="I1151" t="s">
        <v>33</v>
      </c>
      <c r="J1151" t="s">
        <v>34</v>
      </c>
      <c r="K1151" t="s">
        <v>29</v>
      </c>
      <c r="L1151">
        <v>0</v>
      </c>
      <c r="M1151" t="s">
        <v>29</v>
      </c>
      <c r="N1151">
        <v>0</v>
      </c>
      <c r="O1151">
        <v>0</v>
      </c>
      <c r="P1151" t="s">
        <v>30</v>
      </c>
      <c r="Q1151" s="2">
        <v>0.7</v>
      </c>
      <c r="R1151">
        <v>0</v>
      </c>
      <c r="V1151" t="str">
        <f>VLOOKUP(H1151,'[1]팀별 출판사'!A:B,2,0)</f>
        <v>소설1팀</v>
      </c>
      <c r="W1151" s="6">
        <f t="shared" si="34"/>
        <v>0</v>
      </c>
      <c r="X1151" s="6">
        <f t="shared" si="35"/>
        <v>0</v>
      </c>
    </row>
    <row r="1152" spans="1:24" x14ac:dyDescent="0.3">
      <c r="A1152" t="s">
        <v>1743</v>
      </c>
      <c r="B1152" t="s">
        <v>1915</v>
      </c>
      <c r="C1152" t="s">
        <v>23</v>
      </c>
      <c r="D1152" t="s">
        <v>24</v>
      </c>
      <c r="E1152" t="s">
        <v>25</v>
      </c>
      <c r="F1152">
        <v>1</v>
      </c>
      <c r="G1152">
        <v>9791157532179</v>
      </c>
      <c r="H1152" t="s">
        <v>32</v>
      </c>
      <c r="I1152" t="s">
        <v>168</v>
      </c>
      <c r="J1152" t="s">
        <v>112</v>
      </c>
      <c r="K1152" t="s">
        <v>29</v>
      </c>
      <c r="L1152" s="1">
        <v>3200</v>
      </c>
      <c r="M1152" t="s">
        <v>29</v>
      </c>
      <c r="N1152" s="1">
        <v>3200</v>
      </c>
      <c r="O1152" s="1">
        <v>3200</v>
      </c>
      <c r="P1152" t="s">
        <v>30</v>
      </c>
      <c r="Q1152" s="2">
        <v>0.7</v>
      </c>
      <c r="R1152" s="1">
        <v>2240</v>
      </c>
      <c r="S1152" t="s">
        <v>29</v>
      </c>
      <c r="T1152" s="1">
        <v>2240</v>
      </c>
      <c r="V1152" t="str">
        <f>VLOOKUP(H1152,'[1]팀별 출판사'!A:B,2,0)</f>
        <v>소설1팀</v>
      </c>
      <c r="W1152" s="6">
        <f t="shared" si="34"/>
        <v>0</v>
      </c>
      <c r="X1152" s="6">
        <f t="shared" si="35"/>
        <v>2240</v>
      </c>
    </row>
    <row r="1153" spans="1:24" x14ac:dyDescent="0.3">
      <c r="A1153" t="s">
        <v>1743</v>
      </c>
      <c r="B1153" t="s">
        <v>1916</v>
      </c>
      <c r="C1153" t="s">
        <v>23</v>
      </c>
      <c r="D1153" t="s">
        <v>24</v>
      </c>
      <c r="E1153" t="s">
        <v>25</v>
      </c>
      <c r="F1153">
        <v>1</v>
      </c>
      <c r="G1153">
        <v>9791133186501</v>
      </c>
      <c r="H1153" t="s">
        <v>26</v>
      </c>
      <c r="I1153" t="s">
        <v>64</v>
      </c>
      <c r="J1153" t="s">
        <v>65</v>
      </c>
      <c r="K1153" t="s">
        <v>29</v>
      </c>
      <c r="L1153">
        <v>0</v>
      </c>
      <c r="M1153" t="s">
        <v>29</v>
      </c>
      <c r="N1153">
        <v>0</v>
      </c>
      <c r="O1153">
        <v>0</v>
      </c>
      <c r="P1153" t="s">
        <v>30</v>
      </c>
      <c r="Q1153" s="2">
        <v>0.7</v>
      </c>
      <c r="R1153">
        <v>0</v>
      </c>
      <c r="V1153" t="str">
        <f>VLOOKUP(H1153,'[1]팀별 출판사'!A:B,2,0)</f>
        <v>소설1팀</v>
      </c>
      <c r="W1153" s="6">
        <f t="shared" si="34"/>
        <v>0</v>
      </c>
      <c r="X1153" s="6">
        <f t="shared" si="35"/>
        <v>0</v>
      </c>
    </row>
    <row r="1154" spans="1:24" x14ac:dyDescent="0.3">
      <c r="A1154" t="s">
        <v>1743</v>
      </c>
      <c r="B1154" t="s">
        <v>1917</v>
      </c>
      <c r="C1154" t="s">
        <v>23</v>
      </c>
      <c r="D1154" t="s">
        <v>24</v>
      </c>
      <c r="E1154" t="s">
        <v>25</v>
      </c>
      <c r="F1154">
        <v>1</v>
      </c>
      <c r="G1154">
        <v>9791136931375</v>
      </c>
      <c r="H1154" t="s">
        <v>32</v>
      </c>
      <c r="I1154" t="s">
        <v>189</v>
      </c>
      <c r="J1154" t="s">
        <v>46</v>
      </c>
      <c r="K1154" t="s">
        <v>29</v>
      </c>
      <c r="L1154">
        <v>0</v>
      </c>
      <c r="M1154" t="s">
        <v>47</v>
      </c>
      <c r="N1154">
        <v>0</v>
      </c>
      <c r="O1154">
        <v>0</v>
      </c>
      <c r="P1154" t="s">
        <v>48</v>
      </c>
      <c r="Q1154" s="2">
        <v>0.7</v>
      </c>
      <c r="R1154">
        <v>0</v>
      </c>
      <c r="V1154" t="str">
        <f>VLOOKUP(H1154,'[1]팀별 출판사'!A:B,2,0)</f>
        <v>소설1팀</v>
      </c>
      <c r="W1154" s="6">
        <f t="shared" ref="W1154:W1217" si="36">IF(P1154="US", T1154*30%, 0)</f>
        <v>0</v>
      </c>
      <c r="X1154" s="6">
        <f t="shared" ref="X1154:X1217" si="37">T1154-W1154</f>
        <v>0</v>
      </c>
    </row>
    <row r="1155" spans="1:24" x14ac:dyDescent="0.3">
      <c r="A1155" t="s">
        <v>1743</v>
      </c>
      <c r="B1155" t="s">
        <v>1918</v>
      </c>
      <c r="C1155" t="s">
        <v>23</v>
      </c>
      <c r="D1155" t="s">
        <v>24</v>
      </c>
      <c r="E1155" t="s">
        <v>25</v>
      </c>
      <c r="F1155">
        <v>1</v>
      </c>
      <c r="G1155">
        <v>9791173785108</v>
      </c>
      <c r="H1155" t="s">
        <v>26</v>
      </c>
      <c r="I1155" t="s">
        <v>1902</v>
      </c>
      <c r="J1155" t="s">
        <v>62</v>
      </c>
      <c r="K1155" t="s">
        <v>29</v>
      </c>
      <c r="L1155" s="1">
        <v>3200</v>
      </c>
      <c r="M1155" t="s">
        <v>29</v>
      </c>
      <c r="N1155" s="1">
        <v>3200</v>
      </c>
      <c r="O1155" s="1">
        <v>3200</v>
      </c>
      <c r="P1155" t="s">
        <v>30</v>
      </c>
      <c r="Q1155" s="2">
        <v>0.7</v>
      </c>
      <c r="R1155" s="1">
        <v>2240</v>
      </c>
      <c r="S1155" t="s">
        <v>29</v>
      </c>
      <c r="T1155" s="1">
        <v>2240</v>
      </c>
      <c r="V1155" t="str">
        <f>VLOOKUP(H1155,'[1]팀별 출판사'!A:B,2,0)</f>
        <v>소설1팀</v>
      </c>
      <c r="W1155" s="6">
        <f t="shared" si="36"/>
        <v>0</v>
      </c>
      <c r="X1155" s="6">
        <f t="shared" si="37"/>
        <v>2240</v>
      </c>
    </row>
    <row r="1156" spans="1:24" x14ac:dyDescent="0.3">
      <c r="A1156" t="s">
        <v>1743</v>
      </c>
      <c r="B1156" t="s">
        <v>1919</v>
      </c>
      <c r="C1156" t="s">
        <v>23</v>
      </c>
      <c r="D1156" t="s">
        <v>24</v>
      </c>
      <c r="E1156" t="s">
        <v>25</v>
      </c>
      <c r="F1156">
        <v>1</v>
      </c>
      <c r="G1156">
        <v>9791136930224</v>
      </c>
      <c r="H1156" t="s">
        <v>32</v>
      </c>
      <c r="I1156" t="s">
        <v>172</v>
      </c>
      <c r="J1156" t="s">
        <v>46</v>
      </c>
      <c r="K1156" t="s">
        <v>29</v>
      </c>
      <c r="L1156">
        <v>0</v>
      </c>
      <c r="M1156" t="s">
        <v>29</v>
      </c>
      <c r="N1156">
        <v>0</v>
      </c>
      <c r="O1156">
        <v>0</v>
      </c>
      <c r="P1156" t="s">
        <v>30</v>
      </c>
      <c r="Q1156" s="2">
        <v>0.7</v>
      </c>
      <c r="R1156">
        <v>0</v>
      </c>
      <c r="V1156" t="str">
        <f>VLOOKUP(H1156,'[1]팀별 출판사'!A:B,2,0)</f>
        <v>소설1팀</v>
      </c>
      <c r="W1156" s="6">
        <f t="shared" si="36"/>
        <v>0</v>
      </c>
      <c r="X1156" s="6">
        <f t="shared" si="37"/>
        <v>0</v>
      </c>
    </row>
    <row r="1157" spans="1:24" x14ac:dyDescent="0.3">
      <c r="A1157" t="s">
        <v>1920</v>
      </c>
      <c r="B1157" t="s">
        <v>1921</v>
      </c>
      <c r="C1157" t="s">
        <v>23</v>
      </c>
      <c r="D1157" t="s">
        <v>24</v>
      </c>
      <c r="E1157" t="s">
        <v>25</v>
      </c>
      <c r="F1157">
        <v>1</v>
      </c>
      <c r="G1157">
        <v>9791136910974</v>
      </c>
      <c r="H1157" t="s">
        <v>26</v>
      </c>
      <c r="I1157" t="s">
        <v>568</v>
      </c>
      <c r="J1157" t="s">
        <v>160</v>
      </c>
      <c r="K1157" t="s">
        <v>29</v>
      </c>
      <c r="L1157">
        <v>0</v>
      </c>
      <c r="M1157" t="s">
        <v>29</v>
      </c>
      <c r="N1157">
        <v>0</v>
      </c>
      <c r="O1157">
        <v>0</v>
      </c>
      <c r="P1157" t="s">
        <v>30</v>
      </c>
      <c r="Q1157" s="2">
        <v>0.7</v>
      </c>
      <c r="R1157">
        <v>0</v>
      </c>
      <c r="V1157" t="str">
        <f>VLOOKUP(H1157,'[1]팀별 출판사'!A:B,2,0)</f>
        <v>소설1팀</v>
      </c>
      <c r="W1157" s="6">
        <f t="shared" si="36"/>
        <v>0</v>
      </c>
      <c r="X1157" s="6">
        <f t="shared" si="37"/>
        <v>0</v>
      </c>
    </row>
    <row r="1158" spans="1:24" x14ac:dyDescent="0.3">
      <c r="A1158" t="s">
        <v>1920</v>
      </c>
      <c r="B1158" t="s">
        <v>1922</v>
      </c>
      <c r="C1158" t="s">
        <v>23</v>
      </c>
      <c r="D1158" t="s">
        <v>24</v>
      </c>
      <c r="E1158" t="s">
        <v>25</v>
      </c>
      <c r="F1158">
        <v>1</v>
      </c>
      <c r="G1158">
        <v>9791136938947</v>
      </c>
      <c r="H1158" t="s">
        <v>26</v>
      </c>
      <c r="I1158" t="s">
        <v>1076</v>
      </c>
      <c r="J1158" t="s">
        <v>1077</v>
      </c>
      <c r="K1158" t="s">
        <v>29</v>
      </c>
      <c r="L1158">
        <v>0</v>
      </c>
      <c r="M1158" t="s">
        <v>29</v>
      </c>
      <c r="N1158">
        <v>0</v>
      </c>
      <c r="O1158">
        <v>0</v>
      </c>
      <c r="P1158" t="s">
        <v>30</v>
      </c>
      <c r="Q1158" s="2">
        <v>0.7</v>
      </c>
      <c r="R1158">
        <v>0</v>
      </c>
      <c r="V1158" t="str">
        <f>VLOOKUP(H1158,'[1]팀별 출판사'!A:B,2,0)</f>
        <v>소설1팀</v>
      </c>
      <c r="W1158" s="6">
        <f t="shared" si="36"/>
        <v>0</v>
      </c>
      <c r="X1158" s="6">
        <f t="shared" si="37"/>
        <v>0</v>
      </c>
    </row>
    <row r="1159" spans="1:24" x14ac:dyDescent="0.3">
      <c r="A1159" t="s">
        <v>1920</v>
      </c>
      <c r="B1159" t="s">
        <v>1923</v>
      </c>
      <c r="C1159" t="s">
        <v>23</v>
      </c>
      <c r="D1159" t="s">
        <v>24</v>
      </c>
      <c r="E1159" t="s">
        <v>25</v>
      </c>
      <c r="F1159">
        <v>1</v>
      </c>
      <c r="G1159">
        <v>9791136930552</v>
      </c>
      <c r="H1159" t="s">
        <v>26</v>
      </c>
      <c r="I1159" t="s">
        <v>45</v>
      </c>
      <c r="J1159" t="s">
        <v>46</v>
      </c>
      <c r="K1159" t="s">
        <v>29</v>
      </c>
      <c r="L1159">
        <v>0</v>
      </c>
      <c r="M1159" t="s">
        <v>47</v>
      </c>
      <c r="N1159">
        <v>0</v>
      </c>
      <c r="O1159">
        <v>0</v>
      </c>
      <c r="P1159" t="s">
        <v>48</v>
      </c>
      <c r="Q1159" s="2">
        <v>0.7</v>
      </c>
      <c r="R1159">
        <v>0</v>
      </c>
      <c r="V1159" t="str">
        <f>VLOOKUP(H1159,'[1]팀별 출판사'!A:B,2,0)</f>
        <v>소설1팀</v>
      </c>
      <c r="W1159" s="6">
        <f t="shared" si="36"/>
        <v>0</v>
      </c>
      <c r="X1159" s="6">
        <f t="shared" si="37"/>
        <v>0</v>
      </c>
    </row>
    <row r="1160" spans="1:24" x14ac:dyDescent="0.3">
      <c r="A1160" t="s">
        <v>1920</v>
      </c>
      <c r="B1160" t="s">
        <v>1924</v>
      </c>
      <c r="C1160" t="s">
        <v>23</v>
      </c>
      <c r="D1160" t="s">
        <v>24</v>
      </c>
      <c r="E1160" t="s">
        <v>25</v>
      </c>
      <c r="F1160">
        <v>1</v>
      </c>
      <c r="G1160">
        <v>9791170100164</v>
      </c>
      <c r="H1160" t="s">
        <v>67</v>
      </c>
      <c r="I1160" t="s">
        <v>106</v>
      </c>
      <c r="J1160" t="s">
        <v>107</v>
      </c>
      <c r="K1160" t="s">
        <v>29</v>
      </c>
      <c r="L1160">
        <v>0</v>
      </c>
      <c r="M1160" t="s">
        <v>29</v>
      </c>
      <c r="N1160">
        <v>0</v>
      </c>
      <c r="O1160">
        <v>0</v>
      </c>
      <c r="P1160" t="s">
        <v>30</v>
      </c>
      <c r="Q1160" s="2">
        <v>0.7</v>
      </c>
      <c r="R1160">
        <v>0</v>
      </c>
      <c r="V1160" t="str">
        <f>VLOOKUP(H1160,'[1]팀별 출판사'!A:B,2,0)</f>
        <v>소설1팀</v>
      </c>
      <c r="W1160" s="6">
        <f t="shared" si="36"/>
        <v>0</v>
      </c>
      <c r="X1160" s="6">
        <f t="shared" si="37"/>
        <v>0</v>
      </c>
    </row>
    <row r="1161" spans="1:24" x14ac:dyDescent="0.3">
      <c r="A1161" t="s">
        <v>1920</v>
      </c>
      <c r="B1161" t="s">
        <v>1925</v>
      </c>
      <c r="C1161" t="s">
        <v>23</v>
      </c>
      <c r="D1161" t="s">
        <v>24</v>
      </c>
      <c r="E1161" t="s">
        <v>25</v>
      </c>
      <c r="F1161">
        <v>1</v>
      </c>
      <c r="G1161">
        <v>9791133186501</v>
      </c>
      <c r="H1161" t="s">
        <v>26</v>
      </c>
      <c r="I1161" t="s">
        <v>64</v>
      </c>
      <c r="J1161" t="s">
        <v>65</v>
      </c>
      <c r="K1161" t="s">
        <v>29</v>
      </c>
      <c r="L1161">
        <v>0</v>
      </c>
      <c r="M1161" t="s">
        <v>29</v>
      </c>
      <c r="N1161">
        <v>0</v>
      </c>
      <c r="O1161">
        <v>0</v>
      </c>
      <c r="P1161" t="s">
        <v>30</v>
      </c>
      <c r="Q1161" s="2">
        <v>0.7</v>
      </c>
      <c r="R1161">
        <v>0</v>
      </c>
      <c r="V1161" t="str">
        <f>VLOOKUP(H1161,'[1]팀별 출판사'!A:B,2,0)</f>
        <v>소설1팀</v>
      </c>
      <c r="W1161" s="6">
        <f t="shared" si="36"/>
        <v>0</v>
      </c>
      <c r="X1161" s="6">
        <f t="shared" si="37"/>
        <v>0</v>
      </c>
    </row>
    <row r="1162" spans="1:24" x14ac:dyDescent="0.3">
      <c r="A1162" t="s">
        <v>1920</v>
      </c>
      <c r="B1162" t="s">
        <v>1926</v>
      </c>
      <c r="C1162" t="s">
        <v>23</v>
      </c>
      <c r="D1162" t="s">
        <v>24</v>
      </c>
      <c r="E1162" t="s">
        <v>25</v>
      </c>
      <c r="F1162">
        <v>1</v>
      </c>
      <c r="G1162">
        <v>9791170101468</v>
      </c>
      <c r="H1162" t="s">
        <v>67</v>
      </c>
      <c r="I1162" t="s">
        <v>404</v>
      </c>
      <c r="J1162" t="s">
        <v>405</v>
      </c>
      <c r="K1162" t="s">
        <v>29</v>
      </c>
      <c r="L1162">
        <v>0</v>
      </c>
      <c r="M1162" t="s">
        <v>29</v>
      </c>
      <c r="N1162">
        <v>0</v>
      </c>
      <c r="O1162">
        <v>0</v>
      </c>
      <c r="P1162" t="s">
        <v>30</v>
      </c>
      <c r="Q1162" s="2">
        <v>0.7</v>
      </c>
      <c r="R1162">
        <v>0</v>
      </c>
      <c r="V1162" t="str">
        <f>VLOOKUP(H1162,'[1]팀별 출판사'!A:B,2,0)</f>
        <v>소설1팀</v>
      </c>
      <c r="W1162" s="6">
        <f t="shared" si="36"/>
        <v>0</v>
      </c>
      <c r="X1162" s="6">
        <f t="shared" si="37"/>
        <v>0</v>
      </c>
    </row>
    <row r="1163" spans="1:24" x14ac:dyDescent="0.3">
      <c r="A1163" t="s">
        <v>1920</v>
      </c>
      <c r="B1163" t="s">
        <v>1927</v>
      </c>
      <c r="C1163" t="s">
        <v>23</v>
      </c>
      <c r="D1163" t="s">
        <v>24</v>
      </c>
      <c r="E1163" t="s">
        <v>25</v>
      </c>
      <c r="F1163">
        <v>1</v>
      </c>
      <c r="G1163">
        <v>9791170104643</v>
      </c>
      <c r="H1163" t="s">
        <v>67</v>
      </c>
      <c r="I1163" t="s">
        <v>407</v>
      </c>
      <c r="J1163" t="s">
        <v>408</v>
      </c>
      <c r="K1163" t="s">
        <v>29</v>
      </c>
      <c r="L1163">
        <v>0</v>
      </c>
      <c r="M1163" t="s">
        <v>29</v>
      </c>
      <c r="N1163">
        <v>0</v>
      </c>
      <c r="O1163">
        <v>0</v>
      </c>
      <c r="P1163" t="s">
        <v>30</v>
      </c>
      <c r="Q1163" s="2">
        <v>0.7</v>
      </c>
      <c r="R1163">
        <v>0</v>
      </c>
      <c r="V1163" t="str">
        <f>VLOOKUP(H1163,'[1]팀별 출판사'!A:B,2,0)</f>
        <v>소설1팀</v>
      </c>
      <c r="W1163" s="6">
        <f t="shared" si="36"/>
        <v>0</v>
      </c>
      <c r="X1163" s="6">
        <f t="shared" si="37"/>
        <v>0</v>
      </c>
    </row>
    <row r="1164" spans="1:24" x14ac:dyDescent="0.3">
      <c r="A1164" t="s">
        <v>1920</v>
      </c>
      <c r="B1164" t="s">
        <v>1928</v>
      </c>
      <c r="C1164" t="s">
        <v>23</v>
      </c>
      <c r="D1164" t="s">
        <v>24</v>
      </c>
      <c r="E1164" t="s">
        <v>25</v>
      </c>
      <c r="F1164">
        <v>1</v>
      </c>
      <c r="G1164">
        <v>9791170101024</v>
      </c>
      <c r="H1164" t="s">
        <v>67</v>
      </c>
      <c r="I1164" t="s">
        <v>1544</v>
      </c>
      <c r="J1164" t="s">
        <v>1545</v>
      </c>
      <c r="K1164" t="s">
        <v>29</v>
      </c>
      <c r="L1164">
        <v>0</v>
      </c>
      <c r="M1164" t="s">
        <v>29</v>
      </c>
      <c r="N1164">
        <v>0</v>
      </c>
      <c r="O1164">
        <v>0</v>
      </c>
      <c r="P1164" t="s">
        <v>30</v>
      </c>
      <c r="Q1164" s="2">
        <v>0.7</v>
      </c>
      <c r="R1164">
        <v>0</v>
      </c>
      <c r="V1164" t="str">
        <f>VLOOKUP(H1164,'[1]팀별 출판사'!A:B,2,0)</f>
        <v>소설1팀</v>
      </c>
      <c r="W1164" s="6">
        <f t="shared" si="36"/>
        <v>0</v>
      </c>
      <c r="X1164" s="6">
        <f t="shared" si="37"/>
        <v>0</v>
      </c>
    </row>
    <row r="1165" spans="1:24" x14ac:dyDescent="0.3">
      <c r="A1165" t="s">
        <v>1920</v>
      </c>
      <c r="B1165" t="s">
        <v>1929</v>
      </c>
      <c r="C1165" t="s">
        <v>23</v>
      </c>
      <c r="D1165" t="s">
        <v>24</v>
      </c>
      <c r="E1165" t="s">
        <v>25</v>
      </c>
      <c r="F1165">
        <v>1</v>
      </c>
      <c r="G1165">
        <v>9791173788864</v>
      </c>
      <c r="H1165" t="s">
        <v>26</v>
      </c>
      <c r="I1165" t="s">
        <v>1930</v>
      </c>
      <c r="J1165" t="s">
        <v>256</v>
      </c>
      <c r="K1165" t="s">
        <v>29</v>
      </c>
      <c r="L1165">
        <v>0</v>
      </c>
      <c r="M1165" t="s">
        <v>29</v>
      </c>
      <c r="N1165">
        <v>0</v>
      </c>
      <c r="O1165">
        <v>0</v>
      </c>
      <c r="P1165" t="s">
        <v>30</v>
      </c>
      <c r="Q1165" s="2">
        <v>0.7</v>
      </c>
      <c r="R1165">
        <v>0</v>
      </c>
      <c r="V1165" t="str">
        <f>VLOOKUP(H1165,'[1]팀별 출판사'!A:B,2,0)</f>
        <v>소설1팀</v>
      </c>
      <c r="W1165" s="6">
        <f t="shared" si="36"/>
        <v>0</v>
      </c>
      <c r="X1165" s="6">
        <f t="shared" si="37"/>
        <v>0</v>
      </c>
    </row>
    <row r="1166" spans="1:24" x14ac:dyDescent="0.3">
      <c r="A1166" t="s">
        <v>1920</v>
      </c>
      <c r="B1166" t="s">
        <v>1931</v>
      </c>
      <c r="C1166" t="s">
        <v>23</v>
      </c>
      <c r="D1166" t="s">
        <v>24</v>
      </c>
      <c r="E1166" t="s">
        <v>25</v>
      </c>
      <c r="F1166">
        <v>1</v>
      </c>
      <c r="G1166">
        <v>9791175301955</v>
      </c>
      <c r="H1166" t="s">
        <v>26</v>
      </c>
      <c r="I1166" t="s">
        <v>591</v>
      </c>
      <c r="J1166" t="s">
        <v>256</v>
      </c>
      <c r="K1166" t="s">
        <v>29</v>
      </c>
      <c r="L1166">
        <v>0</v>
      </c>
      <c r="M1166" t="s">
        <v>29</v>
      </c>
      <c r="N1166">
        <v>0</v>
      </c>
      <c r="O1166">
        <v>0</v>
      </c>
      <c r="P1166" t="s">
        <v>30</v>
      </c>
      <c r="Q1166" s="2">
        <v>0.7</v>
      </c>
      <c r="R1166">
        <v>0</v>
      </c>
      <c r="V1166" t="str">
        <f>VLOOKUP(H1166,'[1]팀별 출판사'!A:B,2,0)</f>
        <v>소설1팀</v>
      </c>
      <c r="W1166" s="6">
        <f t="shared" si="36"/>
        <v>0</v>
      </c>
      <c r="X1166" s="6">
        <f t="shared" si="37"/>
        <v>0</v>
      </c>
    </row>
    <row r="1167" spans="1:24" x14ac:dyDescent="0.3">
      <c r="A1167" t="s">
        <v>1920</v>
      </c>
      <c r="B1167" t="s">
        <v>1932</v>
      </c>
      <c r="C1167" t="s">
        <v>23</v>
      </c>
      <c r="D1167" t="s">
        <v>24</v>
      </c>
      <c r="E1167" t="s">
        <v>25</v>
      </c>
      <c r="F1167">
        <v>1</v>
      </c>
      <c r="G1167">
        <v>9791170106586</v>
      </c>
      <c r="H1167" t="s">
        <v>67</v>
      </c>
      <c r="I1167" t="s">
        <v>1933</v>
      </c>
      <c r="J1167" t="s">
        <v>1934</v>
      </c>
      <c r="K1167" t="s">
        <v>29</v>
      </c>
      <c r="L1167" s="1">
        <v>1000</v>
      </c>
      <c r="M1167" t="s">
        <v>29</v>
      </c>
      <c r="N1167" s="1">
        <v>1000</v>
      </c>
      <c r="O1167" s="1">
        <v>1000</v>
      </c>
      <c r="P1167" t="s">
        <v>30</v>
      </c>
      <c r="Q1167" s="2">
        <v>0.7</v>
      </c>
      <c r="R1167">
        <v>700</v>
      </c>
      <c r="S1167" t="s">
        <v>29</v>
      </c>
      <c r="T1167">
        <v>700</v>
      </c>
      <c r="V1167" t="str">
        <f>VLOOKUP(H1167,'[1]팀별 출판사'!A:B,2,0)</f>
        <v>소설1팀</v>
      </c>
      <c r="W1167" s="6">
        <f t="shared" si="36"/>
        <v>0</v>
      </c>
      <c r="X1167" s="6">
        <f t="shared" si="37"/>
        <v>700</v>
      </c>
    </row>
    <row r="1168" spans="1:24" x14ac:dyDescent="0.3">
      <c r="A1168" t="s">
        <v>1920</v>
      </c>
      <c r="B1168" t="s">
        <v>1935</v>
      </c>
      <c r="C1168" t="s">
        <v>23</v>
      </c>
      <c r="D1168" t="s">
        <v>24</v>
      </c>
      <c r="E1168" t="s">
        <v>25</v>
      </c>
      <c r="F1168">
        <v>1</v>
      </c>
      <c r="G1168" t="s">
        <v>1936</v>
      </c>
      <c r="H1168" t="s">
        <v>32</v>
      </c>
      <c r="I1168" t="s">
        <v>1937</v>
      </c>
      <c r="J1168" t="s">
        <v>1938</v>
      </c>
      <c r="K1168" t="s">
        <v>29</v>
      </c>
      <c r="L1168">
        <v>0</v>
      </c>
      <c r="M1168" t="s">
        <v>948</v>
      </c>
      <c r="N1168">
        <v>0</v>
      </c>
      <c r="O1168">
        <v>0</v>
      </c>
      <c r="P1168" t="s">
        <v>949</v>
      </c>
      <c r="Q1168" s="2">
        <v>0.7</v>
      </c>
      <c r="R1168">
        <v>0</v>
      </c>
      <c r="V1168" t="str">
        <f>VLOOKUP(H1168,'[1]팀별 출판사'!A:B,2,0)</f>
        <v>소설1팀</v>
      </c>
      <c r="W1168" s="6">
        <f t="shared" si="36"/>
        <v>0</v>
      </c>
      <c r="X1168" s="6">
        <f t="shared" si="37"/>
        <v>0</v>
      </c>
    </row>
    <row r="1169" spans="1:24" x14ac:dyDescent="0.3">
      <c r="A1169" t="s">
        <v>1920</v>
      </c>
      <c r="B1169" t="s">
        <v>1939</v>
      </c>
      <c r="C1169" t="s">
        <v>23</v>
      </c>
      <c r="D1169" t="s">
        <v>24</v>
      </c>
      <c r="E1169" t="s">
        <v>25</v>
      </c>
      <c r="F1169">
        <v>1</v>
      </c>
      <c r="G1169">
        <v>9791136916655</v>
      </c>
      <c r="H1169" t="s">
        <v>26</v>
      </c>
      <c r="I1169" t="s">
        <v>305</v>
      </c>
      <c r="J1169" t="s">
        <v>62</v>
      </c>
      <c r="K1169" t="s">
        <v>29</v>
      </c>
      <c r="L1169">
        <v>0</v>
      </c>
      <c r="M1169" t="s">
        <v>29</v>
      </c>
      <c r="N1169">
        <v>0</v>
      </c>
      <c r="O1169">
        <v>0</v>
      </c>
      <c r="P1169" t="s">
        <v>30</v>
      </c>
      <c r="Q1169" s="2">
        <v>0.7</v>
      </c>
      <c r="R1169">
        <v>0</v>
      </c>
      <c r="V1169" t="str">
        <f>VLOOKUP(H1169,'[1]팀별 출판사'!A:B,2,0)</f>
        <v>소설1팀</v>
      </c>
      <c r="W1169" s="6">
        <f t="shared" si="36"/>
        <v>0</v>
      </c>
      <c r="X1169" s="6">
        <f t="shared" si="37"/>
        <v>0</v>
      </c>
    </row>
    <row r="1170" spans="1:24" x14ac:dyDescent="0.3">
      <c r="A1170" t="s">
        <v>1920</v>
      </c>
      <c r="B1170" t="s">
        <v>1940</v>
      </c>
      <c r="C1170" t="s">
        <v>23</v>
      </c>
      <c r="D1170" t="s">
        <v>24</v>
      </c>
      <c r="E1170" t="s">
        <v>25</v>
      </c>
      <c r="F1170">
        <v>1</v>
      </c>
      <c r="G1170">
        <v>9791136942036</v>
      </c>
      <c r="H1170" t="s">
        <v>26</v>
      </c>
      <c r="I1170" t="s">
        <v>1941</v>
      </c>
      <c r="J1170" t="s">
        <v>81</v>
      </c>
      <c r="K1170" t="s">
        <v>29</v>
      </c>
      <c r="L1170">
        <v>0</v>
      </c>
      <c r="M1170" t="s">
        <v>29</v>
      </c>
      <c r="N1170">
        <v>0</v>
      </c>
      <c r="O1170">
        <v>0</v>
      </c>
      <c r="P1170" t="s">
        <v>30</v>
      </c>
      <c r="Q1170" s="2">
        <v>0.7</v>
      </c>
      <c r="R1170">
        <v>0</v>
      </c>
      <c r="V1170" t="str">
        <f>VLOOKUP(H1170,'[1]팀별 출판사'!A:B,2,0)</f>
        <v>소설1팀</v>
      </c>
      <c r="W1170" s="6">
        <f t="shared" si="36"/>
        <v>0</v>
      </c>
      <c r="X1170" s="6">
        <f t="shared" si="37"/>
        <v>0</v>
      </c>
    </row>
    <row r="1171" spans="1:24" x14ac:dyDescent="0.3">
      <c r="A1171" t="s">
        <v>1920</v>
      </c>
      <c r="B1171" t="s">
        <v>1942</v>
      </c>
      <c r="C1171" t="s">
        <v>23</v>
      </c>
      <c r="D1171" t="s">
        <v>24</v>
      </c>
      <c r="E1171" t="s">
        <v>25</v>
      </c>
      <c r="F1171">
        <v>1</v>
      </c>
      <c r="G1171">
        <v>9791136925800</v>
      </c>
      <c r="H1171" t="s">
        <v>26</v>
      </c>
      <c r="I1171" t="s">
        <v>1856</v>
      </c>
      <c r="J1171" t="s">
        <v>813</v>
      </c>
      <c r="K1171" t="s">
        <v>29</v>
      </c>
      <c r="L1171">
        <v>0</v>
      </c>
      <c r="M1171" t="s">
        <v>29</v>
      </c>
      <c r="N1171">
        <v>0</v>
      </c>
      <c r="O1171">
        <v>0</v>
      </c>
      <c r="P1171" t="s">
        <v>30</v>
      </c>
      <c r="Q1171" s="2">
        <v>0.7</v>
      </c>
      <c r="R1171">
        <v>0</v>
      </c>
      <c r="V1171" t="str">
        <f>VLOOKUP(H1171,'[1]팀별 출판사'!A:B,2,0)</f>
        <v>소설1팀</v>
      </c>
      <c r="W1171" s="6">
        <f t="shared" si="36"/>
        <v>0</v>
      </c>
      <c r="X1171" s="6">
        <f t="shared" si="37"/>
        <v>0</v>
      </c>
    </row>
    <row r="1172" spans="1:24" x14ac:dyDescent="0.3">
      <c r="A1172" t="s">
        <v>1920</v>
      </c>
      <c r="B1172" t="s">
        <v>1943</v>
      </c>
      <c r="C1172" t="s">
        <v>23</v>
      </c>
      <c r="D1172" t="s">
        <v>24</v>
      </c>
      <c r="E1172" t="s">
        <v>25</v>
      </c>
      <c r="F1172">
        <v>1</v>
      </c>
      <c r="G1172">
        <v>9791133101788</v>
      </c>
      <c r="H1172" t="s">
        <v>32</v>
      </c>
      <c r="I1172" t="s">
        <v>870</v>
      </c>
      <c r="J1172" t="s">
        <v>160</v>
      </c>
      <c r="K1172" t="s">
        <v>29</v>
      </c>
      <c r="L1172">
        <v>0</v>
      </c>
      <c r="M1172" t="s">
        <v>29</v>
      </c>
      <c r="N1172">
        <v>0</v>
      </c>
      <c r="O1172">
        <v>0</v>
      </c>
      <c r="P1172" t="s">
        <v>30</v>
      </c>
      <c r="Q1172" s="2">
        <v>0.7</v>
      </c>
      <c r="R1172">
        <v>0</v>
      </c>
      <c r="V1172" t="str">
        <f>VLOOKUP(H1172,'[1]팀별 출판사'!A:B,2,0)</f>
        <v>소설1팀</v>
      </c>
      <c r="W1172" s="6">
        <f t="shared" si="36"/>
        <v>0</v>
      </c>
      <c r="X1172" s="6">
        <f t="shared" si="37"/>
        <v>0</v>
      </c>
    </row>
    <row r="1173" spans="1:24" x14ac:dyDescent="0.3">
      <c r="A1173" t="s">
        <v>1920</v>
      </c>
      <c r="B1173" t="s">
        <v>1944</v>
      </c>
      <c r="C1173" t="s">
        <v>23</v>
      </c>
      <c r="D1173" t="s">
        <v>24</v>
      </c>
      <c r="E1173" t="s">
        <v>25</v>
      </c>
      <c r="F1173">
        <v>1</v>
      </c>
      <c r="G1173">
        <v>9791136904850</v>
      </c>
      <c r="H1173" t="s">
        <v>26</v>
      </c>
      <c r="I1173" t="s">
        <v>1945</v>
      </c>
      <c r="J1173" t="s">
        <v>166</v>
      </c>
      <c r="K1173" t="s">
        <v>29</v>
      </c>
      <c r="L1173" s="1">
        <v>3200</v>
      </c>
      <c r="M1173" t="s">
        <v>29</v>
      </c>
      <c r="N1173" s="1">
        <v>3200</v>
      </c>
      <c r="O1173" s="1">
        <v>3200</v>
      </c>
      <c r="P1173" t="s">
        <v>30</v>
      </c>
      <c r="Q1173" s="2">
        <v>0.7</v>
      </c>
      <c r="R1173" s="1">
        <v>2240</v>
      </c>
      <c r="S1173" t="s">
        <v>29</v>
      </c>
      <c r="T1173" s="1">
        <v>2240</v>
      </c>
      <c r="V1173" t="str">
        <f>VLOOKUP(H1173,'[1]팀별 출판사'!A:B,2,0)</f>
        <v>소설1팀</v>
      </c>
      <c r="W1173" s="6">
        <f t="shared" si="36"/>
        <v>0</v>
      </c>
      <c r="X1173" s="6">
        <f t="shared" si="37"/>
        <v>2240</v>
      </c>
    </row>
    <row r="1174" spans="1:24" x14ac:dyDescent="0.3">
      <c r="A1174" t="s">
        <v>1920</v>
      </c>
      <c r="B1174" t="s">
        <v>1946</v>
      </c>
      <c r="C1174" t="s">
        <v>23</v>
      </c>
      <c r="D1174" t="s">
        <v>24</v>
      </c>
      <c r="E1174" t="s">
        <v>25</v>
      </c>
      <c r="F1174">
        <v>1</v>
      </c>
      <c r="G1174">
        <v>9791136926807</v>
      </c>
      <c r="H1174" t="s">
        <v>26</v>
      </c>
      <c r="I1174" t="s">
        <v>1947</v>
      </c>
      <c r="J1174" t="s">
        <v>62</v>
      </c>
      <c r="K1174" t="s">
        <v>29</v>
      </c>
      <c r="L1174" s="1">
        <v>3200</v>
      </c>
      <c r="M1174" t="s">
        <v>29</v>
      </c>
      <c r="N1174" s="1">
        <v>3200</v>
      </c>
      <c r="O1174" s="1">
        <v>3200</v>
      </c>
      <c r="P1174" t="s">
        <v>30</v>
      </c>
      <c r="Q1174" s="2">
        <v>0.7</v>
      </c>
      <c r="R1174" s="1">
        <v>2240</v>
      </c>
      <c r="S1174" t="s">
        <v>29</v>
      </c>
      <c r="T1174" s="1">
        <v>2240</v>
      </c>
      <c r="V1174" t="str">
        <f>VLOOKUP(H1174,'[1]팀별 출판사'!A:B,2,0)</f>
        <v>소설1팀</v>
      </c>
      <c r="W1174" s="6">
        <f t="shared" si="36"/>
        <v>0</v>
      </c>
      <c r="X1174" s="6">
        <f t="shared" si="37"/>
        <v>2240</v>
      </c>
    </row>
    <row r="1175" spans="1:24" x14ac:dyDescent="0.3">
      <c r="A1175" t="s">
        <v>1920</v>
      </c>
      <c r="B1175" t="s">
        <v>1948</v>
      </c>
      <c r="C1175" t="s">
        <v>23</v>
      </c>
      <c r="D1175" t="s">
        <v>24</v>
      </c>
      <c r="E1175" t="s">
        <v>25</v>
      </c>
      <c r="F1175">
        <v>1</v>
      </c>
      <c r="G1175">
        <v>9791136931375</v>
      </c>
      <c r="H1175" t="s">
        <v>32</v>
      </c>
      <c r="I1175" t="s">
        <v>189</v>
      </c>
      <c r="J1175" t="s">
        <v>46</v>
      </c>
      <c r="K1175" t="s">
        <v>29</v>
      </c>
      <c r="L1175">
        <v>0</v>
      </c>
      <c r="M1175" t="s">
        <v>152</v>
      </c>
      <c r="N1175">
        <v>0</v>
      </c>
      <c r="O1175">
        <v>0</v>
      </c>
      <c r="P1175" t="s">
        <v>153</v>
      </c>
      <c r="Q1175" s="2">
        <v>0.7</v>
      </c>
      <c r="R1175">
        <v>0</v>
      </c>
      <c r="V1175" t="str">
        <f>VLOOKUP(H1175,'[1]팀별 출판사'!A:B,2,0)</f>
        <v>소설1팀</v>
      </c>
      <c r="W1175" s="6">
        <f t="shared" si="36"/>
        <v>0</v>
      </c>
      <c r="X1175" s="6">
        <f t="shared" si="37"/>
        <v>0</v>
      </c>
    </row>
    <row r="1176" spans="1:24" x14ac:dyDescent="0.3">
      <c r="A1176" t="s">
        <v>1920</v>
      </c>
      <c r="B1176" t="s">
        <v>1949</v>
      </c>
      <c r="C1176" t="s">
        <v>23</v>
      </c>
      <c r="D1176" t="s">
        <v>24</v>
      </c>
      <c r="E1176" t="s">
        <v>25</v>
      </c>
      <c r="F1176">
        <v>1</v>
      </c>
      <c r="G1176">
        <v>9791136931382</v>
      </c>
      <c r="H1176" t="s">
        <v>32</v>
      </c>
      <c r="I1176" t="s">
        <v>523</v>
      </c>
      <c r="J1176" t="s">
        <v>46</v>
      </c>
      <c r="K1176" t="s">
        <v>29</v>
      </c>
      <c r="L1176">
        <v>0</v>
      </c>
      <c r="M1176" t="s">
        <v>152</v>
      </c>
      <c r="N1176">
        <v>0</v>
      </c>
      <c r="O1176">
        <v>0</v>
      </c>
      <c r="P1176" t="s">
        <v>153</v>
      </c>
      <c r="Q1176" s="2">
        <v>0.7</v>
      </c>
      <c r="R1176">
        <v>0</v>
      </c>
      <c r="V1176" t="str">
        <f>VLOOKUP(H1176,'[1]팀별 출판사'!A:B,2,0)</f>
        <v>소설1팀</v>
      </c>
      <c r="W1176" s="6">
        <f t="shared" si="36"/>
        <v>0</v>
      </c>
      <c r="X1176" s="6">
        <f t="shared" si="37"/>
        <v>0</v>
      </c>
    </row>
    <row r="1177" spans="1:24" x14ac:dyDescent="0.3">
      <c r="A1177" t="s">
        <v>1920</v>
      </c>
      <c r="B1177" t="s">
        <v>1950</v>
      </c>
      <c r="C1177" t="s">
        <v>23</v>
      </c>
      <c r="D1177" t="s">
        <v>24</v>
      </c>
      <c r="E1177" t="s">
        <v>25</v>
      </c>
      <c r="F1177">
        <v>1</v>
      </c>
      <c r="G1177">
        <v>9791157532186</v>
      </c>
      <c r="H1177" t="s">
        <v>32</v>
      </c>
      <c r="I1177" t="s">
        <v>1951</v>
      </c>
      <c r="J1177" t="s">
        <v>112</v>
      </c>
      <c r="K1177" t="s">
        <v>29</v>
      </c>
      <c r="L1177" s="1">
        <v>3200</v>
      </c>
      <c r="M1177" t="s">
        <v>29</v>
      </c>
      <c r="N1177" s="1">
        <v>3200</v>
      </c>
      <c r="O1177" s="1">
        <v>3200</v>
      </c>
      <c r="P1177" t="s">
        <v>30</v>
      </c>
      <c r="Q1177" s="2">
        <v>0.7</v>
      </c>
      <c r="R1177" s="1">
        <v>2240</v>
      </c>
      <c r="S1177" t="s">
        <v>29</v>
      </c>
      <c r="T1177" s="1">
        <v>2240</v>
      </c>
      <c r="V1177" t="str">
        <f>VLOOKUP(H1177,'[1]팀별 출판사'!A:B,2,0)</f>
        <v>소설1팀</v>
      </c>
      <c r="W1177" s="6">
        <f t="shared" si="36"/>
        <v>0</v>
      </c>
      <c r="X1177" s="6">
        <f t="shared" si="37"/>
        <v>2240</v>
      </c>
    </row>
    <row r="1178" spans="1:24" x14ac:dyDescent="0.3">
      <c r="A1178" t="s">
        <v>1920</v>
      </c>
      <c r="B1178" t="s">
        <v>1952</v>
      </c>
      <c r="C1178" t="s">
        <v>23</v>
      </c>
      <c r="D1178" t="s">
        <v>24</v>
      </c>
      <c r="E1178" t="s">
        <v>25</v>
      </c>
      <c r="F1178">
        <v>1</v>
      </c>
      <c r="G1178">
        <v>9791133167234</v>
      </c>
      <c r="H1178" t="s">
        <v>32</v>
      </c>
      <c r="I1178" t="s">
        <v>1953</v>
      </c>
      <c r="J1178" t="s">
        <v>160</v>
      </c>
      <c r="K1178" t="s">
        <v>29</v>
      </c>
      <c r="L1178" s="1">
        <v>2500</v>
      </c>
      <c r="M1178" t="s">
        <v>29</v>
      </c>
      <c r="N1178" s="1">
        <v>2500</v>
      </c>
      <c r="O1178" s="1">
        <v>2500</v>
      </c>
      <c r="P1178" t="s">
        <v>30</v>
      </c>
      <c r="Q1178" s="2">
        <v>0.7</v>
      </c>
      <c r="R1178" s="1">
        <v>1750</v>
      </c>
      <c r="S1178" t="s">
        <v>29</v>
      </c>
      <c r="T1178" s="1">
        <v>1750</v>
      </c>
      <c r="V1178" t="str">
        <f>VLOOKUP(H1178,'[1]팀별 출판사'!A:B,2,0)</f>
        <v>소설1팀</v>
      </c>
      <c r="W1178" s="6">
        <f t="shared" si="36"/>
        <v>0</v>
      </c>
      <c r="X1178" s="6">
        <f t="shared" si="37"/>
        <v>1750</v>
      </c>
    </row>
    <row r="1179" spans="1:24" x14ac:dyDescent="0.3">
      <c r="A1179" t="s">
        <v>1920</v>
      </c>
      <c r="B1179" t="s">
        <v>1954</v>
      </c>
      <c r="C1179" t="s">
        <v>23</v>
      </c>
      <c r="D1179" t="s">
        <v>24</v>
      </c>
      <c r="E1179" t="s">
        <v>25</v>
      </c>
      <c r="F1179">
        <v>1</v>
      </c>
      <c r="G1179">
        <v>9791133173396</v>
      </c>
      <c r="H1179" t="s">
        <v>26</v>
      </c>
      <c r="I1179" t="s">
        <v>1955</v>
      </c>
      <c r="J1179" t="s">
        <v>287</v>
      </c>
      <c r="K1179" t="s">
        <v>29</v>
      </c>
      <c r="L1179" s="1">
        <v>2500</v>
      </c>
      <c r="M1179" t="s">
        <v>29</v>
      </c>
      <c r="N1179" s="1">
        <v>2500</v>
      </c>
      <c r="O1179" s="1">
        <v>2500</v>
      </c>
      <c r="P1179" t="s">
        <v>30</v>
      </c>
      <c r="Q1179" s="2">
        <v>0.7</v>
      </c>
      <c r="R1179" s="1">
        <v>1750</v>
      </c>
      <c r="S1179" t="s">
        <v>29</v>
      </c>
      <c r="T1179" s="1">
        <v>1750</v>
      </c>
      <c r="V1179" t="str">
        <f>VLOOKUP(H1179,'[1]팀별 출판사'!A:B,2,0)</f>
        <v>소설1팀</v>
      </c>
      <c r="W1179" s="6">
        <f t="shared" si="36"/>
        <v>0</v>
      </c>
      <c r="X1179" s="6">
        <f t="shared" si="37"/>
        <v>1750</v>
      </c>
    </row>
    <row r="1180" spans="1:24" x14ac:dyDescent="0.3">
      <c r="A1180" t="s">
        <v>1920</v>
      </c>
      <c r="B1180" t="s">
        <v>1954</v>
      </c>
      <c r="C1180" t="s">
        <v>23</v>
      </c>
      <c r="D1180" t="s">
        <v>24</v>
      </c>
      <c r="E1180" t="s">
        <v>25</v>
      </c>
      <c r="F1180">
        <v>1</v>
      </c>
      <c r="G1180">
        <v>9791133173419</v>
      </c>
      <c r="H1180" t="s">
        <v>26</v>
      </c>
      <c r="I1180" t="s">
        <v>1956</v>
      </c>
      <c r="J1180" t="s">
        <v>287</v>
      </c>
      <c r="K1180" t="s">
        <v>29</v>
      </c>
      <c r="L1180" s="1">
        <v>2500</v>
      </c>
      <c r="M1180" t="s">
        <v>29</v>
      </c>
      <c r="N1180" s="1">
        <v>2500</v>
      </c>
      <c r="O1180" s="1">
        <v>2500</v>
      </c>
      <c r="P1180" t="s">
        <v>30</v>
      </c>
      <c r="Q1180" s="2">
        <v>0.7</v>
      </c>
      <c r="R1180" s="1">
        <v>1750</v>
      </c>
      <c r="S1180" t="s">
        <v>29</v>
      </c>
      <c r="T1180" s="1">
        <v>1750</v>
      </c>
      <c r="V1180" t="str">
        <f>VLOOKUP(H1180,'[1]팀별 출판사'!A:B,2,0)</f>
        <v>소설1팀</v>
      </c>
      <c r="W1180" s="6">
        <f t="shared" si="36"/>
        <v>0</v>
      </c>
      <c r="X1180" s="6">
        <f t="shared" si="37"/>
        <v>1750</v>
      </c>
    </row>
    <row r="1181" spans="1:24" x14ac:dyDescent="0.3">
      <c r="A1181" t="s">
        <v>1920</v>
      </c>
      <c r="B1181" t="s">
        <v>1954</v>
      </c>
      <c r="C1181" t="s">
        <v>23</v>
      </c>
      <c r="D1181" t="s">
        <v>24</v>
      </c>
      <c r="E1181" t="s">
        <v>25</v>
      </c>
      <c r="F1181">
        <v>1</v>
      </c>
      <c r="G1181">
        <v>9791133173426</v>
      </c>
      <c r="H1181" t="s">
        <v>26</v>
      </c>
      <c r="I1181" t="s">
        <v>1957</v>
      </c>
      <c r="J1181" t="s">
        <v>287</v>
      </c>
      <c r="K1181" t="s">
        <v>29</v>
      </c>
      <c r="L1181" s="1">
        <v>2500</v>
      </c>
      <c r="M1181" t="s">
        <v>29</v>
      </c>
      <c r="N1181" s="1">
        <v>2500</v>
      </c>
      <c r="O1181" s="1">
        <v>2500</v>
      </c>
      <c r="P1181" t="s">
        <v>30</v>
      </c>
      <c r="Q1181" s="2">
        <v>0.7</v>
      </c>
      <c r="R1181" s="1">
        <v>1750</v>
      </c>
      <c r="S1181" t="s">
        <v>29</v>
      </c>
      <c r="T1181" s="1">
        <v>1750</v>
      </c>
      <c r="V1181" t="str">
        <f>VLOOKUP(H1181,'[1]팀별 출판사'!A:B,2,0)</f>
        <v>소설1팀</v>
      </c>
      <c r="W1181" s="6">
        <f t="shared" si="36"/>
        <v>0</v>
      </c>
      <c r="X1181" s="6">
        <f t="shared" si="37"/>
        <v>1750</v>
      </c>
    </row>
    <row r="1182" spans="1:24" x14ac:dyDescent="0.3">
      <c r="A1182" t="s">
        <v>1920</v>
      </c>
      <c r="B1182" t="s">
        <v>1954</v>
      </c>
      <c r="C1182" t="s">
        <v>23</v>
      </c>
      <c r="D1182" t="s">
        <v>24</v>
      </c>
      <c r="E1182" t="s">
        <v>25</v>
      </c>
      <c r="F1182">
        <v>1</v>
      </c>
      <c r="G1182">
        <v>9791133173433</v>
      </c>
      <c r="H1182" t="s">
        <v>26</v>
      </c>
      <c r="I1182" t="s">
        <v>1958</v>
      </c>
      <c r="J1182" t="s">
        <v>287</v>
      </c>
      <c r="K1182" t="s">
        <v>29</v>
      </c>
      <c r="L1182" s="1">
        <v>2500</v>
      </c>
      <c r="M1182" t="s">
        <v>29</v>
      </c>
      <c r="N1182" s="1">
        <v>2500</v>
      </c>
      <c r="O1182" s="1">
        <v>2500</v>
      </c>
      <c r="P1182" t="s">
        <v>30</v>
      </c>
      <c r="Q1182" s="2">
        <v>0.7</v>
      </c>
      <c r="R1182" s="1">
        <v>1750</v>
      </c>
      <c r="S1182" t="s">
        <v>29</v>
      </c>
      <c r="T1182" s="1">
        <v>1750</v>
      </c>
      <c r="V1182" t="str">
        <f>VLOOKUP(H1182,'[1]팀별 출판사'!A:B,2,0)</f>
        <v>소설1팀</v>
      </c>
      <c r="W1182" s="6">
        <f t="shared" si="36"/>
        <v>0</v>
      </c>
      <c r="X1182" s="6">
        <f t="shared" si="37"/>
        <v>1750</v>
      </c>
    </row>
    <row r="1183" spans="1:24" x14ac:dyDescent="0.3">
      <c r="A1183" t="s">
        <v>1920</v>
      </c>
      <c r="B1183" t="s">
        <v>1954</v>
      </c>
      <c r="C1183" t="s">
        <v>23</v>
      </c>
      <c r="D1183" t="s">
        <v>24</v>
      </c>
      <c r="E1183" t="s">
        <v>25</v>
      </c>
      <c r="F1183">
        <v>1</v>
      </c>
      <c r="G1183">
        <v>9791133173440</v>
      </c>
      <c r="H1183" t="s">
        <v>26</v>
      </c>
      <c r="I1183" t="s">
        <v>1959</v>
      </c>
      <c r="J1183" t="s">
        <v>287</v>
      </c>
      <c r="K1183" t="s">
        <v>29</v>
      </c>
      <c r="L1183" s="1">
        <v>2500</v>
      </c>
      <c r="M1183" t="s">
        <v>29</v>
      </c>
      <c r="N1183" s="1">
        <v>2500</v>
      </c>
      <c r="O1183" s="1">
        <v>2500</v>
      </c>
      <c r="P1183" t="s">
        <v>30</v>
      </c>
      <c r="Q1183" s="2">
        <v>0.7</v>
      </c>
      <c r="R1183" s="1">
        <v>1750</v>
      </c>
      <c r="S1183" t="s">
        <v>29</v>
      </c>
      <c r="T1183" s="1">
        <v>1750</v>
      </c>
      <c r="V1183" t="str">
        <f>VLOOKUP(H1183,'[1]팀별 출판사'!A:B,2,0)</f>
        <v>소설1팀</v>
      </c>
      <c r="W1183" s="6">
        <f t="shared" si="36"/>
        <v>0</v>
      </c>
      <c r="X1183" s="6">
        <f t="shared" si="37"/>
        <v>1750</v>
      </c>
    </row>
    <row r="1184" spans="1:24" x14ac:dyDescent="0.3">
      <c r="A1184" t="s">
        <v>1920</v>
      </c>
      <c r="B1184" t="s">
        <v>1954</v>
      </c>
      <c r="C1184" t="s">
        <v>23</v>
      </c>
      <c r="D1184" t="s">
        <v>24</v>
      </c>
      <c r="E1184" t="s">
        <v>25</v>
      </c>
      <c r="F1184">
        <v>1</v>
      </c>
      <c r="G1184">
        <v>9791133173457</v>
      </c>
      <c r="H1184" t="s">
        <v>26</v>
      </c>
      <c r="I1184" t="s">
        <v>1960</v>
      </c>
      <c r="J1184" t="s">
        <v>287</v>
      </c>
      <c r="K1184" t="s">
        <v>29</v>
      </c>
      <c r="L1184" s="1">
        <v>2500</v>
      </c>
      <c r="M1184" t="s">
        <v>29</v>
      </c>
      <c r="N1184" s="1">
        <v>2500</v>
      </c>
      <c r="O1184" s="1">
        <v>2500</v>
      </c>
      <c r="P1184" t="s">
        <v>30</v>
      </c>
      <c r="Q1184" s="2">
        <v>0.7</v>
      </c>
      <c r="R1184" s="1">
        <v>1750</v>
      </c>
      <c r="S1184" t="s">
        <v>29</v>
      </c>
      <c r="T1184" s="1">
        <v>1750</v>
      </c>
      <c r="V1184" t="str">
        <f>VLOOKUP(H1184,'[1]팀별 출판사'!A:B,2,0)</f>
        <v>소설1팀</v>
      </c>
      <c r="W1184" s="6">
        <f t="shared" si="36"/>
        <v>0</v>
      </c>
      <c r="X1184" s="6">
        <f t="shared" si="37"/>
        <v>1750</v>
      </c>
    </row>
    <row r="1185" spans="1:24" x14ac:dyDescent="0.3">
      <c r="A1185" t="s">
        <v>1920</v>
      </c>
      <c r="B1185" t="s">
        <v>1954</v>
      </c>
      <c r="C1185" t="s">
        <v>23</v>
      </c>
      <c r="D1185" t="s">
        <v>24</v>
      </c>
      <c r="E1185" t="s">
        <v>25</v>
      </c>
      <c r="F1185">
        <v>1</v>
      </c>
      <c r="G1185">
        <v>9791133173464</v>
      </c>
      <c r="H1185" t="s">
        <v>26</v>
      </c>
      <c r="I1185" t="s">
        <v>1961</v>
      </c>
      <c r="J1185" t="s">
        <v>287</v>
      </c>
      <c r="K1185" t="s">
        <v>29</v>
      </c>
      <c r="L1185" s="1">
        <v>2500</v>
      </c>
      <c r="M1185" t="s">
        <v>29</v>
      </c>
      <c r="N1185" s="1">
        <v>2500</v>
      </c>
      <c r="O1185" s="1">
        <v>2500</v>
      </c>
      <c r="P1185" t="s">
        <v>30</v>
      </c>
      <c r="Q1185" s="2">
        <v>0.7</v>
      </c>
      <c r="R1185" s="1">
        <v>1750</v>
      </c>
      <c r="S1185" t="s">
        <v>29</v>
      </c>
      <c r="T1185" s="1">
        <v>1750</v>
      </c>
      <c r="V1185" t="str">
        <f>VLOOKUP(H1185,'[1]팀별 출판사'!A:B,2,0)</f>
        <v>소설1팀</v>
      </c>
      <c r="W1185" s="6">
        <f t="shared" si="36"/>
        <v>0</v>
      </c>
      <c r="X1185" s="6">
        <f t="shared" si="37"/>
        <v>1750</v>
      </c>
    </row>
    <row r="1186" spans="1:24" x14ac:dyDescent="0.3">
      <c r="A1186" t="s">
        <v>1920</v>
      </c>
      <c r="B1186" t="s">
        <v>1954</v>
      </c>
      <c r="C1186" t="s">
        <v>23</v>
      </c>
      <c r="D1186" t="s">
        <v>24</v>
      </c>
      <c r="E1186" t="s">
        <v>25</v>
      </c>
      <c r="F1186">
        <v>1</v>
      </c>
      <c r="G1186">
        <v>9791133173471</v>
      </c>
      <c r="H1186" t="s">
        <v>26</v>
      </c>
      <c r="I1186" t="s">
        <v>1962</v>
      </c>
      <c r="J1186" t="s">
        <v>287</v>
      </c>
      <c r="K1186" t="s">
        <v>29</v>
      </c>
      <c r="L1186" s="1">
        <v>2500</v>
      </c>
      <c r="M1186" t="s">
        <v>29</v>
      </c>
      <c r="N1186" s="1">
        <v>2500</v>
      </c>
      <c r="O1186" s="1">
        <v>2500</v>
      </c>
      <c r="P1186" t="s">
        <v>30</v>
      </c>
      <c r="Q1186" s="2">
        <v>0.7</v>
      </c>
      <c r="R1186" s="1">
        <v>1750</v>
      </c>
      <c r="S1186" t="s">
        <v>29</v>
      </c>
      <c r="T1186" s="1">
        <v>1750</v>
      </c>
      <c r="V1186" t="str">
        <f>VLOOKUP(H1186,'[1]팀별 출판사'!A:B,2,0)</f>
        <v>소설1팀</v>
      </c>
      <c r="W1186" s="6">
        <f t="shared" si="36"/>
        <v>0</v>
      </c>
      <c r="X1186" s="6">
        <f t="shared" si="37"/>
        <v>1750</v>
      </c>
    </row>
    <row r="1187" spans="1:24" x14ac:dyDescent="0.3">
      <c r="A1187" t="s">
        <v>1920</v>
      </c>
      <c r="B1187" t="s">
        <v>1954</v>
      </c>
      <c r="C1187" t="s">
        <v>23</v>
      </c>
      <c r="D1187" t="s">
        <v>24</v>
      </c>
      <c r="E1187" t="s">
        <v>25</v>
      </c>
      <c r="F1187">
        <v>1</v>
      </c>
      <c r="G1187">
        <v>9791133173488</v>
      </c>
      <c r="H1187" t="s">
        <v>26</v>
      </c>
      <c r="I1187" t="s">
        <v>1963</v>
      </c>
      <c r="J1187" t="s">
        <v>287</v>
      </c>
      <c r="K1187" t="s">
        <v>29</v>
      </c>
      <c r="L1187" s="1">
        <v>2500</v>
      </c>
      <c r="M1187" t="s">
        <v>29</v>
      </c>
      <c r="N1187" s="1">
        <v>2500</v>
      </c>
      <c r="O1187" s="1">
        <v>2500</v>
      </c>
      <c r="P1187" t="s">
        <v>30</v>
      </c>
      <c r="Q1187" s="2">
        <v>0.7</v>
      </c>
      <c r="R1187" s="1">
        <v>1750</v>
      </c>
      <c r="S1187" t="s">
        <v>29</v>
      </c>
      <c r="T1187" s="1">
        <v>1750</v>
      </c>
      <c r="V1187" t="str">
        <f>VLOOKUP(H1187,'[1]팀별 출판사'!A:B,2,0)</f>
        <v>소설1팀</v>
      </c>
      <c r="W1187" s="6">
        <f t="shared" si="36"/>
        <v>0</v>
      </c>
      <c r="X1187" s="6">
        <f t="shared" si="37"/>
        <v>1750</v>
      </c>
    </row>
    <row r="1188" spans="1:24" x14ac:dyDescent="0.3">
      <c r="A1188" t="s">
        <v>1920</v>
      </c>
      <c r="B1188" t="s">
        <v>1954</v>
      </c>
      <c r="C1188" t="s">
        <v>23</v>
      </c>
      <c r="D1188" t="s">
        <v>24</v>
      </c>
      <c r="E1188" t="s">
        <v>25</v>
      </c>
      <c r="F1188">
        <v>1</v>
      </c>
      <c r="G1188">
        <v>9791133173495</v>
      </c>
      <c r="H1188" t="s">
        <v>26</v>
      </c>
      <c r="I1188" t="s">
        <v>1964</v>
      </c>
      <c r="J1188" t="s">
        <v>287</v>
      </c>
      <c r="K1188" t="s">
        <v>29</v>
      </c>
      <c r="L1188" s="1">
        <v>2500</v>
      </c>
      <c r="M1188" t="s">
        <v>29</v>
      </c>
      <c r="N1188" s="1">
        <v>2500</v>
      </c>
      <c r="O1188" s="1">
        <v>2500</v>
      </c>
      <c r="P1188" t="s">
        <v>30</v>
      </c>
      <c r="Q1188" s="2">
        <v>0.7</v>
      </c>
      <c r="R1188" s="1">
        <v>1750</v>
      </c>
      <c r="S1188" t="s">
        <v>29</v>
      </c>
      <c r="T1188" s="1">
        <v>1750</v>
      </c>
      <c r="V1188" t="str">
        <f>VLOOKUP(H1188,'[1]팀별 출판사'!A:B,2,0)</f>
        <v>소설1팀</v>
      </c>
      <c r="W1188" s="6">
        <f t="shared" si="36"/>
        <v>0</v>
      </c>
      <c r="X1188" s="6">
        <f t="shared" si="37"/>
        <v>1750</v>
      </c>
    </row>
    <row r="1189" spans="1:24" x14ac:dyDescent="0.3">
      <c r="A1189" t="s">
        <v>1920</v>
      </c>
      <c r="B1189" t="s">
        <v>1965</v>
      </c>
      <c r="C1189" t="s">
        <v>23</v>
      </c>
      <c r="D1189" t="s">
        <v>24</v>
      </c>
      <c r="E1189" t="s">
        <v>25</v>
      </c>
      <c r="F1189">
        <v>1</v>
      </c>
      <c r="G1189">
        <v>9791133130375</v>
      </c>
      <c r="H1189" t="s">
        <v>32</v>
      </c>
      <c r="I1189" t="s">
        <v>536</v>
      </c>
      <c r="J1189" t="s">
        <v>160</v>
      </c>
      <c r="K1189" t="s">
        <v>29</v>
      </c>
      <c r="L1189">
        <v>0</v>
      </c>
      <c r="M1189" t="s">
        <v>29</v>
      </c>
      <c r="N1189">
        <v>0</v>
      </c>
      <c r="O1189">
        <v>0</v>
      </c>
      <c r="P1189" t="s">
        <v>30</v>
      </c>
      <c r="Q1189" s="2">
        <v>0.7</v>
      </c>
      <c r="R1189">
        <v>0</v>
      </c>
      <c r="V1189" t="str">
        <f>VLOOKUP(H1189,'[1]팀별 출판사'!A:B,2,0)</f>
        <v>소설1팀</v>
      </c>
      <c r="W1189" s="6">
        <f t="shared" si="36"/>
        <v>0</v>
      </c>
      <c r="X1189" s="6">
        <f t="shared" si="37"/>
        <v>0</v>
      </c>
    </row>
    <row r="1190" spans="1:24" x14ac:dyDescent="0.3">
      <c r="A1190" t="s">
        <v>1920</v>
      </c>
      <c r="B1190" t="s">
        <v>1965</v>
      </c>
      <c r="C1190" t="s">
        <v>23</v>
      </c>
      <c r="D1190" t="s">
        <v>24</v>
      </c>
      <c r="E1190" t="s">
        <v>25</v>
      </c>
      <c r="F1190">
        <v>1</v>
      </c>
      <c r="G1190">
        <v>9791133129515</v>
      </c>
      <c r="H1190" t="s">
        <v>32</v>
      </c>
      <c r="I1190" t="s">
        <v>1966</v>
      </c>
      <c r="J1190" t="s">
        <v>160</v>
      </c>
      <c r="K1190" t="s">
        <v>29</v>
      </c>
      <c r="L1190" s="1">
        <v>3500</v>
      </c>
      <c r="M1190" t="s">
        <v>29</v>
      </c>
      <c r="N1190" s="1">
        <v>3500</v>
      </c>
      <c r="O1190" s="1">
        <v>3500</v>
      </c>
      <c r="P1190" t="s">
        <v>30</v>
      </c>
      <c r="Q1190" s="2">
        <v>0.7</v>
      </c>
      <c r="R1190" s="1">
        <v>2450</v>
      </c>
      <c r="S1190" t="s">
        <v>29</v>
      </c>
      <c r="T1190" s="1">
        <v>2450</v>
      </c>
      <c r="V1190" t="str">
        <f>VLOOKUP(H1190,'[1]팀별 출판사'!A:B,2,0)</f>
        <v>소설1팀</v>
      </c>
      <c r="W1190" s="6">
        <f t="shared" si="36"/>
        <v>0</v>
      </c>
      <c r="X1190" s="6">
        <f t="shared" si="37"/>
        <v>2450</v>
      </c>
    </row>
    <row r="1191" spans="1:24" x14ac:dyDescent="0.3">
      <c r="A1191" t="s">
        <v>1920</v>
      </c>
      <c r="B1191" t="s">
        <v>1965</v>
      </c>
      <c r="C1191" t="s">
        <v>23</v>
      </c>
      <c r="D1191" t="s">
        <v>24</v>
      </c>
      <c r="E1191" t="s">
        <v>25</v>
      </c>
      <c r="F1191">
        <v>1</v>
      </c>
      <c r="G1191">
        <v>9791133129751</v>
      </c>
      <c r="H1191" t="s">
        <v>32</v>
      </c>
      <c r="I1191" t="s">
        <v>1967</v>
      </c>
      <c r="J1191" t="s">
        <v>160</v>
      </c>
      <c r="K1191" t="s">
        <v>29</v>
      </c>
      <c r="L1191" s="1">
        <v>3500</v>
      </c>
      <c r="M1191" t="s">
        <v>29</v>
      </c>
      <c r="N1191" s="1">
        <v>3500</v>
      </c>
      <c r="O1191" s="1">
        <v>3500</v>
      </c>
      <c r="P1191" t="s">
        <v>30</v>
      </c>
      <c r="Q1191" s="2">
        <v>0.7</v>
      </c>
      <c r="R1191" s="1">
        <v>2450</v>
      </c>
      <c r="S1191" t="s">
        <v>29</v>
      </c>
      <c r="T1191" s="1">
        <v>2450</v>
      </c>
      <c r="V1191" t="str">
        <f>VLOOKUP(H1191,'[1]팀별 출판사'!A:B,2,0)</f>
        <v>소설1팀</v>
      </c>
      <c r="W1191" s="6">
        <f t="shared" si="36"/>
        <v>0</v>
      </c>
      <c r="X1191" s="6">
        <f t="shared" si="37"/>
        <v>2450</v>
      </c>
    </row>
    <row r="1192" spans="1:24" x14ac:dyDescent="0.3">
      <c r="A1192" t="s">
        <v>1920</v>
      </c>
      <c r="B1192" t="s">
        <v>1965</v>
      </c>
      <c r="C1192" t="s">
        <v>23</v>
      </c>
      <c r="D1192" t="s">
        <v>24</v>
      </c>
      <c r="E1192" t="s">
        <v>25</v>
      </c>
      <c r="F1192">
        <v>1</v>
      </c>
      <c r="G1192">
        <v>9791133130016</v>
      </c>
      <c r="H1192" t="s">
        <v>32</v>
      </c>
      <c r="I1192" t="s">
        <v>1968</v>
      </c>
      <c r="J1192" t="s">
        <v>160</v>
      </c>
      <c r="K1192" t="s">
        <v>29</v>
      </c>
      <c r="L1192" s="1">
        <v>3500</v>
      </c>
      <c r="M1192" t="s">
        <v>29</v>
      </c>
      <c r="N1192" s="1">
        <v>3500</v>
      </c>
      <c r="O1192" s="1">
        <v>3500</v>
      </c>
      <c r="P1192" t="s">
        <v>30</v>
      </c>
      <c r="Q1192" s="2">
        <v>0.7</v>
      </c>
      <c r="R1192" s="1">
        <v>2450</v>
      </c>
      <c r="S1192" t="s">
        <v>29</v>
      </c>
      <c r="T1192" s="1">
        <v>2450</v>
      </c>
      <c r="V1192" t="str">
        <f>VLOOKUP(H1192,'[1]팀별 출판사'!A:B,2,0)</f>
        <v>소설1팀</v>
      </c>
      <c r="W1192" s="6">
        <f t="shared" si="36"/>
        <v>0</v>
      </c>
      <c r="X1192" s="6">
        <f t="shared" si="37"/>
        <v>2450</v>
      </c>
    </row>
    <row r="1193" spans="1:24" x14ac:dyDescent="0.3">
      <c r="A1193" t="s">
        <v>1920</v>
      </c>
      <c r="B1193" t="s">
        <v>1965</v>
      </c>
      <c r="C1193" t="s">
        <v>23</v>
      </c>
      <c r="D1193" t="s">
        <v>24</v>
      </c>
      <c r="E1193" t="s">
        <v>25</v>
      </c>
      <c r="F1193">
        <v>1</v>
      </c>
      <c r="G1193">
        <v>9791133130290</v>
      </c>
      <c r="H1193" t="s">
        <v>32</v>
      </c>
      <c r="I1193" t="s">
        <v>1969</v>
      </c>
      <c r="J1193" t="s">
        <v>160</v>
      </c>
      <c r="K1193" t="s">
        <v>29</v>
      </c>
      <c r="L1193" s="1">
        <v>3500</v>
      </c>
      <c r="M1193" t="s">
        <v>29</v>
      </c>
      <c r="N1193" s="1">
        <v>3500</v>
      </c>
      <c r="O1193" s="1">
        <v>3500</v>
      </c>
      <c r="P1193" t="s">
        <v>30</v>
      </c>
      <c r="Q1193" s="2">
        <v>0.7</v>
      </c>
      <c r="R1193" s="1">
        <v>2450</v>
      </c>
      <c r="S1193" t="s">
        <v>29</v>
      </c>
      <c r="T1193" s="1">
        <v>2450</v>
      </c>
      <c r="V1193" t="str">
        <f>VLOOKUP(H1193,'[1]팀별 출판사'!A:B,2,0)</f>
        <v>소설1팀</v>
      </c>
      <c r="W1193" s="6">
        <f t="shared" si="36"/>
        <v>0</v>
      </c>
      <c r="X1193" s="6">
        <f t="shared" si="37"/>
        <v>2450</v>
      </c>
    </row>
    <row r="1194" spans="1:24" x14ac:dyDescent="0.3">
      <c r="A1194" t="s">
        <v>1920</v>
      </c>
      <c r="B1194" t="s">
        <v>1970</v>
      </c>
      <c r="C1194" t="s">
        <v>23</v>
      </c>
      <c r="D1194" t="s">
        <v>24</v>
      </c>
      <c r="E1194" t="s">
        <v>25</v>
      </c>
      <c r="F1194">
        <v>1</v>
      </c>
      <c r="G1194">
        <v>9791136934055</v>
      </c>
      <c r="H1194" t="s">
        <v>26</v>
      </c>
      <c r="I1194" t="s">
        <v>1971</v>
      </c>
      <c r="J1194" t="s">
        <v>1348</v>
      </c>
      <c r="K1194" t="s">
        <v>29</v>
      </c>
      <c r="L1194">
        <v>0</v>
      </c>
      <c r="M1194" t="s">
        <v>29</v>
      </c>
      <c r="N1194">
        <v>0</v>
      </c>
      <c r="O1194">
        <v>0</v>
      </c>
      <c r="P1194" t="s">
        <v>30</v>
      </c>
      <c r="Q1194" s="2">
        <v>0.7</v>
      </c>
      <c r="R1194">
        <v>0</v>
      </c>
      <c r="V1194" t="str">
        <f>VLOOKUP(H1194,'[1]팀별 출판사'!A:B,2,0)</f>
        <v>소설1팀</v>
      </c>
      <c r="W1194" s="6">
        <f t="shared" si="36"/>
        <v>0</v>
      </c>
      <c r="X1194" s="6">
        <f t="shared" si="37"/>
        <v>0</v>
      </c>
    </row>
    <row r="1195" spans="1:24" x14ac:dyDescent="0.3">
      <c r="A1195" t="s">
        <v>1920</v>
      </c>
      <c r="B1195" t="s">
        <v>1972</v>
      </c>
      <c r="C1195" t="s">
        <v>23</v>
      </c>
      <c r="D1195" t="s">
        <v>24</v>
      </c>
      <c r="E1195" t="s">
        <v>25</v>
      </c>
      <c r="F1195">
        <v>1</v>
      </c>
      <c r="G1195">
        <v>9791133186501</v>
      </c>
      <c r="H1195" t="s">
        <v>26</v>
      </c>
      <c r="I1195" t="s">
        <v>64</v>
      </c>
      <c r="J1195" t="s">
        <v>65</v>
      </c>
      <c r="K1195" t="s">
        <v>29</v>
      </c>
      <c r="L1195">
        <v>0</v>
      </c>
      <c r="M1195" t="s">
        <v>29</v>
      </c>
      <c r="N1195">
        <v>0</v>
      </c>
      <c r="O1195">
        <v>0</v>
      </c>
      <c r="P1195" t="s">
        <v>30</v>
      </c>
      <c r="Q1195" s="2">
        <v>0.7</v>
      </c>
      <c r="R1195">
        <v>0</v>
      </c>
      <c r="V1195" t="str">
        <f>VLOOKUP(H1195,'[1]팀별 출판사'!A:B,2,0)</f>
        <v>소설1팀</v>
      </c>
      <c r="W1195" s="6">
        <f t="shared" si="36"/>
        <v>0</v>
      </c>
      <c r="X1195" s="6">
        <f t="shared" si="37"/>
        <v>0</v>
      </c>
    </row>
    <row r="1196" spans="1:24" x14ac:dyDescent="0.3">
      <c r="A1196" t="s">
        <v>1920</v>
      </c>
      <c r="B1196" t="s">
        <v>1973</v>
      </c>
      <c r="C1196" t="s">
        <v>23</v>
      </c>
      <c r="D1196" t="s">
        <v>24</v>
      </c>
      <c r="E1196" t="s">
        <v>25</v>
      </c>
      <c r="F1196">
        <v>1</v>
      </c>
      <c r="G1196">
        <v>9791136931382</v>
      </c>
      <c r="H1196" t="s">
        <v>32</v>
      </c>
      <c r="I1196" t="s">
        <v>523</v>
      </c>
      <c r="J1196" t="s">
        <v>46</v>
      </c>
      <c r="K1196" t="s">
        <v>29</v>
      </c>
      <c r="L1196">
        <v>0</v>
      </c>
      <c r="M1196" t="s">
        <v>47</v>
      </c>
      <c r="N1196">
        <v>0</v>
      </c>
      <c r="O1196">
        <v>0</v>
      </c>
      <c r="P1196" t="s">
        <v>48</v>
      </c>
      <c r="Q1196" s="2">
        <v>0.7</v>
      </c>
      <c r="R1196">
        <v>0</v>
      </c>
      <c r="V1196" t="str">
        <f>VLOOKUP(H1196,'[1]팀별 출판사'!A:B,2,0)</f>
        <v>소설1팀</v>
      </c>
      <c r="W1196" s="6">
        <f t="shared" si="36"/>
        <v>0</v>
      </c>
      <c r="X1196" s="6">
        <f t="shared" si="37"/>
        <v>0</v>
      </c>
    </row>
    <row r="1197" spans="1:24" x14ac:dyDescent="0.3">
      <c r="A1197" t="s">
        <v>1920</v>
      </c>
      <c r="B1197" t="s">
        <v>1974</v>
      </c>
      <c r="C1197" t="s">
        <v>23</v>
      </c>
      <c r="D1197" t="s">
        <v>24</v>
      </c>
      <c r="E1197" t="s">
        <v>25</v>
      </c>
      <c r="F1197">
        <v>1</v>
      </c>
      <c r="G1197">
        <v>9791136946782</v>
      </c>
      <c r="H1197" t="s">
        <v>26</v>
      </c>
      <c r="I1197" t="s">
        <v>291</v>
      </c>
      <c r="J1197" t="s">
        <v>28</v>
      </c>
      <c r="K1197" t="s">
        <v>29</v>
      </c>
      <c r="L1197">
        <v>0</v>
      </c>
      <c r="M1197" t="s">
        <v>29</v>
      </c>
      <c r="N1197">
        <v>0</v>
      </c>
      <c r="O1197">
        <v>0</v>
      </c>
      <c r="P1197" t="s">
        <v>30</v>
      </c>
      <c r="Q1197" s="2">
        <v>0.7</v>
      </c>
      <c r="R1197">
        <v>0</v>
      </c>
      <c r="V1197" t="str">
        <f>VLOOKUP(H1197,'[1]팀별 출판사'!A:B,2,0)</f>
        <v>소설1팀</v>
      </c>
      <c r="W1197" s="6">
        <f t="shared" si="36"/>
        <v>0</v>
      </c>
      <c r="X1197" s="6">
        <f t="shared" si="37"/>
        <v>0</v>
      </c>
    </row>
    <row r="1198" spans="1:24" x14ac:dyDescent="0.3">
      <c r="A1198" t="s">
        <v>1920</v>
      </c>
      <c r="B1198" t="s">
        <v>1975</v>
      </c>
      <c r="C1198" t="s">
        <v>23</v>
      </c>
      <c r="D1198" t="s">
        <v>24</v>
      </c>
      <c r="E1198" t="s">
        <v>25</v>
      </c>
      <c r="F1198">
        <v>1</v>
      </c>
      <c r="G1198">
        <v>9791133167241</v>
      </c>
      <c r="H1198" t="s">
        <v>32</v>
      </c>
      <c r="I1198" t="s">
        <v>1976</v>
      </c>
      <c r="J1198" t="s">
        <v>160</v>
      </c>
      <c r="K1198" t="s">
        <v>29</v>
      </c>
      <c r="L1198" s="1">
        <v>2500</v>
      </c>
      <c r="M1198" t="s">
        <v>29</v>
      </c>
      <c r="N1198" s="1">
        <v>2500</v>
      </c>
      <c r="O1198" s="1">
        <v>2500</v>
      </c>
      <c r="P1198" t="s">
        <v>30</v>
      </c>
      <c r="Q1198" s="2">
        <v>0.7</v>
      </c>
      <c r="R1198" s="1">
        <v>1750</v>
      </c>
      <c r="S1198" t="s">
        <v>29</v>
      </c>
      <c r="T1198" s="1">
        <v>1750</v>
      </c>
      <c r="V1198" t="str">
        <f>VLOOKUP(H1198,'[1]팀별 출판사'!A:B,2,0)</f>
        <v>소설1팀</v>
      </c>
      <c r="W1198" s="6">
        <f t="shared" si="36"/>
        <v>0</v>
      </c>
      <c r="X1198" s="6">
        <f t="shared" si="37"/>
        <v>1750</v>
      </c>
    </row>
    <row r="1199" spans="1:24" x14ac:dyDescent="0.3">
      <c r="A1199" t="s">
        <v>1920</v>
      </c>
      <c r="B1199" t="s">
        <v>1975</v>
      </c>
      <c r="C1199" t="s">
        <v>23</v>
      </c>
      <c r="D1199" t="s">
        <v>24</v>
      </c>
      <c r="E1199" t="s">
        <v>25</v>
      </c>
      <c r="F1199">
        <v>1</v>
      </c>
      <c r="G1199">
        <v>9791133167258</v>
      </c>
      <c r="H1199" t="s">
        <v>32</v>
      </c>
      <c r="I1199" t="s">
        <v>1977</v>
      </c>
      <c r="J1199" t="s">
        <v>160</v>
      </c>
      <c r="K1199" t="s">
        <v>29</v>
      </c>
      <c r="L1199" s="1">
        <v>2500</v>
      </c>
      <c r="M1199" t="s">
        <v>29</v>
      </c>
      <c r="N1199" s="1">
        <v>2500</v>
      </c>
      <c r="O1199" s="1">
        <v>2500</v>
      </c>
      <c r="P1199" t="s">
        <v>30</v>
      </c>
      <c r="Q1199" s="2">
        <v>0.7</v>
      </c>
      <c r="R1199" s="1">
        <v>1750</v>
      </c>
      <c r="S1199" t="s">
        <v>29</v>
      </c>
      <c r="T1199" s="1">
        <v>1750</v>
      </c>
      <c r="V1199" t="str">
        <f>VLOOKUP(H1199,'[1]팀별 출판사'!A:B,2,0)</f>
        <v>소설1팀</v>
      </c>
      <c r="W1199" s="6">
        <f t="shared" si="36"/>
        <v>0</v>
      </c>
      <c r="X1199" s="6">
        <f t="shared" si="37"/>
        <v>1750</v>
      </c>
    </row>
    <row r="1200" spans="1:24" x14ac:dyDescent="0.3">
      <c r="A1200" t="s">
        <v>1920</v>
      </c>
      <c r="B1200" t="s">
        <v>1978</v>
      </c>
      <c r="C1200" t="s">
        <v>23</v>
      </c>
      <c r="D1200" t="s">
        <v>24</v>
      </c>
      <c r="E1200" t="s">
        <v>25</v>
      </c>
      <c r="F1200">
        <v>1</v>
      </c>
      <c r="G1200">
        <v>9791133171408</v>
      </c>
      <c r="H1200" t="s">
        <v>26</v>
      </c>
      <c r="I1200" t="s">
        <v>1979</v>
      </c>
      <c r="J1200" t="s">
        <v>287</v>
      </c>
      <c r="K1200" t="s">
        <v>29</v>
      </c>
      <c r="L1200">
        <v>0</v>
      </c>
      <c r="M1200" t="s">
        <v>29</v>
      </c>
      <c r="N1200">
        <v>0</v>
      </c>
      <c r="O1200">
        <v>0</v>
      </c>
      <c r="P1200" t="s">
        <v>30</v>
      </c>
      <c r="Q1200" s="2">
        <v>0.7</v>
      </c>
      <c r="R1200">
        <v>0</v>
      </c>
      <c r="V1200" t="str">
        <f>VLOOKUP(H1200,'[1]팀별 출판사'!A:B,2,0)</f>
        <v>소설1팀</v>
      </c>
      <c r="W1200" s="6">
        <f t="shared" si="36"/>
        <v>0</v>
      </c>
      <c r="X1200" s="6">
        <f t="shared" si="37"/>
        <v>0</v>
      </c>
    </row>
    <row r="1201" spans="1:24" x14ac:dyDescent="0.3">
      <c r="A1201" t="s">
        <v>1920</v>
      </c>
      <c r="B1201" t="s">
        <v>1980</v>
      </c>
      <c r="C1201" t="s">
        <v>23</v>
      </c>
      <c r="D1201" t="s">
        <v>24</v>
      </c>
      <c r="E1201" t="s">
        <v>25</v>
      </c>
      <c r="F1201">
        <v>1</v>
      </c>
      <c r="G1201" t="s">
        <v>1981</v>
      </c>
      <c r="H1201" t="s">
        <v>32</v>
      </c>
      <c r="I1201" t="s">
        <v>1982</v>
      </c>
      <c r="J1201" t="s">
        <v>202</v>
      </c>
      <c r="K1201" t="s">
        <v>29</v>
      </c>
      <c r="L1201" s="1">
        <v>3200</v>
      </c>
      <c r="M1201" t="s">
        <v>29</v>
      </c>
      <c r="N1201" s="1">
        <v>3200</v>
      </c>
      <c r="O1201" s="1">
        <v>3200</v>
      </c>
      <c r="P1201" t="s">
        <v>30</v>
      </c>
      <c r="Q1201" s="2">
        <v>0.7</v>
      </c>
      <c r="R1201" s="1">
        <v>2240</v>
      </c>
      <c r="S1201" t="s">
        <v>29</v>
      </c>
      <c r="T1201" s="1">
        <v>2240</v>
      </c>
      <c r="V1201" t="str">
        <f>VLOOKUP(H1201,'[1]팀별 출판사'!A:B,2,0)</f>
        <v>소설1팀</v>
      </c>
      <c r="W1201" s="6">
        <f t="shared" si="36"/>
        <v>0</v>
      </c>
      <c r="X1201" s="6">
        <f t="shared" si="37"/>
        <v>2240</v>
      </c>
    </row>
    <row r="1202" spans="1:24" x14ac:dyDescent="0.3">
      <c r="A1202" t="s">
        <v>1920</v>
      </c>
      <c r="B1202" t="s">
        <v>1983</v>
      </c>
      <c r="C1202" t="s">
        <v>23</v>
      </c>
      <c r="D1202" t="s">
        <v>24</v>
      </c>
      <c r="E1202" t="s">
        <v>25</v>
      </c>
      <c r="F1202">
        <v>1</v>
      </c>
      <c r="G1202">
        <v>9791136946782</v>
      </c>
      <c r="H1202" t="s">
        <v>26</v>
      </c>
      <c r="I1202" t="s">
        <v>291</v>
      </c>
      <c r="J1202" t="s">
        <v>28</v>
      </c>
      <c r="K1202" t="s">
        <v>29</v>
      </c>
      <c r="L1202">
        <v>0</v>
      </c>
      <c r="M1202" t="s">
        <v>29</v>
      </c>
      <c r="N1202">
        <v>0</v>
      </c>
      <c r="O1202">
        <v>0</v>
      </c>
      <c r="P1202" t="s">
        <v>30</v>
      </c>
      <c r="Q1202" s="2">
        <v>0.7</v>
      </c>
      <c r="R1202">
        <v>0</v>
      </c>
      <c r="V1202" t="str">
        <f>VLOOKUP(H1202,'[1]팀별 출판사'!A:B,2,0)</f>
        <v>소설1팀</v>
      </c>
      <c r="W1202" s="6">
        <f t="shared" si="36"/>
        <v>0</v>
      </c>
      <c r="X1202" s="6">
        <f t="shared" si="37"/>
        <v>0</v>
      </c>
    </row>
    <row r="1203" spans="1:24" x14ac:dyDescent="0.3">
      <c r="A1203" t="s">
        <v>1920</v>
      </c>
      <c r="B1203" t="s">
        <v>1984</v>
      </c>
      <c r="C1203" t="s">
        <v>23</v>
      </c>
      <c r="D1203" t="s">
        <v>24</v>
      </c>
      <c r="E1203" t="s">
        <v>25</v>
      </c>
      <c r="F1203">
        <v>1</v>
      </c>
      <c r="G1203">
        <v>9791170101864</v>
      </c>
      <c r="H1203" t="s">
        <v>67</v>
      </c>
      <c r="I1203" t="s">
        <v>1985</v>
      </c>
      <c r="J1203" t="s">
        <v>402</v>
      </c>
      <c r="K1203" t="s">
        <v>29</v>
      </c>
      <c r="L1203">
        <v>0</v>
      </c>
      <c r="M1203" t="s">
        <v>29</v>
      </c>
      <c r="N1203">
        <v>0</v>
      </c>
      <c r="O1203">
        <v>0</v>
      </c>
      <c r="P1203" t="s">
        <v>30</v>
      </c>
      <c r="Q1203" s="2">
        <v>0.7</v>
      </c>
      <c r="R1203">
        <v>0</v>
      </c>
      <c r="V1203" t="str">
        <f>VLOOKUP(H1203,'[1]팀별 출판사'!A:B,2,0)</f>
        <v>소설1팀</v>
      </c>
      <c r="W1203" s="6">
        <f t="shared" si="36"/>
        <v>0</v>
      </c>
      <c r="X1203" s="6">
        <f t="shared" si="37"/>
        <v>0</v>
      </c>
    </row>
    <row r="1204" spans="1:24" x14ac:dyDescent="0.3">
      <c r="A1204" t="s">
        <v>1920</v>
      </c>
      <c r="B1204" t="s">
        <v>1986</v>
      </c>
      <c r="C1204" t="s">
        <v>23</v>
      </c>
      <c r="D1204" t="s">
        <v>24</v>
      </c>
      <c r="E1204" t="s">
        <v>25</v>
      </c>
      <c r="F1204">
        <v>1</v>
      </c>
      <c r="G1204">
        <v>9791170101611</v>
      </c>
      <c r="H1204" t="s">
        <v>67</v>
      </c>
      <c r="I1204" t="s">
        <v>1987</v>
      </c>
      <c r="J1204" t="s">
        <v>1988</v>
      </c>
      <c r="K1204" t="s">
        <v>29</v>
      </c>
      <c r="L1204">
        <v>0</v>
      </c>
      <c r="M1204" t="s">
        <v>29</v>
      </c>
      <c r="N1204">
        <v>0</v>
      </c>
      <c r="O1204">
        <v>0</v>
      </c>
      <c r="P1204" t="s">
        <v>30</v>
      </c>
      <c r="Q1204" s="2">
        <v>0.7</v>
      </c>
      <c r="R1204">
        <v>0</v>
      </c>
      <c r="V1204" t="str">
        <f>VLOOKUP(H1204,'[1]팀별 출판사'!A:B,2,0)</f>
        <v>소설1팀</v>
      </c>
      <c r="W1204" s="6">
        <f t="shared" si="36"/>
        <v>0</v>
      </c>
      <c r="X1204" s="6">
        <f t="shared" si="37"/>
        <v>0</v>
      </c>
    </row>
    <row r="1205" spans="1:24" x14ac:dyDescent="0.3">
      <c r="A1205" t="s">
        <v>1920</v>
      </c>
      <c r="B1205" t="s">
        <v>1989</v>
      </c>
      <c r="C1205" t="s">
        <v>23</v>
      </c>
      <c r="D1205" t="s">
        <v>24</v>
      </c>
      <c r="E1205" t="s">
        <v>25</v>
      </c>
      <c r="F1205">
        <v>1</v>
      </c>
      <c r="G1205">
        <v>9791175301955</v>
      </c>
      <c r="H1205" t="s">
        <v>26</v>
      </c>
      <c r="I1205" t="s">
        <v>591</v>
      </c>
      <c r="J1205" t="s">
        <v>256</v>
      </c>
      <c r="K1205" t="s">
        <v>29</v>
      </c>
      <c r="L1205">
        <v>0</v>
      </c>
      <c r="M1205" t="s">
        <v>29</v>
      </c>
      <c r="N1205">
        <v>0</v>
      </c>
      <c r="O1205">
        <v>0</v>
      </c>
      <c r="P1205" t="s">
        <v>30</v>
      </c>
      <c r="Q1205" s="2">
        <v>0.7</v>
      </c>
      <c r="R1205">
        <v>0</v>
      </c>
      <c r="V1205" t="str">
        <f>VLOOKUP(H1205,'[1]팀별 출판사'!A:B,2,0)</f>
        <v>소설1팀</v>
      </c>
      <c r="W1205" s="6">
        <f t="shared" si="36"/>
        <v>0</v>
      </c>
      <c r="X1205" s="6">
        <f t="shared" si="37"/>
        <v>0</v>
      </c>
    </row>
    <row r="1206" spans="1:24" x14ac:dyDescent="0.3">
      <c r="A1206" t="s">
        <v>1920</v>
      </c>
      <c r="B1206" t="s">
        <v>1990</v>
      </c>
      <c r="C1206" t="s">
        <v>23</v>
      </c>
      <c r="D1206" t="s">
        <v>24</v>
      </c>
      <c r="E1206" t="s">
        <v>25</v>
      </c>
      <c r="F1206">
        <v>1</v>
      </c>
      <c r="G1206">
        <v>9791173788864</v>
      </c>
      <c r="H1206" t="s">
        <v>26</v>
      </c>
      <c r="I1206" t="s">
        <v>1930</v>
      </c>
      <c r="J1206" t="s">
        <v>256</v>
      </c>
      <c r="K1206" t="s">
        <v>29</v>
      </c>
      <c r="L1206">
        <v>0</v>
      </c>
      <c r="M1206" t="s">
        <v>29</v>
      </c>
      <c r="N1206">
        <v>0</v>
      </c>
      <c r="O1206">
        <v>0</v>
      </c>
      <c r="P1206" t="s">
        <v>30</v>
      </c>
      <c r="Q1206" s="2">
        <v>0.7</v>
      </c>
      <c r="R1206">
        <v>0</v>
      </c>
      <c r="V1206" t="str">
        <f>VLOOKUP(H1206,'[1]팀별 출판사'!A:B,2,0)</f>
        <v>소설1팀</v>
      </c>
      <c r="W1206" s="6">
        <f t="shared" si="36"/>
        <v>0</v>
      </c>
      <c r="X1206" s="6">
        <f t="shared" si="37"/>
        <v>0</v>
      </c>
    </row>
    <row r="1207" spans="1:24" x14ac:dyDescent="0.3">
      <c r="A1207" t="s">
        <v>1920</v>
      </c>
      <c r="B1207" t="s">
        <v>1991</v>
      </c>
      <c r="C1207" t="s">
        <v>23</v>
      </c>
      <c r="D1207" t="s">
        <v>24</v>
      </c>
      <c r="E1207" t="s">
        <v>25</v>
      </c>
      <c r="F1207">
        <v>1</v>
      </c>
      <c r="G1207">
        <v>9791170107415</v>
      </c>
      <c r="H1207" t="s">
        <v>67</v>
      </c>
      <c r="I1207" t="s">
        <v>1992</v>
      </c>
      <c r="J1207" t="s">
        <v>392</v>
      </c>
      <c r="K1207" t="s">
        <v>29</v>
      </c>
      <c r="L1207" s="1">
        <v>2600</v>
      </c>
      <c r="M1207" t="s">
        <v>29</v>
      </c>
      <c r="N1207" s="1">
        <v>2600</v>
      </c>
      <c r="O1207" s="1">
        <v>2600</v>
      </c>
      <c r="P1207" t="s">
        <v>30</v>
      </c>
      <c r="Q1207" s="2">
        <v>0.7</v>
      </c>
      <c r="R1207" s="1">
        <v>1820</v>
      </c>
      <c r="S1207" t="s">
        <v>29</v>
      </c>
      <c r="T1207" s="1">
        <v>1820</v>
      </c>
      <c r="V1207" t="str">
        <f>VLOOKUP(H1207,'[1]팀별 출판사'!A:B,2,0)</f>
        <v>소설1팀</v>
      </c>
      <c r="W1207" s="6">
        <f t="shared" si="36"/>
        <v>0</v>
      </c>
      <c r="X1207" s="6">
        <f t="shared" si="37"/>
        <v>1820</v>
      </c>
    </row>
    <row r="1208" spans="1:24" x14ac:dyDescent="0.3">
      <c r="A1208" t="s">
        <v>1920</v>
      </c>
      <c r="B1208" t="s">
        <v>1993</v>
      </c>
      <c r="C1208" t="s">
        <v>23</v>
      </c>
      <c r="D1208" t="s">
        <v>24</v>
      </c>
      <c r="E1208" t="s">
        <v>25</v>
      </c>
      <c r="F1208">
        <v>1</v>
      </c>
      <c r="G1208">
        <v>9791172926991</v>
      </c>
      <c r="H1208" t="s">
        <v>26</v>
      </c>
      <c r="I1208" t="s">
        <v>330</v>
      </c>
      <c r="J1208" t="s">
        <v>28</v>
      </c>
      <c r="K1208" t="s">
        <v>29</v>
      </c>
      <c r="L1208">
        <v>0</v>
      </c>
      <c r="M1208" t="s">
        <v>29</v>
      </c>
      <c r="N1208">
        <v>0</v>
      </c>
      <c r="O1208">
        <v>0</v>
      </c>
      <c r="P1208" t="s">
        <v>30</v>
      </c>
      <c r="Q1208" s="2">
        <v>0.7</v>
      </c>
      <c r="R1208">
        <v>0</v>
      </c>
      <c r="V1208" t="str">
        <f>VLOOKUP(H1208,'[1]팀별 출판사'!A:B,2,0)</f>
        <v>소설1팀</v>
      </c>
      <c r="W1208" s="6">
        <f t="shared" si="36"/>
        <v>0</v>
      </c>
      <c r="X1208" s="6">
        <f t="shared" si="37"/>
        <v>0</v>
      </c>
    </row>
    <row r="1209" spans="1:24" x14ac:dyDescent="0.3">
      <c r="A1209" t="s">
        <v>1920</v>
      </c>
      <c r="B1209" t="s">
        <v>1994</v>
      </c>
      <c r="C1209" t="s">
        <v>23</v>
      </c>
      <c r="D1209" t="s">
        <v>24</v>
      </c>
      <c r="E1209" t="s">
        <v>25</v>
      </c>
      <c r="F1209">
        <v>1</v>
      </c>
      <c r="G1209">
        <v>9791172928575</v>
      </c>
      <c r="H1209" t="s">
        <v>1617</v>
      </c>
      <c r="I1209" t="s">
        <v>1995</v>
      </c>
      <c r="J1209" t="s">
        <v>1996</v>
      </c>
      <c r="K1209" t="s">
        <v>29</v>
      </c>
      <c r="L1209" s="1">
        <v>3000</v>
      </c>
      <c r="M1209" t="s">
        <v>29</v>
      </c>
      <c r="N1209" s="1">
        <v>3000</v>
      </c>
      <c r="O1209" s="1">
        <v>3000</v>
      </c>
      <c r="P1209" t="s">
        <v>30</v>
      </c>
      <c r="Q1209" s="2">
        <v>0.7</v>
      </c>
      <c r="R1209" s="1">
        <v>2100</v>
      </c>
      <c r="S1209" t="s">
        <v>29</v>
      </c>
      <c r="T1209" s="1">
        <v>2100</v>
      </c>
      <c r="V1209" t="str">
        <f>VLOOKUP(H1209,'[1]팀별 출판사'!A:B,2,0)</f>
        <v>소설2팀</v>
      </c>
      <c r="W1209" s="6">
        <f t="shared" si="36"/>
        <v>0</v>
      </c>
      <c r="X1209" s="6">
        <f t="shared" si="37"/>
        <v>2100</v>
      </c>
    </row>
    <row r="1210" spans="1:24" x14ac:dyDescent="0.3">
      <c r="A1210" t="s">
        <v>1920</v>
      </c>
      <c r="B1210" t="s">
        <v>1997</v>
      </c>
      <c r="C1210" t="s">
        <v>23</v>
      </c>
      <c r="D1210" t="s">
        <v>24</v>
      </c>
      <c r="E1210" t="s">
        <v>25</v>
      </c>
      <c r="F1210">
        <v>1</v>
      </c>
      <c r="G1210">
        <v>9791170101673</v>
      </c>
      <c r="H1210" t="s">
        <v>67</v>
      </c>
      <c r="I1210" t="s">
        <v>1998</v>
      </c>
      <c r="J1210" t="s">
        <v>1999</v>
      </c>
      <c r="K1210" t="s">
        <v>29</v>
      </c>
      <c r="L1210">
        <v>0</v>
      </c>
      <c r="M1210" t="s">
        <v>29</v>
      </c>
      <c r="N1210">
        <v>0</v>
      </c>
      <c r="O1210">
        <v>0</v>
      </c>
      <c r="P1210" t="s">
        <v>30</v>
      </c>
      <c r="Q1210" s="2">
        <v>0.7</v>
      </c>
      <c r="R1210">
        <v>0</v>
      </c>
      <c r="V1210" t="str">
        <f>VLOOKUP(H1210,'[1]팀별 출판사'!A:B,2,0)</f>
        <v>소설1팀</v>
      </c>
      <c r="W1210" s="6">
        <f t="shared" si="36"/>
        <v>0</v>
      </c>
      <c r="X1210" s="6">
        <f t="shared" si="37"/>
        <v>0</v>
      </c>
    </row>
    <row r="1211" spans="1:24" x14ac:dyDescent="0.3">
      <c r="A1211" t="s">
        <v>1920</v>
      </c>
      <c r="B1211" t="s">
        <v>2000</v>
      </c>
      <c r="C1211" t="s">
        <v>23</v>
      </c>
      <c r="D1211" t="s">
        <v>24</v>
      </c>
      <c r="E1211" t="s">
        <v>25</v>
      </c>
      <c r="F1211">
        <v>1</v>
      </c>
      <c r="G1211">
        <v>9791170100959</v>
      </c>
      <c r="H1211" t="s">
        <v>67</v>
      </c>
      <c r="I1211" t="s">
        <v>423</v>
      </c>
      <c r="J1211" t="s">
        <v>424</v>
      </c>
      <c r="K1211" t="s">
        <v>29</v>
      </c>
      <c r="L1211">
        <v>0</v>
      </c>
      <c r="M1211" t="s">
        <v>29</v>
      </c>
      <c r="N1211">
        <v>0</v>
      </c>
      <c r="O1211">
        <v>0</v>
      </c>
      <c r="P1211" t="s">
        <v>30</v>
      </c>
      <c r="Q1211" s="2">
        <v>0.7</v>
      </c>
      <c r="R1211">
        <v>0</v>
      </c>
      <c r="V1211" t="str">
        <f>VLOOKUP(H1211,'[1]팀별 출판사'!A:B,2,0)</f>
        <v>소설1팀</v>
      </c>
      <c r="W1211" s="6">
        <f t="shared" si="36"/>
        <v>0</v>
      </c>
      <c r="X1211" s="6">
        <f t="shared" si="37"/>
        <v>0</v>
      </c>
    </row>
    <row r="1212" spans="1:24" x14ac:dyDescent="0.3">
      <c r="A1212" t="s">
        <v>1920</v>
      </c>
      <c r="B1212" t="s">
        <v>2001</v>
      </c>
      <c r="C1212" t="s">
        <v>23</v>
      </c>
      <c r="D1212" t="s">
        <v>24</v>
      </c>
      <c r="E1212" t="s">
        <v>25</v>
      </c>
      <c r="F1212">
        <v>1</v>
      </c>
      <c r="G1212">
        <v>9791136930750</v>
      </c>
      <c r="H1212" t="s">
        <v>32</v>
      </c>
      <c r="I1212" t="s">
        <v>656</v>
      </c>
      <c r="J1212" t="s">
        <v>157</v>
      </c>
      <c r="K1212" t="s">
        <v>29</v>
      </c>
      <c r="L1212">
        <v>0</v>
      </c>
      <c r="M1212" t="s">
        <v>29</v>
      </c>
      <c r="N1212">
        <v>0</v>
      </c>
      <c r="O1212">
        <v>0</v>
      </c>
      <c r="P1212" t="s">
        <v>30</v>
      </c>
      <c r="Q1212" s="2">
        <v>0.7</v>
      </c>
      <c r="R1212">
        <v>0</v>
      </c>
      <c r="V1212" t="str">
        <f>VLOOKUP(H1212,'[1]팀별 출판사'!A:B,2,0)</f>
        <v>소설1팀</v>
      </c>
      <c r="W1212" s="6">
        <f t="shared" si="36"/>
        <v>0</v>
      </c>
      <c r="X1212" s="6">
        <f t="shared" si="37"/>
        <v>0</v>
      </c>
    </row>
    <row r="1213" spans="1:24" x14ac:dyDescent="0.3">
      <c r="A1213" t="s">
        <v>1920</v>
      </c>
      <c r="B1213" t="s">
        <v>2002</v>
      </c>
      <c r="C1213" t="s">
        <v>23</v>
      </c>
      <c r="D1213" t="s">
        <v>24</v>
      </c>
      <c r="E1213" t="s">
        <v>25</v>
      </c>
      <c r="F1213">
        <v>1</v>
      </c>
      <c r="G1213">
        <v>9791173786648</v>
      </c>
      <c r="H1213" t="s">
        <v>36</v>
      </c>
      <c r="I1213" t="s">
        <v>2003</v>
      </c>
      <c r="J1213" t="s">
        <v>38</v>
      </c>
      <c r="K1213" t="s">
        <v>29</v>
      </c>
      <c r="L1213" s="1">
        <v>1800</v>
      </c>
      <c r="M1213" t="s">
        <v>1181</v>
      </c>
      <c r="N1213">
        <v>39.270000000000003</v>
      </c>
      <c r="O1213">
        <v>39.270000000000003</v>
      </c>
      <c r="P1213" t="s">
        <v>1182</v>
      </c>
      <c r="Q1213" s="2">
        <v>0.7</v>
      </c>
      <c r="R1213">
        <v>27.49</v>
      </c>
      <c r="S1213" t="s">
        <v>29</v>
      </c>
      <c r="T1213" s="1">
        <v>1288</v>
      </c>
      <c r="U1213">
        <v>46.865850000000002</v>
      </c>
      <c r="V1213" t="str">
        <f>VLOOKUP(H1213,'[1]팀별 출판사'!A:B,2,0)</f>
        <v>소설2팀</v>
      </c>
      <c r="W1213" s="6">
        <f t="shared" si="36"/>
        <v>0</v>
      </c>
      <c r="X1213" s="6">
        <f t="shared" si="37"/>
        <v>1288</v>
      </c>
    </row>
    <row r="1214" spans="1:24" x14ac:dyDescent="0.3">
      <c r="A1214" t="s">
        <v>1920</v>
      </c>
      <c r="B1214" t="s">
        <v>1880</v>
      </c>
      <c r="C1214" t="s">
        <v>23</v>
      </c>
      <c r="D1214" t="s">
        <v>1601</v>
      </c>
      <c r="E1214" t="s">
        <v>25</v>
      </c>
      <c r="F1214">
        <v>-1</v>
      </c>
      <c r="G1214">
        <v>9791136963284</v>
      </c>
      <c r="H1214" t="s">
        <v>36</v>
      </c>
      <c r="I1214" t="s">
        <v>1881</v>
      </c>
      <c r="J1214" t="s">
        <v>1882</v>
      </c>
      <c r="K1214" t="s">
        <v>29</v>
      </c>
      <c r="L1214" s="1">
        <v>3800</v>
      </c>
      <c r="M1214" t="s">
        <v>29</v>
      </c>
      <c r="N1214" s="1">
        <v>3800</v>
      </c>
      <c r="O1214" s="1">
        <v>3800</v>
      </c>
      <c r="P1214" t="s">
        <v>30</v>
      </c>
      <c r="Q1214" s="2">
        <v>0.7</v>
      </c>
      <c r="R1214" s="1">
        <v>-2660</v>
      </c>
      <c r="S1214" t="s">
        <v>29</v>
      </c>
      <c r="T1214" s="1">
        <v>-2660</v>
      </c>
      <c r="V1214" t="str">
        <f>VLOOKUP(H1214,'[1]팀별 출판사'!A:B,2,0)</f>
        <v>소설2팀</v>
      </c>
      <c r="W1214" s="6">
        <f t="shared" si="36"/>
        <v>0</v>
      </c>
      <c r="X1214" s="6">
        <f t="shared" si="37"/>
        <v>-2660</v>
      </c>
    </row>
    <row r="1215" spans="1:24" x14ac:dyDescent="0.3">
      <c r="A1215" t="s">
        <v>1920</v>
      </c>
      <c r="B1215" t="s">
        <v>2004</v>
      </c>
      <c r="C1215" t="s">
        <v>23</v>
      </c>
      <c r="D1215" t="s">
        <v>24</v>
      </c>
      <c r="E1215" t="s">
        <v>25</v>
      </c>
      <c r="F1215">
        <v>1</v>
      </c>
      <c r="G1215">
        <v>9791136932129</v>
      </c>
      <c r="H1215" t="s">
        <v>2005</v>
      </c>
      <c r="I1215" t="s">
        <v>2006</v>
      </c>
      <c r="J1215" t="s">
        <v>2007</v>
      </c>
      <c r="K1215" t="s">
        <v>29</v>
      </c>
      <c r="L1215" s="1">
        <v>3300</v>
      </c>
      <c r="M1215" t="s">
        <v>29</v>
      </c>
      <c r="N1215" s="1">
        <v>3300</v>
      </c>
      <c r="O1215" s="1">
        <v>3300</v>
      </c>
      <c r="P1215" t="s">
        <v>30</v>
      </c>
      <c r="Q1215" s="2">
        <v>0.7</v>
      </c>
      <c r="R1215" s="1">
        <v>2310</v>
      </c>
      <c r="S1215" t="s">
        <v>29</v>
      </c>
      <c r="T1215" s="1">
        <v>2310</v>
      </c>
      <c r="V1215" t="str">
        <f>VLOOKUP(H1215,'[1]팀별 출판사'!A:B,2,0)</f>
        <v>소설2팀</v>
      </c>
      <c r="W1215" s="6">
        <f t="shared" si="36"/>
        <v>0</v>
      </c>
      <c r="X1215" s="6">
        <f t="shared" si="37"/>
        <v>2310</v>
      </c>
    </row>
    <row r="1216" spans="1:24" x14ac:dyDescent="0.3">
      <c r="A1216" t="s">
        <v>1920</v>
      </c>
      <c r="B1216" t="s">
        <v>2008</v>
      </c>
      <c r="C1216" t="s">
        <v>23</v>
      </c>
      <c r="D1216" t="s">
        <v>24</v>
      </c>
      <c r="E1216" t="s">
        <v>25</v>
      </c>
      <c r="F1216">
        <v>1</v>
      </c>
      <c r="G1216">
        <v>9791136937186</v>
      </c>
      <c r="H1216" t="s">
        <v>32</v>
      </c>
      <c r="I1216" t="s">
        <v>2009</v>
      </c>
      <c r="J1216" t="s">
        <v>2010</v>
      </c>
      <c r="K1216" t="s">
        <v>29</v>
      </c>
      <c r="L1216">
        <v>0</v>
      </c>
      <c r="M1216" t="s">
        <v>29</v>
      </c>
      <c r="N1216">
        <v>0</v>
      </c>
      <c r="O1216">
        <v>0</v>
      </c>
      <c r="P1216" t="s">
        <v>30</v>
      </c>
      <c r="Q1216" s="2">
        <v>0.7</v>
      </c>
      <c r="R1216">
        <v>0</v>
      </c>
      <c r="V1216" t="str">
        <f>VLOOKUP(H1216,'[1]팀별 출판사'!A:B,2,0)</f>
        <v>소설1팀</v>
      </c>
      <c r="W1216" s="6">
        <f t="shared" si="36"/>
        <v>0</v>
      </c>
      <c r="X1216" s="6">
        <f t="shared" si="37"/>
        <v>0</v>
      </c>
    </row>
    <row r="1217" spans="1:24" x14ac:dyDescent="0.3">
      <c r="A1217" t="s">
        <v>1920</v>
      </c>
      <c r="B1217" t="s">
        <v>2011</v>
      </c>
      <c r="C1217" t="s">
        <v>23</v>
      </c>
      <c r="D1217" t="s">
        <v>24</v>
      </c>
      <c r="E1217" t="s">
        <v>25</v>
      </c>
      <c r="F1217">
        <v>1</v>
      </c>
      <c r="G1217">
        <v>9791136931375</v>
      </c>
      <c r="H1217" t="s">
        <v>32</v>
      </c>
      <c r="I1217" t="s">
        <v>189</v>
      </c>
      <c r="J1217" t="s">
        <v>46</v>
      </c>
      <c r="K1217" t="s">
        <v>29</v>
      </c>
      <c r="L1217">
        <v>0</v>
      </c>
      <c r="M1217" t="s">
        <v>152</v>
      </c>
      <c r="N1217">
        <v>0</v>
      </c>
      <c r="O1217">
        <v>0</v>
      </c>
      <c r="P1217" t="s">
        <v>153</v>
      </c>
      <c r="Q1217" s="2">
        <v>0.7</v>
      </c>
      <c r="R1217">
        <v>0</v>
      </c>
      <c r="V1217" t="str">
        <f>VLOOKUP(H1217,'[1]팀별 출판사'!A:B,2,0)</f>
        <v>소설1팀</v>
      </c>
      <c r="W1217" s="6">
        <f t="shared" si="36"/>
        <v>0</v>
      </c>
      <c r="X1217" s="6">
        <f t="shared" si="37"/>
        <v>0</v>
      </c>
    </row>
    <row r="1218" spans="1:24" x14ac:dyDescent="0.3">
      <c r="A1218" t="s">
        <v>1920</v>
      </c>
      <c r="B1218" t="s">
        <v>2012</v>
      </c>
      <c r="C1218" t="s">
        <v>23</v>
      </c>
      <c r="D1218" t="s">
        <v>24</v>
      </c>
      <c r="E1218" t="s">
        <v>25</v>
      </c>
      <c r="F1218">
        <v>1</v>
      </c>
      <c r="G1218">
        <v>9791136930491</v>
      </c>
      <c r="H1218" t="s">
        <v>26</v>
      </c>
      <c r="I1218" t="s">
        <v>151</v>
      </c>
      <c r="J1218" t="s">
        <v>46</v>
      </c>
      <c r="K1218" t="s">
        <v>29</v>
      </c>
      <c r="L1218">
        <v>0</v>
      </c>
      <c r="M1218" t="s">
        <v>152</v>
      </c>
      <c r="N1218">
        <v>0</v>
      </c>
      <c r="O1218">
        <v>0</v>
      </c>
      <c r="P1218" t="s">
        <v>153</v>
      </c>
      <c r="Q1218" s="2">
        <v>0.7</v>
      </c>
      <c r="R1218">
        <v>0</v>
      </c>
      <c r="V1218" t="str">
        <f>VLOOKUP(H1218,'[1]팀별 출판사'!A:B,2,0)</f>
        <v>소설1팀</v>
      </c>
      <c r="W1218" s="6">
        <f t="shared" ref="W1218:W1281" si="38">IF(P1218="US", T1218*30%, 0)</f>
        <v>0</v>
      </c>
      <c r="X1218" s="6">
        <f t="shared" ref="X1218:X1281" si="39">T1218-W1218</f>
        <v>0</v>
      </c>
    </row>
    <row r="1219" spans="1:24" x14ac:dyDescent="0.3">
      <c r="A1219" t="s">
        <v>1920</v>
      </c>
      <c r="B1219" t="s">
        <v>2013</v>
      </c>
      <c r="C1219" t="s">
        <v>23</v>
      </c>
      <c r="D1219" t="s">
        <v>24</v>
      </c>
      <c r="E1219" t="s">
        <v>25</v>
      </c>
      <c r="F1219">
        <v>1</v>
      </c>
      <c r="G1219">
        <v>9791136916426</v>
      </c>
      <c r="H1219" t="s">
        <v>26</v>
      </c>
      <c r="I1219" t="s">
        <v>2014</v>
      </c>
      <c r="J1219" t="s">
        <v>62</v>
      </c>
      <c r="K1219" t="s">
        <v>29</v>
      </c>
      <c r="L1219" s="1">
        <v>3200</v>
      </c>
      <c r="M1219" t="s">
        <v>29</v>
      </c>
      <c r="N1219" s="1">
        <v>3200</v>
      </c>
      <c r="O1219" s="1">
        <v>3200</v>
      </c>
      <c r="P1219" t="s">
        <v>30</v>
      </c>
      <c r="Q1219" s="2">
        <v>0.7</v>
      </c>
      <c r="R1219" s="1">
        <v>2240</v>
      </c>
      <c r="S1219" t="s">
        <v>29</v>
      </c>
      <c r="T1219" s="1">
        <v>2240</v>
      </c>
      <c r="V1219" t="str">
        <f>VLOOKUP(H1219,'[1]팀별 출판사'!A:B,2,0)</f>
        <v>소설1팀</v>
      </c>
      <c r="W1219" s="6">
        <f t="shared" si="38"/>
        <v>0</v>
      </c>
      <c r="X1219" s="6">
        <f t="shared" si="39"/>
        <v>2240</v>
      </c>
    </row>
    <row r="1220" spans="1:24" x14ac:dyDescent="0.3">
      <c r="A1220" t="s">
        <v>1920</v>
      </c>
      <c r="B1220" t="s">
        <v>2015</v>
      </c>
      <c r="C1220" t="s">
        <v>23</v>
      </c>
      <c r="D1220" t="s">
        <v>24</v>
      </c>
      <c r="E1220" t="s">
        <v>25</v>
      </c>
      <c r="F1220">
        <v>1</v>
      </c>
      <c r="G1220" t="s">
        <v>543</v>
      </c>
      <c r="H1220" t="s">
        <v>32</v>
      </c>
      <c r="I1220" t="s">
        <v>544</v>
      </c>
      <c r="J1220" t="s">
        <v>311</v>
      </c>
      <c r="K1220" t="s">
        <v>29</v>
      </c>
      <c r="L1220">
        <v>0</v>
      </c>
      <c r="M1220" t="s">
        <v>29</v>
      </c>
      <c r="N1220">
        <v>0</v>
      </c>
      <c r="O1220">
        <v>0</v>
      </c>
      <c r="P1220" t="s">
        <v>30</v>
      </c>
      <c r="Q1220" s="2">
        <v>0.7</v>
      </c>
      <c r="R1220">
        <v>0</v>
      </c>
      <c r="V1220" t="str">
        <f>VLOOKUP(H1220,'[1]팀별 출판사'!A:B,2,0)</f>
        <v>소설1팀</v>
      </c>
      <c r="W1220" s="6">
        <f t="shared" si="38"/>
        <v>0</v>
      </c>
      <c r="X1220" s="6">
        <f t="shared" si="39"/>
        <v>0</v>
      </c>
    </row>
    <row r="1221" spans="1:24" x14ac:dyDescent="0.3">
      <c r="A1221" t="s">
        <v>1920</v>
      </c>
      <c r="B1221" t="s">
        <v>2016</v>
      </c>
      <c r="C1221" t="s">
        <v>23</v>
      </c>
      <c r="D1221" t="s">
        <v>24</v>
      </c>
      <c r="E1221" t="s">
        <v>25</v>
      </c>
      <c r="F1221">
        <v>1</v>
      </c>
      <c r="G1221">
        <v>9791136930224</v>
      </c>
      <c r="H1221" t="s">
        <v>32</v>
      </c>
      <c r="I1221" t="s">
        <v>172</v>
      </c>
      <c r="J1221" t="s">
        <v>46</v>
      </c>
      <c r="K1221" t="s">
        <v>29</v>
      </c>
      <c r="L1221">
        <v>0</v>
      </c>
      <c r="M1221" t="s">
        <v>47</v>
      </c>
      <c r="N1221">
        <v>0</v>
      </c>
      <c r="O1221">
        <v>0</v>
      </c>
      <c r="P1221" t="s">
        <v>48</v>
      </c>
      <c r="Q1221" s="2">
        <v>0.7</v>
      </c>
      <c r="R1221">
        <v>0</v>
      </c>
      <c r="V1221" t="str">
        <f>VLOOKUP(H1221,'[1]팀별 출판사'!A:B,2,0)</f>
        <v>소설1팀</v>
      </c>
      <c r="W1221" s="6">
        <f t="shared" si="38"/>
        <v>0</v>
      </c>
      <c r="X1221" s="6">
        <f t="shared" si="39"/>
        <v>0</v>
      </c>
    </row>
    <row r="1222" spans="1:24" x14ac:dyDescent="0.3">
      <c r="A1222" t="s">
        <v>1920</v>
      </c>
      <c r="B1222" t="s">
        <v>2017</v>
      </c>
      <c r="C1222" t="s">
        <v>23</v>
      </c>
      <c r="D1222" t="s">
        <v>24</v>
      </c>
      <c r="E1222" t="s">
        <v>25</v>
      </c>
      <c r="F1222">
        <v>1</v>
      </c>
      <c r="G1222">
        <v>9791136931375</v>
      </c>
      <c r="H1222" t="s">
        <v>32</v>
      </c>
      <c r="I1222" t="s">
        <v>189</v>
      </c>
      <c r="J1222" t="s">
        <v>46</v>
      </c>
      <c r="K1222" t="s">
        <v>29</v>
      </c>
      <c r="L1222">
        <v>0</v>
      </c>
      <c r="M1222" t="s">
        <v>152</v>
      </c>
      <c r="N1222">
        <v>0</v>
      </c>
      <c r="O1222">
        <v>0</v>
      </c>
      <c r="P1222" t="s">
        <v>153</v>
      </c>
      <c r="Q1222" s="2">
        <v>0.7</v>
      </c>
      <c r="R1222">
        <v>0</v>
      </c>
      <c r="V1222" t="str">
        <f>VLOOKUP(H1222,'[1]팀별 출판사'!A:B,2,0)</f>
        <v>소설1팀</v>
      </c>
      <c r="W1222" s="6">
        <f t="shared" si="38"/>
        <v>0</v>
      </c>
      <c r="X1222" s="6">
        <f t="shared" si="39"/>
        <v>0</v>
      </c>
    </row>
    <row r="1223" spans="1:24" x14ac:dyDescent="0.3">
      <c r="A1223" t="s">
        <v>1920</v>
      </c>
      <c r="B1223" t="s">
        <v>2018</v>
      </c>
      <c r="C1223" t="s">
        <v>23</v>
      </c>
      <c r="D1223" t="s">
        <v>24</v>
      </c>
      <c r="E1223" t="s">
        <v>25</v>
      </c>
      <c r="F1223">
        <v>1</v>
      </c>
      <c r="G1223">
        <v>9791136940728</v>
      </c>
      <c r="H1223" t="s">
        <v>36</v>
      </c>
      <c r="I1223" t="s">
        <v>2019</v>
      </c>
      <c r="J1223" t="s">
        <v>38</v>
      </c>
      <c r="K1223" t="s">
        <v>29</v>
      </c>
      <c r="L1223" s="1">
        <v>3300</v>
      </c>
      <c r="M1223" t="s">
        <v>1181</v>
      </c>
      <c r="N1223">
        <v>72</v>
      </c>
      <c r="O1223">
        <v>72</v>
      </c>
      <c r="P1223" t="s">
        <v>1182</v>
      </c>
      <c r="Q1223" s="2">
        <v>0.7</v>
      </c>
      <c r="R1223">
        <v>50.4</v>
      </c>
      <c r="S1223" t="s">
        <v>29</v>
      </c>
      <c r="T1223" s="1">
        <v>2364</v>
      </c>
      <c r="U1223">
        <v>46.865850000000002</v>
      </c>
      <c r="V1223" t="str">
        <f>VLOOKUP(H1223,'[1]팀별 출판사'!A:B,2,0)</f>
        <v>소설2팀</v>
      </c>
      <c r="W1223" s="6">
        <f t="shared" si="38"/>
        <v>0</v>
      </c>
      <c r="X1223" s="6">
        <f t="shared" si="39"/>
        <v>2364</v>
      </c>
    </row>
    <row r="1224" spans="1:24" x14ac:dyDescent="0.3">
      <c r="A1224" t="s">
        <v>1920</v>
      </c>
      <c r="B1224" t="s">
        <v>2020</v>
      </c>
      <c r="C1224" t="s">
        <v>23</v>
      </c>
      <c r="D1224" t="s">
        <v>24</v>
      </c>
      <c r="E1224" t="s">
        <v>25</v>
      </c>
      <c r="F1224">
        <v>1</v>
      </c>
      <c r="G1224">
        <v>9791136931375</v>
      </c>
      <c r="H1224" t="s">
        <v>32</v>
      </c>
      <c r="I1224" t="s">
        <v>189</v>
      </c>
      <c r="J1224" t="s">
        <v>46</v>
      </c>
      <c r="K1224" t="s">
        <v>29</v>
      </c>
      <c r="L1224">
        <v>0</v>
      </c>
      <c r="M1224" t="s">
        <v>152</v>
      </c>
      <c r="N1224">
        <v>0</v>
      </c>
      <c r="O1224">
        <v>0</v>
      </c>
      <c r="P1224" t="s">
        <v>153</v>
      </c>
      <c r="Q1224" s="2">
        <v>0.7</v>
      </c>
      <c r="R1224">
        <v>0</v>
      </c>
      <c r="V1224" t="str">
        <f>VLOOKUP(H1224,'[1]팀별 출판사'!A:B,2,0)</f>
        <v>소설1팀</v>
      </c>
      <c r="W1224" s="6">
        <f t="shared" si="38"/>
        <v>0</v>
      </c>
      <c r="X1224" s="6">
        <f t="shared" si="39"/>
        <v>0</v>
      </c>
    </row>
    <row r="1225" spans="1:24" x14ac:dyDescent="0.3">
      <c r="A1225" t="s">
        <v>1920</v>
      </c>
      <c r="B1225" t="s">
        <v>2021</v>
      </c>
      <c r="C1225" t="s">
        <v>23</v>
      </c>
      <c r="D1225" t="s">
        <v>24</v>
      </c>
      <c r="E1225" t="s">
        <v>25</v>
      </c>
      <c r="F1225">
        <v>1</v>
      </c>
      <c r="G1225">
        <v>9791136943118</v>
      </c>
      <c r="H1225" t="s">
        <v>36</v>
      </c>
      <c r="I1225" t="s">
        <v>2022</v>
      </c>
      <c r="J1225" t="s">
        <v>2023</v>
      </c>
      <c r="K1225" t="s">
        <v>29</v>
      </c>
      <c r="L1225" s="1">
        <v>3500</v>
      </c>
      <c r="M1225" t="s">
        <v>29</v>
      </c>
      <c r="N1225" s="1">
        <v>3500</v>
      </c>
      <c r="O1225" s="1">
        <v>3500</v>
      </c>
      <c r="P1225" t="s">
        <v>30</v>
      </c>
      <c r="Q1225" s="2">
        <v>0.7</v>
      </c>
      <c r="R1225" s="1">
        <v>2450</v>
      </c>
      <c r="S1225" t="s">
        <v>29</v>
      </c>
      <c r="T1225" s="1">
        <v>2450</v>
      </c>
      <c r="V1225" t="str">
        <f>VLOOKUP(H1225,'[1]팀별 출판사'!A:B,2,0)</f>
        <v>소설2팀</v>
      </c>
      <c r="W1225" s="6">
        <f t="shared" si="38"/>
        <v>0</v>
      </c>
      <c r="X1225" s="6">
        <f t="shared" si="39"/>
        <v>2450</v>
      </c>
    </row>
    <row r="1226" spans="1:24" x14ac:dyDescent="0.3">
      <c r="A1226" t="s">
        <v>1920</v>
      </c>
      <c r="B1226" t="s">
        <v>2024</v>
      </c>
      <c r="C1226" t="s">
        <v>23</v>
      </c>
      <c r="D1226" t="s">
        <v>24</v>
      </c>
      <c r="E1226" t="s">
        <v>25</v>
      </c>
      <c r="F1226">
        <v>1</v>
      </c>
      <c r="G1226">
        <v>9791133186501</v>
      </c>
      <c r="H1226" t="s">
        <v>26</v>
      </c>
      <c r="I1226" t="s">
        <v>64</v>
      </c>
      <c r="J1226" t="s">
        <v>65</v>
      </c>
      <c r="K1226" t="s">
        <v>29</v>
      </c>
      <c r="L1226">
        <v>0</v>
      </c>
      <c r="M1226" t="s">
        <v>29</v>
      </c>
      <c r="N1226">
        <v>0</v>
      </c>
      <c r="O1226">
        <v>0</v>
      </c>
      <c r="P1226" t="s">
        <v>30</v>
      </c>
      <c r="Q1226" s="2">
        <v>0.7</v>
      </c>
      <c r="R1226">
        <v>0</v>
      </c>
      <c r="V1226" t="str">
        <f>VLOOKUP(H1226,'[1]팀별 출판사'!A:B,2,0)</f>
        <v>소설1팀</v>
      </c>
      <c r="W1226" s="6">
        <f t="shared" si="38"/>
        <v>0</v>
      </c>
      <c r="X1226" s="6">
        <f t="shared" si="39"/>
        <v>0</v>
      </c>
    </row>
    <row r="1227" spans="1:24" x14ac:dyDescent="0.3">
      <c r="A1227" t="s">
        <v>1920</v>
      </c>
      <c r="B1227" t="s">
        <v>2021</v>
      </c>
      <c r="C1227" t="s">
        <v>23</v>
      </c>
      <c r="D1227" t="s">
        <v>1601</v>
      </c>
      <c r="E1227" t="s">
        <v>25</v>
      </c>
      <c r="F1227">
        <v>-1</v>
      </c>
      <c r="G1227">
        <v>9791136943118</v>
      </c>
      <c r="H1227" t="s">
        <v>36</v>
      </c>
      <c r="I1227" t="s">
        <v>2022</v>
      </c>
      <c r="J1227" t="s">
        <v>2023</v>
      </c>
      <c r="K1227" t="s">
        <v>29</v>
      </c>
      <c r="L1227" s="1">
        <v>3500</v>
      </c>
      <c r="M1227" t="s">
        <v>29</v>
      </c>
      <c r="N1227" s="1">
        <v>3500</v>
      </c>
      <c r="O1227" s="1">
        <v>3500</v>
      </c>
      <c r="P1227" t="s">
        <v>30</v>
      </c>
      <c r="Q1227" s="2">
        <v>0.7</v>
      </c>
      <c r="R1227" s="1">
        <v>-2450</v>
      </c>
      <c r="S1227" t="s">
        <v>29</v>
      </c>
      <c r="T1227" s="1">
        <v>-2450</v>
      </c>
      <c r="V1227" t="str">
        <f>VLOOKUP(H1227,'[1]팀별 출판사'!A:B,2,0)</f>
        <v>소설2팀</v>
      </c>
      <c r="W1227" s="6">
        <f t="shared" si="38"/>
        <v>0</v>
      </c>
      <c r="X1227" s="6">
        <f t="shared" si="39"/>
        <v>-2450</v>
      </c>
    </row>
    <row r="1228" spans="1:24" x14ac:dyDescent="0.3">
      <c r="A1228" t="s">
        <v>1920</v>
      </c>
      <c r="B1228" t="s">
        <v>2004</v>
      </c>
      <c r="C1228" t="s">
        <v>23</v>
      </c>
      <c r="D1228" t="s">
        <v>1601</v>
      </c>
      <c r="E1228" t="s">
        <v>25</v>
      </c>
      <c r="F1228">
        <v>-1</v>
      </c>
      <c r="G1228">
        <v>9791136932129</v>
      </c>
      <c r="H1228" t="s">
        <v>2005</v>
      </c>
      <c r="I1228" t="s">
        <v>2006</v>
      </c>
      <c r="J1228" t="s">
        <v>2007</v>
      </c>
      <c r="K1228" t="s">
        <v>29</v>
      </c>
      <c r="L1228" s="1">
        <v>3300</v>
      </c>
      <c r="M1228" t="s">
        <v>29</v>
      </c>
      <c r="N1228" s="1">
        <v>3300</v>
      </c>
      <c r="O1228" s="1">
        <v>3300</v>
      </c>
      <c r="P1228" t="s">
        <v>30</v>
      </c>
      <c r="Q1228" s="2">
        <v>0.7</v>
      </c>
      <c r="R1228" s="1">
        <v>-2310</v>
      </c>
      <c r="S1228" t="s">
        <v>29</v>
      </c>
      <c r="T1228" s="1">
        <v>-2310</v>
      </c>
      <c r="V1228" t="str">
        <f>VLOOKUP(H1228,'[1]팀별 출판사'!A:B,2,0)</f>
        <v>소설2팀</v>
      </c>
      <c r="W1228" s="6">
        <f t="shared" si="38"/>
        <v>0</v>
      </c>
      <c r="X1228" s="6">
        <f t="shared" si="39"/>
        <v>-2310</v>
      </c>
    </row>
    <row r="1229" spans="1:24" x14ac:dyDescent="0.3">
      <c r="A1229" t="s">
        <v>1920</v>
      </c>
      <c r="B1229" t="s">
        <v>2025</v>
      </c>
      <c r="C1229" t="s">
        <v>23</v>
      </c>
      <c r="D1229" t="s">
        <v>24</v>
      </c>
      <c r="E1229" t="s">
        <v>25</v>
      </c>
      <c r="F1229">
        <v>1</v>
      </c>
      <c r="G1229">
        <v>9791136903754</v>
      </c>
      <c r="H1229" t="s">
        <v>26</v>
      </c>
      <c r="I1229" t="s">
        <v>361</v>
      </c>
      <c r="J1229" t="s">
        <v>256</v>
      </c>
      <c r="K1229" t="s">
        <v>29</v>
      </c>
      <c r="L1229">
        <v>0</v>
      </c>
      <c r="M1229" t="s">
        <v>47</v>
      </c>
      <c r="N1229">
        <v>0</v>
      </c>
      <c r="O1229">
        <v>0</v>
      </c>
      <c r="P1229" t="s">
        <v>48</v>
      </c>
      <c r="Q1229" s="2">
        <v>0.7</v>
      </c>
      <c r="R1229">
        <v>0</v>
      </c>
      <c r="V1229" t="str">
        <f>VLOOKUP(H1229,'[1]팀별 출판사'!A:B,2,0)</f>
        <v>소설1팀</v>
      </c>
      <c r="W1229" s="6">
        <f t="shared" si="38"/>
        <v>0</v>
      </c>
      <c r="X1229" s="6">
        <f t="shared" si="39"/>
        <v>0</v>
      </c>
    </row>
    <row r="1230" spans="1:24" x14ac:dyDescent="0.3">
      <c r="A1230" t="s">
        <v>1920</v>
      </c>
      <c r="B1230" t="s">
        <v>2026</v>
      </c>
      <c r="C1230" t="s">
        <v>23</v>
      </c>
      <c r="D1230" t="s">
        <v>24</v>
      </c>
      <c r="E1230" t="s">
        <v>25</v>
      </c>
      <c r="F1230">
        <v>1</v>
      </c>
      <c r="G1230">
        <v>9791136958662</v>
      </c>
      <c r="H1230" t="s">
        <v>79</v>
      </c>
      <c r="I1230" t="s">
        <v>396</v>
      </c>
      <c r="J1230" t="s">
        <v>81</v>
      </c>
      <c r="K1230" t="s">
        <v>29</v>
      </c>
      <c r="L1230">
        <v>0</v>
      </c>
      <c r="M1230" t="s">
        <v>29</v>
      </c>
      <c r="N1230">
        <v>0</v>
      </c>
      <c r="O1230">
        <v>0</v>
      </c>
      <c r="P1230" t="s">
        <v>30</v>
      </c>
      <c r="Q1230" s="2">
        <v>0.7</v>
      </c>
      <c r="R1230">
        <v>0</v>
      </c>
      <c r="V1230" t="str">
        <f>VLOOKUP(H1230,'[1]팀별 출판사'!A:B,2,0)</f>
        <v>소설1팀</v>
      </c>
      <c r="W1230" s="6">
        <f t="shared" si="38"/>
        <v>0</v>
      </c>
      <c r="X1230" s="6">
        <f t="shared" si="39"/>
        <v>0</v>
      </c>
    </row>
    <row r="1231" spans="1:24" x14ac:dyDescent="0.3">
      <c r="A1231" t="s">
        <v>1920</v>
      </c>
      <c r="B1231" t="s">
        <v>2027</v>
      </c>
      <c r="C1231" t="s">
        <v>23</v>
      </c>
      <c r="D1231" t="s">
        <v>24</v>
      </c>
      <c r="E1231" t="s">
        <v>25</v>
      </c>
      <c r="F1231">
        <v>1</v>
      </c>
      <c r="G1231">
        <v>9791136925718</v>
      </c>
      <c r="H1231" t="s">
        <v>26</v>
      </c>
      <c r="I1231" t="s">
        <v>2028</v>
      </c>
      <c r="J1231" t="s">
        <v>62</v>
      </c>
      <c r="K1231" t="s">
        <v>29</v>
      </c>
      <c r="L1231" s="1">
        <v>3200</v>
      </c>
      <c r="M1231" t="s">
        <v>29</v>
      </c>
      <c r="N1231" s="1">
        <v>3200</v>
      </c>
      <c r="O1231" s="1">
        <v>3200</v>
      </c>
      <c r="P1231" t="s">
        <v>30</v>
      </c>
      <c r="Q1231" s="2">
        <v>0.7</v>
      </c>
      <c r="R1231" s="1">
        <v>2240</v>
      </c>
      <c r="S1231" t="s">
        <v>29</v>
      </c>
      <c r="T1231" s="1">
        <v>2240</v>
      </c>
      <c r="V1231" t="str">
        <f>VLOOKUP(H1231,'[1]팀별 출판사'!A:B,2,0)</f>
        <v>소설1팀</v>
      </c>
      <c r="W1231" s="6">
        <f t="shared" si="38"/>
        <v>0</v>
      </c>
      <c r="X1231" s="6">
        <f t="shared" si="39"/>
        <v>2240</v>
      </c>
    </row>
    <row r="1232" spans="1:24" x14ac:dyDescent="0.3">
      <c r="A1232" t="s">
        <v>1920</v>
      </c>
      <c r="B1232" t="s">
        <v>2029</v>
      </c>
      <c r="C1232" t="s">
        <v>23</v>
      </c>
      <c r="D1232" t="s">
        <v>24</v>
      </c>
      <c r="E1232" t="s">
        <v>25</v>
      </c>
      <c r="F1232">
        <v>1</v>
      </c>
      <c r="G1232">
        <v>9791136930491</v>
      </c>
      <c r="H1232" t="s">
        <v>26</v>
      </c>
      <c r="I1232" t="s">
        <v>151</v>
      </c>
      <c r="J1232" t="s">
        <v>46</v>
      </c>
      <c r="K1232" t="s">
        <v>29</v>
      </c>
      <c r="L1232">
        <v>0</v>
      </c>
      <c r="M1232" t="s">
        <v>152</v>
      </c>
      <c r="N1232">
        <v>0</v>
      </c>
      <c r="O1232">
        <v>0</v>
      </c>
      <c r="P1232" t="s">
        <v>153</v>
      </c>
      <c r="Q1232" s="2">
        <v>0.7</v>
      </c>
      <c r="R1232">
        <v>0</v>
      </c>
      <c r="V1232" t="str">
        <f>VLOOKUP(H1232,'[1]팀별 출판사'!A:B,2,0)</f>
        <v>소설1팀</v>
      </c>
      <c r="W1232" s="6">
        <f t="shared" si="38"/>
        <v>0</v>
      </c>
      <c r="X1232" s="6">
        <f t="shared" si="39"/>
        <v>0</v>
      </c>
    </row>
    <row r="1233" spans="1:24" x14ac:dyDescent="0.3">
      <c r="A1233" t="s">
        <v>1920</v>
      </c>
      <c r="B1233" t="s">
        <v>2030</v>
      </c>
      <c r="C1233" t="s">
        <v>23</v>
      </c>
      <c r="D1233" t="s">
        <v>24</v>
      </c>
      <c r="E1233" t="s">
        <v>25</v>
      </c>
      <c r="F1233">
        <v>1</v>
      </c>
      <c r="G1233">
        <v>9791136941862</v>
      </c>
      <c r="H1233" t="s">
        <v>26</v>
      </c>
      <c r="I1233" t="s">
        <v>894</v>
      </c>
      <c r="J1233" t="s">
        <v>81</v>
      </c>
      <c r="K1233" t="s">
        <v>29</v>
      </c>
      <c r="L1233">
        <v>0</v>
      </c>
      <c r="M1233" t="s">
        <v>29</v>
      </c>
      <c r="N1233">
        <v>0</v>
      </c>
      <c r="O1233">
        <v>0</v>
      </c>
      <c r="P1233" t="s">
        <v>30</v>
      </c>
      <c r="Q1233" s="2">
        <v>0.7</v>
      </c>
      <c r="R1233">
        <v>0</v>
      </c>
      <c r="V1233" t="str">
        <f>VLOOKUP(H1233,'[1]팀별 출판사'!A:B,2,0)</f>
        <v>소설1팀</v>
      </c>
      <c r="W1233" s="6">
        <f t="shared" si="38"/>
        <v>0</v>
      </c>
      <c r="X1233" s="6">
        <f t="shared" si="39"/>
        <v>0</v>
      </c>
    </row>
    <row r="1234" spans="1:24" x14ac:dyDescent="0.3">
      <c r="A1234" t="s">
        <v>1920</v>
      </c>
      <c r="B1234" t="s">
        <v>2031</v>
      </c>
      <c r="C1234" t="s">
        <v>23</v>
      </c>
      <c r="D1234" t="s">
        <v>24</v>
      </c>
      <c r="E1234" t="s">
        <v>25</v>
      </c>
      <c r="F1234">
        <v>1</v>
      </c>
      <c r="G1234">
        <v>9791173785092</v>
      </c>
      <c r="H1234" t="s">
        <v>26</v>
      </c>
      <c r="I1234" t="s">
        <v>327</v>
      </c>
      <c r="J1234" t="s">
        <v>62</v>
      </c>
      <c r="K1234" t="s">
        <v>29</v>
      </c>
      <c r="L1234">
        <v>0</v>
      </c>
      <c r="M1234" t="s">
        <v>29</v>
      </c>
      <c r="N1234">
        <v>0</v>
      </c>
      <c r="O1234">
        <v>0</v>
      </c>
      <c r="P1234" t="s">
        <v>30</v>
      </c>
      <c r="Q1234" s="2">
        <v>0.7</v>
      </c>
      <c r="R1234">
        <v>0</v>
      </c>
      <c r="V1234" t="str">
        <f>VLOOKUP(H1234,'[1]팀별 출판사'!A:B,2,0)</f>
        <v>소설1팀</v>
      </c>
      <c r="W1234" s="6">
        <f t="shared" si="38"/>
        <v>0</v>
      </c>
      <c r="X1234" s="6">
        <f t="shared" si="39"/>
        <v>0</v>
      </c>
    </row>
    <row r="1235" spans="1:24" x14ac:dyDescent="0.3">
      <c r="A1235" t="s">
        <v>1920</v>
      </c>
      <c r="B1235" t="s">
        <v>2032</v>
      </c>
      <c r="C1235" t="s">
        <v>23</v>
      </c>
      <c r="D1235" t="s">
        <v>24</v>
      </c>
      <c r="E1235" t="s">
        <v>25</v>
      </c>
      <c r="F1235">
        <v>1</v>
      </c>
      <c r="G1235">
        <v>9791173785580</v>
      </c>
      <c r="H1235" t="s">
        <v>26</v>
      </c>
      <c r="I1235" t="s">
        <v>2033</v>
      </c>
      <c r="J1235" t="s">
        <v>2034</v>
      </c>
      <c r="K1235" t="s">
        <v>29</v>
      </c>
      <c r="L1235">
        <v>0</v>
      </c>
      <c r="M1235" t="s">
        <v>29</v>
      </c>
      <c r="N1235">
        <v>0</v>
      </c>
      <c r="O1235">
        <v>0</v>
      </c>
      <c r="P1235" t="s">
        <v>30</v>
      </c>
      <c r="Q1235" s="2">
        <v>0.7</v>
      </c>
      <c r="R1235">
        <v>0</v>
      </c>
      <c r="V1235" t="str">
        <f>VLOOKUP(H1235,'[1]팀별 출판사'!A:B,2,0)</f>
        <v>소설1팀</v>
      </c>
      <c r="W1235" s="6">
        <f t="shared" si="38"/>
        <v>0</v>
      </c>
      <c r="X1235" s="6">
        <f t="shared" si="39"/>
        <v>0</v>
      </c>
    </row>
    <row r="1236" spans="1:24" x14ac:dyDescent="0.3">
      <c r="A1236" t="s">
        <v>1920</v>
      </c>
      <c r="B1236" t="s">
        <v>2035</v>
      </c>
      <c r="C1236" t="s">
        <v>23</v>
      </c>
      <c r="D1236" t="s">
        <v>24</v>
      </c>
      <c r="E1236" t="s">
        <v>25</v>
      </c>
      <c r="F1236">
        <v>1</v>
      </c>
      <c r="G1236">
        <v>9791157532193</v>
      </c>
      <c r="H1236" t="s">
        <v>32</v>
      </c>
      <c r="I1236" t="s">
        <v>2036</v>
      </c>
      <c r="J1236" t="s">
        <v>112</v>
      </c>
      <c r="K1236" t="s">
        <v>29</v>
      </c>
      <c r="L1236" s="1">
        <v>3200</v>
      </c>
      <c r="M1236" t="s">
        <v>29</v>
      </c>
      <c r="N1236" s="1">
        <v>3200</v>
      </c>
      <c r="O1236" s="1">
        <v>3200</v>
      </c>
      <c r="P1236" t="s">
        <v>30</v>
      </c>
      <c r="Q1236" s="2">
        <v>0.7</v>
      </c>
      <c r="R1236" s="1">
        <v>2240</v>
      </c>
      <c r="S1236" t="s">
        <v>29</v>
      </c>
      <c r="T1236" s="1">
        <v>2240</v>
      </c>
      <c r="V1236" t="str">
        <f>VLOOKUP(H1236,'[1]팀별 출판사'!A:B,2,0)</f>
        <v>소설1팀</v>
      </c>
      <c r="W1236" s="6">
        <f t="shared" si="38"/>
        <v>0</v>
      </c>
      <c r="X1236" s="6">
        <f t="shared" si="39"/>
        <v>2240</v>
      </c>
    </row>
    <row r="1237" spans="1:24" x14ac:dyDescent="0.3">
      <c r="A1237" t="s">
        <v>1920</v>
      </c>
      <c r="B1237" t="s">
        <v>2037</v>
      </c>
      <c r="C1237" t="s">
        <v>23</v>
      </c>
      <c r="D1237" t="s">
        <v>24</v>
      </c>
      <c r="E1237" t="s">
        <v>25</v>
      </c>
      <c r="F1237">
        <v>1</v>
      </c>
      <c r="G1237">
        <v>9791157533602</v>
      </c>
      <c r="H1237" t="s">
        <v>32</v>
      </c>
      <c r="I1237" t="s">
        <v>2038</v>
      </c>
      <c r="J1237" t="s">
        <v>187</v>
      </c>
      <c r="K1237" t="s">
        <v>29</v>
      </c>
      <c r="L1237" s="1">
        <v>3200</v>
      </c>
      <c r="M1237" t="s">
        <v>29</v>
      </c>
      <c r="N1237" s="1">
        <v>3200</v>
      </c>
      <c r="O1237" s="1">
        <v>3200</v>
      </c>
      <c r="P1237" t="s">
        <v>30</v>
      </c>
      <c r="Q1237" s="2">
        <v>0.7</v>
      </c>
      <c r="R1237" s="1">
        <v>2240</v>
      </c>
      <c r="S1237" t="s">
        <v>29</v>
      </c>
      <c r="T1237" s="1">
        <v>2240</v>
      </c>
      <c r="V1237" t="str">
        <f>VLOOKUP(H1237,'[1]팀별 출판사'!A:B,2,0)</f>
        <v>소설1팀</v>
      </c>
      <c r="W1237" s="6">
        <f t="shared" si="38"/>
        <v>0</v>
      </c>
      <c r="X1237" s="6">
        <f t="shared" si="39"/>
        <v>2240</v>
      </c>
    </row>
    <row r="1238" spans="1:24" x14ac:dyDescent="0.3">
      <c r="A1238" t="s">
        <v>1920</v>
      </c>
      <c r="B1238" t="s">
        <v>2039</v>
      </c>
      <c r="C1238" t="s">
        <v>23</v>
      </c>
      <c r="D1238" t="s">
        <v>24</v>
      </c>
      <c r="E1238" t="s">
        <v>25</v>
      </c>
      <c r="F1238">
        <v>1</v>
      </c>
      <c r="G1238">
        <v>9791136941930</v>
      </c>
      <c r="H1238" t="s">
        <v>26</v>
      </c>
      <c r="I1238" t="s">
        <v>2040</v>
      </c>
      <c r="J1238" t="s">
        <v>81</v>
      </c>
      <c r="K1238" t="s">
        <v>29</v>
      </c>
      <c r="L1238" s="1">
        <v>3200</v>
      </c>
      <c r="M1238" t="s">
        <v>29</v>
      </c>
      <c r="N1238" s="1">
        <v>3200</v>
      </c>
      <c r="O1238" s="1">
        <v>3200</v>
      </c>
      <c r="P1238" t="s">
        <v>30</v>
      </c>
      <c r="Q1238" s="2">
        <v>0.7</v>
      </c>
      <c r="R1238" s="1">
        <v>2240</v>
      </c>
      <c r="S1238" t="s">
        <v>29</v>
      </c>
      <c r="T1238" s="1">
        <v>2240</v>
      </c>
      <c r="V1238" t="str">
        <f>VLOOKUP(H1238,'[1]팀별 출판사'!A:B,2,0)</f>
        <v>소설1팀</v>
      </c>
      <c r="W1238" s="6">
        <f t="shared" si="38"/>
        <v>0</v>
      </c>
      <c r="X1238" s="6">
        <f t="shared" si="39"/>
        <v>2240</v>
      </c>
    </row>
    <row r="1239" spans="1:24" x14ac:dyDescent="0.3">
      <c r="A1239" t="s">
        <v>1920</v>
      </c>
      <c r="B1239" t="s">
        <v>2041</v>
      </c>
      <c r="C1239" t="s">
        <v>23</v>
      </c>
      <c r="D1239" t="s">
        <v>24</v>
      </c>
      <c r="E1239" t="s">
        <v>25</v>
      </c>
      <c r="F1239">
        <v>1</v>
      </c>
      <c r="G1239">
        <v>9791136965455</v>
      </c>
      <c r="H1239" t="s">
        <v>26</v>
      </c>
      <c r="I1239" t="s">
        <v>472</v>
      </c>
      <c r="J1239" t="s">
        <v>157</v>
      </c>
      <c r="K1239" t="s">
        <v>29</v>
      </c>
      <c r="L1239">
        <v>0</v>
      </c>
      <c r="M1239" t="s">
        <v>152</v>
      </c>
      <c r="N1239">
        <v>0</v>
      </c>
      <c r="O1239">
        <v>0</v>
      </c>
      <c r="P1239" t="s">
        <v>153</v>
      </c>
      <c r="Q1239" s="2">
        <v>0.7</v>
      </c>
      <c r="R1239">
        <v>0</v>
      </c>
      <c r="V1239" t="str">
        <f>VLOOKUP(H1239,'[1]팀별 출판사'!A:B,2,0)</f>
        <v>소설1팀</v>
      </c>
      <c r="W1239" s="6">
        <f t="shared" si="38"/>
        <v>0</v>
      </c>
      <c r="X1239" s="6">
        <f t="shared" si="39"/>
        <v>0</v>
      </c>
    </row>
    <row r="1240" spans="1:24" x14ac:dyDescent="0.3">
      <c r="A1240" t="s">
        <v>1920</v>
      </c>
      <c r="B1240" t="s">
        <v>2042</v>
      </c>
      <c r="C1240" t="s">
        <v>23</v>
      </c>
      <c r="D1240" t="s">
        <v>24</v>
      </c>
      <c r="E1240" t="s">
        <v>25</v>
      </c>
      <c r="F1240">
        <v>1</v>
      </c>
      <c r="G1240">
        <v>9791136941923</v>
      </c>
      <c r="H1240" t="s">
        <v>26</v>
      </c>
      <c r="I1240" t="s">
        <v>2043</v>
      </c>
      <c r="J1240" t="s">
        <v>81</v>
      </c>
      <c r="K1240" t="s">
        <v>29</v>
      </c>
      <c r="L1240" s="1">
        <v>3200</v>
      </c>
      <c r="M1240" t="s">
        <v>29</v>
      </c>
      <c r="N1240" s="1">
        <v>3200</v>
      </c>
      <c r="O1240" s="1">
        <v>3200</v>
      </c>
      <c r="P1240" t="s">
        <v>30</v>
      </c>
      <c r="Q1240" s="2">
        <v>0.7</v>
      </c>
      <c r="R1240" s="1">
        <v>2240</v>
      </c>
      <c r="S1240" t="s">
        <v>29</v>
      </c>
      <c r="T1240" s="1">
        <v>2240</v>
      </c>
      <c r="V1240" t="str">
        <f>VLOOKUP(H1240,'[1]팀별 출판사'!A:B,2,0)</f>
        <v>소설1팀</v>
      </c>
      <c r="W1240" s="6">
        <f t="shared" si="38"/>
        <v>0</v>
      </c>
      <c r="X1240" s="6">
        <f t="shared" si="39"/>
        <v>2240</v>
      </c>
    </row>
    <row r="1241" spans="1:24" x14ac:dyDescent="0.3">
      <c r="A1241" t="s">
        <v>1920</v>
      </c>
      <c r="B1241" t="s">
        <v>2044</v>
      </c>
      <c r="C1241" t="s">
        <v>23</v>
      </c>
      <c r="D1241" t="s">
        <v>24</v>
      </c>
      <c r="E1241" t="s">
        <v>25</v>
      </c>
      <c r="F1241">
        <v>1</v>
      </c>
      <c r="G1241">
        <v>9791136903761</v>
      </c>
      <c r="H1241" t="s">
        <v>26</v>
      </c>
      <c r="I1241" t="s">
        <v>2045</v>
      </c>
      <c r="J1241" t="s">
        <v>256</v>
      </c>
      <c r="K1241" t="s">
        <v>29</v>
      </c>
      <c r="L1241" s="1">
        <v>3200</v>
      </c>
      <c r="M1241" t="s">
        <v>29</v>
      </c>
      <c r="N1241" s="1">
        <v>3200</v>
      </c>
      <c r="O1241" s="1">
        <v>3200</v>
      </c>
      <c r="P1241" t="s">
        <v>30</v>
      </c>
      <c r="Q1241" s="2">
        <v>0.7</v>
      </c>
      <c r="R1241" s="1">
        <v>2240</v>
      </c>
      <c r="S1241" t="s">
        <v>29</v>
      </c>
      <c r="T1241" s="1">
        <v>2240</v>
      </c>
      <c r="V1241" t="str">
        <f>VLOOKUP(H1241,'[1]팀별 출판사'!A:B,2,0)</f>
        <v>소설1팀</v>
      </c>
      <c r="W1241" s="6">
        <f t="shared" si="38"/>
        <v>0</v>
      </c>
      <c r="X1241" s="6">
        <f t="shared" si="39"/>
        <v>2240</v>
      </c>
    </row>
    <row r="1242" spans="1:24" x14ac:dyDescent="0.3">
      <c r="A1242" t="s">
        <v>1920</v>
      </c>
      <c r="B1242" t="s">
        <v>2046</v>
      </c>
      <c r="C1242" t="s">
        <v>23</v>
      </c>
      <c r="D1242" t="s">
        <v>24</v>
      </c>
      <c r="E1242" t="s">
        <v>25</v>
      </c>
      <c r="F1242">
        <v>1</v>
      </c>
      <c r="G1242">
        <v>9791133188994</v>
      </c>
      <c r="H1242" t="s">
        <v>26</v>
      </c>
      <c r="I1242" t="s">
        <v>2047</v>
      </c>
      <c r="J1242" t="s">
        <v>908</v>
      </c>
      <c r="K1242" t="s">
        <v>29</v>
      </c>
      <c r="L1242">
        <v>0</v>
      </c>
      <c r="M1242" t="s">
        <v>29</v>
      </c>
      <c r="N1242">
        <v>0</v>
      </c>
      <c r="O1242">
        <v>0</v>
      </c>
      <c r="P1242" t="s">
        <v>30</v>
      </c>
      <c r="Q1242" s="2">
        <v>0.7</v>
      </c>
      <c r="R1242">
        <v>0</v>
      </c>
      <c r="V1242" t="str">
        <f>VLOOKUP(H1242,'[1]팀별 출판사'!A:B,2,0)</f>
        <v>소설1팀</v>
      </c>
      <c r="W1242" s="6">
        <f t="shared" si="38"/>
        <v>0</v>
      </c>
      <c r="X1242" s="6">
        <f t="shared" si="39"/>
        <v>0</v>
      </c>
    </row>
    <row r="1243" spans="1:24" x14ac:dyDescent="0.3">
      <c r="A1243" t="s">
        <v>1920</v>
      </c>
      <c r="B1243" t="s">
        <v>2048</v>
      </c>
      <c r="C1243" t="s">
        <v>23</v>
      </c>
      <c r="D1243" t="s">
        <v>24</v>
      </c>
      <c r="E1243" t="s">
        <v>25</v>
      </c>
      <c r="F1243">
        <v>1</v>
      </c>
      <c r="G1243">
        <v>9791136903631</v>
      </c>
      <c r="H1243" t="s">
        <v>26</v>
      </c>
      <c r="I1243" t="s">
        <v>2049</v>
      </c>
      <c r="J1243" t="s">
        <v>1376</v>
      </c>
      <c r="K1243" t="s">
        <v>29</v>
      </c>
      <c r="L1243" s="1">
        <v>3200</v>
      </c>
      <c r="M1243" t="s">
        <v>70</v>
      </c>
      <c r="N1243">
        <v>2.2200000000000002</v>
      </c>
      <c r="O1243">
        <v>2.2200000000000002</v>
      </c>
      <c r="P1243" t="s">
        <v>71</v>
      </c>
      <c r="Q1243" s="2">
        <v>0.7</v>
      </c>
      <c r="R1243">
        <v>1.55</v>
      </c>
      <c r="S1243" t="s">
        <v>29</v>
      </c>
      <c r="T1243" s="1">
        <v>2261</v>
      </c>
      <c r="U1243" s="3">
        <v>1459.8088700000001</v>
      </c>
      <c r="V1243" t="str">
        <f>VLOOKUP(H1243,'[1]팀별 출판사'!A:B,2,0)</f>
        <v>소설1팀</v>
      </c>
      <c r="W1243" s="6">
        <f t="shared" si="38"/>
        <v>678.3</v>
      </c>
      <c r="X1243" s="6">
        <f t="shared" si="39"/>
        <v>1582.7</v>
      </c>
    </row>
    <row r="1244" spans="1:24" x14ac:dyDescent="0.3">
      <c r="A1244" t="s">
        <v>1920</v>
      </c>
      <c r="B1244" t="s">
        <v>2048</v>
      </c>
      <c r="C1244" t="s">
        <v>23</v>
      </c>
      <c r="D1244" t="s">
        <v>24</v>
      </c>
      <c r="E1244" t="s">
        <v>25</v>
      </c>
      <c r="F1244">
        <v>1</v>
      </c>
      <c r="G1244">
        <v>9791136903648</v>
      </c>
      <c r="H1244" t="s">
        <v>26</v>
      </c>
      <c r="I1244" t="s">
        <v>2050</v>
      </c>
      <c r="J1244" t="s">
        <v>1376</v>
      </c>
      <c r="K1244" t="s">
        <v>29</v>
      </c>
      <c r="L1244" s="1">
        <v>3200</v>
      </c>
      <c r="M1244" t="s">
        <v>70</v>
      </c>
      <c r="N1244">
        <v>2.2200000000000002</v>
      </c>
      <c r="O1244">
        <v>2.2200000000000002</v>
      </c>
      <c r="P1244" t="s">
        <v>71</v>
      </c>
      <c r="Q1244" s="2">
        <v>0.7</v>
      </c>
      <c r="R1244">
        <v>1.55</v>
      </c>
      <c r="S1244" t="s">
        <v>29</v>
      </c>
      <c r="T1244" s="1">
        <v>2261</v>
      </c>
      <c r="U1244" s="3">
        <v>1459.8088700000001</v>
      </c>
      <c r="V1244" t="str">
        <f>VLOOKUP(H1244,'[1]팀별 출판사'!A:B,2,0)</f>
        <v>소설1팀</v>
      </c>
      <c r="W1244" s="6">
        <f t="shared" si="38"/>
        <v>678.3</v>
      </c>
      <c r="X1244" s="6">
        <f t="shared" si="39"/>
        <v>1582.7</v>
      </c>
    </row>
    <row r="1245" spans="1:24" x14ac:dyDescent="0.3">
      <c r="A1245" t="s">
        <v>1920</v>
      </c>
      <c r="B1245" t="s">
        <v>2048</v>
      </c>
      <c r="C1245" t="s">
        <v>23</v>
      </c>
      <c r="D1245" t="s">
        <v>24</v>
      </c>
      <c r="E1245" t="s">
        <v>25</v>
      </c>
      <c r="F1245">
        <v>1</v>
      </c>
      <c r="G1245">
        <v>9791136903655</v>
      </c>
      <c r="H1245" t="s">
        <v>26</v>
      </c>
      <c r="I1245" t="s">
        <v>2051</v>
      </c>
      <c r="J1245" t="s">
        <v>1376</v>
      </c>
      <c r="K1245" t="s">
        <v>29</v>
      </c>
      <c r="L1245" s="1">
        <v>3200</v>
      </c>
      <c r="M1245" t="s">
        <v>70</v>
      </c>
      <c r="N1245">
        <v>2.2200000000000002</v>
      </c>
      <c r="O1245">
        <v>2.2200000000000002</v>
      </c>
      <c r="P1245" t="s">
        <v>71</v>
      </c>
      <c r="Q1245" s="2">
        <v>0.7</v>
      </c>
      <c r="R1245">
        <v>1.55</v>
      </c>
      <c r="S1245" t="s">
        <v>29</v>
      </c>
      <c r="T1245" s="1">
        <v>2261</v>
      </c>
      <c r="U1245" s="3">
        <v>1459.8088700000001</v>
      </c>
      <c r="V1245" t="str">
        <f>VLOOKUP(H1245,'[1]팀별 출판사'!A:B,2,0)</f>
        <v>소설1팀</v>
      </c>
      <c r="W1245" s="6">
        <f t="shared" si="38"/>
        <v>678.3</v>
      </c>
      <c r="X1245" s="6">
        <f t="shared" si="39"/>
        <v>1582.7</v>
      </c>
    </row>
    <row r="1246" spans="1:24" x14ac:dyDescent="0.3">
      <c r="A1246" t="s">
        <v>1920</v>
      </c>
      <c r="B1246" t="s">
        <v>2052</v>
      </c>
      <c r="C1246" t="s">
        <v>23</v>
      </c>
      <c r="D1246" t="s">
        <v>24</v>
      </c>
      <c r="E1246" t="s">
        <v>25</v>
      </c>
      <c r="F1246">
        <v>1</v>
      </c>
      <c r="G1246">
        <v>9791133173402</v>
      </c>
      <c r="H1246" t="s">
        <v>26</v>
      </c>
      <c r="I1246" t="s">
        <v>1039</v>
      </c>
      <c r="J1246" t="s">
        <v>287</v>
      </c>
      <c r="K1246" t="s">
        <v>29</v>
      </c>
      <c r="L1246">
        <v>0</v>
      </c>
      <c r="M1246" t="s">
        <v>29</v>
      </c>
      <c r="N1246">
        <v>0</v>
      </c>
      <c r="O1246">
        <v>0</v>
      </c>
      <c r="P1246" t="s">
        <v>30</v>
      </c>
      <c r="Q1246" s="2">
        <v>0.7</v>
      </c>
      <c r="R1246">
        <v>0</v>
      </c>
      <c r="V1246" t="str">
        <f>VLOOKUP(H1246,'[1]팀별 출판사'!A:B,2,0)</f>
        <v>소설1팀</v>
      </c>
      <c r="W1246" s="6">
        <f t="shared" si="38"/>
        <v>0</v>
      </c>
      <c r="X1246" s="6">
        <f t="shared" si="39"/>
        <v>0</v>
      </c>
    </row>
    <row r="1247" spans="1:24" x14ac:dyDescent="0.3">
      <c r="A1247" t="s">
        <v>1920</v>
      </c>
      <c r="B1247" t="s">
        <v>2053</v>
      </c>
      <c r="C1247" t="s">
        <v>23</v>
      </c>
      <c r="D1247" t="s">
        <v>24</v>
      </c>
      <c r="E1247" t="s">
        <v>25</v>
      </c>
      <c r="F1247">
        <v>1</v>
      </c>
      <c r="G1247">
        <v>9791136930491</v>
      </c>
      <c r="H1247" t="s">
        <v>26</v>
      </c>
      <c r="I1247" t="s">
        <v>151</v>
      </c>
      <c r="J1247" t="s">
        <v>46</v>
      </c>
      <c r="K1247" t="s">
        <v>29</v>
      </c>
      <c r="L1247">
        <v>0</v>
      </c>
      <c r="M1247" t="s">
        <v>1486</v>
      </c>
      <c r="N1247">
        <v>0</v>
      </c>
      <c r="O1247">
        <v>0</v>
      </c>
      <c r="P1247" t="s">
        <v>1487</v>
      </c>
      <c r="Q1247" s="2">
        <v>0.7</v>
      </c>
      <c r="R1247">
        <v>0</v>
      </c>
      <c r="V1247" t="str">
        <f>VLOOKUP(H1247,'[1]팀별 출판사'!A:B,2,0)</f>
        <v>소설1팀</v>
      </c>
      <c r="W1247" s="6">
        <f t="shared" si="38"/>
        <v>0</v>
      </c>
      <c r="X1247" s="6">
        <f t="shared" si="39"/>
        <v>0</v>
      </c>
    </row>
    <row r="1248" spans="1:24" x14ac:dyDescent="0.3">
      <c r="A1248" t="s">
        <v>1920</v>
      </c>
      <c r="B1248" t="s">
        <v>2054</v>
      </c>
      <c r="C1248" t="s">
        <v>23</v>
      </c>
      <c r="D1248" t="s">
        <v>24</v>
      </c>
      <c r="E1248" t="s">
        <v>25</v>
      </c>
      <c r="F1248">
        <v>1</v>
      </c>
      <c r="G1248">
        <v>9791136942418</v>
      </c>
      <c r="H1248" t="s">
        <v>26</v>
      </c>
      <c r="I1248" t="s">
        <v>2055</v>
      </c>
      <c r="J1248" t="s">
        <v>284</v>
      </c>
      <c r="K1248" t="s">
        <v>29</v>
      </c>
      <c r="L1248">
        <v>0</v>
      </c>
      <c r="M1248" t="s">
        <v>29</v>
      </c>
      <c r="N1248">
        <v>0</v>
      </c>
      <c r="O1248">
        <v>0</v>
      </c>
      <c r="P1248" t="s">
        <v>30</v>
      </c>
      <c r="Q1248" s="2">
        <v>0.7</v>
      </c>
      <c r="R1248">
        <v>0</v>
      </c>
      <c r="V1248" t="str">
        <f>VLOOKUP(H1248,'[1]팀별 출판사'!A:B,2,0)</f>
        <v>소설1팀</v>
      </c>
      <c r="W1248" s="6">
        <f t="shared" si="38"/>
        <v>0</v>
      </c>
      <c r="X1248" s="6">
        <f t="shared" si="39"/>
        <v>0</v>
      </c>
    </row>
    <row r="1249" spans="1:24" x14ac:dyDescent="0.3">
      <c r="A1249" t="s">
        <v>1920</v>
      </c>
      <c r="B1249" t="s">
        <v>2056</v>
      </c>
      <c r="C1249" t="s">
        <v>23</v>
      </c>
      <c r="D1249" t="s">
        <v>24</v>
      </c>
      <c r="E1249" t="s">
        <v>25</v>
      </c>
      <c r="F1249">
        <v>1</v>
      </c>
      <c r="G1249" t="s">
        <v>797</v>
      </c>
      <c r="H1249" t="s">
        <v>32</v>
      </c>
      <c r="I1249" t="s">
        <v>798</v>
      </c>
      <c r="J1249" t="s">
        <v>43</v>
      </c>
      <c r="K1249" t="s">
        <v>29</v>
      </c>
      <c r="L1249">
        <v>0</v>
      </c>
      <c r="M1249" t="s">
        <v>29</v>
      </c>
      <c r="N1249">
        <v>0</v>
      </c>
      <c r="O1249">
        <v>0</v>
      </c>
      <c r="P1249" t="s">
        <v>30</v>
      </c>
      <c r="Q1249" s="2">
        <v>0.7</v>
      </c>
      <c r="R1249">
        <v>0</v>
      </c>
      <c r="V1249" t="str">
        <f>VLOOKUP(H1249,'[1]팀별 출판사'!A:B,2,0)</f>
        <v>소설1팀</v>
      </c>
      <c r="W1249" s="6">
        <f t="shared" si="38"/>
        <v>0</v>
      </c>
      <c r="X1249" s="6">
        <f t="shared" si="39"/>
        <v>0</v>
      </c>
    </row>
    <row r="1250" spans="1:24" x14ac:dyDescent="0.3">
      <c r="A1250" t="s">
        <v>1920</v>
      </c>
      <c r="B1250" t="s">
        <v>2057</v>
      </c>
      <c r="C1250" t="s">
        <v>23</v>
      </c>
      <c r="D1250" t="s">
        <v>24</v>
      </c>
      <c r="E1250" t="s">
        <v>25</v>
      </c>
      <c r="F1250">
        <v>1</v>
      </c>
      <c r="G1250">
        <v>9791136932648</v>
      </c>
      <c r="H1250" t="s">
        <v>32</v>
      </c>
      <c r="I1250" t="s">
        <v>832</v>
      </c>
      <c r="J1250" t="s">
        <v>34</v>
      </c>
      <c r="K1250" t="s">
        <v>29</v>
      </c>
      <c r="L1250">
        <v>0</v>
      </c>
      <c r="M1250" t="s">
        <v>152</v>
      </c>
      <c r="N1250">
        <v>0</v>
      </c>
      <c r="O1250">
        <v>0</v>
      </c>
      <c r="P1250" t="s">
        <v>153</v>
      </c>
      <c r="Q1250" s="2">
        <v>0.7</v>
      </c>
      <c r="R1250">
        <v>0</v>
      </c>
      <c r="V1250" t="str">
        <f>VLOOKUP(H1250,'[1]팀별 출판사'!A:B,2,0)</f>
        <v>소설1팀</v>
      </c>
      <c r="W1250" s="6">
        <f t="shared" si="38"/>
        <v>0</v>
      </c>
      <c r="X1250" s="6">
        <f t="shared" si="39"/>
        <v>0</v>
      </c>
    </row>
    <row r="1251" spans="1:24" x14ac:dyDescent="0.3">
      <c r="A1251" t="s">
        <v>1920</v>
      </c>
      <c r="B1251" t="s">
        <v>2058</v>
      </c>
      <c r="C1251" t="s">
        <v>23</v>
      </c>
      <c r="D1251" t="s">
        <v>24</v>
      </c>
      <c r="E1251" t="s">
        <v>25</v>
      </c>
      <c r="F1251">
        <v>1</v>
      </c>
      <c r="G1251">
        <v>9791136944184</v>
      </c>
      <c r="H1251" t="s">
        <v>26</v>
      </c>
      <c r="I1251" t="s">
        <v>2059</v>
      </c>
      <c r="J1251" t="s">
        <v>1692</v>
      </c>
      <c r="K1251" t="s">
        <v>29</v>
      </c>
      <c r="L1251" s="1">
        <v>3200</v>
      </c>
      <c r="M1251" t="s">
        <v>29</v>
      </c>
      <c r="N1251" s="1">
        <v>3200</v>
      </c>
      <c r="O1251" s="1">
        <v>3200</v>
      </c>
      <c r="P1251" t="s">
        <v>30</v>
      </c>
      <c r="Q1251" s="2">
        <v>0.7</v>
      </c>
      <c r="R1251" s="1">
        <v>2240</v>
      </c>
      <c r="S1251" t="s">
        <v>29</v>
      </c>
      <c r="T1251" s="1">
        <v>2240</v>
      </c>
      <c r="V1251" t="str">
        <f>VLOOKUP(H1251,'[1]팀별 출판사'!A:B,2,0)</f>
        <v>소설1팀</v>
      </c>
      <c r="W1251" s="6">
        <f t="shared" si="38"/>
        <v>0</v>
      </c>
      <c r="X1251" s="6">
        <f t="shared" si="39"/>
        <v>2240</v>
      </c>
    </row>
    <row r="1252" spans="1:24" x14ac:dyDescent="0.3">
      <c r="A1252" t="s">
        <v>1920</v>
      </c>
      <c r="B1252" t="s">
        <v>2060</v>
      </c>
      <c r="C1252" t="s">
        <v>23</v>
      </c>
      <c r="D1252" t="s">
        <v>24</v>
      </c>
      <c r="E1252" t="s">
        <v>25</v>
      </c>
      <c r="F1252">
        <v>1</v>
      </c>
      <c r="G1252">
        <v>9791172920142</v>
      </c>
      <c r="H1252" t="s">
        <v>26</v>
      </c>
      <c r="I1252" t="s">
        <v>2061</v>
      </c>
      <c r="J1252" t="s">
        <v>276</v>
      </c>
      <c r="K1252" t="s">
        <v>29</v>
      </c>
      <c r="L1252" s="1">
        <v>3200</v>
      </c>
      <c r="M1252" t="s">
        <v>29</v>
      </c>
      <c r="N1252" s="1">
        <v>3200</v>
      </c>
      <c r="O1252" s="1">
        <v>3200</v>
      </c>
      <c r="P1252" t="s">
        <v>30</v>
      </c>
      <c r="Q1252" s="2">
        <v>0.7</v>
      </c>
      <c r="R1252" s="1">
        <v>2240</v>
      </c>
      <c r="S1252" t="s">
        <v>29</v>
      </c>
      <c r="T1252" s="1">
        <v>2240</v>
      </c>
      <c r="V1252" t="str">
        <f>VLOOKUP(H1252,'[1]팀별 출판사'!A:B,2,0)</f>
        <v>소설1팀</v>
      </c>
      <c r="W1252" s="6">
        <f t="shared" si="38"/>
        <v>0</v>
      </c>
      <c r="X1252" s="6">
        <f t="shared" si="39"/>
        <v>2240</v>
      </c>
    </row>
    <row r="1253" spans="1:24" x14ac:dyDescent="0.3">
      <c r="A1253" t="s">
        <v>1920</v>
      </c>
      <c r="B1253" t="s">
        <v>2062</v>
      </c>
      <c r="C1253" t="s">
        <v>23</v>
      </c>
      <c r="D1253" t="s">
        <v>24</v>
      </c>
      <c r="E1253" t="s">
        <v>25</v>
      </c>
      <c r="F1253">
        <v>1</v>
      </c>
      <c r="G1253">
        <v>9791133186501</v>
      </c>
      <c r="H1253" t="s">
        <v>26</v>
      </c>
      <c r="I1253" t="s">
        <v>64</v>
      </c>
      <c r="J1253" t="s">
        <v>65</v>
      </c>
      <c r="K1253" t="s">
        <v>29</v>
      </c>
      <c r="L1253">
        <v>0</v>
      </c>
      <c r="M1253" t="s">
        <v>29</v>
      </c>
      <c r="N1253">
        <v>0</v>
      </c>
      <c r="O1253">
        <v>0</v>
      </c>
      <c r="P1253" t="s">
        <v>30</v>
      </c>
      <c r="Q1253" s="2">
        <v>0.7</v>
      </c>
      <c r="R1253">
        <v>0</v>
      </c>
      <c r="V1253" t="str">
        <f>VLOOKUP(H1253,'[1]팀별 출판사'!A:B,2,0)</f>
        <v>소설1팀</v>
      </c>
      <c r="W1253" s="6">
        <f t="shared" si="38"/>
        <v>0</v>
      </c>
      <c r="X1253" s="6">
        <f t="shared" si="39"/>
        <v>0</v>
      </c>
    </row>
    <row r="1254" spans="1:24" x14ac:dyDescent="0.3">
      <c r="A1254" t="s">
        <v>1920</v>
      </c>
      <c r="B1254" t="s">
        <v>2063</v>
      </c>
      <c r="C1254" t="s">
        <v>23</v>
      </c>
      <c r="D1254" t="s">
        <v>24</v>
      </c>
      <c r="E1254" t="s">
        <v>25</v>
      </c>
      <c r="F1254">
        <v>1</v>
      </c>
      <c r="G1254">
        <v>9791136946782</v>
      </c>
      <c r="H1254" t="s">
        <v>26</v>
      </c>
      <c r="I1254" t="s">
        <v>291</v>
      </c>
      <c r="J1254" t="s">
        <v>28</v>
      </c>
      <c r="K1254" t="s">
        <v>29</v>
      </c>
      <c r="L1254">
        <v>0</v>
      </c>
      <c r="M1254" t="s">
        <v>29</v>
      </c>
      <c r="N1254">
        <v>0</v>
      </c>
      <c r="O1254">
        <v>0</v>
      </c>
      <c r="P1254" t="s">
        <v>30</v>
      </c>
      <c r="Q1254" s="2">
        <v>0.7</v>
      </c>
      <c r="R1254">
        <v>0</v>
      </c>
      <c r="V1254" t="str">
        <f>VLOOKUP(H1254,'[1]팀별 출판사'!A:B,2,0)</f>
        <v>소설1팀</v>
      </c>
      <c r="W1254" s="6">
        <f t="shared" si="38"/>
        <v>0</v>
      </c>
      <c r="X1254" s="6">
        <f t="shared" si="39"/>
        <v>0</v>
      </c>
    </row>
    <row r="1255" spans="1:24" x14ac:dyDescent="0.3">
      <c r="A1255" t="s">
        <v>1920</v>
      </c>
      <c r="B1255" t="s">
        <v>2064</v>
      </c>
      <c r="C1255" t="s">
        <v>23</v>
      </c>
      <c r="D1255" t="s">
        <v>24</v>
      </c>
      <c r="E1255" t="s">
        <v>25</v>
      </c>
      <c r="F1255">
        <v>1</v>
      </c>
      <c r="G1255">
        <v>9791173785115</v>
      </c>
      <c r="H1255" t="s">
        <v>26</v>
      </c>
      <c r="I1255" t="s">
        <v>2065</v>
      </c>
      <c r="J1255" t="s">
        <v>62</v>
      </c>
      <c r="K1255" t="s">
        <v>29</v>
      </c>
      <c r="L1255" s="1">
        <v>3200</v>
      </c>
      <c r="M1255" t="s">
        <v>29</v>
      </c>
      <c r="N1255" s="1">
        <v>3200</v>
      </c>
      <c r="O1255" s="1">
        <v>3200</v>
      </c>
      <c r="P1255" t="s">
        <v>30</v>
      </c>
      <c r="Q1255" s="2">
        <v>0.7</v>
      </c>
      <c r="R1255" s="1">
        <v>2240</v>
      </c>
      <c r="S1255" t="s">
        <v>29</v>
      </c>
      <c r="T1255" s="1">
        <v>2240</v>
      </c>
      <c r="V1255" t="str">
        <f>VLOOKUP(H1255,'[1]팀별 출판사'!A:B,2,0)</f>
        <v>소설1팀</v>
      </c>
      <c r="W1255" s="6">
        <f t="shared" si="38"/>
        <v>0</v>
      </c>
      <c r="X1255" s="6">
        <f t="shared" si="39"/>
        <v>2240</v>
      </c>
    </row>
    <row r="1256" spans="1:24" x14ac:dyDescent="0.3">
      <c r="A1256" t="s">
        <v>1920</v>
      </c>
      <c r="B1256" t="s">
        <v>2066</v>
      </c>
      <c r="C1256" t="s">
        <v>23</v>
      </c>
      <c r="D1256" t="s">
        <v>24</v>
      </c>
      <c r="E1256" t="s">
        <v>25</v>
      </c>
      <c r="F1256">
        <v>1</v>
      </c>
      <c r="G1256">
        <v>9791133171453</v>
      </c>
      <c r="H1256" t="s">
        <v>26</v>
      </c>
      <c r="I1256" t="s">
        <v>573</v>
      </c>
      <c r="J1256" t="s">
        <v>287</v>
      </c>
      <c r="K1256" t="s">
        <v>29</v>
      </c>
      <c r="L1256">
        <v>0</v>
      </c>
      <c r="M1256" t="s">
        <v>29</v>
      </c>
      <c r="N1256">
        <v>0</v>
      </c>
      <c r="O1256">
        <v>0</v>
      </c>
      <c r="P1256" t="s">
        <v>30</v>
      </c>
      <c r="Q1256" s="2">
        <v>0.7</v>
      </c>
      <c r="R1256">
        <v>0</v>
      </c>
      <c r="V1256" t="str">
        <f>VLOOKUP(H1256,'[1]팀별 출판사'!A:B,2,0)</f>
        <v>소설1팀</v>
      </c>
      <c r="W1256" s="6">
        <f t="shared" si="38"/>
        <v>0</v>
      </c>
      <c r="X1256" s="6">
        <f t="shared" si="39"/>
        <v>0</v>
      </c>
    </row>
    <row r="1257" spans="1:24" x14ac:dyDescent="0.3">
      <c r="A1257" t="s">
        <v>1920</v>
      </c>
      <c r="B1257" t="s">
        <v>2067</v>
      </c>
      <c r="C1257" t="s">
        <v>23</v>
      </c>
      <c r="D1257" t="s">
        <v>24</v>
      </c>
      <c r="E1257" t="s">
        <v>25</v>
      </c>
      <c r="F1257">
        <v>1</v>
      </c>
      <c r="G1257">
        <v>9791136946775</v>
      </c>
      <c r="H1257" t="s">
        <v>26</v>
      </c>
      <c r="I1257" t="s">
        <v>238</v>
      </c>
      <c r="J1257" t="s">
        <v>28</v>
      </c>
      <c r="K1257" t="s">
        <v>29</v>
      </c>
      <c r="L1257">
        <v>0</v>
      </c>
      <c r="M1257" t="s">
        <v>948</v>
      </c>
      <c r="N1257">
        <v>0</v>
      </c>
      <c r="O1257">
        <v>0</v>
      </c>
      <c r="P1257" t="s">
        <v>949</v>
      </c>
      <c r="Q1257" s="2">
        <v>0.7</v>
      </c>
      <c r="R1257">
        <v>0</v>
      </c>
      <c r="V1257" t="str">
        <f>VLOOKUP(H1257,'[1]팀별 출판사'!A:B,2,0)</f>
        <v>소설1팀</v>
      </c>
      <c r="W1257" s="6">
        <f t="shared" si="38"/>
        <v>0</v>
      </c>
      <c r="X1257" s="6">
        <f t="shared" si="39"/>
        <v>0</v>
      </c>
    </row>
    <row r="1258" spans="1:24" x14ac:dyDescent="0.3">
      <c r="A1258" t="s">
        <v>1920</v>
      </c>
      <c r="B1258" t="s">
        <v>2068</v>
      </c>
      <c r="C1258" t="s">
        <v>23</v>
      </c>
      <c r="D1258" t="s">
        <v>24</v>
      </c>
      <c r="E1258" t="s">
        <v>25</v>
      </c>
      <c r="F1258">
        <v>1</v>
      </c>
      <c r="G1258">
        <v>9791136941657</v>
      </c>
      <c r="H1258" t="s">
        <v>26</v>
      </c>
      <c r="I1258" t="s">
        <v>2069</v>
      </c>
      <c r="J1258" t="s">
        <v>2070</v>
      </c>
      <c r="K1258" t="s">
        <v>29</v>
      </c>
      <c r="L1258">
        <v>0</v>
      </c>
      <c r="M1258" t="s">
        <v>29</v>
      </c>
      <c r="N1258">
        <v>0</v>
      </c>
      <c r="O1258">
        <v>0</v>
      </c>
      <c r="P1258" t="s">
        <v>30</v>
      </c>
      <c r="Q1258" s="2">
        <v>0.7</v>
      </c>
      <c r="R1258">
        <v>0</v>
      </c>
      <c r="V1258" t="str">
        <f>VLOOKUP(H1258,'[1]팀별 출판사'!A:B,2,0)</f>
        <v>소설1팀</v>
      </c>
      <c r="W1258" s="6">
        <f t="shared" si="38"/>
        <v>0</v>
      </c>
      <c r="X1258" s="6">
        <f t="shared" si="39"/>
        <v>0</v>
      </c>
    </row>
    <row r="1259" spans="1:24" x14ac:dyDescent="0.3">
      <c r="A1259" t="s">
        <v>1920</v>
      </c>
      <c r="B1259" t="s">
        <v>2071</v>
      </c>
      <c r="C1259" t="s">
        <v>23</v>
      </c>
      <c r="D1259" t="s">
        <v>24</v>
      </c>
      <c r="E1259" t="s">
        <v>25</v>
      </c>
      <c r="F1259">
        <v>1</v>
      </c>
      <c r="G1259">
        <v>9791136938091</v>
      </c>
      <c r="H1259" t="s">
        <v>263</v>
      </c>
      <c r="I1259" t="s">
        <v>2072</v>
      </c>
      <c r="J1259" t="s">
        <v>265</v>
      </c>
      <c r="K1259" t="s">
        <v>29</v>
      </c>
      <c r="L1259" s="1">
        <v>3700</v>
      </c>
      <c r="M1259" t="s">
        <v>70</v>
      </c>
      <c r="N1259">
        <v>2.56</v>
      </c>
      <c r="O1259">
        <v>2.56</v>
      </c>
      <c r="P1259" t="s">
        <v>71</v>
      </c>
      <c r="Q1259" s="2">
        <v>0.7</v>
      </c>
      <c r="R1259">
        <v>1.79</v>
      </c>
      <c r="S1259" t="s">
        <v>29</v>
      </c>
      <c r="T1259" s="1">
        <v>2609</v>
      </c>
      <c r="U1259" s="3">
        <v>1459.8088700000001</v>
      </c>
      <c r="V1259" t="str">
        <f>VLOOKUP(H1259,'[1]팀별 출판사'!A:B,2,0)</f>
        <v>소설2팀</v>
      </c>
      <c r="W1259" s="6">
        <f t="shared" si="38"/>
        <v>782.69999999999993</v>
      </c>
      <c r="X1259" s="6">
        <f t="shared" si="39"/>
        <v>1826.3000000000002</v>
      </c>
    </row>
    <row r="1260" spans="1:24" x14ac:dyDescent="0.3">
      <c r="A1260" t="s">
        <v>1920</v>
      </c>
      <c r="B1260" t="s">
        <v>2071</v>
      </c>
      <c r="C1260" t="s">
        <v>23</v>
      </c>
      <c r="D1260" t="s">
        <v>24</v>
      </c>
      <c r="E1260" t="s">
        <v>25</v>
      </c>
      <c r="F1260">
        <v>1</v>
      </c>
      <c r="G1260">
        <v>9791136938107</v>
      </c>
      <c r="H1260" t="s">
        <v>263</v>
      </c>
      <c r="I1260" t="s">
        <v>2073</v>
      </c>
      <c r="J1260" t="s">
        <v>265</v>
      </c>
      <c r="K1260" t="s">
        <v>29</v>
      </c>
      <c r="L1260" s="1">
        <v>3700</v>
      </c>
      <c r="M1260" t="s">
        <v>70</v>
      </c>
      <c r="N1260">
        <v>2.56</v>
      </c>
      <c r="O1260">
        <v>2.56</v>
      </c>
      <c r="P1260" t="s">
        <v>71</v>
      </c>
      <c r="Q1260" s="2">
        <v>0.7</v>
      </c>
      <c r="R1260">
        <v>1.79</v>
      </c>
      <c r="S1260" t="s">
        <v>29</v>
      </c>
      <c r="T1260" s="1">
        <v>2609</v>
      </c>
      <c r="U1260" s="3">
        <v>1459.8088700000001</v>
      </c>
      <c r="V1260" t="str">
        <f>VLOOKUP(H1260,'[1]팀별 출판사'!A:B,2,0)</f>
        <v>소설2팀</v>
      </c>
      <c r="W1260" s="6">
        <f t="shared" si="38"/>
        <v>782.69999999999993</v>
      </c>
      <c r="X1260" s="6">
        <f t="shared" si="39"/>
        <v>1826.3000000000002</v>
      </c>
    </row>
    <row r="1261" spans="1:24" x14ac:dyDescent="0.3">
      <c r="A1261" t="s">
        <v>1920</v>
      </c>
      <c r="B1261" t="s">
        <v>2071</v>
      </c>
      <c r="C1261" t="s">
        <v>23</v>
      </c>
      <c r="D1261" t="s">
        <v>24</v>
      </c>
      <c r="E1261" t="s">
        <v>25</v>
      </c>
      <c r="F1261">
        <v>1</v>
      </c>
      <c r="G1261">
        <v>9791136938121</v>
      </c>
      <c r="H1261" t="s">
        <v>263</v>
      </c>
      <c r="I1261" t="s">
        <v>2074</v>
      </c>
      <c r="J1261" t="s">
        <v>265</v>
      </c>
      <c r="K1261" t="s">
        <v>29</v>
      </c>
      <c r="L1261" s="1">
        <v>3700</v>
      </c>
      <c r="M1261" t="s">
        <v>70</v>
      </c>
      <c r="N1261">
        <v>2.56</v>
      </c>
      <c r="O1261">
        <v>2.56</v>
      </c>
      <c r="P1261" t="s">
        <v>71</v>
      </c>
      <c r="Q1261" s="2">
        <v>0.7</v>
      </c>
      <c r="R1261">
        <v>1.79</v>
      </c>
      <c r="S1261" t="s">
        <v>29</v>
      </c>
      <c r="T1261" s="1">
        <v>2609</v>
      </c>
      <c r="U1261" s="3">
        <v>1459.8088700000001</v>
      </c>
      <c r="V1261" t="str">
        <f>VLOOKUP(H1261,'[1]팀별 출판사'!A:B,2,0)</f>
        <v>소설2팀</v>
      </c>
      <c r="W1261" s="6">
        <f t="shared" si="38"/>
        <v>782.69999999999993</v>
      </c>
      <c r="X1261" s="6">
        <f t="shared" si="39"/>
        <v>1826.3000000000002</v>
      </c>
    </row>
    <row r="1262" spans="1:24" x14ac:dyDescent="0.3">
      <c r="A1262" t="s">
        <v>1920</v>
      </c>
      <c r="B1262" t="s">
        <v>2071</v>
      </c>
      <c r="C1262" t="s">
        <v>23</v>
      </c>
      <c r="D1262" t="s">
        <v>24</v>
      </c>
      <c r="E1262" t="s">
        <v>25</v>
      </c>
      <c r="F1262">
        <v>1</v>
      </c>
      <c r="G1262">
        <v>9791136958143</v>
      </c>
      <c r="H1262" t="s">
        <v>263</v>
      </c>
      <c r="I1262" t="s">
        <v>2075</v>
      </c>
      <c r="J1262" t="s">
        <v>265</v>
      </c>
      <c r="K1262" t="s">
        <v>29</v>
      </c>
      <c r="L1262" s="1">
        <v>2000</v>
      </c>
      <c r="M1262" t="s">
        <v>70</v>
      </c>
      <c r="N1262">
        <v>1.38</v>
      </c>
      <c r="O1262">
        <v>1.38</v>
      </c>
      <c r="P1262" t="s">
        <v>71</v>
      </c>
      <c r="Q1262" s="2">
        <v>0.7</v>
      </c>
      <c r="R1262">
        <v>0.97</v>
      </c>
      <c r="S1262" t="s">
        <v>29</v>
      </c>
      <c r="T1262" s="1">
        <v>1414</v>
      </c>
      <c r="U1262" s="3">
        <v>1459.8088700000001</v>
      </c>
      <c r="V1262" t="str">
        <f>VLOOKUP(H1262,'[1]팀별 출판사'!A:B,2,0)</f>
        <v>소설2팀</v>
      </c>
      <c r="W1262" s="6">
        <f t="shared" si="38"/>
        <v>424.2</v>
      </c>
      <c r="X1262" s="6">
        <f t="shared" si="39"/>
        <v>989.8</v>
      </c>
    </row>
    <row r="1263" spans="1:24" x14ac:dyDescent="0.3">
      <c r="A1263" t="s">
        <v>1920</v>
      </c>
      <c r="B1263" t="s">
        <v>2071</v>
      </c>
      <c r="C1263" t="s">
        <v>23</v>
      </c>
      <c r="D1263" t="s">
        <v>24</v>
      </c>
      <c r="E1263" t="s">
        <v>25</v>
      </c>
      <c r="F1263">
        <v>1</v>
      </c>
      <c r="G1263">
        <v>9791172923365</v>
      </c>
      <c r="H1263" t="s">
        <v>263</v>
      </c>
      <c r="I1263" t="s">
        <v>2076</v>
      </c>
      <c r="J1263" t="s">
        <v>265</v>
      </c>
      <c r="K1263" t="s">
        <v>29</v>
      </c>
      <c r="L1263" s="1">
        <v>1000</v>
      </c>
      <c r="M1263" t="s">
        <v>70</v>
      </c>
      <c r="N1263">
        <v>0.69</v>
      </c>
      <c r="O1263">
        <v>0.69</v>
      </c>
      <c r="P1263" t="s">
        <v>71</v>
      </c>
      <c r="Q1263" s="2">
        <v>0.7</v>
      </c>
      <c r="R1263">
        <v>0.48</v>
      </c>
      <c r="S1263" t="s">
        <v>29</v>
      </c>
      <c r="T1263">
        <v>700</v>
      </c>
      <c r="U1263" s="3">
        <v>1459.8088700000001</v>
      </c>
      <c r="V1263" t="str">
        <f>VLOOKUP(H1263,'[1]팀별 출판사'!A:B,2,0)</f>
        <v>소설2팀</v>
      </c>
      <c r="W1263" s="6">
        <f t="shared" si="38"/>
        <v>210</v>
      </c>
      <c r="X1263" s="6">
        <f t="shared" si="39"/>
        <v>490</v>
      </c>
    </row>
    <row r="1264" spans="1:24" x14ac:dyDescent="0.3">
      <c r="A1264" t="s">
        <v>1920</v>
      </c>
      <c r="B1264" t="s">
        <v>2071</v>
      </c>
      <c r="C1264" t="s">
        <v>23</v>
      </c>
      <c r="D1264" t="s">
        <v>24</v>
      </c>
      <c r="E1264" t="s">
        <v>25</v>
      </c>
      <c r="F1264">
        <v>1</v>
      </c>
      <c r="G1264">
        <v>9791173786402</v>
      </c>
      <c r="H1264" t="s">
        <v>263</v>
      </c>
      <c r="I1264" t="s">
        <v>2077</v>
      </c>
      <c r="J1264" t="s">
        <v>265</v>
      </c>
      <c r="K1264" t="s">
        <v>29</v>
      </c>
      <c r="L1264" s="1">
        <v>1000</v>
      </c>
      <c r="M1264" t="s">
        <v>70</v>
      </c>
      <c r="N1264">
        <v>0.69</v>
      </c>
      <c r="O1264">
        <v>0.69</v>
      </c>
      <c r="P1264" t="s">
        <v>71</v>
      </c>
      <c r="Q1264" s="2">
        <v>0.7</v>
      </c>
      <c r="R1264">
        <v>0.48</v>
      </c>
      <c r="S1264" t="s">
        <v>29</v>
      </c>
      <c r="T1264">
        <v>700</v>
      </c>
      <c r="U1264" s="3">
        <v>1459.8088700000001</v>
      </c>
      <c r="V1264" t="str">
        <f>VLOOKUP(H1264,'[1]팀별 출판사'!A:B,2,0)</f>
        <v>소설2팀</v>
      </c>
      <c r="W1264" s="6">
        <f t="shared" si="38"/>
        <v>210</v>
      </c>
      <c r="X1264" s="6">
        <f t="shared" si="39"/>
        <v>490</v>
      </c>
    </row>
    <row r="1265" spans="1:24" x14ac:dyDescent="0.3">
      <c r="A1265" t="s">
        <v>1920</v>
      </c>
      <c r="B1265" t="s">
        <v>2078</v>
      </c>
      <c r="C1265" t="s">
        <v>23</v>
      </c>
      <c r="D1265" t="s">
        <v>24</v>
      </c>
      <c r="E1265" t="s">
        <v>25</v>
      </c>
      <c r="F1265">
        <v>1</v>
      </c>
      <c r="G1265">
        <v>9791136925725</v>
      </c>
      <c r="H1265" t="s">
        <v>26</v>
      </c>
      <c r="I1265" t="s">
        <v>2079</v>
      </c>
      <c r="J1265" t="s">
        <v>62</v>
      </c>
      <c r="K1265" t="s">
        <v>29</v>
      </c>
      <c r="L1265" s="1">
        <v>3200</v>
      </c>
      <c r="M1265" t="s">
        <v>29</v>
      </c>
      <c r="N1265" s="1">
        <v>3200</v>
      </c>
      <c r="O1265" s="1">
        <v>3200</v>
      </c>
      <c r="P1265" t="s">
        <v>30</v>
      </c>
      <c r="Q1265" s="2">
        <v>0.7</v>
      </c>
      <c r="R1265" s="1">
        <v>2240</v>
      </c>
      <c r="S1265" t="s">
        <v>29</v>
      </c>
      <c r="T1265" s="1">
        <v>2240</v>
      </c>
      <c r="V1265" t="str">
        <f>VLOOKUP(H1265,'[1]팀별 출판사'!A:B,2,0)</f>
        <v>소설1팀</v>
      </c>
      <c r="W1265" s="6">
        <f t="shared" si="38"/>
        <v>0</v>
      </c>
      <c r="X1265" s="6">
        <f t="shared" si="39"/>
        <v>2240</v>
      </c>
    </row>
    <row r="1266" spans="1:24" x14ac:dyDescent="0.3">
      <c r="A1266" t="s">
        <v>1920</v>
      </c>
      <c r="B1266" t="s">
        <v>2080</v>
      </c>
      <c r="C1266" t="s">
        <v>23</v>
      </c>
      <c r="D1266" t="s">
        <v>24</v>
      </c>
      <c r="E1266" t="s">
        <v>25</v>
      </c>
      <c r="F1266">
        <v>1</v>
      </c>
      <c r="G1266">
        <v>9791170100171</v>
      </c>
      <c r="H1266" t="s">
        <v>67</v>
      </c>
      <c r="I1266" t="s">
        <v>2081</v>
      </c>
      <c r="J1266" t="s">
        <v>107</v>
      </c>
      <c r="K1266" t="s">
        <v>29</v>
      </c>
      <c r="L1266" s="1">
        <v>2500</v>
      </c>
      <c r="M1266" t="s">
        <v>29</v>
      </c>
      <c r="N1266" s="1">
        <v>2500</v>
      </c>
      <c r="O1266" s="1">
        <v>2500</v>
      </c>
      <c r="P1266" t="s">
        <v>30</v>
      </c>
      <c r="Q1266" s="2">
        <v>0.7</v>
      </c>
      <c r="R1266" s="1">
        <v>1750</v>
      </c>
      <c r="S1266" t="s">
        <v>29</v>
      </c>
      <c r="T1266" s="1">
        <v>1750</v>
      </c>
      <c r="V1266" t="str">
        <f>VLOOKUP(H1266,'[1]팀별 출판사'!A:B,2,0)</f>
        <v>소설1팀</v>
      </c>
      <c r="W1266" s="6">
        <f t="shared" si="38"/>
        <v>0</v>
      </c>
      <c r="X1266" s="6">
        <f t="shared" si="39"/>
        <v>1750</v>
      </c>
    </row>
    <row r="1267" spans="1:24" x14ac:dyDescent="0.3">
      <c r="A1267" t="s">
        <v>1920</v>
      </c>
      <c r="B1267" t="s">
        <v>2082</v>
      </c>
      <c r="C1267" t="s">
        <v>23</v>
      </c>
      <c r="D1267" t="s">
        <v>24</v>
      </c>
      <c r="E1267" t="s">
        <v>25</v>
      </c>
      <c r="F1267">
        <v>1</v>
      </c>
      <c r="G1267" t="s">
        <v>2083</v>
      </c>
      <c r="H1267" t="s">
        <v>208</v>
      </c>
      <c r="I1267" t="s">
        <v>2084</v>
      </c>
      <c r="J1267" t="s">
        <v>210</v>
      </c>
      <c r="K1267" t="s">
        <v>29</v>
      </c>
      <c r="L1267" s="1">
        <v>2000</v>
      </c>
      <c r="M1267" t="s">
        <v>29</v>
      </c>
      <c r="N1267" s="1">
        <v>2000</v>
      </c>
      <c r="O1267" s="1">
        <v>2000</v>
      </c>
      <c r="P1267" t="s">
        <v>30</v>
      </c>
      <c r="Q1267" s="2">
        <v>0.7</v>
      </c>
      <c r="R1267" s="1">
        <v>1400</v>
      </c>
      <c r="S1267" t="s">
        <v>29</v>
      </c>
      <c r="T1267" s="1">
        <v>1400</v>
      </c>
      <c r="V1267" t="str">
        <f>VLOOKUP(H1267,'[1]팀별 출판사'!A:B,2,0)</f>
        <v>소설1팀</v>
      </c>
      <c r="W1267" s="6">
        <f t="shared" si="38"/>
        <v>0</v>
      </c>
      <c r="X1267" s="6">
        <f t="shared" si="39"/>
        <v>1400</v>
      </c>
    </row>
    <row r="1268" spans="1:24" x14ac:dyDescent="0.3">
      <c r="A1268" t="s">
        <v>1920</v>
      </c>
      <c r="B1268" t="s">
        <v>2085</v>
      </c>
      <c r="C1268" t="s">
        <v>23</v>
      </c>
      <c r="D1268" t="s">
        <v>24</v>
      </c>
      <c r="E1268" t="s">
        <v>25</v>
      </c>
      <c r="F1268">
        <v>1</v>
      </c>
      <c r="G1268">
        <v>9791133102778</v>
      </c>
      <c r="H1268" t="s">
        <v>32</v>
      </c>
      <c r="I1268" t="s">
        <v>2086</v>
      </c>
      <c r="J1268" t="s">
        <v>51</v>
      </c>
      <c r="K1268" t="s">
        <v>29</v>
      </c>
      <c r="L1268" s="1">
        <v>3000</v>
      </c>
      <c r="M1268" t="s">
        <v>29</v>
      </c>
      <c r="N1268" s="1">
        <v>3000</v>
      </c>
      <c r="O1268" s="1">
        <v>3000</v>
      </c>
      <c r="P1268" t="s">
        <v>30</v>
      </c>
      <c r="Q1268" s="2">
        <v>0.7</v>
      </c>
      <c r="R1268" s="1">
        <v>2100</v>
      </c>
      <c r="S1268" t="s">
        <v>29</v>
      </c>
      <c r="T1268" s="1">
        <v>2100</v>
      </c>
      <c r="V1268" t="str">
        <f>VLOOKUP(H1268,'[1]팀별 출판사'!A:B,2,0)</f>
        <v>소설1팀</v>
      </c>
      <c r="W1268" s="6">
        <f t="shared" si="38"/>
        <v>0</v>
      </c>
      <c r="X1268" s="6">
        <f t="shared" si="39"/>
        <v>2100</v>
      </c>
    </row>
    <row r="1269" spans="1:24" x14ac:dyDescent="0.3">
      <c r="A1269" t="s">
        <v>1920</v>
      </c>
      <c r="B1269" t="s">
        <v>2087</v>
      </c>
      <c r="C1269" t="s">
        <v>23</v>
      </c>
      <c r="D1269" t="s">
        <v>24</v>
      </c>
      <c r="E1269" t="s">
        <v>25</v>
      </c>
      <c r="F1269">
        <v>1</v>
      </c>
      <c r="G1269">
        <v>9791133183975</v>
      </c>
      <c r="H1269" t="s">
        <v>26</v>
      </c>
      <c r="I1269" t="s">
        <v>1715</v>
      </c>
      <c r="J1269" t="s">
        <v>1716</v>
      </c>
      <c r="K1269" t="s">
        <v>29</v>
      </c>
      <c r="L1269">
        <v>0</v>
      </c>
      <c r="M1269" t="s">
        <v>29</v>
      </c>
      <c r="N1269">
        <v>0</v>
      </c>
      <c r="O1269">
        <v>0</v>
      </c>
      <c r="P1269" t="s">
        <v>30</v>
      </c>
      <c r="Q1269" s="2">
        <v>0.7</v>
      </c>
      <c r="R1269">
        <v>0</v>
      </c>
      <c r="V1269" t="str">
        <f>VLOOKUP(H1269,'[1]팀별 출판사'!A:B,2,0)</f>
        <v>소설1팀</v>
      </c>
      <c r="W1269" s="6">
        <f t="shared" si="38"/>
        <v>0</v>
      </c>
      <c r="X1269" s="6">
        <f t="shared" si="39"/>
        <v>0</v>
      </c>
    </row>
    <row r="1270" spans="1:24" x14ac:dyDescent="0.3">
      <c r="A1270" t="s">
        <v>1920</v>
      </c>
      <c r="B1270" t="s">
        <v>2088</v>
      </c>
      <c r="C1270" t="s">
        <v>23</v>
      </c>
      <c r="D1270" t="s">
        <v>24</v>
      </c>
      <c r="E1270" t="s">
        <v>25</v>
      </c>
      <c r="F1270">
        <v>1</v>
      </c>
      <c r="G1270">
        <v>9791133144914</v>
      </c>
      <c r="H1270" t="s">
        <v>32</v>
      </c>
      <c r="I1270" t="s">
        <v>1822</v>
      </c>
      <c r="J1270" t="s">
        <v>1192</v>
      </c>
      <c r="K1270" t="s">
        <v>29</v>
      </c>
      <c r="L1270">
        <v>0</v>
      </c>
      <c r="M1270" t="s">
        <v>29</v>
      </c>
      <c r="N1270">
        <v>0</v>
      </c>
      <c r="O1270">
        <v>0</v>
      </c>
      <c r="P1270" t="s">
        <v>30</v>
      </c>
      <c r="Q1270" s="2">
        <v>0.7</v>
      </c>
      <c r="R1270">
        <v>0</v>
      </c>
      <c r="V1270" t="str">
        <f>VLOOKUP(H1270,'[1]팀별 출판사'!A:B,2,0)</f>
        <v>소설1팀</v>
      </c>
      <c r="W1270" s="6">
        <f t="shared" si="38"/>
        <v>0</v>
      </c>
      <c r="X1270" s="6">
        <f t="shared" si="39"/>
        <v>0</v>
      </c>
    </row>
    <row r="1271" spans="1:24" x14ac:dyDescent="0.3">
      <c r="A1271" t="s">
        <v>1920</v>
      </c>
      <c r="B1271" t="s">
        <v>2089</v>
      </c>
      <c r="C1271" t="s">
        <v>23</v>
      </c>
      <c r="D1271" t="s">
        <v>24</v>
      </c>
      <c r="E1271" t="s">
        <v>25</v>
      </c>
      <c r="F1271">
        <v>1</v>
      </c>
      <c r="G1271">
        <v>9791136958662</v>
      </c>
      <c r="H1271" t="s">
        <v>79</v>
      </c>
      <c r="I1271" t="s">
        <v>396</v>
      </c>
      <c r="J1271" t="s">
        <v>81</v>
      </c>
      <c r="K1271" t="s">
        <v>29</v>
      </c>
      <c r="L1271">
        <v>0</v>
      </c>
      <c r="M1271" t="s">
        <v>29</v>
      </c>
      <c r="N1271">
        <v>0</v>
      </c>
      <c r="O1271">
        <v>0</v>
      </c>
      <c r="P1271" t="s">
        <v>30</v>
      </c>
      <c r="Q1271" s="2">
        <v>0.7</v>
      </c>
      <c r="R1271">
        <v>0</v>
      </c>
      <c r="V1271" t="str">
        <f>VLOOKUP(H1271,'[1]팀별 출판사'!A:B,2,0)</f>
        <v>소설1팀</v>
      </c>
      <c r="W1271" s="6">
        <f t="shared" si="38"/>
        <v>0</v>
      </c>
      <c r="X1271" s="6">
        <f t="shared" si="39"/>
        <v>0</v>
      </c>
    </row>
    <row r="1272" spans="1:24" x14ac:dyDescent="0.3">
      <c r="A1272" t="s">
        <v>1920</v>
      </c>
      <c r="B1272" t="s">
        <v>2090</v>
      </c>
      <c r="C1272" t="s">
        <v>23</v>
      </c>
      <c r="D1272" t="s">
        <v>24</v>
      </c>
      <c r="E1272" t="s">
        <v>25</v>
      </c>
      <c r="F1272">
        <v>1</v>
      </c>
      <c r="G1272">
        <v>9791173785092</v>
      </c>
      <c r="H1272" t="s">
        <v>26</v>
      </c>
      <c r="I1272" t="s">
        <v>327</v>
      </c>
      <c r="J1272" t="s">
        <v>62</v>
      </c>
      <c r="K1272" t="s">
        <v>29</v>
      </c>
      <c r="L1272">
        <v>0</v>
      </c>
      <c r="M1272" t="s">
        <v>29</v>
      </c>
      <c r="N1272">
        <v>0</v>
      </c>
      <c r="O1272">
        <v>0</v>
      </c>
      <c r="P1272" t="s">
        <v>30</v>
      </c>
      <c r="Q1272" s="2">
        <v>0.7</v>
      </c>
      <c r="R1272">
        <v>0</v>
      </c>
      <c r="V1272" t="str">
        <f>VLOOKUP(H1272,'[1]팀별 출판사'!A:B,2,0)</f>
        <v>소설1팀</v>
      </c>
      <c r="W1272" s="6">
        <f t="shared" si="38"/>
        <v>0</v>
      </c>
      <c r="X1272" s="6">
        <f t="shared" si="39"/>
        <v>0</v>
      </c>
    </row>
    <row r="1273" spans="1:24" x14ac:dyDescent="0.3">
      <c r="A1273" t="s">
        <v>1920</v>
      </c>
      <c r="B1273" t="s">
        <v>2091</v>
      </c>
      <c r="C1273" t="s">
        <v>23</v>
      </c>
      <c r="D1273" t="s">
        <v>24</v>
      </c>
      <c r="E1273" t="s">
        <v>25</v>
      </c>
      <c r="F1273">
        <v>1</v>
      </c>
      <c r="G1273">
        <v>9791133102785</v>
      </c>
      <c r="H1273" t="s">
        <v>32</v>
      </c>
      <c r="I1273" t="s">
        <v>2092</v>
      </c>
      <c r="J1273" t="s">
        <v>51</v>
      </c>
      <c r="K1273" t="s">
        <v>29</v>
      </c>
      <c r="L1273" s="1">
        <v>3000</v>
      </c>
      <c r="M1273" t="s">
        <v>29</v>
      </c>
      <c r="N1273" s="1">
        <v>3000</v>
      </c>
      <c r="O1273" s="1">
        <v>3000</v>
      </c>
      <c r="P1273" t="s">
        <v>30</v>
      </c>
      <c r="Q1273" s="2">
        <v>0.7</v>
      </c>
      <c r="R1273" s="1">
        <v>2100</v>
      </c>
      <c r="S1273" t="s">
        <v>29</v>
      </c>
      <c r="T1273" s="1">
        <v>2100</v>
      </c>
      <c r="V1273" t="str">
        <f>VLOOKUP(H1273,'[1]팀별 출판사'!A:B,2,0)</f>
        <v>소설1팀</v>
      </c>
      <c r="W1273" s="6">
        <f t="shared" si="38"/>
        <v>0</v>
      </c>
      <c r="X1273" s="6">
        <f t="shared" si="39"/>
        <v>2100</v>
      </c>
    </row>
    <row r="1274" spans="1:24" x14ac:dyDescent="0.3">
      <c r="A1274" t="s">
        <v>1920</v>
      </c>
      <c r="B1274" t="s">
        <v>2093</v>
      </c>
      <c r="C1274" t="s">
        <v>23</v>
      </c>
      <c r="D1274" t="s">
        <v>24</v>
      </c>
      <c r="E1274" t="s">
        <v>25</v>
      </c>
      <c r="F1274">
        <v>1</v>
      </c>
      <c r="G1274">
        <v>9791136946782</v>
      </c>
      <c r="H1274" t="s">
        <v>26</v>
      </c>
      <c r="I1274" t="s">
        <v>291</v>
      </c>
      <c r="J1274" t="s">
        <v>28</v>
      </c>
      <c r="K1274" t="s">
        <v>29</v>
      </c>
      <c r="L1274">
        <v>0</v>
      </c>
      <c r="M1274" t="s">
        <v>29</v>
      </c>
      <c r="N1274">
        <v>0</v>
      </c>
      <c r="O1274">
        <v>0</v>
      </c>
      <c r="P1274" t="s">
        <v>30</v>
      </c>
      <c r="Q1274" s="2">
        <v>0.7</v>
      </c>
      <c r="R1274">
        <v>0</v>
      </c>
      <c r="V1274" t="str">
        <f>VLOOKUP(H1274,'[1]팀별 출판사'!A:B,2,0)</f>
        <v>소설1팀</v>
      </c>
      <c r="W1274" s="6">
        <f t="shared" si="38"/>
        <v>0</v>
      </c>
      <c r="X1274" s="6">
        <f t="shared" si="39"/>
        <v>0</v>
      </c>
    </row>
    <row r="1275" spans="1:24" x14ac:dyDescent="0.3">
      <c r="A1275" t="s">
        <v>1920</v>
      </c>
      <c r="B1275" t="s">
        <v>2094</v>
      </c>
      <c r="C1275" t="s">
        <v>23</v>
      </c>
      <c r="D1275" t="s">
        <v>24</v>
      </c>
      <c r="E1275" t="s">
        <v>25</v>
      </c>
      <c r="F1275">
        <v>1</v>
      </c>
      <c r="G1275">
        <v>9791136926814</v>
      </c>
      <c r="H1275" t="s">
        <v>26</v>
      </c>
      <c r="I1275" t="s">
        <v>2095</v>
      </c>
      <c r="J1275" t="s">
        <v>62</v>
      </c>
      <c r="K1275" t="s">
        <v>29</v>
      </c>
      <c r="L1275" s="1">
        <v>3200</v>
      </c>
      <c r="M1275" t="s">
        <v>29</v>
      </c>
      <c r="N1275" s="1">
        <v>3200</v>
      </c>
      <c r="O1275" s="1">
        <v>3200</v>
      </c>
      <c r="P1275" t="s">
        <v>30</v>
      </c>
      <c r="Q1275" s="2">
        <v>0.7</v>
      </c>
      <c r="R1275" s="1">
        <v>2240</v>
      </c>
      <c r="S1275" t="s">
        <v>29</v>
      </c>
      <c r="T1275" s="1">
        <v>2240</v>
      </c>
      <c r="V1275" t="str">
        <f>VLOOKUP(H1275,'[1]팀별 출판사'!A:B,2,0)</f>
        <v>소설1팀</v>
      </c>
      <c r="W1275" s="6">
        <f t="shared" si="38"/>
        <v>0</v>
      </c>
      <c r="X1275" s="6">
        <f t="shared" si="39"/>
        <v>2240</v>
      </c>
    </row>
    <row r="1276" spans="1:24" x14ac:dyDescent="0.3">
      <c r="A1276" t="s">
        <v>1920</v>
      </c>
      <c r="B1276" t="s">
        <v>2096</v>
      </c>
      <c r="C1276" t="s">
        <v>23</v>
      </c>
      <c r="D1276" t="s">
        <v>24</v>
      </c>
      <c r="E1276" t="s">
        <v>25</v>
      </c>
      <c r="F1276">
        <v>1</v>
      </c>
      <c r="G1276">
        <v>9791175301955</v>
      </c>
      <c r="H1276" t="s">
        <v>26</v>
      </c>
      <c r="I1276" t="s">
        <v>591</v>
      </c>
      <c r="J1276" t="s">
        <v>256</v>
      </c>
      <c r="K1276" t="s">
        <v>29</v>
      </c>
      <c r="L1276">
        <v>0</v>
      </c>
      <c r="M1276" t="s">
        <v>29</v>
      </c>
      <c r="N1276">
        <v>0</v>
      </c>
      <c r="O1276">
        <v>0</v>
      </c>
      <c r="P1276" t="s">
        <v>30</v>
      </c>
      <c r="Q1276" s="2">
        <v>0.7</v>
      </c>
      <c r="R1276">
        <v>0</v>
      </c>
      <c r="V1276" t="str">
        <f>VLOOKUP(H1276,'[1]팀별 출판사'!A:B,2,0)</f>
        <v>소설1팀</v>
      </c>
      <c r="W1276" s="6">
        <f t="shared" si="38"/>
        <v>0</v>
      </c>
      <c r="X1276" s="6">
        <f t="shared" si="39"/>
        <v>0</v>
      </c>
    </row>
    <row r="1277" spans="1:24" x14ac:dyDescent="0.3">
      <c r="A1277" t="s">
        <v>1920</v>
      </c>
      <c r="B1277" t="s">
        <v>2097</v>
      </c>
      <c r="C1277" t="s">
        <v>23</v>
      </c>
      <c r="D1277" t="s">
        <v>24</v>
      </c>
      <c r="E1277" t="s">
        <v>25</v>
      </c>
      <c r="F1277">
        <v>1</v>
      </c>
      <c r="G1277">
        <v>9791170100188</v>
      </c>
      <c r="H1277" t="s">
        <v>67</v>
      </c>
      <c r="I1277" t="s">
        <v>2098</v>
      </c>
      <c r="J1277" t="s">
        <v>107</v>
      </c>
      <c r="K1277" t="s">
        <v>29</v>
      </c>
      <c r="L1277" s="1">
        <v>2500</v>
      </c>
      <c r="M1277" t="s">
        <v>29</v>
      </c>
      <c r="N1277" s="1">
        <v>2500</v>
      </c>
      <c r="O1277" s="1">
        <v>2500</v>
      </c>
      <c r="P1277" t="s">
        <v>30</v>
      </c>
      <c r="Q1277" s="2">
        <v>0.7</v>
      </c>
      <c r="R1277" s="1">
        <v>1750</v>
      </c>
      <c r="S1277" t="s">
        <v>29</v>
      </c>
      <c r="T1277" s="1">
        <v>1750</v>
      </c>
      <c r="V1277" t="str">
        <f>VLOOKUP(H1277,'[1]팀별 출판사'!A:B,2,0)</f>
        <v>소설1팀</v>
      </c>
      <c r="W1277" s="6">
        <f t="shared" si="38"/>
        <v>0</v>
      </c>
      <c r="X1277" s="6">
        <f t="shared" si="39"/>
        <v>1750</v>
      </c>
    </row>
    <row r="1278" spans="1:24" x14ac:dyDescent="0.3">
      <c r="A1278" t="s">
        <v>1920</v>
      </c>
      <c r="B1278" t="s">
        <v>2099</v>
      </c>
      <c r="C1278" t="s">
        <v>23</v>
      </c>
      <c r="D1278" t="s">
        <v>24</v>
      </c>
      <c r="E1278" t="s">
        <v>25</v>
      </c>
      <c r="F1278">
        <v>1</v>
      </c>
      <c r="G1278">
        <v>9791173782886</v>
      </c>
      <c r="H1278" t="s">
        <v>26</v>
      </c>
      <c r="I1278" t="s">
        <v>2100</v>
      </c>
      <c r="J1278" t="s">
        <v>284</v>
      </c>
      <c r="K1278" t="s">
        <v>29</v>
      </c>
      <c r="L1278" s="1">
        <v>3200</v>
      </c>
      <c r="M1278" t="s">
        <v>29</v>
      </c>
      <c r="N1278" s="1">
        <v>3200</v>
      </c>
      <c r="O1278" s="1">
        <v>3200</v>
      </c>
      <c r="P1278" t="s">
        <v>30</v>
      </c>
      <c r="Q1278" s="2">
        <v>0.7</v>
      </c>
      <c r="R1278" s="1">
        <v>2240</v>
      </c>
      <c r="S1278" t="s">
        <v>29</v>
      </c>
      <c r="T1278" s="1">
        <v>2240</v>
      </c>
      <c r="V1278" t="str">
        <f>VLOOKUP(H1278,'[1]팀별 출판사'!A:B,2,0)</f>
        <v>소설1팀</v>
      </c>
      <c r="W1278" s="6">
        <f t="shared" si="38"/>
        <v>0</v>
      </c>
      <c r="X1278" s="6">
        <f t="shared" si="39"/>
        <v>2240</v>
      </c>
    </row>
    <row r="1279" spans="1:24" x14ac:dyDescent="0.3">
      <c r="A1279" t="s">
        <v>1920</v>
      </c>
      <c r="B1279" t="s">
        <v>2101</v>
      </c>
      <c r="C1279" t="s">
        <v>23</v>
      </c>
      <c r="D1279" t="s">
        <v>24</v>
      </c>
      <c r="E1279" t="s">
        <v>25</v>
      </c>
      <c r="F1279">
        <v>1</v>
      </c>
      <c r="G1279">
        <v>9791172924850</v>
      </c>
      <c r="H1279" t="s">
        <v>26</v>
      </c>
      <c r="I1279" t="s">
        <v>61</v>
      </c>
      <c r="J1279" t="s">
        <v>62</v>
      </c>
      <c r="K1279" t="s">
        <v>29</v>
      </c>
      <c r="L1279">
        <v>0</v>
      </c>
      <c r="M1279" t="s">
        <v>29</v>
      </c>
      <c r="N1279">
        <v>0</v>
      </c>
      <c r="O1279">
        <v>0</v>
      </c>
      <c r="P1279" t="s">
        <v>30</v>
      </c>
      <c r="Q1279" s="2">
        <v>0.7</v>
      </c>
      <c r="R1279">
        <v>0</v>
      </c>
      <c r="V1279" t="str">
        <f>VLOOKUP(H1279,'[1]팀별 출판사'!A:B,2,0)</f>
        <v>소설1팀</v>
      </c>
      <c r="W1279" s="6">
        <f t="shared" si="38"/>
        <v>0</v>
      </c>
      <c r="X1279" s="6">
        <f t="shared" si="39"/>
        <v>0</v>
      </c>
    </row>
    <row r="1280" spans="1:24" x14ac:dyDescent="0.3">
      <c r="A1280" t="s">
        <v>1920</v>
      </c>
      <c r="B1280" t="s">
        <v>2102</v>
      </c>
      <c r="C1280" t="s">
        <v>23</v>
      </c>
      <c r="D1280" t="s">
        <v>24</v>
      </c>
      <c r="E1280" t="s">
        <v>25</v>
      </c>
      <c r="F1280">
        <v>1</v>
      </c>
      <c r="G1280">
        <v>9791136946782</v>
      </c>
      <c r="H1280" t="s">
        <v>26</v>
      </c>
      <c r="I1280" t="s">
        <v>291</v>
      </c>
      <c r="J1280" t="s">
        <v>28</v>
      </c>
      <c r="K1280" t="s">
        <v>29</v>
      </c>
      <c r="L1280">
        <v>0</v>
      </c>
      <c r="M1280" t="s">
        <v>29</v>
      </c>
      <c r="N1280">
        <v>0</v>
      </c>
      <c r="O1280">
        <v>0</v>
      </c>
      <c r="P1280" t="s">
        <v>30</v>
      </c>
      <c r="Q1280" s="2">
        <v>0.7</v>
      </c>
      <c r="R1280">
        <v>0</v>
      </c>
      <c r="V1280" t="str">
        <f>VLOOKUP(H1280,'[1]팀별 출판사'!A:B,2,0)</f>
        <v>소설1팀</v>
      </c>
      <c r="W1280" s="6">
        <f t="shared" si="38"/>
        <v>0</v>
      </c>
      <c r="X1280" s="6">
        <f t="shared" si="39"/>
        <v>0</v>
      </c>
    </row>
    <row r="1281" spans="1:24" x14ac:dyDescent="0.3">
      <c r="A1281" t="s">
        <v>2103</v>
      </c>
      <c r="B1281" t="s">
        <v>2104</v>
      </c>
      <c r="C1281" t="s">
        <v>23</v>
      </c>
      <c r="D1281" t="s">
        <v>24</v>
      </c>
      <c r="E1281" t="s">
        <v>25</v>
      </c>
      <c r="F1281">
        <v>1</v>
      </c>
      <c r="G1281">
        <v>9791133141456</v>
      </c>
      <c r="H1281" t="s">
        <v>32</v>
      </c>
      <c r="I1281" t="s">
        <v>2105</v>
      </c>
      <c r="J1281" t="s">
        <v>511</v>
      </c>
      <c r="K1281" t="s">
        <v>29</v>
      </c>
      <c r="L1281" s="1">
        <v>2500</v>
      </c>
      <c r="M1281" t="s">
        <v>29</v>
      </c>
      <c r="N1281" s="1">
        <v>2500</v>
      </c>
      <c r="O1281" s="1">
        <v>2500</v>
      </c>
      <c r="P1281" t="s">
        <v>30</v>
      </c>
      <c r="Q1281" s="2">
        <v>0.7</v>
      </c>
      <c r="R1281" s="1">
        <v>1750</v>
      </c>
      <c r="S1281" t="s">
        <v>29</v>
      </c>
      <c r="T1281" s="1">
        <v>1750</v>
      </c>
      <c r="V1281" t="str">
        <f>VLOOKUP(H1281,'[1]팀별 출판사'!A:B,2,0)</f>
        <v>소설1팀</v>
      </c>
      <c r="W1281" s="6">
        <f t="shared" si="38"/>
        <v>0</v>
      </c>
      <c r="X1281" s="6">
        <f t="shared" si="39"/>
        <v>1750</v>
      </c>
    </row>
    <row r="1282" spans="1:24" x14ac:dyDescent="0.3">
      <c r="A1282" t="s">
        <v>2103</v>
      </c>
      <c r="B1282" t="s">
        <v>2106</v>
      </c>
      <c r="C1282" t="s">
        <v>23</v>
      </c>
      <c r="D1282" t="s">
        <v>24</v>
      </c>
      <c r="E1282" t="s">
        <v>25</v>
      </c>
      <c r="F1282">
        <v>1</v>
      </c>
      <c r="G1282">
        <v>9791136927255</v>
      </c>
      <c r="H1282" t="s">
        <v>36</v>
      </c>
      <c r="I1282" t="s">
        <v>90</v>
      </c>
      <c r="J1282" t="s">
        <v>38</v>
      </c>
      <c r="K1282" t="s">
        <v>29</v>
      </c>
      <c r="L1282" s="1">
        <v>3300</v>
      </c>
      <c r="M1282" t="s">
        <v>193</v>
      </c>
      <c r="N1282">
        <v>12.55</v>
      </c>
      <c r="O1282">
        <v>12.55</v>
      </c>
      <c r="P1282" t="s">
        <v>194</v>
      </c>
      <c r="Q1282" s="2">
        <v>0.7</v>
      </c>
      <c r="R1282">
        <v>8.7799999999999994</v>
      </c>
      <c r="S1282" t="s">
        <v>29</v>
      </c>
      <c r="T1282" s="1">
        <v>2469</v>
      </c>
      <c r="U1282">
        <v>280.53075999999999</v>
      </c>
      <c r="V1282" t="str">
        <f>VLOOKUP(H1282,'[1]팀별 출판사'!A:B,2,0)</f>
        <v>소설2팀</v>
      </c>
      <c r="W1282" s="6">
        <f t="shared" ref="W1282:W1345" si="40">IF(P1282="US", T1282*30%, 0)</f>
        <v>0</v>
      </c>
      <c r="X1282" s="6">
        <f t="shared" ref="X1282:X1345" si="41">T1282-W1282</f>
        <v>2469</v>
      </c>
    </row>
    <row r="1283" spans="1:24" x14ac:dyDescent="0.3">
      <c r="A1283" t="s">
        <v>2103</v>
      </c>
      <c r="B1283" t="s">
        <v>2107</v>
      </c>
      <c r="C1283" t="s">
        <v>23</v>
      </c>
      <c r="D1283" t="s">
        <v>24</v>
      </c>
      <c r="E1283" t="s">
        <v>25</v>
      </c>
      <c r="F1283">
        <v>1</v>
      </c>
      <c r="G1283">
        <v>9791136903778</v>
      </c>
      <c r="H1283" t="s">
        <v>26</v>
      </c>
      <c r="I1283" t="s">
        <v>2108</v>
      </c>
      <c r="J1283" t="s">
        <v>256</v>
      </c>
      <c r="K1283" t="s">
        <v>29</v>
      </c>
      <c r="L1283" s="1">
        <v>3200</v>
      </c>
      <c r="M1283" t="s">
        <v>29</v>
      </c>
      <c r="N1283" s="1">
        <v>3200</v>
      </c>
      <c r="O1283" s="1">
        <v>3200</v>
      </c>
      <c r="P1283" t="s">
        <v>30</v>
      </c>
      <c r="Q1283" s="2">
        <v>0.7</v>
      </c>
      <c r="R1283" s="1">
        <v>2240</v>
      </c>
      <c r="S1283" t="s">
        <v>29</v>
      </c>
      <c r="T1283" s="1">
        <v>2240</v>
      </c>
      <c r="V1283" t="str">
        <f>VLOOKUP(H1283,'[1]팀별 출판사'!A:B,2,0)</f>
        <v>소설1팀</v>
      </c>
      <c r="W1283" s="6">
        <f t="shared" si="40"/>
        <v>0</v>
      </c>
      <c r="X1283" s="6">
        <f t="shared" si="41"/>
        <v>2240</v>
      </c>
    </row>
    <row r="1284" spans="1:24" x14ac:dyDescent="0.3">
      <c r="A1284" t="s">
        <v>2103</v>
      </c>
      <c r="B1284" t="s">
        <v>2109</v>
      </c>
      <c r="C1284" t="s">
        <v>23</v>
      </c>
      <c r="D1284" t="s">
        <v>24</v>
      </c>
      <c r="E1284" t="s">
        <v>25</v>
      </c>
      <c r="F1284">
        <v>1</v>
      </c>
      <c r="G1284">
        <v>9791136988164</v>
      </c>
      <c r="H1284" t="s">
        <v>26</v>
      </c>
      <c r="I1284" t="s">
        <v>2110</v>
      </c>
      <c r="J1284" t="s">
        <v>28</v>
      </c>
      <c r="K1284" t="s">
        <v>29</v>
      </c>
      <c r="L1284" s="1">
        <v>3200</v>
      </c>
      <c r="M1284" t="s">
        <v>29</v>
      </c>
      <c r="N1284" s="1">
        <v>3200</v>
      </c>
      <c r="O1284" s="1">
        <v>3200</v>
      </c>
      <c r="P1284" t="s">
        <v>30</v>
      </c>
      <c r="Q1284" s="2">
        <v>0.7</v>
      </c>
      <c r="R1284" s="1">
        <v>2240</v>
      </c>
      <c r="S1284" t="s">
        <v>29</v>
      </c>
      <c r="T1284" s="1">
        <v>2240</v>
      </c>
      <c r="V1284" t="str">
        <f>VLOOKUP(H1284,'[1]팀별 출판사'!A:B,2,0)</f>
        <v>소설1팀</v>
      </c>
      <c r="W1284" s="6">
        <f t="shared" si="40"/>
        <v>0</v>
      </c>
      <c r="X1284" s="6">
        <f t="shared" si="41"/>
        <v>2240</v>
      </c>
    </row>
    <row r="1285" spans="1:24" x14ac:dyDescent="0.3">
      <c r="A1285" t="s">
        <v>2103</v>
      </c>
      <c r="B1285" t="s">
        <v>2111</v>
      </c>
      <c r="C1285" t="s">
        <v>23</v>
      </c>
      <c r="D1285" t="s">
        <v>24</v>
      </c>
      <c r="E1285" t="s">
        <v>25</v>
      </c>
      <c r="F1285">
        <v>1</v>
      </c>
      <c r="G1285" t="s">
        <v>350</v>
      </c>
      <c r="H1285" t="s">
        <v>208</v>
      </c>
      <c r="I1285" t="s">
        <v>2112</v>
      </c>
      <c r="J1285" t="s">
        <v>210</v>
      </c>
      <c r="K1285" t="s">
        <v>29</v>
      </c>
      <c r="L1285" s="1">
        <v>2000</v>
      </c>
      <c r="M1285" t="s">
        <v>29</v>
      </c>
      <c r="N1285" s="1">
        <v>2000</v>
      </c>
      <c r="O1285" s="1">
        <v>2000</v>
      </c>
      <c r="P1285" t="s">
        <v>30</v>
      </c>
      <c r="Q1285" s="2">
        <v>0.7</v>
      </c>
      <c r="R1285" s="1">
        <v>1400</v>
      </c>
      <c r="S1285" t="s">
        <v>29</v>
      </c>
      <c r="T1285" s="1">
        <v>1400</v>
      </c>
      <c r="V1285" t="str">
        <f>VLOOKUP(H1285,'[1]팀별 출판사'!A:B,2,0)</f>
        <v>소설1팀</v>
      </c>
      <c r="W1285" s="6">
        <f t="shared" si="40"/>
        <v>0</v>
      </c>
      <c r="X1285" s="6">
        <f t="shared" si="41"/>
        <v>1400</v>
      </c>
    </row>
    <row r="1286" spans="1:24" x14ac:dyDescent="0.3">
      <c r="A1286" t="s">
        <v>2103</v>
      </c>
      <c r="B1286" t="s">
        <v>2113</v>
      </c>
      <c r="C1286" t="s">
        <v>23</v>
      </c>
      <c r="D1286" t="s">
        <v>24</v>
      </c>
      <c r="E1286" t="s">
        <v>25</v>
      </c>
      <c r="F1286">
        <v>1</v>
      </c>
      <c r="G1286">
        <v>9791175302488</v>
      </c>
      <c r="H1286" t="s">
        <v>26</v>
      </c>
      <c r="I1286" t="s">
        <v>602</v>
      </c>
      <c r="J1286" t="s">
        <v>603</v>
      </c>
      <c r="K1286" t="s">
        <v>29</v>
      </c>
      <c r="L1286">
        <v>0</v>
      </c>
      <c r="M1286" t="s">
        <v>29</v>
      </c>
      <c r="N1286">
        <v>0</v>
      </c>
      <c r="O1286">
        <v>0</v>
      </c>
      <c r="P1286" t="s">
        <v>30</v>
      </c>
      <c r="Q1286" s="2">
        <v>0.7</v>
      </c>
      <c r="R1286">
        <v>0</v>
      </c>
      <c r="V1286" t="str">
        <f>VLOOKUP(H1286,'[1]팀별 출판사'!A:B,2,0)</f>
        <v>소설1팀</v>
      </c>
      <c r="W1286" s="6">
        <f t="shared" si="40"/>
        <v>0</v>
      </c>
      <c r="X1286" s="6">
        <f t="shared" si="41"/>
        <v>0</v>
      </c>
    </row>
    <row r="1287" spans="1:24" x14ac:dyDescent="0.3">
      <c r="A1287" t="s">
        <v>2103</v>
      </c>
      <c r="B1287" t="s">
        <v>2114</v>
      </c>
      <c r="C1287" t="s">
        <v>23</v>
      </c>
      <c r="D1287" t="s">
        <v>24</v>
      </c>
      <c r="E1287" t="s">
        <v>25</v>
      </c>
      <c r="F1287">
        <v>1</v>
      </c>
      <c r="G1287" t="s">
        <v>245</v>
      </c>
      <c r="H1287" t="s">
        <v>32</v>
      </c>
      <c r="I1287" t="s">
        <v>246</v>
      </c>
      <c r="J1287" t="s">
        <v>166</v>
      </c>
      <c r="K1287" t="s">
        <v>29</v>
      </c>
      <c r="L1287">
        <v>0</v>
      </c>
      <c r="M1287" t="s">
        <v>29</v>
      </c>
      <c r="N1287">
        <v>0</v>
      </c>
      <c r="O1287">
        <v>0</v>
      </c>
      <c r="P1287" t="s">
        <v>30</v>
      </c>
      <c r="Q1287" s="2">
        <v>0.7</v>
      </c>
      <c r="R1287">
        <v>0</v>
      </c>
      <c r="V1287" t="str">
        <f>VLOOKUP(H1287,'[1]팀별 출판사'!A:B,2,0)</f>
        <v>소설1팀</v>
      </c>
      <c r="W1287" s="6">
        <f t="shared" si="40"/>
        <v>0</v>
      </c>
      <c r="X1287" s="6">
        <f t="shared" si="41"/>
        <v>0</v>
      </c>
    </row>
    <row r="1288" spans="1:24" x14ac:dyDescent="0.3">
      <c r="A1288" t="s">
        <v>2103</v>
      </c>
      <c r="B1288" t="s">
        <v>2115</v>
      </c>
      <c r="C1288" t="s">
        <v>23</v>
      </c>
      <c r="D1288" t="s">
        <v>24</v>
      </c>
      <c r="E1288" t="s">
        <v>25</v>
      </c>
      <c r="F1288">
        <v>1</v>
      </c>
      <c r="G1288">
        <v>9791170100546</v>
      </c>
      <c r="H1288" t="s">
        <v>67</v>
      </c>
      <c r="I1288" t="s">
        <v>428</v>
      </c>
      <c r="J1288" t="s">
        <v>429</v>
      </c>
      <c r="K1288" t="s">
        <v>29</v>
      </c>
      <c r="L1288">
        <v>0</v>
      </c>
      <c r="M1288" t="s">
        <v>29</v>
      </c>
      <c r="N1288">
        <v>0</v>
      </c>
      <c r="O1288">
        <v>0</v>
      </c>
      <c r="P1288" t="s">
        <v>30</v>
      </c>
      <c r="Q1288" s="2">
        <v>0.7</v>
      </c>
      <c r="R1288">
        <v>0</v>
      </c>
      <c r="V1288" t="str">
        <f>VLOOKUP(H1288,'[1]팀별 출판사'!A:B,2,0)</f>
        <v>소설1팀</v>
      </c>
      <c r="W1288" s="6">
        <f t="shared" si="40"/>
        <v>0</v>
      </c>
      <c r="X1288" s="6">
        <f t="shared" si="41"/>
        <v>0</v>
      </c>
    </row>
    <row r="1289" spans="1:24" x14ac:dyDescent="0.3">
      <c r="A1289" t="s">
        <v>2103</v>
      </c>
      <c r="B1289" t="s">
        <v>2116</v>
      </c>
      <c r="C1289" t="s">
        <v>23</v>
      </c>
      <c r="D1289" t="s">
        <v>24</v>
      </c>
      <c r="E1289" t="s">
        <v>25</v>
      </c>
      <c r="F1289">
        <v>1</v>
      </c>
      <c r="G1289">
        <v>9791136942142</v>
      </c>
      <c r="H1289" t="s">
        <v>26</v>
      </c>
      <c r="I1289" t="s">
        <v>180</v>
      </c>
      <c r="J1289" t="s">
        <v>46</v>
      </c>
      <c r="K1289" t="s">
        <v>29</v>
      </c>
      <c r="L1289">
        <v>0</v>
      </c>
      <c r="M1289" t="s">
        <v>47</v>
      </c>
      <c r="N1289">
        <v>0</v>
      </c>
      <c r="O1289">
        <v>0</v>
      </c>
      <c r="P1289" t="s">
        <v>48</v>
      </c>
      <c r="Q1289" s="2">
        <v>0.7</v>
      </c>
      <c r="R1289">
        <v>0</v>
      </c>
      <c r="V1289" t="str">
        <f>VLOOKUP(H1289,'[1]팀별 출판사'!A:B,2,0)</f>
        <v>소설1팀</v>
      </c>
      <c r="W1289" s="6">
        <f t="shared" si="40"/>
        <v>0</v>
      </c>
      <c r="X1289" s="6">
        <f t="shared" si="41"/>
        <v>0</v>
      </c>
    </row>
    <row r="1290" spans="1:24" x14ac:dyDescent="0.3">
      <c r="A1290" t="s">
        <v>2103</v>
      </c>
      <c r="B1290" t="s">
        <v>2117</v>
      </c>
      <c r="C1290" t="s">
        <v>23</v>
      </c>
      <c r="D1290" t="s">
        <v>24</v>
      </c>
      <c r="E1290" t="s">
        <v>25</v>
      </c>
      <c r="F1290">
        <v>1</v>
      </c>
      <c r="G1290">
        <v>9791172921033</v>
      </c>
      <c r="H1290" t="s">
        <v>79</v>
      </c>
      <c r="I1290" t="s">
        <v>738</v>
      </c>
      <c r="J1290" t="s">
        <v>46</v>
      </c>
      <c r="K1290" t="s">
        <v>29</v>
      </c>
      <c r="L1290">
        <v>0</v>
      </c>
      <c r="M1290" t="s">
        <v>47</v>
      </c>
      <c r="N1290">
        <v>0</v>
      </c>
      <c r="O1290">
        <v>0</v>
      </c>
      <c r="P1290" t="s">
        <v>48</v>
      </c>
      <c r="Q1290" s="2">
        <v>0.7</v>
      </c>
      <c r="R1290">
        <v>0</v>
      </c>
      <c r="V1290" t="str">
        <f>VLOOKUP(H1290,'[1]팀별 출판사'!A:B,2,0)</f>
        <v>소설1팀</v>
      </c>
      <c r="W1290" s="6">
        <f t="shared" si="40"/>
        <v>0</v>
      </c>
      <c r="X1290" s="6">
        <f t="shared" si="41"/>
        <v>0</v>
      </c>
    </row>
    <row r="1291" spans="1:24" x14ac:dyDescent="0.3">
      <c r="A1291" t="s">
        <v>2103</v>
      </c>
      <c r="B1291" t="s">
        <v>2118</v>
      </c>
      <c r="C1291" t="s">
        <v>23</v>
      </c>
      <c r="D1291" t="s">
        <v>24</v>
      </c>
      <c r="E1291" t="s">
        <v>25</v>
      </c>
      <c r="F1291">
        <v>1</v>
      </c>
      <c r="G1291">
        <v>9791136941589</v>
      </c>
      <c r="H1291" t="s">
        <v>26</v>
      </c>
      <c r="I1291" t="s">
        <v>275</v>
      </c>
      <c r="J1291" t="s">
        <v>276</v>
      </c>
      <c r="K1291" t="s">
        <v>29</v>
      </c>
      <c r="L1291">
        <v>0</v>
      </c>
      <c r="M1291" t="s">
        <v>29</v>
      </c>
      <c r="N1291">
        <v>0</v>
      </c>
      <c r="O1291">
        <v>0</v>
      </c>
      <c r="P1291" t="s">
        <v>30</v>
      </c>
      <c r="Q1291" s="2">
        <v>0.7</v>
      </c>
      <c r="R1291">
        <v>0</v>
      </c>
      <c r="V1291" t="str">
        <f>VLOOKUP(H1291,'[1]팀별 출판사'!A:B,2,0)</f>
        <v>소설1팀</v>
      </c>
      <c r="W1291" s="6">
        <f t="shared" si="40"/>
        <v>0</v>
      </c>
      <c r="X1291" s="6">
        <f t="shared" si="41"/>
        <v>0</v>
      </c>
    </row>
    <row r="1292" spans="1:24" x14ac:dyDescent="0.3">
      <c r="A1292" t="s">
        <v>2103</v>
      </c>
      <c r="B1292" t="s">
        <v>2119</v>
      </c>
      <c r="C1292" t="s">
        <v>23</v>
      </c>
      <c r="D1292" t="s">
        <v>24</v>
      </c>
      <c r="E1292" t="s">
        <v>25</v>
      </c>
      <c r="F1292">
        <v>1</v>
      </c>
      <c r="G1292">
        <v>9791170103226</v>
      </c>
      <c r="H1292" t="s">
        <v>67</v>
      </c>
      <c r="I1292" t="s">
        <v>698</v>
      </c>
      <c r="J1292" t="s">
        <v>399</v>
      </c>
      <c r="K1292" t="s">
        <v>29</v>
      </c>
      <c r="L1292">
        <v>0</v>
      </c>
      <c r="M1292" t="s">
        <v>29</v>
      </c>
      <c r="N1292">
        <v>0</v>
      </c>
      <c r="O1292">
        <v>0</v>
      </c>
      <c r="P1292" t="s">
        <v>30</v>
      </c>
      <c r="Q1292" s="2">
        <v>0.7</v>
      </c>
      <c r="R1292">
        <v>0</v>
      </c>
      <c r="V1292" t="str">
        <f>VLOOKUP(H1292,'[1]팀별 출판사'!A:B,2,0)</f>
        <v>소설1팀</v>
      </c>
      <c r="W1292" s="6">
        <f t="shared" si="40"/>
        <v>0</v>
      </c>
      <c r="X1292" s="6">
        <f t="shared" si="41"/>
        <v>0</v>
      </c>
    </row>
    <row r="1293" spans="1:24" x14ac:dyDescent="0.3">
      <c r="A1293" t="s">
        <v>2103</v>
      </c>
      <c r="B1293" t="s">
        <v>2120</v>
      </c>
      <c r="C1293" t="s">
        <v>23</v>
      </c>
      <c r="D1293" t="s">
        <v>24</v>
      </c>
      <c r="E1293" t="s">
        <v>25</v>
      </c>
      <c r="F1293">
        <v>1</v>
      </c>
      <c r="G1293" t="s">
        <v>1886</v>
      </c>
      <c r="H1293" t="s">
        <v>32</v>
      </c>
      <c r="I1293" t="s">
        <v>1887</v>
      </c>
      <c r="J1293" t="s">
        <v>166</v>
      </c>
      <c r="K1293" t="s">
        <v>29</v>
      </c>
      <c r="L1293">
        <v>0</v>
      </c>
      <c r="M1293" t="s">
        <v>29</v>
      </c>
      <c r="N1293">
        <v>0</v>
      </c>
      <c r="O1293">
        <v>0</v>
      </c>
      <c r="P1293" t="s">
        <v>30</v>
      </c>
      <c r="Q1293" s="2">
        <v>0.7</v>
      </c>
      <c r="R1293">
        <v>0</v>
      </c>
      <c r="V1293" t="str">
        <f>VLOOKUP(H1293,'[1]팀별 출판사'!A:B,2,0)</f>
        <v>소설1팀</v>
      </c>
      <c r="W1293" s="6">
        <f t="shared" si="40"/>
        <v>0</v>
      </c>
      <c r="X1293" s="6">
        <f t="shared" si="41"/>
        <v>0</v>
      </c>
    </row>
    <row r="1294" spans="1:24" x14ac:dyDescent="0.3">
      <c r="A1294" t="s">
        <v>2103</v>
      </c>
      <c r="B1294" t="s">
        <v>2121</v>
      </c>
      <c r="C1294" t="s">
        <v>23</v>
      </c>
      <c r="D1294" t="s">
        <v>24</v>
      </c>
      <c r="E1294" t="s">
        <v>25</v>
      </c>
      <c r="F1294">
        <v>1</v>
      </c>
      <c r="G1294" t="s">
        <v>2122</v>
      </c>
      <c r="H1294" t="s">
        <v>32</v>
      </c>
      <c r="I1294" t="s">
        <v>2123</v>
      </c>
      <c r="J1294" t="s">
        <v>166</v>
      </c>
      <c r="K1294" t="s">
        <v>29</v>
      </c>
      <c r="L1294">
        <v>0</v>
      </c>
      <c r="M1294" t="s">
        <v>29</v>
      </c>
      <c r="N1294">
        <v>0</v>
      </c>
      <c r="O1294">
        <v>0</v>
      </c>
      <c r="P1294" t="s">
        <v>30</v>
      </c>
      <c r="Q1294" s="2">
        <v>0.7</v>
      </c>
      <c r="R1294">
        <v>0</v>
      </c>
      <c r="V1294" t="str">
        <f>VLOOKUP(H1294,'[1]팀별 출판사'!A:B,2,0)</f>
        <v>소설1팀</v>
      </c>
      <c r="W1294" s="6">
        <f t="shared" si="40"/>
        <v>0</v>
      </c>
      <c r="X1294" s="6">
        <f t="shared" si="41"/>
        <v>0</v>
      </c>
    </row>
    <row r="1295" spans="1:24" x14ac:dyDescent="0.3">
      <c r="A1295" t="s">
        <v>2103</v>
      </c>
      <c r="B1295" t="s">
        <v>2124</v>
      </c>
      <c r="C1295" t="s">
        <v>23</v>
      </c>
      <c r="D1295" t="s">
        <v>24</v>
      </c>
      <c r="E1295" t="s">
        <v>25</v>
      </c>
      <c r="F1295">
        <v>1</v>
      </c>
      <c r="G1295">
        <v>9791136934925</v>
      </c>
      <c r="H1295" t="s">
        <v>32</v>
      </c>
      <c r="I1295" t="s">
        <v>385</v>
      </c>
      <c r="J1295" t="s">
        <v>126</v>
      </c>
      <c r="K1295" t="s">
        <v>29</v>
      </c>
      <c r="L1295">
        <v>0</v>
      </c>
      <c r="M1295" t="s">
        <v>47</v>
      </c>
      <c r="N1295">
        <v>0</v>
      </c>
      <c r="O1295">
        <v>0</v>
      </c>
      <c r="P1295" t="s">
        <v>48</v>
      </c>
      <c r="Q1295" s="2">
        <v>0.7</v>
      </c>
      <c r="R1295">
        <v>0</v>
      </c>
      <c r="V1295" t="str">
        <f>VLOOKUP(H1295,'[1]팀별 출판사'!A:B,2,0)</f>
        <v>소설1팀</v>
      </c>
      <c r="W1295" s="6">
        <f t="shared" si="40"/>
        <v>0</v>
      </c>
      <c r="X1295" s="6">
        <f t="shared" si="41"/>
        <v>0</v>
      </c>
    </row>
    <row r="1296" spans="1:24" x14ac:dyDescent="0.3">
      <c r="A1296" t="s">
        <v>2103</v>
      </c>
      <c r="B1296" t="s">
        <v>2125</v>
      </c>
      <c r="C1296" t="s">
        <v>23</v>
      </c>
      <c r="D1296" t="s">
        <v>24</v>
      </c>
      <c r="E1296" t="s">
        <v>25</v>
      </c>
      <c r="F1296">
        <v>1</v>
      </c>
      <c r="G1296">
        <v>9791133120987</v>
      </c>
      <c r="H1296" t="s">
        <v>32</v>
      </c>
      <c r="I1296" t="s">
        <v>2126</v>
      </c>
      <c r="J1296" t="s">
        <v>51</v>
      </c>
      <c r="K1296" t="s">
        <v>29</v>
      </c>
      <c r="L1296">
        <v>0</v>
      </c>
      <c r="M1296" t="s">
        <v>29</v>
      </c>
      <c r="N1296">
        <v>0</v>
      </c>
      <c r="O1296">
        <v>0</v>
      </c>
      <c r="P1296" t="s">
        <v>30</v>
      </c>
      <c r="Q1296" s="2">
        <v>0.7</v>
      </c>
      <c r="R1296">
        <v>0</v>
      </c>
      <c r="V1296" t="str">
        <f>VLOOKUP(H1296,'[1]팀별 출판사'!A:B,2,0)</f>
        <v>소설1팀</v>
      </c>
      <c r="W1296" s="6">
        <f t="shared" si="40"/>
        <v>0</v>
      </c>
      <c r="X1296" s="6">
        <f t="shared" si="41"/>
        <v>0</v>
      </c>
    </row>
    <row r="1297" spans="1:24" x14ac:dyDescent="0.3">
      <c r="A1297" t="s">
        <v>2103</v>
      </c>
      <c r="B1297" t="s">
        <v>2127</v>
      </c>
      <c r="C1297" t="s">
        <v>23</v>
      </c>
      <c r="D1297" t="s">
        <v>24</v>
      </c>
      <c r="E1297" t="s">
        <v>25</v>
      </c>
      <c r="F1297">
        <v>1</v>
      </c>
      <c r="G1297">
        <v>9791172923365</v>
      </c>
      <c r="H1297" t="s">
        <v>263</v>
      </c>
      <c r="I1297" t="s">
        <v>2076</v>
      </c>
      <c r="J1297" t="s">
        <v>265</v>
      </c>
      <c r="K1297" t="s">
        <v>29</v>
      </c>
      <c r="L1297" s="1">
        <v>1000</v>
      </c>
      <c r="M1297" t="s">
        <v>933</v>
      </c>
      <c r="N1297">
        <v>62.29</v>
      </c>
      <c r="O1297">
        <v>52.79</v>
      </c>
      <c r="P1297" t="s">
        <v>934</v>
      </c>
      <c r="Q1297" s="2">
        <v>0.7</v>
      </c>
      <c r="R1297">
        <v>36.950000000000003</v>
      </c>
      <c r="S1297" t="s">
        <v>29</v>
      </c>
      <c r="T1297">
        <v>596</v>
      </c>
      <c r="U1297">
        <v>16.099620000000002</v>
      </c>
      <c r="V1297" t="str">
        <f>VLOOKUP(H1297,'[1]팀별 출판사'!A:B,2,0)</f>
        <v>소설2팀</v>
      </c>
      <c r="W1297" s="6">
        <f t="shared" si="40"/>
        <v>0</v>
      </c>
      <c r="X1297" s="6">
        <f t="shared" si="41"/>
        <v>596</v>
      </c>
    </row>
    <row r="1298" spans="1:24" x14ac:dyDescent="0.3">
      <c r="A1298" t="s">
        <v>2103</v>
      </c>
      <c r="B1298" t="s">
        <v>2128</v>
      </c>
      <c r="C1298" t="s">
        <v>23</v>
      </c>
      <c r="D1298" t="s">
        <v>24</v>
      </c>
      <c r="E1298" t="s">
        <v>25</v>
      </c>
      <c r="F1298">
        <v>1</v>
      </c>
      <c r="G1298">
        <v>9791173786402</v>
      </c>
      <c r="H1298" t="s">
        <v>263</v>
      </c>
      <c r="I1298" t="s">
        <v>2077</v>
      </c>
      <c r="J1298" t="s">
        <v>265</v>
      </c>
      <c r="K1298" t="s">
        <v>29</v>
      </c>
      <c r="L1298" s="1">
        <v>1000</v>
      </c>
      <c r="M1298" t="s">
        <v>933</v>
      </c>
      <c r="N1298">
        <v>62.29</v>
      </c>
      <c r="O1298">
        <v>52.79</v>
      </c>
      <c r="P1298" t="s">
        <v>934</v>
      </c>
      <c r="Q1298" s="2">
        <v>0.7</v>
      </c>
      <c r="R1298">
        <v>36.950000000000003</v>
      </c>
      <c r="S1298" t="s">
        <v>29</v>
      </c>
      <c r="T1298">
        <v>596</v>
      </c>
      <c r="U1298">
        <v>16.099620000000002</v>
      </c>
      <c r="V1298" t="str">
        <f>VLOOKUP(H1298,'[1]팀별 출판사'!A:B,2,0)</f>
        <v>소설2팀</v>
      </c>
      <c r="W1298" s="6">
        <f t="shared" si="40"/>
        <v>0</v>
      </c>
      <c r="X1298" s="6">
        <f t="shared" si="41"/>
        <v>596</v>
      </c>
    </row>
    <row r="1299" spans="1:24" x14ac:dyDescent="0.3">
      <c r="A1299" t="s">
        <v>2103</v>
      </c>
      <c r="B1299" t="s">
        <v>2129</v>
      </c>
      <c r="C1299" t="s">
        <v>23</v>
      </c>
      <c r="D1299" t="s">
        <v>24</v>
      </c>
      <c r="E1299" t="s">
        <v>25</v>
      </c>
      <c r="F1299">
        <v>1</v>
      </c>
      <c r="G1299">
        <v>9791170101321</v>
      </c>
      <c r="H1299" t="s">
        <v>67</v>
      </c>
      <c r="I1299" t="s">
        <v>848</v>
      </c>
      <c r="J1299" t="s">
        <v>414</v>
      </c>
      <c r="K1299" t="s">
        <v>29</v>
      </c>
      <c r="L1299">
        <v>0</v>
      </c>
      <c r="M1299" t="s">
        <v>29</v>
      </c>
      <c r="N1299">
        <v>0</v>
      </c>
      <c r="O1299">
        <v>0</v>
      </c>
      <c r="P1299" t="s">
        <v>30</v>
      </c>
      <c r="Q1299" s="2">
        <v>0.7</v>
      </c>
      <c r="R1299">
        <v>0</v>
      </c>
      <c r="V1299" t="str">
        <f>VLOOKUP(H1299,'[1]팀별 출판사'!A:B,2,0)</f>
        <v>소설1팀</v>
      </c>
      <c r="W1299" s="6">
        <f t="shared" si="40"/>
        <v>0</v>
      </c>
      <c r="X1299" s="6">
        <f t="shared" si="41"/>
        <v>0</v>
      </c>
    </row>
    <row r="1300" spans="1:24" x14ac:dyDescent="0.3">
      <c r="A1300" t="s">
        <v>2103</v>
      </c>
      <c r="B1300" t="s">
        <v>2130</v>
      </c>
      <c r="C1300" t="s">
        <v>23</v>
      </c>
      <c r="D1300" t="s">
        <v>24</v>
      </c>
      <c r="E1300" t="s">
        <v>25</v>
      </c>
      <c r="F1300">
        <v>1</v>
      </c>
      <c r="G1300">
        <v>9791133145348</v>
      </c>
      <c r="H1300" t="s">
        <v>32</v>
      </c>
      <c r="I1300" t="s">
        <v>130</v>
      </c>
      <c r="J1300" t="s">
        <v>51</v>
      </c>
      <c r="K1300" t="s">
        <v>29</v>
      </c>
      <c r="L1300">
        <v>0</v>
      </c>
      <c r="M1300" t="s">
        <v>29</v>
      </c>
      <c r="N1300">
        <v>0</v>
      </c>
      <c r="O1300">
        <v>0</v>
      </c>
      <c r="P1300" t="s">
        <v>30</v>
      </c>
      <c r="Q1300" s="2">
        <v>0.7</v>
      </c>
      <c r="R1300">
        <v>0</v>
      </c>
      <c r="V1300" t="str">
        <f>VLOOKUP(H1300,'[1]팀별 출판사'!A:B,2,0)</f>
        <v>소설1팀</v>
      </c>
      <c r="W1300" s="6">
        <f t="shared" si="40"/>
        <v>0</v>
      </c>
      <c r="X1300" s="6">
        <f t="shared" si="41"/>
        <v>0</v>
      </c>
    </row>
    <row r="1301" spans="1:24" x14ac:dyDescent="0.3">
      <c r="A1301" t="s">
        <v>2103</v>
      </c>
      <c r="B1301" t="s">
        <v>2131</v>
      </c>
      <c r="C1301" t="s">
        <v>23</v>
      </c>
      <c r="D1301" t="s">
        <v>24</v>
      </c>
      <c r="E1301" t="s">
        <v>25</v>
      </c>
      <c r="F1301">
        <v>1</v>
      </c>
      <c r="G1301">
        <v>9791133106219</v>
      </c>
      <c r="H1301" t="s">
        <v>32</v>
      </c>
      <c r="I1301" t="s">
        <v>1118</v>
      </c>
      <c r="J1301" t="s">
        <v>51</v>
      </c>
      <c r="K1301" t="s">
        <v>29</v>
      </c>
      <c r="L1301">
        <v>0</v>
      </c>
      <c r="M1301" t="s">
        <v>29</v>
      </c>
      <c r="N1301">
        <v>0</v>
      </c>
      <c r="O1301">
        <v>0</v>
      </c>
      <c r="P1301" t="s">
        <v>30</v>
      </c>
      <c r="Q1301" s="2">
        <v>0.7</v>
      </c>
      <c r="R1301">
        <v>0</v>
      </c>
      <c r="V1301" t="str">
        <f>VLOOKUP(H1301,'[1]팀별 출판사'!A:B,2,0)</f>
        <v>소설1팀</v>
      </c>
      <c r="W1301" s="6">
        <f t="shared" si="40"/>
        <v>0</v>
      </c>
      <c r="X1301" s="6">
        <f t="shared" si="41"/>
        <v>0</v>
      </c>
    </row>
    <row r="1302" spans="1:24" x14ac:dyDescent="0.3">
      <c r="A1302" t="s">
        <v>2103</v>
      </c>
      <c r="B1302" t="s">
        <v>2132</v>
      </c>
      <c r="C1302" t="s">
        <v>23</v>
      </c>
      <c r="D1302" t="s">
        <v>24</v>
      </c>
      <c r="E1302" t="s">
        <v>25</v>
      </c>
      <c r="F1302">
        <v>1</v>
      </c>
      <c r="G1302">
        <v>9791136907110</v>
      </c>
      <c r="H1302" t="s">
        <v>26</v>
      </c>
      <c r="I1302" t="s">
        <v>2133</v>
      </c>
      <c r="J1302" t="s">
        <v>1348</v>
      </c>
      <c r="K1302" t="s">
        <v>29</v>
      </c>
      <c r="L1302" s="1">
        <v>3200</v>
      </c>
      <c r="M1302" t="s">
        <v>29</v>
      </c>
      <c r="N1302" s="1">
        <v>3200</v>
      </c>
      <c r="O1302" s="1">
        <v>3200</v>
      </c>
      <c r="P1302" t="s">
        <v>30</v>
      </c>
      <c r="Q1302" s="2">
        <v>0.7</v>
      </c>
      <c r="R1302" s="1">
        <v>2240</v>
      </c>
      <c r="S1302" t="s">
        <v>29</v>
      </c>
      <c r="T1302" s="1">
        <v>2240</v>
      </c>
      <c r="V1302" t="str">
        <f>VLOOKUP(H1302,'[1]팀별 출판사'!A:B,2,0)</f>
        <v>소설1팀</v>
      </c>
      <c r="W1302" s="6">
        <f t="shared" si="40"/>
        <v>0</v>
      </c>
      <c r="X1302" s="6">
        <f t="shared" si="41"/>
        <v>2240</v>
      </c>
    </row>
    <row r="1303" spans="1:24" x14ac:dyDescent="0.3">
      <c r="A1303" t="s">
        <v>2103</v>
      </c>
      <c r="B1303" t="s">
        <v>2132</v>
      </c>
      <c r="C1303" t="s">
        <v>23</v>
      </c>
      <c r="D1303" t="s">
        <v>24</v>
      </c>
      <c r="E1303" t="s">
        <v>25</v>
      </c>
      <c r="F1303">
        <v>1</v>
      </c>
      <c r="G1303">
        <v>9791136907127</v>
      </c>
      <c r="H1303" t="s">
        <v>26</v>
      </c>
      <c r="I1303" t="s">
        <v>2134</v>
      </c>
      <c r="J1303" t="s">
        <v>1348</v>
      </c>
      <c r="K1303" t="s">
        <v>29</v>
      </c>
      <c r="L1303" s="1">
        <v>3200</v>
      </c>
      <c r="M1303" t="s">
        <v>29</v>
      </c>
      <c r="N1303" s="1">
        <v>3200</v>
      </c>
      <c r="O1303" s="1">
        <v>3200</v>
      </c>
      <c r="P1303" t="s">
        <v>30</v>
      </c>
      <c r="Q1303" s="2">
        <v>0.7</v>
      </c>
      <c r="R1303" s="1">
        <v>2240</v>
      </c>
      <c r="S1303" t="s">
        <v>29</v>
      </c>
      <c r="T1303" s="1">
        <v>2240</v>
      </c>
      <c r="V1303" t="str">
        <f>VLOOKUP(H1303,'[1]팀별 출판사'!A:B,2,0)</f>
        <v>소설1팀</v>
      </c>
      <c r="W1303" s="6">
        <f t="shared" si="40"/>
        <v>0</v>
      </c>
      <c r="X1303" s="6">
        <f t="shared" si="41"/>
        <v>2240</v>
      </c>
    </row>
    <row r="1304" spans="1:24" x14ac:dyDescent="0.3">
      <c r="A1304" t="s">
        <v>2103</v>
      </c>
      <c r="B1304" t="s">
        <v>2132</v>
      </c>
      <c r="C1304" t="s">
        <v>23</v>
      </c>
      <c r="D1304" t="s">
        <v>24</v>
      </c>
      <c r="E1304" t="s">
        <v>25</v>
      </c>
      <c r="F1304">
        <v>1</v>
      </c>
      <c r="G1304">
        <v>9791136907134</v>
      </c>
      <c r="H1304" t="s">
        <v>26</v>
      </c>
      <c r="I1304" t="s">
        <v>2135</v>
      </c>
      <c r="J1304" t="s">
        <v>1348</v>
      </c>
      <c r="K1304" t="s">
        <v>29</v>
      </c>
      <c r="L1304" s="1">
        <v>3200</v>
      </c>
      <c r="M1304" t="s">
        <v>29</v>
      </c>
      <c r="N1304" s="1">
        <v>3200</v>
      </c>
      <c r="O1304" s="1">
        <v>3200</v>
      </c>
      <c r="P1304" t="s">
        <v>30</v>
      </c>
      <c r="Q1304" s="2">
        <v>0.7</v>
      </c>
      <c r="R1304" s="1">
        <v>2240</v>
      </c>
      <c r="S1304" t="s">
        <v>29</v>
      </c>
      <c r="T1304" s="1">
        <v>2240</v>
      </c>
      <c r="V1304" t="str">
        <f>VLOOKUP(H1304,'[1]팀별 출판사'!A:B,2,0)</f>
        <v>소설1팀</v>
      </c>
      <c r="W1304" s="6">
        <f t="shared" si="40"/>
        <v>0</v>
      </c>
      <c r="X1304" s="6">
        <f t="shared" si="41"/>
        <v>2240</v>
      </c>
    </row>
    <row r="1305" spans="1:24" x14ac:dyDescent="0.3">
      <c r="A1305" t="s">
        <v>2103</v>
      </c>
      <c r="B1305" t="s">
        <v>2132</v>
      </c>
      <c r="C1305" t="s">
        <v>23</v>
      </c>
      <c r="D1305" t="s">
        <v>24</v>
      </c>
      <c r="E1305" t="s">
        <v>25</v>
      </c>
      <c r="F1305">
        <v>1</v>
      </c>
      <c r="G1305">
        <v>9791136907141</v>
      </c>
      <c r="H1305" t="s">
        <v>26</v>
      </c>
      <c r="I1305" t="s">
        <v>2136</v>
      </c>
      <c r="J1305" t="s">
        <v>1348</v>
      </c>
      <c r="K1305" t="s">
        <v>29</v>
      </c>
      <c r="L1305" s="1">
        <v>3200</v>
      </c>
      <c r="M1305" t="s">
        <v>29</v>
      </c>
      <c r="N1305" s="1">
        <v>3200</v>
      </c>
      <c r="O1305" s="1">
        <v>3200</v>
      </c>
      <c r="P1305" t="s">
        <v>30</v>
      </c>
      <c r="Q1305" s="2">
        <v>0.7</v>
      </c>
      <c r="R1305" s="1">
        <v>2240</v>
      </c>
      <c r="S1305" t="s">
        <v>29</v>
      </c>
      <c r="T1305" s="1">
        <v>2240</v>
      </c>
      <c r="V1305" t="str">
        <f>VLOOKUP(H1305,'[1]팀별 출판사'!A:B,2,0)</f>
        <v>소설1팀</v>
      </c>
      <c r="W1305" s="6">
        <f t="shared" si="40"/>
        <v>0</v>
      </c>
      <c r="X1305" s="6">
        <f t="shared" si="41"/>
        <v>2240</v>
      </c>
    </row>
    <row r="1306" spans="1:24" x14ac:dyDescent="0.3">
      <c r="A1306" t="s">
        <v>2103</v>
      </c>
      <c r="B1306" t="s">
        <v>2137</v>
      </c>
      <c r="C1306" t="s">
        <v>23</v>
      </c>
      <c r="D1306" t="s">
        <v>24</v>
      </c>
      <c r="E1306" t="s">
        <v>25</v>
      </c>
      <c r="F1306">
        <v>1</v>
      </c>
      <c r="G1306" t="s">
        <v>797</v>
      </c>
      <c r="H1306" t="s">
        <v>32</v>
      </c>
      <c r="I1306" t="s">
        <v>798</v>
      </c>
      <c r="J1306" t="s">
        <v>43</v>
      </c>
      <c r="K1306" t="s">
        <v>29</v>
      </c>
      <c r="L1306">
        <v>0</v>
      </c>
      <c r="M1306" t="s">
        <v>29</v>
      </c>
      <c r="N1306">
        <v>0</v>
      </c>
      <c r="O1306">
        <v>0</v>
      </c>
      <c r="P1306" t="s">
        <v>30</v>
      </c>
      <c r="Q1306" s="2">
        <v>0.7</v>
      </c>
      <c r="R1306">
        <v>0</v>
      </c>
      <c r="V1306" t="str">
        <f>VLOOKUP(H1306,'[1]팀별 출판사'!A:B,2,0)</f>
        <v>소설1팀</v>
      </c>
      <c r="W1306" s="6">
        <f t="shared" si="40"/>
        <v>0</v>
      </c>
      <c r="X1306" s="6">
        <f t="shared" si="41"/>
        <v>0</v>
      </c>
    </row>
    <row r="1307" spans="1:24" x14ac:dyDescent="0.3">
      <c r="A1307" t="s">
        <v>2103</v>
      </c>
      <c r="B1307" t="s">
        <v>2138</v>
      </c>
      <c r="C1307" t="s">
        <v>23</v>
      </c>
      <c r="D1307" t="s">
        <v>24</v>
      </c>
      <c r="E1307" t="s">
        <v>25</v>
      </c>
      <c r="F1307">
        <v>1</v>
      </c>
      <c r="G1307">
        <v>9791133167265</v>
      </c>
      <c r="H1307" t="s">
        <v>32</v>
      </c>
      <c r="I1307" t="s">
        <v>2139</v>
      </c>
      <c r="J1307" t="s">
        <v>160</v>
      </c>
      <c r="K1307" t="s">
        <v>29</v>
      </c>
      <c r="L1307" s="1">
        <v>2500</v>
      </c>
      <c r="M1307" t="s">
        <v>29</v>
      </c>
      <c r="N1307" s="1">
        <v>2500</v>
      </c>
      <c r="O1307" s="1">
        <v>2500</v>
      </c>
      <c r="P1307" t="s">
        <v>30</v>
      </c>
      <c r="Q1307" s="2">
        <v>0.7</v>
      </c>
      <c r="R1307" s="1">
        <v>1750</v>
      </c>
      <c r="S1307" t="s">
        <v>29</v>
      </c>
      <c r="T1307" s="1">
        <v>1750</v>
      </c>
      <c r="V1307" t="str">
        <f>VLOOKUP(H1307,'[1]팀별 출판사'!A:B,2,0)</f>
        <v>소설1팀</v>
      </c>
      <c r="W1307" s="6">
        <f t="shared" si="40"/>
        <v>0</v>
      </c>
      <c r="X1307" s="6">
        <f t="shared" si="41"/>
        <v>1750</v>
      </c>
    </row>
    <row r="1308" spans="1:24" x14ac:dyDescent="0.3">
      <c r="A1308" t="s">
        <v>2103</v>
      </c>
      <c r="B1308" t="s">
        <v>2140</v>
      </c>
      <c r="C1308" t="s">
        <v>23</v>
      </c>
      <c r="D1308" t="s">
        <v>24</v>
      </c>
      <c r="E1308" t="s">
        <v>25</v>
      </c>
      <c r="F1308">
        <v>1</v>
      </c>
      <c r="G1308">
        <v>9791133114245</v>
      </c>
      <c r="H1308" t="s">
        <v>32</v>
      </c>
      <c r="I1308" t="s">
        <v>2141</v>
      </c>
      <c r="J1308" t="s">
        <v>2142</v>
      </c>
      <c r="K1308" t="s">
        <v>29</v>
      </c>
      <c r="L1308">
        <v>0</v>
      </c>
      <c r="M1308" t="s">
        <v>29</v>
      </c>
      <c r="N1308">
        <v>0</v>
      </c>
      <c r="O1308">
        <v>0</v>
      </c>
      <c r="P1308" t="s">
        <v>30</v>
      </c>
      <c r="Q1308" s="2">
        <v>0.7</v>
      </c>
      <c r="R1308">
        <v>0</v>
      </c>
      <c r="V1308" t="str">
        <f>VLOOKUP(H1308,'[1]팀별 출판사'!A:B,2,0)</f>
        <v>소설1팀</v>
      </c>
      <c r="W1308" s="6">
        <f t="shared" si="40"/>
        <v>0</v>
      </c>
      <c r="X1308" s="6">
        <f t="shared" si="41"/>
        <v>0</v>
      </c>
    </row>
    <row r="1309" spans="1:24" x14ac:dyDescent="0.3">
      <c r="A1309" t="s">
        <v>2103</v>
      </c>
      <c r="B1309" t="s">
        <v>2143</v>
      </c>
      <c r="C1309" t="s">
        <v>23</v>
      </c>
      <c r="D1309" t="s">
        <v>24</v>
      </c>
      <c r="E1309" t="s">
        <v>25</v>
      </c>
      <c r="F1309">
        <v>1</v>
      </c>
      <c r="G1309">
        <v>9791136903754</v>
      </c>
      <c r="H1309" t="s">
        <v>26</v>
      </c>
      <c r="I1309" t="s">
        <v>361</v>
      </c>
      <c r="J1309" t="s">
        <v>256</v>
      </c>
      <c r="K1309" t="s">
        <v>29</v>
      </c>
      <c r="L1309">
        <v>0</v>
      </c>
      <c r="M1309" t="s">
        <v>29</v>
      </c>
      <c r="N1309">
        <v>0</v>
      </c>
      <c r="O1309">
        <v>0</v>
      </c>
      <c r="P1309" t="s">
        <v>30</v>
      </c>
      <c r="Q1309" s="2">
        <v>0.7</v>
      </c>
      <c r="R1309">
        <v>0</v>
      </c>
      <c r="V1309" t="str">
        <f>VLOOKUP(H1309,'[1]팀별 출판사'!A:B,2,0)</f>
        <v>소설1팀</v>
      </c>
      <c r="W1309" s="6">
        <f t="shared" si="40"/>
        <v>0</v>
      </c>
      <c r="X1309" s="6">
        <f t="shared" si="41"/>
        <v>0</v>
      </c>
    </row>
    <row r="1310" spans="1:24" x14ac:dyDescent="0.3">
      <c r="A1310" t="s">
        <v>2103</v>
      </c>
      <c r="B1310" t="s">
        <v>2144</v>
      </c>
      <c r="C1310" t="s">
        <v>23</v>
      </c>
      <c r="D1310" t="s">
        <v>24</v>
      </c>
      <c r="E1310" t="s">
        <v>25</v>
      </c>
      <c r="F1310">
        <v>1</v>
      </c>
      <c r="G1310">
        <v>9791133186501</v>
      </c>
      <c r="H1310" t="s">
        <v>26</v>
      </c>
      <c r="I1310" t="s">
        <v>64</v>
      </c>
      <c r="J1310" t="s">
        <v>65</v>
      </c>
      <c r="K1310" t="s">
        <v>29</v>
      </c>
      <c r="L1310">
        <v>0</v>
      </c>
      <c r="M1310" t="s">
        <v>29</v>
      </c>
      <c r="N1310">
        <v>0</v>
      </c>
      <c r="O1310">
        <v>0</v>
      </c>
      <c r="P1310" t="s">
        <v>30</v>
      </c>
      <c r="Q1310" s="2">
        <v>0.7</v>
      </c>
      <c r="R1310">
        <v>0</v>
      </c>
      <c r="V1310" t="str">
        <f>VLOOKUP(H1310,'[1]팀별 출판사'!A:B,2,0)</f>
        <v>소설1팀</v>
      </c>
      <c r="W1310" s="6">
        <f t="shared" si="40"/>
        <v>0</v>
      </c>
      <c r="X1310" s="6">
        <f t="shared" si="41"/>
        <v>0</v>
      </c>
    </row>
    <row r="1311" spans="1:24" x14ac:dyDescent="0.3">
      <c r="A1311" t="s">
        <v>2103</v>
      </c>
      <c r="B1311" t="s">
        <v>2145</v>
      </c>
      <c r="C1311" t="s">
        <v>23</v>
      </c>
      <c r="D1311" t="s">
        <v>24</v>
      </c>
      <c r="E1311" t="s">
        <v>25</v>
      </c>
      <c r="F1311">
        <v>1</v>
      </c>
      <c r="G1311" t="s">
        <v>2146</v>
      </c>
      <c r="H1311" t="s">
        <v>32</v>
      </c>
      <c r="I1311" t="s">
        <v>2147</v>
      </c>
      <c r="J1311" t="s">
        <v>311</v>
      </c>
      <c r="K1311" t="s">
        <v>29</v>
      </c>
      <c r="L1311" s="1">
        <v>3200</v>
      </c>
      <c r="M1311" t="s">
        <v>29</v>
      </c>
      <c r="N1311" s="1">
        <v>3200</v>
      </c>
      <c r="O1311" s="1">
        <v>3200</v>
      </c>
      <c r="P1311" t="s">
        <v>30</v>
      </c>
      <c r="Q1311" s="2">
        <v>0.7</v>
      </c>
      <c r="R1311" s="1">
        <v>2240</v>
      </c>
      <c r="S1311" t="s">
        <v>29</v>
      </c>
      <c r="T1311" s="1">
        <v>2240</v>
      </c>
      <c r="V1311" t="str">
        <f>VLOOKUP(H1311,'[1]팀별 출판사'!A:B,2,0)</f>
        <v>소설1팀</v>
      </c>
      <c r="W1311" s="6">
        <f t="shared" si="40"/>
        <v>0</v>
      </c>
      <c r="X1311" s="6">
        <f t="shared" si="41"/>
        <v>2240</v>
      </c>
    </row>
    <row r="1312" spans="1:24" x14ac:dyDescent="0.3">
      <c r="A1312" t="s">
        <v>2103</v>
      </c>
      <c r="B1312" t="s">
        <v>2148</v>
      </c>
      <c r="C1312" t="s">
        <v>23</v>
      </c>
      <c r="D1312" t="s">
        <v>24</v>
      </c>
      <c r="E1312" t="s">
        <v>25</v>
      </c>
      <c r="F1312">
        <v>1</v>
      </c>
      <c r="G1312">
        <v>9791133141463</v>
      </c>
      <c r="H1312" t="s">
        <v>32</v>
      </c>
      <c r="I1312" t="s">
        <v>2149</v>
      </c>
      <c r="J1312" t="s">
        <v>511</v>
      </c>
      <c r="K1312" t="s">
        <v>29</v>
      </c>
      <c r="L1312" s="1">
        <v>2500</v>
      </c>
      <c r="M1312" t="s">
        <v>29</v>
      </c>
      <c r="N1312" s="1">
        <v>2500</v>
      </c>
      <c r="O1312" s="1">
        <v>2500</v>
      </c>
      <c r="P1312" t="s">
        <v>30</v>
      </c>
      <c r="Q1312" s="2">
        <v>0.7</v>
      </c>
      <c r="R1312" s="1">
        <v>1750</v>
      </c>
      <c r="S1312" t="s">
        <v>29</v>
      </c>
      <c r="T1312" s="1">
        <v>1750</v>
      </c>
      <c r="V1312" t="str">
        <f>VLOOKUP(H1312,'[1]팀별 출판사'!A:B,2,0)</f>
        <v>소설1팀</v>
      </c>
      <c r="W1312" s="6">
        <f t="shared" si="40"/>
        <v>0</v>
      </c>
      <c r="X1312" s="6">
        <f t="shared" si="41"/>
        <v>1750</v>
      </c>
    </row>
    <row r="1313" spans="1:24" x14ac:dyDescent="0.3">
      <c r="A1313" t="s">
        <v>2103</v>
      </c>
      <c r="B1313" t="s">
        <v>2150</v>
      </c>
      <c r="C1313" t="s">
        <v>23</v>
      </c>
      <c r="D1313" t="s">
        <v>24</v>
      </c>
      <c r="E1313" t="s">
        <v>25</v>
      </c>
      <c r="F1313">
        <v>1</v>
      </c>
      <c r="G1313">
        <v>9791133167241</v>
      </c>
      <c r="H1313" t="s">
        <v>32</v>
      </c>
      <c r="I1313" t="s">
        <v>1976</v>
      </c>
      <c r="J1313" t="s">
        <v>160</v>
      </c>
      <c r="K1313" t="s">
        <v>29</v>
      </c>
      <c r="L1313" s="1">
        <v>2500</v>
      </c>
      <c r="M1313" t="s">
        <v>29</v>
      </c>
      <c r="N1313" s="1">
        <v>2500</v>
      </c>
      <c r="O1313" s="1">
        <v>2500</v>
      </c>
      <c r="P1313" t="s">
        <v>30</v>
      </c>
      <c r="Q1313" s="2">
        <v>0.7</v>
      </c>
      <c r="R1313" s="1">
        <v>1750</v>
      </c>
      <c r="S1313" t="s">
        <v>29</v>
      </c>
      <c r="T1313" s="1">
        <v>1750</v>
      </c>
      <c r="V1313" t="str">
        <f>VLOOKUP(H1313,'[1]팀별 출판사'!A:B,2,0)</f>
        <v>소설1팀</v>
      </c>
      <c r="W1313" s="6">
        <f t="shared" si="40"/>
        <v>0</v>
      </c>
      <c r="X1313" s="6">
        <f t="shared" si="41"/>
        <v>1750</v>
      </c>
    </row>
    <row r="1314" spans="1:24" x14ac:dyDescent="0.3">
      <c r="A1314" t="s">
        <v>2103</v>
      </c>
      <c r="B1314" t="s">
        <v>2151</v>
      </c>
      <c r="C1314" t="s">
        <v>23</v>
      </c>
      <c r="D1314" t="s">
        <v>24</v>
      </c>
      <c r="E1314" t="s">
        <v>25</v>
      </c>
      <c r="F1314">
        <v>1</v>
      </c>
      <c r="G1314">
        <v>9791173785634</v>
      </c>
      <c r="H1314" t="s">
        <v>36</v>
      </c>
      <c r="I1314" t="s">
        <v>2152</v>
      </c>
      <c r="J1314" t="s">
        <v>2153</v>
      </c>
      <c r="K1314" t="s">
        <v>29</v>
      </c>
      <c r="L1314" s="1">
        <v>1300</v>
      </c>
      <c r="M1314" t="s">
        <v>948</v>
      </c>
      <c r="N1314">
        <v>1.48</v>
      </c>
      <c r="O1314">
        <v>1.35</v>
      </c>
      <c r="P1314" t="s">
        <v>949</v>
      </c>
      <c r="Q1314" s="2">
        <v>0.7</v>
      </c>
      <c r="R1314">
        <v>0.94</v>
      </c>
      <c r="S1314" t="s">
        <v>29</v>
      </c>
      <c r="T1314">
        <v>972</v>
      </c>
      <c r="U1314" s="3">
        <v>1032.4806900000001</v>
      </c>
      <c r="V1314" t="str">
        <f>VLOOKUP(H1314,'[1]팀별 출판사'!A:B,2,0)</f>
        <v>소설2팀</v>
      </c>
      <c r="W1314" s="6">
        <f t="shared" si="40"/>
        <v>0</v>
      </c>
      <c r="X1314" s="6">
        <f t="shared" si="41"/>
        <v>972</v>
      </c>
    </row>
    <row r="1315" spans="1:24" x14ac:dyDescent="0.3">
      <c r="A1315" t="s">
        <v>2103</v>
      </c>
      <c r="B1315" t="s">
        <v>2154</v>
      </c>
      <c r="C1315" t="s">
        <v>23</v>
      </c>
      <c r="D1315" t="s">
        <v>24</v>
      </c>
      <c r="E1315" t="s">
        <v>25</v>
      </c>
      <c r="F1315">
        <v>1</v>
      </c>
      <c r="G1315">
        <v>9791172924850</v>
      </c>
      <c r="H1315" t="s">
        <v>26</v>
      </c>
      <c r="I1315" t="s">
        <v>61</v>
      </c>
      <c r="J1315" t="s">
        <v>62</v>
      </c>
      <c r="K1315" t="s">
        <v>29</v>
      </c>
      <c r="L1315">
        <v>0</v>
      </c>
      <c r="M1315" t="s">
        <v>29</v>
      </c>
      <c r="N1315">
        <v>0</v>
      </c>
      <c r="O1315">
        <v>0</v>
      </c>
      <c r="P1315" t="s">
        <v>30</v>
      </c>
      <c r="Q1315" s="2">
        <v>0.7</v>
      </c>
      <c r="R1315">
        <v>0</v>
      </c>
      <c r="V1315" t="str">
        <f>VLOOKUP(H1315,'[1]팀별 출판사'!A:B,2,0)</f>
        <v>소설1팀</v>
      </c>
      <c r="W1315" s="6">
        <f t="shared" si="40"/>
        <v>0</v>
      </c>
      <c r="X1315" s="6">
        <f t="shared" si="41"/>
        <v>0</v>
      </c>
    </row>
    <row r="1316" spans="1:24" x14ac:dyDescent="0.3">
      <c r="A1316" t="s">
        <v>2103</v>
      </c>
      <c r="B1316" t="s">
        <v>2155</v>
      </c>
      <c r="C1316" t="s">
        <v>23</v>
      </c>
      <c r="D1316" t="s">
        <v>24</v>
      </c>
      <c r="E1316" t="s">
        <v>25</v>
      </c>
      <c r="F1316">
        <v>1</v>
      </c>
      <c r="G1316">
        <v>9791133186501</v>
      </c>
      <c r="H1316" t="s">
        <v>26</v>
      </c>
      <c r="I1316" t="s">
        <v>64</v>
      </c>
      <c r="J1316" t="s">
        <v>65</v>
      </c>
      <c r="K1316" t="s">
        <v>29</v>
      </c>
      <c r="L1316">
        <v>0</v>
      </c>
      <c r="M1316" t="s">
        <v>29</v>
      </c>
      <c r="N1316">
        <v>0</v>
      </c>
      <c r="O1316">
        <v>0</v>
      </c>
      <c r="P1316" t="s">
        <v>30</v>
      </c>
      <c r="Q1316" s="2">
        <v>0.7</v>
      </c>
      <c r="R1316">
        <v>0</v>
      </c>
      <c r="V1316" t="str">
        <f>VLOOKUP(H1316,'[1]팀별 출판사'!A:B,2,0)</f>
        <v>소설1팀</v>
      </c>
      <c r="W1316" s="6">
        <f t="shared" si="40"/>
        <v>0</v>
      </c>
      <c r="X1316" s="6">
        <f t="shared" si="41"/>
        <v>0</v>
      </c>
    </row>
    <row r="1317" spans="1:24" x14ac:dyDescent="0.3">
      <c r="A1317" t="s">
        <v>2103</v>
      </c>
      <c r="B1317" t="s">
        <v>2156</v>
      </c>
      <c r="C1317" t="s">
        <v>23</v>
      </c>
      <c r="D1317" t="s">
        <v>24</v>
      </c>
      <c r="E1317" t="s">
        <v>25</v>
      </c>
      <c r="F1317">
        <v>1</v>
      </c>
      <c r="G1317">
        <v>9791136995858</v>
      </c>
      <c r="H1317" t="s">
        <v>26</v>
      </c>
      <c r="I1317" t="s">
        <v>2157</v>
      </c>
      <c r="J1317" t="s">
        <v>2158</v>
      </c>
      <c r="K1317" t="s">
        <v>29</v>
      </c>
      <c r="L1317">
        <v>0</v>
      </c>
      <c r="M1317" t="s">
        <v>29</v>
      </c>
      <c r="N1317">
        <v>0</v>
      </c>
      <c r="O1317">
        <v>0</v>
      </c>
      <c r="P1317" t="s">
        <v>30</v>
      </c>
      <c r="Q1317" s="2">
        <v>0.7</v>
      </c>
      <c r="R1317">
        <v>0</v>
      </c>
      <c r="V1317" t="str">
        <f>VLOOKUP(H1317,'[1]팀별 출판사'!A:B,2,0)</f>
        <v>소설1팀</v>
      </c>
      <c r="W1317" s="6">
        <f t="shared" si="40"/>
        <v>0</v>
      </c>
      <c r="X1317" s="6">
        <f t="shared" si="41"/>
        <v>0</v>
      </c>
    </row>
    <row r="1318" spans="1:24" x14ac:dyDescent="0.3">
      <c r="A1318" t="s">
        <v>2103</v>
      </c>
      <c r="B1318" t="s">
        <v>2159</v>
      </c>
      <c r="C1318" t="s">
        <v>23</v>
      </c>
      <c r="D1318" t="s">
        <v>24</v>
      </c>
      <c r="E1318" t="s">
        <v>25</v>
      </c>
      <c r="F1318">
        <v>1</v>
      </c>
      <c r="G1318" t="s">
        <v>2160</v>
      </c>
      <c r="H1318" t="s">
        <v>32</v>
      </c>
      <c r="I1318" t="s">
        <v>2161</v>
      </c>
      <c r="J1318" t="s">
        <v>88</v>
      </c>
      <c r="K1318" t="s">
        <v>29</v>
      </c>
      <c r="L1318">
        <v>0</v>
      </c>
      <c r="M1318" t="s">
        <v>29</v>
      </c>
      <c r="N1318">
        <v>0</v>
      </c>
      <c r="O1318">
        <v>0</v>
      </c>
      <c r="P1318" t="s">
        <v>30</v>
      </c>
      <c r="Q1318" s="2">
        <v>0.7</v>
      </c>
      <c r="R1318">
        <v>0</v>
      </c>
      <c r="V1318" t="str">
        <f>VLOOKUP(H1318,'[1]팀별 출판사'!A:B,2,0)</f>
        <v>소설1팀</v>
      </c>
      <c r="W1318" s="6">
        <f t="shared" si="40"/>
        <v>0</v>
      </c>
      <c r="X1318" s="6">
        <f t="shared" si="41"/>
        <v>0</v>
      </c>
    </row>
    <row r="1319" spans="1:24" x14ac:dyDescent="0.3">
      <c r="A1319" t="s">
        <v>2103</v>
      </c>
      <c r="B1319" t="s">
        <v>2162</v>
      </c>
      <c r="C1319" t="s">
        <v>23</v>
      </c>
      <c r="D1319" t="s">
        <v>24</v>
      </c>
      <c r="E1319" t="s">
        <v>25</v>
      </c>
      <c r="F1319">
        <v>1</v>
      </c>
      <c r="G1319">
        <v>9791136916433</v>
      </c>
      <c r="H1319" t="s">
        <v>26</v>
      </c>
      <c r="I1319" t="s">
        <v>2163</v>
      </c>
      <c r="J1319" t="s">
        <v>62</v>
      </c>
      <c r="K1319" t="s">
        <v>29</v>
      </c>
      <c r="L1319" s="1">
        <v>3200</v>
      </c>
      <c r="M1319" t="s">
        <v>29</v>
      </c>
      <c r="N1319" s="1">
        <v>3200</v>
      </c>
      <c r="O1319" s="1">
        <v>3200</v>
      </c>
      <c r="P1319" t="s">
        <v>30</v>
      </c>
      <c r="Q1319" s="2">
        <v>0.7</v>
      </c>
      <c r="R1319" s="1">
        <v>2240</v>
      </c>
      <c r="S1319" t="s">
        <v>29</v>
      </c>
      <c r="T1319" s="1">
        <v>2240</v>
      </c>
      <c r="V1319" t="str">
        <f>VLOOKUP(H1319,'[1]팀별 출판사'!A:B,2,0)</f>
        <v>소설1팀</v>
      </c>
      <c r="W1319" s="6">
        <f t="shared" si="40"/>
        <v>0</v>
      </c>
      <c r="X1319" s="6">
        <f t="shared" si="41"/>
        <v>2240</v>
      </c>
    </row>
    <row r="1320" spans="1:24" x14ac:dyDescent="0.3">
      <c r="A1320" t="s">
        <v>2103</v>
      </c>
      <c r="B1320" t="s">
        <v>2164</v>
      </c>
      <c r="C1320" t="s">
        <v>23</v>
      </c>
      <c r="D1320" t="s">
        <v>24</v>
      </c>
      <c r="E1320" t="s">
        <v>25</v>
      </c>
      <c r="F1320">
        <v>1</v>
      </c>
      <c r="G1320">
        <v>9791136930491</v>
      </c>
      <c r="H1320" t="s">
        <v>26</v>
      </c>
      <c r="I1320" t="s">
        <v>151</v>
      </c>
      <c r="J1320" t="s">
        <v>46</v>
      </c>
      <c r="K1320" t="s">
        <v>29</v>
      </c>
      <c r="L1320">
        <v>0</v>
      </c>
      <c r="M1320" t="s">
        <v>152</v>
      </c>
      <c r="N1320">
        <v>0</v>
      </c>
      <c r="O1320">
        <v>0</v>
      </c>
      <c r="P1320" t="s">
        <v>153</v>
      </c>
      <c r="Q1320" s="2">
        <v>0.7</v>
      </c>
      <c r="R1320">
        <v>0</v>
      </c>
      <c r="V1320" t="str">
        <f>VLOOKUP(H1320,'[1]팀별 출판사'!A:B,2,0)</f>
        <v>소설1팀</v>
      </c>
      <c r="W1320" s="6">
        <f t="shared" si="40"/>
        <v>0</v>
      </c>
      <c r="X1320" s="6">
        <f t="shared" si="41"/>
        <v>0</v>
      </c>
    </row>
    <row r="1321" spans="1:24" x14ac:dyDescent="0.3">
      <c r="A1321" t="s">
        <v>2103</v>
      </c>
      <c r="B1321" t="s">
        <v>2165</v>
      </c>
      <c r="C1321" t="s">
        <v>23</v>
      </c>
      <c r="D1321" t="s">
        <v>24</v>
      </c>
      <c r="E1321" t="s">
        <v>25</v>
      </c>
      <c r="F1321">
        <v>1</v>
      </c>
      <c r="G1321">
        <v>9791136931375</v>
      </c>
      <c r="H1321" t="s">
        <v>32</v>
      </c>
      <c r="I1321" t="s">
        <v>189</v>
      </c>
      <c r="J1321" t="s">
        <v>46</v>
      </c>
      <c r="K1321" t="s">
        <v>29</v>
      </c>
      <c r="L1321">
        <v>0</v>
      </c>
      <c r="M1321" t="s">
        <v>152</v>
      </c>
      <c r="N1321">
        <v>0</v>
      </c>
      <c r="O1321">
        <v>0</v>
      </c>
      <c r="P1321" t="s">
        <v>153</v>
      </c>
      <c r="Q1321" s="2">
        <v>0.7</v>
      </c>
      <c r="R1321">
        <v>0</v>
      </c>
      <c r="V1321" t="str">
        <f>VLOOKUP(H1321,'[1]팀별 출판사'!A:B,2,0)</f>
        <v>소설1팀</v>
      </c>
      <c r="W1321" s="6">
        <f t="shared" si="40"/>
        <v>0</v>
      </c>
      <c r="X1321" s="6">
        <f t="shared" si="41"/>
        <v>0</v>
      </c>
    </row>
    <row r="1322" spans="1:24" x14ac:dyDescent="0.3">
      <c r="A1322" t="s">
        <v>2103</v>
      </c>
      <c r="B1322" t="s">
        <v>2166</v>
      </c>
      <c r="C1322" t="s">
        <v>23</v>
      </c>
      <c r="D1322" t="s">
        <v>24</v>
      </c>
      <c r="E1322" t="s">
        <v>25</v>
      </c>
      <c r="F1322">
        <v>1</v>
      </c>
      <c r="G1322">
        <v>9791136965455</v>
      </c>
      <c r="H1322" t="s">
        <v>26</v>
      </c>
      <c r="I1322" t="s">
        <v>472</v>
      </c>
      <c r="J1322" t="s">
        <v>157</v>
      </c>
      <c r="K1322" t="s">
        <v>29</v>
      </c>
      <c r="L1322">
        <v>0</v>
      </c>
      <c r="M1322" t="s">
        <v>47</v>
      </c>
      <c r="N1322">
        <v>0</v>
      </c>
      <c r="O1322">
        <v>0</v>
      </c>
      <c r="P1322" t="s">
        <v>48</v>
      </c>
      <c r="Q1322" s="2">
        <v>0.7</v>
      </c>
      <c r="R1322">
        <v>0</v>
      </c>
      <c r="V1322" t="str">
        <f>VLOOKUP(H1322,'[1]팀별 출판사'!A:B,2,0)</f>
        <v>소설1팀</v>
      </c>
      <c r="W1322" s="6">
        <f t="shared" si="40"/>
        <v>0</v>
      </c>
      <c r="X1322" s="6">
        <f t="shared" si="41"/>
        <v>0</v>
      </c>
    </row>
    <row r="1323" spans="1:24" x14ac:dyDescent="0.3">
      <c r="A1323" t="s">
        <v>2103</v>
      </c>
      <c r="B1323" t="s">
        <v>2167</v>
      </c>
      <c r="C1323" t="s">
        <v>23</v>
      </c>
      <c r="D1323" t="s">
        <v>24</v>
      </c>
      <c r="E1323" t="s">
        <v>25</v>
      </c>
      <c r="F1323">
        <v>1</v>
      </c>
      <c r="G1323" t="s">
        <v>1582</v>
      </c>
      <c r="H1323" t="s">
        <v>32</v>
      </c>
      <c r="I1323" t="s">
        <v>1583</v>
      </c>
      <c r="J1323" t="s">
        <v>1584</v>
      </c>
      <c r="K1323" t="s">
        <v>29</v>
      </c>
      <c r="L1323">
        <v>0</v>
      </c>
      <c r="M1323" t="s">
        <v>29</v>
      </c>
      <c r="N1323">
        <v>0</v>
      </c>
      <c r="O1323">
        <v>0</v>
      </c>
      <c r="P1323" t="s">
        <v>30</v>
      </c>
      <c r="Q1323" s="2">
        <v>0.7</v>
      </c>
      <c r="R1323">
        <v>0</v>
      </c>
      <c r="V1323" t="str">
        <f>VLOOKUP(H1323,'[1]팀별 출판사'!A:B,2,0)</f>
        <v>소설1팀</v>
      </c>
      <c r="W1323" s="6">
        <f t="shared" si="40"/>
        <v>0</v>
      </c>
      <c r="X1323" s="6">
        <f t="shared" si="41"/>
        <v>0</v>
      </c>
    </row>
    <row r="1324" spans="1:24" x14ac:dyDescent="0.3">
      <c r="A1324" t="s">
        <v>2103</v>
      </c>
      <c r="B1324" t="s">
        <v>2168</v>
      </c>
      <c r="C1324" t="s">
        <v>23</v>
      </c>
      <c r="D1324" t="s">
        <v>24</v>
      </c>
      <c r="E1324" t="s">
        <v>25</v>
      </c>
      <c r="F1324">
        <v>1</v>
      </c>
      <c r="G1324" t="s">
        <v>1177</v>
      </c>
      <c r="H1324" t="s">
        <v>32</v>
      </c>
      <c r="I1324" t="s">
        <v>1178</v>
      </c>
      <c r="J1324" t="s">
        <v>88</v>
      </c>
      <c r="K1324" t="s">
        <v>29</v>
      </c>
      <c r="L1324">
        <v>0</v>
      </c>
      <c r="M1324" t="s">
        <v>29</v>
      </c>
      <c r="N1324">
        <v>0</v>
      </c>
      <c r="O1324">
        <v>0</v>
      </c>
      <c r="P1324" t="s">
        <v>30</v>
      </c>
      <c r="Q1324" s="2">
        <v>0.7</v>
      </c>
      <c r="R1324">
        <v>0</v>
      </c>
      <c r="V1324" t="str">
        <f>VLOOKUP(H1324,'[1]팀별 출판사'!A:B,2,0)</f>
        <v>소설1팀</v>
      </c>
      <c r="W1324" s="6">
        <f t="shared" si="40"/>
        <v>0</v>
      </c>
      <c r="X1324" s="6">
        <f t="shared" si="41"/>
        <v>0</v>
      </c>
    </row>
    <row r="1325" spans="1:24" x14ac:dyDescent="0.3">
      <c r="A1325" t="s">
        <v>2103</v>
      </c>
      <c r="B1325" t="s">
        <v>2169</v>
      </c>
      <c r="C1325" t="s">
        <v>23</v>
      </c>
      <c r="D1325" t="s">
        <v>24</v>
      </c>
      <c r="E1325" t="s">
        <v>25</v>
      </c>
      <c r="F1325">
        <v>1</v>
      </c>
      <c r="G1325">
        <v>9791136999658</v>
      </c>
      <c r="H1325" t="s">
        <v>26</v>
      </c>
      <c r="I1325" t="s">
        <v>2170</v>
      </c>
      <c r="J1325" t="s">
        <v>937</v>
      </c>
      <c r="K1325" t="s">
        <v>29</v>
      </c>
      <c r="L1325">
        <v>0</v>
      </c>
      <c r="M1325" t="s">
        <v>29</v>
      </c>
      <c r="N1325">
        <v>0</v>
      </c>
      <c r="O1325">
        <v>0</v>
      </c>
      <c r="P1325" t="s">
        <v>30</v>
      </c>
      <c r="Q1325" s="2">
        <v>0.7</v>
      </c>
      <c r="R1325">
        <v>0</v>
      </c>
      <c r="V1325" t="str">
        <f>VLOOKUP(H1325,'[1]팀별 출판사'!A:B,2,0)</f>
        <v>소설1팀</v>
      </c>
      <c r="W1325" s="6">
        <f t="shared" si="40"/>
        <v>0</v>
      </c>
      <c r="X1325" s="6">
        <f t="shared" si="41"/>
        <v>0</v>
      </c>
    </row>
    <row r="1326" spans="1:24" x14ac:dyDescent="0.3">
      <c r="A1326" t="s">
        <v>2103</v>
      </c>
      <c r="B1326" t="s">
        <v>2171</v>
      </c>
      <c r="C1326" t="s">
        <v>23</v>
      </c>
      <c r="D1326" t="s">
        <v>24</v>
      </c>
      <c r="E1326" t="s">
        <v>25</v>
      </c>
      <c r="F1326">
        <v>1</v>
      </c>
      <c r="G1326">
        <v>9791133181810</v>
      </c>
      <c r="H1326" t="s">
        <v>32</v>
      </c>
      <c r="I1326" t="s">
        <v>317</v>
      </c>
      <c r="J1326" t="s">
        <v>318</v>
      </c>
      <c r="K1326" t="s">
        <v>29</v>
      </c>
      <c r="L1326">
        <v>0</v>
      </c>
      <c r="M1326" t="s">
        <v>29</v>
      </c>
      <c r="N1326">
        <v>0</v>
      </c>
      <c r="O1326">
        <v>0</v>
      </c>
      <c r="P1326" t="s">
        <v>30</v>
      </c>
      <c r="Q1326" s="2">
        <v>0.7</v>
      </c>
      <c r="R1326">
        <v>0</v>
      </c>
      <c r="V1326" t="str">
        <f>VLOOKUP(H1326,'[1]팀별 출판사'!A:B,2,0)</f>
        <v>소설1팀</v>
      </c>
      <c r="W1326" s="6">
        <f t="shared" si="40"/>
        <v>0</v>
      </c>
      <c r="X1326" s="6">
        <f t="shared" si="41"/>
        <v>0</v>
      </c>
    </row>
    <row r="1327" spans="1:24" x14ac:dyDescent="0.3">
      <c r="A1327" t="s">
        <v>2103</v>
      </c>
      <c r="B1327" t="s">
        <v>2172</v>
      </c>
      <c r="C1327" t="s">
        <v>23</v>
      </c>
      <c r="D1327" t="s">
        <v>24</v>
      </c>
      <c r="E1327" t="s">
        <v>25</v>
      </c>
      <c r="F1327">
        <v>1</v>
      </c>
      <c r="G1327">
        <v>9791157532209</v>
      </c>
      <c r="H1327" t="s">
        <v>32</v>
      </c>
      <c r="I1327" t="s">
        <v>2173</v>
      </c>
      <c r="J1327" t="s">
        <v>112</v>
      </c>
      <c r="K1327" t="s">
        <v>29</v>
      </c>
      <c r="L1327" s="1">
        <v>3200</v>
      </c>
      <c r="M1327" t="s">
        <v>29</v>
      </c>
      <c r="N1327" s="1">
        <v>3200</v>
      </c>
      <c r="O1327" s="1">
        <v>3200</v>
      </c>
      <c r="P1327" t="s">
        <v>30</v>
      </c>
      <c r="Q1327" s="2">
        <v>0.7</v>
      </c>
      <c r="R1327" s="1">
        <v>2240</v>
      </c>
      <c r="S1327" t="s">
        <v>29</v>
      </c>
      <c r="T1327" s="1">
        <v>2240</v>
      </c>
      <c r="V1327" t="str">
        <f>VLOOKUP(H1327,'[1]팀별 출판사'!A:B,2,0)</f>
        <v>소설1팀</v>
      </c>
      <c r="W1327" s="6">
        <f t="shared" si="40"/>
        <v>0</v>
      </c>
      <c r="X1327" s="6">
        <f t="shared" si="41"/>
        <v>2240</v>
      </c>
    </row>
    <row r="1328" spans="1:24" x14ac:dyDescent="0.3">
      <c r="A1328" t="s">
        <v>2103</v>
      </c>
      <c r="B1328" t="s">
        <v>2174</v>
      </c>
      <c r="C1328" t="s">
        <v>23</v>
      </c>
      <c r="D1328" t="s">
        <v>24</v>
      </c>
      <c r="E1328" t="s">
        <v>25</v>
      </c>
      <c r="F1328">
        <v>1</v>
      </c>
      <c r="G1328">
        <v>9791136946782</v>
      </c>
      <c r="H1328" t="s">
        <v>26</v>
      </c>
      <c r="I1328" t="s">
        <v>291</v>
      </c>
      <c r="J1328" t="s">
        <v>28</v>
      </c>
      <c r="K1328" t="s">
        <v>29</v>
      </c>
      <c r="L1328">
        <v>0</v>
      </c>
      <c r="M1328" t="s">
        <v>29</v>
      </c>
      <c r="N1328">
        <v>0</v>
      </c>
      <c r="O1328">
        <v>0</v>
      </c>
      <c r="P1328" t="s">
        <v>30</v>
      </c>
      <c r="Q1328" s="2">
        <v>0.7</v>
      </c>
      <c r="R1328">
        <v>0</v>
      </c>
      <c r="V1328" t="str">
        <f>VLOOKUP(H1328,'[1]팀별 출판사'!A:B,2,0)</f>
        <v>소설1팀</v>
      </c>
      <c r="W1328" s="6">
        <f t="shared" si="40"/>
        <v>0</v>
      </c>
      <c r="X1328" s="6">
        <f t="shared" si="41"/>
        <v>0</v>
      </c>
    </row>
    <row r="1329" spans="1:24" x14ac:dyDescent="0.3">
      <c r="A1329" t="s">
        <v>2103</v>
      </c>
      <c r="B1329" t="s">
        <v>2175</v>
      </c>
      <c r="C1329" t="s">
        <v>23</v>
      </c>
      <c r="D1329" t="s">
        <v>24</v>
      </c>
      <c r="E1329" t="s">
        <v>25</v>
      </c>
      <c r="F1329">
        <v>1</v>
      </c>
      <c r="G1329">
        <v>9791136935496</v>
      </c>
      <c r="H1329" t="s">
        <v>32</v>
      </c>
      <c r="I1329" t="s">
        <v>441</v>
      </c>
      <c r="J1329" t="s">
        <v>442</v>
      </c>
      <c r="K1329" t="s">
        <v>29</v>
      </c>
      <c r="L1329">
        <v>0</v>
      </c>
      <c r="M1329" t="s">
        <v>127</v>
      </c>
      <c r="N1329">
        <v>0</v>
      </c>
      <c r="O1329">
        <v>0</v>
      </c>
      <c r="P1329" t="s">
        <v>128</v>
      </c>
      <c r="Q1329" s="2">
        <v>0.7</v>
      </c>
      <c r="R1329">
        <v>0</v>
      </c>
      <c r="V1329" t="str">
        <f>VLOOKUP(H1329,'[1]팀별 출판사'!A:B,2,0)</f>
        <v>소설1팀</v>
      </c>
      <c r="W1329" s="6">
        <f t="shared" si="40"/>
        <v>0</v>
      </c>
      <c r="X1329" s="6">
        <f t="shared" si="41"/>
        <v>0</v>
      </c>
    </row>
    <row r="1330" spans="1:24" x14ac:dyDescent="0.3">
      <c r="A1330" t="s">
        <v>2103</v>
      </c>
      <c r="B1330" t="s">
        <v>2176</v>
      </c>
      <c r="C1330" t="s">
        <v>23</v>
      </c>
      <c r="D1330" t="s">
        <v>24</v>
      </c>
      <c r="E1330" t="s">
        <v>25</v>
      </c>
      <c r="F1330">
        <v>1</v>
      </c>
      <c r="G1330">
        <v>9791136930286</v>
      </c>
      <c r="H1330" t="s">
        <v>32</v>
      </c>
      <c r="I1330" t="s">
        <v>818</v>
      </c>
      <c r="J1330" t="s">
        <v>157</v>
      </c>
      <c r="K1330" t="s">
        <v>29</v>
      </c>
      <c r="L1330">
        <v>0</v>
      </c>
      <c r="M1330" t="s">
        <v>29</v>
      </c>
      <c r="N1330">
        <v>0</v>
      </c>
      <c r="O1330">
        <v>0</v>
      </c>
      <c r="P1330" t="s">
        <v>30</v>
      </c>
      <c r="Q1330" s="2">
        <v>0.7</v>
      </c>
      <c r="R1330">
        <v>0</v>
      </c>
      <c r="V1330" t="str">
        <f>VLOOKUP(H1330,'[1]팀별 출판사'!A:B,2,0)</f>
        <v>소설1팀</v>
      </c>
      <c r="W1330" s="6">
        <f t="shared" si="40"/>
        <v>0</v>
      </c>
      <c r="X1330" s="6">
        <f t="shared" si="41"/>
        <v>0</v>
      </c>
    </row>
    <row r="1331" spans="1:24" x14ac:dyDescent="0.3">
      <c r="A1331" t="s">
        <v>2103</v>
      </c>
      <c r="B1331" t="s">
        <v>2177</v>
      </c>
      <c r="C1331" t="s">
        <v>23</v>
      </c>
      <c r="D1331" t="s">
        <v>24</v>
      </c>
      <c r="E1331" t="s">
        <v>25</v>
      </c>
      <c r="F1331">
        <v>1</v>
      </c>
      <c r="G1331">
        <v>9791172920135</v>
      </c>
      <c r="H1331" t="s">
        <v>26</v>
      </c>
      <c r="I1331" t="s">
        <v>278</v>
      </c>
      <c r="J1331" t="s">
        <v>276</v>
      </c>
      <c r="K1331" t="s">
        <v>29</v>
      </c>
      <c r="L1331">
        <v>0</v>
      </c>
      <c r="M1331" t="s">
        <v>29</v>
      </c>
      <c r="N1331">
        <v>0</v>
      </c>
      <c r="O1331">
        <v>0</v>
      </c>
      <c r="P1331" t="s">
        <v>30</v>
      </c>
      <c r="Q1331" s="2">
        <v>0.7</v>
      </c>
      <c r="R1331">
        <v>0</v>
      </c>
      <c r="V1331" t="str">
        <f>VLOOKUP(H1331,'[1]팀별 출판사'!A:B,2,0)</f>
        <v>소설1팀</v>
      </c>
      <c r="W1331" s="6">
        <f t="shared" si="40"/>
        <v>0</v>
      </c>
      <c r="X1331" s="6">
        <f t="shared" si="41"/>
        <v>0</v>
      </c>
    </row>
    <row r="1332" spans="1:24" x14ac:dyDescent="0.3">
      <c r="A1332" t="s">
        <v>2103</v>
      </c>
      <c r="B1332" t="s">
        <v>2178</v>
      </c>
      <c r="C1332" t="s">
        <v>23</v>
      </c>
      <c r="D1332" t="s">
        <v>24</v>
      </c>
      <c r="E1332" t="s">
        <v>25</v>
      </c>
      <c r="F1332">
        <v>1</v>
      </c>
      <c r="G1332">
        <v>9791133102662</v>
      </c>
      <c r="H1332" t="s">
        <v>32</v>
      </c>
      <c r="I1332" t="s">
        <v>675</v>
      </c>
      <c r="J1332" t="s">
        <v>51</v>
      </c>
      <c r="K1332" t="s">
        <v>29</v>
      </c>
      <c r="L1332">
        <v>0</v>
      </c>
      <c r="M1332" t="s">
        <v>29</v>
      </c>
      <c r="N1332">
        <v>0</v>
      </c>
      <c r="O1332">
        <v>0</v>
      </c>
      <c r="P1332" t="s">
        <v>30</v>
      </c>
      <c r="Q1332" s="2">
        <v>0.7</v>
      </c>
      <c r="R1332">
        <v>0</v>
      </c>
      <c r="V1332" t="str">
        <f>VLOOKUP(H1332,'[1]팀별 출판사'!A:B,2,0)</f>
        <v>소설1팀</v>
      </c>
      <c r="W1332" s="6">
        <f t="shared" si="40"/>
        <v>0</v>
      </c>
      <c r="X1332" s="6">
        <f t="shared" si="41"/>
        <v>0</v>
      </c>
    </row>
    <row r="1333" spans="1:24" x14ac:dyDescent="0.3">
      <c r="A1333" t="s">
        <v>2103</v>
      </c>
      <c r="B1333" t="s">
        <v>2179</v>
      </c>
      <c r="C1333" t="s">
        <v>23</v>
      </c>
      <c r="D1333" t="s">
        <v>24</v>
      </c>
      <c r="E1333" t="s">
        <v>25</v>
      </c>
      <c r="F1333">
        <v>1</v>
      </c>
      <c r="G1333">
        <v>9788928005833</v>
      </c>
      <c r="H1333" t="s">
        <v>32</v>
      </c>
      <c r="I1333" t="s">
        <v>2180</v>
      </c>
      <c r="J1333" t="s">
        <v>311</v>
      </c>
      <c r="K1333" t="s">
        <v>29</v>
      </c>
      <c r="L1333" s="1">
        <v>3200</v>
      </c>
      <c r="M1333" t="s">
        <v>29</v>
      </c>
      <c r="N1333" s="1">
        <v>3200</v>
      </c>
      <c r="O1333" s="1">
        <v>3200</v>
      </c>
      <c r="P1333" t="s">
        <v>30</v>
      </c>
      <c r="Q1333" s="2">
        <v>0.7</v>
      </c>
      <c r="R1333" s="1">
        <v>2240</v>
      </c>
      <c r="S1333" t="s">
        <v>29</v>
      </c>
      <c r="T1333" s="1">
        <v>2240</v>
      </c>
      <c r="V1333" t="str">
        <f>VLOOKUP(H1333,'[1]팀별 출판사'!A:B,2,0)</f>
        <v>소설1팀</v>
      </c>
      <c r="W1333" s="6">
        <f t="shared" si="40"/>
        <v>0</v>
      </c>
      <c r="X1333" s="6">
        <f t="shared" si="41"/>
        <v>2240</v>
      </c>
    </row>
    <row r="1334" spans="1:24" x14ac:dyDescent="0.3">
      <c r="A1334" t="s">
        <v>2103</v>
      </c>
      <c r="B1334" t="s">
        <v>2181</v>
      </c>
      <c r="C1334" t="s">
        <v>23</v>
      </c>
      <c r="D1334" t="s">
        <v>24</v>
      </c>
      <c r="E1334" t="s">
        <v>25</v>
      </c>
      <c r="F1334">
        <v>1</v>
      </c>
      <c r="G1334">
        <v>9791175304451</v>
      </c>
      <c r="H1334" t="s">
        <v>1617</v>
      </c>
      <c r="I1334" t="s">
        <v>2182</v>
      </c>
      <c r="J1334" t="s">
        <v>2183</v>
      </c>
      <c r="K1334" t="s">
        <v>29</v>
      </c>
      <c r="L1334" s="1">
        <v>3200</v>
      </c>
      <c r="M1334" t="s">
        <v>252</v>
      </c>
      <c r="N1334">
        <v>73</v>
      </c>
      <c r="O1334">
        <v>70</v>
      </c>
      <c r="P1334" t="s">
        <v>253</v>
      </c>
      <c r="Q1334" s="2">
        <v>0.7</v>
      </c>
      <c r="R1334">
        <v>49</v>
      </c>
      <c r="S1334" t="s">
        <v>29</v>
      </c>
      <c r="T1334" s="1">
        <v>2263</v>
      </c>
      <c r="U1334">
        <v>46.225160000000002</v>
      </c>
      <c r="V1334" t="str">
        <f>VLOOKUP(H1334,'[1]팀별 출판사'!A:B,2,0)</f>
        <v>소설2팀</v>
      </c>
      <c r="W1334" s="6">
        <f t="shared" si="40"/>
        <v>0</v>
      </c>
      <c r="X1334" s="6">
        <f t="shared" si="41"/>
        <v>2263</v>
      </c>
    </row>
    <row r="1335" spans="1:24" x14ac:dyDescent="0.3">
      <c r="A1335" t="s">
        <v>2103</v>
      </c>
      <c r="B1335" t="s">
        <v>2184</v>
      </c>
      <c r="C1335" t="s">
        <v>23</v>
      </c>
      <c r="D1335" t="s">
        <v>24</v>
      </c>
      <c r="E1335" t="s">
        <v>25</v>
      </c>
      <c r="F1335">
        <v>1</v>
      </c>
      <c r="G1335">
        <v>9791133105533</v>
      </c>
      <c r="H1335" t="s">
        <v>32</v>
      </c>
      <c r="I1335" t="s">
        <v>2185</v>
      </c>
      <c r="J1335" t="s">
        <v>88</v>
      </c>
      <c r="K1335" t="s">
        <v>29</v>
      </c>
      <c r="L1335" s="1">
        <v>3200</v>
      </c>
      <c r="M1335" t="s">
        <v>29</v>
      </c>
      <c r="N1335" s="1">
        <v>3200</v>
      </c>
      <c r="O1335" s="1">
        <v>3200</v>
      </c>
      <c r="P1335" t="s">
        <v>30</v>
      </c>
      <c r="Q1335" s="2">
        <v>0.7</v>
      </c>
      <c r="R1335" s="1">
        <v>2240</v>
      </c>
      <c r="S1335" t="s">
        <v>29</v>
      </c>
      <c r="T1335" s="1">
        <v>2240</v>
      </c>
      <c r="V1335" t="str">
        <f>VLOOKUP(H1335,'[1]팀별 출판사'!A:B,2,0)</f>
        <v>소설1팀</v>
      </c>
      <c r="W1335" s="6">
        <f t="shared" si="40"/>
        <v>0</v>
      </c>
      <c r="X1335" s="6">
        <f t="shared" si="41"/>
        <v>2240</v>
      </c>
    </row>
    <row r="1336" spans="1:24" x14ac:dyDescent="0.3">
      <c r="A1336" t="s">
        <v>2103</v>
      </c>
      <c r="B1336" t="s">
        <v>2186</v>
      </c>
      <c r="C1336" t="s">
        <v>23</v>
      </c>
      <c r="D1336" t="s">
        <v>24</v>
      </c>
      <c r="E1336" t="s">
        <v>25</v>
      </c>
      <c r="F1336">
        <v>1</v>
      </c>
      <c r="G1336">
        <v>9791136932648</v>
      </c>
      <c r="H1336" t="s">
        <v>32</v>
      </c>
      <c r="I1336" t="s">
        <v>832</v>
      </c>
      <c r="J1336" t="s">
        <v>34</v>
      </c>
      <c r="K1336" t="s">
        <v>29</v>
      </c>
      <c r="L1336">
        <v>0</v>
      </c>
      <c r="M1336" t="s">
        <v>127</v>
      </c>
      <c r="N1336">
        <v>0</v>
      </c>
      <c r="O1336">
        <v>0</v>
      </c>
      <c r="P1336" t="s">
        <v>128</v>
      </c>
      <c r="Q1336" s="2">
        <v>0.7</v>
      </c>
      <c r="R1336">
        <v>0</v>
      </c>
      <c r="V1336" t="str">
        <f>VLOOKUP(H1336,'[1]팀별 출판사'!A:B,2,0)</f>
        <v>소설1팀</v>
      </c>
      <c r="W1336" s="6">
        <f t="shared" si="40"/>
        <v>0</v>
      </c>
      <c r="X1336" s="6">
        <f t="shared" si="41"/>
        <v>0</v>
      </c>
    </row>
    <row r="1337" spans="1:24" x14ac:dyDescent="0.3">
      <c r="A1337" t="s">
        <v>2103</v>
      </c>
      <c r="B1337" t="s">
        <v>2187</v>
      </c>
      <c r="C1337" t="s">
        <v>23</v>
      </c>
      <c r="D1337" t="s">
        <v>24</v>
      </c>
      <c r="E1337" t="s">
        <v>25</v>
      </c>
      <c r="F1337">
        <v>1</v>
      </c>
      <c r="G1337">
        <v>9791136942142</v>
      </c>
      <c r="H1337" t="s">
        <v>26</v>
      </c>
      <c r="I1337" t="s">
        <v>180</v>
      </c>
      <c r="J1337" t="s">
        <v>46</v>
      </c>
      <c r="K1337" t="s">
        <v>29</v>
      </c>
      <c r="L1337">
        <v>0</v>
      </c>
      <c r="M1337" t="s">
        <v>152</v>
      </c>
      <c r="N1337">
        <v>0</v>
      </c>
      <c r="O1337">
        <v>0</v>
      </c>
      <c r="P1337" t="s">
        <v>153</v>
      </c>
      <c r="Q1337" s="2">
        <v>0.7</v>
      </c>
      <c r="R1337">
        <v>0</v>
      </c>
      <c r="V1337" t="str">
        <f>VLOOKUP(H1337,'[1]팀별 출판사'!A:B,2,0)</f>
        <v>소설1팀</v>
      </c>
      <c r="W1337" s="6">
        <f t="shared" si="40"/>
        <v>0</v>
      </c>
      <c r="X1337" s="6">
        <f t="shared" si="41"/>
        <v>0</v>
      </c>
    </row>
    <row r="1338" spans="1:24" x14ac:dyDescent="0.3">
      <c r="A1338" t="s">
        <v>2103</v>
      </c>
      <c r="B1338" t="s">
        <v>2188</v>
      </c>
      <c r="C1338" t="s">
        <v>23</v>
      </c>
      <c r="D1338" t="s">
        <v>24</v>
      </c>
      <c r="E1338" t="s">
        <v>25</v>
      </c>
      <c r="F1338">
        <v>1</v>
      </c>
      <c r="G1338">
        <v>9791136931375</v>
      </c>
      <c r="H1338" t="s">
        <v>32</v>
      </c>
      <c r="I1338" t="s">
        <v>189</v>
      </c>
      <c r="J1338" t="s">
        <v>46</v>
      </c>
      <c r="K1338" t="s">
        <v>29</v>
      </c>
      <c r="L1338">
        <v>0</v>
      </c>
      <c r="M1338" t="s">
        <v>152</v>
      </c>
      <c r="N1338">
        <v>0</v>
      </c>
      <c r="O1338">
        <v>0</v>
      </c>
      <c r="P1338" t="s">
        <v>153</v>
      </c>
      <c r="Q1338" s="2">
        <v>0.7</v>
      </c>
      <c r="R1338">
        <v>0</v>
      </c>
      <c r="V1338" t="str">
        <f>VLOOKUP(H1338,'[1]팀별 출판사'!A:B,2,0)</f>
        <v>소설1팀</v>
      </c>
      <c r="W1338" s="6">
        <f t="shared" si="40"/>
        <v>0</v>
      </c>
      <c r="X1338" s="6">
        <f t="shared" si="41"/>
        <v>0</v>
      </c>
    </row>
    <row r="1339" spans="1:24" x14ac:dyDescent="0.3">
      <c r="A1339" t="s">
        <v>2103</v>
      </c>
      <c r="B1339" t="s">
        <v>2189</v>
      </c>
      <c r="C1339" t="s">
        <v>23</v>
      </c>
      <c r="D1339" t="s">
        <v>24</v>
      </c>
      <c r="E1339" t="s">
        <v>25</v>
      </c>
      <c r="F1339">
        <v>1</v>
      </c>
      <c r="G1339">
        <v>9791136930491</v>
      </c>
      <c r="H1339" t="s">
        <v>26</v>
      </c>
      <c r="I1339" t="s">
        <v>151</v>
      </c>
      <c r="J1339" t="s">
        <v>46</v>
      </c>
      <c r="K1339" t="s">
        <v>29</v>
      </c>
      <c r="L1339">
        <v>0</v>
      </c>
      <c r="M1339" t="s">
        <v>152</v>
      </c>
      <c r="N1339">
        <v>0</v>
      </c>
      <c r="O1339">
        <v>0</v>
      </c>
      <c r="P1339" t="s">
        <v>153</v>
      </c>
      <c r="Q1339" s="2">
        <v>0.7</v>
      </c>
      <c r="R1339">
        <v>0</v>
      </c>
      <c r="V1339" t="str">
        <f>VLOOKUP(H1339,'[1]팀별 출판사'!A:B,2,0)</f>
        <v>소설1팀</v>
      </c>
      <c r="W1339" s="6">
        <f t="shared" si="40"/>
        <v>0</v>
      </c>
      <c r="X1339" s="6">
        <f t="shared" si="41"/>
        <v>0</v>
      </c>
    </row>
    <row r="1340" spans="1:24" x14ac:dyDescent="0.3">
      <c r="A1340" t="s">
        <v>2103</v>
      </c>
      <c r="B1340" t="s">
        <v>2190</v>
      </c>
      <c r="C1340" t="s">
        <v>23</v>
      </c>
      <c r="D1340" t="s">
        <v>24</v>
      </c>
      <c r="E1340" t="s">
        <v>25</v>
      </c>
      <c r="F1340">
        <v>1</v>
      </c>
      <c r="G1340">
        <v>9791136930613</v>
      </c>
      <c r="H1340" t="s">
        <v>32</v>
      </c>
      <c r="I1340" t="s">
        <v>57</v>
      </c>
      <c r="J1340" t="s">
        <v>34</v>
      </c>
      <c r="K1340" t="s">
        <v>29</v>
      </c>
      <c r="L1340">
        <v>0</v>
      </c>
      <c r="M1340" t="s">
        <v>152</v>
      </c>
      <c r="N1340">
        <v>0</v>
      </c>
      <c r="O1340">
        <v>0</v>
      </c>
      <c r="P1340" t="s">
        <v>153</v>
      </c>
      <c r="Q1340" s="2">
        <v>0.7</v>
      </c>
      <c r="R1340">
        <v>0</v>
      </c>
      <c r="V1340" t="str">
        <f>VLOOKUP(H1340,'[1]팀별 출판사'!A:B,2,0)</f>
        <v>소설1팀</v>
      </c>
      <c r="W1340" s="6">
        <f t="shared" si="40"/>
        <v>0</v>
      </c>
      <c r="X1340" s="6">
        <f t="shared" si="41"/>
        <v>0</v>
      </c>
    </row>
    <row r="1341" spans="1:24" x14ac:dyDescent="0.3">
      <c r="A1341" t="s">
        <v>2103</v>
      </c>
      <c r="B1341" t="s">
        <v>2191</v>
      </c>
      <c r="C1341" t="s">
        <v>23</v>
      </c>
      <c r="D1341" t="s">
        <v>24</v>
      </c>
      <c r="E1341" t="s">
        <v>25</v>
      </c>
      <c r="F1341">
        <v>1</v>
      </c>
      <c r="G1341">
        <v>9791194664369</v>
      </c>
      <c r="H1341" t="s">
        <v>79</v>
      </c>
      <c r="I1341" t="s">
        <v>156</v>
      </c>
      <c r="J1341" t="s">
        <v>157</v>
      </c>
      <c r="K1341" t="s">
        <v>29</v>
      </c>
      <c r="L1341">
        <v>0</v>
      </c>
      <c r="M1341" t="s">
        <v>152</v>
      </c>
      <c r="N1341">
        <v>0</v>
      </c>
      <c r="O1341">
        <v>0</v>
      </c>
      <c r="P1341" t="s">
        <v>153</v>
      </c>
      <c r="Q1341" s="2">
        <v>0.7</v>
      </c>
      <c r="R1341">
        <v>0</v>
      </c>
      <c r="V1341" t="str">
        <f>VLOOKUP(H1341,'[1]팀별 출판사'!A:B,2,0)</f>
        <v>소설1팀</v>
      </c>
      <c r="W1341" s="6">
        <f t="shared" si="40"/>
        <v>0</v>
      </c>
      <c r="X1341" s="6">
        <f t="shared" si="41"/>
        <v>0</v>
      </c>
    </row>
    <row r="1342" spans="1:24" x14ac:dyDescent="0.3">
      <c r="A1342" t="s">
        <v>2103</v>
      </c>
      <c r="B1342" t="s">
        <v>2192</v>
      </c>
      <c r="C1342" t="s">
        <v>23</v>
      </c>
      <c r="D1342" t="s">
        <v>24</v>
      </c>
      <c r="E1342" t="s">
        <v>25</v>
      </c>
      <c r="F1342">
        <v>1</v>
      </c>
      <c r="G1342">
        <v>9791136965455</v>
      </c>
      <c r="H1342" t="s">
        <v>26</v>
      </c>
      <c r="I1342" t="s">
        <v>472</v>
      </c>
      <c r="J1342" t="s">
        <v>157</v>
      </c>
      <c r="K1342" t="s">
        <v>29</v>
      </c>
      <c r="L1342">
        <v>0</v>
      </c>
      <c r="M1342" t="s">
        <v>152</v>
      </c>
      <c r="N1342">
        <v>0</v>
      </c>
      <c r="O1342">
        <v>0</v>
      </c>
      <c r="P1342" t="s">
        <v>153</v>
      </c>
      <c r="Q1342" s="2">
        <v>0.7</v>
      </c>
      <c r="R1342">
        <v>0</v>
      </c>
      <c r="V1342" t="str">
        <f>VLOOKUP(H1342,'[1]팀별 출판사'!A:B,2,0)</f>
        <v>소설1팀</v>
      </c>
      <c r="W1342" s="6">
        <f t="shared" si="40"/>
        <v>0</v>
      </c>
      <c r="X1342" s="6">
        <f t="shared" si="41"/>
        <v>0</v>
      </c>
    </row>
    <row r="1343" spans="1:24" x14ac:dyDescent="0.3">
      <c r="A1343" t="s">
        <v>2103</v>
      </c>
      <c r="B1343" t="s">
        <v>2193</v>
      </c>
      <c r="C1343" t="s">
        <v>23</v>
      </c>
      <c r="D1343" t="s">
        <v>24</v>
      </c>
      <c r="E1343" t="s">
        <v>25</v>
      </c>
      <c r="F1343">
        <v>1</v>
      </c>
      <c r="G1343">
        <v>9791136934925</v>
      </c>
      <c r="H1343" t="s">
        <v>32</v>
      </c>
      <c r="I1343" t="s">
        <v>385</v>
      </c>
      <c r="J1343" t="s">
        <v>126</v>
      </c>
      <c r="K1343" t="s">
        <v>29</v>
      </c>
      <c r="L1343">
        <v>0</v>
      </c>
      <c r="M1343" t="s">
        <v>152</v>
      </c>
      <c r="N1343">
        <v>0</v>
      </c>
      <c r="O1343">
        <v>0</v>
      </c>
      <c r="P1343" t="s">
        <v>153</v>
      </c>
      <c r="Q1343" s="2">
        <v>0.7</v>
      </c>
      <c r="R1343">
        <v>0</v>
      </c>
      <c r="V1343" t="str">
        <f>VLOOKUP(H1343,'[1]팀별 출판사'!A:B,2,0)</f>
        <v>소설1팀</v>
      </c>
      <c r="W1343" s="6">
        <f t="shared" si="40"/>
        <v>0</v>
      </c>
      <c r="X1343" s="6">
        <f t="shared" si="41"/>
        <v>0</v>
      </c>
    </row>
    <row r="1344" spans="1:24" x14ac:dyDescent="0.3">
      <c r="A1344" t="s">
        <v>2103</v>
      </c>
      <c r="B1344" t="s">
        <v>2194</v>
      </c>
      <c r="C1344" t="s">
        <v>23</v>
      </c>
      <c r="D1344" t="s">
        <v>24</v>
      </c>
      <c r="E1344" t="s">
        <v>25</v>
      </c>
      <c r="F1344">
        <v>1</v>
      </c>
      <c r="G1344">
        <v>9791136930361</v>
      </c>
      <c r="H1344" t="s">
        <v>32</v>
      </c>
      <c r="I1344" t="s">
        <v>33</v>
      </c>
      <c r="J1344" t="s">
        <v>34</v>
      </c>
      <c r="K1344" t="s">
        <v>29</v>
      </c>
      <c r="L1344">
        <v>0</v>
      </c>
      <c r="M1344" t="s">
        <v>152</v>
      </c>
      <c r="N1344">
        <v>0</v>
      </c>
      <c r="O1344">
        <v>0</v>
      </c>
      <c r="P1344" t="s">
        <v>153</v>
      </c>
      <c r="Q1344" s="2">
        <v>0.7</v>
      </c>
      <c r="R1344">
        <v>0</v>
      </c>
      <c r="V1344" t="str">
        <f>VLOOKUP(H1344,'[1]팀별 출판사'!A:B,2,0)</f>
        <v>소설1팀</v>
      </c>
      <c r="W1344" s="6">
        <f t="shared" si="40"/>
        <v>0</v>
      </c>
      <c r="X1344" s="6">
        <f t="shared" si="41"/>
        <v>0</v>
      </c>
    </row>
    <row r="1345" spans="1:24" x14ac:dyDescent="0.3">
      <c r="A1345" t="s">
        <v>2103</v>
      </c>
      <c r="B1345" t="s">
        <v>2195</v>
      </c>
      <c r="C1345" t="s">
        <v>23</v>
      </c>
      <c r="D1345" t="s">
        <v>24</v>
      </c>
      <c r="E1345" t="s">
        <v>25</v>
      </c>
      <c r="F1345">
        <v>1</v>
      </c>
      <c r="G1345">
        <v>9791136931382</v>
      </c>
      <c r="H1345" t="s">
        <v>32</v>
      </c>
      <c r="I1345" t="s">
        <v>523</v>
      </c>
      <c r="J1345" t="s">
        <v>46</v>
      </c>
      <c r="K1345" t="s">
        <v>29</v>
      </c>
      <c r="L1345">
        <v>0</v>
      </c>
      <c r="M1345" t="s">
        <v>152</v>
      </c>
      <c r="N1345">
        <v>0</v>
      </c>
      <c r="O1345">
        <v>0</v>
      </c>
      <c r="P1345" t="s">
        <v>153</v>
      </c>
      <c r="Q1345" s="2">
        <v>0.7</v>
      </c>
      <c r="R1345">
        <v>0</v>
      </c>
      <c r="V1345" t="str">
        <f>VLOOKUP(H1345,'[1]팀별 출판사'!A:B,2,0)</f>
        <v>소설1팀</v>
      </c>
      <c r="W1345" s="6">
        <f t="shared" si="40"/>
        <v>0</v>
      </c>
      <c r="X1345" s="6">
        <f t="shared" si="41"/>
        <v>0</v>
      </c>
    </row>
    <row r="1346" spans="1:24" x14ac:dyDescent="0.3">
      <c r="A1346" t="s">
        <v>2103</v>
      </c>
      <c r="B1346" t="s">
        <v>2196</v>
      </c>
      <c r="C1346" t="s">
        <v>23</v>
      </c>
      <c r="D1346" t="s">
        <v>24</v>
      </c>
      <c r="E1346" t="s">
        <v>25</v>
      </c>
      <c r="F1346">
        <v>1</v>
      </c>
      <c r="G1346">
        <v>9791172921033</v>
      </c>
      <c r="H1346" t="s">
        <v>79</v>
      </c>
      <c r="I1346" t="s">
        <v>738</v>
      </c>
      <c r="J1346" t="s">
        <v>46</v>
      </c>
      <c r="K1346" t="s">
        <v>29</v>
      </c>
      <c r="L1346">
        <v>0</v>
      </c>
      <c r="M1346" t="s">
        <v>152</v>
      </c>
      <c r="N1346">
        <v>0</v>
      </c>
      <c r="O1346">
        <v>0</v>
      </c>
      <c r="P1346" t="s">
        <v>153</v>
      </c>
      <c r="Q1346" s="2">
        <v>0.7</v>
      </c>
      <c r="R1346">
        <v>0</v>
      </c>
      <c r="V1346" t="str">
        <f>VLOOKUP(H1346,'[1]팀별 출판사'!A:B,2,0)</f>
        <v>소설1팀</v>
      </c>
      <c r="W1346" s="6">
        <f t="shared" ref="W1346:W1409" si="42">IF(P1346="US", T1346*30%, 0)</f>
        <v>0</v>
      </c>
      <c r="X1346" s="6">
        <f t="shared" ref="X1346:X1409" si="43">T1346-W1346</f>
        <v>0</v>
      </c>
    </row>
    <row r="1347" spans="1:24" x14ac:dyDescent="0.3">
      <c r="A1347" t="s">
        <v>2103</v>
      </c>
      <c r="B1347" t="s">
        <v>2197</v>
      </c>
      <c r="C1347" t="s">
        <v>23</v>
      </c>
      <c r="D1347" t="s">
        <v>24</v>
      </c>
      <c r="E1347" t="s">
        <v>25</v>
      </c>
      <c r="F1347">
        <v>1</v>
      </c>
      <c r="G1347">
        <v>9791136930224</v>
      </c>
      <c r="H1347" t="s">
        <v>32</v>
      </c>
      <c r="I1347" t="s">
        <v>172</v>
      </c>
      <c r="J1347" t="s">
        <v>46</v>
      </c>
      <c r="K1347" t="s">
        <v>29</v>
      </c>
      <c r="L1347">
        <v>0</v>
      </c>
      <c r="M1347" t="s">
        <v>152</v>
      </c>
      <c r="N1347">
        <v>0</v>
      </c>
      <c r="O1347">
        <v>0</v>
      </c>
      <c r="P1347" t="s">
        <v>153</v>
      </c>
      <c r="Q1347" s="2">
        <v>0.7</v>
      </c>
      <c r="R1347">
        <v>0</v>
      </c>
      <c r="V1347" t="str">
        <f>VLOOKUP(H1347,'[1]팀별 출판사'!A:B,2,0)</f>
        <v>소설1팀</v>
      </c>
      <c r="W1347" s="6">
        <f t="shared" si="42"/>
        <v>0</v>
      </c>
      <c r="X1347" s="6">
        <f t="shared" si="43"/>
        <v>0</v>
      </c>
    </row>
    <row r="1348" spans="1:24" x14ac:dyDescent="0.3">
      <c r="A1348" t="s">
        <v>2103</v>
      </c>
      <c r="B1348" t="s">
        <v>2198</v>
      </c>
      <c r="C1348" t="s">
        <v>23</v>
      </c>
      <c r="D1348" t="s">
        <v>24</v>
      </c>
      <c r="E1348" t="s">
        <v>25</v>
      </c>
      <c r="F1348">
        <v>1</v>
      </c>
      <c r="G1348">
        <v>9791133167241</v>
      </c>
      <c r="H1348" t="s">
        <v>32</v>
      </c>
      <c r="I1348" t="s">
        <v>1976</v>
      </c>
      <c r="J1348" t="s">
        <v>160</v>
      </c>
      <c r="K1348" t="s">
        <v>29</v>
      </c>
      <c r="L1348" s="1">
        <v>2500</v>
      </c>
      <c r="M1348" t="s">
        <v>29</v>
      </c>
      <c r="N1348" s="1">
        <v>2500</v>
      </c>
      <c r="O1348" s="1">
        <v>2500</v>
      </c>
      <c r="P1348" t="s">
        <v>30</v>
      </c>
      <c r="Q1348" s="2">
        <v>0.7</v>
      </c>
      <c r="R1348" s="1">
        <v>1750</v>
      </c>
      <c r="S1348" t="s">
        <v>29</v>
      </c>
      <c r="T1348" s="1">
        <v>1750</v>
      </c>
      <c r="V1348" t="str">
        <f>VLOOKUP(H1348,'[1]팀별 출판사'!A:B,2,0)</f>
        <v>소설1팀</v>
      </c>
      <c r="W1348" s="6">
        <f t="shared" si="42"/>
        <v>0</v>
      </c>
      <c r="X1348" s="6">
        <f t="shared" si="43"/>
        <v>1750</v>
      </c>
    </row>
    <row r="1349" spans="1:24" x14ac:dyDescent="0.3">
      <c r="A1349" t="s">
        <v>2103</v>
      </c>
      <c r="B1349" t="s">
        <v>2199</v>
      </c>
      <c r="C1349" t="s">
        <v>23</v>
      </c>
      <c r="D1349" t="s">
        <v>24</v>
      </c>
      <c r="E1349" t="s">
        <v>25</v>
      </c>
      <c r="F1349">
        <v>1</v>
      </c>
      <c r="G1349">
        <v>9788928006182</v>
      </c>
      <c r="H1349" t="s">
        <v>32</v>
      </c>
      <c r="I1349" t="s">
        <v>2200</v>
      </c>
      <c r="J1349" t="s">
        <v>311</v>
      </c>
      <c r="K1349" t="s">
        <v>29</v>
      </c>
      <c r="L1349" s="1">
        <v>3200</v>
      </c>
      <c r="M1349" t="s">
        <v>29</v>
      </c>
      <c r="N1349" s="1">
        <v>3200</v>
      </c>
      <c r="O1349" s="1">
        <v>3200</v>
      </c>
      <c r="P1349" t="s">
        <v>30</v>
      </c>
      <c r="Q1349" s="2">
        <v>0.7</v>
      </c>
      <c r="R1349" s="1">
        <v>2240</v>
      </c>
      <c r="S1349" t="s">
        <v>29</v>
      </c>
      <c r="T1349" s="1">
        <v>2240</v>
      </c>
      <c r="V1349" t="str">
        <f>VLOOKUP(H1349,'[1]팀별 출판사'!A:B,2,0)</f>
        <v>소설1팀</v>
      </c>
      <c r="W1349" s="6">
        <f t="shared" si="42"/>
        <v>0</v>
      </c>
      <c r="X1349" s="6">
        <f t="shared" si="43"/>
        <v>2240</v>
      </c>
    </row>
    <row r="1350" spans="1:24" x14ac:dyDescent="0.3">
      <c r="A1350" t="s">
        <v>2103</v>
      </c>
      <c r="B1350" t="s">
        <v>2201</v>
      </c>
      <c r="C1350" t="s">
        <v>23</v>
      </c>
      <c r="D1350" t="s">
        <v>24</v>
      </c>
      <c r="E1350" t="s">
        <v>25</v>
      </c>
      <c r="F1350">
        <v>1</v>
      </c>
      <c r="G1350">
        <v>9791136932648</v>
      </c>
      <c r="H1350" t="s">
        <v>32</v>
      </c>
      <c r="I1350" t="s">
        <v>832</v>
      </c>
      <c r="J1350" t="s">
        <v>34</v>
      </c>
      <c r="K1350" t="s">
        <v>29</v>
      </c>
      <c r="L1350">
        <v>0</v>
      </c>
      <c r="M1350" t="s">
        <v>47</v>
      </c>
      <c r="N1350">
        <v>0</v>
      </c>
      <c r="O1350">
        <v>0</v>
      </c>
      <c r="P1350" t="s">
        <v>48</v>
      </c>
      <c r="Q1350" s="2">
        <v>0.7</v>
      </c>
      <c r="R1350">
        <v>0</v>
      </c>
      <c r="V1350" t="str">
        <f>VLOOKUP(H1350,'[1]팀별 출판사'!A:B,2,0)</f>
        <v>소설1팀</v>
      </c>
      <c r="W1350" s="6">
        <f t="shared" si="42"/>
        <v>0</v>
      </c>
      <c r="X1350" s="6">
        <f t="shared" si="43"/>
        <v>0</v>
      </c>
    </row>
    <row r="1351" spans="1:24" x14ac:dyDescent="0.3">
      <c r="A1351" t="s">
        <v>2103</v>
      </c>
      <c r="B1351" t="s">
        <v>2202</v>
      </c>
      <c r="C1351" t="s">
        <v>23</v>
      </c>
      <c r="D1351" t="s">
        <v>24</v>
      </c>
      <c r="E1351" t="s">
        <v>25</v>
      </c>
      <c r="F1351">
        <v>1</v>
      </c>
      <c r="G1351" t="s">
        <v>998</v>
      </c>
      <c r="H1351" t="s">
        <v>32</v>
      </c>
      <c r="I1351" t="s">
        <v>999</v>
      </c>
      <c r="J1351" t="s">
        <v>202</v>
      </c>
      <c r="K1351" t="s">
        <v>29</v>
      </c>
      <c r="L1351">
        <v>0</v>
      </c>
      <c r="M1351" t="s">
        <v>70</v>
      </c>
      <c r="N1351">
        <v>0</v>
      </c>
      <c r="O1351">
        <v>0</v>
      </c>
      <c r="P1351" t="s">
        <v>71</v>
      </c>
      <c r="Q1351" s="2">
        <v>0.7</v>
      </c>
      <c r="R1351">
        <v>0</v>
      </c>
      <c r="V1351" t="str">
        <f>VLOOKUP(H1351,'[1]팀별 출판사'!A:B,2,0)</f>
        <v>소설1팀</v>
      </c>
      <c r="W1351" s="6">
        <f t="shared" si="42"/>
        <v>0</v>
      </c>
      <c r="X1351" s="6">
        <f t="shared" si="43"/>
        <v>0</v>
      </c>
    </row>
    <row r="1352" spans="1:24" x14ac:dyDescent="0.3">
      <c r="A1352" t="s">
        <v>2103</v>
      </c>
      <c r="B1352" t="s">
        <v>2203</v>
      </c>
      <c r="C1352" t="s">
        <v>23</v>
      </c>
      <c r="D1352" t="s">
        <v>24</v>
      </c>
      <c r="E1352" t="s">
        <v>25</v>
      </c>
      <c r="F1352">
        <v>1</v>
      </c>
      <c r="G1352">
        <v>9791173785122</v>
      </c>
      <c r="H1352" t="s">
        <v>26</v>
      </c>
      <c r="I1352" t="s">
        <v>2204</v>
      </c>
      <c r="J1352" t="s">
        <v>62</v>
      </c>
      <c r="K1352" t="s">
        <v>29</v>
      </c>
      <c r="L1352" s="1">
        <v>3200</v>
      </c>
      <c r="M1352" t="s">
        <v>29</v>
      </c>
      <c r="N1352" s="1">
        <v>3200</v>
      </c>
      <c r="O1352" s="1">
        <v>3200</v>
      </c>
      <c r="P1352" t="s">
        <v>30</v>
      </c>
      <c r="Q1352" s="2">
        <v>0.7</v>
      </c>
      <c r="R1352" s="1">
        <v>2240</v>
      </c>
      <c r="S1352" t="s">
        <v>29</v>
      </c>
      <c r="T1352" s="1">
        <v>2240</v>
      </c>
      <c r="V1352" t="str">
        <f>VLOOKUP(H1352,'[1]팀별 출판사'!A:B,2,0)</f>
        <v>소설1팀</v>
      </c>
      <c r="W1352" s="6">
        <f t="shared" si="42"/>
        <v>0</v>
      </c>
      <c r="X1352" s="6">
        <f t="shared" si="43"/>
        <v>2240</v>
      </c>
    </row>
    <row r="1353" spans="1:24" x14ac:dyDescent="0.3">
      <c r="A1353" t="s">
        <v>2103</v>
      </c>
      <c r="B1353" t="s">
        <v>2205</v>
      </c>
      <c r="C1353" t="s">
        <v>23</v>
      </c>
      <c r="D1353" t="s">
        <v>24</v>
      </c>
      <c r="E1353" t="s">
        <v>25</v>
      </c>
      <c r="F1353">
        <v>1</v>
      </c>
      <c r="G1353">
        <v>9791136988164</v>
      </c>
      <c r="H1353" t="s">
        <v>26</v>
      </c>
      <c r="I1353" t="s">
        <v>2110</v>
      </c>
      <c r="J1353" t="s">
        <v>28</v>
      </c>
      <c r="K1353" t="s">
        <v>29</v>
      </c>
      <c r="L1353" s="1">
        <v>3200</v>
      </c>
      <c r="M1353" t="s">
        <v>29</v>
      </c>
      <c r="N1353" s="1">
        <v>3200</v>
      </c>
      <c r="O1353" s="1">
        <v>3200</v>
      </c>
      <c r="P1353" t="s">
        <v>30</v>
      </c>
      <c r="Q1353" s="2">
        <v>0.7</v>
      </c>
      <c r="R1353" s="1">
        <v>2240</v>
      </c>
      <c r="S1353" t="s">
        <v>29</v>
      </c>
      <c r="T1353" s="1">
        <v>2240</v>
      </c>
      <c r="V1353" t="str">
        <f>VLOOKUP(H1353,'[1]팀별 출판사'!A:B,2,0)</f>
        <v>소설1팀</v>
      </c>
      <c r="W1353" s="6">
        <f t="shared" si="42"/>
        <v>0</v>
      </c>
      <c r="X1353" s="6">
        <f t="shared" si="43"/>
        <v>2240</v>
      </c>
    </row>
    <row r="1354" spans="1:24" x14ac:dyDescent="0.3">
      <c r="A1354" t="s">
        <v>2103</v>
      </c>
      <c r="B1354" t="s">
        <v>2206</v>
      </c>
      <c r="C1354" t="s">
        <v>23</v>
      </c>
      <c r="D1354" t="s">
        <v>24</v>
      </c>
      <c r="E1354" t="s">
        <v>25</v>
      </c>
      <c r="F1354">
        <v>1</v>
      </c>
      <c r="G1354">
        <v>9791136930552</v>
      </c>
      <c r="H1354" t="s">
        <v>26</v>
      </c>
      <c r="I1354" t="s">
        <v>45</v>
      </c>
      <c r="J1354" t="s">
        <v>46</v>
      </c>
      <c r="K1354" t="s">
        <v>29</v>
      </c>
      <c r="L1354">
        <v>0</v>
      </c>
      <c r="M1354" t="s">
        <v>47</v>
      </c>
      <c r="N1354">
        <v>0</v>
      </c>
      <c r="O1354">
        <v>0</v>
      </c>
      <c r="P1354" t="s">
        <v>48</v>
      </c>
      <c r="Q1354" s="2">
        <v>0.7</v>
      </c>
      <c r="R1354">
        <v>0</v>
      </c>
      <c r="V1354" t="str">
        <f>VLOOKUP(H1354,'[1]팀별 출판사'!A:B,2,0)</f>
        <v>소설1팀</v>
      </c>
      <c r="W1354" s="6">
        <f t="shared" si="42"/>
        <v>0</v>
      </c>
      <c r="X1354" s="6">
        <f t="shared" si="43"/>
        <v>0</v>
      </c>
    </row>
    <row r="1355" spans="1:24" x14ac:dyDescent="0.3">
      <c r="A1355" t="s">
        <v>2103</v>
      </c>
      <c r="B1355" t="s">
        <v>2207</v>
      </c>
      <c r="C1355" t="s">
        <v>23</v>
      </c>
      <c r="D1355" t="s">
        <v>24</v>
      </c>
      <c r="E1355" t="s">
        <v>25</v>
      </c>
      <c r="F1355">
        <v>1</v>
      </c>
      <c r="G1355">
        <v>9791136934925</v>
      </c>
      <c r="H1355" t="s">
        <v>32</v>
      </c>
      <c r="I1355" t="s">
        <v>385</v>
      </c>
      <c r="J1355" t="s">
        <v>126</v>
      </c>
      <c r="K1355" t="s">
        <v>29</v>
      </c>
      <c r="L1355">
        <v>0</v>
      </c>
      <c r="M1355" t="s">
        <v>152</v>
      </c>
      <c r="N1355">
        <v>0</v>
      </c>
      <c r="O1355">
        <v>0</v>
      </c>
      <c r="P1355" t="s">
        <v>153</v>
      </c>
      <c r="Q1355" s="2">
        <v>0.7</v>
      </c>
      <c r="R1355">
        <v>0</v>
      </c>
      <c r="V1355" t="str">
        <f>VLOOKUP(H1355,'[1]팀별 출판사'!A:B,2,0)</f>
        <v>소설1팀</v>
      </c>
      <c r="W1355" s="6">
        <f t="shared" si="42"/>
        <v>0</v>
      </c>
      <c r="X1355" s="6">
        <f t="shared" si="43"/>
        <v>0</v>
      </c>
    </row>
    <row r="1356" spans="1:24" x14ac:dyDescent="0.3">
      <c r="A1356" t="s">
        <v>2103</v>
      </c>
      <c r="B1356" t="s">
        <v>2208</v>
      </c>
      <c r="C1356" t="s">
        <v>23</v>
      </c>
      <c r="D1356" t="s">
        <v>24</v>
      </c>
      <c r="E1356" t="s">
        <v>25</v>
      </c>
      <c r="F1356">
        <v>1</v>
      </c>
      <c r="G1356">
        <v>9791136923608</v>
      </c>
      <c r="H1356" t="s">
        <v>26</v>
      </c>
      <c r="I1356" t="s">
        <v>1375</v>
      </c>
      <c r="J1356" t="s">
        <v>1376</v>
      </c>
      <c r="K1356" t="s">
        <v>29</v>
      </c>
      <c r="L1356">
        <v>0</v>
      </c>
      <c r="M1356" t="s">
        <v>29</v>
      </c>
      <c r="N1356">
        <v>0</v>
      </c>
      <c r="O1356">
        <v>0</v>
      </c>
      <c r="P1356" t="s">
        <v>30</v>
      </c>
      <c r="Q1356" s="2">
        <v>0.7</v>
      </c>
      <c r="R1356">
        <v>0</v>
      </c>
      <c r="V1356" t="str">
        <f>VLOOKUP(H1356,'[1]팀별 출판사'!A:B,2,0)</f>
        <v>소설1팀</v>
      </c>
      <c r="W1356" s="6">
        <f t="shared" si="42"/>
        <v>0</v>
      </c>
      <c r="X1356" s="6">
        <f t="shared" si="43"/>
        <v>0</v>
      </c>
    </row>
    <row r="1357" spans="1:24" x14ac:dyDescent="0.3">
      <c r="A1357" t="s">
        <v>2103</v>
      </c>
      <c r="B1357" t="s">
        <v>2209</v>
      </c>
      <c r="C1357" t="s">
        <v>23</v>
      </c>
      <c r="D1357" t="s">
        <v>24</v>
      </c>
      <c r="E1357" t="s">
        <v>25</v>
      </c>
      <c r="F1357">
        <v>1</v>
      </c>
      <c r="G1357" t="s">
        <v>2210</v>
      </c>
      <c r="H1357" t="s">
        <v>32</v>
      </c>
      <c r="I1357" t="s">
        <v>2211</v>
      </c>
      <c r="J1357" t="s">
        <v>43</v>
      </c>
      <c r="K1357" t="s">
        <v>29</v>
      </c>
      <c r="L1357" s="1">
        <v>3000</v>
      </c>
      <c r="M1357" t="s">
        <v>29</v>
      </c>
      <c r="N1357" s="1">
        <v>3000</v>
      </c>
      <c r="O1357" s="1">
        <v>3000</v>
      </c>
      <c r="P1357" t="s">
        <v>30</v>
      </c>
      <c r="Q1357" s="2">
        <v>0.7</v>
      </c>
      <c r="R1357" s="1">
        <v>2100</v>
      </c>
      <c r="S1357" t="s">
        <v>29</v>
      </c>
      <c r="T1357" s="1">
        <v>2100</v>
      </c>
      <c r="V1357" t="str">
        <f>VLOOKUP(H1357,'[1]팀별 출판사'!A:B,2,0)</f>
        <v>소설1팀</v>
      </c>
      <c r="W1357" s="6">
        <f t="shared" si="42"/>
        <v>0</v>
      </c>
      <c r="X1357" s="6">
        <f t="shared" si="43"/>
        <v>2100</v>
      </c>
    </row>
    <row r="1358" spans="1:24" x14ac:dyDescent="0.3">
      <c r="A1358" t="s">
        <v>2103</v>
      </c>
      <c r="B1358" t="s">
        <v>2212</v>
      </c>
      <c r="C1358" t="s">
        <v>23</v>
      </c>
      <c r="D1358" t="s">
        <v>24</v>
      </c>
      <c r="E1358" t="s">
        <v>25</v>
      </c>
      <c r="F1358">
        <v>1</v>
      </c>
      <c r="G1358">
        <v>9791136989055</v>
      </c>
      <c r="H1358" t="s">
        <v>79</v>
      </c>
      <c r="I1358" t="s">
        <v>182</v>
      </c>
      <c r="J1358" t="s">
        <v>183</v>
      </c>
      <c r="K1358" t="s">
        <v>29</v>
      </c>
      <c r="L1358">
        <v>0</v>
      </c>
      <c r="M1358" t="s">
        <v>29</v>
      </c>
      <c r="N1358">
        <v>0</v>
      </c>
      <c r="O1358">
        <v>0</v>
      </c>
      <c r="P1358" t="s">
        <v>30</v>
      </c>
      <c r="Q1358" s="2">
        <v>0.7</v>
      </c>
      <c r="R1358">
        <v>0</v>
      </c>
      <c r="V1358" t="str">
        <f>VLOOKUP(H1358,'[1]팀별 출판사'!A:B,2,0)</f>
        <v>소설1팀</v>
      </c>
      <c r="W1358" s="6">
        <f t="shared" si="42"/>
        <v>0</v>
      </c>
      <c r="X1358" s="6">
        <f t="shared" si="43"/>
        <v>0</v>
      </c>
    </row>
    <row r="1359" spans="1:24" x14ac:dyDescent="0.3">
      <c r="A1359" t="s">
        <v>2103</v>
      </c>
      <c r="B1359" t="s">
        <v>2213</v>
      </c>
      <c r="C1359" t="s">
        <v>23</v>
      </c>
      <c r="D1359" t="s">
        <v>24</v>
      </c>
      <c r="E1359" t="s">
        <v>25</v>
      </c>
      <c r="F1359">
        <v>1</v>
      </c>
      <c r="G1359">
        <v>9791170106500</v>
      </c>
      <c r="H1359" t="s">
        <v>67</v>
      </c>
      <c r="I1359" t="s">
        <v>931</v>
      </c>
      <c r="J1359" t="s">
        <v>932</v>
      </c>
      <c r="K1359" t="s">
        <v>29</v>
      </c>
      <c r="L1359">
        <v>0</v>
      </c>
      <c r="M1359" t="s">
        <v>2214</v>
      </c>
      <c r="N1359">
        <v>0</v>
      </c>
      <c r="O1359">
        <v>0</v>
      </c>
      <c r="P1359" t="s">
        <v>2215</v>
      </c>
      <c r="Q1359" s="2">
        <v>0.7</v>
      </c>
      <c r="R1359">
        <v>0</v>
      </c>
      <c r="V1359" t="str">
        <f>VLOOKUP(H1359,'[1]팀별 출판사'!A:B,2,0)</f>
        <v>소설1팀</v>
      </c>
      <c r="W1359" s="6">
        <f t="shared" si="42"/>
        <v>0</v>
      </c>
      <c r="X1359" s="6">
        <f t="shared" si="43"/>
        <v>0</v>
      </c>
    </row>
    <row r="1360" spans="1:24" x14ac:dyDescent="0.3">
      <c r="A1360" t="s">
        <v>2103</v>
      </c>
      <c r="B1360" t="s">
        <v>2216</v>
      </c>
      <c r="C1360" t="s">
        <v>23</v>
      </c>
      <c r="D1360" t="s">
        <v>24</v>
      </c>
      <c r="E1360" t="s">
        <v>25</v>
      </c>
      <c r="F1360">
        <v>1</v>
      </c>
      <c r="G1360">
        <v>9791136930811</v>
      </c>
      <c r="H1360" t="s">
        <v>32</v>
      </c>
      <c r="I1360" t="s">
        <v>1011</v>
      </c>
      <c r="J1360" t="s">
        <v>34</v>
      </c>
      <c r="K1360" t="s">
        <v>29</v>
      </c>
      <c r="L1360">
        <v>0</v>
      </c>
      <c r="M1360" t="s">
        <v>47</v>
      </c>
      <c r="N1360">
        <v>0</v>
      </c>
      <c r="O1360">
        <v>0</v>
      </c>
      <c r="P1360" t="s">
        <v>48</v>
      </c>
      <c r="Q1360" s="2">
        <v>0.7</v>
      </c>
      <c r="R1360">
        <v>0</v>
      </c>
      <c r="V1360" t="str">
        <f>VLOOKUP(H1360,'[1]팀별 출판사'!A:B,2,0)</f>
        <v>소설1팀</v>
      </c>
      <c r="W1360" s="6">
        <f t="shared" si="42"/>
        <v>0</v>
      </c>
      <c r="X1360" s="6">
        <f t="shared" si="43"/>
        <v>0</v>
      </c>
    </row>
    <row r="1361" spans="1:24" x14ac:dyDescent="0.3">
      <c r="A1361" t="s">
        <v>2103</v>
      </c>
      <c r="B1361" t="s">
        <v>2217</v>
      </c>
      <c r="C1361" t="s">
        <v>23</v>
      </c>
      <c r="D1361" t="s">
        <v>24</v>
      </c>
      <c r="E1361" t="s">
        <v>25</v>
      </c>
      <c r="F1361">
        <v>1</v>
      </c>
      <c r="G1361">
        <v>9791136903785</v>
      </c>
      <c r="H1361" t="s">
        <v>26</v>
      </c>
      <c r="I1361" t="s">
        <v>2218</v>
      </c>
      <c r="J1361" t="s">
        <v>256</v>
      </c>
      <c r="K1361" t="s">
        <v>29</v>
      </c>
      <c r="L1361" s="1">
        <v>3200</v>
      </c>
      <c r="M1361" t="s">
        <v>29</v>
      </c>
      <c r="N1361" s="1">
        <v>3200</v>
      </c>
      <c r="O1361" s="1">
        <v>3200</v>
      </c>
      <c r="P1361" t="s">
        <v>30</v>
      </c>
      <c r="Q1361" s="2">
        <v>0.7</v>
      </c>
      <c r="R1361" s="1">
        <v>2240</v>
      </c>
      <c r="S1361" t="s">
        <v>29</v>
      </c>
      <c r="T1361" s="1">
        <v>2240</v>
      </c>
      <c r="V1361" t="str">
        <f>VLOOKUP(H1361,'[1]팀별 출판사'!A:B,2,0)</f>
        <v>소설1팀</v>
      </c>
      <c r="W1361" s="6">
        <f t="shared" si="42"/>
        <v>0</v>
      </c>
      <c r="X1361" s="6">
        <f t="shared" si="43"/>
        <v>2240</v>
      </c>
    </row>
    <row r="1362" spans="1:24" x14ac:dyDescent="0.3">
      <c r="A1362" t="s">
        <v>2103</v>
      </c>
      <c r="B1362" t="s">
        <v>2219</v>
      </c>
      <c r="C1362" t="s">
        <v>23</v>
      </c>
      <c r="D1362" t="s">
        <v>24</v>
      </c>
      <c r="E1362" t="s">
        <v>25</v>
      </c>
      <c r="F1362">
        <v>1</v>
      </c>
      <c r="G1362">
        <v>9791136938091</v>
      </c>
      <c r="H1362" t="s">
        <v>263</v>
      </c>
      <c r="I1362" t="s">
        <v>2072</v>
      </c>
      <c r="J1362" t="s">
        <v>265</v>
      </c>
      <c r="K1362" t="s">
        <v>29</v>
      </c>
      <c r="L1362" s="1">
        <v>3700</v>
      </c>
      <c r="M1362" t="s">
        <v>70</v>
      </c>
      <c r="N1362">
        <v>2.56</v>
      </c>
      <c r="O1362">
        <v>2.56</v>
      </c>
      <c r="P1362" t="s">
        <v>71</v>
      </c>
      <c r="Q1362" s="2">
        <v>0.7</v>
      </c>
      <c r="R1362">
        <v>1.79</v>
      </c>
      <c r="S1362" t="s">
        <v>29</v>
      </c>
      <c r="T1362" s="1">
        <v>2609</v>
      </c>
      <c r="U1362" s="3">
        <v>1458.1734300000001</v>
      </c>
      <c r="V1362" t="str">
        <f>VLOOKUP(H1362,'[1]팀별 출판사'!A:B,2,0)</f>
        <v>소설2팀</v>
      </c>
      <c r="W1362" s="6">
        <f t="shared" si="42"/>
        <v>782.69999999999993</v>
      </c>
      <c r="X1362" s="6">
        <f t="shared" si="43"/>
        <v>1826.3000000000002</v>
      </c>
    </row>
    <row r="1363" spans="1:24" x14ac:dyDescent="0.3">
      <c r="A1363" t="s">
        <v>2103</v>
      </c>
      <c r="B1363" t="s">
        <v>2219</v>
      </c>
      <c r="C1363" t="s">
        <v>23</v>
      </c>
      <c r="D1363" t="s">
        <v>24</v>
      </c>
      <c r="E1363" t="s">
        <v>25</v>
      </c>
      <c r="F1363">
        <v>1</v>
      </c>
      <c r="G1363">
        <v>9791136938107</v>
      </c>
      <c r="H1363" t="s">
        <v>263</v>
      </c>
      <c r="I1363" t="s">
        <v>2073</v>
      </c>
      <c r="J1363" t="s">
        <v>265</v>
      </c>
      <c r="K1363" t="s">
        <v>29</v>
      </c>
      <c r="L1363" s="1">
        <v>3700</v>
      </c>
      <c r="M1363" t="s">
        <v>70</v>
      </c>
      <c r="N1363">
        <v>2.56</v>
      </c>
      <c r="O1363">
        <v>2.56</v>
      </c>
      <c r="P1363" t="s">
        <v>71</v>
      </c>
      <c r="Q1363" s="2">
        <v>0.7</v>
      </c>
      <c r="R1363">
        <v>1.79</v>
      </c>
      <c r="S1363" t="s">
        <v>29</v>
      </c>
      <c r="T1363" s="1">
        <v>2609</v>
      </c>
      <c r="U1363" s="3">
        <v>1458.1734300000001</v>
      </c>
      <c r="V1363" t="str">
        <f>VLOOKUP(H1363,'[1]팀별 출판사'!A:B,2,0)</f>
        <v>소설2팀</v>
      </c>
      <c r="W1363" s="6">
        <f t="shared" si="42"/>
        <v>782.69999999999993</v>
      </c>
      <c r="X1363" s="6">
        <f t="shared" si="43"/>
        <v>1826.3000000000002</v>
      </c>
    </row>
    <row r="1364" spans="1:24" x14ac:dyDescent="0.3">
      <c r="A1364" t="s">
        <v>2103</v>
      </c>
      <c r="B1364" t="s">
        <v>2219</v>
      </c>
      <c r="C1364" t="s">
        <v>23</v>
      </c>
      <c r="D1364" t="s">
        <v>24</v>
      </c>
      <c r="E1364" t="s">
        <v>25</v>
      </c>
      <c r="F1364">
        <v>1</v>
      </c>
      <c r="G1364">
        <v>9791136938121</v>
      </c>
      <c r="H1364" t="s">
        <v>263</v>
      </c>
      <c r="I1364" t="s">
        <v>2074</v>
      </c>
      <c r="J1364" t="s">
        <v>265</v>
      </c>
      <c r="K1364" t="s">
        <v>29</v>
      </c>
      <c r="L1364" s="1">
        <v>3700</v>
      </c>
      <c r="M1364" t="s">
        <v>70</v>
      </c>
      <c r="N1364">
        <v>2.56</v>
      </c>
      <c r="O1364">
        <v>2.56</v>
      </c>
      <c r="P1364" t="s">
        <v>71</v>
      </c>
      <c r="Q1364" s="2">
        <v>0.7</v>
      </c>
      <c r="R1364">
        <v>1.79</v>
      </c>
      <c r="S1364" t="s">
        <v>29</v>
      </c>
      <c r="T1364" s="1">
        <v>2609</v>
      </c>
      <c r="U1364" s="3">
        <v>1458.1734300000001</v>
      </c>
      <c r="V1364" t="str">
        <f>VLOOKUP(H1364,'[1]팀별 출판사'!A:B,2,0)</f>
        <v>소설2팀</v>
      </c>
      <c r="W1364" s="6">
        <f t="shared" si="42"/>
        <v>782.69999999999993</v>
      </c>
      <c r="X1364" s="6">
        <f t="shared" si="43"/>
        <v>1826.3000000000002</v>
      </c>
    </row>
    <row r="1365" spans="1:24" x14ac:dyDescent="0.3">
      <c r="A1365" t="s">
        <v>2103</v>
      </c>
      <c r="B1365" t="s">
        <v>2219</v>
      </c>
      <c r="C1365" t="s">
        <v>23</v>
      </c>
      <c r="D1365" t="s">
        <v>24</v>
      </c>
      <c r="E1365" t="s">
        <v>25</v>
      </c>
      <c r="F1365">
        <v>1</v>
      </c>
      <c r="G1365">
        <v>9791136958143</v>
      </c>
      <c r="H1365" t="s">
        <v>263</v>
      </c>
      <c r="I1365" t="s">
        <v>2075</v>
      </c>
      <c r="J1365" t="s">
        <v>265</v>
      </c>
      <c r="K1365" t="s">
        <v>29</v>
      </c>
      <c r="L1365" s="1">
        <v>2000</v>
      </c>
      <c r="M1365" t="s">
        <v>70</v>
      </c>
      <c r="N1365">
        <v>1.38</v>
      </c>
      <c r="O1365">
        <v>1.38</v>
      </c>
      <c r="P1365" t="s">
        <v>71</v>
      </c>
      <c r="Q1365" s="2">
        <v>0.7</v>
      </c>
      <c r="R1365">
        <v>0.97</v>
      </c>
      <c r="S1365" t="s">
        <v>29</v>
      </c>
      <c r="T1365" s="1">
        <v>1414</v>
      </c>
      <c r="U1365" s="3">
        <v>1458.1734300000001</v>
      </c>
      <c r="V1365" t="str">
        <f>VLOOKUP(H1365,'[1]팀별 출판사'!A:B,2,0)</f>
        <v>소설2팀</v>
      </c>
      <c r="W1365" s="6">
        <f t="shared" si="42"/>
        <v>424.2</v>
      </c>
      <c r="X1365" s="6">
        <f t="shared" si="43"/>
        <v>989.8</v>
      </c>
    </row>
    <row r="1366" spans="1:24" x14ac:dyDescent="0.3">
      <c r="A1366" t="s">
        <v>2103</v>
      </c>
      <c r="B1366" t="s">
        <v>2219</v>
      </c>
      <c r="C1366" t="s">
        <v>23</v>
      </c>
      <c r="D1366" t="s">
        <v>24</v>
      </c>
      <c r="E1366" t="s">
        <v>25</v>
      </c>
      <c r="F1366">
        <v>1</v>
      </c>
      <c r="G1366">
        <v>9791172923365</v>
      </c>
      <c r="H1366" t="s">
        <v>263</v>
      </c>
      <c r="I1366" t="s">
        <v>2076</v>
      </c>
      <c r="J1366" t="s">
        <v>265</v>
      </c>
      <c r="K1366" t="s">
        <v>29</v>
      </c>
      <c r="L1366" s="1">
        <v>1000</v>
      </c>
      <c r="M1366" t="s">
        <v>70</v>
      </c>
      <c r="N1366">
        <v>0.69</v>
      </c>
      <c r="O1366">
        <v>0.69</v>
      </c>
      <c r="P1366" t="s">
        <v>71</v>
      </c>
      <c r="Q1366" s="2">
        <v>0.7</v>
      </c>
      <c r="R1366">
        <v>0.48</v>
      </c>
      <c r="S1366" t="s">
        <v>29</v>
      </c>
      <c r="T1366">
        <v>700</v>
      </c>
      <c r="U1366" s="3">
        <v>1458.1734300000001</v>
      </c>
      <c r="V1366" t="str">
        <f>VLOOKUP(H1366,'[1]팀별 출판사'!A:B,2,0)</f>
        <v>소설2팀</v>
      </c>
      <c r="W1366" s="6">
        <f t="shared" si="42"/>
        <v>210</v>
      </c>
      <c r="X1366" s="6">
        <f t="shared" si="43"/>
        <v>490</v>
      </c>
    </row>
    <row r="1367" spans="1:24" x14ac:dyDescent="0.3">
      <c r="A1367" t="s">
        <v>2103</v>
      </c>
      <c r="B1367" t="s">
        <v>2219</v>
      </c>
      <c r="C1367" t="s">
        <v>23</v>
      </c>
      <c r="D1367" t="s">
        <v>24</v>
      </c>
      <c r="E1367" t="s">
        <v>25</v>
      </c>
      <c r="F1367">
        <v>1</v>
      </c>
      <c r="G1367">
        <v>9791173786402</v>
      </c>
      <c r="H1367" t="s">
        <v>263</v>
      </c>
      <c r="I1367" t="s">
        <v>2077</v>
      </c>
      <c r="J1367" t="s">
        <v>265</v>
      </c>
      <c r="K1367" t="s">
        <v>29</v>
      </c>
      <c r="L1367" s="1">
        <v>1000</v>
      </c>
      <c r="M1367" t="s">
        <v>70</v>
      </c>
      <c r="N1367">
        <v>0.69</v>
      </c>
      <c r="O1367">
        <v>0.69</v>
      </c>
      <c r="P1367" t="s">
        <v>71</v>
      </c>
      <c r="Q1367" s="2">
        <v>0.7</v>
      </c>
      <c r="R1367">
        <v>0.48</v>
      </c>
      <c r="S1367" t="s">
        <v>29</v>
      </c>
      <c r="T1367">
        <v>700</v>
      </c>
      <c r="U1367" s="3">
        <v>1458.1734300000001</v>
      </c>
      <c r="V1367" t="str">
        <f>VLOOKUP(H1367,'[1]팀별 출판사'!A:B,2,0)</f>
        <v>소설2팀</v>
      </c>
      <c r="W1367" s="6">
        <f t="shared" si="42"/>
        <v>210</v>
      </c>
      <c r="X1367" s="6">
        <f t="shared" si="43"/>
        <v>490</v>
      </c>
    </row>
    <row r="1368" spans="1:24" x14ac:dyDescent="0.3">
      <c r="A1368" t="s">
        <v>2103</v>
      </c>
      <c r="B1368" t="s">
        <v>2220</v>
      </c>
      <c r="C1368" t="s">
        <v>23</v>
      </c>
      <c r="D1368" t="s">
        <v>24</v>
      </c>
      <c r="E1368" t="s">
        <v>25</v>
      </c>
      <c r="F1368">
        <v>1</v>
      </c>
      <c r="G1368">
        <v>9791136930118</v>
      </c>
      <c r="H1368" t="s">
        <v>32</v>
      </c>
      <c r="I1368" t="s">
        <v>828</v>
      </c>
      <c r="J1368" t="s">
        <v>157</v>
      </c>
      <c r="K1368" t="s">
        <v>29</v>
      </c>
      <c r="L1368">
        <v>0</v>
      </c>
      <c r="M1368" t="s">
        <v>47</v>
      </c>
      <c r="N1368">
        <v>0</v>
      </c>
      <c r="O1368">
        <v>0</v>
      </c>
      <c r="P1368" t="s">
        <v>48</v>
      </c>
      <c r="Q1368" s="2">
        <v>0.7</v>
      </c>
      <c r="R1368">
        <v>0</v>
      </c>
      <c r="V1368" t="str">
        <f>VLOOKUP(H1368,'[1]팀별 출판사'!A:B,2,0)</f>
        <v>소설1팀</v>
      </c>
      <c r="W1368" s="6">
        <f t="shared" si="42"/>
        <v>0</v>
      </c>
      <c r="X1368" s="6">
        <f t="shared" si="43"/>
        <v>0</v>
      </c>
    </row>
    <row r="1369" spans="1:24" x14ac:dyDescent="0.3">
      <c r="A1369" t="s">
        <v>2103</v>
      </c>
      <c r="B1369" t="s">
        <v>2221</v>
      </c>
      <c r="C1369" t="s">
        <v>23</v>
      </c>
      <c r="D1369" t="s">
        <v>24</v>
      </c>
      <c r="E1369" t="s">
        <v>25</v>
      </c>
      <c r="F1369">
        <v>1</v>
      </c>
      <c r="G1369">
        <v>9791136930224</v>
      </c>
      <c r="H1369" t="s">
        <v>32</v>
      </c>
      <c r="I1369" t="s">
        <v>172</v>
      </c>
      <c r="J1369" t="s">
        <v>46</v>
      </c>
      <c r="K1369" t="s">
        <v>29</v>
      </c>
      <c r="L1369">
        <v>0</v>
      </c>
      <c r="M1369" t="s">
        <v>29</v>
      </c>
      <c r="N1369">
        <v>0</v>
      </c>
      <c r="O1369">
        <v>0</v>
      </c>
      <c r="P1369" t="s">
        <v>30</v>
      </c>
      <c r="Q1369" s="2">
        <v>0.7</v>
      </c>
      <c r="R1369">
        <v>0</v>
      </c>
      <c r="V1369" t="str">
        <f>VLOOKUP(H1369,'[1]팀별 출판사'!A:B,2,0)</f>
        <v>소설1팀</v>
      </c>
      <c r="W1369" s="6">
        <f t="shared" si="42"/>
        <v>0</v>
      </c>
      <c r="X1369" s="6">
        <f t="shared" si="43"/>
        <v>0</v>
      </c>
    </row>
    <row r="1370" spans="1:24" x14ac:dyDescent="0.3">
      <c r="A1370" t="s">
        <v>2103</v>
      </c>
      <c r="B1370" t="s">
        <v>2222</v>
      </c>
      <c r="C1370" t="s">
        <v>23</v>
      </c>
      <c r="D1370" t="s">
        <v>24</v>
      </c>
      <c r="E1370" t="s">
        <v>25</v>
      </c>
      <c r="F1370">
        <v>1</v>
      </c>
      <c r="G1370">
        <v>9791136946775</v>
      </c>
      <c r="H1370" t="s">
        <v>26</v>
      </c>
      <c r="I1370" t="s">
        <v>238</v>
      </c>
      <c r="J1370" t="s">
        <v>28</v>
      </c>
      <c r="K1370" t="s">
        <v>29</v>
      </c>
      <c r="L1370">
        <v>0</v>
      </c>
      <c r="M1370" t="s">
        <v>29</v>
      </c>
      <c r="N1370">
        <v>0</v>
      </c>
      <c r="O1370">
        <v>0</v>
      </c>
      <c r="P1370" t="s">
        <v>30</v>
      </c>
      <c r="Q1370" s="2">
        <v>0.7</v>
      </c>
      <c r="R1370">
        <v>0</v>
      </c>
      <c r="V1370" t="str">
        <f>VLOOKUP(H1370,'[1]팀별 출판사'!A:B,2,0)</f>
        <v>소설1팀</v>
      </c>
      <c r="W1370" s="6">
        <f t="shared" si="42"/>
        <v>0</v>
      </c>
      <c r="X1370" s="6">
        <f t="shared" si="43"/>
        <v>0</v>
      </c>
    </row>
    <row r="1371" spans="1:24" x14ac:dyDescent="0.3">
      <c r="A1371" t="s">
        <v>2103</v>
      </c>
      <c r="B1371" t="s">
        <v>2223</v>
      </c>
      <c r="C1371" t="s">
        <v>23</v>
      </c>
      <c r="D1371" t="s">
        <v>24</v>
      </c>
      <c r="E1371" t="s">
        <v>25</v>
      </c>
      <c r="F1371">
        <v>1</v>
      </c>
      <c r="G1371">
        <v>9791133143825</v>
      </c>
      <c r="H1371" t="s">
        <v>32</v>
      </c>
      <c r="I1371" t="s">
        <v>2224</v>
      </c>
      <c r="J1371" t="s">
        <v>88</v>
      </c>
      <c r="K1371" t="s">
        <v>29</v>
      </c>
      <c r="L1371" s="1">
        <v>3200</v>
      </c>
      <c r="M1371" t="s">
        <v>29</v>
      </c>
      <c r="N1371" s="1">
        <v>3200</v>
      </c>
      <c r="O1371" s="1">
        <v>3200</v>
      </c>
      <c r="P1371" t="s">
        <v>30</v>
      </c>
      <c r="Q1371" s="2">
        <v>0.7</v>
      </c>
      <c r="R1371" s="1">
        <v>2240</v>
      </c>
      <c r="S1371" t="s">
        <v>29</v>
      </c>
      <c r="T1371" s="1">
        <v>2240</v>
      </c>
      <c r="V1371" t="str">
        <f>VLOOKUP(H1371,'[1]팀별 출판사'!A:B,2,0)</f>
        <v>소설1팀</v>
      </c>
      <c r="W1371" s="6">
        <f t="shared" si="42"/>
        <v>0</v>
      </c>
      <c r="X1371" s="6">
        <f t="shared" si="43"/>
        <v>2240</v>
      </c>
    </row>
    <row r="1372" spans="1:24" x14ac:dyDescent="0.3">
      <c r="A1372" t="s">
        <v>2103</v>
      </c>
      <c r="B1372" t="s">
        <v>2225</v>
      </c>
      <c r="C1372" t="s">
        <v>23</v>
      </c>
      <c r="D1372" t="s">
        <v>24</v>
      </c>
      <c r="E1372" t="s">
        <v>25</v>
      </c>
      <c r="F1372">
        <v>1</v>
      </c>
      <c r="G1372">
        <v>9788928006595</v>
      </c>
      <c r="H1372" t="s">
        <v>32</v>
      </c>
      <c r="I1372" t="s">
        <v>2226</v>
      </c>
      <c r="J1372" t="s">
        <v>311</v>
      </c>
      <c r="K1372" t="s">
        <v>29</v>
      </c>
      <c r="L1372" s="1">
        <v>3200</v>
      </c>
      <c r="M1372" t="s">
        <v>29</v>
      </c>
      <c r="N1372" s="1">
        <v>3200</v>
      </c>
      <c r="O1372" s="1">
        <v>3200</v>
      </c>
      <c r="P1372" t="s">
        <v>30</v>
      </c>
      <c r="Q1372" s="2">
        <v>0.7</v>
      </c>
      <c r="R1372" s="1">
        <v>2240</v>
      </c>
      <c r="S1372" t="s">
        <v>29</v>
      </c>
      <c r="T1372" s="1">
        <v>2240</v>
      </c>
      <c r="V1372" t="str">
        <f>VLOOKUP(H1372,'[1]팀별 출판사'!A:B,2,0)</f>
        <v>소설1팀</v>
      </c>
      <c r="W1372" s="6">
        <f t="shared" si="42"/>
        <v>0</v>
      </c>
      <c r="X1372" s="6">
        <f t="shared" si="43"/>
        <v>2240</v>
      </c>
    </row>
    <row r="1373" spans="1:24" x14ac:dyDescent="0.3">
      <c r="A1373" t="s">
        <v>2103</v>
      </c>
      <c r="B1373" t="s">
        <v>2227</v>
      </c>
      <c r="C1373" t="s">
        <v>23</v>
      </c>
      <c r="D1373" t="s">
        <v>24</v>
      </c>
      <c r="E1373" t="s">
        <v>25</v>
      </c>
      <c r="F1373">
        <v>1</v>
      </c>
      <c r="G1373">
        <v>9791136930552</v>
      </c>
      <c r="H1373" t="s">
        <v>26</v>
      </c>
      <c r="I1373" t="s">
        <v>45</v>
      </c>
      <c r="J1373" t="s">
        <v>46</v>
      </c>
      <c r="K1373" t="s">
        <v>29</v>
      </c>
      <c r="L1373">
        <v>0</v>
      </c>
      <c r="M1373" t="s">
        <v>47</v>
      </c>
      <c r="N1373">
        <v>0</v>
      </c>
      <c r="O1373">
        <v>0</v>
      </c>
      <c r="P1373" t="s">
        <v>48</v>
      </c>
      <c r="Q1373" s="2">
        <v>0.7</v>
      </c>
      <c r="R1373">
        <v>0</v>
      </c>
      <c r="V1373" t="str">
        <f>VLOOKUP(H1373,'[1]팀별 출판사'!A:B,2,0)</f>
        <v>소설1팀</v>
      </c>
      <c r="W1373" s="6">
        <f t="shared" si="42"/>
        <v>0</v>
      </c>
      <c r="X1373" s="6">
        <f t="shared" si="43"/>
        <v>0</v>
      </c>
    </row>
    <row r="1374" spans="1:24" x14ac:dyDescent="0.3">
      <c r="A1374" t="s">
        <v>2103</v>
      </c>
      <c r="B1374" t="s">
        <v>2228</v>
      </c>
      <c r="C1374" t="s">
        <v>23</v>
      </c>
      <c r="D1374" t="s">
        <v>24</v>
      </c>
      <c r="E1374" t="s">
        <v>25</v>
      </c>
      <c r="F1374">
        <v>1</v>
      </c>
      <c r="G1374">
        <v>9791133151943</v>
      </c>
      <c r="H1374" t="s">
        <v>32</v>
      </c>
      <c r="I1374" t="s">
        <v>302</v>
      </c>
      <c r="J1374" t="s">
        <v>51</v>
      </c>
      <c r="K1374" t="s">
        <v>29</v>
      </c>
      <c r="L1374">
        <v>0</v>
      </c>
      <c r="M1374" t="s">
        <v>29</v>
      </c>
      <c r="N1374">
        <v>0</v>
      </c>
      <c r="O1374">
        <v>0</v>
      </c>
      <c r="P1374" t="s">
        <v>30</v>
      </c>
      <c r="Q1374" s="2">
        <v>0.7</v>
      </c>
      <c r="R1374">
        <v>0</v>
      </c>
      <c r="V1374" t="str">
        <f>VLOOKUP(H1374,'[1]팀별 출판사'!A:B,2,0)</f>
        <v>소설1팀</v>
      </c>
      <c r="W1374" s="6">
        <f t="shared" si="42"/>
        <v>0</v>
      </c>
      <c r="X1374" s="6">
        <f t="shared" si="43"/>
        <v>0</v>
      </c>
    </row>
    <row r="1375" spans="1:24" x14ac:dyDescent="0.3">
      <c r="A1375" t="s">
        <v>2103</v>
      </c>
      <c r="B1375" t="s">
        <v>2229</v>
      </c>
      <c r="C1375" t="s">
        <v>23</v>
      </c>
      <c r="D1375" t="s">
        <v>24</v>
      </c>
      <c r="E1375" t="s">
        <v>25</v>
      </c>
      <c r="F1375">
        <v>1</v>
      </c>
      <c r="G1375">
        <v>9791175301955</v>
      </c>
      <c r="H1375" t="s">
        <v>26</v>
      </c>
      <c r="I1375" t="s">
        <v>591</v>
      </c>
      <c r="J1375" t="s">
        <v>256</v>
      </c>
      <c r="K1375" t="s">
        <v>29</v>
      </c>
      <c r="L1375">
        <v>0</v>
      </c>
      <c r="M1375" t="s">
        <v>70</v>
      </c>
      <c r="N1375">
        <v>0</v>
      </c>
      <c r="O1375">
        <v>0</v>
      </c>
      <c r="P1375" t="s">
        <v>71</v>
      </c>
      <c r="Q1375" s="2">
        <v>0.7</v>
      </c>
      <c r="R1375">
        <v>0</v>
      </c>
      <c r="V1375" t="str">
        <f>VLOOKUP(H1375,'[1]팀별 출판사'!A:B,2,0)</f>
        <v>소설1팀</v>
      </c>
      <c r="W1375" s="6">
        <f t="shared" si="42"/>
        <v>0</v>
      </c>
      <c r="X1375" s="6">
        <f t="shared" si="43"/>
        <v>0</v>
      </c>
    </row>
    <row r="1376" spans="1:24" x14ac:dyDescent="0.3">
      <c r="A1376" t="s">
        <v>2103</v>
      </c>
      <c r="B1376" t="s">
        <v>2230</v>
      </c>
      <c r="C1376" t="s">
        <v>23</v>
      </c>
      <c r="D1376" t="s">
        <v>24</v>
      </c>
      <c r="E1376" t="s">
        <v>25</v>
      </c>
      <c r="F1376">
        <v>1</v>
      </c>
      <c r="G1376">
        <v>9791133144914</v>
      </c>
      <c r="H1376" t="s">
        <v>32</v>
      </c>
      <c r="I1376" t="s">
        <v>1822</v>
      </c>
      <c r="J1376" t="s">
        <v>1192</v>
      </c>
      <c r="K1376" t="s">
        <v>29</v>
      </c>
      <c r="L1376">
        <v>0</v>
      </c>
      <c r="M1376" t="s">
        <v>29</v>
      </c>
      <c r="N1376">
        <v>0</v>
      </c>
      <c r="O1376">
        <v>0</v>
      </c>
      <c r="P1376" t="s">
        <v>30</v>
      </c>
      <c r="Q1376" s="2">
        <v>0.7</v>
      </c>
      <c r="R1376">
        <v>0</v>
      </c>
      <c r="V1376" t="str">
        <f>VLOOKUP(H1376,'[1]팀별 출판사'!A:B,2,0)</f>
        <v>소설1팀</v>
      </c>
      <c r="W1376" s="6">
        <f t="shared" si="42"/>
        <v>0</v>
      </c>
      <c r="X1376" s="6">
        <f t="shared" si="43"/>
        <v>0</v>
      </c>
    </row>
    <row r="1377" spans="1:24" x14ac:dyDescent="0.3">
      <c r="A1377" t="s">
        <v>2103</v>
      </c>
      <c r="B1377" t="s">
        <v>2231</v>
      </c>
      <c r="C1377" t="s">
        <v>23</v>
      </c>
      <c r="D1377" t="s">
        <v>24</v>
      </c>
      <c r="E1377" t="s">
        <v>25</v>
      </c>
      <c r="F1377">
        <v>1</v>
      </c>
      <c r="G1377">
        <v>9791170106715</v>
      </c>
      <c r="H1377" t="s">
        <v>67</v>
      </c>
      <c r="I1377" t="s">
        <v>68</v>
      </c>
      <c r="J1377" t="s">
        <v>69</v>
      </c>
      <c r="K1377" t="s">
        <v>29</v>
      </c>
      <c r="L1377">
        <v>0</v>
      </c>
      <c r="M1377" t="s">
        <v>478</v>
      </c>
      <c r="N1377">
        <v>0</v>
      </c>
      <c r="O1377">
        <v>0</v>
      </c>
      <c r="P1377" t="s">
        <v>479</v>
      </c>
      <c r="Q1377" s="2">
        <v>0.7</v>
      </c>
      <c r="R1377">
        <v>0</v>
      </c>
      <c r="V1377" t="str">
        <f>VLOOKUP(H1377,'[1]팀별 출판사'!A:B,2,0)</f>
        <v>소설1팀</v>
      </c>
      <c r="W1377" s="6">
        <f t="shared" si="42"/>
        <v>0</v>
      </c>
      <c r="X1377" s="6">
        <f t="shared" si="43"/>
        <v>0</v>
      </c>
    </row>
    <row r="1378" spans="1:24" x14ac:dyDescent="0.3">
      <c r="A1378" t="s">
        <v>2103</v>
      </c>
      <c r="B1378" t="s">
        <v>2232</v>
      </c>
      <c r="C1378" t="s">
        <v>23</v>
      </c>
      <c r="D1378" t="s">
        <v>24</v>
      </c>
      <c r="E1378" t="s">
        <v>25</v>
      </c>
      <c r="F1378">
        <v>1</v>
      </c>
      <c r="G1378">
        <v>9791133198924</v>
      </c>
      <c r="H1378" t="s">
        <v>26</v>
      </c>
      <c r="I1378" t="s">
        <v>96</v>
      </c>
      <c r="J1378" t="s">
        <v>97</v>
      </c>
      <c r="K1378" t="s">
        <v>29</v>
      </c>
      <c r="L1378">
        <v>0</v>
      </c>
      <c r="M1378" t="s">
        <v>29</v>
      </c>
      <c r="N1378">
        <v>0</v>
      </c>
      <c r="O1378">
        <v>0</v>
      </c>
      <c r="P1378" t="s">
        <v>30</v>
      </c>
      <c r="Q1378" s="2">
        <v>0.7</v>
      </c>
      <c r="R1378">
        <v>0</v>
      </c>
      <c r="V1378" t="str">
        <f>VLOOKUP(H1378,'[1]팀별 출판사'!A:B,2,0)</f>
        <v>소설1팀</v>
      </c>
      <c r="W1378" s="6">
        <f t="shared" si="42"/>
        <v>0</v>
      </c>
      <c r="X1378" s="6">
        <f t="shared" si="43"/>
        <v>0</v>
      </c>
    </row>
    <row r="1379" spans="1:24" x14ac:dyDescent="0.3">
      <c r="A1379" t="s">
        <v>2103</v>
      </c>
      <c r="B1379" t="s">
        <v>2233</v>
      </c>
      <c r="C1379" t="s">
        <v>23</v>
      </c>
      <c r="D1379" t="s">
        <v>24</v>
      </c>
      <c r="E1379" t="s">
        <v>25</v>
      </c>
      <c r="F1379">
        <v>1</v>
      </c>
      <c r="G1379">
        <v>9791136930224</v>
      </c>
      <c r="H1379" t="s">
        <v>32</v>
      </c>
      <c r="I1379" t="s">
        <v>172</v>
      </c>
      <c r="J1379" t="s">
        <v>46</v>
      </c>
      <c r="K1379" t="s">
        <v>29</v>
      </c>
      <c r="L1379">
        <v>0</v>
      </c>
      <c r="M1379" t="s">
        <v>47</v>
      </c>
      <c r="N1379">
        <v>0</v>
      </c>
      <c r="O1379">
        <v>0</v>
      </c>
      <c r="P1379" t="s">
        <v>48</v>
      </c>
      <c r="Q1379" s="2">
        <v>0.7</v>
      </c>
      <c r="R1379">
        <v>0</v>
      </c>
      <c r="V1379" t="str">
        <f>VLOOKUP(H1379,'[1]팀별 출판사'!A:B,2,0)</f>
        <v>소설1팀</v>
      </c>
      <c r="W1379" s="6">
        <f t="shared" si="42"/>
        <v>0</v>
      </c>
      <c r="X1379" s="6">
        <f t="shared" si="43"/>
        <v>0</v>
      </c>
    </row>
    <row r="1380" spans="1:24" x14ac:dyDescent="0.3">
      <c r="A1380" t="s">
        <v>2103</v>
      </c>
      <c r="B1380" t="s">
        <v>2234</v>
      </c>
      <c r="C1380" t="s">
        <v>23</v>
      </c>
      <c r="D1380" t="s">
        <v>24</v>
      </c>
      <c r="E1380" t="s">
        <v>25</v>
      </c>
      <c r="F1380">
        <v>1</v>
      </c>
      <c r="G1380">
        <v>9791133167272</v>
      </c>
      <c r="H1380" t="s">
        <v>32</v>
      </c>
      <c r="I1380" t="s">
        <v>2235</v>
      </c>
      <c r="J1380" t="s">
        <v>160</v>
      </c>
      <c r="K1380" t="s">
        <v>29</v>
      </c>
      <c r="L1380" s="1">
        <v>2500</v>
      </c>
      <c r="M1380" t="s">
        <v>29</v>
      </c>
      <c r="N1380" s="1">
        <v>2500</v>
      </c>
      <c r="O1380" s="1">
        <v>2500</v>
      </c>
      <c r="P1380" t="s">
        <v>30</v>
      </c>
      <c r="Q1380" s="2">
        <v>0.7</v>
      </c>
      <c r="R1380" s="1">
        <v>1750</v>
      </c>
      <c r="S1380" t="s">
        <v>29</v>
      </c>
      <c r="T1380" s="1">
        <v>1750</v>
      </c>
      <c r="V1380" t="str">
        <f>VLOOKUP(H1380,'[1]팀별 출판사'!A:B,2,0)</f>
        <v>소설1팀</v>
      </c>
      <c r="W1380" s="6">
        <f t="shared" si="42"/>
        <v>0</v>
      </c>
      <c r="X1380" s="6">
        <f t="shared" si="43"/>
        <v>1750</v>
      </c>
    </row>
    <row r="1381" spans="1:24" x14ac:dyDescent="0.3">
      <c r="A1381" t="s">
        <v>2103</v>
      </c>
      <c r="B1381" t="s">
        <v>2234</v>
      </c>
      <c r="C1381" t="s">
        <v>23</v>
      </c>
      <c r="D1381" t="s">
        <v>24</v>
      </c>
      <c r="E1381" t="s">
        <v>25</v>
      </c>
      <c r="F1381">
        <v>1</v>
      </c>
      <c r="G1381">
        <v>9791133167289</v>
      </c>
      <c r="H1381" t="s">
        <v>32</v>
      </c>
      <c r="I1381" t="s">
        <v>2236</v>
      </c>
      <c r="J1381" t="s">
        <v>160</v>
      </c>
      <c r="K1381" t="s">
        <v>29</v>
      </c>
      <c r="L1381" s="1">
        <v>2500</v>
      </c>
      <c r="M1381" t="s">
        <v>29</v>
      </c>
      <c r="N1381" s="1">
        <v>2500</v>
      </c>
      <c r="O1381" s="1">
        <v>2500</v>
      </c>
      <c r="P1381" t="s">
        <v>30</v>
      </c>
      <c r="Q1381" s="2">
        <v>0.7</v>
      </c>
      <c r="R1381" s="1">
        <v>1750</v>
      </c>
      <c r="S1381" t="s">
        <v>29</v>
      </c>
      <c r="T1381" s="1">
        <v>1750</v>
      </c>
      <c r="V1381" t="str">
        <f>VLOOKUP(H1381,'[1]팀별 출판사'!A:B,2,0)</f>
        <v>소설1팀</v>
      </c>
      <c r="W1381" s="6">
        <f t="shared" si="42"/>
        <v>0</v>
      </c>
      <c r="X1381" s="6">
        <f t="shared" si="43"/>
        <v>1750</v>
      </c>
    </row>
    <row r="1382" spans="1:24" x14ac:dyDescent="0.3">
      <c r="A1382" t="s">
        <v>2103</v>
      </c>
      <c r="B1382" t="s">
        <v>2234</v>
      </c>
      <c r="C1382" t="s">
        <v>23</v>
      </c>
      <c r="D1382" t="s">
        <v>24</v>
      </c>
      <c r="E1382" t="s">
        <v>25</v>
      </c>
      <c r="F1382">
        <v>1</v>
      </c>
      <c r="G1382">
        <v>9791133167296</v>
      </c>
      <c r="H1382" t="s">
        <v>32</v>
      </c>
      <c r="I1382" t="s">
        <v>2237</v>
      </c>
      <c r="J1382" t="s">
        <v>160</v>
      </c>
      <c r="K1382" t="s">
        <v>29</v>
      </c>
      <c r="L1382" s="1">
        <v>2500</v>
      </c>
      <c r="M1382" t="s">
        <v>29</v>
      </c>
      <c r="N1382" s="1">
        <v>2500</v>
      </c>
      <c r="O1382" s="1">
        <v>2500</v>
      </c>
      <c r="P1382" t="s">
        <v>30</v>
      </c>
      <c r="Q1382" s="2">
        <v>0.7</v>
      </c>
      <c r="R1382" s="1">
        <v>1750</v>
      </c>
      <c r="S1382" t="s">
        <v>29</v>
      </c>
      <c r="T1382" s="1">
        <v>1750</v>
      </c>
      <c r="V1382" t="str">
        <f>VLOOKUP(H1382,'[1]팀별 출판사'!A:B,2,0)</f>
        <v>소설1팀</v>
      </c>
      <c r="W1382" s="6">
        <f t="shared" si="42"/>
        <v>0</v>
      </c>
      <c r="X1382" s="6">
        <f t="shared" si="43"/>
        <v>1750</v>
      </c>
    </row>
    <row r="1383" spans="1:24" x14ac:dyDescent="0.3">
      <c r="A1383" t="s">
        <v>2103</v>
      </c>
      <c r="B1383" t="s">
        <v>2234</v>
      </c>
      <c r="C1383" t="s">
        <v>23</v>
      </c>
      <c r="D1383" t="s">
        <v>24</v>
      </c>
      <c r="E1383" t="s">
        <v>25</v>
      </c>
      <c r="F1383">
        <v>1</v>
      </c>
      <c r="G1383">
        <v>9791133167302</v>
      </c>
      <c r="H1383" t="s">
        <v>32</v>
      </c>
      <c r="I1383" t="s">
        <v>2238</v>
      </c>
      <c r="J1383" t="s">
        <v>160</v>
      </c>
      <c r="K1383" t="s">
        <v>29</v>
      </c>
      <c r="L1383" s="1">
        <v>2500</v>
      </c>
      <c r="M1383" t="s">
        <v>29</v>
      </c>
      <c r="N1383" s="1">
        <v>2500</v>
      </c>
      <c r="O1383" s="1">
        <v>2500</v>
      </c>
      <c r="P1383" t="s">
        <v>30</v>
      </c>
      <c r="Q1383" s="2">
        <v>0.7</v>
      </c>
      <c r="R1383" s="1">
        <v>1750</v>
      </c>
      <c r="S1383" t="s">
        <v>29</v>
      </c>
      <c r="T1383" s="1">
        <v>1750</v>
      </c>
      <c r="V1383" t="str">
        <f>VLOOKUP(H1383,'[1]팀별 출판사'!A:B,2,0)</f>
        <v>소설1팀</v>
      </c>
      <c r="W1383" s="6">
        <f t="shared" si="42"/>
        <v>0</v>
      </c>
      <c r="X1383" s="6">
        <f t="shared" si="43"/>
        <v>1750</v>
      </c>
    </row>
    <row r="1384" spans="1:24" x14ac:dyDescent="0.3">
      <c r="A1384" t="s">
        <v>2103</v>
      </c>
      <c r="B1384" t="s">
        <v>2239</v>
      </c>
      <c r="C1384" t="s">
        <v>23</v>
      </c>
      <c r="D1384" t="s">
        <v>24</v>
      </c>
      <c r="E1384" t="s">
        <v>25</v>
      </c>
      <c r="F1384">
        <v>1</v>
      </c>
      <c r="G1384">
        <v>9791175301016</v>
      </c>
      <c r="H1384" t="s">
        <v>26</v>
      </c>
      <c r="I1384" t="s">
        <v>2240</v>
      </c>
      <c r="J1384" t="s">
        <v>965</v>
      </c>
      <c r="K1384" t="s">
        <v>29</v>
      </c>
      <c r="L1384" s="1">
        <v>3200</v>
      </c>
      <c r="M1384" t="s">
        <v>29</v>
      </c>
      <c r="N1384" s="1">
        <v>3200</v>
      </c>
      <c r="O1384" s="1">
        <v>3200</v>
      </c>
      <c r="P1384" t="s">
        <v>30</v>
      </c>
      <c r="Q1384" s="2">
        <v>0.7</v>
      </c>
      <c r="R1384" s="1">
        <v>2240</v>
      </c>
      <c r="S1384" t="s">
        <v>29</v>
      </c>
      <c r="T1384" s="1">
        <v>2240</v>
      </c>
      <c r="V1384" t="str">
        <f>VLOOKUP(H1384,'[1]팀별 출판사'!A:B,2,0)</f>
        <v>소설1팀</v>
      </c>
      <c r="W1384" s="6">
        <f t="shared" si="42"/>
        <v>0</v>
      </c>
      <c r="X1384" s="6">
        <f t="shared" si="43"/>
        <v>2240</v>
      </c>
    </row>
    <row r="1385" spans="1:24" x14ac:dyDescent="0.3">
      <c r="A1385" t="s">
        <v>2103</v>
      </c>
      <c r="B1385" t="s">
        <v>2241</v>
      </c>
      <c r="C1385" t="s">
        <v>23</v>
      </c>
      <c r="D1385" t="s">
        <v>24</v>
      </c>
      <c r="E1385" t="s">
        <v>25</v>
      </c>
      <c r="F1385">
        <v>1</v>
      </c>
      <c r="G1385">
        <v>9791136925664</v>
      </c>
      <c r="H1385" t="s">
        <v>26</v>
      </c>
      <c r="I1385" t="s">
        <v>453</v>
      </c>
      <c r="J1385" t="s">
        <v>62</v>
      </c>
      <c r="K1385" t="s">
        <v>29</v>
      </c>
      <c r="L1385">
        <v>0</v>
      </c>
      <c r="M1385" t="s">
        <v>29</v>
      </c>
      <c r="N1385">
        <v>0</v>
      </c>
      <c r="O1385">
        <v>0</v>
      </c>
      <c r="P1385" t="s">
        <v>30</v>
      </c>
      <c r="Q1385" s="2">
        <v>0.7</v>
      </c>
      <c r="R1385">
        <v>0</v>
      </c>
      <c r="V1385" t="str">
        <f>VLOOKUP(H1385,'[1]팀별 출판사'!A:B,2,0)</f>
        <v>소설1팀</v>
      </c>
      <c r="W1385" s="6">
        <f t="shared" si="42"/>
        <v>0</v>
      </c>
      <c r="X1385" s="6">
        <f t="shared" si="43"/>
        <v>0</v>
      </c>
    </row>
    <row r="1386" spans="1:24" x14ac:dyDescent="0.3">
      <c r="A1386" t="s">
        <v>2103</v>
      </c>
      <c r="B1386" t="s">
        <v>2242</v>
      </c>
      <c r="C1386" t="s">
        <v>23</v>
      </c>
      <c r="D1386" t="s">
        <v>24</v>
      </c>
      <c r="E1386" t="s">
        <v>25</v>
      </c>
      <c r="F1386">
        <v>1</v>
      </c>
      <c r="G1386">
        <v>9791133108879</v>
      </c>
      <c r="H1386" t="s">
        <v>32</v>
      </c>
      <c r="I1386" t="s">
        <v>143</v>
      </c>
      <c r="J1386" t="s">
        <v>144</v>
      </c>
      <c r="K1386" t="s">
        <v>29</v>
      </c>
      <c r="L1386">
        <v>0</v>
      </c>
      <c r="M1386" t="s">
        <v>29</v>
      </c>
      <c r="N1386">
        <v>0</v>
      </c>
      <c r="O1386">
        <v>0</v>
      </c>
      <c r="P1386" t="s">
        <v>30</v>
      </c>
      <c r="Q1386" s="2">
        <v>0.7</v>
      </c>
      <c r="R1386">
        <v>0</v>
      </c>
      <c r="V1386" t="str">
        <f>VLOOKUP(H1386,'[1]팀별 출판사'!A:B,2,0)</f>
        <v>소설1팀</v>
      </c>
      <c r="W1386" s="6">
        <f t="shared" si="42"/>
        <v>0</v>
      </c>
      <c r="X1386" s="6">
        <f t="shared" si="43"/>
        <v>0</v>
      </c>
    </row>
    <row r="1387" spans="1:24" x14ac:dyDescent="0.3">
      <c r="A1387" t="s">
        <v>2103</v>
      </c>
      <c r="B1387" t="s">
        <v>2243</v>
      </c>
      <c r="C1387" t="s">
        <v>23</v>
      </c>
      <c r="D1387" t="s">
        <v>24</v>
      </c>
      <c r="E1387" t="s">
        <v>25</v>
      </c>
      <c r="F1387">
        <v>1</v>
      </c>
      <c r="G1387">
        <v>9791173785139</v>
      </c>
      <c r="H1387" t="s">
        <v>26</v>
      </c>
      <c r="I1387" t="s">
        <v>2244</v>
      </c>
      <c r="J1387" t="s">
        <v>62</v>
      </c>
      <c r="K1387" t="s">
        <v>29</v>
      </c>
      <c r="L1387" s="1">
        <v>3200</v>
      </c>
      <c r="M1387" t="s">
        <v>29</v>
      </c>
      <c r="N1387" s="1">
        <v>3200</v>
      </c>
      <c r="O1387" s="1">
        <v>3200</v>
      </c>
      <c r="P1387" t="s">
        <v>30</v>
      </c>
      <c r="Q1387" s="2">
        <v>0.7</v>
      </c>
      <c r="R1387" s="1">
        <v>2240</v>
      </c>
      <c r="S1387" t="s">
        <v>29</v>
      </c>
      <c r="T1387" s="1">
        <v>2240</v>
      </c>
      <c r="V1387" t="str">
        <f>VLOOKUP(H1387,'[1]팀별 출판사'!A:B,2,0)</f>
        <v>소설1팀</v>
      </c>
      <c r="W1387" s="6">
        <f t="shared" si="42"/>
        <v>0</v>
      </c>
      <c r="X1387" s="6">
        <f t="shared" si="43"/>
        <v>2240</v>
      </c>
    </row>
    <row r="1388" spans="1:24" x14ac:dyDescent="0.3">
      <c r="A1388" t="s">
        <v>2103</v>
      </c>
      <c r="B1388" t="s">
        <v>2245</v>
      </c>
      <c r="C1388" t="s">
        <v>23</v>
      </c>
      <c r="D1388" t="s">
        <v>24</v>
      </c>
      <c r="E1388" t="s">
        <v>25</v>
      </c>
      <c r="F1388">
        <v>1</v>
      </c>
      <c r="G1388">
        <v>9791136958662</v>
      </c>
      <c r="H1388" t="s">
        <v>79</v>
      </c>
      <c r="I1388" t="s">
        <v>396</v>
      </c>
      <c r="J1388" t="s">
        <v>81</v>
      </c>
      <c r="K1388" t="s">
        <v>29</v>
      </c>
      <c r="L1388">
        <v>0</v>
      </c>
      <c r="M1388" t="s">
        <v>29</v>
      </c>
      <c r="N1388">
        <v>0</v>
      </c>
      <c r="O1388">
        <v>0</v>
      </c>
      <c r="P1388" t="s">
        <v>30</v>
      </c>
      <c r="Q1388" s="2">
        <v>0.7</v>
      </c>
      <c r="R1388">
        <v>0</v>
      </c>
      <c r="V1388" t="str">
        <f>VLOOKUP(H1388,'[1]팀별 출판사'!A:B,2,0)</f>
        <v>소설1팀</v>
      </c>
      <c r="W1388" s="6">
        <f t="shared" si="42"/>
        <v>0</v>
      </c>
      <c r="X1388" s="6">
        <f t="shared" si="43"/>
        <v>0</v>
      </c>
    </row>
    <row r="1389" spans="1:24" x14ac:dyDescent="0.3">
      <c r="A1389" t="s">
        <v>2103</v>
      </c>
      <c r="B1389" t="s">
        <v>2246</v>
      </c>
      <c r="C1389" t="s">
        <v>23</v>
      </c>
      <c r="D1389" t="s">
        <v>24</v>
      </c>
      <c r="E1389" t="s">
        <v>25</v>
      </c>
      <c r="F1389">
        <v>1</v>
      </c>
      <c r="G1389" t="s">
        <v>2247</v>
      </c>
      <c r="H1389" t="s">
        <v>32</v>
      </c>
      <c r="I1389" t="s">
        <v>2248</v>
      </c>
      <c r="J1389" t="s">
        <v>1271</v>
      </c>
      <c r="K1389" t="s">
        <v>29</v>
      </c>
      <c r="L1389">
        <v>0</v>
      </c>
      <c r="M1389" t="s">
        <v>29</v>
      </c>
      <c r="N1389">
        <v>0</v>
      </c>
      <c r="O1389">
        <v>0</v>
      </c>
      <c r="P1389" t="s">
        <v>30</v>
      </c>
      <c r="Q1389" s="2">
        <v>0.7</v>
      </c>
      <c r="R1389">
        <v>0</v>
      </c>
      <c r="V1389" t="str">
        <f>VLOOKUP(H1389,'[1]팀별 출판사'!A:B,2,0)</f>
        <v>소설1팀</v>
      </c>
      <c r="W1389" s="6">
        <f t="shared" si="42"/>
        <v>0</v>
      </c>
      <c r="X1389" s="6">
        <f t="shared" si="43"/>
        <v>0</v>
      </c>
    </row>
    <row r="1390" spans="1:24" x14ac:dyDescent="0.3">
      <c r="A1390" t="s">
        <v>2103</v>
      </c>
      <c r="B1390" t="s">
        <v>2249</v>
      </c>
      <c r="C1390" t="s">
        <v>23</v>
      </c>
      <c r="D1390" t="s">
        <v>24</v>
      </c>
      <c r="E1390" t="s">
        <v>25</v>
      </c>
      <c r="F1390">
        <v>1</v>
      </c>
      <c r="G1390">
        <v>9791136911117</v>
      </c>
      <c r="H1390" t="s">
        <v>26</v>
      </c>
      <c r="I1390" t="s">
        <v>2250</v>
      </c>
      <c r="J1390" t="s">
        <v>160</v>
      </c>
      <c r="K1390" t="s">
        <v>29</v>
      </c>
      <c r="L1390" s="1">
        <v>3200</v>
      </c>
      <c r="M1390" t="s">
        <v>29</v>
      </c>
      <c r="N1390" s="1">
        <v>3200</v>
      </c>
      <c r="O1390" s="1">
        <v>3200</v>
      </c>
      <c r="P1390" t="s">
        <v>30</v>
      </c>
      <c r="Q1390" s="2">
        <v>0.7</v>
      </c>
      <c r="R1390" s="1">
        <v>2240</v>
      </c>
      <c r="S1390" t="s">
        <v>29</v>
      </c>
      <c r="T1390" s="1">
        <v>2240</v>
      </c>
      <c r="V1390" t="str">
        <f>VLOOKUP(H1390,'[1]팀별 출판사'!A:B,2,0)</f>
        <v>소설1팀</v>
      </c>
      <c r="W1390" s="6">
        <f t="shared" si="42"/>
        <v>0</v>
      </c>
      <c r="X1390" s="6">
        <f t="shared" si="43"/>
        <v>2240</v>
      </c>
    </row>
    <row r="1391" spans="1:24" x14ac:dyDescent="0.3">
      <c r="A1391" t="s">
        <v>2103</v>
      </c>
      <c r="B1391" t="s">
        <v>2251</v>
      </c>
      <c r="C1391" t="s">
        <v>23</v>
      </c>
      <c r="D1391" t="s">
        <v>24</v>
      </c>
      <c r="E1391" t="s">
        <v>25</v>
      </c>
      <c r="F1391">
        <v>1</v>
      </c>
      <c r="G1391" t="s">
        <v>1163</v>
      </c>
      <c r="H1391" t="s">
        <v>32</v>
      </c>
      <c r="I1391" t="s">
        <v>1164</v>
      </c>
      <c r="J1391" t="s">
        <v>166</v>
      </c>
      <c r="K1391" t="s">
        <v>29</v>
      </c>
      <c r="L1391">
        <v>0</v>
      </c>
      <c r="M1391" t="s">
        <v>29</v>
      </c>
      <c r="N1391">
        <v>0</v>
      </c>
      <c r="O1391">
        <v>0</v>
      </c>
      <c r="P1391" t="s">
        <v>30</v>
      </c>
      <c r="Q1391" s="2">
        <v>0.7</v>
      </c>
      <c r="R1391">
        <v>0</v>
      </c>
      <c r="V1391" t="str">
        <f>VLOOKUP(H1391,'[1]팀별 출판사'!A:B,2,0)</f>
        <v>소설1팀</v>
      </c>
      <c r="W1391" s="6">
        <f t="shared" si="42"/>
        <v>0</v>
      </c>
      <c r="X1391" s="6">
        <f t="shared" si="43"/>
        <v>0</v>
      </c>
    </row>
    <row r="1392" spans="1:24" x14ac:dyDescent="0.3">
      <c r="A1392" t="s">
        <v>2103</v>
      </c>
      <c r="B1392" t="s">
        <v>2252</v>
      </c>
      <c r="C1392" t="s">
        <v>23</v>
      </c>
      <c r="D1392" t="s">
        <v>24</v>
      </c>
      <c r="E1392" t="s">
        <v>25</v>
      </c>
      <c r="F1392">
        <v>1</v>
      </c>
      <c r="G1392">
        <v>9791157532216</v>
      </c>
      <c r="H1392" t="s">
        <v>32</v>
      </c>
      <c r="I1392" t="s">
        <v>2253</v>
      </c>
      <c r="J1392" t="s">
        <v>112</v>
      </c>
      <c r="K1392" t="s">
        <v>29</v>
      </c>
      <c r="L1392" s="1">
        <v>3200</v>
      </c>
      <c r="M1392" t="s">
        <v>29</v>
      </c>
      <c r="N1392" s="1">
        <v>3200</v>
      </c>
      <c r="O1392" s="1">
        <v>3200</v>
      </c>
      <c r="P1392" t="s">
        <v>30</v>
      </c>
      <c r="Q1392" s="2">
        <v>0.7</v>
      </c>
      <c r="R1392" s="1">
        <v>2240</v>
      </c>
      <c r="S1392" t="s">
        <v>29</v>
      </c>
      <c r="T1392" s="1">
        <v>2240</v>
      </c>
      <c r="V1392" t="str">
        <f>VLOOKUP(H1392,'[1]팀별 출판사'!A:B,2,0)</f>
        <v>소설1팀</v>
      </c>
      <c r="W1392" s="6">
        <f t="shared" si="42"/>
        <v>0</v>
      </c>
      <c r="X1392" s="6">
        <f t="shared" si="43"/>
        <v>2240</v>
      </c>
    </row>
    <row r="1393" spans="1:24" x14ac:dyDescent="0.3">
      <c r="A1393" t="s">
        <v>2103</v>
      </c>
      <c r="B1393" t="s">
        <v>2254</v>
      </c>
      <c r="C1393" t="s">
        <v>23</v>
      </c>
      <c r="D1393" t="s">
        <v>24</v>
      </c>
      <c r="E1393" t="s">
        <v>25</v>
      </c>
      <c r="F1393">
        <v>1</v>
      </c>
      <c r="G1393">
        <v>9791170106715</v>
      </c>
      <c r="H1393" t="s">
        <v>67</v>
      </c>
      <c r="I1393" t="s">
        <v>68</v>
      </c>
      <c r="J1393" t="s">
        <v>69</v>
      </c>
      <c r="K1393" t="s">
        <v>29</v>
      </c>
      <c r="L1393">
        <v>0</v>
      </c>
      <c r="M1393" t="s">
        <v>2255</v>
      </c>
      <c r="N1393">
        <v>0</v>
      </c>
      <c r="O1393">
        <v>0</v>
      </c>
      <c r="P1393" t="s">
        <v>2256</v>
      </c>
      <c r="Q1393" s="2">
        <v>0.7</v>
      </c>
      <c r="R1393">
        <v>0</v>
      </c>
      <c r="V1393" t="str">
        <f>VLOOKUP(H1393,'[1]팀별 출판사'!A:B,2,0)</f>
        <v>소설1팀</v>
      </c>
      <c r="W1393" s="6">
        <f t="shared" si="42"/>
        <v>0</v>
      </c>
      <c r="X1393" s="6">
        <f t="shared" si="43"/>
        <v>0</v>
      </c>
    </row>
    <row r="1394" spans="1:24" x14ac:dyDescent="0.3">
      <c r="A1394" t="s">
        <v>2103</v>
      </c>
      <c r="B1394" t="s">
        <v>2257</v>
      </c>
      <c r="C1394" t="s">
        <v>23</v>
      </c>
      <c r="D1394" t="s">
        <v>24</v>
      </c>
      <c r="E1394" t="s">
        <v>25</v>
      </c>
      <c r="F1394">
        <v>1</v>
      </c>
      <c r="G1394">
        <v>9791136927255</v>
      </c>
      <c r="H1394" t="s">
        <v>36</v>
      </c>
      <c r="I1394" t="s">
        <v>90</v>
      </c>
      <c r="J1394" t="s">
        <v>38</v>
      </c>
      <c r="K1394" t="s">
        <v>29</v>
      </c>
      <c r="L1394" s="1">
        <v>3300</v>
      </c>
      <c r="M1394" t="s">
        <v>29</v>
      </c>
      <c r="N1394" s="1">
        <v>3300</v>
      </c>
      <c r="O1394" s="1">
        <v>3300</v>
      </c>
      <c r="P1394" t="s">
        <v>30</v>
      </c>
      <c r="Q1394" s="2">
        <v>0.7</v>
      </c>
      <c r="R1394" s="1">
        <v>2310</v>
      </c>
      <c r="S1394" t="s">
        <v>29</v>
      </c>
      <c r="T1394" s="1">
        <v>2310</v>
      </c>
      <c r="V1394" t="str">
        <f>VLOOKUP(H1394,'[1]팀별 출판사'!A:B,2,0)</f>
        <v>소설2팀</v>
      </c>
      <c r="W1394" s="6">
        <f t="shared" si="42"/>
        <v>0</v>
      </c>
      <c r="X1394" s="6">
        <f t="shared" si="43"/>
        <v>2310</v>
      </c>
    </row>
    <row r="1395" spans="1:24" x14ac:dyDescent="0.3">
      <c r="A1395" t="s">
        <v>2103</v>
      </c>
      <c r="B1395" t="s">
        <v>2258</v>
      </c>
      <c r="C1395" t="s">
        <v>23</v>
      </c>
      <c r="D1395" t="s">
        <v>24</v>
      </c>
      <c r="E1395" t="s">
        <v>25</v>
      </c>
      <c r="F1395">
        <v>1</v>
      </c>
      <c r="G1395">
        <v>9791136927675</v>
      </c>
      <c r="H1395" t="s">
        <v>36</v>
      </c>
      <c r="I1395" t="s">
        <v>2259</v>
      </c>
      <c r="J1395" t="s">
        <v>38</v>
      </c>
      <c r="K1395" t="s">
        <v>29</v>
      </c>
      <c r="L1395" s="1">
        <v>3300</v>
      </c>
      <c r="M1395" t="s">
        <v>29</v>
      </c>
      <c r="N1395" s="1">
        <v>3300</v>
      </c>
      <c r="O1395" s="1">
        <v>3300</v>
      </c>
      <c r="P1395" t="s">
        <v>30</v>
      </c>
      <c r="Q1395" s="2">
        <v>0.7</v>
      </c>
      <c r="R1395" s="1">
        <v>2310</v>
      </c>
      <c r="S1395" t="s">
        <v>29</v>
      </c>
      <c r="T1395" s="1">
        <v>2310</v>
      </c>
      <c r="V1395" t="str">
        <f>VLOOKUP(H1395,'[1]팀별 출판사'!A:B,2,0)</f>
        <v>소설2팀</v>
      </c>
      <c r="W1395" s="6">
        <f t="shared" si="42"/>
        <v>0</v>
      </c>
      <c r="X1395" s="6">
        <f t="shared" si="43"/>
        <v>2310</v>
      </c>
    </row>
    <row r="1396" spans="1:24" x14ac:dyDescent="0.3">
      <c r="A1396" t="s">
        <v>2103</v>
      </c>
      <c r="B1396" t="s">
        <v>2258</v>
      </c>
      <c r="C1396" t="s">
        <v>23</v>
      </c>
      <c r="D1396" t="s">
        <v>24</v>
      </c>
      <c r="E1396" t="s">
        <v>25</v>
      </c>
      <c r="F1396">
        <v>1</v>
      </c>
      <c r="G1396">
        <v>9791136940704</v>
      </c>
      <c r="H1396" t="s">
        <v>36</v>
      </c>
      <c r="I1396" t="s">
        <v>2260</v>
      </c>
      <c r="J1396" t="s">
        <v>38</v>
      </c>
      <c r="K1396" t="s">
        <v>29</v>
      </c>
      <c r="L1396" s="1">
        <v>3300</v>
      </c>
      <c r="M1396" t="s">
        <v>29</v>
      </c>
      <c r="N1396" s="1">
        <v>3300</v>
      </c>
      <c r="O1396" s="1">
        <v>3300</v>
      </c>
      <c r="P1396" t="s">
        <v>30</v>
      </c>
      <c r="Q1396" s="2">
        <v>0.7</v>
      </c>
      <c r="R1396" s="1">
        <v>2310</v>
      </c>
      <c r="S1396" t="s">
        <v>29</v>
      </c>
      <c r="T1396" s="1">
        <v>2310</v>
      </c>
      <c r="V1396" t="str">
        <f>VLOOKUP(H1396,'[1]팀별 출판사'!A:B,2,0)</f>
        <v>소설2팀</v>
      </c>
      <c r="W1396" s="6">
        <f t="shared" si="42"/>
        <v>0</v>
      </c>
      <c r="X1396" s="6">
        <f t="shared" si="43"/>
        <v>2310</v>
      </c>
    </row>
    <row r="1397" spans="1:24" x14ac:dyDescent="0.3">
      <c r="A1397" t="s">
        <v>2103</v>
      </c>
      <c r="B1397" t="s">
        <v>2258</v>
      </c>
      <c r="C1397" t="s">
        <v>23</v>
      </c>
      <c r="D1397" t="s">
        <v>24</v>
      </c>
      <c r="E1397" t="s">
        <v>25</v>
      </c>
      <c r="F1397">
        <v>1</v>
      </c>
      <c r="G1397">
        <v>9791136940728</v>
      </c>
      <c r="H1397" t="s">
        <v>36</v>
      </c>
      <c r="I1397" t="s">
        <v>2019</v>
      </c>
      <c r="J1397" t="s">
        <v>38</v>
      </c>
      <c r="K1397" t="s">
        <v>29</v>
      </c>
      <c r="L1397" s="1">
        <v>3300</v>
      </c>
      <c r="M1397" t="s">
        <v>29</v>
      </c>
      <c r="N1397" s="1">
        <v>3300</v>
      </c>
      <c r="O1397" s="1">
        <v>3300</v>
      </c>
      <c r="P1397" t="s">
        <v>30</v>
      </c>
      <c r="Q1397" s="2">
        <v>0.7</v>
      </c>
      <c r="R1397" s="1">
        <v>2310</v>
      </c>
      <c r="S1397" t="s">
        <v>29</v>
      </c>
      <c r="T1397" s="1">
        <v>2310</v>
      </c>
      <c r="V1397" t="str">
        <f>VLOOKUP(H1397,'[1]팀별 출판사'!A:B,2,0)</f>
        <v>소설2팀</v>
      </c>
      <c r="W1397" s="6">
        <f t="shared" si="42"/>
        <v>0</v>
      </c>
      <c r="X1397" s="6">
        <f t="shared" si="43"/>
        <v>2310</v>
      </c>
    </row>
    <row r="1398" spans="1:24" x14ac:dyDescent="0.3">
      <c r="A1398" t="s">
        <v>2103</v>
      </c>
      <c r="B1398" t="s">
        <v>2258</v>
      </c>
      <c r="C1398" t="s">
        <v>23</v>
      </c>
      <c r="D1398" t="s">
        <v>24</v>
      </c>
      <c r="E1398" t="s">
        <v>25</v>
      </c>
      <c r="F1398">
        <v>1</v>
      </c>
      <c r="G1398">
        <v>9791173786648</v>
      </c>
      <c r="H1398" t="s">
        <v>36</v>
      </c>
      <c r="I1398" t="s">
        <v>2003</v>
      </c>
      <c r="J1398" t="s">
        <v>38</v>
      </c>
      <c r="K1398" t="s">
        <v>29</v>
      </c>
      <c r="L1398" s="1">
        <v>1800</v>
      </c>
      <c r="M1398" t="s">
        <v>29</v>
      </c>
      <c r="N1398" s="1">
        <v>1800</v>
      </c>
      <c r="O1398" s="1">
        <v>1800</v>
      </c>
      <c r="P1398" t="s">
        <v>30</v>
      </c>
      <c r="Q1398" s="2">
        <v>0.7</v>
      </c>
      <c r="R1398" s="1">
        <v>1260</v>
      </c>
      <c r="S1398" t="s">
        <v>29</v>
      </c>
      <c r="T1398" s="1">
        <v>1260</v>
      </c>
      <c r="V1398" t="str">
        <f>VLOOKUP(H1398,'[1]팀별 출판사'!A:B,2,0)</f>
        <v>소설2팀</v>
      </c>
      <c r="W1398" s="6">
        <f t="shared" si="42"/>
        <v>0</v>
      </c>
      <c r="X1398" s="6">
        <f t="shared" si="43"/>
        <v>1260</v>
      </c>
    </row>
    <row r="1399" spans="1:24" x14ac:dyDescent="0.3">
      <c r="A1399" t="s">
        <v>2103</v>
      </c>
      <c r="B1399" t="s">
        <v>2261</v>
      </c>
      <c r="C1399" t="s">
        <v>23</v>
      </c>
      <c r="D1399" t="s">
        <v>24</v>
      </c>
      <c r="E1399" t="s">
        <v>25</v>
      </c>
      <c r="F1399">
        <v>1</v>
      </c>
      <c r="G1399">
        <v>9791136999658</v>
      </c>
      <c r="H1399" t="s">
        <v>26</v>
      </c>
      <c r="I1399" t="s">
        <v>2170</v>
      </c>
      <c r="J1399" t="s">
        <v>937</v>
      </c>
      <c r="K1399" t="s">
        <v>29</v>
      </c>
      <c r="L1399">
        <v>0</v>
      </c>
      <c r="M1399" t="s">
        <v>29</v>
      </c>
      <c r="N1399">
        <v>0</v>
      </c>
      <c r="O1399">
        <v>0</v>
      </c>
      <c r="P1399" t="s">
        <v>30</v>
      </c>
      <c r="Q1399" s="2">
        <v>0.7</v>
      </c>
      <c r="R1399">
        <v>0</v>
      </c>
      <c r="V1399" t="str">
        <f>VLOOKUP(H1399,'[1]팀별 출판사'!A:B,2,0)</f>
        <v>소설1팀</v>
      </c>
      <c r="W1399" s="6">
        <f t="shared" si="42"/>
        <v>0</v>
      </c>
      <c r="X1399" s="6">
        <f t="shared" si="43"/>
        <v>0</v>
      </c>
    </row>
    <row r="1400" spans="1:24" x14ac:dyDescent="0.3">
      <c r="A1400" t="s">
        <v>2103</v>
      </c>
      <c r="B1400" t="s">
        <v>2262</v>
      </c>
      <c r="C1400" t="s">
        <v>23</v>
      </c>
      <c r="D1400" t="s">
        <v>24</v>
      </c>
      <c r="E1400" t="s">
        <v>25</v>
      </c>
      <c r="F1400">
        <v>1</v>
      </c>
      <c r="G1400">
        <v>9791136936769</v>
      </c>
      <c r="H1400" t="s">
        <v>32</v>
      </c>
      <c r="I1400" t="s">
        <v>792</v>
      </c>
      <c r="J1400" t="s">
        <v>793</v>
      </c>
      <c r="K1400" t="s">
        <v>29</v>
      </c>
      <c r="L1400">
        <v>0</v>
      </c>
      <c r="M1400" t="s">
        <v>29</v>
      </c>
      <c r="N1400">
        <v>0</v>
      </c>
      <c r="O1400">
        <v>0</v>
      </c>
      <c r="P1400" t="s">
        <v>30</v>
      </c>
      <c r="Q1400" s="2">
        <v>0.7</v>
      </c>
      <c r="R1400">
        <v>0</v>
      </c>
      <c r="V1400" t="str">
        <f>VLOOKUP(H1400,'[1]팀별 출판사'!A:B,2,0)</f>
        <v>소설1팀</v>
      </c>
      <c r="W1400" s="6">
        <f t="shared" si="42"/>
        <v>0</v>
      </c>
      <c r="X1400" s="6">
        <f t="shared" si="43"/>
        <v>0</v>
      </c>
    </row>
    <row r="1401" spans="1:24" x14ac:dyDescent="0.3">
      <c r="A1401" t="s">
        <v>2103</v>
      </c>
      <c r="B1401" t="s">
        <v>2263</v>
      </c>
      <c r="C1401" t="s">
        <v>23</v>
      </c>
      <c r="D1401" t="s">
        <v>24</v>
      </c>
      <c r="E1401" t="s">
        <v>25</v>
      </c>
      <c r="F1401">
        <v>1</v>
      </c>
      <c r="G1401">
        <v>9791173785115</v>
      </c>
      <c r="H1401" t="s">
        <v>26</v>
      </c>
      <c r="I1401" t="s">
        <v>2065</v>
      </c>
      <c r="J1401" t="s">
        <v>62</v>
      </c>
      <c r="K1401" t="s">
        <v>29</v>
      </c>
      <c r="L1401" s="1">
        <v>3200</v>
      </c>
      <c r="M1401" t="s">
        <v>29</v>
      </c>
      <c r="N1401" s="1">
        <v>3200</v>
      </c>
      <c r="O1401" s="1">
        <v>3200</v>
      </c>
      <c r="P1401" t="s">
        <v>30</v>
      </c>
      <c r="Q1401" s="2">
        <v>0.7</v>
      </c>
      <c r="R1401" s="1">
        <v>2240</v>
      </c>
      <c r="S1401" t="s">
        <v>29</v>
      </c>
      <c r="T1401" s="1">
        <v>2240</v>
      </c>
      <c r="V1401" t="str">
        <f>VLOOKUP(H1401,'[1]팀별 출판사'!A:B,2,0)</f>
        <v>소설1팀</v>
      </c>
      <c r="W1401" s="6">
        <f t="shared" si="42"/>
        <v>0</v>
      </c>
      <c r="X1401" s="6">
        <f t="shared" si="43"/>
        <v>2240</v>
      </c>
    </row>
    <row r="1402" spans="1:24" x14ac:dyDescent="0.3">
      <c r="A1402" t="s">
        <v>2103</v>
      </c>
      <c r="B1402" t="s">
        <v>2264</v>
      </c>
      <c r="C1402" t="s">
        <v>23</v>
      </c>
      <c r="D1402" t="s">
        <v>24</v>
      </c>
      <c r="E1402" t="s">
        <v>25</v>
      </c>
      <c r="F1402">
        <v>1</v>
      </c>
      <c r="G1402">
        <v>9791172926977</v>
      </c>
      <c r="H1402" t="s">
        <v>1311</v>
      </c>
      <c r="I1402" t="s">
        <v>2265</v>
      </c>
      <c r="J1402" t="s">
        <v>2266</v>
      </c>
      <c r="K1402" t="s">
        <v>29</v>
      </c>
      <c r="L1402" s="1">
        <v>3500</v>
      </c>
      <c r="M1402" t="s">
        <v>29</v>
      </c>
      <c r="N1402" s="1">
        <v>3500</v>
      </c>
      <c r="O1402" s="1">
        <v>3500</v>
      </c>
      <c r="P1402" t="s">
        <v>30</v>
      </c>
      <c r="Q1402" s="2">
        <v>0.7</v>
      </c>
      <c r="R1402" s="1">
        <v>2450</v>
      </c>
      <c r="S1402" t="s">
        <v>29</v>
      </c>
      <c r="T1402" s="1">
        <v>2450</v>
      </c>
      <c r="V1402" t="str">
        <f>VLOOKUP(H1402,'[1]팀별 출판사'!A:B,2,0)</f>
        <v>소설2팀</v>
      </c>
      <c r="W1402" s="6">
        <f t="shared" si="42"/>
        <v>0</v>
      </c>
      <c r="X1402" s="6">
        <f t="shared" si="43"/>
        <v>2450</v>
      </c>
    </row>
    <row r="1403" spans="1:24" x14ac:dyDescent="0.3">
      <c r="A1403" t="s">
        <v>2103</v>
      </c>
      <c r="B1403" t="s">
        <v>2267</v>
      </c>
      <c r="C1403" t="s">
        <v>23</v>
      </c>
      <c r="D1403" t="s">
        <v>24</v>
      </c>
      <c r="E1403" t="s">
        <v>25</v>
      </c>
      <c r="F1403">
        <v>1</v>
      </c>
      <c r="G1403">
        <v>9791136946782</v>
      </c>
      <c r="H1403" t="s">
        <v>26</v>
      </c>
      <c r="I1403" t="s">
        <v>291</v>
      </c>
      <c r="J1403" t="s">
        <v>28</v>
      </c>
      <c r="K1403" t="s">
        <v>29</v>
      </c>
      <c r="L1403">
        <v>0</v>
      </c>
      <c r="M1403" t="s">
        <v>29</v>
      </c>
      <c r="N1403">
        <v>0</v>
      </c>
      <c r="O1403">
        <v>0</v>
      </c>
      <c r="P1403" t="s">
        <v>30</v>
      </c>
      <c r="Q1403" s="2">
        <v>0.7</v>
      </c>
      <c r="R1403">
        <v>0</v>
      </c>
      <c r="V1403" t="str">
        <f>VLOOKUP(H1403,'[1]팀별 출판사'!A:B,2,0)</f>
        <v>소설1팀</v>
      </c>
      <c r="W1403" s="6">
        <f t="shared" si="42"/>
        <v>0</v>
      </c>
      <c r="X1403" s="6">
        <f t="shared" si="43"/>
        <v>0</v>
      </c>
    </row>
    <row r="1404" spans="1:24" x14ac:dyDescent="0.3">
      <c r="A1404" t="s">
        <v>2103</v>
      </c>
      <c r="B1404" t="s">
        <v>2268</v>
      </c>
      <c r="C1404" t="s">
        <v>23</v>
      </c>
      <c r="D1404" t="s">
        <v>24</v>
      </c>
      <c r="E1404" t="s">
        <v>25</v>
      </c>
      <c r="F1404">
        <v>1</v>
      </c>
      <c r="G1404">
        <v>9791170100041</v>
      </c>
      <c r="H1404" t="s">
        <v>67</v>
      </c>
      <c r="I1404" t="s">
        <v>346</v>
      </c>
      <c r="J1404" t="s">
        <v>347</v>
      </c>
      <c r="K1404" t="s">
        <v>29</v>
      </c>
      <c r="L1404">
        <v>0</v>
      </c>
      <c r="M1404" t="s">
        <v>29</v>
      </c>
      <c r="N1404">
        <v>0</v>
      </c>
      <c r="O1404">
        <v>0</v>
      </c>
      <c r="P1404" t="s">
        <v>30</v>
      </c>
      <c r="Q1404" s="2">
        <v>0.7</v>
      </c>
      <c r="R1404">
        <v>0</v>
      </c>
      <c r="V1404" t="str">
        <f>VLOOKUP(H1404,'[1]팀별 출판사'!A:B,2,0)</f>
        <v>소설1팀</v>
      </c>
      <c r="W1404" s="6">
        <f t="shared" si="42"/>
        <v>0</v>
      </c>
      <c r="X1404" s="6">
        <f t="shared" si="43"/>
        <v>0</v>
      </c>
    </row>
    <row r="1405" spans="1:24" x14ac:dyDescent="0.3">
      <c r="A1405" t="s">
        <v>2103</v>
      </c>
      <c r="B1405" t="s">
        <v>2269</v>
      </c>
      <c r="C1405" t="s">
        <v>23</v>
      </c>
      <c r="D1405" t="s">
        <v>24</v>
      </c>
      <c r="E1405" t="s">
        <v>25</v>
      </c>
      <c r="F1405">
        <v>1</v>
      </c>
      <c r="G1405" t="s">
        <v>2270</v>
      </c>
      <c r="H1405" t="s">
        <v>32</v>
      </c>
      <c r="I1405" t="s">
        <v>2271</v>
      </c>
      <c r="J1405" t="s">
        <v>311</v>
      </c>
      <c r="K1405" t="s">
        <v>29</v>
      </c>
      <c r="L1405" s="1">
        <v>3200</v>
      </c>
      <c r="M1405" t="s">
        <v>29</v>
      </c>
      <c r="N1405" s="1">
        <v>3200</v>
      </c>
      <c r="O1405" s="1">
        <v>3200</v>
      </c>
      <c r="P1405" t="s">
        <v>30</v>
      </c>
      <c r="Q1405" s="2">
        <v>0.7</v>
      </c>
      <c r="R1405" s="1">
        <v>2240</v>
      </c>
      <c r="S1405" t="s">
        <v>29</v>
      </c>
      <c r="T1405" s="1">
        <v>2240</v>
      </c>
      <c r="V1405" t="str">
        <f>VLOOKUP(H1405,'[1]팀별 출판사'!A:B,2,0)</f>
        <v>소설1팀</v>
      </c>
      <c r="W1405" s="6">
        <f t="shared" si="42"/>
        <v>0</v>
      </c>
      <c r="X1405" s="6">
        <f t="shared" si="43"/>
        <v>2240</v>
      </c>
    </row>
    <row r="1406" spans="1:24" x14ac:dyDescent="0.3">
      <c r="A1406" t="s">
        <v>2103</v>
      </c>
      <c r="B1406" t="s">
        <v>2272</v>
      </c>
      <c r="C1406" t="s">
        <v>23</v>
      </c>
      <c r="D1406" t="s">
        <v>24</v>
      </c>
      <c r="E1406" t="s">
        <v>25</v>
      </c>
      <c r="F1406">
        <v>1</v>
      </c>
      <c r="G1406">
        <v>9791170101321</v>
      </c>
      <c r="H1406" t="s">
        <v>67</v>
      </c>
      <c r="I1406" t="s">
        <v>848</v>
      </c>
      <c r="J1406" t="s">
        <v>414</v>
      </c>
      <c r="K1406" t="s">
        <v>29</v>
      </c>
      <c r="L1406">
        <v>0</v>
      </c>
      <c r="M1406" t="s">
        <v>29</v>
      </c>
      <c r="N1406">
        <v>0</v>
      </c>
      <c r="O1406">
        <v>0</v>
      </c>
      <c r="P1406" t="s">
        <v>30</v>
      </c>
      <c r="Q1406" s="2">
        <v>0.7</v>
      </c>
      <c r="R1406">
        <v>0</v>
      </c>
      <c r="V1406" t="str">
        <f>VLOOKUP(H1406,'[1]팀별 출판사'!A:B,2,0)</f>
        <v>소설1팀</v>
      </c>
      <c r="W1406" s="6">
        <f t="shared" si="42"/>
        <v>0</v>
      </c>
      <c r="X1406" s="6">
        <f t="shared" si="43"/>
        <v>0</v>
      </c>
    </row>
    <row r="1407" spans="1:24" x14ac:dyDescent="0.3">
      <c r="A1407" t="s">
        <v>2103</v>
      </c>
      <c r="B1407" t="s">
        <v>2273</v>
      </c>
      <c r="C1407" t="s">
        <v>23</v>
      </c>
      <c r="D1407" t="s">
        <v>24</v>
      </c>
      <c r="E1407" t="s">
        <v>25</v>
      </c>
      <c r="F1407">
        <v>1</v>
      </c>
      <c r="G1407">
        <v>9791172927844</v>
      </c>
      <c r="H1407" t="s">
        <v>79</v>
      </c>
      <c r="I1407" t="s">
        <v>1168</v>
      </c>
      <c r="J1407" t="s">
        <v>81</v>
      </c>
      <c r="K1407" t="s">
        <v>29</v>
      </c>
      <c r="L1407">
        <v>0</v>
      </c>
      <c r="M1407" t="s">
        <v>29</v>
      </c>
      <c r="N1407">
        <v>0</v>
      </c>
      <c r="O1407">
        <v>0</v>
      </c>
      <c r="P1407" t="s">
        <v>30</v>
      </c>
      <c r="Q1407" s="2">
        <v>0.7</v>
      </c>
      <c r="R1407">
        <v>0</v>
      </c>
      <c r="V1407" t="str">
        <f>VLOOKUP(H1407,'[1]팀별 출판사'!A:B,2,0)</f>
        <v>소설1팀</v>
      </c>
      <c r="W1407" s="6">
        <f t="shared" si="42"/>
        <v>0</v>
      </c>
      <c r="X1407" s="6">
        <f t="shared" si="43"/>
        <v>0</v>
      </c>
    </row>
    <row r="1408" spans="1:24" x14ac:dyDescent="0.3">
      <c r="A1408" t="s">
        <v>2103</v>
      </c>
      <c r="B1408" t="s">
        <v>2274</v>
      </c>
      <c r="C1408" t="s">
        <v>23</v>
      </c>
      <c r="D1408" t="s">
        <v>24</v>
      </c>
      <c r="E1408" t="s">
        <v>25</v>
      </c>
      <c r="F1408">
        <v>1</v>
      </c>
      <c r="G1408">
        <v>9791173786884</v>
      </c>
      <c r="H1408" t="s">
        <v>26</v>
      </c>
      <c r="I1408" t="s">
        <v>556</v>
      </c>
      <c r="J1408" t="s">
        <v>256</v>
      </c>
      <c r="K1408" t="s">
        <v>29</v>
      </c>
      <c r="L1408">
        <v>0</v>
      </c>
      <c r="M1408" t="s">
        <v>29</v>
      </c>
      <c r="N1408">
        <v>0</v>
      </c>
      <c r="O1408">
        <v>0</v>
      </c>
      <c r="P1408" t="s">
        <v>30</v>
      </c>
      <c r="Q1408" s="2">
        <v>0.7</v>
      </c>
      <c r="R1408">
        <v>0</v>
      </c>
      <c r="V1408" t="str">
        <f>VLOOKUP(H1408,'[1]팀별 출판사'!A:B,2,0)</f>
        <v>소설1팀</v>
      </c>
      <c r="W1408" s="6">
        <f t="shared" si="42"/>
        <v>0</v>
      </c>
      <c r="X1408" s="6">
        <f t="shared" si="43"/>
        <v>0</v>
      </c>
    </row>
    <row r="1409" spans="1:24" x14ac:dyDescent="0.3">
      <c r="A1409" t="s">
        <v>2103</v>
      </c>
      <c r="B1409" t="s">
        <v>2275</v>
      </c>
      <c r="C1409" t="s">
        <v>23</v>
      </c>
      <c r="D1409" t="s">
        <v>24</v>
      </c>
      <c r="E1409" t="s">
        <v>25</v>
      </c>
      <c r="F1409">
        <v>1</v>
      </c>
      <c r="G1409">
        <v>9791136958716</v>
      </c>
      <c r="H1409" t="s">
        <v>79</v>
      </c>
      <c r="I1409" t="s">
        <v>2276</v>
      </c>
      <c r="J1409" t="s">
        <v>81</v>
      </c>
      <c r="K1409" t="s">
        <v>29</v>
      </c>
      <c r="L1409" s="1">
        <v>3200</v>
      </c>
      <c r="M1409" t="s">
        <v>29</v>
      </c>
      <c r="N1409" s="1">
        <v>3200</v>
      </c>
      <c r="O1409" s="1">
        <v>3200</v>
      </c>
      <c r="P1409" t="s">
        <v>30</v>
      </c>
      <c r="Q1409" s="2">
        <v>0.7</v>
      </c>
      <c r="R1409" s="1">
        <v>2240</v>
      </c>
      <c r="S1409" t="s">
        <v>29</v>
      </c>
      <c r="T1409" s="1">
        <v>2240</v>
      </c>
      <c r="V1409" t="str">
        <f>VLOOKUP(H1409,'[1]팀별 출판사'!A:B,2,0)</f>
        <v>소설1팀</v>
      </c>
      <c r="W1409" s="6">
        <f t="shared" si="42"/>
        <v>0</v>
      </c>
      <c r="X1409" s="6">
        <f t="shared" si="43"/>
        <v>2240</v>
      </c>
    </row>
    <row r="1410" spans="1:24" x14ac:dyDescent="0.3">
      <c r="A1410" t="s">
        <v>2103</v>
      </c>
      <c r="B1410" t="s">
        <v>2277</v>
      </c>
      <c r="C1410" t="s">
        <v>23</v>
      </c>
      <c r="D1410" t="s">
        <v>24</v>
      </c>
      <c r="E1410" t="s">
        <v>25</v>
      </c>
      <c r="F1410">
        <v>1</v>
      </c>
      <c r="G1410">
        <v>9791136910431</v>
      </c>
      <c r="H1410" t="s">
        <v>26</v>
      </c>
      <c r="I1410" t="s">
        <v>354</v>
      </c>
      <c r="J1410" t="s">
        <v>355</v>
      </c>
      <c r="K1410" t="s">
        <v>29</v>
      </c>
      <c r="L1410">
        <v>0</v>
      </c>
      <c r="M1410" t="s">
        <v>29</v>
      </c>
      <c r="N1410">
        <v>0</v>
      </c>
      <c r="O1410">
        <v>0</v>
      </c>
      <c r="P1410" t="s">
        <v>30</v>
      </c>
      <c r="Q1410" s="2">
        <v>0.7</v>
      </c>
      <c r="R1410">
        <v>0</v>
      </c>
      <c r="V1410" t="str">
        <f>VLOOKUP(H1410,'[1]팀별 출판사'!A:B,2,0)</f>
        <v>소설1팀</v>
      </c>
      <c r="W1410" s="6">
        <f t="shared" ref="W1410:W1473" si="44">IF(P1410="US", T1410*30%, 0)</f>
        <v>0</v>
      </c>
      <c r="X1410" s="6">
        <f t="shared" ref="X1410:X1473" si="45">T1410-W1410</f>
        <v>0</v>
      </c>
    </row>
    <row r="1411" spans="1:24" x14ac:dyDescent="0.3">
      <c r="A1411" t="s">
        <v>2103</v>
      </c>
      <c r="B1411" t="s">
        <v>2278</v>
      </c>
      <c r="C1411" t="s">
        <v>23</v>
      </c>
      <c r="D1411" t="s">
        <v>24</v>
      </c>
      <c r="E1411" t="s">
        <v>25</v>
      </c>
      <c r="F1411">
        <v>1</v>
      </c>
      <c r="G1411">
        <v>9791170105596</v>
      </c>
      <c r="H1411" t="s">
        <v>67</v>
      </c>
      <c r="I1411" t="s">
        <v>2279</v>
      </c>
      <c r="J1411" t="s">
        <v>69</v>
      </c>
      <c r="K1411" t="s">
        <v>29</v>
      </c>
      <c r="L1411">
        <v>0</v>
      </c>
      <c r="M1411" t="s">
        <v>252</v>
      </c>
      <c r="N1411">
        <v>0</v>
      </c>
      <c r="O1411">
        <v>0</v>
      </c>
      <c r="P1411" t="s">
        <v>253</v>
      </c>
      <c r="Q1411" s="2">
        <v>0.7</v>
      </c>
      <c r="R1411">
        <v>0</v>
      </c>
      <c r="V1411" t="str">
        <f>VLOOKUP(H1411,'[1]팀별 출판사'!A:B,2,0)</f>
        <v>소설1팀</v>
      </c>
      <c r="W1411" s="6">
        <f t="shared" si="44"/>
        <v>0</v>
      </c>
      <c r="X1411" s="6">
        <f t="shared" si="45"/>
        <v>0</v>
      </c>
    </row>
    <row r="1412" spans="1:24" x14ac:dyDescent="0.3">
      <c r="A1412" t="s">
        <v>2103</v>
      </c>
      <c r="B1412" t="s">
        <v>2280</v>
      </c>
      <c r="C1412" t="s">
        <v>23</v>
      </c>
      <c r="D1412" t="s">
        <v>24</v>
      </c>
      <c r="E1412" t="s">
        <v>25</v>
      </c>
      <c r="F1412">
        <v>1</v>
      </c>
      <c r="G1412">
        <v>9791170106036</v>
      </c>
      <c r="H1412" t="s">
        <v>67</v>
      </c>
      <c r="I1412" t="s">
        <v>2281</v>
      </c>
      <c r="J1412" t="s">
        <v>2282</v>
      </c>
      <c r="K1412" t="s">
        <v>29</v>
      </c>
      <c r="L1412">
        <v>0</v>
      </c>
      <c r="M1412" t="s">
        <v>252</v>
      </c>
      <c r="N1412">
        <v>0</v>
      </c>
      <c r="O1412">
        <v>0</v>
      </c>
      <c r="P1412" t="s">
        <v>253</v>
      </c>
      <c r="Q1412" s="2">
        <v>0.7</v>
      </c>
      <c r="R1412">
        <v>0</v>
      </c>
      <c r="V1412" t="str">
        <f>VLOOKUP(H1412,'[1]팀별 출판사'!A:B,2,0)</f>
        <v>소설1팀</v>
      </c>
      <c r="W1412" s="6">
        <f t="shared" si="44"/>
        <v>0</v>
      </c>
      <c r="X1412" s="6">
        <f t="shared" si="45"/>
        <v>0</v>
      </c>
    </row>
    <row r="1413" spans="1:24" x14ac:dyDescent="0.3">
      <c r="A1413" t="s">
        <v>2103</v>
      </c>
      <c r="B1413" t="s">
        <v>2283</v>
      </c>
      <c r="C1413" t="s">
        <v>23</v>
      </c>
      <c r="D1413" t="s">
        <v>24</v>
      </c>
      <c r="E1413" t="s">
        <v>25</v>
      </c>
      <c r="F1413">
        <v>1</v>
      </c>
      <c r="G1413">
        <v>9791170107767</v>
      </c>
      <c r="H1413" t="s">
        <v>67</v>
      </c>
      <c r="I1413" t="s">
        <v>2284</v>
      </c>
      <c r="J1413" t="s">
        <v>2285</v>
      </c>
      <c r="K1413" t="s">
        <v>29</v>
      </c>
      <c r="L1413">
        <v>0</v>
      </c>
      <c r="M1413" t="s">
        <v>252</v>
      </c>
      <c r="N1413">
        <v>0</v>
      </c>
      <c r="O1413">
        <v>0</v>
      </c>
      <c r="P1413" t="s">
        <v>253</v>
      </c>
      <c r="Q1413" s="2">
        <v>0.7</v>
      </c>
      <c r="R1413">
        <v>0</v>
      </c>
      <c r="V1413" t="str">
        <f>VLOOKUP(H1413,'[1]팀별 출판사'!A:B,2,0)</f>
        <v>소설1팀</v>
      </c>
      <c r="W1413" s="6">
        <f t="shared" si="44"/>
        <v>0</v>
      </c>
      <c r="X1413" s="6">
        <f t="shared" si="45"/>
        <v>0</v>
      </c>
    </row>
    <row r="1414" spans="1:24" x14ac:dyDescent="0.3">
      <c r="A1414" t="s">
        <v>2103</v>
      </c>
      <c r="B1414" t="s">
        <v>2286</v>
      </c>
      <c r="C1414" t="s">
        <v>23</v>
      </c>
      <c r="D1414" t="s">
        <v>24</v>
      </c>
      <c r="E1414" t="s">
        <v>25</v>
      </c>
      <c r="F1414">
        <v>1</v>
      </c>
      <c r="G1414">
        <v>9791170106623</v>
      </c>
      <c r="H1414" t="s">
        <v>67</v>
      </c>
      <c r="I1414" t="s">
        <v>2287</v>
      </c>
      <c r="J1414" t="s">
        <v>2288</v>
      </c>
      <c r="K1414" t="s">
        <v>29</v>
      </c>
      <c r="L1414">
        <v>0</v>
      </c>
      <c r="M1414" t="s">
        <v>252</v>
      </c>
      <c r="N1414">
        <v>0</v>
      </c>
      <c r="O1414">
        <v>0</v>
      </c>
      <c r="P1414" t="s">
        <v>253</v>
      </c>
      <c r="Q1414" s="2">
        <v>0.7</v>
      </c>
      <c r="R1414">
        <v>0</v>
      </c>
      <c r="V1414" t="str">
        <f>VLOOKUP(H1414,'[1]팀별 출판사'!A:B,2,0)</f>
        <v>소설1팀</v>
      </c>
      <c r="W1414" s="6">
        <f t="shared" si="44"/>
        <v>0</v>
      </c>
      <c r="X1414" s="6">
        <f t="shared" si="45"/>
        <v>0</v>
      </c>
    </row>
    <row r="1415" spans="1:24" x14ac:dyDescent="0.3">
      <c r="A1415" t="s">
        <v>2103</v>
      </c>
      <c r="B1415" t="s">
        <v>2289</v>
      </c>
      <c r="C1415" t="s">
        <v>23</v>
      </c>
      <c r="D1415" t="s">
        <v>24</v>
      </c>
      <c r="E1415" t="s">
        <v>25</v>
      </c>
      <c r="F1415">
        <v>1</v>
      </c>
      <c r="G1415">
        <v>9791170106128</v>
      </c>
      <c r="H1415" t="s">
        <v>67</v>
      </c>
      <c r="I1415" t="s">
        <v>2290</v>
      </c>
      <c r="J1415" t="s">
        <v>2291</v>
      </c>
      <c r="K1415" t="s">
        <v>29</v>
      </c>
      <c r="L1415">
        <v>0</v>
      </c>
      <c r="M1415" t="s">
        <v>252</v>
      </c>
      <c r="N1415">
        <v>0</v>
      </c>
      <c r="O1415">
        <v>0</v>
      </c>
      <c r="P1415" t="s">
        <v>253</v>
      </c>
      <c r="Q1415" s="2">
        <v>0.7</v>
      </c>
      <c r="R1415">
        <v>0</v>
      </c>
      <c r="V1415" t="str">
        <f>VLOOKUP(H1415,'[1]팀별 출판사'!A:B,2,0)</f>
        <v>소설1팀</v>
      </c>
      <c r="W1415" s="6">
        <f t="shared" si="44"/>
        <v>0</v>
      </c>
      <c r="X1415" s="6">
        <f t="shared" si="45"/>
        <v>0</v>
      </c>
    </row>
    <row r="1416" spans="1:24" x14ac:dyDescent="0.3">
      <c r="A1416" t="s">
        <v>2103</v>
      </c>
      <c r="B1416" t="s">
        <v>2292</v>
      </c>
      <c r="C1416" t="s">
        <v>23</v>
      </c>
      <c r="D1416" t="s">
        <v>24</v>
      </c>
      <c r="E1416" t="s">
        <v>25</v>
      </c>
      <c r="F1416">
        <v>1</v>
      </c>
      <c r="G1416">
        <v>9791170106302</v>
      </c>
      <c r="H1416" t="s">
        <v>67</v>
      </c>
      <c r="I1416" t="s">
        <v>2293</v>
      </c>
      <c r="J1416" t="s">
        <v>2294</v>
      </c>
      <c r="K1416" t="s">
        <v>29</v>
      </c>
      <c r="L1416">
        <v>0</v>
      </c>
      <c r="M1416" t="s">
        <v>252</v>
      </c>
      <c r="N1416">
        <v>0</v>
      </c>
      <c r="O1416">
        <v>0</v>
      </c>
      <c r="P1416" t="s">
        <v>253</v>
      </c>
      <c r="Q1416" s="2">
        <v>0.7</v>
      </c>
      <c r="R1416">
        <v>0</v>
      </c>
      <c r="V1416" t="str">
        <f>VLOOKUP(H1416,'[1]팀별 출판사'!A:B,2,0)</f>
        <v>소설1팀</v>
      </c>
      <c r="W1416" s="6">
        <f t="shared" si="44"/>
        <v>0</v>
      </c>
      <c r="X1416" s="6">
        <f t="shared" si="45"/>
        <v>0</v>
      </c>
    </row>
    <row r="1417" spans="1:24" x14ac:dyDescent="0.3">
      <c r="A1417" t="s">
        <v>2103</v>
      </c>
      <c r="B1417" t="s">
        <v>2295</v>
      </c>
      <c r="C1417" t="s">
        <v>23</v>
      </c>
      <c r="D1417" t="s">
        <v>24</v>
      </c>
      <c r="E1417" t="s">
        <v>25</v>
      </c>
      <c r="F1417">
        <v>1</v>
      </c>
      <c r="G1417">
        <v>9791170105671</v>
      </c>
      <c r="H1417" t="s">
        <v>67</v>
      </c>
      <c r="I1417" t="s">
        <v>2296</v>
      </c>
      <c r="J1417" t="s">
        <v>2297</v>
      </c>
      <c r="K1417" t="s">
        <v>29</v>
      </c>
      <c r="L1417">
        <v>0</v>
      </c>
      <c r="M1417" t="s">
        <v>252</v>
      </c>
      <c r="N1417">
        <v>0</v>
      </c>
      <c r="O1417">
        <v>0</v>
      </c>
      <c r="P1417" t="s">
        <v>253</v>
      </c>
      <c r="Q1417" s="2">
        <v>0.7</v>
      </c>
      <c r="R1417">
        <v>0</v>
      </c>
      <c r="V1417" t="str">
        <f>VLOOKUP(H1417,'[1]팀별 출판사'!A:B,2,0)</f>
        <v>소설1팀</v>
      </c>
      <c r="W1417" s="6">
        <f t="shared" si="44"/>
        <v>0</v>
      </c>
      <c r="X1417" s="6">
        <f t="shared" si="45"/>
        <v>0</v>
      </c>
    </row>
    <row r="1418" spans="1:24" x14ac:dyDescent="0.3">
      <c r="A1418" t="s">
        <v>2103</v>
      </c>
      <c r="B1418" t="s">
        <v>2298</v>
      </c>
      <c r="C1418" t="s">
        <v>23</v>
      </c>
      <c r="D1418" t="s">
        <v>24</v>
      </c>
      <c r="E1418" t="s">
        <v>25</v>
      </c>
      <c r="F1418">
        <v>1</v>
      </c>
      <c r="G1418">
        <v>9791170106289</v>
      </c>
      <c r="H1418" t="s">
        <v>67</v>
      </c>
      <c r="I1418" t="s">
        <v>2299</v>
      </c>
      <c r="J1418" t="s">
        <v>2300</v>
      </c>
      <c r="K1418" t="s">
        <v>29</v>
      </c>
      <c r="L1418">
        <v>0</v>
      </c>
      <c r="M1418" t="s">
        <v>252</v>
      </c>
      <c r="N1418">
        <v>0</v>
      </c>
      <c r="O1418">
        <v>0</v>
      </c>
      <c r="P1418" t="s">
        <v>253</v>
      </c>
      <c r="Q1418" s="2">
        <v>0.7</v>
      </c>
      <c r="R1418">
        <v>0</v>
      </c>
      <c r="V1418" t="str">
        <f>VLOOKUP(H1418,'[1]팀별 출판사'!A:B,2,0)</f>
        <v>소설1팀</v>
      </c>
      <c r="W1418" s="6">
        <f t="shared" si="44"/>
        <v>0</v>
      </c>
      <c r="X1418" s="6">
        <f t="shared" si="45"/>
        <v>0</v>
      </c>
    </row>
    <row r="1419" spans="1:24" x14ac:dyDescent="0.3">
      <c r="A1419" t="s">
        <v>2103</v>
      </c>
      <c r="B1419" t="s">
        <v>2301</v>
      </c>
      <c r="C1419" t="s">
        <v>23</v>
      </c>
      <c r="D1419" t="s">
        <v>24</v>
      </c>
      <c r="E1419" t="s">
        <v>25</v>
      </c>
      <c r="F1419">
        <v>1</v>
      </c>
      <c r="G1419">
        <v>9791170105619</v>
      </c>
      <c r="H1419" t="s">
        <v>67</v>
      </c>
      <c r="I1419" t="s">
        <v>174</v>
      </c>
      <c r="J1419" t="s">
        <v>175</v>
      </c>
      <c r="K1419" t="s">
        <v>29</v>
      </c>
      <c r="L1419">
        <v>0</v>
      </c>
      <c r="M1419" t="s">
        <v>252</v>
      </c>
      <c r="N1419">
        <v>0</v>
      </c>
      <c r="O1419">
        <v>0</v>
      </c>
      <c r="P1419" t="s">
        <v>253</v>
      </c>
      <c r="Q1419" s="2">
        <v>0.7</v>
      </c>
      <c r="R1419">
        <v>0</v>
      </c>
      <c r="V1419" t="str">
        <f>VLOOKUP(H1419,'[1]팀별 출판사'!A:B,2,0)</f>
        <v>소설1팀</v>
      </c>
      <c r="W1419" s="6">
        <f t="shared" si="44"/>
        <v>0</v>
      </c>
      <c r="X1419" s="6">
        <f t="shared" si="45"/>
        <v>0</v>
      </c>
    </row>
    <row r="1420" spans="1:24" x14ac:dyDescent="0.3">
      <c r="A1420" t="s">
        <v>2103</v>
      </c>
      <c r="B1420" t="s">
        <v>2302</v>
      </c>
      <c r="C1420" t="s">
        <v>23</v>
      </c>
      <c r="D1420" t="s">
        <v>24</v>
      </c>
      <c r="E1420" t="s">
        <v>25</v>
      </c>
      <c r="F1420">
        <v>1</v>
      </c>
      <c r="G1420">
        <v>9791133171347</v>
      </c>
      <c r="H1420" t="s">
        <v>26</v>
      </c>
      <c r="I1420" t="s">
        <v>2303</v>
      </c>
      <c r="J1420" t="s">
        <v>51</v>
      </c>
      <c r="K1420" t="s">
        <v>29</v>
      </c>
      <c r="L1420">
        <v>0</v>
      </c>
      <c r="M1420" t="s">
        <v>29</v>
      </c>
      <c r="N1420">
        <v>0</v>
      </c>
      <c r="O1420">
        <v>0</v>
      </c>
      <c r="P1420" t="s">
        <v>30</v>
      </c>
      <c r="Q1420" s="2">
        <v>0.7</v>
      </c>
      <c r="R1420">
        <v>0</v>
      </c>
      <c r="V1420" t="str">
        <f>VLOOKUP(H1420,'[1]팀별 출판사'!A:B,2,0)</f>
        <v>소설1팀</v>
      </c>
      <c r="W1420" s="6">
        <f t="shared" si="44"/>
        <v>0</v>
      </c>
      <c r="X1420" s="6">
        <f t="shared" si="45"/>
        <v>0</v>
      </c>
    </row>
    <row r="1421" spans="1:24" x14ac:dyDescent="0.3">
      <c r="A1421" t="s">
        <v>2103</v>
      </c>
      <c r="B1421" t="s">
        <v>2304</v>
      </c>
      <c r="C1421" t="s">
        <v>23</v>
      </c>
      <c r="D1421" t="s">
        <v>24</v>
      </c>
      <c r="E1421" t="s">
        <v>25</v>
      </c>
      <c r="F1421">
        <v>1</v>
      </c>
      <c r="G1421">
        <v>9791136926784</v>
      </c>
      <c r="H1421" t="s">
        <v>26</v>
      </c>
      <c r="I1421" t="s">
        <v>1421</v>
      </c>
      <c r="J1421" t="s">
        <v>62</v>
      </c>
      <c r="K1421" t="s">
        <v>29</v>
      </c>
      <c r="L1421">
        <v>0</v>
      </c>
      <c r="M1421" t="s">
        <v>29</v>
      </c>
      <c r="N1421">
        <v>0</v>
      </c>
      <c r="O1421">
        <v>0</v>
      </c>
      <c r="P1421" t="s">
        <v>30</v>
      </c>
      <c r="Q1421" s="2">
        <v>0.7</v>
      </c>
      <c r="R1421">
        <v>0</v>
      </c>
      <c r="V1421" t="str">
        <f>VLOOKUP(H1421,'[1]팀별 출판사'!A:B,2,0)</f>
        <v>소설1팀</v>
      </c>
      <c r="W1421" s="6">
        <f t="shared" si="44"/>
        <v>0</v>
      </c>
      <c r="X1421" s="6">
        <f t="shared" si="45"/>
        <v>0</v>
      </c>
    </row>
    <row r="1422" spans="1:24" x14ac:dyDescent="0.3">
      <c r="A1422" t="s">
        <v>2103</v>
      </c>
      <c r="B1422" t="s">
        <v>2305</v>
      </c>
      <c r="C1422" t="s">
        <v>23</v>
      </c>
      <c r="D1422" t="s">
        <v>24</v>
      </c>
      <c r="E1422" t="s">
        <v>25</v>
      </c>
      <c r="F1422">
        <v>1</v>
      </c>
      <c r="G1422">
        <v>9791172924850</v>
      </c>
      <c r="H1422" t="s">
        <v>26</v>
      </c>
      <c r="I1422" t="s">
        <v>61</v>
      </c>
      <c r="J1422" t="s">
        <v>62</v>
      </c>
      <c r="K1422" t="s">
        <v>29</v>
      </c>
      <c r="L1422">
        <v>0</v>
      </c>
      <c r="M1422" t="s">
        <v>29</v>
      </c>
      <c r="N1422">
        <v>0</v>
      </c>
      <c r="O1422">
        <v>0</v>
      </c>
      <c r="P1422" t="s">
        <v>30</v>
      </c>
      <c r="Q1422" s="2">
        <v>0.7</v>
      </c>
      <c r="R1422">
        <v>0</v>
      </c>
      <c r="V1422" t="str">
        <f>VLOOKUP(H1422,'[1]팀별 출판사'!A:B,2,0)</f>
        <v>소설1팀</v>
      </c>
      <c r="W1422" s="6">
        <f t="shared" si="44"/>
        <v>0</v>
      </c>
      <c r="X1422" s="6">
        <f t="shared" si="45"/>
        <v>0</v>
      </c>
    </row>
    <row r="1423" spans="1:24" x14ac:dyDescent="0.3">
      <c r="A1423" t="s">
        <v>2103</v>
      </c>
      <c r="B1423" t="s">
        <v>2306</v>
      </c>
      <c r="C1423" t="s">
        <v>23</v>
      </c>
      <c r="D1423" t="s">
        <v>24</v>
      </c>
      <c r="E1423" t="s">
        <v>25</v>
      </c>
      <c r="F1423">
        <v>1</v>
      </c>
      <c r="G1423">
        <v>9791136946416</v>
      </c>
      <c r="H1423" t="s">
        <v>26</v>
      </c>
      <c r="I1423" t="s">
        <v>2307</v>
      </c>
      <c r="J1423" t="s">
        <v>1536</v>
      </c>
      <c r="K1423" t="s">
        <v>29</v>
      </c>
      <c r="L1423">
        <v>0</v>
      </c>
      <c r="M1423" t="s">
        <v>70</v>
      </c>
      <c r="N1423">
        <v>0</v>
      </c>
      <c r="O1423">
        <v>0</v>
      </c>
      <c r="P1423" t="s">
        <v>71</v>
      </c>
      <c r="Q1423" s="2">
        <v>0.7</v>
      </c>
      <c r="R1423">
        <v>0</v>
      </c>
      <c r="V1423" t="str">
        <f>VLOOKUP(H1423,'[1]팀별 출판사'!A:B,2,0)</f>
        <v>소설1팀</v>
      </c>
      <c r="W1423" s="6">
        <f t="shared" si="44"/>
        <v>0</v>
      </c>
      <c r="X1423" s="6">
        <f t="shared" si="45"/>
        <v>0</v>
      </c>
    </row>
    <row r="1424" spans="1:24" x14ac:dyDescent="0.3">
      <c r="A1424" t="s">
        <v>2103</v>
      </c>
      <c r="B1424" t="s">
        <v>2308</v>
      </c>
      <c r="C1424" t="s">
        <v>23</v>
      </c>
      <c r="D1424" t="s">
        <v>24</v>
      </c>
      <c r="E1424" t="s">
        <v>25</v>
      </c>
      <c r="F1424">
        <v>1</v>
      </c>
      <c r="G1424">
        <v>9791133186501</v>
      </c>
      <c r="H1424" t="s">
        <v>26</v>
      </c>
      <c r="I1424" t="s">
        <v>64</v>
      </c>
      <c r="J1424" t="s">
        <v>65</v>
      </c>
      <c r="K1424" t="s">
        <v>29</v>
      </c>
      <c r="L1424">
        <v>0</v>
      </c>
      <c r="M1424" t="s">
        <v>29</v>
      </c>
      <c r="N1424">
        <v>0</v>
      </c>
      <c r="O1424">
        <v>0</v>
      </c>
      <c r="P1424" t="s">
        <v>30</v>
      </c>
      <c r="Q1424" s="2">
        <v>0.7</v>
      </c>
      <c r="R1424">
        <v>0</v>
      </c>
      <c r="V1424" t="str">
        <f>VLOOKUP(H1424,'[1]팀별 출판사'!A:B,2,0)</f>
        <v>소설1팀</v>
      </c>
      <c r="W1424" s="6">
        <f t="shared" si="44"/>
        <v>0</v>
      </c>
      <c r="X1424" s="6">
        <f t="shared" si="45"/>
        <v>0</v>
      </c>
    </row>
    <row r="1425" spans="1:24" x14ac:dyDescent="0.3">
      <c r="A1425" t="s">
        <v>2103</v>
      </c>
      <c r="B1425" t="s">
        <v>2309</v>
      </c>
      <c r="C1425" t="s">
        <v>23</v>
      </c>
      <c r="D1425" t="s">
        <v>24</v>
      </c>
      <c r="E1425" t="s">
        <v>25</v>
      </c>
      <c r="F1425">
        <v>1</v>
      </c>
      <c r="G1425">
        <v>9791133186501</v>
      </c>
      <c r="H1425" t="s">
        <v>26</v>
      </c>
      <c r="I1425" t="s">
        <v>64</v>
      </c>
      <c r="J1425" t="s">
        <v>65</v>
      </c>
      <c r="K1425" t="s">
        <v>29</v>
      </c>
      <c r="L1425">
        <v>0</v>
      </c>
      <c r="M1425" t="s">
        <v>29</v>
      </c>
      <c r="N1425">
        <v>0</v>
      </c>
      <c r="O1425">
        <v>0</v>
      </c>
      <c r="P1425" t="s">
        <v>30</v>
      </c>
      <c r="Q1425" s="2">
        <v>0.7</v>
      </c>
      <c r="R1425">
        <v>0</v>
      </c>
      <c r="V1425" t="str">
        <f>VLOOKUP(H1425,'[1]팀별 출판사'!A:B,2,0)</f>
        <v>소설1팀</v>
      </c>
      <c r="W1425" s="6">
        <f t="shared" si="44"/>
        <v>0</v>
      </c>
      <c r="X1425" s="6">
        <f t="shared" si="45"/>
        <v>0</v>
      </c>
    </row>
    <row r="1426" spans="1:24" x14ac:dyDescent="0.3">
      <c r="A1426" t="s">
        <v>2103</v>
      </c>
      <c r="B1426" t="s">
        <v>2310</v>
      </c>
      <c r="C1426" t="s">
        <v>23</v>
      </c>
      <c r="D1426" t="s">
        <v>24</v>
      </c>
      <c r="E1426" t="s">
        <v>25</v>
      </c>
      <c r="F1426">
        <v>1</v>
      </c>
      <c r="G1426">
        <v>9791136942821</v>
      </c>
      <c r="H1426" t="s">
        <v>26</v>
      </c>
      <c r="I1426" t="s">
        <v>2311</v>
      </c>
      <c r="J1426" t="s">
        <v>284</v>
      </c>
      <c r="K1426" t="s">
        <v>29</v>
      </c>
      <c r="L1426">
        <v>0</v>
      </c>
      <c r="M1426" t="s">
        <v>29</v>
      </c>
      <c r="N1426">
        <v>0</v>
      </c>
      <c r="O1426">
        <v>0</v>
      </c>
      <c r="P1426" t="s">
        <v>30</v>
      </c>
      <c r="Q1426" s="2">
        <v>0.7</v>
      </c>
      <c r="R1426">
        <v>0</v>
      </c>
      <c r="V1426" t="str">
        <f>VLOOKUP(H1426,'[1]팀별 출판사'!A:B,2,0)</f>
        <v>소설1팀</v>
      </c>
      <c r="W1426" s="6">
        <f t="shared" si="44"/>
        <v>0</v>
      </c>
      <c r="X1426" s="6">
        <f t="shared" si="45"/>
        <v>0</v>
      </c>
    </row>
    <row r="1427" spans="1:24" x14ac:dyDescent="0.3">
      <c r="A1427" t="s">
        <v>2103</v>
      </c>
      <c r="B1427" t="s">
        <v>2312</v>
      </c>
      <c r="C1427" t="s">
        <v>23</v>
      </c>
      <c r="D1427" t="s">
        <v>24</v>
      </c>
      <c r="E1427" t="s">
        <v>25</v>
      </c>
      <c r="F1427">
        <v>1</v>
      </c>
      <c r="G1427">
        <v>9791136943729</v>
      </c>
      <c r="H1427" t="s">
        <v>26</v>
      </c>
      <c r="I1427" t="s">
        <v>1301</v>
      </c>
      <c r="J1427" t="s">
        <v>1302</v>
      </c>
      <c r="K1427" t="s">
        <v>29</v>
      </c>
      <c r="L1427">
        <v>0</v>
      </c>
      <c r="M1427" t="s">
        <v>29</v>
      </c>
      <c r="N1427">
        <v>0</v>
      </c>
      <c r="O1427">
        <v>0</v>
      </c>
      <c r="P1427" t="s">
        <v>30</v>
      </c>
      <c r="Q1427" s="2">
        <v>0.7</v>
      </c>
      <c r="R1427">
        <v>0</v>
      </c>
      <c r="V1427" t="str">
        <f>VLOOKUP(H1427,'[1]팀별 출판사'!A:B,2,0)</f>
        <v>소설1팀</v>
      </c>
      <c r="W1427" s="6">
        <f t="shared" si="44"/>
        <v>0</v>
      </c>
      <c r="X1427" s="6">
        <f t="shared" si="45"/>
        <v>0</v>
      </c>
    </row>
    <row r="1428" spans="1:24" x14ac:dyDescent="0.3">
      <c r="A1428" t="s">
        <v>2103</v>
      </c>
      <c r="B1428" t="s">
        <v>2313</v>
      </c>
      <c r="C1428" t="s">
        <v>23</v>
      </c>
      <c r="D1428" t="s">
        <v>24</v>
      </c>
      <c r="E1428" t="s">
        <v>25</v>
      </c>
      <c r="F1428">
        <v>1</v>
      </c>
      <c r="G1428">
        <v>9791136903754</v>
      </c>
      <c r="H1428" t="s">
        <v>26</v>
      </c>
      <c r="I1428" t="s">
        <v>361</v>
      </c>
      <c r="J1428" t="s">
        <v>256</v>
      </c>
      <c r="K1428" t="s">
        <v>29</v>
      </c>
      <c r="L1428">
        <v>0</v>
      </c>
      <c r="M1428" t="s">
        <v>29</v>
      </c>
      <c r="N1428">
        <v>0</v>
      </c>
      <c r="O1428">
        <v>0</v>
      </c>
      <c r="P1428" t="s">
        <v>30</v>
      </c>
      <c r="Q1428" s="2">
        <v>0.7</v>
      </c>
      <c r="R1428">
        <v>0</v>
      </c>
      <c r="V1428" t="str">
        <f>VLOOKUP(H1428,'[1]팀별 출판사'!A:B,2,0)</f>
        <v>소설1팀</v>
      </c>
      <c r="W1428" s="6">
        <f t="shared" si="44"/>
        <v>0</v>
      </c>
      <c r="X1428" s="6">
        <f t="shared" si="45"/>
        <v>0</v>
      </c>
    </row>
    <row r="1429" spans="1:24" x14ac:dyDescent="0.3">
      <c r="A1429" t="s">
        <v>2103</v>
      </c>
      <c r="B1429" t="s">
        <v>2314</v>
      </c>
      <c r="C1429" t="s">
        <v>23</v>
      </c>
      <c r="D1429" t="s">
        <v>24</v>
      </c>
      <c r="E1429" t="s">
        <v>25</v>
      </c>
      <c r="F1429">
        <v>1</v>
      </c>
      <c r="G1429">
        <v>9791136946775</v>
      </c>
      <c r="H1429" t="s">
        <v>26</v>
      </c>
      <c r="I1429" t="s">
        <v>238</v>
      </c>
      <c r="J1429" t="s">
        <v>28</v>
      </c>
      <c r="K1429" t="s">
        <v>29</v>
      </c>
      <c r="L1429">
        <v>0</v>
      </c>
      <c r="M1429" t="s">
        <v>29</v>
      </c>
      <c r="N1429">
        <v>0</v>
      </c>
      <c r="O1429">
        <v>0</v>
      </c>
      <c r="P1429" t="s">
        <v>30</v>
      </c>
      <c r="Q1429" s="2">
        <v>0.7</v>
      </c>
      <c r="R1429">
        <v>0</v>
      </c>
      <c r="V1429" t="str">
        <f>VLOOKUP(H1429,'[1]팀별 출판사'!A:B,2,0)</f>
        <v>소설1팀</v>
      </c>
      <c r="W1429" s="6">
        <f t="shared" si="44"/>
        <v>0</v>
      </c>
      <c r="X1429" s="6">
        <f t="shared" si="45"/>
        <v>0</v>
      </c>
    </row>
    <row r="1430" spans="1:24" x14ac:dyDescent="0.3">
      <c r="A1430" t="s">
        <v>2103</v>
      </c>
      <c r="B1430" t="s">
        <v>2315</v>
      </c>
      <c r="C1430" t="s">
        <v>23</v>
      </c>
      <c r="D1430" t="s">
        <v>24</v>
      </c>
      <c r="E1430" t="s">
        <v>25</v>
      </c>
      <c r="F1430">
        <v>1</v>
      </c>
      <c r="G1430">
        <v>9791133167234</v>
      </c>
      <c r="H1430" t="s">
        <v>32</v>
      </c>
      <c r="I1430" t="s">
        <v>1953</v>
      </c>
      <c r="J1430" t="s">
        <v>160</v>
      </c>
      <c r="K1430" t="s">
        <v>29</v>
      </c>
      <c r="L1430" s="1">
        <v>2500</v>
      </c>
      <c r="M1430" t="s">
        <v>29</v>
      </c>
      <c r="N1430" s="1">
        <v>2500</v>
      </c>
      <c r="O1430" s="1">
        <v>2500</v>
      </c>
      <c r="P1430" t="s">
        <v>30</v>
      </c>
      <c r="Q1430" s="2">
        <v>0.7</v>
      </c>
      <c r="R1430" s="1">
        <v>1750</v>
      </c>
      <c r="S1430" t="s">
        <v>29</v>
      </c>
      <c r="T1430" s="1">
        <v>1750</v>
      </c>
      <c r="V1430" t="str">
        <f>VLOOKUP(H1430,'[1]팀별 출판사'!A:B,2,0)</f>
        <v>소설1팀</v>
      </c>
      <c r="W1430" s="6">
        <f t="shared" si="44"/>
        <v>0</v>
      </c>
      <c r="X1430" s="6">
        <f t="shared" si="45"/>
        <v>1750</v>
      </c>
    </row>
    <row r="1431" spans="1:24" x14ac:dyDescent="0.3">
      <c r="A1431" t="s">
        <v>2103</v>
      </c>
      <c r="B1431" t="s">
        <v>2316</v>
      </c>
      <c r="C1431" t="s">
        <v>23</v>
      </c>
      <c r="D1431" t="s">
        <v>24</v>
      </c>
      <c r="E1431" t="s">
        <v>25</v>
      </c>
      <c r="F1431">
        <v>1</v>
      </c>
      <c r="G1431">
        <v>9791136988133</v>
      </c>
      <c r="H1431" t="s">
        <v>26</v>
      </c>
      <c r="I1431" t="s">
        <v>614</v>
      </c>
      <c r="J1431" t="s">
        <v>28</v>
      </c>
      <c r="K1431" t="s">
        <v>29</v>
      </c>
      <c r="L1431">
        <v>0</v>
      </c>
      <c r="M1431" t="s">
        <v>29</v>
      </c>
      <c r="N1431">
        <v>0</v>
      </c>
      <c r="O1431">
        <v>0</v>
      </c>
      <c r="P1431" t="s">
        <v>30</v>
      </c>
      <c r="Q1431" s="2">
        <v>0.7</v>
      </c>
      <c r="R1431">
        <v>0</v>
      </c>
      <c r="V1431" t="str">
        <f>VLOOKUP(H1431,'[1]팀별 출판사'!A:B,2,0)</f>
        <v>소설1팀</v>
      </c>
      <c r="W1431" s="6">
        <f t="shared" si="44"/>
        <v>0</v>
      </c>
      <c r="X1431" s="6">
        <f t="shared" si="45"/>
        <v>0</v>
      </c>
    </row>
    <row r="1432" spans="1:24" x14ac:dyDescent="0.3">
      <c r="A1432" t="s">
        <v>2103</v>
      </c>
      <c r="B1432" t="s">
        <v>2317</v>
      </c>
      <c r="C1432" t="s">
        <v>23</v>
      </c>
      <c r="D1432" t="s">
        <v>24</v>
      </c>
      <c r="E1432" t="s">
        <v>25</v>
      </c>
      <c r="F1432">
        <v>1</v>
      </c>
      <c r="G1432">
        <v>9791136930613</v>
      </c>
      <c r="H1432" t="s">
        <v>32</v>
      </c>
      <c r="I1432" t="s">
        <v>57</v>
      </c>
      <c r="J1432" t="s">
        <v>34</v>
      </c>
      <c r="K1432" t="s">
        <v>29</v>
      </c>
      <c r="L1432">
        <v>0</v>
      </c>
      <c r="M1432" t="s">
        <v>29</v>
      </c>
      <c r="N1432">
        <v>0</v>
      </c>
      <c r="O1432">
        <v>0</v>
      </c>
      <c r="P1432" t="s">
        <v>30</v>
      </c>
      <c r="Q1432" s="2">
        <v>0.7</v>
      </c>
      <c r="R1432">
        <v>0</v>
      </c>
      <c r="V1432" t="str">
        <f>VLOOKUP(H1432,'[1]팀별 출판사'!A:B,2,0)</f>
        <v>소설1팀</v>
      </c>
      <c r="W1432" s="6">
        <f t="shared" si="44"/>
        <v>0</v>
      </c>
      <c r="X1432" s="6">
        <f t="shared" si="45"/>
        <v>0</v>
      </c>
    </row>
    <row r="1433" spans="1:24" x14ac:dyDescent="0.3">
      <c r="A1433" t="s">
        <v>2103</v>
      </c>
      <c r="B1433" t="s">
        <v>2318</v>
      </c>
      <c r="C1433" t="s">
        <v>23</v>
      </c>
      <c r="D1433" t="s">
        <v>24</v>
      </c>
      <c r="E1433" t="s">
        <v>25</v>
      </c>
      <c r="F1433">
        <v>1</v>
      </c>
      <c r="G1433">
        <v>9791136930699</v>
      </c>
      <c r="H1433" t="s">
        <v>32</v>
      </c>
      <c r="I1433" t="s">
        <v>1735</v>
      </c>
      <c r="J1433" t="s">
        <v>34</v>
      </c>
      <c r="K1433" t="s">
        <v>29</v>
      </c>
      <c r="L1433">
        <v>0</v>
      </c>
      <c r="M1433" t="s">
        <v>29</v>
      </c>
      <c r="N1433">
        <v>0</v>
      </c>
      <c r="O1433">
        <v>0</v>
      </c>
      <c r="P1433" t="s">
        <v>30</v>
      </c>
      <c r="Q1433" s="2">
        <v>0.7</v>
      </c>
      <c r="R1433">
        <v>0</v>
      </c>
      <c r="V1433" t="str">
        <f>VLOOKUP(H1433,'[1]팀별 출판사'!A:B,2,0)</f>
        <v>소설1팀</v>
      </c>
      <c r="W1433" s="6">
        <f t="shared" si="44"/>
        <v>0</v>
      </c>
      <c r="X1433" s="6">
        <f t="shared" si="45"/>
        <v>0</v>
      </c>
    </row>
    <row r="1434" spans="1:24" x14ac:dyDescent="0.3">
      <c r="A1434" t="s">
        <v>2103</v>
      </c>
      <c r="B1434" t="s">
        <v>2319</v>
      </c>
      <c r="C1434" t="s">
        <v>23</v>
      </c>
      <c r="D1434" t="s">
        <v>24</v>
      </c>
      <c r="E1434" t="s">
        <v>25</v>
      </c>
      <c r="F1434">
        <v>1</v>
      </c>
      <c r="G1434">
        <v>9791136927248</v>
      </c>
      <c r="H1434" t="s">
        <v>36</v>
      </c>
      <c r="I1434" t="s">
        <v>2320</v>
      </c>
      <c r="J1434" t="s">
        <v>38</v>
      </c>
      <c r="K1434" t="s">
        <v>29</v>
      </c>
      <c r="L1434" s="1">
        <v>3300</v>
      </c>
      <c r="M1434" t="s">
        <v>1379</v>
      </c>
      <c r="N1434" s="1">
        <v>42311</v>
      </c>
      <c r="O1434" s="1">
        <v>38118</v>
      </c>
      <c r="P1434" t="s">
        <v>1380</v>
      </c>
      <c r="Q1434" s="2">
        <v>0.7</v>
      </c>
      <c r="R1434" s="1">
        <v>26683</v>
      </c>
      <c r="S1434" t="s">
        <v>29</v>
      </c>
      <c r="T1434" s="1">
        <v>2313</v>
      </c>
      <c r="U1434">
        <v>8.677E-2</v>
      </c>
      <c r="V1434" t="str">
        <f>VLOOKUP(H1434,'[1]팀별 출판사'!A:B,2,0)</f>
        <v>소설2팀</v>
      </c>
      <c r="W1434" s="6">
        <f t="shared" si="44"/>
        <v>0</v>
      </c>
      <c r="X1434" s="6">
        <f t="shared" si="45"/>
        <v>2313</v>
      </c>
    </row>
    <row r="1435" spans="1:24" x14ac:dyDescent="0.3">
      <c r="A1435" t="s">
        <v>2103</v>
      </c>
      <c r="B1435" t="s">
        <v>2321</v>
      </c>
      <c r="C1435" t="s">
        <v>23</v>
      </c>
      <c r="D1435" t="s">
        <v>24</v>
      </c>
      <c r="E1435" t="s">
        <v>25</v>
      </c>
      <c r="F1435">
        <v>1</v>
      </c>
      <c r="G1435">
        <v>9791136936769</v>
      </c>
      <c r="H1435" t="s">
        <v>32</v>
      </c>
      <c r="I1435" t="s">
        <v>792</v>
      </c>
      <c r="J1435" t="s">
        <v>793</v>
      </c>
      <c r="K1435" t="s">
        <v>29</v>
      </c>
      <c r="L1435">
        <v>0</v>
      </c>
      <c r="M1435" t="s">
        <v>29</v>
      </c>
      <c r="N1435">
        <v>0</v>
      </c>
      <c r="O1435">
        <v>0</v>
      </c>
      <c r="P1435" t="s">
        <v>30</v>
      </c>
      <c r="Q1435" s="2">
        <v>0.7</v>
      </c>
      <c r="R1435">
        <v>0</v>
      </c>
      <c r="V1435" t="str">
        <f>VLOOKUP(H1435,'[1]팀별 출판사'!A:B,2,0)</f>
        <v>소설1팀</v>
      </c>
      <c r="W1435" s="6">
        <f t="shared" si="44"/>
        <v>0</v>
      </c>
      <c r="X1435" s="6">
        <f t="shared" si="45"/>
        <v>0</v>
      </c>
    </row>
    <row r="1436" spans="1:24" x14ac:dyDescent="0.3">
      <c r="A1436" t="s">
        <v>2103</v>
      </c>
      <c r="B1436" t="s">
        <v>2322</v>
      </c>
      <c r="C1436" t="s">
        <v>23</v>
      </c>
      <c r="D1436" t="s">
        <v>24</v>
      </c>
      <c r="E1436" t="s">
        <v>25</v>
      </c>
      <c r="F1436">
        <v>1</v>
      </c>
      <c r="G1436">
        <v>9791136930286</v>
      </c>
      <c r="H1436" t="s">
        <v>32</v>
      </c>
      <c r="I1436" t="s">
        <v>818</v>
      </c>
      <c r="J1436" t="s">
        <v>157</v>
      </c>
      <c r="K1436" t="s">
        <v>29</v>
      </c>
      <c r="L1436">
        <v>0</v>
      </c>
      <c r="M1436" t="s">
        <v>29</v>
      </c>
      <c r="N1436">
        <v>0</v>
      </c>
      <c r="O1436">
        <v>0</v>
      </c>
      <c r="P1436" t="s">
        <v>30</v>
      </c>
      <c r="Q1436" s="2">
        <v>0.7</v>
      </c>
      <c r="R1436">
        <v>0</v>
      </c>
      <c r="V1436" t="str">
        <f>VLOOKUP(H1436,'[1]팀별 출판사'!A:B,2,0)</f>
        <v>소설1팀</v>
      </c>
      <c r="W1436" s="6">
        <f t="shared" si="44"/>
        <v>0</v>
      </c>
      <c r="X1436" s="6">
        <f t="shared" si="45"/>
        <v>0</v>
      </c>
    </row>
    <row r="1437" spans="1:24" x14ac:dyDescent="0.3">
      <c r="A1437" t="s">
        <v>2103</v>
      </c>
      <c r="B1437" t="s">
        <v>2323</v>
      </c>
      <c r="C1437" t="s">
        <v>23</v>
      </c>
      <c r="D1437" t="s">
        <v>24</v>
      </c>
      <c r="E1437" t="s">
        <v>25</v>
      </c>
      <c r="F1437">
        <v>1</v>
      </c>
      <c r="G1437">
        <v>9791136903792</v>
      </c>
      <c r="H1437" t="s">
        <v>26</v>
      </c>
      <c r="I1437" t="s">
        <v>2324</v>
      </c>
      <c r="J1437" t="s">
        <v>256</v>
      </c>
      <c r="K1437" t="s">
        <v>29</v>
      </c>
      <c r="L1437" s="1">
        <v>3200</v>
      </c>
      <c r="M1437" t="s">
        <v>29</v>
      </c>
      <c r="N1437" s="1">
        <v>3200</v>
      </c>
      <c r="O1437" s="1">
        <v>3200</v>
      </c>
      <c r="P1437" t="s">
        <v>30</v>
      </c>
      <c r="Q1437" s="2">
        <v>0.7</v>
      </c>
      <c r="R1437" s="1">
        <v>2240</v>
      </c>
      <c r="S1437" t="s">
        <v>29</v>
      </c>
      <c r="T1437" s="1">
        <v>2240</v>
      </c>
      <c r="V1437" t="str">
        <f>VLOOKUP(H1437,'[1]팀별 출판사'!A:B,2,0)</f>
        <v>소설1팀</v>
      </c>
      <c r="W1437" s="6">
        <f t="shared" si="44"/>
        <v>0</v>
      </c>
      <c r="X1437" s="6">
        <f t="shared" si="45"/>
        <v>2240</v>
      </c>
    </row>
    <row r="1438" spans="1:24" x14ac:dyDescent="0.3">
      <c r="A1438" t="s">
        <v>2103</v>
      </c>
      <c r="B1438" t="s">
        <v>2325</v>
      </c>
      <c r="C1438" t="s">
        <v>23</v>
      </c>
      <c r="D1438" t="s">
        <v>24</v>
      </c>
      <c r="E1438" t="s">
        <v>25</v>
      </c>
      <c r="F1438">
        <v>1</v>
      </c>
      <c r="G1438">
        <v>9791136930286</v>
      </c>
      <c r="H1438" t="s">
        <v>32</v>
      </c>
      <c r="I1438" t="s">
        <v>818</v>
      </c>
      <c r="J1438" t="s">
        <v>157</v>
      </c>
      <c r="K1438" t="s">
        <v>29</v>
      </c>
      <c r="L1438">
        <v>0</v>
      </c>
      <c r="M1438" t="s">
        <v>136</v>
      </c>
      <c r="N1438">
        <v>0</v>
      </c>
      <c r="O1438">
        <v>0</v>
      </c>
      <c r="P1438" t="s">
        <v>137</v>
      </c>
      <c r="Q1438" s="2">
        <v>0.7</v>
      </c>
      <c r="R1438">
        <v>0</v>
      </c>
      <c r="V1438" t="str">
        <f>VLOOKUP(H1438,'[1]팀별 출판사'!A:B,2,0)</f>
        <v>소설1팀</v>
      </c>
      <c r="W1438" s="6">
        <f t="shared" si="44"/>
        <v>0</v>
      </c>
      <c r="X1438" s="6">
        <f t="shared" si="45"/>
        <v>0</v>
      </c>
    </row>
    <row r="1439" spans="1:24" x14ac:dyDescent="0.3">
      <c r="A1439" t="s">
        <v>2103</v>
      </c>
      <c r="B1439" t="s">
        <v>2326</v>
      </c>
      <c r="C1439" t="s">
        <v>23</v>
      </c>
      <c r="D1439" t="s">
        <v>24</v>
      </c>
      <c r="E1439" t="s">
        <v>25</v>
      </c>
      <c r="F1439">
        <v>1</v>
      </c>
      <c r="G1439">
        <v>9791136930491</v>
      </c>
      <c r="H1439" t="s">
        <v>26</v>
      </c>
      <c r="I1439" t="s">
        <v>151</v>
      </c>
      <c r="J1439" t="s">
        <v>46</v>
      </c>
      <c r="K1439" t="s">
        <v>29</v>
      </c>
      <c r="L1439">
        <v>0</v>
      </c>
      <c r="M1439" t="s">
        <v>136</v>
      </c>
      <c r="N1439">
        <v>0</v>
      </c>
      <c r="O1439">
        <v>0</v>
      </c>
      <c r="P1439" t="s">
        <v>137</v>
      </c>
      <c r="Q1439" s="2">
        <v>0.7</v>
      </c>
      <c r="R1439">
        <v>0</v>
      </c>
      <c r="V1439" t="str">
        <f>VLOOKUP(H1439,'[1]팀별 출판사'!A:B,2,0)</f>
        <v>소설1팀</v>
      </c>
      <c r="W1439" s="6">
        <f t="shared" si="44"/>
        <v>0</v>
      </c>
      <c r="X1439" s="6">
        <f t="shared" si="45"/>
        <v>0</v>
      </c>
    </row>
    <row r="1440" spans="1:24" x14ac:dyDescent="0.3">
      <c r="A1440" t="s">
        <v>2103</v>
      </c>
      <c r="B1440" t="s">
        <v>2327</v>
      </c>
      <c r="C1440" t="s">
        <v>23</v>
      </c>
      <c r="D1440" t="s">
        <v>24</v>
      </c>
      <c r="E1440" t="s">
        <v>25</v>
      </c>
      <c r="F1440">
        <v>1</v>
      </c>
      <c r="G1440">
        <v>9791136930750</v>
      </c>
      <c r="H1440" t="s">
        <v>32</v>
      </c>
      <c r="I1440" t="s">
        <v>656</v>
      </c>
      <c r="J1440" t="s">
        <v>157</v>
      </c>
      <c r="K1440" t="s">
        <v>29</v>
      </c>
      <c r="L1440">
        <v>0</v>
      </c>
      <c r="M1440" t="s">
        <v>136</v>
      </c>
      <c r="N1440">
        <v>0</v>
      </c>
      <c r="O1440">
        <v>0</v>
      </c>
      <c r="P1440" t="s">
        <v>137</v>
      </c>
      <c r="Q1440" s="2">
        <v>0.7</v>
      </c>
      <c r="R1440">
        <v>0</v>
      </c>
      <c r="V1440" t="str">
        <f>VLOOKUP(H1440,'[1]팀별 출판사'!A:B,2,0)</f>
        <v>소설1팀</v>
      </c>
      <c r="W1440" s="6">
        <f t="shared" si="44"/>
        <v>0</v>
      </c>
      <c r="X1440" s="6">
        <f t="shared" si="45"/>
        <v>0</v>
      </c>
    </row>
    <row r="1441" spans="1:24" x14ac:dyDescent="0.3">
      <c r="A1441" t="s">
        <v>2103</v>
      </c>
      <c r="B1441" t="s">
        <v>2328</v>
      </c>
      <c r="C1441" t="s">
        <v>23</v>
      </c>
      <c r="D1441" t="s">
        <v>24</v>
      </c>
      <c r="E1441" t="s">
        <v>25</v>
      </c>
      <c r="F1441">
        <v>1</v>
      </c>
      <c r="G1441">
        <v>9791136988133</v>
      </c>
      <c r="H1441" t="s">
        <v>26</v>
      </c>
      <c r="I1441" t="s">
        <v>614</v>
      </c>
      <c r="J1441" t="s">
        <v>28</v>
      </c>
      <c r="K1441" t="s">
        <v>29</v>
      </c>
      <c r="L1441">
        <v>0</v>
      </c>
      <c r="M1441" t="s">
        <v>29</v>
      </c>
      <c r="N1441">
        <v>0</v>
      </c>
      <c r="O1441">
        <v>0</v>
      </c>
      <c r="P1441" t="s">
        <v>30</v>
      </c>
      <c r="Q1441" s="2">
        <v>0.7</v>
      </c>
      <c r="R1441">
        <v>0</v>
      </c>
      <c r="V1441" t="str">
        <f>VLOOKUP(H1441,'[1]팀별 출판사'!A:B,2,0)</f>
        <v>소설1팀</v>
      </c>
      <c r="W1441" s="6">
        <f t="shared" si="44"/>
        <v>0</v>
      </c>
      <c r="X1441" s="6">
        <f t="shared" si="45"/>
        <v>0</v>
      </c>
    </row>
    <row r="1442" spans="1:24" x14ac:dyDescent="0.3">
      <c r="A1442" t="s">
        <v>2329</v>
      </c>
      <c r="B1442" t="s">
        <v>2330</v>
      </c>
      <c r="C1442" t="s">
        <v>23</v>
      </c>
      <c r="D1442" t="s">
        <v>24</v>
      </c>
      <c r="E1442" t="s">
        <v>25</v>
      </c>
      <c r="F1442">
        <v>1</v>
      </c>
      <c r="G1442">
        <v>9791133186501</v>
      </c>
      <c r="H1442" t="s">
        <v>26</v>
      </c>
      <c r="I1442" t="s">
        <v>64</v>
      </c>
      <c r="J1442" t="s">
        <v>65</v>
      </c>
      <c r="K1442" t="s">
        <v>29</v>
      </c>
      <c r="L1442">
        <v>0</v>
      </c>
      <c r="M1442" t="s">
        <v>29</v>
      </c>
      <c r="N1442">
        <v>0</v>
      </c>
      <c r="O1442">
        <v>0</v>
      </c>
      <c r="P1442" t="s">
        <v>30</v>
      </c>
      <c r="Q1442" s="2">
        <v>0.7</v>
      </c>
      <c r="R1442">
        <v>0</v>
      </c>
      <c r="V1442" t="str">
        <f>VLOOKUP(H1442,'[1]팀별 출판사'!A:B,2,0)</f>
        <v>소설1팀</v>
      </c>
      <c r="W1442" s="6">
        <f t="shared" si="44"/>
        <v>0</v>
      </c>
      <c r="X1442" s="6">
        <f t="shared" si="45"/>
        <v>0</v>
      </c>
    </row>
    <row r="1443" spans="1:24" x14ac:dyDescent="0.3">
      <c r="A1443" t="s">
        <v>2329</v>
      </c>
      <c r="B1443" t="s">
        <v>2331</v>
      </c>
      <c r="C1443" t="s">
        <v>23</v>
      </c>
      <c r="D1443" t="s">
        <v>24</v>
      </c>
      <c r="E1443" t="s">
        <v>25</v>
      </c>
      <c r="F1443">
        <v>1</v>
      </c>
      <c r="G1443">
        <v>9791136904867</v>
      </c>
      <c r="H1443" t="s">
        <v>26</v>
      </c>
      <c r="I1443" t="s">
        <v>2332</v>
      </c>
      <c r="J1443" t="s">
        <v>166</v>
      </c>
      <c r="K1443" t="s">
        <v>29</v>
      </c>
      <c r="L1443" s="1">
        <v>3200</v>
      </c>
      <c r="M1443" t="s">
        <v>29</v>
      </c>
      <c r="N1443" s="1">
        <v>3200</v>
      </c>
      <c r="O1443" s="1">
        <v>3200</v>
      </c>
      <c r="P1443" t="s">
        <v>30</v>
      </c>
      <c r="Q1443" s="2">
        <v>0.7</v>
      </c>
      <c r="R1443" s="1">
        <v>2240</v>
      </c>
      <c r="S1443" t="s">
        <v>29</v>
      </c>
      <c r="T1443" s="1">
        <v>2240</v>
      </c>
      <c r="V1443" t="str">
        <f>VLOOKUP(H1443,'[1]팀별 출판사'!A:B,2,0)</f>
        <v>소설1팀</v>
      </c>
      <c r="W1443" s="6">
        <f t="shared" si="44"/>
        <v>0</v>
      </c>
      <c r="X1443" s="6">
        <f t="shared" si="45"/>
        <v>2240</v>
      </c>
    </row>
    <row r="1444" spans="1:24" x14ac:dyDescent="0.3">
      <c r="A1444" t="s">
        <v>2329</v>
      </c>
      <c r="B1444" t="s">
        <v>2333</v>
      </c>
      <c r="C1444" t="s">
        <v>23</v>
      </c>
      <c r="D1444" t="s">
        <v>24</v>
      </c>
      <c r="E1444" t="s">
        <v>25</v>
      </c>
      <c r="F1444">
        <v>1</v>
      </c>
      <c r="G1444">
        <v>9791170104070</v>
      </c>
      <c r="H1444" t="s">
        <v>67</v>
      </c>
      <c r="I1444" t="s">
        <v>1748</v>
      </c>
      <c r="J1444" t="s">
        <v>241</v>
      </c>
      <c r="K1444" t="s">
        <v>29</v>
      </c>
      <c r="L1444">
        <v>0</v>
      </c>
      <c r="M1444" t="s">
        <v>29</v>
      </c>
      <c r="N1444">
        <v>0</v>
      </c>
      <c r="O1444">
        <v>0</v>
      </c>
      <c r="P1444" t="s">
        <v>30</v>
      </c>
      <c r="Q1444" s="2">
        <v>0.7</v>
      </c>
      <c r="R1444">
        <v>0</v>
      </c>
      <c r="V1444" t="str">
        <f>VLOOKUP(H1444,'[1]팀별 출판사'!A:B,2,0)</f>
        <v>소설1팀</v>
      </c>
      <c r="W1444" s="6">
        <f t="shared" si="44"/>
        <v>0</v>
      </c>
      <c r="X1444" s="6">
        <f t="shared" si="45"/>
        <v>0</v>
      </c>
    </row>
    <row r="1445" spans="1:24" x14ac:dyDescent="0.3">
      <c r="A1445" t="s">
        <v>2329</v>
      </c>
      <c r="B1445" t="s">
        <v>2334</v>
      </c>
      <c r="C1445" t="s">
        <v>23</v>
      </c>
      <c r="D1445" t="s">
        <v>24</v>
      </c>
      <c r="E1445" t="s">
        <v>25</v>
      </c>
      <c r="F1445">
        <v>1</v>
      </c>
      <c r="G1445">
        <v>9791172920135</v>
      </c>
      <c r="H1445" t="s">
        <v>26</v>
      </c>
      <c r="I1445" t="s">
        <v>278</v>
      </c>
      <c r="J1445" t="s">
        <v>276</v>
      </c>
      <c r="K1445" t="s">
        <v>29</v>
      </c>
      <c r="L1445">
        <v>0</v>
      </c>
      <c r="M1445" t="s">
        <v>29</v>
      </c>
      <c r="N1445">
        <v>0</v>
      </c>
      <c r="O1445">
        <v>0</v>
      </c>
      <c r="P1445" t="s">
        <v>30</v>
      </c>
      <c r="Q1445" s="2">
        <v>0.7</v>
      </c>
      <c r="R1445">
        <v>0</v>
      </c>
      <c r="V1445" t="str">
        <f>VLOOKUP(H1445,'[1]팀별 출판사'!A:B,2,0)</f>
        <v>소설1팀</v>
      </c>
      <c r="W1445" s="6">
        <f t="shared" si="44"/>
        <v>0</v>
      </c>
      <c r="X1445" s="6">
        <f t="shared" si="45"/>
        <v>0</v>
      </c>
    </row>
    <row r="1446" spans="1:24" x14ac:dyDescent="0.3">
      <c r="A1446" t="s">
        <v>2329</v>
      </c>
      <c r="B1446" t="s">
        <v>2335</v>
      </c>
      <c r="C1446" t="s">
        <v>23</v>
      </c>
      <c r="D1446" t="s">
        <v>24</v>
      </c>
      <c r="E1446" t="s">
        <v>25</v>
      </c>
      <c r="F1446">
        <v>1</v>
      </c>
      <c r="G1446" t="s">
        <v>2336</v>
      </c>
      <c r="H1446" t="s">
        <v>32</v>
      </c>
      <c r="I1446" t="s">
        <v>2337</v>
      </c>
      <c r="J1446" t="s">
        <v>88</v>
      </c>
      <c r="K1446" t="s">
        <v>29</v>
      </c>
      <c r="L1446">
        <v>0</v>
      </c>
      <c r="M1446" t="s">
        <v>29</v>
      </c>
      <c r="N1446">
        <v>0</v>
      </c>
      <c r="O1446">
        <v>0</v>
      </c>
      <c r="P1446" t="s">
        <v>30</v>
      </c>
      <c r="Q1446" s="2">
        <v>0.7</v>
      </c>
      <c r="R1446">
        <v>0</v>
      </c>
      <c r="V1446" t="str">
        <f>VLOOKUP(H1446,'[1]팀별 출판사'!A:B,2,0)</f>
        <v>소설1팀</v>
      </c>
      <c r="W1446" s="6">
        <f t="shared" si="44"/>
        <v>0</v>
      </c>
      <c r="X1446" s="6">
        <f t="shared" si="45"/>
        <v>0</v>
      </c>
    </row>
    <row r="1447" spans="1:24" x14ac:dyDescent="0.3">
      <c r="A1447" t="s">
        <v>2329</v>
      </c>
      <c r="B1447" t="s">
        <v>2338</v>
      </c>
      <c r="C1447" t="s">
        <v>23</v>
      </c>
      <c r="D1447" t="s">
        <v>24</v>
      </c>
      <c r="E1447" t="s">
        <v>25</v>
      </c>
      <c r="F1447">
        <v>1</v>
      </c>
      <c r="G1447">
        <v>9791133148462</v>
      </c>
      <c r="H1447" t="s">
        <v>32</v>
      </c>
      <c r="I1447" t="s">
        <v>1592</v>
      </c>
      <c r="J1447" t="s">
        <v>284</v>
      </c>
      <c r="K1447" t="s">
        <v>29</v>
      </c>
      <c r="L1447">
        <v>0</v>
      </c>
      <c r="M1447" t="s">
        <v>29</v>
      </c>
      <c r="N1447">
        <v>0</v>
      </c>
      <c r="O1447">
        <v>0</v>
      </c>
      <c r="P1447" t="s">
        <v>30</v>
      </c>
      <c r="Q1447" s="2">
        <v>0.7</v>
      </c>
      <c r="R1447">
        <v>0</v>
      </c>
      <c r="V1447" t="str">
        <f>VLOOKUP(H1447,'[1]팀별 출판사'!A:B,2,0)</f>
        <v>소설1팀</v>
      </c>
      <c r="W1447" s="6">
        <f t="shared" si="44"/>
        <v>0</v>
      </c>
      <c r="X1447" s="6">
        <f t="shared" si="45"/>
        <v>0</v>
      </c>
    </row>
    <row r="1448" spans="1:24" x14ac:dyDescent="0.3">
      <c r="A1448" t="s">
        <v>2329</v>
      </c>
      <c r="B1448" t="s">
        <v>2339</v>
      </c>
      <c r="C1448" t="s">
        <v>23</v>
      </c>
      <c r="D1448" t="s">
        <v>24</v>
      </c>
      <c r="E1448" t="s">
        <v>25</v>
      </c>
      <c r="F1448">
        <v>1</v>
      </c>
      <c r="G1448">
        <v>9791136925664</v>
      </c>
      <c r="H1448" t="s">
        <v>26</v>
      </c>
      <c r="I1448" t="s">
        <v>453</v>
      </c>
      <c r="J1448" t="s">
        <v>62</v>
      </c>
      <c r="K1448" t="s">
        <v>29</v>
      </c>
      <c r="L1448">
        <v>0</v>
      </c>
      <c r="M1448" t="s">
        <v>29</v>
      </c>
      <c r="N1448">
        <v>0</v>
      </c>
      <c r="O1448">
        <v>0</v>
      </c>
      <c r="P1448" t="s">
        <v>30</v>
      </c>
      <c r="Q1448" s="2">
        <v>0.7</v>
      </c>
      <c r="R1448">
        <v>0</v>
      </c>
      <c r="V1448" t="str">
        <f>VLOOKUP(H1448,'[1]팀별 출판사'!A:B,2,0)</f>
        <v>소설1팀</v>
      </c>
      <c r="W1448" s="6">
        <f t="shared" si="44"/>
        <v>0</v>
      </c>
      <c r="X1448" s="6">
        <f t="shared" si="45"/>
        <v>0</v>
      </c>
    </row>
    <row r="1449" spans="1:24" x14ac:dyDescent="0.3">
      <c r="A1449" t="s">
        <v>2329</v>
      </c>
      <c r="B1449" t="s">
        <v>2340</v>
      </c>
      <c r="C1449" t="s">
        <v>23</v>
      </c>
      <c r="D1449" t="s">
        <v>24</v>
      </c>
      <c r="E1449" t="s">
        <v>25</v>
      </c>
      <c r="F1449">
        <v>1</v>
      </c>
      <c r="G1449">
        <v>9791173784477</v>
      </c>
      <c r="H1449" t="s">
        <v>26</v>
      </c>
      <c r="I1449" t="s">
        <v>378</v>
      </c>
      <c r="J1449" t="s">
        <v>284</v>
      </c>
      <c r="K1449" t="s">
        <v>29</v>
      </c>
      <c r="L1449">
        <v>0</v>
      </c>
      <c r="M1449" t="s">
        <v>29</v>
      </c>
      <c r="N1449">
        <v>0</v>
      </c>
      <c r="O1449">
        <v>0</v>
      </c>
      <c r="P1449" t="s">
        <v>30</v>
      </c>
      <c r="Q1449" s="2">
        <v>0.7</v>
      </c>
      <c r="R1449">
        <v>0</v>
      </c>
      <c r="V1449" t="str">
        <f>VLOOKUP(H1449,'[1]팀별 출판사'!A:B,2,0)</f>
        <v>소설1팀</v>
      </c>
      <c r="W1449" s="6">
        <f t="shared" si="44"/>
        <v>0</v>
      </c>
      <c r="X1449" s="6">
        <f t="shared" si="45"/>
        <v>0</v>
      </c>
    </row>
    <row r="1450" spans="1:24" x14ac:dyDescent="0.3">
      <c r="A1450" t="s">
        <v>2329</v>
      </c>
      <c r="B1450" t="s">
        <v>2341</v>
      </c>
      <c r="C1450" t="s">
        <v>23</v>
      </c>
      <c r="D1450" t="s">
        <v>24</v>
      </c>
      <c r="E1450" t="s">
        <v>25</v>
      </c>
      <c r="F1450">
        <v>1</v>
      </c>
      <c r="G1450">
        <v>9791133184613</v>
      </c>
      <c r="H1450" t="s">
        <v>26</v>
      </c>
      <c r="I1450" t="s">
        <v>2342</v>
      </c>
      <c r="J1450" t="s">
        <v>284</v>
      </c>
      <c r="K1450" t="s">
        <v>29</v>
      </c>
      <c r="L1450">
        <v>0</v>
      </c>
      <c r="M1450" t="s">
        <v>29</v>
      </c>
      <c r="N1450">
        <v>0</v>
      </c>
      <c r="O1450">
        <v>0</v>
      </c>
      <c r="P1450" t="s">
        <v>30</v>
      </c>
      <c r="Q1450" s="2">
        <v>0.7</v>
      </c>
      <c r="R1450">
        <v>0</v>
      </c>
      <c r="V1450" t="str">
        <f>VLOOKUP(H1450,'[1]팀별 출판사'!A:B,2,0)</f>
        <v>소설1팀</v>
      </c>
      <c r="W1450" s="6">
        <f t="shared" si="44"/>
        <v>0</v>
      </c>
      <c r="X1450" s="6">
        <f t="shared" si="45"/>
        <v>0</v>
      </c>
    </row>
    <row r="1451" spans="1:24" x14ac:dyDescent="0.3">
      <c r="A1451" t="s">
        <v>2329</v>
      </c>
      <c r="B1451" t="s">
        <v>2343</v>
      </c>
      <c r="C1451" t="s">
        <v>23</v>
      </c>
      <c r="D1451" t="s">
        <v>24</v>
      </c>
      <c r="E1451" t="s">
        <v>25</v>
      </c>
      <c r="F1451">
        <v>1</v>
      </c>
      <c r="G1451">
        <v>9791136943170</v>
      </c>
      <c r="H1451" t="s">
        <v>26</v>
      </c>
      <c r="I1451" t="s">
        <v>2344</v>
      </c>
      <c r="J1451" t="s">
        <v>284</v>
      </c>
      <c r="K1451" t="s">
        <v>29</v>
      </c>
      <c r="L1451">
        <v>0</v>
      </c>
      <c r="M1451" t="s">
        <v>29</v>
      </c>
      <c r="N1451">
        <v>0</v>
      </c>
      <c r="O1451">
        <v>0</v>
      </c>
      <c r="P1451" t="s">
        <v>30</v>
      </c>
      <c r="Q1451" s="2">
        <v>0.7</v>
      </c>
      <c r="R1451">
        <v>0</v>
      </c>
      <c r="V1451" t="str">
        <f>VLOOKUP(H1451,'[1]팀별 출판사'!A:B,2,0)</f>
        <v>소설1팀</v>
      </c>
      <c r="W1451" s="6">
        <f t="shared" si="44"/>
        <v>0</v>
      </c>
      <c r="X1451" s="6">
        <f t="shared" si="45"/>
        <v>0</v>
      </c>
    </row>
    <row r="1452" spans="1:24" x14ac:dyDescent="0.3">
      <c r="A1452" t="s">
        <v>2329</v>
      </c>
      <c r="B1452" t="s">
        <v>2345</v>
      </c>
      <c r="C1452" t="s">
        <v>23</v>
      </c>
      <c r="D1452" t="s">
        <v>24</v>
      </c>
      <c r="E1452" t="s">
        <v>25</v>
      </c>
      <c r="F1452">
        <v>1</v>
      </c>
      <c r="G1452">
        <v>9791136943361</v>
      </c>
      <c r="H1452" t="s">
        <v>26</v>
      </c>
      <c r="I1452" t="s">
        <v>2346</v>
      </c>
      <c r="J1452" t="s">
        <v>284</v>
      </c>
      <c r="K1452" t="s">
        <v>29</v>
      </c>
      <c r="L1452">
        <v>0</v>
      </c>
      <c r="M1452" t="s">
        <v>29</v>
      </c>
      <c r="N1452">
        <v>0</v>
      </c>
      <c r="O1452">
        <v>0</v>
      </c>
      <c r="P1452" t="s">
        <v>30</v>
      </c>
      <c r="Q1452" s="2">
        <v>0.7</v>
      </c>
      <c r="R1452">
        <v>0</v>
      </c>
      <c r="V1452" t="str">
        <f>VLOOKUP(H1452,'[1]팀별 출판사'!A:B,2,0)</f>
        <v>소설1팀</v>
      </c>
      <c r="W1452" s="6">
        <f t="shared" si="44"/>
        <v>0</v>
      </c>
      <c r="X1452" s="6">
        <f t="shared" si="45"/>
        <v>0</v>
      </c>
    </row>
    <row r="1453" spans="1:24" x14ac:dyDescent="0.3">
      <c r="A1453" t="s">
        <v>2329</v>
      </c>
      <c r="B1453" t="s">
        <v>2347</v>
      </c>
      <c r="C1453" t="s">
        <v>23</v>
      </c>
      <c r="D1453" t="s">
        <v>24</v>
      </c>
      <c r="E1453" t="s">
        <v>25</v>
      </c>
      <c r="F1453">
        <v>1</v>
      </c>
      <c r="G1453">
        <v>9791173782794</v>
      </c>
      <c r="H1453" t="s">
        <v>26</v>
      </c>
      <c r="I1453" t="s">
        <v>1209</v>
      </c>
      <c r="J1453" t="s">
        <v>284</v>
      </c>
      <c r="K1453" t="s">
        <v>29</v>
      </c>
      <c r="L1453">
        <v>0</v>
      </c>
      <c r="M1453" t="s">
        <v>29</v>
      </c>
      <c r="N1453">
        <v>0</v>
      </c>
      <c r="O1453">
        <v>0</v>
      </c>
      <c r="P1453" t="s">
        <v>30</v>
      </c>
      <c r="Q1453" s="2">
        <v>0.7</v>
      </c>
      <c r="R1453">
        <v>0</v>
      </c>
      <c r="V1453" t="str">
        <f>VLOOKUP(H1453,'[1]팀별 출판사'!A:B,2,0)</f>
        <v>소설1팀</v>
      </c>
      <c r="W1453" s="6">
        <f t="shared" si="44"/>
        <v>0</v>
      </c>
      <c r="X1453" s="6">
        <f t="shared" si="45"/>
        <v>0</v>
      </c>
    </row>
    <row r="1454" spans="1:24" x14ac:dyDescent="0.3">
      <c r="A1454" t="s">
        <v>2329</v>
      </c>
      <c r="B1454" t="s">
        <v>2348</v>
      </c>
      <c r="C1454" t="s">
        <v>23</v>
      </c>
      <c r="D1454" t="s">
        <v>24</v>
      </c>
      <c r="E1454" t="s">
        <v>25</v>
      </c>
      <c r="F1454">
        <v>1</v>
      </c>
      <c r="G1454">
        <v>9791136923752</v>
      </c>
      <c r="H1454" t="s">
        <v>26</v>
      </c>
      <c r="I1454" t="s">
        <v>2349</v>
      </c>
      <c r="J1454" t="s">
        <v>284</v>
      </c>
      <c r="K1454" t="s">
        <v>29</v>
      </c>
      <c r="L1454">
        <v>0</v>
      </c>
      <c r="M1454" t="s">
        <v>29</v>
      </c>
      <c r="N1454">
        <v>0</v>
      </c>
      <c r="O1454">
        <v>0</v>
      </c>
      <c r="P1454" t="s">
        <v>30</v>
      </c>
      <c r="Q1454" s="2">
        <v>0.7</v>
      </c>
      <c r="R1454">
        <v>0</v>
      </c>
      <c r="V1454" t="str">
        <f>VLOOKUP(H1454,'[1]팀별 출판사'!A:B,2,0)</f>
        <v>소설1팀</v>
      </c>
      <c r="W1454" s="6">
        <f t="shared" si="44"/>
        <v>0</v>
      </c>
      <c r="X1454" s="6">
        <f t="shared" si="45"/>
        <v>0</v>
      </c>
    </row>
    <row r="1455" spans="1:24" x14ac:dyDescent="0.3">
      <c r="A1455" t="s">
        <v>2329</v>
      </c>
      <c r="B1455" t="s">
        <v>2350</v>
      </c>
      <c r="C1455" t="s">
        <v>23</v>
      </c>
      <c r="D1455" t="s">
        <v>24</v>
      </c>
      <c r="E1455" t="s">
        <v>25</v>
      </c>
      <c r="F1455">
        <v>1</v>
      </c>
      <c r="G1455">
        <v>9791136943446</v>
      </c>
      <c r="H1455" t="s">
        <v>26</v>
      </c>
      <c r="I1455" t="s">
        <v>1651</v>
      </c>
      <c r="J1455" t="s">
        <v>284</v>
      </c>
      <c r="K1455" t="s">
        <v>29</v>
      </c>
      <c r="L1455">
        <v>0</v>
      </c>
      <c r="M1455" t="s">
        <v>29</v>
      </c>
      <c r="N1455">
        <v>0</v>
      </c>
      <c r="O1455">
        <v>0</v>
      </c>
      <c r="P1455" t="s">
        <v>30</v>
      </c>
      <c r="Q1455" s="2">
        <v>0.7</v>
      </c>
      <c r="R1455">
        <v>0</v>
      </c>
      <c r="V1455" t="str">
        <f>VLOOKUP(H1455,'[1]팀별 출판사'!A:B,2,0)</f>
        <v>소설1팀</v>
      </c>
      <c r="W1455" s="6">
        <f t="shared" si="44"/>
        <v>0</v>
      </c>
      <c r="X1455" s="6">
        <f t="shared" si="45"/>
        <v>0</v>
      </c>
    </row>
    <row r="1456" spans="1:24" x14ac:dyDescent="0.3">
      <c r="A1456" t="s">
        <v>2329</v>
      </c>
      <c r="B1456" t="s">
        <v>2351</v>
      </c>
      <c r="C1456" t="s">
        <v>23</v>
      </c>
      <c r="D1456" t="s">
        <v>24</v>
      </c>
      <c r="E1456" t="s">
        <v>25</v>
      </c>
      <c r="F1456">
        <v>1</v>
      </c>
      <c r="G1456">
        <v>9791136942418</v>
      </c>
      <c r="H1456" t="s">
        <v>26</v>
      </c>
      <c r="I1456" t="s">
        <v>2055</v>
      </c>
      <c r="J1456" t="s">
        <v>284</v>
      </c>
      <c r="K1456" t="s">
        <v>29</v>
      </c>
      <c r="L1456">
        <v>0</v>
      </c>
      <c r="M1456" t="s">
        <v>29</v>
      </c>
      <c r="N1456">
        <v>0</v>
      </c>
      <c r="O1456">
        <v>0</v>
      </c>
      <c r="P1456" t="s">
        <v>30</v>
      </c>
      <c r="Q1456" s="2">
        <v>0.7</v>
      </c>
      <c r="R1456">
        <v>0</v>
      </c>
      <c r="V1456" t="str">
        <f>VLOOKUP(H1456,'[1]팀별 출판사'!A:B,2,0)</f>
        <v>소설1팀</v>
      </c>
      <c r="W1456" s="6">
        <f t="shared" si="44"/>
        <v>0</v>
      </c>
      <c r="X1456" s="6">
        <f t="shared" si="45"/>
        <v>0</v>
      </c>
    </row>
    <row r="1457" spans="1:24" x14ac:dyDescent="0.3">
      <c r="A1457" t="s">
        <v>2329</v>
      </c>
      <c r="B1457" t="s">
        <v>2352</v>
      </c>
      <c r="C1457" t="s">
        <v>23</v>
      </c>
      <c r="D1457" t="s">
        <v>24</v>
      </c>
      <c r="E1457" t="s">
        <v>25</v>
      </c>
      <c r="F1457">
        <v>1</v>
      </c>
      <c r="G1457">
        <v>9791136988256</v>
      </c>
      <c r="H1457" t="s">
        <v>26</v>
      </c>
      <c r="I1457" t="s">
        <v>2353</v>
      </c>
      <c r="J1457" t="s">
        <v>28</v>
      </c>
      <c r="K1457" t="s">
        <v>29</v>
      </c>
      <c r="L1457" s="1">
        <v>3200</v>
      </c>
      <c r="M1457" t="s">
        <v>29</v>
      </c>
      <c r="N1457" s="1">
        <v>3200</v>
      </c>
      <c r="O1457" s="1">
        <v>3200</v>
      </c>
      <c r="P1457" t="s">
        <v>30</v>
      </c>
      <c r="Q1457" s="2">
        <v>0.7</v>
      </c>
      <c r="R1457" s="1">
        <v>2240</v>
      </c>
      <c r="S1457" t="s">
        <v>29</v>
      </c>
      <c r="T1457" s="1">
        <v>2240</v>
      </c>
      <c r="V1457" t="str">
        <f>VLOOKUP(H1457,'[1]팀별 출판사'!A:B,2,0)</f>
        <v>소설1팀</v>
      </c>
      <c r="W1457" s="6">
        <f t="shared" si="44"/>
        <v>0</v>
      </c>
      <c r="X1457" s="6">
        <f t="shared" si="45"/>
        <v>2240</v>
      </c>
    </row>
    <row r="1458" spans="1:24" x14ac:dyDescent="0.3">
      <c r="A1458" t="s">
        <v>2329</v>
      </c>
      <c r="B1458" t="s">
        <v>2354</v>
      </c>
      <c r="C1458" t="s">
        <v>23</v>
      </c>
      <c r="D1458" t="s">
        <v>24</v>
      </c>
      <c r="E1458" t="s">
        <v>25</v>
      </c>
      <c r="F1458">
        <v>1</v>
      </c>
      <c r="G1458">
        <v>9791173786136</v>
      </c>
      <c r="H1458" t="s">
        <v>79</v>
      </c>
      <c r="I1458" t="s">
        <v>1476</v>
      </c>
      <c r="J1458" t="s">
        <v>81</v>
      </c>
      <c r="K1458" t="s">
        <v>29</v>
      </c>
      <c r="L1458">
        <v>0</v>
      </c>
      <c r="M1458" t="s">
        <v>29</v>
      </c>
      <c r="N1458">
        <v>0</v>
      </c>
      <c r="O1458">
        <v>0</v>
      </c>
      <c r="P1458" t="s">
        <v>30</v>
      </c>
      <c r="Q1458" s="2">
        <v>0.7</v>
      </c>
      <c r="R1458">
        <v>0</v>
      </c>
      <c r="V1458" t="str">
        <f>VLOOKUP(H1458,'[1]팀별 출판사'!A:B,2,0)</f>
        <v>소설1팀</v>
      </c>
      <c r="W1458" s="6">
        <f t="shared" si="44"/>
        <v>0</v>
      </c>
      <c r="X1458" s="6">
        <f t="shared" si="45"/>
        <v>0</v>
      </c>
    </row>
    <row r="1459" spans="1:24" x14ac:dyDescent="0.3">
      <c r="A1459" t="s">
        <v>2329</v>
      </c>
      <c r="B1459" t="s">
        <v>2355</v>
      </c>
      <c r="C1459" t="s">
        <v>23</v>
      </c>
      <c r="D1459" t="s">
        <v>24</v>
      </c>
      <c r="E1459" t="s">
        <v>25</v>
      </c>
      <c r="F1459">
        <v>1</v>
      </c>
      <c r="G1459" t="s">
        <v>638</v>
      </c>
      <c r="H1459" t="s">
        <v>32</v>
      </c>
      <c r="I1459" t="s">
        <v>639</v>
      </c>
      <c r="J1459" t="s">
        <v>166</v>
      </c>
      <c r="K1459" t="s">
        <v>29</v>
      </c>
      <c r="L1459">
        <v>0</v>
      </c>
      <c r="M1459" t="s">
        <v>1181</v>
      </c>
      <c r="N1459">
        <v>0</v>
      </c>
      <c r="O1459">
        <v>0</v>
      </c>
      <c r="P1459" t="s">
        <v>1182</v>
      </c>
      <c r="Q1459" s="2">
        <v>0.7</v>
      </c>
      <c r="R1459">
        <v>0</v>
      </c>
      <c r="V1459" t="str">
        <f>VLOOKUP(H1459,'[1]팀별 출판사'!A:B,2,0)</f>
        <v>소설1팀</v>
      </c>
      <c r="W1459" s="6">
        <f t="shared" si="44"/>
        <v>0</v>
      </c>
      <c r="X1459" s="6">
        <f t="shared" si="45"/>
        <v>0</v>
      </c>
    </row>
    <row r="1460" spans="1:24" x14ac:dyDescent="0.3">
      <c r="A1460" t="s">
        <v>2329</v>
      </c>
      <c r="B1460" t="s">
        <v>2356</v>
      </c>
      <c r="C1460" t="s">
        <v>23</v>
      </c>
      <c r="D1460" t="s">
        <v>24</v>
      </c>
      <c r="E1460" t="s">
        <v>25</v>
      </c>
      <c r="F1460">
        <v>1</v>
      </c>
      <c r="G1460">
        <v>9791136958662</v>
      </c>
      <c r="H1460" t="s">
        <v>79</v>
      </c>
      <c r="I1460" t="s">
        <v>396</v>
      </c>
      <c r="J1460" t="s">
        <v>81</v>
      </c>
      <c r="K1460" t="s">
        <v>29</v>
      </c>
      <c r="L1460">
        <v>0</v>
      </c>
      <c r="M1460" t="s">
        <v>29</v>
      </c>
      <c r="N1460">
        <v>0</v>
      </c>
      <c r="O1460">
        <v>0</v>
      </c>
      <c r="P1460" t="s">
        <v>30</v>
      </c>
      <c r="Q1460" s="2">
        <v>0.7</v>
      </c>
      <c r="R1460">
        <v>0</v>
      </c>
      <c r="V1460" t="str">
        <f>VLOOKUP(H1460,'[1]팀별 출판사'!A:B,2,0)</f>
        <v>소설1팀</v>
      </c>
      <c r="W1460" s="6">
        <f t="shared" si="44"/>
        <v>0</v>
      </c>
      <c r="X1460" s="6">
        <f t="shared" si="45"/>
        <v>0</v>
      </c>
    </row>
    <row r="1461" spans="1:24" x14ac:dyDescent="0.3">
      <c r="A1461" t="s">
        <v>2329</v>
      </c>
      <c r="B1461" t="s">
        <v>2357</v>
      </c>
      <c r="C1461" t="s">
        <v>23</v>
      </c>
      <c r="D1461" t="s">
        <v>24</v>
      </c>
      <c r="E1461" t="s">
        <v>25</v>
      </c>
      <c r="F1461">
        <v>1</v>
      </c>
      <c r="G1461" t="s">
        <v>2358</v>
      </c>
      <c r="H1461" t="s">
        <v>32</v>
      </c>
      <c r="I1461" t="s">
        <v>2359</v>
      </c>
      <c r="J1461" t="s">
        <v>43</v>
      </c>
      <c r="K1461" t="s">
        <v>29</v>
      </c>
      <c r="L1461" s="1">
        <v>3000</v>
      </c>
      <c r="M1461" t="s">
        <v>29</v>
      </c>
      <c r="N1461" s="1">
        <v>3000</v>
      </c>
      <c r="O1461" s="1">
        <v>3000</v>
      </c>
      <c r="P1461" t="s">
        <v>30</v>
      </c>
      <c r="Q1461" s="2">
        <v>0.7</v>
      </c>
      <c r="R1461" s="1">
        <v>2100</v>
      </c>
      <c r="S1461" t="s">
        <v>29</v>
      </c>
      <c r="T1461" s="1">
        <v>2100</v>
      </c>
      <c r="V1461" t="str">
        <f>VLOOKUP(H1461,'[1]팀별 출판사'!A:B,2,0)</f>
        <v>소설1팀</v>
      </c>
      <c r="W1461" s="6">
        <f t="shared" si="44"/>
        <v>0</v>
      </c>
      <c r="X1461" s="6">
        <f t="shared" si="45"/>
        <v>2100</v>
      </c>
    </row>
    <row r="1462" spans="1:24" x14ac:dyDescent="0.3">
      <c r="A1462" t="s">
        <v>2329</v>
      </c>
      <c r="B1462" t="s">
        <v>2360</v>
      </c>
      <c r="C1462" t="s">
        <v>23</v>
      </c>
      <c r="D1462" t="s">
        <v>24</v>
      </c>
      <c r="E1462" t="s">
        <v>25</v>
      </c>
      <c r="F1462">
        <v>1</v>
      </c>
      <c r="G1462">
        <v>9791133186501</v>
      </c>
      <c r="H1462" t="s">
        <v>26</v>
      </c>
      <c r="I1462" t="s">
        <v>64</v>
      </c>
      <c r="J1462" t="s">
        <v>65</v>
      </c>
      <c r="K1462" t="s">
        <v>29</v>
      </c>
      <c r="L1462">
        <v>0</v>
      </c>
      <c r="M1462" t="s">
        <v>29</v>
      </c>
      <c r="N1462">
        <v>0</v>
      </c>
      <c r="O1462">
        <v>0</v>
      </c>
      <c r="P1462" t="s">
        <v>30</v>
      </c>
      <c r="Q1462" s="2">
        <v>0.7</v>
      </c>
      <c r="R1462">
        <v>0</v>
      </c>
      <c r="V1462" t="str">
        <f>VLOOKUP(H1462,'[1]팀별 출판사'!A:B,2,0)</f>
        <v>소설1팀</v>
      </c>
      <c r="W1462" s="6">
        <f t="shared" si="44"/>
        <v>0</v>
      </c>
      <c r="X1462" s="6">
        <f t="shared" si="45"/>
        <v>0</v>
      </c>
    </row>
    <row r="1463" spans="1:24" x14ac:dyDescent="0.3">
      <c r="A1463" t="s">
        <v>2329</v>
      </c>
      <c r="B1463" t="s">
        <v>2361</v>
      </c>
      <c r="C1463" t="s">
        <v>23</v>
      </c>
      <c r="D1463" t="s">
        <v>24</v>
      </c>
      <c r="E1463" t="s">
        <v>25</v>
      </c>
      <c r="F1463">
        <v>1</v>
      </c>
      <c r="G1463">
        <v>9791157532223</v>
      </c>
      <c r="H1463" t="s">
        <v>32</v>
      </c>
      <c r="I1463" t="s">
        <v>2362</v>
      </c>
      <c r="J1463" t="s">
        <v>112</v>
      </c>
      <c r="K1463" t="s">
        <v>29</v>
      </c>
      <c r="L1463" s="1">
        <v>3200</v>
      </c>
      <c r="M1463" t="s">
        <v>29</v>
      </c>
      <c r="N1463" s="1">
        <v>3200</v>
      </c>
      <c r="O1463" s="1">
        <v>3200</v>
      </c>
      <c r="P1463" t="s">
        <v>30</v>
      </c>
      <c r="Q1463" s="2">
        <v>0.7</v>
      </c>
      <c r="R1463" s="1">
        <v>2240</v>
      </c>
      <c r="S1463" t="s">
        <v>29</v>
      </c>
      <c r="T1463" s="1">
        <v>2240</v>
      </c>
      <c r="V1463" t="str">
        <f>VLOOKUP(H1463,'[1]팀별 출판사'!A:B,2,0)</f>
        <v>소설1팀</v>
      </c>
      <c r="W1463" s="6">
        <f t="shared" si="44"/>
        <v>0</v>
      </c>
      <c r="X1463" s="6">
        <f t="shared" si="45"/>
        <v>2240</v>
      </c>
    </row>
    <row r="1464" spans="1:24" x14ac:dyDescent="0.3">
      <c r="A1464" t="s">
        <v>2329</v>
      </c>
      <c r="B1464" t="s">
        <v>2363</v>
      </c>
      <c r="C1464" t="s">
        <v>23</v>
      </c>
      <c r="D1464" t="s">
        <v>24</v>
      </c>
      <c r="E1464" t="s">
        <v>25</v>
      </c>
      <c r="F1464">
        <v>1</v>
      </c>
      <c r="G1464">
        <v>9791133101863</v>
      </c>
      <c r="H1464" t="s">
        <v>32</v>
      </c>
      <c r="I1464" t="s">
        <v>159</v>
      </c>
      <c r="J1464" t="s">
        <v>160</v>
      </c>
      <c r="K1464" t="s">
        <v>29</v>
      </c>
      <c r="L1464">
        <v>0</v>
      </c>
      <c r="M1464" t="s">
        <v>29</v>
      </c>
      <c r="N1464">
        <v>0</v>
      </c>
      <c r="O1464">
        <v>0</v>
      </c>
      <c r="P1464" t="s">
        <v>30</v>
      </c>
      <c r="Q1464" s="2">
        <v>0.7</v>
      </c>
      <c r="R1464">
        <v>0</v>
      </c>
      <c r="V1464" t="str">
        <f>VLOOKUP(H1464,'[1]팀별 출판사'!A:B,2,0)</f>
        <v>소설1팀</v>
      </c>
      <c r="W1464" s="6">
        <f t="shared" si="44"/>
        <v>0</v>
      </c>
      <c r="X1464" s="6">
        <f t="shared" si="45"/>
        <v>0</v>
      </c>
    </row>
    <row r="1465" spans="1:24" x14ac:dyDescent="0.3">
      <c r="A1465" t="s">
        <v>2329</v>
      </c>
      <c r="B1465" t="s">
        <v>2364</v>
      </c>
      <c r="C1465" t="s">
        <v>23</v>
      </c>
      <c r="D1465" t="s">
        <v>24</v>
      </c>
      <c r="E1465" t="s">
        <v>25</v>
      </c>
      <c r="F1465">
        <v>1</v>
      </c>
      <c r="G1465">
        <v>9791136988133</v>
      </c>
      <c r="H1465" t="s">
        <v>26</v>
      </c>
      <c r="I1465" t="s">
        <v>614</v>
      </c>
      <c r="J1465" t="s">
        <v>28</v>
      </c>
      <c r="K1465" t="s">
        <v>29</v>
      </c>
      <c r="L1465">
        <v>0</v>
      </c>
      <c r="M1465" t="s">
        <v>29</v>
      </c>
      <c r="N1465">
        <v>0</v>
      </c>
      <c r="O1465">
        <v>0</v>
      </c>
      <c r="P1465" t="s">
        <v>30</v>
      </c>
      <c r="Q1465" s="2">
        <v>0.7</v>
      </c>
      <c r="R1465">
        <v>0</v>
      </c>
      <c r="V1465" t="str">
        <f>VLOOKUP(H1465,'[1]팀별 출판사'!A:B,2,0)</f>
        <v>소설1팀</v>
      </c>
      <c r="W1465" s="6">
        <f t="shared" si="44"/>
        <v>0</v>
      </c>
      <c r="X1465" s="6">
        <f t="shared" si="45"/>
        <v>0</v>
      </c>
    </row>
    <row r="1466" spans="1:24" x14ac:dyDescent="0.3">
      <c r="A1466" t="s">
        <v>2329</v>
      </c>
      <c r="B1466" t="s">
        <v>2365</v>
      </c>
      <c r="C1466" t="s">
        <v>23</v>
      </c>
      <c r="D1466" t="s">
        <v>24</v>
      </c>
      <c r="E1466" t="s">
        <v>25</v>
      </c>
      <c r="F1466">
        <v>1</v>
      </c>
      <c r="G1466">
        <v>9791136930613</v>
      </c>
      <c r="H1466" t="s">
        <v>32</v>
      </c>
      <c r="I1466" t="s">
        <v>57</v>
      </c>
      <c r="J1466" t="s">
        <v>34</v>
      </c>
      <c r="K1466" t="s">
        <v>29</v>
      </c>
      <c r="L1466">
        <v>0</v>
      </c>
      <c r="M1466" t="s">
        <v>152</v>
      </c>
      <c r="N1466">
        <v>0</v>
      </c>
      <c r="O1466">
        <v>0</v>
      </c>
      <c r="P1466" t="s">
        <v>153</v>
      </c>
      <c r="Q1466" s="2">
        <v>0.7</v>
      </c>
      <c r="R1466">
        <v>0</v>
      </c>
      <c r="V1466" t="str">
        <f>VLOOKUP(H1466,'[1]팀별 출판사'!A:B,2,0)</f>
        <v>소설1팀</v>
      </c>
      <c r="W1466" s="6">
        <f t="shared" si="44"/>
        <v>0</v>
      </c>
      <c r="X1466" s="6">
        <f t="shared" si="45"/>
        <v>0</v>
      </c>
    </row>
    <row r="1467" spans="1:24" x14ac:dyDescent="0.3">
      <c r="A1467" t="s">
        <v>2329</v>
      </c>
      <c r="B1467" t="s">
        <v>2366</v>
      </c>
      <c r="C1467" t="s">
        <v>23</v>
      </c>
      <c r="D1467" t="s">
        <v>24</v>
      </c>
      <c r="E1467" t="s">
        <v>25</v>
      </c>
      <c r="F1467">
        <v>1</v>
      </c>
      <c r="G1467">
        <v>9791194664369</v>
      </c>
      <c r="H1467" t="s">
        <v>79</v>
      </c>
      <c r="I1467" t="s">
        <v>156</v>
      </c>
      <c r="J1467" t="s">
        <v>157</v>
      </c>
      <c r="K1467" t="s">
        <v>29</v>
      </c>
      <c r="L1467">
        <v>0</v>
      </c>
      <c r="M1467" t="s">
        <v>152</v>
      </c>
      <c r="N1467">
        <v>0</v>
      </c>
      <c r="O1467">
        <v>0</v>
      </c>
      <c r="P1467" t="s">
        <v>153</v>
      </c>
      <c r="Q1467" s="2">
        <v>0.7</v>
      </c>
      <c r="R1467">
        <v>0</v>
      </c>
      <c r="V1467" t="str">
        <f>VLOOKUP(H1467,'[1]팀별 출판사'!A:B,2,0)</f>
        <v>소설1팀</v>
      </c>
      <c r="W1467" s="6">
        <f t="shared" si="44"/>
        <v>0</v>
      </c>
      <c r="X1467" s="6">
        <f t="shared" si="45"/>
        <v>0</v>
      </c>
    </row>
    <row r="1468" spans="1:24" x14ac:dyDescent="0.3">
      <c r="A1468" t="s">
        <v>2329</v>
      </c>
      <c r="B1468" t="s">
        <v>2367</v>
      </c>
      <c r="C1468" t="s">
        <v>23</v>
      </c>
      <c r="D1468" t="s">
        <v>24</v>
      </c>
      <c r="E1468" t="s">
        <v>25</v>
      </c>
      <c r="F1468">
        <v>1</v>
      </c>
      <c r="G1468">
        <v>9791194664444</v>
      </c>
      <c r="H1468" t="s">
        <v>26</v>
      </c>
      <c r="I1468" t="s">
        <v>2368</v>
      </c>
      <c r="J1468" t="s">
        <v>147</v>
      </c>
      <c r="K1468" t="s">
        <v>29</v>
      </c>
      <c r="L1468">
        <v>0</v>
      </c>
      <c r="M1468" t="s">
        <v>29</v>
      </c>
      <c r="N1468">
        <v>0</v>
      </c>
      <c r="O1468">
        <v>0</v>
      </c>
      <c r="P1468" t="s">
        <v>30</v>
      </c>
      <c r="Q1468" s="2">
        <v>0.7</v>
      </c>
      <c r="R1468">
        <v>0</v>
      </c>
      <c r="V1468" t="str">
        <f>VLOOKUP(H1468,'[1]팀별 출판사'!A:B,2,0)</f>
        <v>소설1팀</v>
      </c>
      <c r="W1468" s="6">
        <f t="shared" si="44"/>
        <v>0</v>
      </c>
      <c r="X1468" s="6">
        <f t="shared" si="45"/>
        <v>0</v>
      </c>
    </row>
    <row r="1469" spans="1:24" x14ac:dyDescent="0.3">
      <c r="A1469" t="s">
        <v>2329</v>
      </c>
      <c r="B1469" t="s">
        <v>2369</v>
      </c>
      <c r="C1469" t="s">
        <v>23</v>
      </c>
      <c r="D1469" t="s">
        <v>24</v>
      </c>
      <c r="E1469" t="s">
        <v>25</v>
      </c>
      <c r="F1469">
        <v>1</v>
      </c>
      <c r="G1469">
        <v>9788928005826</v>
      </c>
      <c r="H1469" t="s">
        <v>32</v>
      </c>
      <c r="I1469" t="s">
        <v>310</v>
      </c>
      <c r="J1469" t="s">
        <v>311</v>
      </c>
      <c r="K1469" t="s">
        <v>29</v>
      </c>
      <c r="L1469">
        <v>0</v>
      </c>
      <c r="M1469" t="s">
        <v>29</v>
      </c>
      <c r="N1469">
        <v>0</v>
      </c>
      <c r="O1469">
        <v>0</v>
      </c>
      <c r="P1469" t="s">
        <v>30</v>
      </c>
      <c r="Q1469" s="2">
        <v>0.7</v>
      </c>
      <c r="R1469">
        <v>0</v>
      </c>
      <c r="V1469" t="str">
        <f>VLOOKUP(H1469,'[1]팀별 출판사'!A:B,2,0)</f>
        <v>소설1팀</v>
      </c>
      <c r="W1469" s="6">
        <f t="shared" si="44"/>
        <v>0</v>
      </c>
      <c r="X1469" s="6">
        <f t="shared" si="45"/>
        <v>0</v>
      </c>
    </row>
    <row r="1470" spans="1:24" x14ac:dyDescent="0.3">
      <c r="A1470" t="s">
        <v>2329</v>
      </c>
      <c r="B1470" t="s">
        <v>2370</v>
      </c>
      <c r="C1470" t="s">
        <v>23</v>
      </c>
      <c r="D1470" t="s">
        <v>24</v>
      </c>
      <c r="E1470" t="s">
        <v>25</v>
      </c>
      <c r="F1470">
        <v>1</v>
      </c>
      <c r="G1470">
        <v>9791136946782</v>
      </c>
      <c r="H1470" t="s">
        <v>26</v>
      </c>
      <c r="I1470" t="s">
        <v>291</v>
      </c>
      <c r="J1470" t="s">
        <v>28</v>
      </c>
      <c r="K1470" t="s">
        <v>29</v>
      </c>
      <c r="L1470">
        <v>0</v>
      </c>
      <c r="M1470" t="s">
        <v>29</v>
      </c>
      <c r="N1470">
        <v>0</v>
      </c>
      <c r="O1470">
        <v>0</v>
      </c>
      <c r="P1470" t="s">
        <v>30</v>
      </c>
      <c r="Q1470" s="2">
        <v>0.7</v>
      </c>
      <c r="R1470">
        <v>0</v>
      </c>
      <c r="V1470" t="str">
        <f>VLOOKUP(H1470,'[1]팀별 출판사'!A:B,2,0)</f>
        <v>소설1팀</v>
      </c>
      <c r="W1470" s="6">
        <f t="shared" si="44"/>
        <v>0</v>
      </c>
      <c r="X1470" s="6">
        <f t="shared" si="45"/>
        <v>0</v>
      </c>
    </row>
    <row r="1471" spans="1:24" x14ac:dyDescent="0.3">
      <c r="A1471" t="s">
        <v>2329</v>
      </c>
      <c r="B1471" t="s">
        <v>2371</v>
      </c>
      <c r="C1471" t="s">
        <v>23</v>
      </c>
      <c r="D1471" t="s">
        <v>24</v>
      </c>
      <c r="E1471" t="s">
        <v>25</v>
      </c>
      <c r="F1471">
        <v>1</v>
      </c>
      <c r="G1471" t="s">
        <v>2372</v>
      </c>
      <c r="H1471" t="s">
        <v>32</v>
      </c>
      <c r="I1471" t="s">
        <v>2373</v>
      </c>
      <c r="J1471" t="s">
        <v>88</v>
      </c>
      <c r="K1471" t="s">
        <v>29</v>
      </c>
      <c r="L1471">
        <v>0</v>
      </c>
      <c r="M1471" t="s">
        <v>29</v>
      </c>
      <c r="N1471">
        <v>0</v>
      </c>
      <c r="O1471">
        <v>0</v>
      </c>
      <c r="P1471" t="s">
        <v>30</v>
      </c>
      <c r="Q1471" s="2">
        <v>0.7</v>
      </c>
      <c r="R1471">
        <v>0</v>
      </c>
      <c r="V1471" t="str">
        <f>VLOOKUP(H1471,'[1]팀별 출판사'!A:B,2,0)</f>
        <v>소설1팀</v>
      </c>
      <c r="W1471" s="6">
        <f t="shared" si="44"/>
        <v>0</v>
      </c>
      <c r="X1471" s="6">
        <f t="shared" si="45"/>
        <v>0</v>
      </c>
    </row>
    <row r="1472" spans="1:24" x14ac:dyDescent="0.3">
      <c r="A1472" t="s">
        <v>2329</v>
      </c>
      <c r="B1472" t="s">
        <v>2374</v>
      </c>
      <c r="C1472" t="s">
        <v>23</v>
      </c>
      <c r="D1472" t="s">
        <v>24</v>
      </c>
      <c r="E1472" t="s">
        <v>25</v>
      </c>
      <c r="F1472">
        <v>1</v>
      </c>
      <c r="G1472">
        <v>9791136935496</v>
      </c>
      <c r="H1472" t="s">
        <v>32</v>
      </c>
      <c r="I1472" t="s">
        <v>441</v>
      </c>
      <c r="J1472" t="s">
        <v>442</v>
      </c>
      <c r="K1472" t="s">
        <v>29</v>
      </c>
      <c r="L1472">
        <v>0</v>
      </c>
      <c r="M1472" t="s">
        <v>127</v>
      </c>
      <c r="N1472">
        <v>0</v>
      </c>
      <c r="O1472">
        <v>0</v>
      </c>
      <c r="P1472" t="s">
        <v>128</v>
      </c>
      <c r="Q1472" s="2">
        <v>0.7</v>
      </c>
      <c r="R1472">
        <v>0</v>
      </c>
      <c r="V1472" t="str">
        <f>VLOOKUP(H1472,'[1]팀별 출판사'!A:B,2,0)</f>
        <v>소설1팀</v>
      </c>
      <c r="W1472" s="6">
        <f t="shared" si="44"/>
        <v>0</v>
      </c>
      <c r="X1472" s="6">
        <f t="shared" si="45"/>
        <v>0</v>
      </c>
    </row>
    <row r="1473" spans="1:24" x14ac:dyDescent="0.3">
      <c r="A1473" t="s">
        <v>2329</v>
      </c>
      <c r="B1473" t="s">
        <v>2375</v>
      </c>
      <c r="C1473" t="s">
        <v>23</v>
      </c>
      <c r="D1473" t="s">
        <v>24</v>
      </c>
      <c r="E1473" t="s">
        <v>25</v>
      </c>
      <c r="F1473">
        <v>1</v>
      </c>
      <c r="G1473">
        <v>9791136930361</v>
      </c>
      <c r="H1473" t="s">
        <v>32</v>
      </c>
      <c r="I1473" t="s">
        <v>33</v>
      </c>
      <c r="J1473" t="s">
        <v>34</v>
      </c>
      <c r="K1473" t="s">
        <v>29</v>
      </c>
      <c r="L1473">
        <v>0</v>
      </c>
      <c r="M1473" t="s">
        <v>29</v>
      </c>
      <c r="N1473">
        <v>0</v>
      </c>
      <c r="O1473">
        <v>0</v>
      </c>
      <c r="P1473" t="s">
        <v>30</v>
      </c>
      <c r="Q1473" s="2">
        <v>0.7</v>
      </c>
      <c r="R1473">
        <v>0</v>
      </c>
      <c r="V1473" t="str">
        <f>VLOOKUP(H1473,'[1]팀별 출판사'!A:B,2,0)</f>
        <v>소설1팀</v>
      </c>
      <c r="W1473" s="6">
        <f t="shared" si="44"/>
        <v>0</v>
      </c>
      <c r="X1473" s="6">
        <f t="shared" si="45"/>
        <v>0</v>
      </c>
    </row>
    <row r="1474" spans="1:24" x14ac:dyDescent="0.3">
      <c r="A1474" t="s">
        <v>2329</v>
      </c>
      <c r="B1474" t="s">
        <v>2376</v>
      </c>
      <c r="C1474" t="s">
        <v>23</v>
      </c>
      <c r="D1474" t="s">
        <v>24</v>
      </c>
      <c r="E1474" t="s">
        <v>25</v>
      </c>
      <c r="F1474">
        <v>1</v>
      </c>
      <c r="G1474">
        <v>9791173785122</v>
      </c>
      <c r="H1474" t="s">
        <v>26</v>
      </c>
      <c r="I1474" t="s">
        <v>2204</v>
      </c>
      <c r="J1474" t="s">
        <v>62</v>
      </c>
      <c r="K1474" t="s">
        <v>29</v>
      </c>
      <c r="L1474" s="1">
        <v>3200</v>
      </c>
      <c r="M1474" t="s">
        <v>29</v>
      </c>
      <c r="N1474" s="1">
        <v>3200</v>
      </c>
      <c r="O1474" s="1">
        <v>3200</v>
      </c>
      <c r="P1474" t="s">
        <v>30</v>
      </c>
      <c r="Q1474" s="2">
        <v>0.7</v>
      </c>
      <c r="R1474" s="1">
        <v>2240</v>
      </c>
      <c r="S1474" t="s">
        <v>29</v>
      </c>
      <c r="T1474" s="1">
        <v>2240</v>
      </c>
      <c r="V1474" t="str">
        <f>VLOOKUP(H1474,'[1]팀별 출판사'!A:B,2,0)</f>
        <v>소설1팀</v>
      </c>
      <c r="W1474" s="6">
        <f t="shared" ref="W1474:W1537" si="46">IF(P1474="US", T1474*30%, 0)</f>
        <v>0</v>
      </c>
      <c r="X1474" s="6">
        <f t="shared" ref="X1474:X1537" si="47">T1474-W1474</f>
        <v>2240</v>
      </c>
    </row>
    <row r="1475" spans="1:24" x14ac:dyDescent="0.3">
      <c r="A1475" t="s">
        <v>2329</v>
      </c>
      <c r="B1475" t="s">
        <v>2377</v>
      </c>
      <c r="C1475" t="s">
        <v>23</v>
      </c>
      <c r="D1475" t="s">
        <v>24</v>
      </c>
      <c r="E1475" t="s">
        <v>25</v>
      </c>
      <c r="F1475">
        <v>1</v>
      </c>
      <c r="G1475">
        <v>9791136946782</v>
      </c>
      <c r="H1475" t="s">
        <v>26</v>
      </c>
      <c r="I1475" t="s">
        <v>291</v>
      </c>
      <c r="J1475" t="s">
        <v>28</v>
      </c>
      <c r="K1475" t="s">
        <v>29</v>
      </c>
      <c r="L1475">
        <v>0</v>
      </c>
      <c r="M1475" t="s">
        <v>29</v>
      </c>
      <c r="N1475">
        <v>0</v>
      </c>
      <c r="O1475">
        <v>0</v>
      </c>
      <c r="P1475" t="s">
        <v>30</v>
      </c>
      <c r="Q1475" s="2">
        <v>0.7</v>
      </c>
      <c r="R1475">
        <v>0</v>
      </c>
      <c r="V1475" t="str">
        <f>VLOOKUP(H1475,'[1]팀별 출판사'!A:B,2,0)</f>
        <v>소설1팀</v>
      </c>
      <c r="W1475" s="6">
        <f t="shared" si="46"/>
        <v>0</v>
      </c>
      <c r="X1475" s="6">
        <f t="shared" si="47"/>
        <v>0</v>
      </c>
    </row>
    <row r="1476" spans="1:24" x14ac:dyDescent="0.3">
      <c r="A1476" t="s">
        <v>2329</v>
      </c>
      <c r="B1476" t="s">
        <v>2378</v>
      </c>
      <c r="C1476" t="s">
        <v>23</v>
      </c>
      <c r="D1476" t="s">
        <v>24</v>
      </c>
      <c r="E1476" t="s">
        <v>25</v>
      </c>
      <c r="F1476">
        <v>1</v>
      </c>
      <c r="G1476">
        <v>9791136926791</v>
      </c>
      <c r="H1476" t="s">
        <v>26</v>
      </c>
      <c r="I1476" t="s">
        <v>2379</v>
      </c>
      <c r="J1476" t="s">
        <v>62</v>
      </c>
      <c r="K1476" t="s">
        <v>29</v>
      </c>
      <c r="L1476" s="1">
        <v>3200</v>
      </c>
      <c r="M1476" t="s">
        <v>29</v>
      </c>
      <c r="N1476" s="1">
        <v>3200</v>
      </c>
      <c r="O1476" s="1">
        <v>3200</v>
      </c>
      <c r="P1476" t="s">
        <v>30</v>
      </c>
      <c r="Q1476" s="2">
        <v>0.7</v>
      </c>
      <c r="R1476" s="1">
        <v>2240</v>
      </c>
      <c r="S1476" t="s">
        <v>29</v>
      </c>
      <c r="T1476" s="1">
        <v>2240</v>
      </c>
      <c r="V1476" t="str">
        <f>VLOOKUP(H1476,'[1]팀별 출판사'!A:B,2,0)</f>
        <v>소설1팀</v>
      </c>
      <c r="W1476" s="6">
        <f t="shared" si="46"/>
        <v>0</v>
      </c>
      <c r="X1476" s="6">
        <f t="shared" si="47"/>
        <v>2240</v>
      </c>
    </row>
    <row r="1477" spans="1:24" x14ac:dyDescent="0.3">
      <c r="A1477" t="s">
        <v>2329</v>
      </c>
      <c r="B1477" t="s">
        <v>2380</v>
      </c>
      <c r="C1477" t="s">
        <v>23</v>
      </c>
      <c r="D1477" t="s">
        <v>24</v>
      </c>
      <c r="E1477" t="s">
        <v>25</v>
      </c>
      <c r="F1477">
        <v>1</v>
      </c>
      <c r="G1477">
        <v>9791133171460</v>
      </c>
      <c r="H1477" t="s">
        <v>26</v>
      </c>
      <c r="I1477" t="s">
        <v>1048</v>
      </c>
      <c r="J1477" t="s">
        <v>287</v>
      </c>
      <c r="K1477" t="s">
        <v>29</v>
      </c>
      <c r="L1477">
        <v>0</v>
      </c>
      <c r="M1477" t="s">
        <v>29</v>
      </c>
      <c r="N1477">
        <v>0</v>
      </c>
      <c r="O1477">
        <v>0</v>
      </c>
      <c r="P1477" t="s">
        <v>30</v>
      </c>
      <c r="Q1477" s="2">
        <v>0.7</v>
      </c>
      <c r="R1477">
        <v>0</v>
      </c>
      <c r="V1477" t="str">
        <f>VLOOKUP(H1477,'[1]팀별 출판사'!A:B,2,0)</f>
        <v>소설1팀</v>
      </c>
      <c r="W1477" s="6">
        <f t="shared" si="46"/>
        <v>0</v>
      </c>
      <c r="X1477" s="6">
        <f t="shared" si="47"/>
        <v>0</v>
      </c>
    </row>
    <row r="1478" spans="1:24" x14ac:dyDescent="0.3">
      <c r="A1478" t="s">
        <v>2329</v>
      </c>
      <c r="B1478" t="s">
        <v>2381</v>
      </c>
      <c r="C1478" t="s">
        <v>23</v>
      </c>
      <c r="D1478" t="s">
        <v>24</v>
      </c>
      <c r="E1478" t="s">
        <v>25</v>
      </c>
      <c r="F1478">
        <v>1</v>
      </c>
      <c r="G1478">
        <v>9791133141470</v>
      </c>
      <c r="H1478" t="s">
        <v>32</v>
      </c>
      <c r="I1478" t="s">
        <v>2382</v>
      </c>
      <c r="J1478" t="s">
        <v>511</v>
      </c>
      <c r="K1478" t="s">
        <v>29</v>
      </c>
      <c r="L1478" s="1">
        <v>2500</v>
      </c>
      <c r="M1478" t="s">
        <v>29</v>
      </c>
      <c r="N1478" s="1">
        <v>2500</v>
      </c>
      <c r="O1478" s="1">
        <v>2500</v>
      </c>
      <c r="P1478" t="s">
        <v>30</v>
      </c>
      <c r="Q1478" s="2">
        <v>0.7</v>
      </c>
      <c r="R1478" s="1">
        <v>1750</v>
      </c>
      <c r="S1478" t="s">
        <v>29</v>
      </c>
      <c r="T1478" s="1">
        <v>1750</v>
      </c>
      <c r="V1478" t="str">
        <f>VLOOKUP(H1478,'[1]팀별 출판사'!A:B,2,0)</f>
        <v>소설1팀</v>
      </c>
      <c r="W1478" s="6">
        <f t="shared" si="46"/>
        <v>0</v>
      </c>
      <c r="X1478" s="6">
        <f t="shared" si="47"/>
        <v>1750</v>
      </c>
    </row>
    <row r="1479" spans="1:24" x14ac:dyDescent="0.3">
      <c r="A1479" t="s">
        <v>2329</v>
      </c>
      <c r="B1479" t="s">
        <v>2383</v>
      </c>
      <c r="C1479" t="s">
        <v>23</v>
      </c>
      <c r="D1479" t="s">
        <v>24</v>
      </c>
      <c r="E1479" t="s">
        <v>25</v>
      </c>
      <c r="F1479">
        <v>1</v>
      </c>
      <c r="G1479">
        <v>9791136941947</v>
      </c>
      <c r="H1479" t="s">
        <v>26</v>
      </c>
      <c r="I1479" t="s">
        <v>2384</v>
      </c>
      <c r="J1479" t="s">
        <v>2385</v>
      </c>
      <c r="K1479" t="s">
        <v>29</v>
      </c>
      <c r="L1479">
        <v>0</v>
      </c>
      <c r="M1479" t="s">
        <v>29</v>
      </c>
      <c r="N1479">
        <v>0</v>
      </c>
      <c r="O1479">
        <v>0</v>
      </c>
      <c r="P1479" t="s">
        <v>30</v>
      </c>
      <c r="Q1479" s="2">
        <v>0.7</v>
      </c>
      <c r="R1479">
        <v>0</v>
      </c>
      <c r="V1479" t="str">
        <f>VLOOKUP(H1479,'[1]팀별 출판사'!A:B,2,0)</f>
        <v>소설1팀</v>
      </c>
      <c r="W1479" s="6">
        <f t="shared" si="46"/>
        <v>0</v>
      </c>
      <c r="X1479" s="6">
        <f t="shared" si="47"/>
        <v>0</v>
      </c>
    </row>
    <row r="1480" spans="1:24" x14ac:dyDescent="0.3">
      <c r="A1480" t="s">
        <v>2329</v>
      </c>
      <c r="B1480" t="s">
        <v>2386</v>
      </c>
      <c r="C1480" t="s">
        <v>23</v>
      </c>
      <c r="D1480" t="s">
        <v>24</v>
      </c>
      <c r="E1480" t="s">
        <v>25</v>
      </c>
      <c r="F1480">
        <v>1</v>
      </c>
      <c r="G1480">
        <v>9791172928582</v>
      </c>
      <c r="H1480" t="s">
        <v>1617</v>
      </c>
      <c r="I1480" t="s">
        <v>2387</v>
      </c>
      <c r="J1480" t="s">
        <v>1996</v>
      </c>
      <c r="K1480" t="s">
        <v>29</v>
      </c>
      <c r="L1480" s="1">
        <v>3000</v>
      </c>
      <c r="M1480" t="s">
        <v>29</v>
      </c>
      <c r="N1480" s="1">
        <v>3000</v>
      </c>
      <c r="O1480" s="1">
        <v>3000</v>
      </c>
      <c r="P1480" t="s">
        <v>30</v>
      </c>
      <c r="Q1480" s="2">
        <v>0.7</v>
      </c>
      <c r="R1480" s="1">
        <v>2100</v>
      </c>
      <c r="S1480" t="s">
        <v>29</v>
      </c>
      <c r="T1480" s="1">
        <v>2100</v>
      </c>
      <c r="V1480" t="str">
        <f>VLOOKUP(H1480,'[1]팀별 출판사'!A:B,2,0)</f>
        <v>소설2팀</v>
      </c>
      <c r="W1480" s="6">
        <f t="shared" si="46"/>
        <v>0</v>
      </c>
      <c r="X1480" s="6">
        <f t="shared" si="47"/>
        <v>2100</v>
      </c>
    </row>
    <row r="1481" spans="1:24" x14ac:dyDescent="0.3">
      <c r="A1481" t="s">
        <v>2329</v>
      </c>
      <c r="B1481" t="s">
        <v>2388</v>
      </c>
      <c r="C1481" t="s">
        <v>23</v>
      </c>
      <c r="D1481" t="s">
        <v>24</v>
      </c>
      <c r="E1481" t="s">
        <v>25</v>
      </c>
      <c r="F1481">
        <v>1</v>
      </c>
      <c r="G1481">
        <v>9791133183609</v>
      </c>
      <c r="H1481" t="s">
        <v>26</v>
      </c>
      <c r="I1481" t="s">
        <v>1672</v>
      </c>
      <c r="J1481" t="s">
        <v>1245</v>
      </c>
      <c r="K1481" t="s">
        <v>29</v>
      </c>
      <c r="L1481">
        <v>0</v>
      </c>
      <c r="M1481" t="s">
        <v>29</v>
      </c>
      <c r="N1481">
        <v>0</v>
      </c>
      <c r="O1481">
        <v>0</v>
      </c>
      <c r="P1481" t="s">
        <v>30</v>
      </c>
      <c r="Q1481" s="2">
        <v>0.7</v>
      </c>
      <c r="R1481">
        <v>0</v>
      </c>
      <c r="V1481" t="str">
        <f>VLOOKUP(H1481,'[1]팀별 출판사'!A:B,2,0)</f>
        <v>소설1팀</v>
      </c>
      <c r="W1481" s="6">
        <f t="shared" si="46"/>
        <v>0</v>
      </c>
      <c r="X1481" s="6">
        <f t="shared" si="47"/>
        <v>0</v>
      </c>
    </row>
    <row r="1482" spans="1:24" x14ac:dyDescent="0.3">
      <c r="A1482" t="s">
        <v>2329</v>
      </c>
      <c r="B1482" t="s">
        <v>2389</v>
      </c>
      <c r="C1482" t="s">
        <v>23</v>
      </c>
      <c r="D1482" t="s">
        <v>24</v>
      </c>
      <c r="E1482" t="s">
        <v>25</v>
      </c>
      <c r="F1482">
        <v>1</v>
      </c>
      <c r="G1482">
        <v>9791136921475</v>
      </c>
      <c r="H1482" t="s">
        <v>26</v>
      </c>
      <c r="I1482" t="s">
        <v>2390</v>
      </c>
      <c r="J1482" t="s">
        <v>2391</v>
      </c>
      <c r="K1482" t="s">
        <v>29</v>
      </c>
      <c r="L1482">
        <v>0</v>
      </c>
      <c r="M1482" t="s">
        <v>29</v>
      </c>
      <c r="N1482">
        <v>0</v>
      </c>
      <c r="O1482">
        <v>0</v>
      </c>
      <c r="P1482" t="s">
        <v>30</v>
      </c>
      <c r="Q1482" s="2">
        <v>0.7</v>
      </c>
      <c r="R1482">
        <v>0</v>
      </c>
      <c r="V1482" t="str">
        <f>VLOOKUP(H1482,'[1]팀별 출판사'!A:B,2,0)</f>
        <v>소설1팀</v>
      </c>
      <c r="W1482" s="6">
        <f t="shared" si="46"/>
        <v>0</v>
      </c>
      <c r="X1482" s="6">
        <f t="shared" si="47"/>
        <v>0</v>
      </c>
    </row>
    <row r="1483" spans="1:24" x14ac:dyDescent="0.3">
      <c r="A1483" t="s">
        <v>2329</v>
      </c>
      <c r="B1483" t="s">
        <v>2392</v>
      </c>
      <c r="C1483" t="s">
        <v>23</v>
      </c>
      <c r="D1483" t="s">
        <v>24</v>
      </c>
      <c r="E1483" t="s">
        <v>25</v>
      </c>
      <c r="F1483">
        <v>1</v>
      </c>
      <c r="G1483">
        <v>9791133101863</v>
      </c>
      <c r="H1483" t="s">
        <v>32</v>
      </c>
      <c r="I1483" t="s">
        <v>159</v>
      </c>
      <c r="J1483" t="s">
        <v>160</v>
      </c>
      <c r="K1483" t="s">
        <v>29</v>
      </c>
      <c r="L1483">
        <v>0</v>
      </c>
      <c r="M1483" t="s">
        <v>70</v>
      </c>
      <c r="N1483">
        <v>0</v>
      </c>
      <c r="O1483">
        <v>0</v>
      </c>
      <c r="P1483" t="s">
        <v>71</v>
      </c>
      <c r="Q1483" s="2">
        <v>0.7</v>
      </c>
      <c r="R1483">
        <v>0</v>
      </c>
      <c r="V1483" t="str">
        <f>VLOOKUP(H1483,'[1]팀별 출판사'!A:B,2,0)</f>
        <v>소설1팀</v>
      </c>
      <c r="W1483" s="6">
        <f t="shared" si="46"/>
        <v>0</v>
      </c>
      <c r="X1483" s="6">
        <f t="shared" si="47"/>
        <v>0</v>
      </c>
    </row>
    <row r="1484" spans="1:24" x14ac:dyDescent="0.3">
      <c r="A1484" t="s">
        <v>2329</v>
      </c>
      <c r="B1484" t="s">
        <v>2393</v>
      </c>
      <c r="C1484" t="s">
        <v>23</v>
      </c>
      <c r="D1484" t="s">
        <v>24</v>
      </c>
      <c r="E1484" t="s">
        <v>25</v>
      </c>
      <c r="F1484">
        <v>1</v>
      </c>
      <c r="G1484">
        <v>9791172924850</v>
      </c>
      <c r="H1484" t="s">
        <v>26</v>
      </c>
      <c r="I1484" t="s">
        <v>61</v>
      </c>
      <c r="J1484" t="s">
        <v>62</v>
      </c>
      <c r="K1484" t="s">
        <v>29</v>
      </c>
      <c r="L1484">
        <v>0</v>
      </c>
      <c r="M1484" t="s">
        <v>29</v>
      </c>
      <c r="N1484">
        <v>0</v>
      </c>
      <c r="O1484">
        <v>0</v>
      </c>
      <c r="P1484" t="s">
        <v>30</v>
      </c>
      <c r="Q1484" s="2">
        <v>0.7</v>
      </c>
      <c r="R1484">
        <v>0</v>
      </c>
      <c r="V1484" t="str">
        <f>VLOOKUP(H1484,'[1]팀별 출판사'!A:B,2,0)</f>
        <v>소설1팀</v>
      </c>
      <c r="W1484" s="6">
        <f t="shared" si="46"/>
        <v>0</v>
      </c>
      <c r="X1484" s="6">
        <f t="shared" si="47"/>
        <v>0</v>
      </c>
    </row>
    <row r="1485" spans="1:24" x14ac:dyDescent="0.3">
      <c r="A1485" t="s">
        <v>2329</v>
      </c>
      <c r="B1485" t="s">
        <v>2394</v>
      </c>
      <c r="C1485" t="s">
        <v>23</v>
      </c>
      <c r="D1485" t="s">
        <v>24</v>
      </c>
      <c r="E1485" t="s">
        <v>25</v>
      </c>
      <c r="F1485">
        <v>1</v>
      </c>
      <c r="G1485">
        <v>9791194664369</v>
      </c>
      <c r="H1485" t="s">
        <v>79</v>
      </c>
      <c r="I1485" t="s">
        <v>156</v>
      </c>
      <c r="J1485" t="s">
        <v>157</v>
      </c>
      <c r="K1485" t="s">
        <v>29</v>
      </c>
      <c r="L1485">
        <v>0</v>
      </c>
      <c r="M1485" t="s">
        <v>47</v>
      </c>
      <c r="N1485">
        <v>0</v>
      </c>
      <c r="O1485">
        <v>0</v>
      </c>
      <c r="P1485" t="s">
        <v>48</v>
      </c>
      <c r="Q1485" s="2">
        <v>0.7</v>
      </c>
      <c r="R1485">
        <v>0</v>
      </c>
      <c r="V1485" t="str">
        <f>VLOOKUP(H1485,'[1]팀별 출판사'!A:B,2,0)</f>
        <v>소설1팀</v>
      </c>
      <c r="W1485" s="6">
        <f t="shared" si="46"/>
        <v>0</v>
      </c>
      <c r="X1485" s="6">
        <f t="shared" si="47"/>
        <v>0</v>
      </c>
    </row>
    <row r="1486" spans="1:24" x14ac:dyDescent="0.3">
      <c r="A1486" t="s">
        <v>2329</v>
      </c>
      <c r="B1486" t="s">
        <v>2395</v>
      </c>
      <c r="C1486" t="s">
        <v>23</v>
      </c>
      <c r="D1486" t="s">
        <v>24</v>
      </c>
      <c r="E1486" t="s">
        <v>25</v>
      </c>
      <c r="F1486">
        <v>1</v>
      </c>
      <c r="G1486">
        <v>9791133186501</v>
      </c>
      <c r="H1486" t="s">
        <v>26</v>
      </c>
      <c r="I1486" t="s">
        <v>64</v>
      </c>
      <c r="J1486" t="s">
        <v>65</v>
      </c>
      <c r="K1486" t="s">
        <v>29</v>
      </c>
      <c r="L1486">
        <v>0</v>
      </c>
      <c r="M1486" t="s">
        <v>29</v>
      </c>
      <c r="N1486">
        <v>0</v>
      </c>
      <c r="O1486">
        <v>0</v>
      </c>
      <c r="P1486" t="s">
        <v>30</v>
      </c>
      <c r="Q1486" s="2">
        <v>0.7</v>
      </c>
      <c r="R1486">
        <v>0</v>
      </c>
      <c r="V1486" t="str">
        <f>VLOOKUP(H1486,'[1]팀별 출판사'!A:B,2,0)</f>
        <v>소설1팀</v>
      </c>
      <c r="W1486" s="6">
        <f t="shared" si="46"/>
        <v>0</v>
      </c>
      <c r="X1486" s="6">
        <f t="shared" si="47"/>
        <v>0</v>
      </c>
    </row>
    <row r="1487" spans="1:24" x14ac:dyDescent="0.3">
      <c r="A1487" t="s">
        <v>2329</v>
      </c>
      <c r="B1487" t="s">
        <v>2396</v>
      </c>
      <c r="C1487" t="s">
        <v>23</v>
      </c>
      <c r="D1487" t="s">
        <v>24</v>
      </c>
      <c r="E1487" t="s">
        <v>25</v>
      </c>
      <c r="F1487">
        <v>1</v>
      </c>
      <c r="G1487">
        <v>9791136946782</v>
      </c>
      <c r="H1487" t="s">
        <v>26</v>
      </c>
      <c r="I1487" t="s">
        <v>291</v>
      </c>
      <c r="J1487" t="s">
        <v>28</v>
      </c>
      <c r="K1487" t="s">
        <v>29</v>
      </c>
      <c r="L1487">
        <v>0</v>
      </c>
      <c r="M1487" t="s">
        <v>29</v>
      </c>
      <c r="N1487">
        <v>0</v>
      </c>
      <c r="O1487">
        <v>0</v>
      </c>
      <c r="P1487" t="s">
        <v>30</v>
      </c>
      <c r="Q1487" s="2">
        <v>0.7</v>
      </c>
      <c r="R1487">
        <v>0</v>
      </c>
      <c r="V1487" t="str">
        <f>VLOOKUP(H1487,'[1]팀별 출판사'!A:B,2,0)</f>
        <v>소설1팀</v>
      </c>
      <c r="W1487" s="6">
        <f t="shared" si="46"/>
        <v>0</v>
      </c>
      <c r="X1487" s="6">
        <f t="shared" si="47"/>
        <v>0</v>
      </c>
    </row>
    <row r="1488" spans="1:24" x14ac:dyDescent="0.3">
      <c r="A1488" t="s">
        <v>2329</v>
      </c>
      <c r="B1488" t="s">
        <v>2397</v>
      </c>
      <c r="C1488" t="s">
        <v>23</v>
      </c>
      <c r="D1488" t="s">
        <v>24</v>
      </c>
      <c r="E1488" t="s">
        <v>25</v>
      </c>
      <c r="F1488">
        <v>1</v>
      </c>
      <c r="G1488">
        <v>9791172920142</v>
      </c>
      <c r="H1488" t="s">
        <v>26</v>
      </c>
      <c r="I1488" t="s">
        <v>2061</v>
      </c>
      <c r="J1488" t="s">
        <v>276</v>
      </c>
      <c r="K1488" t="s">
        <v>29</v>
      </c>
      <c r="L1488" s="1">
        <v>3200</v>
      </c>
      <c r="M1488" t="s">
        <v>29</v>
      </c>
      <c r="N1488" s="1">
        <v>3200</v>
      </c>
      <c r="O1488" s="1">
        <v>3200</v>
      </c>
      <c r="P1488" t="s">
        <v>30</v>
      </c>
      <c r="Q1488" s="2">
        <v>0.7</v>
      </c>
      <c r="R1488" s="1">
        <v>2240</v>
      </c>
      <c r="S1488" t="s">
        <v>29</v>
      </c>
      <c r="T1488" s="1">
        <v>2240</v>
      </c>
      <c r="V1488" t="str">
        <f>VLOOKUP(H1488,'[1]팀별 출판사'!A:B,2,0)</f>
        <v>소설1팀</v>
      </c>
      <c r="W1488" s="6">
        <f t="shared" si="46"/>
        <v>0</v>
      </c>
      <c r="X1488" s="6">
        <f t="shared" si="47"/>
        <v>2240</v>
      </c>
    </row>
    <row r="1489" spans="1:24" x14ac:dyDescent="0.3">
      <c r="A1489" t="s">
        <v>2329</v>
      </c>
      <c r="B1489" t="s">
        <v>2398</v>
      </c>
      <c r="C1489" t="s">
        <v>23</v>
      </c>
      <c r="D1489" t="s">
        <v>24</v>
      </c>
      <c r="E1489" t="s">
        <v>25</v>
      </c>
      <c r="F1489">
        <v>1</v>
      </c>
      <c r="G1489">
        <v>9791157532735</v>
      </c>
      <c r="H1489" t="s">
        <v>32</v>
      </c>
      <c r="I1489" t="s">
        <v>1166</v>
      </c>
      <c r="J1489" t="s">
        <v>187</v>
      </c>
      <c r="K1489" t="s">
        <v>29</v>
      </c>
      <c r="L1489">
        <v>0</v>
      </c>
      <c r="M1489" t="s">
        <v>29</v>
      </c>
      <c r="N1489">
        <v>0</v>
      </c>
      <c r="O1489">
        <v>0</v>
      </c>
      <c r="P1489" t="s">
        <v>30</v>
      </c>
      <c r="Q1489" s="2">
        <v>0.7</v>
      </c>
      <c r="R1489">
        <v>0</v>
      </c>
      <c r="V1489" t="str">
        <f>VLOOKUP(H1489,'[1]팀별 출판사'!A:B,2,0)</f>
        <v>소설1팀</v>
      </c>
      <c r="W1489" s="6">
        <f t="shared" si="46"/>
        <v>0</v>
      </c>
      <c r="X1489" s="6">
        <f t="shared" si="47"/>
        <v>0</v>
      </c>
    </row>
    <row r="1490" spans="1:24" x14ac:dyDescent="0.3">
      <c r="A1490" t="s">
        <v>2329</v>
      </c>
      <c r="B1490" t="s">
        <v>2399</v>
      </c>
      <c r="C1490" t="s">
        <v>23</v>
      </c>
      <c r="D1490" t="s">
        <v>24</v>
      </c>
      <c r="E1490" t="s">
        <v>25</v>
      </c>
      <c r="F1490">
        <v>1</v>
      </c>
      <c r="G1490">
        <v>9791136930880</v>
      </c>
      <c r="H1490" t="s">
        <v>32</v>
      </c>
      <c r="I1490" t="s">
        <v>59</v>
      </c>
      <c r="J1490" t="s">
        <v>34</v>
      </c>
      <c r="K1490" t="s">
        <v>29</v>
      </c>
      <c r="L1490">
        <v>0</v>
      </c>
      <c r="M1490" t="s">
        <v>29</v>
      </c>
      <c r="N1490">
        <v>0</v>
      </c>
      <c r="O1490">
        <v>0</v>
      </c>
      <c r="P1490" t="s">
        <v>30</v>
      </c>
      <c r="Q1490" s="2">
        <v>0.7</v>
      </c>
      <c r="R1490">
        <v>0</v>
      </c>
      <c r="V1490" t="str">
        <f>VLOOKUP(H1490,'[1]팀별 출판사'!A:B,2,0)</f>
        <v>소설1팀</v>
      </c>
      <c r="W1490" s="6">
        <f t="shared" si="46"/>
        <v>0</v>
      </c>
      <c r="X1490" s="6">
        <f t="shared" si="47"/>
        <v>0</v>
      </c>
    </row>
    <row r="1491" spans="1:24" x14ac:dyDescent="0.3">
      <c r="A1491" t="s">
        <v>2329</v>
      </c>
      <c r="B1491" t="s">
        <v>2400</v>
      </c>
      <c r="C1491" t="s">
        <v>23</v>
      </c>
      <c r="D1491" t="s">
        <v>24</v>
      </c>
      <c r="E1491" t="s">
        <v>25</v>
      </c>
      <c r="F1491">
        <v>1</v>
      </c>
      <c r="G1491">
        <v>9791133186501</v>
      </c>
      <c r="H1491" t="s">
        <v>26</v>
      </c>
      <c r="I1491" t="s">
        <v>64</v>
      </c>
      <c r="J1491" t="s">
        <v>65</v>
      </c>
      <c r="K1491" t="s">
        <v>29</v>
      </c>
      <c r="L1491">
        <v>0</v>
      </c>
      <c r="M1491" t="s">
        <v>29</v>
      </c>
      <c r="N1491">
        <v>0</v>
      </c>
      <c r="O1491">
        <v>0</v>
      </c>
      <c r="P1491" t="s">
        <v>30</v>
      </c>
      <c r="Q1491" s="2">
        <v>0.7</v>
      </c>
      <c r="R1491">
        <v>0</v>
      </c>
      <c r="V1491" t="str">
        <f>VLOOKUP(H1491,'[1]팀별 출판사'!A:B,2,0)</f>
        <v>소설1팀</v>
      </c>
      <c r="W1491" s="6">
        <f t="shared" si="46"/>
        <v>0</v>
      </c>
      <c r="X1491" s="6">
        <f t="shared" si="47"/>
        <v>0</v>
      </c>
    </row>
    <row r="1492" spans="1:24" x14ac:dyDescent="0.3">
      <c r="A1492" t="s">
        <v>2329</v>
      </c>
      <c r="B1492" t="s">
        <v>2401</v>
      </c>
      <c r="C1492" t="s">
        <v>23</v>
      </c>
      <c r="D1492" t="s">
        <v>24</v>
      </c>
      <c r="E1492" t="s">
        <v>25</v>
      </c>
      <c r="F1492">
        <v>1</v>
      </c>
      <c r="G1492">
        <v>9791136927255</v>
      </c>
      <c r="H1492" t="s">
        <v>36</v>
      </c>
      <c r="I1492" t="s">
        <v>90</v>
      </c>
      <c r="J1492" t="s">
        <v>38</v>
      </c>
      <c r="K1492" t="s">
        <v>29</v>
      </c>
      <c r="L1492" s="1">
        <v>3300</v>
      </c>
      <c r="M1492" t="s">
        <v>362</v>
      </c>
      <c r="N1492">
        <v>150.63</v>
      </c>
      <c r="O1492">
        <v>134.49</v>
      </c>
      <c r="P1492" t="s">
        <v>363</v>
      </c>
      <c r="Q1492" s="2">
        <v>0.7</v>
      </c>
      <c r="R1492">
        <v>94.14</v>
      </c>
      <c r="S1492" t="s">
        <v>29</v>
      </c>
      <c r="T1492" s="1">
        <v>2341</v>
      </c>
      <c r="U1492">
        <v>24.853919999999999</v>
      </c>
      <c r="V1492" t="str">
        <f>VLOOKUP(H1492,'[1]팀별 출판사'!A:B,2,0)</f>
        <v>소설2팀</v>
      </c>
      <c r="W1492" s="6">
        <f t="shared" si="46"/>
        <v>0</v>
      </c>
      <c r="X1492" s="6">
        <f t="shared" si="47"/>
        <v>2341</v>
      </c>
    </row>
    <row r="1493" spans="1:24" x14ac:dyDescent="0.3">
      <c r="A1493" t="s">
        <v>2329</v>
      </c>
      <c r="B1493" t="s">
        <v>2402</v>
      </c>
      <c r="C1493" t="s">
        <v>23</v>
      </c>
      <c r="D1493" t="s">
        <v>24</v>
      </c>
      <c r="E1493" t="s">
        <v>25</v>
      </c>
      <c r="F1493">
        <v>1</v>
      </c>
      <c r="G1493">
        <v>9791133101795</v>
      </c>
      <c r="H1493" t="s">
        <v>32</v>
      </c>
      <c r="I1493" t="s">
        <v>566</v>
      </c>
      <c r="J1493" t="s">
        <v>160</v>
      </c>
      <c r="K1493" t="s">
        <v>29</v>
      </c>
      <c r="L1493">
        <v>0</v>
      </c>
      <c r="M1493" t="s">
        <v>29</v>
      </c>
      <c r="N1493">
        <v>0</v>
      </c>
      <c r="O1493">
        <v>0</v>
      </c>
      <c r="P1493" t="s">
        <v>30</v>
      </c>
      <c r="Q1493" s="2">
        <v>0.7</v>
      </c>
      <c r="R1493">
        <v>0</v>
      </c>
      <c r="V1493" t="str">
        <f>VLOOKUP(H1493,'[1]팀별 출판사'!A:B,2,0)</f>
        <v>소설1팀</v>
      </c>
      <c r="W1493" s="6">
        <f t="shared" si="46"/>
        <v>0</v>
      </c>
      <c r="X1493" s="6">
        <f t="shared" si="47"/>
        <v>0</v>
      </c>
    </row>
    <row r="1494" spans="1:24" x14ac:dyDescent="0.3">
      <c r="A1494" t="s">
        <v>2329</v>
      </c>
      <c r="B1494" t="s">
        <v>2403</v>
      </c>
      <c r="C1494" t="s">
        <v>23</v>
      </c>
      <c r="D1494" t="s">
        <v>24</v>
      </c>
      <c r="E1494" t="s">
        <v>25</v>
      </c>
      <c r="F1494">
        <v>1</v>
      </c>
      <c r="G1494">
        <v>9791136931375</v>
      </c>
      <c r="H1494" t="s">
        <v>32</v>
      </c>
      <c r="I1494" t="s">
        <v>189</v>
      </c>
      <c r="J1494" t="s">
        <v>46</v>
      </c>
      <c r="K1494" t="s">
        <v>29</v>
      </c>
      <c r="L1494">
        <v>0</v>
      </c>
      <c r="M1494" t="s">
        <v>152</v>
      </c>
      <c r="N1494">
        <v>0</v>
      </c>
      <c r="O1494">
        <v>0</v>
      </c>
      <c r="P1494" t="s">
        <v>153</v>
      </c>
      <c r="Q1494" s="2">
        <v>0.7</v>
      </c>
      <c r="R1494">
        <v>0</v>
      </c>
      <c r="V1494" t="str">
        <f>VLOOKUP(H1494,'[1]팀별 출판사'!A:B,2,0)</f>
        <v>소설1팀</v>
      </c>
      <c r="W1494" s="6">
        <f t="shared" si="46"/>
        <v>0</v>
      </c>
      <c r="X1494" s="6">
        <f t="shared" si="47"/>
        <v>0</v>
      </c>
    </row>
    <row r="1495" spans="1:24" x14ac:dyDescent="0.3">
      <c r="A1495" t="s">
        <v>2329</v>
      </c>
      <c r="B1495" t="s">
        <v>2404</v>
      </c>
      <c r="C1495" t="s">
        <v>23</v>
      </c>
      <c r="D1495" t="s">
        <v>24</v>
      </c>
      <c r="E1495" t="s">
        <v>25</v>
      </c>
      <c r="F1495">
        <v>1</v>
      </c>
      <c r="G1495">
        <v>9791136927675</v>
      </c>
      <c r="H1495" t="s">
        <v>36</v>
      </c>
      <c r="I1495" t="s">
        <v>2259</v>
      </c>
      <c r="J1495" t="s">
        <v>38</v>
      </c>
      <c r="K1495" t="s">
        <v>29</v>
      </c>
      <c r="L1495" s="1">
        <v>3300</v>
      </c>
      <c r="M1495" t="s">
        <v>933</v>
      </c>
      <c r="N1495">
        <v>242.54</v>
      </c>
      <c r="O1495">
        <v>205.54</v>
      </c>
      <c r="P1495" t="s">
        <v>934</v>
      </c>
      <c r="Q1495" s="2">
        <v>0.7</v>
      </c>
      <c r="R1495">
        <v>143.88</v>
      </c>
      <c r="S1495" t="s">
        <v>29</v>
      </c>
      <c r="T1495" s="1">
        <v>2302</v>
      </c>
      <c r="U1495">
        <v>15.96918</v>
      </c>
      <c r="V1495" t="str">
        <f>VLOOKUP(H1495,'[1]팀별 출판사'!A:B,2,0)</f>
        <v>소설2팀</v>
      </c>
      <c r="W1495" s="6">
        <f t="shared" si="46"/>
        <v>0</v>
      </c>
      <c r="X1495" s="6">
        <f t="shared" si="47"/>
        <v>2302</v>
      </c>
    </row>
    <row r="1496" spans="1:24" x14ac:dyDescent="0.3">
      <c r="A1496" t="s">
        <v>2329</v>
      </c>
      <c r="B1496" t="s">
        <v>2405</v>
      </c>
      <c r="C1496" t="s">
        <v>23</v>
      </c>
      <c r="D1496" t="s">
        <v>24</v>
      </c>
      <c r="E1496" t="s">
        <v>25</v>
      </c>
      <c r="F1496">
        <v>1</v>
      </c>
      <c r="G1496">
        <v>9791175301962</v>
      </c>
      <c r="H1496" t="s">
        <v>26</v>
      </c>
      <c r="I1496" t="s">
        <v>2406</v>
      </c>
      <c r="J1496" t="s">
        <v>256</v>
      </c>
      <c r="K1496" t="s">
        <v>29</v>
      </c>
      <c r="L1496" s="1">
        <v>3200</v>
      </c>
      <c r="M1496" t="s">
        <v>70</v>
      </c>
      <c r="N1496">
        <v>2.2200000000000002</v>
      </c>
      <c r="O1496">
        <v>2.2200000000000002</v>
      </c>
      <c r="P1496" t="s">
        <v>71</v>
      </c>
      <c r="Q1496" s="2">
        <v>0.7</v>
      </c>
      <c r="R1496">
        <v>1.55</v>
      </c>
      <c r="S1496" t="s">
        <v>29</v>
      </c>
      <c r="T1496" s="1">
        <v>2249</v>
      </c>
      <c r="U1496" s="3">
        <v>1448.30943</v>
      </c>
      <c r="V1496" t="str">
        <f>VLOOKUP(H1496,'[1]팀별 출판사'!A:B,2,0)</f>
        <v>소설1팀</v>
      </c>
      <c r="W1496" s="6">
        <f t="shared" si="46"/>
        <v>674.69999999999993</v>
      </c>
      <c r="X1496" s="6">
        <f t="shared" si="47"/>
        <v>1574.3000000000002</v>
      </c>
    </row>
    <row r="1497" spans="1:24" x14ac:dyDescent="0.3">
      <c r="A1497" t="s">
        <v>2329</v>
      </c>
      <c r="B1497" t="s">
        <v>2405</v>
      </c>
      <c r="C1497" t="s">
        <v>23</v>
      </c>
      <c r="D1497" t="s">
        <v>24</v>
      </c>
      <c r="E1497" t="s">
        <v>25</v>
      </c>
      <c r="F1497">
        <v>1</v>
      </c>
      <c r="G1497">
        <v>9791175301979</v>
      </c>
      <c r="H1497" t="s">
        <v>26</v>
      </c>
      <c r="I1497" t="s">
        <v>2407</v>
      </c>
      <c r="J1497" t="s">
        <v>256</v>
      </c>
      <c r="K1497" t="s">
        <v>29</v>
      </c>
      <c r="L1497" s="1">
        <v>3200</v>
      </c>
      <c r="M1497" t="s">
        <v>70</v>
      </c>
      <c r="N1497">
        <v>2.2200000000000002</v>
      </c>
      <c r="O1497">
        <v>2.2200000000000002</v>
      </c>
      <c r="P1497" t="s">
        <v>71</v>
      </c>
      <c r="Q1497" s="2">
        <v>0.7</v>
      </c>
      <c r="R1497">
        <v>1.55</v>
      </c>
      <c r="S1497" t="s">
        <v>29</v>
      </c>
      <c r="T1497" s="1">
        <v>2249</v>
      </c>
      <c r="U1497" s="3">
        <v>1448.30943</v>
      </c>
      <c r="V1497" t="str">
        <f>VLOOKUP(H1497,'[1]팀별 출판사'!A:B,2,0)</f>
        <v>소설1팀</v>
      </c>
      <c r="W1497" s="6">
        <f t="shared" si="46"/>
        <v>674.69999999999993</v>
      </c>
      <c r="X1497" s="6">
        <f t="shared" si="47"/>
        <v>1574.3000000000002</v>
      </c>
    </row>
    <row r="1498" spans="1:24" x14ac:dyDescent="0.3">
      <c r="A1498" t="s">
        <v>2329</v>
      </c>
      <c r="B1498" t="s">
        <v>2405</v>
      </c>
      <c r="C1498" t="s">
        <v>23</v>
      </c>
      <c r="D1498" t="s">
        <v>24</v>
      </c>
      <c r="E1498" t="s">
        <v>25</v>
      </c>
      <c r="F1498">
        <v>1</v>
      </c>
      <c r="G1498">
        <v>9791175301986</v>
      </c>
      <c r="H1498" t="s">
        <v>26</v>
      </c>
      <c r="I1498" t="s">
        <v>2408</v>
      </c>
      <c r="J1498" t="s">
        <v>256</v>
      </c>
      <c r="K1498" t="s">
        <v>29</v>
      </c>
      <c r="L1498" s="1">
        <v>3200</v>
      </c>
      <c r="M1498" t="s">
        <v>70</v>
      </c>
      <c r="N1498">
        <v>2.2200000000000002</v>
      </c>
      <c r="O1498">
        <v>2.2200000000000002</v>
      </c>
      <c r="P1498" t="s">
        <v>71</v>
      </c>
      <c r="Q1498" s="2">
        <v>0.7</v>
      </c>
      <c r="R1498">
        <v>1.55</v>
      </c>
      <c r="S1498" t="s">
        <v>29</v>
      </c>
      <c r="T1498" s="1">
        <v>2249</v>
      </c>
      <c r="U1498" s="3">
        <v>1448.30943</v>
      </c>
      <c r="V1498" t="str">
        <f>VLOOKUP(H1498,'[1]팀별 출판사'!A:B,2,0)</f>
        <v>소설1팀</v>
      </c>
      <c r="W1498" s="6">
        <f t="shared" si="46"/>
        <v>674.69999999999993</v>
      </c>
      <c r="X1498" s="6">
        <f t="shared" si="47"/>
        <v>1574.3000000000002</v>
      </c>
    </row>
    <row r="1499" spans="1:24" x14ac:dyDescent="0.3">
      <c r="A1499" t="s">
        <v>2329</v>
      </c>
      <c r="B1499" t="s">
        <v>2405</v>
      </c>
      <c r="C1499" t="s">
        <v>23</v>
      </c>
      <c r="D1499" t="s">
        <v>24</v>
      </c>
      <c r="E1499" t="s">
        <v>25</v>
      </c>
      <c r="F1499">
        <v>1</v>
      </c>
      <c r="G1499">
        <v>9791175301993</v>
      </c>
      <c r="H1499" t="s">
        <v>26</v>
      </c>
      <c r="I1499" t="s">
        <v>2409</v>
      </c>
      <c r="J1499" t="s">
        <v>256</v>
      </c>
      <c r="K1499" t="s">
        <v>29</v>
      </c>
      <c r="L1499" s="1">
        <v>3200</v>
      </c>
      <c r="M1499" t="s">
        <v>70</v>
      </c>
      <c r="N1499">
        <v>2.2200000000000002</v>
      </c>
      <c r="O1499">
        <v>2.2200000000000002</v>
      </c>
      <c r="P1499" t="s">
        <v>71</v>
      </c>
      <c r="Q1499" s="2">
        <v>0.7</v>
      </c>
      <c r="R1499">
        <v>1.55</v>
      </c>
      <c r="S1499" t="s">
        <v>29</v>
      </c>
      <c r="T1499" s="1">
        <v>2249</v>
      </c>
      <c r="U1499" s="3">
        <v>1448.30943</v>
      </c>
      <c r="V1499" t="str">
        <f>VLOOKUP(H1499,'[1]팀별 출판사'!A:B,2,0)</f>
        <v>소설1팀</v>
      </c>
      <c r="W1499" s="6">
        <f t="shared" si="46"/>
        <v>674.69999999999993</v>
      </c>
      <c r="X1499" s="6">
        <f t="shared" si="47"/>
        <v>1574.3000000000002</v>
      </c>
    </row>
    <row r="1500" spans="1:24" x14ac:dyDescent="0.3">
      <c r="A1500" t="s">
        <v>2329</v>
      </c>
      <c r="B1500" t="s">
        <v>2405</v>
      </c>
      <c r="C1500" t="s">
        <v>23</v>
      </c>
      <c r="D1500" t="s">
        <v>24</v>
      </c>
      <c r="E1500" t="s">
        <v>25</v>
      </c>
      <c r="F1500">
        <v>1</v>
      </c>
      <c r="G1500">
        <v>9791175302013</v>
      </c>
      <c r="H1500" t="s">
        <v>26</v>
      </c>
      <c r="I1500" t="s">
        <v>2410</v>
      </c>
      <c r="J1500" t="s">
        <v>256</v>
      </c>
      <c r="K1500" t="s">
        <v>29</v>
      </c>
      <c r="L1500" s="1">
        <v>3200</v>
      </c>
      <c r="M1500" t="s">
        <v>70</v>
      </c>
      <c r="N1500">
        <v>2.2200000000000002</v>
      </c>
      <c r="O1500">
        <v>2.2200000000000002</v>
      </c>
      <c r="P1500" t="s">
        <v>71</v>
      </c>
      <c r="Q1500" s="2">
        <v>0.7</v>
      </c>
      <c r="R1500">
        <v>1.55</v>
      </c>
      <c r="S1500" t="s">
        <v>29</v>
      </c>
      <c r="T1500" s="1">
        <v>2249</v>
      </c>
      <c r="U1500" s="3">
        <v>1448.30943</v>
      </c>
      <c r="V1500" t="str">
        <f>VLOOKUP(H1500,'[1]팀별 출판사'!A:B,2,0)</f>
        <v>소설1팀</v>
      </c>
      <c r="W1500" s="6">
        <f t="shared" si="46"/>
        <v>674.69999999999993</v>
      </c>
      <c r="X1500" s="6">
        <f t="shared" si="47"/>
        <v>1574.3000000000002</v>
      </c>
    </row>
    <row r="1501" spans="1:24" x14ac:dyDescent="0.3">
      <c r="A1501" t="s">
        <v>2329</v>
      </c>
      <c r="B1501" t="s">
        <v>2405</v>
      </c>
      <c r="C1501" t="s">
        <v>23</v>
      </c>
      <c r="D1501" t="s">
        <v>24</v>
      </c>
      <c r="E1501" t="s">
        <v>25</v>
      </c>
      <c r="F1501">
        <v>1</v>
      </c>
      <c r="G1501">
        <v>9791175302020</v>
      </c>
      <c r="H1501" t="s">
        <v>26</v>
      </c>
      <c r="I1501" t="s">
        <v>2411</v>
      </c>
      <c r="J1501" t="s">
        <v>256</v>
      </c>
      <c r="K1501" t="s">
        <v>29</v>
      </c>
      <c r="L1501" s="1">
        <v>3200</v>
      </c>
      <c r="M1501" t="s">
        <v>70</v>
      </c>
      <c r="N1501">
        <v>2.2200000000000002</v>
      </c>
      <c r="O1501">
        <v>2.2200000000000002</v>
      </c>
      <c r="P1501" t="s">
        <v>71</v>
      </c>
      <c r="Q1501" s="2">
        <v>0.7</v>
      </c>
      <c r="R1501">
        <v>1.55</v>
      </c>
      <c r="S1501" t="s">
        <v>29</v>
      </c>
      <c r="T1501" s="1">
        <v>2249</v>
      </c>
      <c r="U1501" s="3">
        <v>1448.30943</v>
      </c>
      <c r="V1501" t="str">
        <f>VLOOKUP(H1501,'[1]팀별 출판사'!A:B,2,0)</f>
        <v>소설1팀</v>
      </c>
      <c r="W1501" s="6">
        <f t="shared" si="46"/>
        <v>674.69999999999993</v>
      </c>
      <c r="X1501" s="6">
        <f t="shared" si="47"/>
        <v>1574.3000000000002</v>
      </c>
    </row>
    <row r="1502" spans="1:24" x14ac:dyDescent="0.3">
      <c r="A1502" t="s">
        <v>2329</v>
      </c>
      <c r="B1502" t="s">
        <v>2405</v>
      </c>
      <c r="C1502" t="s">
        <v>23</v>
      </c>
      <c r="D1502" t="s">
        <v>24</v>
      </c>
      <c r="E1502" t="s">
        <v>25</v>
      </c>
      <c r="F1502">
        <v>1</v>
      </c>
      <c r="G1502">
        <v>9791175302037</v>
      </c>
      <c r="H1502" t="s">
        <v>26</v>
      </c>
      <c r="I1502" t="s">
        <v>2412</v>
      </c>
      <c r="J1502" t="s">
        <v>256</v>
      </c>
      <c r="K1502" t="s">
        <v>29</v>
      </c>
      <c r="L1502" s="1">
        <v>3200</v>
      </c>
      <c r="M1502" t="s">
        <v>70</v>
      </c>
      <c r="N1502">
        <v>2.2200000000000002</v>
      </c>
      <c r="O1502">
        <v>2.2200000000000002</v>
      </c>
      <c r="P1502" t="s">
        <v>71</v>
      </c>
      <c r="Q1502" s="2">
        <v>0.7</v>
      </c>
      <c r="R1502">
        <v>1.55</v>
      </c>
      <c r="S1502" t="s">
        <v>29</v>
      </c>
      <c r="T1502" s="1">
        <v>2249</v>
      </c>
      <c r="U1502" s="3">
        <v>1448.30943</v>
      </c>
      <c r="V1502" t="str">
        <f>VLOOKUP(H1502,'[1]팀별 출판사'!A:B,2,0)</f>
        <v>소설1팀</v>
      </c>
      <c r="W1502" s="6">
        <f t="shared" si="46"/>
        <v>674.69999999999993</v>
      </c>
      <c r="X1502" s="6">
        <f t="shared" si="47"/>
        <v>1574.3000000000002</v>
      </c>
    </row>
    <row r="1503" spans="1:24" x14ac:dyDescent="0.3">
      <c r="A1503" t="s">
        <v>2329</v>
      </c>
      <c r="B1503" t="s">
        <v>2405</v>
      </c>
      <c r="C1503" t="s">
        <v>23</v>
      </c>
      <c r="D1503" t="s">
        <v>24</v>
      </c>
      <c r="E1503" t="s">
        <v>25</v>
      </c>
      <c r="F1503">
        <v>1</v>
      </c>
      <c r="G1503">
        <v>9791175302044</v>
      </c>
      <c r="H1503" t="s">
        <v>26</v>
      </c>
      <c r="I1503" t="s">
        <v>2413</v>
      </c>
      <c r="J1503" t="s">
        <v>256</v>
      </c>
      <c r="K1503" t="s">
        <v>29</v>
      </c>
      <c r="L1503" s="1">
        <v>3200</v>
      </c>
      <c r="M1503" t="s">
        <v>70</v>
      </c>
      <c r="N1503">
        <v>2.2200000000000002</v>
      </c>
      <c r="O1503">
        <v>2.2200000000000002</v>
      </c>
      <c r="P1503" t="s">
        <v>71</v>
      </c>
      <c r="Q1503" s="2">
        <v>0.7</v>
      </c>
      <c r="R1503">
        <v>1.55</v>
      </c>
      <c r="S1503" t="s">
        <v>29</v>
      </c>
      <c r="T1503" s="1">
        <v>2249</v>
      </c>
      <c r="U1503" s="3">
        <v>1448.30943</v>
      </c>
      <c r="V1503" t="str">
        <f>VLOOKUP(H1503,'[1]팀별 출판사'!A:B,2,0)</f>
        <v>소설1팀</v>
      </c>
      <c r="W1503" s="6">
        <f t="shared" si="46"/>
        <v>674.69999999999993</v>
      </c>
      <c r="X1503" s="6">
        <f t="shared" si="47"/>
        <v>1574.3000000000002</v>
      </c>
    </row>
    <row r="1504" spans="1:24" x14ac:dyDescent="0.3">
      <c r="A1504" t="s">
        <v>2329</v>
      </c>
      <c r="B1504" t="s">
        <v>2405</v>
      </c>
      <c r="C1504" t="s">
        <v>23</v>
      </c>
      <c r="D1504" t="s">
        <v>24</v>
      </c>
      <c r="E1504" t="s">
        <v>25</v>
      </c>
      <c r="F1504">
        <v>1</v>
      </c>
      <c r="G1504">
        <v>9791175302051</v>
      </c>
      <c r="H1504" t="s">
        <v>26</v>
      </c>
      <c r="I1504" t="s">
        <v>2414</v>
      </c>
      <c r="J1504" t="s">
        <v>256</v>
      </c>
      <c r="K1504" t="s">
        <v>29</v>
      </c>
      <c r="L1504" s="1">
        <v>3200</v>
      </c>
      <c r="M1504" t="s">
        <v>70</v>
      </c>
      <c r="N1504">
        <v>2.2200000000000002</v>
      </c>
      <c r="O1504">
        <v>2.2200000000000002</v>
      </c>
      <c r="P1504" t="s">
        <v>71</v>
      </c>
      <c r="Q1504" s="2">
        <v>0.7</v>
      </c>
      <c r="R1504">
        <v>1.55</v>
      </c>
      <c r="S1504" t="s">
        <v>29</v>
      </c>
      <c r="T1504" s="1">
        <v>2249</v>
      </c>
      <c r="U1504" s="3">
        <v>1448.30943</v>
      </c>
      <c r="V1504" t="str">
        <f>VLOOKUP(H1504,'[1]팀별 출판사'!A:B,2,0)</f>
        <v>소설1팀</v>
      </c>
      <c r="W1504" s="6">
        <f t="shared" si="46"/>
        <v>674.69999999999993</v>
      </c>
      <c r="X1504" s="6">
        <f t="shared" si="47"/>
        <v>1574.3000000000002</v>
      </c>
    </row>
    <row r="1505" spans="1:24" x14ac:dyDescent="0.3">
      <c r="A1505" t="s">
        <v>2329</v>
      </c>
      <c r="B1505" t="s">
        <v>2415</v>
      </c>
      <c r="C1505" t="s">
        <v>23</v>
      </c>
      <c r="D1505" t="s">
        <v>24</v>
      </c>
      <c r="E1505" t="s">
        <v>25</v>
      </c>
      <c r="F1505">
        <v>1</v>
      </c>
      <c r="G1505">
        <v>9791170106357</v>
      </c>
      <c r="H1505" t="s">
        <v>67</v>
      </c>
      <c r="I1505" t="s">
        <v>2416</v>
      </c>
      <c r="J1505" t="s">
        <v>2417</v>
      </c>
      <c r="K1505" t="s">
        <v>29</v>
      </c>
      <c r="L1505">
        <v>0</v>
      </c>
      <c r="M1505" t="s">
        <v>47</v>
      </c>
      <c r="N1505">
        <v>0</v>
      </c>
      <c r="O1505">
        <v>0</v>
      </c>
      <c r="P1505" t="s">
        <v>48</v>
      </c>
      <c r="Q1505" s="2">
        <v>0.7</v>
      </c>
      <c r="R1505">
        <v>0</v>
      </c>
      <c r="V1505" t="str">
        <f>VLOOKUP(H1505,'[1]팀별 출판사'!A:B,2,0)</f>
        <v>소설1팀</v>
      </c>
      <c r="W1505" s="6">
        <f t="shared" si="46"/>
        <v>0</v>
      </c>
      <c r="X1505" s="6">
        <f t="shared" si="47"/>
        <v>0</v>
      </c>
    </row>
    <row r="1506" spans="1:24" x14ac:dyDescent="0.3">
      <c r="A1506" t="s">
        <v>2329</v>
      </c>
      <c r="B1506" t="s">
        <v>2418</v>
      </c>
      <c r="C1506" t="s">
        <v>23</v>
      </c>
      <c r="D1506" t="s">
        <v>24</v>
      </c>
      <c r="E1506" t="s">
        <v>25</v>
      </c>
      <c r="F1506">
        <v>1</v>
      </c>
      <c r="G1506">
        <v>9791170106302</v>
      </c>
      <c r="H1506" t="s">
        <v>67</v>
      </c>
      <c r="I1506" t="s">
        <v>2293</v>
      </c>
      <c r="J1506" t="s">
        <v>2294</v>
      </c>
      <c r="K1506" t="s">
        <v>29</v>
      </c>
      <c r="L1506">
        <v>0</v>
      </c>
      <c r="M1506" t="s">
        <v>47</v>
      </c>
      <c r="N1506">
        <v>0</v>
      </c>
      <c r="O1506">
        <v>0</v>
      </c>
      <c r="P1506" t="s">
        <v>48</v>
      </c>
      <c r="Q1506" s="2">
        <v>0.7</v>
      </c>
      <c r="R1506">
        <v>0</v>
      </c>
      <c r="V1506" t="str">
        <f>VLOOKUP(H1506,'[1]팀별 출판사'!A:B,2,0)</f>
        <v>소설1팀</v>
      </c>
      <c r="W1506" s="6">
        <f t="shared" si="46"/>
        <v>0</v>
      </c>
      <c r="X1506" s="6">
        <f t="shared" si="47"/>
        <v>0</v>
      </c>
    </row>
    <row r="1507" spans="1:24" x14ac:dyDescent="0.3">
      <c r="A1507" t="s">
        <v>2329</v>
      </c>
      <c r="B1507" t="s">
        <v>2419</v>
      </c>
      <c r="C1507" t="s">
        <v>23</v>
      </c>
      <c r="D1507" t="s">
        <v>24</v>
      </c>
      <c r="E1507" t="s">
        <v>25</v>
      </c>
      <c r="F1507">
        <v>1</v>
      </c>
      <c r="G1507">
        <v>9791170105985</v>
      </c>
      <c r="H1507" t="s">
        <v>67</v>
      </c>
      <c r="I1507" t="s">
        <v>2420</v>
      </c>
      <c r="J1507" t="s">
        <v>2421</v>
      </c>
      <c r="K1507" t="s">
        <v>29</v>
      </c>
      <c r="L1507">
        <v>0</v>
      </c>
      <c r="M1507" t="s">
        <v>47</v>
      </c>
      <c r="N1507">
        <v>0</v>
      </c>
      <c r="O1507">
        <v>0</v>
      </c>
      <c r="P1507" t="s">
        <v>48</v>
      </c>
      <c r="Q1507" s="2">
        <v>0.7</v>
      </c>
      <c r="R1507">
        <v>0</v>
      </c>
      <c r="V1507" t="str">
        <f>VLOOKUP(H1507,'[1]팀별 출판사'!A:B,2,0)</f>
        <v>소설1팀</v>
      </c>
      <c r="W1507" s="6">
        <f t="shared" si="46"/>
        <v>0</v>
      </c>
      <c r="X1507" s="6">
        <f t="shared" si="47"/>
        <v>0</v>
      </c>
    </row>
    <row r="1508" spans="1:24" x14ac:dyDescent="0.3">
      <c r="A1508" t="s">
        <v>2329</v>
      </c>
      <c r="B1508" t="s">
        <v>2422</v>
      </c>
      <c r="C1508" t="s">
        <v>23</v>
      </c>
      <c r="D1508" t="s">
        <v>24</v>
      </c>
      <c r="E1508" t="s">
        <v>25</v>
      </c>
      <c r="F1508">
        <v>1</v>
      </c>
      <c r="G1508">
        <v>9791170108122</v>
      </c>
      <c r="H1508" t="s">
        <v>67</v>
      </c>
      <c r="I1508" t="s">
        <v>2423</v>
      </c>
      <c r="J1508" t="s">
        <v>2424</v>
      </c>
      <c r="K1508" t="s">
        <v>29</v>
      </c>
      <c r="L1508">
        <v>0</v>
      </c>
      <c r="M1508" t="s">
        <v>47</v>
      </c>
      <c r="N1508">
        <v>0</v>
      </c>
      <c r="O1508">
        <v>0</v>
      </c>
      <c r="P1508" t="s">
        <v>48</v>
      </c>
      <c r="Q1508" s="2">
        <v>0.7</v>
      </c>
      <c r="R1508">
        <v>0</v>
      </c>
      <c r="V1508" t="str">
        <f>VLOOKUP(H1508,'[1]팀별 출판사'!A:B,2,0)</f>
        <v>소설1팀</v>
      </c>
      <c r="W1508" s="6">
        <f t="shared" si="46"/>
        <v>0</v>
      </c>
      <c r="X1508" s="6">
        <f t="shared" si="47"/>
        <v>0</v>
      </c>
    </row>
    <row r="1509" spans="1:24" x14ac:dyDescent="0.3">
      <c r="A1509" t="s">
        <v>2329</v>
      </c>
      <c r="B1509" t="s">
        <v>2425</v>
      </c>
      <c r="C1509" t="s">
        <v>23</v>
      </c>
      <c r="D1509" t="s">
        <v>24</v>
      </c>
      <c r="E1509" t="s">
        <v>25</v>
      </c>
      <c r="F1509">
        <v>1</v>
      </c>
      <c r="G1509">
        <v>9791170107064</v>
      </c>
      <c r="H1509" t="s">
        <v>67</v>
      </c>
      <c r="I1509" t="s">
        <v>901</v>
      </c>
      <c r="J1509" t="s">
        <v>902</v>
      </c>
      <c r="K1509" t="s">
        <v>29</v>
      </c>
      <c r="L1509">
        <v>0</v>
      </c>
      <c r="M1509" t="s">
        <v>47</v>
      </c>
      <c r="N1509">
        <v>0</v>
      </c>
      <c r="O1509">
        <v>0</v>
      </c>
      <c r="P1509" t="s">
        <v>48</v>
      </c>
      <c r="Q1509" s="2">
        <v>0.7</v>
      </c>
      <c r="R1509">
        <v>0</v>
      </c>
      <c r="V1509" t="str">
        <f>VLOOKUP(H1509,'[1]팀별 출판사'!A:B,2,0)</f>
        <v>소설1팀</v>
      </c>
      <c r="W1509" s="6">
        <f t="shared" si="46"/>
        <v>0</v>
      </c>
      <c r="X1509" s="6">
        <f t="shared" si="47"/>
        <v>0</v>
      </c>
    </row>
    <row r="1510" spans="1:24" x14ac:dyDescent="0.3">
      <c r="A1510" t="s">
        <v>2329</v>
      </c>
      <c r="B1510" t="s">
        <v>2426</v>
      </c>
      <c r="C1510" t="s">
        <v>23</v>
      </c>
      <c r="D1510" t="s">
        <v>24</v>
      </c>
      <c r="E1510" t="s">
        <v>25</v>
      </c>
      <c r="F1510">
        <v>1</v>
      </c>
      <c r="G1510">
        <v>9791170107835</v>
      </c>
      <c r="H1510" t="s">
        <v>67</v>
      </c>
      <c r="I1510" t="s">
        <v>2427</v>
      </c>
      <c r="J1510" t="s">
        <v>2428</v>
      </c>
      <c r="K1510" t="s">
        <v>29</v>
      </c>
      <c r="L1510">
        <v>0</v>
      </c>
      <c r="M1510" t="s">
        <v>47</v>
      </c>
      <c r="N1510">
        <v>0</v>
      </c>
      <c r="O1510">
        <v>0</v>
      </c>
      <c r="P1510" t="s">
        <v>48</v>
      </c>
      <c r="Q1510" s="2">
        <v>0.7</v>
      </c>
      <c r="R1510">
        <v>0</v>
      </c>
      <c r="V1510" t="str">
        <f>VLOOKUP(H1510,'[1]팀별 출판사'!A:B,2,0)</f>
        <v>소설1팀</v>
      </c>
      <c r="W1510" s="6">
        <f t="shared" si="46"/>
        <v>0</v>
      </c>
      <c r="X1510" s="6">
        <f t="shared" si="47"/>
        <v>0</v>
      </c>
    </row>
    <row r="1511" spans="1:24" x14ac:dyDescent="0.3">
      <c r="A1511" t="s">
        <v>2329</v>
      </c>
      <c r="B1511" t="s">
        <v>2429</v>
      </c>
      <c r="C1511" t="s">
        <v>23</v>
      </c>
      <c r="D1511" t="s">
        <v>24</v>
      </c>
      <c r="E1511" t="s">
        <v>25</v>
      </c>
      <c r="F1511">
        <v>1</v>
      </c>
      <c r="G1511">
        <v>9791170105695</v>
      </c>
      <c r="H1511" t="s">
        <v>67</v>
      </c>
      <c r="I1511" t="s">
        <v>578</v>
      </c>
      <c r="J1511" t="s">
        <v>579</v>
      </c>
      <c r="K1511" t="s">
        <v>29</v>
      </c>
      <c r="L1511">
        <v>0</v>
      </c>
      <c r="M1511" t="s">
        <v>47</v>
      </c>
      <c r="N1511">
        <v>0</v>
      </c>
      <c r="O1511">
        <v>0</v>
      </c>
      <c r="P1511" t="s">
        <v>48</v>
      </c>
      <c r="Q1511" s="2">
        <v>0.7</v>
      </c>
      <c r="R1511">
        <v>0</v>
      </c>
      <c r="V1511" t="str">
        <f>VLOOKUP(H1511,'[1]팀별 출판사'!A:B,2,0)</f>
        <v>소설1팀</v>
      </c>
      <c r="W1511" s="6">
        <f t="shared" si="46"/>
        <v>0</v>
      </c>
      <c r="X1511" s="6">
        <f t="shared" si="47"/>
        <v>0</v>
      </c>
    </row>
    <row r="1512" spans="1:24" x14ac:dyDescent="0.3">
      <c r="A1512" t="s">
        <v>2329</v>
      </c>
      <c r="B1512" t="s">
        <v>2430</v>
      </c>
      <c r="C1512" t="s">
        <v>23</v>
      </c>
      <c r="D1512" t="s">
        <v>24</v>
      </c>
      <c r="E1512" t="s">
        <v>25</v>
      </c>
      <c r="F1512">
        <v>1</v>
      </c>
      <c r="G1512">
        <v>9791170107767</v>
      </c>
      <c r="H1512" t="s">
        <v>67</v>
      </c>
      <c r="I1512" t="s">
        <v>2284</v>
      </c>
      <c r="J1512" t="s">
        <v>2285</v>
      </c>
      <c r="K1512" t="s">
        <v>29</v>
      </c>
      <c r="L1512">
        <v>0</v>
      </c>
      <c r="M1512" t="s">
        <v>47</v>
      </c>
      <c r="N1512">
        <v>0</v>
      </c>
      <c r="O1512">
        <v>0</v>
      </c>
      <c r="P1512" t="s">
        <v>48</v>
      </c>
      <c r="Q1512" s="2">
        <v>0.7</v>
      </c>
      <c r="R1512">
        <v>0</v>
      </c>
      <c r="V1512" t="str">
        <f>VLOOKUP(H1512,'[1]팀별 출판사'!A:B,2,0)</f>
        <v>소설1팀</v>
      </c>
      <c r="W1512" s="6">
        <f t="shared" si="46"/>
        <v>0</v>
      </c>
      <c r="X1512" s="6">
        <f t="shared" si="47"/>
        <v>0</v>
      </c>
    </row>
    <row r="1513" spans="1:24" x14ac:dyDescent="0.3">
      <c r="A1513" t="s">
        <v>2329</v>
      </c>
      <c r="B1513" t="s">
        <v>2431</v>
      </c>
      <c r="C1513" t="s">
        <v>23</v>
      </c>
      <c r="D1513" t="s">
        <v>24</v>
      </c>
      <c r="E1513" t="s">
        <v>25</v>
      </c>
      <c r="F1513">
        <v>1</v>
      </c>
      <c r="G1513">
        <v>9791170105930</v>
      </c>
      <c r="H1513" t="s">
        <v>67</v>
      </c>
      <c r="I1513" t="s">
        <v>866</v>
      </c>
      <c r="J1513" t="s">
        <v>867</v>
      </c>
      <c r="K1513" t="s">
        <v>29</v>
      </c>
      <c r="L1513">
        <v>0</v>
      </c>
      <c r="M1513" t="s">
        <v>47</v>
      </c>
      <c r="N1513">
        <v>0</v>
      </c>
      <c r="O1513">
        <v>0</v>
      </c>
      <c r="P1513" t="s">
        <v>48</v>
      </c>
      <c r="Q1513" s="2">
        <v>0.7</v>
      </c>
      <c r="R1513">
        <v>0</v>
      </c>
      <c r="V1513" t="str">
        <f>VLOOKUP(H1513,'[1]팀별 출판사'!A:B,2,0)</f>
        <v>소설1팀</v>
      </c>
      <c r="W1513" s="6">
        <f t="shared" si="46"/>
        <v>0</v>
      </c>
      <c r="X1513" s="6">
        <f t="shared" si="47"/>
        <v>0</v>
      </c>
    </row>
    <row r="1514" spans="1:24" x14ac:dyDescent="0.3">
      <c r="A1514" t="s">
        <v>2329</v>
      </c>
      <c r="B1514" t="s">
        <v>2432</v>
      </c>
      <c r="C1514" t="s">
        <v>23</v>
      </c>
      <c r="D1514" t="s">
        <v>24</v>
      </c>
      <c r="E1514" t="s">
        <v>25</v>
      </c>
      <c r="F1514">
        <v>1</v>
      </c>
      <c r="G1514">
        <v>9791170105619</v>
      </c>
      <c r="H1514" t="s">
        <v>67</v>
      </c>
      <c r="I1514" t="s">
        <v>174</v>
      </c>
      <c r="J1514" t="s">
        <v>175</v>
      </c>
      <c r="K1514" t="s">
        <v>29</v>
      </c>
      <c r="L1514">
        <v>0</v>
      </c>
      <c r="M1514" t="s">
        <v>47</v>
      </c>
      <c r="N1514">
        <v>0</v>
      </c>
      <c r="O1514">
        <v>0</v>
      </c>
      <c r="P1514" t="s">
        <v>48</v>
      </c>
      <c r="Q1514" s="2">
        <v>0.7</v>
      </c>
      <c r="R1514">
        <v>0</v>
      </c>
      <c r="V1514" t="str">
        <f>VLOOKUP(H1514,'[1]팀별 출판사'!A:B,2,0)</f>
        <v>소설1팀</v>
      </c>
      <c r="W1514" s="6">
        <f t="shared" si="46"/>
        <v>0</v>
      </c>
      <c r="X1514" s="6">
        <f t="shared" si="47"/>
        <v>0</v>
      </c>
    </row>
    <row r="1515" spans="1:24" x14ac:dyDescent="0.3">
      <c r="A1515" t="s">
        <v>2329</v>
      </c>
      <c r="B1515" t="s">
        <v>2433</v>
      </c>
      <c r="C1515" t="s">
        <v>23</v>
      </c>
      <c r="D1515" t="s">
        <v>24</v>
      </c>
      <c r="E1515" t="s">
        <v>25</v>
      </c>
      <c r="F1515">
        <v>1</v>
      </c>
      <c r="G1515">
        <v>9791136936769</v>
      </c>
      <c r="H1515" t="s">
        <v>32</v>
      </c>
      <c r="I1515" t="s">
        <v>792</v>
      </c>
      <c r="J1515" t="s">
        <v>793</v>
      </c>
      <c r="K1515" t="s">
        <v>29</v>
      </c>
      <c r="L1515">
        <v>0</v>
      </c>
      <c r="M1515" t="s">
        <v>29</v>
      </c>
      <c r="N1515">
        <v>0</v>
      </c>
      <c r="O1515">
        <v>0</v>
      </c>
      <c r="P1515" t="s">
        <v>30</v>
      </c>
      <c r="Q1515" s="2">
        <v>0.7</v>
      </c>
      <c r="R1515">
        <v>0</v>
      </c>
      <c r="V1515" t="str">
        <f>VLOOKUP(H1515,'[1]팀별 출판사'!A:B,2,0)</f>
        <v>소설1팀</v>
      </c>
      <c r="W1515" s="6">
        <f t="shared" si="46"/>
        <v>0</v>
      </c>
      <c r="X1515" s="6">
        <f t="shared" si="47"/>
        <v>0</v>
      </c>
    </row>
    <row r="1516" spans="1:24" x14ac:dyDescent="0.3">
      <c r="A1516" t="s">
        <v>2329</v>
      </c>
      <c r="B1516" t="s">
        <v>2434</v>
      </c>
      <c r="C1516" t="s">
        <v>23</v>
      </c>
      <c r="D1516" t="s">
        <v>24</v>
      </c>
      <c r="E1516" t="s">
        <v>25</v>
      </c>
      <c r="F1516">
        <v>1</v>
      </c>
      <c r="G1516">
        <v>9791133180066</v>
      </c>
      <c r="H1516" t="s">
        <v>26</v>
      </c>
      <c r="I1516" t="s">
        <v>320</v>
      </c>
      <c r="J1516" t="s">
        <v>321</v>
      </c>
      <c r="K1516" t="s">
        <v>29</v>
      </c>
      <c r="L1516">
        <v>0</v>
      </c>
      <c r="M1516" t="s">
        <v>29</v>
      </c>
      <c r="N1516">
        <v>0</v>
      </c>
      <c r="O1516">
        <v>0</v>
      </c>
      <c r="P1516" t="s">
        <v>30</v>
      </c>
      <c r="Q1516" s="2">
        <v>0.7</v>
      </c>
      <c r="R1516">
        <v>0</v>
      </c>
      <c r="V1516" t="str">
        <f>VLOOKUP(H1516,'[1]팀별 출판사'!A:B,2,0)</f>
        <v>소설1팀</v>
      </c>
      <c r="W1516" s="6">
        <f t="shared" si="46"/>
        <v>0</v>
      </c>
      <c r="X1516" s="6">
        <f t="shared" si="47"/>
        <v>0</v>
      </c>
    </row>
    <row r="1517" spans="1:24" x14ac:dyDescent="0.3">
      <c r="A1517" t="s">
        <v>2329</v>
      </c>
      <c r="B1517" t="s">
        <v>2435</v>
      </c>
      <c r="C1517" t="s">
        <v>23</v>
      </c>
      <c r="D1517" t="s">
        <v>24</v>
      </c>
      <c r="E1517" t="s">
        <v>25</v>
      </c>
      <c r="F1517">
        <v>1</v>
      </c>
      <c r="G1517">
        <v>9791194664369</v>
      </c>
      <c r="H1517" t="s">
        <v>79</v>
      </c>
      <c r="I1517" t="s">
        <v>156</v>
      </c>
      <c r="J1517" t="s">
        <v>157</v>
      </c>
      <c r="K1517" t="s">
        <v>29</v>
      </c>
      <c r="L1517">
        <v>0</v>
      </c>
      <c r="M1517" t="s">
        <v>127</v>
      </c>
      <c r="N1517">
        <v>0</v>
      </c>
      <c r="O1517">
        <v>0</v>
      </c>
      <c r="P1517" t="s">
        <v>128</v>
      </c>
      <c r="Q1517" s="2">
        <v>0.7</v>
      </c>
      <c r="R1517">
        <v>0</v>
      </c>
      <c r="V1517" t="str">
        <f>VLOOKUP(H1517,'[1]팀별 출판사'!A:B,2,0)</f>
        <v>소설1팀</v>
      </c>
      <c r="W1517" s="6">
        <f t="shared" si="46"/>
        <v>0</v>
      </c>
      <c r="X1517" s="6">
        <f t="shared" si="47"/>
        <v>0</v>
      </c>
    </row>
    <row r="1518" spans="1:24" x14ac:dyDescent="0.3">
      <c r="A1518" t="s">
        <v>2329</v>
      </c>
      <c r="B1518" t="s">
        <v>2436</v>
      </c>
      <c r="C1518" t="s">
        <v>23</v>
      </c>
      <c r="D1518" t="s">
        <v>24</v>
      </c>
      <c r="E1518" t="s">
        <v>25</v>
      </c>
      <c r="F1518">
        <v>1</v>
      </c>
      <c r="G1518">
        <v>9791136930156</v>
      </c>
      <c r="H1518" t="s">
        <v>32</v>
      </c>
      <c r="I1518" t="s">
        <v>702</v>
      </c>
      <c r="J1518" t="s">
        <v>34</v>
      </c>
      <c r="K1518" t="s">
        <v>29</v>
      </c>
      <c r="L1518">
        <v>0</v>
      </c>
      <c r="M1518" t="s">
        <v>127</v>
      </c>
      <c r="N1518">
        <v>0</v>
      </c>
      <c r="O1518">
        <v>0</v>
      </c>
      <c r="P1518" t="s">
        <v>128</v>
      </c>
      <c r="Q1518" s="2">
        <v>0.7</v>
      </c>
      <c r="R1518">
        <v>0</v>
      </c>
      <c r="V1518" t="str">
        <f>VLOOKUP(H1518,'[1]팀별 출판사'!A:B,2,0)</f>
        <v>소설1팀</v>
      </c>
      <c r="W1518" s="6">
        <f t="shared" si="46"/>
        <v>0</v>
      </c>
      <c r="X1518" s="6">
        <f t="shared" si="47"/>
        <v>0</v>
      </c>
    </row>
    <row r="1519" spans="1:24" x14ac:dyDescent="0.3">
      <c r="A1519" t="s">
        <v>2329</v>
      </c>
      <c r="B1519" t="s">
        <v>2437</v>
      </c>
      <c r="C1519" t="s">
        <v>23</v>
      </c>
      <c r="D1519" t="s">
        <v>24</v>
      </c>
      <c r="E1519" t="s">
        <v>25</v>
      </c>
      <c r="F1519">
        <v>1</v>
      </c>
      <c r="G1519">
        <v>9791172921033</v>
      </c>
      <c r="H1519" t="s">
        <v>79</v>
      </c>
      <c r="I1519" t="s">
        <v>738</v>
      </c>
      <c r="J1519" t="s">
        <v>46</v>
      </c>
      <c r="K1519" t="s">
        <v>29</v>
      </c>
      <c r="L1519">
        <v>0</v>
      </c>
      <c r="M1519" t="s">
        <v>127</v>
      </c>
      <c r="N1519">
        <v>0</v>
      </c>
      <c r="O1519">
        <v>0</v>
      </c>
      <c r="P1519" t="s">
        <v>128</v>
      </c>
      <c r="Q1519" s="2">
        <v>0.7</v>
      </c>
      <c r="R1519">
        <v>0</v>
      </c>
      <c r="V1519" t="str">
        <f>VLOOKUP(H1519,'[1]팀별 출판사'!A:B,2,0)</f>
        <v>소설1팀</v>
      </c>
      <c r="W1519" s="6">
        <f t="shared" si="46"/>
        <v>0</v>
      </c>
      <c r="X1519" s="6">
        <f t="shared" si="47"/>
        <v>0</v>
      </c>
    </row>
    <row r="1520" spans="1:24" x14ac:dyDescent="0.3">
      <c r="A1520" t="s">
        <v>2329</v>
      </c>
      <c r="B1520" t="s">
        <v>2438</v>
      </c>
      <c r="C1520" t="s">
        <v>23</v>
      </c>
      <c r="D1520" t="s">
        <v>24</v>
      </c>
      <c r="E1520" t="s">
        <v>25</v>
      </c>
      <c r="F1520">
        <v>1</v>
      </c>
      <c r="G1520">
        <v>9791136946775</v>
      </c>
      <c r="H1520" t="s">
        <v>26</v>
      </c>
      <c r="I1520" t="s">
        <v>238</v>
      </c>
      <c r="J1520" t="s">
        <v>28</v>
      </c>
      <c r="K1520" t="s">
        <v>29</v>
      </c>
      <c r="L1520">
        <v>0</v>
      </c>
      <c r="M1520" t="s">
        <v>29</v>
      </c>
      <c r="N1520">
        <v>0</v>
      </c>
      <c r="O1520">
        <v>0</v>
      </c>
      <c r="P1520" t="s">
        <v>30</v>
      </c>
      <c r="Q1520" s="2">
        <v>0.7</v>
      </c>
      <c r="R1520">
        <v>0</v>
      </c>
      <c r="V1520" t="str">
        <f>VLOOKUP(H1520,'[1]팀별 출판사'!A:B,2,0)</f>
        <v>소설1팀</v>
      </c>
      <c r="W1520" s="6">
        <f t="shared" si="46"/>
        <v>0</v>
      </c>
      <c r="X1520" s="6">
        <f t="shared" si="47"/>
        <v>0</v>
      </c>
    </row>
    <row r="1521" spans="1:24" x14ac:dyDescent="0.3">
      <c r="A1521" t="s">
        <v>2329</v>
      </c>
      <c r="B1521" t="s">
        <v>2439</v>
      </c>
      <c r="C1521" t="s">
        <v>23</v>
      </c>
      <c r="D1521" t="s">
        <v>24</v>
      </c>
      <c r="E1521" t="s">
        <v>25</v>
      </c>
      <c r="F1521">
        <v>1</v>
      </c>
      <c r="G1521">
        <v>9791136935007</v>
      </c>
      <c r="H1521" t="s">
        <v>32</v>
      </c>
      <c r="I1521" t="s">
        <v>1081</v>
      </c>
      <c r="J1521" t="s">
        <v>1082</v>
      </c>
      <c r="K1521" t="s">
        <v>29</v>
      </c>
      <c r="L1521">
        <v>0</v>
      </c>
      <c r="M1521" t="s">
        <v>252</v>
      </c>
      <c r="N1521">
        <v>0</v>
      </c>
      <c r="O1521">
        <v>0</v>
      </c>
      <c r="P1521" t="s">
        <v>253</v>
      </c>
      <c r="Q1521" s="2">
        <v>0.7</v>
      </c>
      <c r="R1521">
        <v>0</v>
      </c>
      <c r="V1521" t="str">
        <f>VLOOKUP(H1521,'[1]팀별 출판사'!A:B,2,0)</f>
        <v>소설1팀</v>
      </c>
      <c r="W1521" s="6">
        <f t="shared" si="46"/>
        <v>0</v>
      </c>
      <c r="X1521" s="6">
        <f t="shared" si="47"/>
        <v>0</v>
      </c>
    </row>
    <row r="1522" spans="1:24" x14ac:dyDescent="0.3">
      <c r="A1522" t="s">
        <v>2329</v>
      </c>
      <c r="B1522" t="s">
        <v>2440</v>
      </c>
      <c r="C1522" t="s">
        <v>23</v>
      </c>
      <c r="D1522" t="s">
        <v>24</v>
      </c>
      <c r="E1522" t="s">
        <v>25</v>
      </c>
      <c r="F1522">
        <v>1</v>
      </c>
      <c r="G1522">
        <v>9791157532230</v>
      </c>
      <c r="H1522" t="s">
        <v>32</v>
      </c>
      <c r="I1522" t="s">
        <v>2441</v>
      </c>
      <c r="J1522" t="s">
        <v>112</v>
      </c>
      <c r="K1522" t="s">
        <v>29</v>
      </c>
      <c r="L1522" s="1">
        <v>3200</v>
      </c>
      <c r="M1522" t="s">
        <v>29</v>
      </c>
      <c r="N1522" s="1">
        <v>3200</v>
      </c>
      <c r="O1522" s="1">
        <v>3200</v>
      </c>
      <c r="P1522" t="s">
        <v>30</v>
      </c>
      <c r="Q1522" s="2">
        <v>0.7</v>
      </c>
      <c r="R1522" s="1">
        <v>2240</v>
      </c>
      <c r="S1522" t="s">
        <v>29</v>
      </c>
      <c r="T1522" s="1">
        <v>2240</v>
      </c>
      <c r="V1522" t="str">
        <f>VLOOKUP(H1522,'[1]팀별 출판사'!A:B,2,0)</f>
        <v>소설1팀</v>
      </c>
      <c r="W1522" s="6">
        <f t="shared" si="46"/>
        <v>0</v>
      </c>
      <c r="X1522" s="6">
        <f t="shared" si="47"/>
        <v>2240</v>
      </c>
    </row>
    <row r="1523" spans="1:24" x14ac:dyDescent="0.3">
      <c r="A1523" t="s">
        <v>2329</v>
      </c>
      <c r="B1523" t="s">
        <v>2442</v>
      </c>
      <c r="C1523" t="s">
        <v>23</v>
      </c>
      <c r="D1523" t="s">
        <v>24</v>
      </c>
      <c r="E1523" t="s">
        <v>25</v>
      </c>
      <c r="F1523">
        <v>1</v>
      </c>
      <c r="G1523">
        <v>9791173785146</v>
      </c>
      <c r="H1523" t="s">
        <v>26</v>
      </c>
      <c r="I1523" t="s">
        <v>2443</v>
      </c>
      <c r="J1523" t="s">
        <v>62</v>
      </c>
      <c r="K1523" t="s">
        <v>29</v>
      </c>
      <c r="L1523" s="1">
        <v>3200</v>
      </c>
      <c r="M1523" t="s">
        <v>29</v>
      </c>
      <c r="N1523" s="1">
        <v>3200</v>
      </c>
      <c r="O1523" s="1">
        <v>3200</v>
      </c>
      <c r="P1523" t="s">
        <v>30</v>
      </c>
      <c r="Q1523" s="2">
        <v>0.7</v>
      </c>
      <c r="R1523" s="1">
        <v>2240</v>
      </c>
      <c r="S1523" t="s">
        <v>29</v>
      </c>
      <c r="T1523" s="1">
        <v>2240</v>
      </c>
      <c r="V1523" t="str">
        <f>VLOOKUP(H1523,'[1]팀별 출판사'!A:B,2,0)</f>
        <v>소설1팀</v>
      </c>
      <c r="W1523" s="6">
        <f t="shared" si="46"/>
        <v>0</v>
      </c>
      <c r="X1523" s="6">
        <f t="shared" si="47"/>
        <v>2240</v>
      </c>
    </row>
    <row r="1524" spans="1:24" x14ac:dyDescent="0.3">
      <c r="A1524" t="s">
        <v>2329</v>
      </c>
      <c r="B1524" t="s">
        <v>2444</v>
      </c>
      <c r="C1524" t="s">
        <v>23</v>
      </c>
      <c r="D1524" t="s">
        <v>24</v>
      </c>
      <c r="E1524" t="s">
        <v>25</v>
      </c>
      <c r="F1524">
        <v>1</v>
      </c>
      <c r="G1524">
        <v>9791136927675</v>
      </c>
      <c r="H1524" t="s">
        <v>36</v>
      </c>
      <c r="I1524" t="s">
        <v>2259</v>
      </c>
      <c r="J1524" t="s">
        <v>38</v>
      </c>
      <c r="K1524" t="s">
        <v>29</v>
      </c>
      <c r="L1524" s="1">
        <v>3300</v>
      </c>
      <c r="M1524" t="s">
        <v>362</v>
      </c>
      <c r="N1524">
        <v>150.63</v>
      </c>
      <c r="O1524">
        <v>134.49</v>
      </c>
      <c r="P1524" t="s">
        <v>363</v>
      </c>
      <c r="Q1524" s="2">
        <v>0.7</v>
      </c>
      <c r="R1524">
        <v>94.14</v>
      </c>
      <c r="S1524" t="s">
        <v>29</v>
      </c>
      <c r="T1524" s="1">
        <v>2336</v>
      </c>
      <c r="U1524">
        <v>24.853919999999999</v>
      </c>
      <c r="V1524" t="str">
        <f>VLOOKUP(H1524,'[1]팀별 출판사'!A:B,2,0)</f>
        <v>소설2팀</v>
      </c>
      <c r="W1524" s="6">
        <f t="shared" si="46"/>
        <v>0</v>
      </c>
      <c r="X1524" s="6">
        <f t="shared" si="47"/>
        <v>2336</v>
      </c>
    </row>
    <row r="1525" spans="1:24" x14ac:dyDescent="0.3">
      <c r="A1525" t="s">
        <v>2329</v>
      </c>
      <c r="B1525" t="s">
        <v>2445</v>
      </c>
      <c r="C1525" t="s">
        <v>23</v>
      </c>
      <c r="D1525" t="s">
        <v>24</v>
      </c>
      <c r="E1525" t="s">
        <v>25</v>
      </c>
      <c r="F1525">
        <v>1</v>
      </c>
      <c r="G1525">
        <v>9791133145874</v>
      </c>
      <c r="H1525" t="s">
        <v>32</v>
      </c>
      <c r="I1525" t="s">
        <v>2446</v>
      </c>
      <c r="J1525" t="s">
        <v>51</v>
      </c>
      <c r="K1525" t="s">
        <v>29</v>
      </c>
      <c r="L1525" s="1">
        <v>3000</v>
      </c>
      <c r="M1525" t="s">
        <v>29</v>
      </c>
      <c r="N1525" s="1">
        <v>3000</v>
      </c>
      <c r="O1525" s="1">
        <v>3000</v>
      </c>
      <c r="P1525" t="s">
        <v>30</v>
      </c>
      <c r="Q1525" s="2">
        <v>0.7</v>
      </c>
      <c r="R1525" s="1">
        <v>2100</v>
      </c>
      <c r="S1525" t="s">
        <v>29</v>
      </c>
      <c r="T1525" s="1">
        <v>2100</v>
      </c>
      <c r="V1525" t="str">
        <f>VLOOKUP(H1525,'[1]팀별 출판사'!A:B,2,0)</f>
        <v>소설1팀</v>
      </c>
      <c r="W1525" s="6">
        <f t="shared" si="46"/>
        <v>0</v>
      </c>
      <c r="X1525" s="6">
        <f t="shared" si="47"/>
        <v>2100</v>
      </c>
    </row>
    <row r="1526" spans="1:24" x14ac:dyDescent="0.3">
      <c r="A1526" t="s">
        <v>2329</v>
      </c>
      <c r="B1526" t="s">
        <v>2447</v>
      </c>
      <c r="C1526" t="s">
        <v>23</v>
      </c>
      <c r="D1526" t="s">
        <v>24</v>
      </c>
      <c r="E1526" t="s">
        <v>25</v>
      </c>
      <c r="F1526">
        <v>1</v>
      </c>
      <c r="G1526">
        <v>9791133130375</v>
      </c>
      <c r="H1526" t="s">
        <v>32</v>
      </c>
      <c r="I1526" t="s">
        <v>536</v>
      </c>
      <c r="J1526" t="s">
        <v>160</v>
      </c>
      <c r="K1526" t="s">
        <v>29</v>
      </c>
      <c r="L1526">
        <v>0</v>
      </c>
      <c r="M1526" t="s">
        <v>29</v>
      </c>
      <c r="N1526">
        <v>0</v>
      </c>
      <c r="O1526">
        <v>0</v>
      </c>
      <c r="P1526" t="s">
        <v>30</v>
      </c>
      <c r="Q1526" s="2">
        <v>0.7</v>
      </c>
      <c r="R1526">
        <v>0</v>
      </c>
      <c r="V1526" t="str">
        <f>VLOOKUP(H1526,'[1]팀별 출판사'!A:B,2,0)</f>
        <v>소설1팀</v>
      </c>
      <c r="W1526" s="6">
        <f t="shared" si="46"/>
        <v>0</v>
      </c>
      <c r="X1526" s="6">
        <f t="shared" si="47"/>
        <v>0</v>
      </c>
    </row>
    <row r="1527" spans="1:24" x14ac:dyDescent="0.3">
      <c r="A1527" t="s">
        <v>2329</v>
      </c>
      <c r="B1527" t="s">
        <v>2448</v>
      </c>
      <c r="C1527" t="s">
        <v>23</v>
      </c>
      <c r="D1527" t="s">
        <v>24</v>
      </c>
      <c r="E1527" t="s">
        <v>25</v>
      </c>
      <c r="F1527">
        <v>1</v>
      </c>
      <c r="G1527">
        <v>9791136946799</v>
      </c>
      <c r="H1527" t="s">
        <v>26</v>
      </c>
      <c r="I1527" t="s">
        <v>2449</v>
      </c>
      <c r="J1527" t="s">
        <v>28</v>
      </c>
      <c r="K1527" t="s">
        <v>29</v>
      </c>
      <c r="L1527" s="1">
        <v>3200</v>
      </c>
      <c r="M1527" t="s">
        <v>29</v>
      </c>
      <c r="N1527" s="1">
        <v>3200</v>
      </c>
      <c r="O1527" s="1">
        <v>3200</v>
      </c>
      <c r="P1527" t="s">
        <v>30</v>
      </c>
      <c r="Q1527" s="2">
        <v>0.7</v>
      </c>
      <c r="R1527" s="1">
        <v>2240</v>
      </c>
      <c r="S1527" t="s">
        <v>29</v>
      </c>
      <c r="T1527" s="1">
        <v>2240</v>
      </c>
      <c r="V1527" t="str">
        <f>VLOOKUP(H1527,'[1]팀별 출판사'!A:B,2,0)</f>
        <v>소설1팀</v>
      </c>
      <c r="W1527" s="6">
        <f t="shared" si="46"/>
        <v>0</v>
      </c>
      <c r="X1527" s="6">
        <f t="shared" si="47"/>
        <v>2240</v>
      </c>
    </row>
    <row r="1528" spans="1:24" x14ac:dyDescent="0.3">
      <c r="A1528" t="s">
        <v>2329</v>
      </c>
      <c r="B1528" t="s">
        <v>2450</v>
      </c>
      <c r="C1528" t="s">
        <v>23</v>
      </c>
      <c r="D1528" t="s">
        <v>24</v>
      </c>
      <c r="E1528" t="s">
        <v>25</v>
      </c>
      <c r="F1528">
        <v>1</v>
      </c>
      <c r="G1528">
        <v>9791133158683</v>
      </c>
      <c r="H1528" t="s">
        <v>32</v>
      </c>
      <c r="I1528" t="s">
        <v>2451</v>
      </c>
      <c r="J1528" t="s">
        <v>2452</v>
      </c>
      <c r="K1528" t="s">
        <v>29</v>
      </c>
      <c r="L1528">
        <v>0</v>
      </c>
      <c r="M1528" t="s">
        <v>70</v>
      </c>
      <c r="N1528">
        <v>0</v>
      </c>
      <c r="O1528">
        <v>0</v>
      </c>
      <c r="P1528" t="s">
        <v>426</v>
      </c>
      <c r="Q1528" s="2">
        <v>0.7</v>
      </c>
      <c r="R1528">
        <v>0</v>
      </c>
      <c r="V1528" t="str">
        <f>VLOOKUP(H1528,'[1]팀별 출판사'!A:B,2,0)</f>
        <v>소설1팀</v>
      </c>
      <c r="W1528" s="6">
        <f t="shared" si="46"/>
        <v>0</v>
      </c>
      <c r="X1528" s="6">
        <f t="shared" si="47"/>
        <v>0</v>
      </c>
    </row>
    <row r="1529" spans="1:24" x14ac:dyDescent="0.3">
      <c r="A1529" t="s">
        <v>2329</v>
      </c>
      <c r="B1529" t="s">
        <v>2453</v>
      </c>
      <c r="C1529" t="s">
        <v>23</v>
      </c>
      <c r="D1529" t="s">
        <v>24</v>
      </c>
      <c r="E1529" t="s">
        <v>25</v>
      </c>
      <c r="F1529">
        <v>1</v>
      </c>
      <c r="G1529">
        <v>9791172920159</v>
      </c>
      <c r="H1529" t="s">
        <v>26</v>
      </c>
      <c r="I1529" t="s">
        <v>2454</v>
      </c>
      <c r="J1529" t="s">
        <v>276</v>
      </c>
      <c r="K1529" t="s">
        <v>29</v>
      </c>
      <c r="L1529" s="1">
        <v>3200</v>
      </c>
      <c r="M1529" t="s">
        <v>29</v>
      </c>
      <c r="N1529" s="1">
        <v>3200</v>
      </c>
      <c r="O1529" s="1">
        <v>3200</v>
      </c>
      <c r="P1529" t="s">
        <v>30</v>
      </c>
      <c r="Q1529" s="2">
        <v>0.7</v>
      </c>
      <c r="R1529" s="1">
        <v>2240</v>
      </c>
      <c r="S1529" t="s">
        <v>29</v>
      </c>
      <c r="T1529" s="1">
        <v>2240</v>
      </c>
      <c r="V1529" t="str">
        <f>VLOOKUP(H1529,'[1]팀별 출판사'!A:B,2,0)</f>
        <v>소설1팀</v>
      </c>
      <c r="W1529" s="6">
        <f t="shared" si="46"/>
        <v>0</v>
      </c>
      <c r="X1529" s="6">
        <f t="shared" si="47"/>
        <v>2240</v>
      </c>
    </row>
    <row r="1530" spans="1:24" x14ac:dyDescent="0.3">
      <c r="A1530" t="s">
        <v>2329</v>
      </c>
      <c r="B1530" t="s">
        <v>2455</v>
      </c>
      <c r="C1530" t="s">
        <v>23</v>
      </c>
      <c r="D1530" t="s">
        <v>24</v>
      </c>
      <c r="E1530" t="s">
        <v>25</v>
      </c>
      <c r="F1530">
        <v>1</v>
      </c>
      <c r="G1530">
        <v>9791136931375</v>
      </c>
      <c r="H1530" t="s">
        <v>32</v>
      </c>
      <c r="I1530" t="s">
        <v>189</v>
      </c>
      <c r="J1530" t="s">
        <v>46</v>
      </c>
      <c r="K1530" t="s">
        <v>29</v>
      </c>
      <c r="L1530">
        <v>0</v>
      </c>
      <c r="M1530" t="s">
        <v>152</v>
      </c>
      <c r="N1530">
        <v>0</v>
      </c>
      <c r="O1530">
        <v>0</v>
      </c>
      <c r="P1530" t="s">
        <v>153</v>
      </c>
      <c r="Q1530" s="2">
        <v>0.7</v>
      </c>
      <c r="R1530">
        <v>0</v>
      </c>
      <c r="V1530" t="str">
        <f>VLOOKUP(H1530,'[1]팀별 출판사'!A:B,2,0)</f>
        <v>소설1팀</v>
      </c>
      <c r="W1530" s="6">
        <f t="shared" si="46"/>
        <v>0</v>
      </c>
      <c r="X1530" s="6">
        <f t="shared" si="47"/>
        <v>0</v>
      </c>
    </row>
    <row r="1531" spans="1:24" x14ac:dyDescent="0.3">
      <c r="A1531" t="s">
        <v>2329</v>
      </c>
      <c r="B1531" t="s">
        <v>2456</v>
      </c>
      <c r="C1531" t="s">
        <v>23</v>
      </c>
      <c r="D1531" t="s">
        <v>24</v>
      </c>
      <c r="E1531" t="s">
        <v>25</v>
      </c>
      <c r="F1531">
        <v>1</v>
      </c>
      <c r="G1531">
        <v>9791170101284</v>
      </c>
      <c r="H1531" t="s">
        <v>67</v>
      </c>
      <c r="I1531" t="s">
        <v>1187</v>
      </c>
      <c r="J1531" t="s">
        <v>414</v>
      </c>
      <c r="K1531" t="s">
        <v>29</v>
      </c>
      <c r="L1531">
        <v>0</v>
      </c>
      <c r="M1531" t="s">
        <v>29</v>
      </c>
      <c r="N1531">
        <v>0</v>
      </c>
      <c r="O1531">
        <v>0</v>
      </c>
      <c r="P1531" t="s">
        <v>30</v>
      </c>
      <c r="Q1531" s="2">
        <v>0.7</v>
      </c>
      <c r="R1531">
        <v>0</v>
      </c>
      <c r="V1531" t="str">
        <f>VLOOKUP(H1531,'[1]팀별 출판사'!A:B,2,0)</f>
        <v>소설1팀</v>
      </c>
      <c r="W1531" s="6">
        <f t="shared" si="46"/>
        <v>0</v>
      </c>
      <c r="X1531" s="6">
        <f t="shared" si="47"/>
        <v>0</v>
      </c>
    </row>
    <row r="1532" spans="1:24" x14ac:dyDescent="0.3">
      <c r="A1532" t="s">
        <v>2329</v>
      </c>
      <c r="B1532" t="s">
        <v>2457</v>
      </c>
      <c r="C1532" t="s">
        <v>23</v>
      </c>
      <c r="D1532" t="s">
        <v>24</v>
      </c>
      <c r="E1532" t="s">
        <v>25</v>
      </c>
      <c r="F1532">
        <v>1</v>
      </c>
      <c r="G1532">
        <v>9791194664369</v>
      </c>
      <c r="H1532" t="s">
        <v>79</v>
      </c>
      <c r="I1532" t="s">
        <v>156</v>
      </c>
      <c r="J1532" t="s">
        <v>157</v>
      </c>
      <c r="K1532" t="s">
        <v>29</v>
      </c>
      <c r="L1532">
        <v>0</v>
      </c>
      <c r="M1532" t="s">
        <v>127</v>
      </c>
      <c r="N1532">
        <v>0</v>
      </c>
      <c r="O1532">
        <v>0</v>
      </c>
      <c r="P1532" t="s">
        <v>128</v>
      </c>
      <c r="Q1532" s="2">
        <v>0.7</v>
      </c>
      <c r="R1532">
        <v>0</v>
      </c>
      <c r="V1532" t="str">
        <f>VLOOKUP(H1532,'[1]팀별 출판사'!A:B,2,0)</f>
        <v>소설1팀</v>
      </c>
      <c r="W1532" s="6">
        <f t="shared" si="46"/>
        <v>0</v>
      </c>
      <c r="X1532" s="6">
        <f t="shared" si="47"/>
        <v>0</v>
      </c>
    </row>
    <row r="1533" spans="1:24" x14ac:dyDescent="0.3">
      <c r="A1533" t="s">
        <v>2329</v>
      </c>
      <c r="B1533" t="s">
        <v>2458</v>
      </c>
      <c r="C1533" t="s">
        <v>23</v>
      </c>
      <c r="D1533" t="s">
        <v>24</v>
      </c>
      <c r="E1533" t="s">
        <v>25</v>
      </c>
      <c r="F1533">
        <v>1</v>
      </c>
      <c r="G1533">
        <v>9791136910431</v>
      </c>
      <c r="H1533" t="s">
        <v>26</v>
      </c>
      <c r="I1533" t="s">
        <v>354</v>
      </c>
      <c r="J1533" t="s">
        <v>355</v>
      </c>
      <c r="K1533" t="s">
        <v>29</v>
      </c>
      <c r="L1533">
        <v>0</v>
      </c>
      <c r="M1533" t="s">
        <v>29</v>
      </c>
      <c r="N1533">
        <v>0</v>
      </c>
      <c r="O1533">
        <v>0</v>
      </c>
      <c r="P1533" t="s">
        <v>30</v>
      </c>
      <c r="Q1533" s="2">
        <v>0.7</v>
      </c>
      <c r="R1533">
        <v>0</v>
      </c>
      <c r="V1533" t="str">
        <f>VLOOKUP(H1533,'[1]팀별 출판사'!A:B,2,0)</f>
        <v>소설1팀</v>
      </c>
      <c r="W1533" s="6">
        <f t="shared" si="46"/>
        <v>0</v>
      </c>
      <c r="X1533" s="6">
        <f t="shared" si="47"/>
        <v>0</v>
      </c>
    </row>
    <row r="1534" spans="1:24" x14ac:dyDescent="0.3">
      <c r="A1534" t="s">
        <v>2329</v>
      </c>
      <c r="B1534" t="s">
        <v>2459</v>
      </c>
      <c r="C1534" t="s">
        <v>23</v>
      </c>
      <c r="D1534" t="s">
        <v>24</v>
      </c>
      <c r="E1534" t="s">
        <v>25</v>
      </c>
      <c r="F1534">
        <v>1</v>
      </c>
      <c r="G1534">
        <v>9791136935496</v>
      </c>
      <c r="H1534" t="s">
        <v>32</v>
      </c>
      <c r="I1534" t="s">
        <v>441</v>
      </c>
      <c r="J1534" t="s">
        <v>442</v>
      </c>
      <c r="K1534" t="s">
        <v>29</v>
      </c>
      <c r="L1534">
        <v>0</v>
      </c>
      <c r="M1534" t="s">
        <v>127</v>
      </c>
      <c r="N1534">
        <v>0</v>
      </c>
      <c r="O1534">
        <v>0</v>
      </c>
      <c r="P1534" t="s">
        <v>128</v>
      </c>
      <c r="Q1534" s="2">
        <v>0.7</v>
      </c>
      <c r="R1534">
        <v>0</v>
      </c>
      <c r="V1534" t="str">
        <f>VLOOKUP(H1534,'[1]팀별 출판사'!A:B,2,0)</f>
        <v>소설1팀</v>
      </c>
      <c r="W1534" s="6">
        <f t="shared" si="46"/>
        <v>0</v>
      </c>
      <c r="X1534" s="6">
        <f t="shared" si="47"/>
        <v>0</v>
      </c>
    </row>
    <row r="1535" spans="1:24" x14ac:dyDescent="0.3">
      <c r="A1535" t="s">
        <v>2329</v>
      </c>
      <c r="B1535" t="s">
        <v>2460</v>
      </c>
      <c r="C1535" t="s">
        <v>23</v>
      </c>
      <c r="D1535" t="s">
        <v>24</v>
      </c>
      <c r="E1535" t="s">
        <v>25</v>
      </c>
      <c r="F1535">
        <v>1</v>
      </c>
      <c r="G1535">
        <v>9791136945013</v>
      </c>
      <c r="H1535" t="s">
        <v>26</v>
      </c>
      <c r="I1535" t="s">
        <v>125</v>
      </c>
      <c r="J1535" t="s">
        <v>126</v>
      </c>
      <c r="K1535" t="s">
        <v>29</v>
      </c>
      <c r="L1535">
        <v>0</v>
      </c>
      <c r="M1535" t="s">
        <v>127</v>
      </c>
      <c r="N1535">
        <v>0</v>
      </c>
      <c r="O1535">
        <v>0</v>
      </c>
      <c r="P1535" t="s">
        <v>128</v>
      </c>
      <c r="Q1535" s="2">
        <v>0.7</v>
      </c>
      <c r="R1535">
        <v>0</v>
      </c>
      <c r="V1535" t="str">
        <f>VLOOKUP(H1535,'[1]팀별 출판사'!A:B,2,0)</f>
        <v>소설1팀</v>
      </c>
      <c r="W1535" s="6">
        <f t="shared" si="46"/>
        <v>0</v>
      </c>
      <c r="X1535" s="6">
        <f t="shared" si="47"/>
        <v>0</v>
      </c>
    </row>
    <row r="1536" spans="1:24" x14ac:dyDescent="0.3">
      <c r="A1536" t="s">
        <v>2329</v>
      </c>
      <c r="B1536" t="s">
        <v>2461</v>
      </c>
      <c r="C1536" t="s">
        <v>23</v>
      </c>
      <c r="D1536" t="s">
        <v>24</v>
      </c>
      <c r="E1536" t="s">
        <v>25</v>
      </c>
      <c r="F1536">
        <v>1</v>
      </c>
      <c r="G1536">
        <v>9791136988133</v>
      </c>
      <c r="H1536" t="s">
        <v>26</v>
      </c>
      <c r="I1536" t="s">
        <v>614</v>
      </c>
      <c r="J1536" t="s">
        <v>28</v>
      </c>
      <c r="K1536" t="s">
        <v>29</v>
      </c>
      <c r="L1536">
        <v>0</v>
      </c>
      <c r="M1536" t="s">
        <v>29</v>
      </c>
      <c r="N1536">
        <v>0</v>
      </c>
      <c r="O1536">
        <v>0</v>
      </c>
      <c r="P1536" t="s">
        <v>30</v>
      </c>
      <c r="Q1536" s="2">
        <v>0.7</v>
      </c>
      <c r="R1536">
        <v>0</v>
      </c>
      <c r="V1536" t="str">
        <f>VLOOKUP(H1536,'[1]팀별 출판사'!A:B,2,0)</f>
        <v>소설1팀</v>
      </c>
      <c r="W1536" s="6">
        <f t="shared" si="46"/>
        <v>0</v>
      </c>
      <c r="X1536" s="6">
        <f t="shared" si="47"/>
        <v>0</v>
      </c>
    </row>
    <row r="1537" spans="1:24" x14ac:dyDescent="0.3">
      <c r="A1537" t="s">
        <v>2329</v>
      </c>
      <c r="B1537" t="s">
        <v>2462</v>
      </c>
      <c r="C1537" t="s">
        <v>23</v>
      </c>
      <c r="D1537" t="s">
        <v>24</v>
      </c>
      <c r="E1537" t="s">
        <v>25</v>
      </c>
      <c r="F1537">
        <v>1</v>
      </c>
      <c r="G1537">
        <v>9791136931375</v>
      </c>
      <c r="H1537" t="s">
        <v>32</v>
      </c>
      <c r="I1537" t="s">
        <v>189</v>
      </c>
      <c r="J1537" t="s">
        <v>46</v>
      </c>
      <c r="K1537" t="s">
        <v>29</v>
      </c>
      <c r="L1537">
        <v>0</v>
      </c>
      <c r="M1537" t="s">
        <v>152</v>
      </c>
      <c r="N1537">
        <v>0</v>
      </c>
      <c r="O1537">
        <v>0</v>
      </c>
      <c r="P1537" t="s">
        <v>153</v>
      </c>
      <c r="Q1537" s="2">
        <v>0.7</v>
      </c>
      <c r="R1537">
        <v>0</v>
      </c>
      <c r="V1537" t="str">
        <f>VLOOKUP(H1537,'[1]팀별 출판사'!A:B,2,0)</f>
        <v>소설1팀</v>
      </c>
      <c r="W1537" s="6">
        <f t="shared" si="46"/>
        <v>0</v>
      </c>
      <c r="X1537" s="6">
        <f t="shared" si="47"/>
        <v>0</v>
      </c>
    </row>
    <row r="1538" spans="1:24" x14ac:dyDescent="0.3">
      <c r="A1538" t="s">
        <v>2329</v>
      </c>
      <c r="B1538" t="s">
        <v>2463</v>
      </c>
      <c r="C1538" t="s">
        <v>23</v>
      </c>
      <c r="D1538" t="s">
        <v>24</v>
      </c>
      <c r="E1538" t="s">
        <v>25</v>
      </c>
      <c r="F1538">
        <v>1</v>
      </c>
      <c r="G1538">
        <v>9791172920135</v>
      </c>
      <c r="H1538" t="s">
        <v>26</v>
      </c>
      <c r="I1538" t="s">
        <v>278</v>
      </c>
      <c r="J1538" t="s">
        <v>276</v>
      </c>
      <c r="K1538" t="s">
        <v>29</v>
      </c>
      <c r="L1538">
        <v>0</v>
      </c>
      <c r="M1538" t="s">
        <v>29</v>
      </c>
      <c r="N1538">
        <v>0</v>
      </c>
      <c r="O1538">
        <v>0</v>
      </c>
      <c r="P1538" t="s">
        <v>30</v>
      </c>
      <c r="Q1538" s="2">
        <v>0.7</v>
      </c>
      <c r="R1538">
        <v>0</v>
      </c>
      <c r="V1538" t="str">
        <f>VLOOKUP(H1538,'[1]팀별 출판사'!A:B,2,0)</f>
        <v>소설1팀</v>
      </c>
      <c r="W1538" s="6">
        <f t="shared" ref="W1538:W1601" si="48">IF(P1538="US", T1538*30%, 0)</f>
        <v>0</v>
      </c>
      <c r="X1538" s="6">
        <f t="shared" ref="X1538:X1601" si="49">T1538-W1538</f>
        <v>0</v>
      </c>
    </row>
    <row r="1539" spans="1:24" x14ac:dyDescent="0.3">
      <c r="A1539" t="s">
        <v>2329</v>
      </c>
      <c r="B1539" t="s">
        <v>2464</v>
      </c>
      <c r="C1539" t="s">
        <v>23</v>
      </c>
      <c r="D1539" t="s">
        <v>24</v>
      </c>
      <c r="E1539" t="s">
        <v>25</v>
      </c>
      <c r="F1539">
        <v>1</v>
      </c>
      <c r="G1539">
        <v>9791136930491</v>
      </c>
      <c r="H1539" t="s">
        <v>26</v>
      </c>
      <c r="I1539" t="s">
        <v>151</v>
      </c>
      <c r="J1539" t="s">
        <v>46</v>
      </c>
      <c r="K1539" t="s">
        <v>29</v>
      </c>
      <c r="L1539">
        <v>0</v>
      </c>
      <c r="M1539" t="s">
        <v>152</v>
      </c>
      <c r="N1539">
        <v>0</v>
      </c>
      <c r="O1539">
        <v>0</v>
      </c>
      <c r="P1539" t="s">
        <v>153</v>
      </c>
      <c r="Q1539" s="2">
        <v>0.7</v>
      </c>
      <c r="R1539">
        <v>0</v>
      </c>
      <c r="V1539" t="str">
        <f>VLOOKUP(H1539,'[1]팀별 출판사'!A:B,2,0)</f>
        <v>소설1팀</v>
      </c>
      <c r="W1539" s="6">
        <f t="shared" si="48"/>
        <v>0</v>
      </c>
      <c r="X1539" s="6">
        <f t="shared" si="49"/>
        <v>0</v>
      </c>
    </row>
    <row r="1540" spans="1:24" x14ac:dyDescent="0.3">
      <c r="A1540" t="s">
        <v>2329</v>
      </c>
      <c r="B1540" t="s">
        <v>2465</v>
      </c>
      <c r="C1540" t="s">
        <v>23</v>
      </c>
      <c r="D1540" t="s">
        <v>24</v>
      </c>
      <c r="E1540" t="s">
        <v>25</v>
      </c>
      <c r="F1540">
        <v>1</v>
      </c>
      <c r="G1540">
        <v>9791136942142</v>
      </c>
      <c r="H1540" t="s">
        <v>26</v>
      </c>
      <c r="I1540" t="s">
        <v>180</v>
      </c>
      <c r="J1540" t="s">
        <v>46</v>
      </c>
      <c r="K1540" t="s">
        <v>29</v>
      </c>
      <c r="L1540">
        <v>0</v>
      </c>
      <c r="M1540" t="s">
        <v>152</v>
      </c>
      <c r="N1540">
        <v>0</v>
      </c>
      <c r="O1540">
        <v>0</v>
      </c>
      <c r="P1540" t="s">
        <v>153</v>
      </c>
      <c r="Q1540" s="2">
        <v>0.7</v>
      </c>
      <c r="R1540">
        <v>0</v>
      </c>
      <c r="V1540" t="str">
        <f>VLOOKUP(H1540,'[1]팀별 출판사'!A:B,2,0)</f>
        <v>소설1팀</v>
      </c>
      <c r="W1540" s="6">
        <f t="shared" si="48"/>
        <v>0</v>
      </c>
      <c r="X1540" s="6">
        <f t="shared" si="49"/>
        <v>0</v>
      </c>
    </row>
    <row r="1541" spans="1:24" x14ac:dyDescent="0.3">
      <c r="A1541" t="s">
        <v>2329</v>
      </c>
      <c r="B1541" t="s">
        <v>2466</v>
      </c>
      <c r="C1541" t="s">
        <v>23</v>
      </c>
      <c r="D1541" t="s">
        <v>24</v>
      </c>
      <c r="E1541" t="s">
        <v>25</v>
      </c>
      <c r="F1541">
        <v>1</v>
      </c>
      <c r="G1541">
        <v>9791172921033</v>
      </c>
      <c r="H1541" t="s">
        <v>79</v>
      </c>
      <c r="I1541" t="s">
        <v>738</v>
      </c>
      <c r="J1541" t="s">
        <v>46</v>
      </c>
      <c r="K1541" t="s">
        <v>29</v>
      </c>
      <c r="L1541">
        <v>0</v>
      </c>
      <c r="M1541" t="s">
        <v>152</v>
      </c>
      <c r="N1541">
        <v>0</v>
      </c>
      <c r="O1541">
        <v>0</v>
      </c>
      <c r="P1541" t="s">
        <v>153</v>
      </c>
      <c r="Q1541" s="2">
        <v>0.7</v>
      </c>
      <c r="R1541">
        <v>0</v>
      </c>
      <c r="V1541" t="str">
        <f>VLOOKUP(H1541,'[1]팀별 출판사'!A:B,2,0)</f>
        <v>소설1팀</v>
      </c>
      <c r="W1541" s="6">
        <f t="shared" si="48"/>
        <v>0</v>
      </c>
      <c r="X1541" s="6">
        <f t="shared" si="49"/>
        <v>0</v>
      </c>
    </row>
    <row r="1542" spans="1:24" x14ac:dyDescent="0.3">
      <c r="A1542" t="s">
        <v>2329</v>
      </c>
      <c r="B1542" t="s">
        <v>2467</v>
      </c>
      <c r="C1542" t="s">
        <v>23</v>
      </c>
      <c r="D1542" t="s">
        <v>24</v>
      </c>
      <c r="E1542" t="s">
        <v>25</v>
      </c>
      <c r="F1542">
        <v>1</v>
      </c>
      <c r="G1542">
        <v>9791136932648</v>
      </c>
      <c r="H1542" t="s">
        <v>32</v>
      </c>
      <c r="I1542" t="s">
        <v>832</v>
      </c>
      <c r="J1542" t="s">
        <v>34</v>
      </c>
      <c r="K1542" t="s">
        <v>29</v>
      </c>
      <c r="L1542">
        <v>0</v>
      </c>
      <c r="M1542" t="s">
        <v>47</v>
      </c>
      <c r="N1542">
        <v>0</v>
      </c>
      <c r="O1542">
        <v>0</v>
      </c>
      <c r="P1542" t="s">
        <v>48</v>
      </c>
      <c r="Q1542" s="2">
        <v>0.7</v>
      </c>
      <c r="R1542">
        <v>0</v>
      </c>
      <c r="V1542" t="str">
        <f>VLOOKUP(H1542,'[1]팀별 출판사'!A:B,2,0)</f>
        <v>소설1팀</v>
      </c>
      <c r="W1542" s="6">
        <f t="shared" si="48"/>
        <v>0</v>
      </c>
      <c r="X1542" s="6">
        <f t="shared" si="49"/>
        <v>0</v>
      </c>
    </row>
    <row r="1543" spans="1:24" x14ac:dyDescent="0.3">
      <c r="A1543" t="s">
        <v>2329</v>
      </c>
      <c r="B1543" t="s">
        <v>2468</v>
      </c>
      <c r="C1543" t="s">
        <v>23</v>
      </c>
      <c r="D1543" t="s">
        <v>24</v>
      </c>
      <c r="E1543" t="s">
        <v>25</v>
      </c>
      <c r="F1543">
        <v>1</v>
      </c>
      <c r="G1543">
        <v>9791133144914</v>
      </c>
      <c r="H1543" t="s">
        <v>32</v>
      </c>
      <c r="I1543" t="s">
        <v>1822</v>
      </c>
      <c r="J1543" t="s">
        <v>1192</v>
      </c>
      <c r="K1543" t="s">
        <v>29</v>
      </c>
      <c r="L1543">
        <v>0</v>
      </c>
      <c r="M1543" t="s">
        <v>29</v>
      </c>
      <c r="N1543">
        <v>0</v>
      </c>
      <c r="O1543">
        <v>0</v>
      </c>
      <c r="P1543" t="s">
        <v>30</v>
      </c>
      <c r="Q1543" s="2">
        <v>0.7</v>
      </c>
      <c r="R1543">
        <v>0</v>
      </c>
      <c r="V1543" t="str">
        <f>VLOOKUP(H1543,'[1]팀별 출판사'!A:B,2,0)</f>
        <v>소설1팀</v>
      </c>
      <c r="W1543" s="6">
        <f t="shared" si="48"/>
        <v>0</v>
      </c>
      <c r="X1543" s="6">
        <f t="shared" si="49"/>
        <v>0</v>
      </c>
    </row>
    <row r="1544" spans="1:24" x14ac:dyDescent="0.3">
      <c r="A1544" t="s">
        <v>2329</v>
      </c>
      <c r="B1544" t="s">
        <v>2469</v>
      </c>
      <c r="C1544" t="s">
        <v>23</v>
      </c>
      <c r="D1544" t="s">
        <v>24</v>
      </c>
      <c r="E1544" t="s">
        <v>25</v>
      </c>
      <c r="F1544">
        <v>1</v>
      </c>
      <c r="G1544">
        <v>9791136965455</v>
      </c>
      <c r="H1544" t="s">
        <v>26</v>
      </c>
      <c r="I1544" t="s">
        <v>472</v>
      </c>
      <c r="J1544" t="s">
        <v>157</v>
      </c>
      <c r="K1544" t="s">
        <v>29</v>
      </c>
      <c r="L1544">
        <v>0</v>
      </c>
      <c r="M1544" t="s">
        <v>152</v>
      </c>
      <c r="N1544">
        <v>0</v>
      </c>
      <c r="O1544">
        <v>0</v>
      </c>
      <c r="P1544" t="s">
        <v>153</v>
      </c>
      <c r="Q1544" s="2">
        <v>0.7</v>
      </c>
      <c r="R1544">
        <v>0</v>
      </c>
      <c r="V1544" t="str">
        <f>VLOOKUP(H1544,'[1]팀별 출판사'!A:B,2,0)</f>
        <v>소설1팀</v>
      </c>
      <c r="W1544" s="6">
        <f t="shared" si="48"/>
        <v>0</v>
      </c>
      <c r="X1544" s="6">
        <f t="shared" si="49"/>
        <v>0</v>
      </c>
    </row>
    <row r="1545" spans="1:24" x14ac:dyDescent="0.3">
      <c r="A1545" t="s">
        <v>2329</v>
      </c>
      <c r="B1545" t="s">
        <v>2470</v>
      </c>
      <c r="C1545" t="s">
        <v>23</v>
      </c>
      <c r="D1545" t="s">
        <v>24</v>
      </c>
      <c r="E1545" t="s">
        <v>25</v>
      </c>
      <c r="F1545">
        <v>1</v>
      </c>
      <c r="G1545">
        <v>9791194664369</v>
      </c>
      <c r="H1545" t="s">
        <v>79</v>
      </c>
      <c r="I1545" t="s">
        <v>156</v>
      </c>
      <c r="J1545" t="s">
        <v>157</v>
      </c>
      <c r="K1545" t="s">
        <v>29</v>
      </c>
      <c r="L1545">
        <v>0</v>
      </c>
      <c r="M1545" t="s">
        <v>152</v>
      </c>
      <c r="N1545">
        <v>0</v>
      </c>
      <c r="O1545">
        <v>0</v>
      </c>
      <c r="P1545" t="s">
        <v>153</v>
      </c>
      <c r="Q1545" s="2">
        <v>0.7</v>
      </c>
      <c r="R1545">
        <v>0</v>
      </c>
      <c r="V1545" t="str">
        <f>VLOOKUP(H1545,'[1]팀별 출판사'!A:B,2,0)</f>
        <v>소설1팀</v>
      </c>
      <c r="W1545" s="6">
        <f t="shared" si="48"/>
        <v>0</v>
      </c>
      <c r="X1545" s="6">
        <f t="shared" si="49"/>
        <v>0</v>
      </c>
    </row>
    <row r="1546" spans="1:24" x14ac:dyDescent="0.3">
      <c r="A1546" t="s">
        <v>2329</v>
      </c>
      <c r="B1546" t="s">
        <v>2471</v>
      </c>
      <c r="C1546" t="s">
        <v>23</v>
      </c>
      <c r="D1546" t="s">
        <v>24</v>
      </c>
      <c r="E1546" t="s">
        <v>25</v>
      </c>
      <c r="F1546">
        <v>1</v>
      </c>
      <c r="G1546">
        <v>9791136941862</v>
      </c>
      <c r="H1546" t="s">
        <v>26</v>
      </c>
      <c r="I1546" t="s">
        <v>894</v>
      </c>
      <c r="J1546" t="s">
        <v>81</v>
      </c>
      <c r="K1546" t="s">
        <v>29</v>
      </c>
      <c r="L1546">
        <v>0</v>
      </c>
      <c r="M1546" t="s">
        <v>29</v>
      </c>
      <c r="N1546">
        <v>0</v>
      </c>
      <c r="O1546">
        <v>0</v>
      </c>
      <c r="P1546" t="s">
        <v>30</v>
      </c>
      <c r="Q1546" s="2">
        <v>0.7</v>
      </c>
      <c r="R1546">
        <v>0</v>
      </c>
      <c r="V1546" t="str">
        <f>VLOOKUP(H1546,'[1]팀별 출판사'!A:B,2,0)</f>
        <v>소설1팀</v>
      </c>
      <c r="W1546" s="6">
        <f t="shared" si="48"/>
        <v>0</v>
      </c>
      <c r="X1546" s="6">
        <f t="shared" si="49"/>
        <v>0</v>
      </c>
    </row>
    <row r="1547" spans="1:24" x14ac:dyDescent="0.3">
      <c r="A1547" t="s">
        <v>2329</v>
      </c>
      <c r="B1547" t="s">
        <v>2472</v>
      </c>
      <c r="C1547" t="s">
        <v>23</v>
      </c>
      <c r="D1547" t="s">
        <v>24</v>
      </c>
      <c r="E1547" t="s">
        <v>25</v>
      </c>
      <c r="F1547">
        <v>1</v>
      </c>
      <c r="G1547">
        <v>9791133105441</v>
      </c>
      <c r="H1547" t="s">
        <v>32</v>
      </c>
      <c r="I1547" t="s">
        <v>116</v>
      </c>
      <c r="J1547" t="s">
        <v>88</v>
      </c>
      <c r="K1547" t="s">
        <v>29</v>
      </c>
      <c r="L1547">
        <v>0</v>
      </c>
      <c r="M1547" t="s">
        <v>29</v>
      </c>
      <c r="N1547">
        <v>0</v>
      </c>
      <c r="O1547">
        <v>0</v>
      </c>
      <c r="P1547" t="s">
        <v>30</v>
      </c>
      <c r="Q1547" s="2">
        <v>0.7</v>
      </c>
      <c r="R1547">
        <v>0</v>
      </c>
      <c r="V1547" t="str">
        <f>VLOOKUP(H1547,'[1]팀별 출판사'!A:B,2,0)</f>
        <v>소설1팀</v>
      </c>
      <c r="W1547" s="6">
        <f t="shared" si="48"/>
        <v>0</v>
      </c>
      <c r="X1547" s="6">
        <f t="shared" si="49"/>
        <v>0</v>
      </c>
    </row>
    <row r="1548" spans="1:24" x14ac:dyDescent="0.3">
      <c r="A1548" t="s">
        <v>2329</v>
      </c>
      <c r="B1548" t="s">
        <v>2473</v>
      </c>
      <c r="C1548" t="s">
        <v>23</v>
      </c>
      <c r="D1548" t="s">
        <v>24</v>
      </c>
      <c r="E1548" t="s">
        <v>25</v>
      </c>
      <c r="F1548">
        <v>1</v>
      </c>
      <c r="G1548">
        <v>9791136934925</v>
      </c>
      <c r="H1548" t="s">
        <v>32</v>
      </c>
      <c r="I1548" t="s">
        <v>385</v>
      </c>
      <c r="J1548" t="s">
        <v>126</v>
      </c>
      <c r="K1548" t="s">
        <v>29</v>
      </c>
      <c r="L1548">
        <v>0</v>
      </c>
      <c r="M1548" t="s">
        <v>127</v>
      </c>
      <c r="N1548">
        <v>0</v>
      </c>
      <c r="O1548">
        <v>0</v>
      </c>
      <c r="P1548" t="s">
        <v>128</v>
      </c>
      <c r="Q1548" s="2">
        <v>0.7</v>
      </c>
      <c r="R1548">
        <v>0</v>
      </c>
      <c r="V1548" t="str">
        <f>VLOOKUP(H1548,'[1]팀별 출판사'!A:B,2,0)</f>
        <v>소설1팀</v>
      </c>
      <c r="W1548" s="6">
        <f t="shared" si="48"/>
        <v>0</v>
      </c>
      <c r="X1548" s="6">
        <f t="shared" si="49"/>
        <v>0</v>
      </c>
    </row>
    <row r="1549" spans="1:24" x14ac:dyDescent="0.3">
      <c r="A1549" t="s">
        <v>2329</v>
      </c>
      <c r="B1549" t="s">
        <v>2474</v>
      </c>
      <c r="C1549" t="s">
        <v>23</v>
      </c>
      <c r="D1549" t="s">
        <v>24</v>
      </c>
      <c r="E1549" t="s">
        <v>25</v>
      </c>
      <c r="F1549">
        <v>1</v>
      </c>
      <c r="G1549" t="s">
        <v>2475</v>
      </c>
      <c r="H1549" t="s">
        <v>32</v>
      </c>
      <c r="I1549" t="s">
        <v>2476</v>
      </c>
      <c r="J1549" t="s">
        <v>220</v>
      </c>
      <c r="K1549" t="s">
        <v>29</v>
      </c>
      <c r="L1549">
        <v>0</v>
      </c>
      <c r="M1549" t="s">
        <v>29</v>
      </c>
      <c r="N1549">
        <v>0</v>
      </c>
      <c r="O1549">
        <v>0</v>
      </c>
      <c r="P1549" t="s">
        <v>30</v>
      </c>
      <c r="Q1549" s="2">
        <v>0.7</v>
      </c>
      <c r="R1549">
        <v>0</v>
      </c>
      <c r="V1549" t="str">
        <f>VLOOKUP(H1549,'[1]팀별 출판사'!A:B,2,0)</f>
        <v>소설1팀</v>
      </c>
      <c r="W1549" s="6">
        <f t="shared" si="48"/>
        <v>0</v>
      </c>
      <c r="X1549" s="6">
        <f t="shared" si="49"/>
        <v>0</v>
      </c>
    </row>
    <row r="1550" spans="1:24" x14ac:dyDescent="0.3">
      <c r="A1550" t="s">
        <v>2329</v>
      </c>
      <c r="B1550" t="s">
        <v>2477</v>
      </c>
      <c r="C1550" t="s">
        <v>23</v>
      </c>
      <c r="D1550" t="s">
        <v>24</v>
      </c>
      <c r="E1550" t="s">
        <v>25</v>
      </c>
      <c r="F1550">
        <v>1</v>
      </c>
      <c r="G1550">
        <v>9791136903808</v>
      </c>
      <c r="H1550" t="s">
        <v>26</v>
      </c>
      <c r="I1550" t="s">
        <v>2478</v>
      </c>
      <c r="J1550" t="s">
        <v>256</v>
      </c>
      <c r="K1550" t="s">
        <v>29</v>
      </c>
      <c r="L1550" s="1">
        <v>3200</v>
      </c>
      <c r="M1550" t="s">
        <v>29</v>
      </c>
      <c r="N1550" s="1">
        <v>3200</v>
      </c>
      <c r="O1550" s="1">
        <v>3200</v>
      </c>
      <c r="P1550" t="s">
        <v>30</v>
      </c>
      <c r="Q1550" s="2">
        <v>0.7</v>
      </c>
      <c r="R1550" s="1">
        <v>2240</v>
      </c>
      <c r="S1550" t="s">
        <v>29</v>
      </c>
      <c r="T1550" s="1">
        <v>2240</v>
      </c>
      <c r="V1550" t="str">
        <f>VLOOKUP(H1550,'[1]팀별 출판사'!A:B,2,0)</f>
        <v>소설1팀</v>
      </c>
      <c r="W1550" s="6">
        <f t="shared" si="48"/>
        <v>0</v>
      </c>
      <c r="X1550" s="6">
        <f t="shared" si="49"/>
        <v>2240</v>
      </c>
    </row>
    <row r="1551" spans="1:24" x14ac:dyDescent="0.3">
      <c r="A1551" t="s">
        <v>2329</v>
      </c>
      <c r="B1551" t="s">
        <v>2479</v>
      </c>
      <c r="C1551" t="s">
        <v>23</v>
      </c>
      <c r="D1551" t="s">
        <v>24</v>
      </c>
      <c r="E1551" t="s">
        <v>25</v>
      </c>
      <c r="F1551">
        <v>1</v>
      </c>
      <c r="G1551">
        <v>9791136928467</v>
      </c>
      <c r="H1551" t="s">
        <v>26</v>
      </c>
      <c r="I1551" t="s">
        <v>2480</v>
      </c>
      <c r="J1551" t="s">
        <v>1348</v>
      </c>
      <c r="K1551" t="s">
        <v>29</v>
      </c>
      <c r="L1551" s="1">
        <v>3200</v>
      </c>
      <c r="M1551" t="s">
        <v>29</v>
      </c>
      <c r="N1551" s="1">
        <v>3200</v>
      </c>
      <c r="O1551" s="1">
        <v>3200</v>
      </c>
      <c r="P1551" t="s">
        <v>30</v>
      </c>
      <c r="Q1551" s="2">
        <v>0.7</v>
      </c>
      <c r="R1551" s="1">
        <v>2240</v>
      </c>
      <c r="S1551" t="s">
        <v>29</v>
      </c>
      <c r="T1551" s="1">
        <v>2240</v>
      </c>
      <c r="V1551" t="str">
        <f>VLOOKUP(H1551,'[1]팀별 출판사'!A:B,2,0)</f>
        <v>소설1팀</v>
      </c>
      <c r="W1551" s="6">
        <f t="shared" si="48"/>
        <v>0</v>
      </c>
      <c r="X1551" s="6">
        <f t="shared" si="49"/>
        <v>2240</v>
      </c>
    </row>
    <row r="1552" spans="1:24" x14ac:dyDescent="0.3">
      <c r="A1552" t="s">
        <v>2329</v>
      </c>
      <c r="B1552" t="s">
        <v>2481</v>
      </c>
      <c r="C1552" t="s">
        <v>23</v>
      </c>
      <c r="D1552" t="s">
        <v>24</v>
      </c>
      <c r="E1552" t="s">
        <v>25</v>
      </c>
      <c r="F1552">
        <v>1</v>
      </c>
      <c r="G1552">
        <v>9791175301634</v>
      </c>
      <c r="H1552" t="s">
        <v>26</v>
      </c>
      <c r="I1552" t="s">
        <v>2482</v>
      </c>
      <c r="J1552" t="s">
        <v>2483</v>
      </c>
      <c r="K1552" t="s">
        <v>29</v>
      </c>
      <c r="L1552">
        <v>0</v>
      </c>
      <c r="M1552" t="s">
        <v>29</v>
      </c>
      <c r="N1552">
        <v>0</v>
      </c>
      <c r="O1552">
        <v>0</v>
      </c>
      <c r="P1552" t="s">
        <v>30</v>
      </c>
      <c r="Q1552" s="2">
        <v>0.7</v>
      </c>
      <c r="R1552">
        <v>0</v>
      </c>
      <c r="V1552" t="str">
        <f>VLOOKUP(H1552,'[1]팀별 출판사'!A:B,2,0)</f>
        <v>소설1팀</v>
      </c>
      <c r="W1552" s="6">
        <f t="shared" si="48"/>
        <v>0</v>
      </c>
      <c r="X1552" s="6">
        <f t="shared" si="49"/>
        <v>0</v>
      </c>
    </row>
    <row r="1553" spans="1:24" x14ac:dyDescent="0.3">
      <c r="A1553" t="s">
        <v>2329</v>
      </c>
      <c r="B1553" t="s">
        <v>2484</v>
      </c>
      <c r="C1553" t="s">
        <v>23</v>
      </c>
      <c r="D1553" t="s">
        <v>24</v>
      </c>
      <c r="E1553" t="s">
        <v>25</v>
      </c>
      <c r="F1553">
        <v>1</v>
      </c>
      <c r="G1553">
        <v>9791136931382</v>
      </c>
      <c r="H1553" t="s">
        <v>32</v>
      </c>
      <c r="I1553" t="s">
        <v>523</v>
      </c>
      <c r="J1553" t="s">
        <v>46</v>
      </c>
      <c r="K1553" t="s">
        <v>29</v>
      </c>
      <c r="L1553">
        <v>0</v>
      </c>
      <c r="M1553" t="s">
        <v>47</v>
      </c>
      <c r="N1553">
        <v>0</v>
      </c>
      <c r="O1553">
        <v>0</v>
      </c>
      <c r="P1553" t="s">
        <v>48</v>
      </c>
      <c r="Q1553" s="2">
        <v>0.7</v>
      </c>
      <c r="R1553">
        <v>0</v>
      </c>
      <c r="V1553" t="str">
        <f>VLOOKUP(H1553,'[1]팀별 출판사'!A:B,2,0)</f>
        <v>소설1팀</v>
      </c>
      <c r="W1553" s="6">
        <f t="shared" si="48"/>
        <v>0</v>
      </c>
      <c r="X1553" s="6">
        <f t="shared" si="49"/>
        <v>0</v>
      </c>
    </row>
    <row r="1554" spans="1:24" x14ac:dyDescent="0.3">
      <c r="A1554" t="s">
        <v>2329</v>
      </c>
      <c r="B1554" t="s">
        <v>2485</v>
      </c>
      <c r="C1554" t="s">
        <v>23</v>
      </c>
      <c r="D1554" t="s">
        <v>24</v>
      </c>
      <c r="E1554" t="s">
        <v>25</v>
      </c>
      <c r="F1554">
        <v>1</v>
      </c>
      <c r="G1554">
        <v>9791133114245</v>
      </c>
      <c r="H1554" t="s">
        <v>32</v>
      </c>
      <c r="I1554" t="s">
        <v>2141</v>
      </c>
      <c r="J1554" t="s">
        <v>2142</v>
      </c>
      <c r="K1554" t="s">
        <v>29</v>
      </c>
      <c r="L1554">
        <v>0</v>
      </c>
      <c r="M1554" t="s">
        <v>29</v>
      </c>
      <c r="N1554">
        <v>0</v>
      </c>
      <c r="O1554">
        <v>0</v>
      </c>
      <c r="P1554" t="s">
        <v>30</v>
      </c>
      <c r="Q1554" s="2">
        <v>0.7</v>
      </c>
      <c r="R1554">
        <v>0</v>
      </c>
      <c r="V1554" t="str">
        <f>VLOOKUP(H1554,'[1]팀별 출판사'!A:B,2,0)</f>
        <v>소설1팀</v>
      </c>
      <c r="W1554" s="6">
        <f t="shared" si="48"/>
        <v>0</v>
      </c>
      <c r="X1554" s="6">
        <f t="shared" si="49"/>
        <v>0</v>
      </c>
    </row>
    <row r="1555" spans="1:24" x14ac:dyDescent="0.3">
      <c r="A1555" t="s">
        <v>2329</v>
      </c>
      <c r="B1555" t="s">
        <v>2486</v>
      </c>
      <c r="C1555" t="s">
        <v>23</v>
      </c>
      <c r="D1555" t="s">
        <v>24</v>
      </c>
      <c r="E1555" t="s">
        <v>25</v>
      </c>
      <c r="F1555">
        <v>1</v>
      </c>
      <c r="G1555" t="s">
        <v>2146</v>
      </c>
      <c r="H1555" t="s">
        <v>32</v>
      </c>
      <c r="I1555" t="s">
        <v>2147</v>
      </c>
      <c r="J1555" t="s">
        <v>311</v>
      </c>
      <c r="K1555" t="s">
        <v>29</v>
      </c>
      <c r="L1555" s="1">
        <v>3200</v>
      </c>
      <c r="M1555" t="s">
        <v>29</v>
      </c>
      <c r="N1555" s="1">
        <v>3200</v>
      </c>
      <c r="O1555" s="1">
        <v>3200</v>
      </c>
      <c r="P1555" t="s">
        <v>30</v>
      </c>
      <c r="Q1555" s="2">
        <v>0.7</v>
      </c>
      <c r="R1555" s="1">
        <v>2240</v>
      </c>
      <c r="S1555" t="s">
        <v>29</v>
      </c>
      <c r="T1555" s="1">
        <v>2240</v>
      </c>
      <c r="V1555" t="str">
        <f>VLOOKUP(H1555,'[1]팀별 출판사'!A:B,2,0)</f>
        <v>소설1팀</v>
      </c>
      <c r="W1555" s="6">
        <f t="shared" si="48"/>
        <v>0</v>
      </c>
      <c r="X1555" s="6">
        <f t="shared" si="49"/>
        <v>2240</v>
      </c>
    </row>
    <row r="1556" spans="1:24" x14ac:dyDescent="0.3">
      <c r="A1556" t="s">
        <v>2329</v>
      </c>
      <c r="B1556" t="s">
        <v>2487</v>
      </c>
      <c r="C1556" t="s">
        <v>23</v>
      </c>
      <c r="D1556" t="s">
        <v>24</v>
      </c>
      <c r="E1556" t="s">
        <v>25</v>
      </c>
      <c r="F1556">
        <v>1</v>
      </c>
      <c r="G1556" t="s">
        <v>2488</v>
      </c>
      <c r="H1556" t="s">
        <v>32</v>
      </c>
      <c r="I1556" t="s">
        <v>2489</v>
      </c>
      <c r="J1556" t="s">
        <v>311</v>
      </c>
      <c r="K1556" t="s">
        <v>29</v>
      </c>
      <c r="L1556" s="1">
        <v>3200</v>
      </c>
      <c r="M1556" t="s">
        <v>29</v>
      </c>
      <c r="N1556" s="1">
        <v>3200</v>
      </c>
      <c r="O1556" s="1">
        <v>3200</v>
      </c>
      <c r="P1556" t="s">
        <v>30</v>
      </c>
      <c r="Q1556" s="2">
        <v>0.7</v>
      </c>
      <c r="R1556" s="1">
        <v>2240</v>
      </c>
      <c r="S1556" t="s">
        <v>29</v>
      </c>
      <c r="T1556" s="1">
        <v>2240</v>
      </c>
      <c r="V1556" t="str">
        <f>VLOOKUP(H1556,'[1]팀별 출판사'!A:B,2,0)</f>
        <v>소설1팀</v>
      </c>
      <c r="W1556" s="6">
        <f t="shared" si="48"/>
        <v>0</v>
      </c>
      <c r="X1556" s="6">
        <f t="shared" si="49"/>
        <v>2240</v>
      </c>
    </row>
    <row r="1557" spans="1:24" x14ac:dyDescent="0.3">
      <c r="A1557" t="s">
        <v>2329</v>
      </c>
      <c r="B1557" t="s">
        <v>2490</v>
      </c>
      <c r="C1557" t="s">
        <v>23</v>
      </c>
      <c r="D1557" t="s">
        <v>24</v>
      </c>
      <c r="E1557" t="s">
        <v>25</v>
      </c>
      <c r="F1557">
        <v>1</v>
      </c>
      <c r="G1557">
        <v>9791136988256</v>
      </c>
      <c r="H1557" t="s">
        <v>26</v>
      </c>
      <c r="I1557" t="s">
        <v>2353</v>
      </c>
      <c r="J1557" t="s">
        <v>28</v>
      </c>
      <c r="K1557" t="s">
        <v>29</v>
      </c>
      <c r="L1557" s="1">
        <v>3200</v>
      </c>
      <c r="M1557" t="s">
        <v>29</v>
      </c>
      <c r="N1557" s="1">
        <v>3200</v>
      </c>
      <c r="O1557" s="1">
        <v>3200</v>
      </c>
      <c r="P1557" t="s">
        <v>30</v>
      </c>
      <c r="Q1557" s="2">
        <v>0.7</v>
      </c>
      <c r="R1557" s="1">
        <v>2240</v>
      </c>
      <c r="S1557" t="s">
        <v>29</v>
      </c>
      <c r="T1557" s="1">
        <v>2240</v>
      </c>
      <c r="V1557" t="str">
        <f>VLOOKUP(H1557,'[1]팀별 출판사'!A:B,2,0)</f>
        <v>소설1팀</v>
      </c>
      <c r="W1557" s="6">
        <f t="shared" si="48"/>
        <v>0</v>
      </c>
      <c r="X1557" s="6">
        <f t="shared" si="49"/>
        <v>2240</v>
      </c>
    </row>
    <row r="1558" spans="1:24" x14ac:dyDescent="0.3">
      <c r="A1558" t="s">
        <v>2329</v>
      </c>
      <c r="B1558" t="s">
        <v>2491</v>
      </c>
      <c r="C1558" t="s">
        <v>23</v>
      </c>
      <c r="D1558" t="s">
        <v>24</v>
      </c>
      <c r="E1558" t="s">
        <v>25</v>
      </c>
      <c r="F1558">
        <v>1</v>
      </c>
      <c r="G1558">
        <v>9791136950819</v>
      </c>
      <c r="H1558" t="s">
        <v>26</v>
      </c>
      <c r="I1558" t="s">
        <v>420</v>
      </c>
      <c r="J1558" t="s">
        <v>421</v>
      </c>
      <c r="K1558" t="s">
        <v>29</v>
      </c>
      <c r="L1558">
        <v>0</v>
      </c>
      <c r="M1558" t="s">
        <v>29</v>
      </c>
      <c r="N1558">
        <v>0</v>
      </c>
      <c r="O1558">
        <v>0</v>
      </c>
      <c r="P1558" t="s">
        <v>30</v>
      </c>
      <c r="Q1558" s="2">
        <v>0.7</v>
      </c>
      <c r="R1558">
        <v>0</v>
      </c>
      <c r="V1558" t="str">
        <f>VLOOKUP(H1558,'[1]팀별 출판사'!A:B,2,0)</f>
        <v>소설1팀</v>
      </c>
      <c r="W1558" s="6">
        <f t="shared" si="48"/>
        <v>0</v>
      </c>
      <c r="X1558" s="6">
        <f t="shared" si="49"/>
        <v>0</v>
      </c>
    </row>
    <row r="1559" spans="1:24" x14ac:dyDescent="0.3">
      <c r="A1559" t="s">
        <v>2329</v>
      </c>
      <c r="B1559" t="s">
        <v>2492</v>
      </c>
      <c r="C1559" t="s">
        <v>23</v>
      </c>
      <c r="D1559" t="s">
        <v>24</v>
      </c>
      <c r="E1559" t="s">
        <v>25</v>
      </c>
      <c r="F1559">
        <v>1</v>
      </c>
      <c r="G1559">
        <v>9791173785153</v>
      </c>
      <c r="H1559" t="s">
        <v>26</v>
      </c>
      <c r="I1559" t="s">
        <v>2493</v>
      </c>
      <c r="J1559" t="s">
        <v>62</v>
      </c>
      <c r="K1559" t="s">
        <v>29</v>
      </c>
      <c r="L1559" s="1">
        <v>3200</v>
      </c>
      <c r="M1559" t="s">
        <v>29</v>
      </c>
      <c r="N1559" s="1">
        <v>3200</v>
      </c>
      <c r="O1559" s="1">
        <v>3200</v>
      </c>
      <c r="P1559" t="s">
        <v>30</v>
      </c>
      <c r="Q1559" s="2">
        <v>0.7</v>
      </c>
      <c r="R1559" s="1">
        <v>2240</v>
      </c>
      <c r="S1559" t="s">
        <v>29</v>
      </c>
      <c r="T1559" s="1">
        <v>2240</v>
      </c>
      <c r="V1559" t="str">
        <f>VLOOKUP(H1559,'[1]팀별 출판사'!A:B,2,0)</f>
        <v>소설1팀</v>
      </c>
      <c r="W1559" s="6">
        <f t="shared" si="48"/>
        <v>0</v>
      </c>
      <c r="X1559" s="6">
        <f t="shared" si="49"/>
        <v>2240</v>
      </c>
    </row>
    <row r="1560" spans="1:24" x14ac:dyDescent="0.3">
      <c r="A1560" t="s">
        <v>2329</v>
      </c>
      <c r="B1560" t="s">
        <v>2494</v>
      </c>
      <c r="C1560" t="s">
        <v>23</v>
      </c>
      <c r="D1560" t="s">
        <v>24</v>
      </c>
      <c r="E1560" t="s">
        <v>25</v>
      </c>
      <c r="F1560">
        <v>1</v>
      </c>
      <c r="G1560">
        <v>9791136925800</v>
      </c>
      <c r="H1560" t="s">
        <v>26</v>
      </c>
      <c r="I1560" t="s">
        <v>1856</v>
      </c>
      <c r="J1560" t="s">
        <v>813</v>
      </c>
      <c r="K1560" t="s">
        <v>29</v>
      </c>
      <c r="L1560">
        <v>0</v>
      </c>
      <c r="M1560" t="s">
        <v>29</v>
      </c>
      <c r="N1560">
        <v>0</v>
      </c>
      <c r="O1560">
        <v>0</v>
      </c>
      <c r="P1560" t="s">
        <v>30</v>
      </c>
      <c r="Q1560" s="2">
        <v>0.7</v>
      </c>
      <c r="R1560">
        <v>0</v>
      </c>
      <c r="V1560" t="str">
        <f>VLOOKUP(H1560,'[1]팀별 출판사'!A:B,2,0)</f>
        <v>소설1팀</v>
      </c>
      <c r="W1560" s="6">
        <f t="shared" si="48"/>
        <v>0</v>
      </c>
      <c r="X1560" s="6">
        <f t="shared" si="49"/>
        <v>0</v>
      </c>
    </row>
    <row r="1561" spans="1:24" x14ac:dyDescent="0.3">
      <c r="A1561" t="s">
        <v>2329</v>
      </c>
      <c r="B1561" t="s">
        <v>2495</v>
      </c>
      <c r="C1561" t="s">
        <v>23</v>
      </c>
      <c r="D1561" t="s">
        <v>24</v>
      </c>
      <c r="E1561" t="s">
        <v>25</v>
      </c>
      <c r="F1561">
        <v>1</v>
      </c>
      <c r="G1561">
        <v>9791133138036</v>
      </c>
      <c r="H1561" t="s">
        <v>32</v>
      </c>
      <c r="I1561" t="s">
        <v>812</v>
      </c>
      <c r="J1561" t="s">
        <v>813</v>
      </c>
      <c r="K1561" t="s">
        <v>29</v>
      </c>
      <c r="L1561">
        <v>0</v>
      </c>
      <c r="M1561" t="s">
        <v>29</v>
      </c>
      <c r="N1561">
        <v>0</v>
      </c>
      <c r="O1561">
        <v>0</v>
      </c>
      <c r="P1561" t="s">
        <v>30</v>
      </c>
      <c r="Q1561" s="2">
        <v>0.7</v>
      </c>
      <c r="R1561">
        <v>0</v>
      </c>
      <c r="V1561" t="str">
        <f>VLOOKUP(H1561,'[1]팀별 출판사'!A:B,2,0)</f>
        <v>소설1팀</v>
      </c>
      <c r="W1561" s="6">
        <f t="shared" si="48"/>
        <v>0</v>
      </c>
      <c r="X1561" s="6">
        <f t="shared" si="49"/>
        <v>0</v>
      </c>
    </row>
    <row r="1562" spans="1:24" x14ac:dyDescent="0.3">
      <c r="A1562" t="s">
        <v>2329</v>
      </c>
      <c r="B1562" t="s">
        <v>2496</v>
      </c>
      <c r="C1562" t="s">
        <v>23</v>
      </c>
      <c r="D1562" t="s">
        <v>24</v>
      </c>
      <c r="E1562" t="s">
        <v>25</v>
      </c>
      <c r="F1562">
        <v>1</v>
      </c>
      <c r="G1562">
        <v>9791133133512</v>
      </c>
      <c r="H1562" t="s">
        <v>32</v>
      </c>
      <c r="I1562" t="s">
        <v>2497</v>
      </c>
      <c r="J1562" t="s">
        <v>813</v>
      </c>
      <c r="K1562" t="s">
        <v>29</v>
      </c>
      <c r="L1562">
        <v>0</v>
      </c>
      <c r="M1562" t="s">
        <v>29</v>
      </c>
      <c r="N1562">
        <v>0</v>
      </c>
      <c r="O1562">
        <v>0</v>
      </c>
      <c r="P1562" t="s">
        <v>30</v>
      </c>
      <c r="Q1562" s="2">
        <v>0.7</v>
      </c>
      <c r="R1562">
        <v>0</v>
      </c>
      <c r="V1562" t="str">
        <f>VLOOKUP(H1562,'[1]팀별 출판사'!A:B,2,0)</f>
        <v>소설1팀</v>
      </c>
      <c r="W1562" s="6">
        <f t="shared" si="48"/>
        <v>0</v>
      </c>
      <c r="X1562" s="6">
        <f t="shared" si="49"/>
        <v>0</v>
      </c>
    </row>
    <row r="1563" spans="1:24" x14ac:dyDescent="0.3">
      <c r="A1563" t="s">
        <v>2329</v>
      </c>
      <c r="B1563" t="s">
        <v>2498</v>
      </c>
      <c r="C1563" t="s">
        <v>23</v>
      </c>
      <c r="D1563" t="s">
        <v>24</v>
      </c>
      <c r="E1563" t="s">
        <v>25</v>
      </c>
      <c r="F1563">
        <v>1</v>
      </c>
      <c r="G1563">
        <v>9791133133437</v>
      </c>
      <c r="H1563" t="s">
        <v>32</v>
      </c>
      <c r="I1563" t="s">
        <v>1142</v>
      </c>
      <c r="J1563" t="s">
        <v>813</v>
      </c>
      <c r="K1563" t="s">
        <v>29</v>
      </c>
      <c r="L1563">
        <v>0</v>
      </c>
      <c r="M1563" t="s">
        <v>29</v>
      </c>
      <c r="N1563">
        <v>0</v>
      </c>
      <c r="O1563">
        <v>0</v>
      </c>
      <c r="P1563" t="s">
        <v>30</v>
      </c>
      <c r="Q1563" s="2">
        <v>0.7</v>
      </c>
      <c r="R1563">
        <v>0</v>
      </c>
      <c r="V1563" t="str">
        <f>VLOOKUP(H1563,'[1]팀별 출판사'!A:B,2,0)</f>
        <v>소설1팀</v>
      </c>
      <c r="W1563" s="6">
        <f t="shared" si="48"/>
        <v>0</v>
      </c>
      <c r="X1563" s="6">
        <f t="shared" si="49"/>
        <v>0</v>
      </c>
    </row>
    <row r="1564" spans="1:24" x14ac:dyDescent="0.3">
      <c r="A1564" t="s">
        <v>2329</v>
      </c>
      <c r="B1564" t="s">
        <v>2499</v>
      </c>
      <c r="C1564" t="s">
        <v>23</v>
      </c>
      <c r="D1564" t="s">
        <v>24</v>
      </c>
      <c r="E1564" t="s">
        <v>25</v>
      </c>
      <c r="F1564">
        <v>1</v>
      </c>
      <c r="G1564">
        <v>9791136903754</v>
      </c>
      <c r="H1564" t="s">
        <v>26</v>
      </c>
      <c r="I1564" t="s">
        <v>361</v>
      </c>
      <c r="J1564" t="s">
        <v>256</v>
      </c>
      <c r="K1564" t="s">
        <v>29</v>
      </c>
      <c r="L1564">
        <v>0</v>
      </c>
      <c r="M1564" t="s">
        <v>29</v>
      </c>
      <c r="N1564">
        <v>0</v>
      </c>
      <c r="O1564">
        <v>0</v>
      </c>
      <c r="P1564" t="s">
        <v>30</v>
      </c>
      <c r="Q1564" s="2">
        <v>0.7</v>
      </c>
      <c r="R1564">
        <v>0</v>
      </c>
      <c r="V1564" t="str">
        <f>VLOOKUP(H1564,'[1]팀별 출판사'!A:B,2,0)</f>
        <v>소설1팀</v>
      </c>
      <c r="W1564" s="6">
        <f t="shared" si="48"/>
        <v>0</v>
      </c>
      <c r="X1564" s="6">
        <f t="shared" si="49"/>
        <v>0</v>
      </c>
    </row>
    <row r="1565" spans="1:24" x14ac:dyDescent="0.3">
      <c r="A1565" t="s">
        <v>2329</v>
      </c>
      <c r="B1565" t="s">
        <v>2500</v>
      </c>
      <c r="C1565" t="s">
        <v>23</v>
      </c>
      <c r="D1565" t="s">
        <v>24</v>
      </c>
      <c r="E1565" t="s">
        <v>25</v>
      </c>
      <c r="F1565">
        <v>1</v>
      </c>
      <c r="G1565">
        <v>9791136912732</v>
      </c>
      <c r="H1565" t="s">
        <v>26</v>
      </c>
      <c r="I1565" t="s">
        <v>1125</v>
      </c>
      <c r="J1565" t="s">
        <v>256</v>
      </c>
      <c r="K1565" t="s">
        <v>29</v>
      </c>
      <c r="L1565">
        <v>0</v>
      </c>
      <c r="M1565" t="s">
        <v>29</v>
      </c>
      <c r="N1565">
        <v>0</v>
      </c>
      <c r="O1565">
        <v>0</v>
      </c>
      <c r="P1565" t="s">
        <v>30</v>
      </c>
      <c r="Q1565" s="2">
        <v>0.7</v>
      </c>
      <c r="R1565">
        <v>0</v>
      </c>
      <c r="V1565" t="str">
        <f>VLOOKUP(H1565,'[1]팀별 출판사'!A:B,2,0)</f>
        <v>소설1팀</v>
      </c>
      <c r="W1565" s="6">
        <f t="shared" si="48"/>
        <v>0</v>
      </c>
      <c r="X1565" s="6">
        <f t="shared" si="49"/>
        <v>0</v>
      </c>
    </row>
    <row r="1566" spans="1:24" x14ac:dyDescent="0.3">
      <c r="A1566" t="s">
        <v>2329</v>
      </c>
      <c r="B1566" t="s">
        <v>2501</v>
      </c>
      <c r="C1566" t="s">
        <v>23</v>
      </c>
      <c r="D1566" t="s">
        <v>24</v>
      </c>
      <c r="E1566" t="s">
        <v>25</v>
      </c>
      <c r="F1566">
        <v>1</v>
      </c>
      <c r="G1566">
        <v>9791136925961</v>
      </c>
      <c r="H1566" t="s">
        <v>26</v>
      </c>
      <c r="I1566" t="s">
        <v>2502</v>
      </c>
      <c r="J1566" t="s">
        <v>965</v>
      </c>
      <c r="K1566" t="s">
        <v>29</v>
      </c>
      <c r="L1566">
        <v>0</v>
      </c>
      <c r="M1566" t="s">
        <v>29</v>
      </c>
      <c r="N1566">
        <v>0</v>
      </c>
      <c r="O1566">
        <v>0</v>
      </c>
      <c r="P1566" t="s">
        <v>30</v>
      </c>
      <c r="Q1566" s="2">
        <v>0.7</v>
      </c>
      <c r="R1566">
        <v>0</v>
      </c>
      <c r="V1566" t="str">
        <f>VLOOKUP(H1566,'[1]팀별 출판사'!A:B,2,0)</f>
        <v>소설1팀</v>
      </c>
      <c r="W1566" s="6">
        <f t="shared" si="48"/>
        <v>0</v>
      </c>
      <c r="X1566" s="6">
        <f t="shared" si="49"/>
        <v>0</v>
      </c>
    </row>
    <row r="1567" spans="1:24" x14ac:dyDescent="0.3">
      <c r="A1567" t="s">
        <v>2329</v>
      </c>
      <c r="B1567" t="s">
        <v>2503</v>
      </c>
      <c r="C1567" t="s">
        <v>23</v>
      </c>
      <c r="D1567" t="s">
        <v>24</v>
      </c>
      <c r="E1567" t="s">
        <v>25</v>
      </c>
      <c r="F1567">
        <v>1</v>
      </c>
      <c r="G1567" t="s">
        <v>1269</v>
      </c>
      <c r="H1567" t="s">
        <v>32</v>
      </c>
      <c r="I1567" t="s">
        <v>1270</v>
      </c>
      <c r="J1567" t="s">
        <v>1271</v>
      </c>
      <c r="K1567" t="s">
        <v>29</v>
      </c>
      <c r="L1567">
        <v>0</v>
      </c>
      <c r="M1567" t="s">
        <v>29</v>
      </c>
      <c r="N1567">
        <v>0</v>
      </c>
      <c r="O1567">
        <v>0</v>
      </c>
      <c r="P1567" t="s">
        <v>30</v>
      </c>
      <c r="Q1567" s="2">
        <v>0.7</v>
      </c>
      <c r="R1567">
        <v>0</v>
      </c>
      <c r="V1567" t="str">
        <f>VLOOKUP(H1567,'[1]팀별 출판사'!A:B,2,0)</f>
        <v>소설1팀</v>
      </c>
      <c r="W1567" s="6">
        <f t="shared" si="48"/>
        <v>0</v>
      </c>
      <c r="X1567" s="6">
        <f t="shared" si="49"/>
        <v>0</v>
      </c>
    </row>
    <row r="1568" spans="1:24" x14ac:dyDescent="0.3">
      <c r="A1568" t="s">
        <v>2329</v>
      </c>
      <c r="B1568" t="s">
        <v>2504</v>
      </c>
      <c r="C1568" t="s">
        <v>23</v>
      </c>
      <c r="D1568" t="s">
        <v>24</v>
      </c>
      <c r="E1568" t="s">
        <v>25</v>
      </c>
      <c r="F1568">
        <v>1</v>
      </c>
      <c r="G1568">
        <v>9791133148059</v>
      </c>
      <c r="H1568" t="s">
        <v>32</v>
      </c>
      <c r="I1568" t="s">
        <v>2505</v>
      </c>
      <c r="J1568" t="s">
        <v>284</v>
      </c>
      <c r="K1568" t="s">
        <v>29</v>
      </c>
      <c r="L1568">
        <v>0</v>
      </c>
      <c r="M1568" t="s">
        <v>29</v>
      </c>
      <c r="N1568">
        <v>0</v>
      </c>
      <c r="O1568">
        <v>0</v>
      </c>
      <c r="P1568" t="s">
        <v>30</v>
      </c>
      <c r="Q1568" s="2">
        <v>0.7</v>
      </c>
      <c r="R1568">
        <v>0</v>
      </c>
      <c r="V1568" t="str">
        <f>VLOOKUP(H1568,'[1]팀별 출판사'!A:B,2,0)</f>
        <v>소설1팀</v>
      </c>
      <c r="W1568" s="6">
        <f t="shared" si="48"/>
        <v>0</v>
      </c>
      <c r="X1568" s="6">
        <f t="shared" si="49"/>
        <v>0</v>
      </c>
    </row>
    <row r="1569" spans="1:24" x14ac:dyDescent="0.3">
      <c r="A1569" t="s">
        <v>2329</v>
      </c>
      <c r="B1569" t="s">
        <v>2506</v>
      </c>
      <c r="C1569" t="s">
        <v>23</v>
      </c>
      <c r="D1569" t="s">
        <v>24</v>
      </c>
      <c r="E1569" t="s">
        <v>25</v>
      </c>
      <c r="F1569">
        <v>1</v>
      </c>
      <c r="G1569">
        <v>9791133167227</v>
      </c>
      <c r="H1569" t="s">
        <v>32</v>
      </c>
      <c r="I1569" t="s">
        <v>313</v>
      </c>
      <c r="J1569" t="s">
        <v>160</v>
      </c>
      <c r="K1569" t="s">
        <v>29</v>
      </c>
      <c r="L1569">
        <v>0</v>
      </c>
      <c r="M1569" t="s">
        <v>29</v>
      </c>
      <c r="N1569">
        <v>0</v>
      </c>
      <c r="O1569">
        <v>0</v>
      </c>
      <c r="P1569" t="s">
        <v>30</v>
      </c>
      <c r="Q1569" s="2">
        <v>0.7</v>
      </c>
      <c r="R1569">
        <v>0</v>
      </c>
      <c r="V1569" t="str">
        <f>VLOOKUP(H1569,'[1]팀별 출판사'!A:B,2,0)</f>
        <v>소설1팀</v>
      </c>
      <c r="W1569" s="6">
        <f t="shared" si="48"/>
        <v>0</v>
      </c>
      <c r="X1569" s="6">
        <f t="shared" si="49"/>
        <v>0</v>
      </c>
    </row>
    <row r="1570" spans="1:24" x14ac:dyDescent="0.3">
      <c r="A1570" t="s">
        <v>2329</v>
      </c>
      <c r="B1570" t="s">
        <v>2507</v>
      </c>
      <c r="C1570" t="s">
        <v>23</v>
      </c>
      <c r="D1570" t="s">
        <v>24</v>
      </c>
      <c r="E1570" t="s">
        <v>25</v>
      </c>
      <c r="F1570">
        <v>1</v>
      </c>
      <c r="G1570">
        <v>9791133101801</v>
      </c>
      <c r="H1570" t="s">
        <v>32</v>
      </c>
      <c r="I1570" t="s">
        <v>1173</v>
      </c>
      <c r="J1570" t="s">
        <v>160</v>
      </c>
      <c r="K1570" t="s">
        <v>29</v>
      </c>
      <c r="L1570">
        <v>0</v>
      </c>
      <c r="M1570" t="s">
        <v>29</v>
      </c>
      <c r="N1570">
        <v>0</v>
      </c>
      <c r="O1570">
        <v>0</v>
      </c>
      <c r="P1570" t="s">
        <v>30</v>
      </c>
      <c r="Q1570" s="2">
        <v>0.7</v>
      </c>
      <c r="R1570">
        <v>0</v>
      </c>
      <c r="V1570" t="str">
        <f>VLOOKUP(H1570,'[1]팀별 출판사'!A:B,2,0)</f>
        <v>소설1팀</v>
      </c>
      <c r="W1570" s="6">
        <f t="shared" si="48"/>
        <v>0</v>
      </c>
      <c r="X1570" s="6">
        <f t="shared" si="49"/>
        <v>0</v>
      </c>
    </row>
    <row r="1571" spans="1:24" x14ac:dyDescent="0.3">
      <c r="A1571" t="s">
        <v>2329</v>
      </c>
      <c r="B1571" t="s">
        <v>2508</v>
      </c>
      <c r="C1571" t="s">
        <v>23</v>
      </c>
      <c r="D1571" t="s">
        <v>24</v>
      </c>
      <c r="E1571" t="s">
        <v>25</v>
      </c>
      <c r="F1571">
        <v>1</v>
      </c>
      <c r="G1571">
        <v>9791133101863</v>
      </c>
      <c r="H1571" t="s">
        <v>32</v>
      </c>
      <c r="I1571" t="s">
        <v>159</v>
      </c>
      <c r="J1571" t="s">
        <v>160</v>
      </c>
      <c r="K1571" t="s">
        <v>29</v>
      </c>
      <c r="L1571">
        <v>0</v>
      </c>
      <c r="M1571" t="s">
        <v>29</v>
      </c>
      <c r="N1571">
        <v>0</v>
      </c>
      <c r="O1571">
        <v>0</v>
      </c>
      <c r="P1571" t="s">
        <v>30</v>
      </c>
      <c r="Q1571" s="2">
        <v>0.7</v>
      </c>
      <c r="R1571">
        <v>0</v>
      </c>
      <c r="V1571" t="str">
        <f>VLOOKUP(H1571,'[1]팀별 출판사'!A:B,2,0)</f>
        <v>소설1팀</v>
      </c>
      <c r="W1571" s="6">
        <f t="shared" si="48"/>
        <v>0</v>
      </c>
      <c r="X1571" s="6">
        <f t="shared" si="49"/>
        <v>0</v>
      </c>
    </row>
    <row r="1572" spans="1:24" x14ac:dyDescent="0.3">
      <c r="A1572" t="s">
        <v>2329</v>
      </c>
      <c r="B1572" t="s">
        <v>2509</v>
      </c>
      <c r="C1572" t="s">
        <v>23</v>
      </c>
      <c r="D1572" t="s">
        <v>24</v>
      </c>
      <c r="E1572" t="s">
        <v>25</v>
      </c>
      <c r="F1572">
        <v>1</v>
      </c>
      <c r="G1572">
        <v>9791173782893</v>
      </c>
      <c r="H1572" t="s">
        <v>26</v>
      </c>
      <c r="I1572" t="s">
        <v>2510</v>
      </c>
      <c r="J1572" t="s">
        <v>284</v>
      </c>
      <c r="K1572" t="s">
        <v>29</v>
      </c>
      <c r="L1572" s="1">
        <v>3200</v>
      </c>
      <c r="M1572" t="s">
        <v>29</v>
      </c>
      <c r="N1572" s="1">
        <v>3200</v>
      </c>
      <c r="O1572" s="1">
        <v>3200</v>
      </c>
      <c r="P1572" t="s">
        <v>30</v>
      </c>
      <c r="Q1572" s="2">
        <v>0.7</v>
      </c>
      <c r="R1572" s="1">
        <v>2240</v>
      </c>
      <c r="S1572" t="s">
        <v>29</v>
      </c>
      <c r="T1572" s="1">
        <v>2240</v>
      </c>
      <c r="V1572" t="str">
        <f>VLOOKUP(H1572,'[1]팀별 출판사'!A:B,2,0)</f>
        <v>소설1팀</v>
      </c>
      <c r="W1572" s="6">
        <f t="shared" si="48"/>
        <v>0</v>
      </c>
      <c r="X1572" s="6">
        <f t="shared" si="49"/>
        <v>2240</v>
      </c>
    </row>
    <row r="1573" spans="1:24" x14ac:dyDescent="0.3">
      <c r="A1573" t="s">
        <v>2329</v>
      </c>
      <c r="B1573" t="s">
        <v>2511</v>
      </c>
      <c r="C1573" t="s">
        <v>23</v>
      </c>
      <c r="D1573" t="s">
        <v>24</v>
      </c>
      <c r="E1573" t="s">
        <v>25</v>
      </c>
      <c r="F1573">
        <v>1</v>
      </c>
      <c r="G1573" t="s">
        <v>2512</v>
      </c>
      <c r="H1573" t="s">
        <v>32</v>
      </c>
      <c r="I1573" t="s">
        <v>2513</v>
      </c>
      <c r="J1573" t="s">
        <v>311</v>
      </c>
      <c r="K1573" t="s">
        <v>29</v>
      </c>
      <c r="L1573" s="1">
        <v>3200</v>
      </c>
      <c r="M1573" t="s">
        <v>70</v>
      </c>
      <c r="N1573">
        <v>2.2200000000000002</v>
      </c>
      <c r="O1573">
        <v>2.2200000000000002</v>
      </c>
      <c r="P1573" t="s">
        <v>71</v>
      </c>
      <c r="Q1573" s="2">
        <v>0.7</v>
      </c>
      <c r="R1573">
        <v>1.55</v>
      </c>
      <c r="S1573" t="s">
        <v>29</v>
      </c>
      <c r="T1573" s="1">
        <v>2239</v>
      </c>
      <c r="U1573" s="3">
        <v>1448.30943</v>
      </c>
      <c r="V1573" t="str">
        <f>VLOOKUP(H1573,'[1]팀별 출판사'!A:B,2,0)</f>
        <v>소설1팀</v>
      </c>
      <c r="W1573" s="6">
        <f t="shared" si="48"/>
        <v>671.69999999999993</v>
      </c>
      <c r="X1573" s="6">
        <f t="shared" si="49"/>
        <v>1567.3000000000002</v>
      </c>
    </row>
    <row r="1574" spans="1:24" x14ac:dyDescent="0.3">
      <c r="A1574" t="s">
        <v>2329</v>
      </c>
      <c r="B1574" t="s">
        <v>2514</v>
      </c>
      <c r="C1574" t="s">
        <v>23</v>
      </c>
      <c r="D1574" t="s">
        <v>24</v>
      </c>
      <c r="E1574" t="s">
        <v>25</v>
      </c>
      <c r="F1574">
        <v>1</v>
      </c>
      <c r="G1574">
        <v>9791133108985</v>
      </c>
      <c r="H1574" t="s">
        <v>32</v>
      </c>
      <c r="I1574" t="s">
        <v>783</v>
      </c>
      <c r="J1574" t="s">
        <v>144</v>
      </c>
      <c r="K1574" t="s">
        <v>29</v>
      </c>
      <c r="L1574">
        <v>0</v>
      </c>
      <c r="M1574" t="s">
        <v>29</v>
      </c>
      <c r="N1574">
        <v>0</v>
      </c>
      <c r="O1574">
        <v>0</v>
      </c>
      <c r="P1574" t="s">
        <v>30</v>
      </c>
      <c r="Q1574" s="2">
        <v>0.7</v>
      </c>
      <c r="R1574">
        <v>0</v>
      </c>
      <c r="V1574" t="str">
        <f>VLOOKUP(H1574,'[1]팀별 출판사'!A:B,2,0)</f>
        <v>소설1팀</v>
      </c>
      <c r="W1574" s="6">
        <f t="shared" si="48"/>
        <v>0</v>
      </c>
      <c r="X1574" s="6">
        <f t="shared" si="49"/>
        <v>0</v>
      </c>
    </row>
    <row r="1575" spans="1:24" x14ac:dyDescent="0.3">
      <c r="A1575" t="s">
        <v>2329</v>
      </c>
      <c r="B1575" t="s">
        <v>2515</v>
      </c>
      <c r="C1575" t="s">
        <v>23</v>
      </c>
      <c r="D1575" t="s">
        <v>24</v>
      </c>
      <c r="E1575" t="s">
        <v>25</v>
      </c>
      <c r="F1575">
        <v>1</v>
      </c>
      <c r="G1575">
        <v>9791172920166</v>
      </c>
      <c r="H1575" t="s">
        <v>26</v>
      </c>
      <c r="I1575" t="s">
        <v>2516</v>
      </c>
      <c r="J1575" t="s">
        <v>276</v>
      </c>
      <c r="K1575" t="s">
        <v>29</v>
      </c>
      <c r="L1575" s="1">
        <v>3200</v>
      </c>
      <c r="M1575" t="s">
        <v>29</v>
      </c>
      <c r="N1575" s="1">
        <v>3200</v>
      </c>
      <c r="O1575" s="1">
        <v>3200</v>
      </c>
      <c r="P1575" t="s">
        <v>30</v>
      </c>
      <c r="Q1575" s="2">
        <v>0.7</v>
      </c>
      <c r="R1575" s="1">
        <v>2240</v>
      </c>
      <c r="S1575" t="s">
        <v>29</v>
      </c>
      <c r="T1575" s="1">
        <v>2240</v>
      </c>
      <c r="V1575" t="str">
        <f>VLOOKUP(H1575,'[1]팀별 출판사'!A:B,2,0)</f>
        <v>소설1팀</v>
      </c>
      <c r="W1575" s="6">
        <f t="shared" si="48"/>
        <v>0</v>
      </c>
      <c r="X1575" s="6">
        <f t="shared" si="49"/>
        <v>2240</v>
      </c>
    </row>
    <row r="1576" spans="1:24" x14ac:dyDescent="0.3">
      <c r="A1576" t="s">
        <v>2329</v>
      </c>
      <c r="B1576" t="s">
        <v>2517</v>
      </c>
      <c r="C1576" t="s">
        <v>23</v>
      </c>
      <c r="D1576" t="s">
        <v>24</v>
      </c>
      <c r="E1576" t="s">
        <v>25</v>
      </c>
      <c r="F1576">
        <v>1</v>
      </c>
      <c r="G1576">
        <v>9791133101788</v>
      </c>
      <c r="H1576" t="s">
        <v>32</v>
      </c>
      <c r="I1576" t="s">
        <v>870</v>
      </c>
      <c r="J1576" t="s">
        <v>160</v>
      </c>
      <c r="K1576" t="s">
        <v>29</v>
      </c>
      <c r="L1576">
        <v>0</v>
      </c>
      <c r="M1576" t="s">
        <v>29</v>
      </c>
      <c r="N1576">
        <v>0</v>
      </c>
      <c r="O1576">
        <v>0</v>
      </c>
      <c r="P1576" t="s">
        <v>30</v>
      </c>
      <c r="Q1576" s="2">
        <v>0.7</v>
      </c>
      <c r="R1576">
        <v>0</v>
      </c>
      <c r="V1576" t="str">
        <f>VLOOKUP(H1576,'[1]팀별 출판사'!A:B,2,0)</f>
        <v>소설1팀</v>
      </c>
      <c r="W1576" s="6">
        <f t="shared" si="48"/>
        <v>0</v>
      </c>
      <c r="X1576" s="6">
        <f t="shared" si="49"/>
        <v>0</v>
      </c>
    </row>
    <row r="1577" spans="1:24" x14ac:dyDescent="0.3">
      <c r="A1577" t="s">
        <v>2329</v>
      </c>
      <c r="B1577" t="s">
        <v>2518</v>
      </c>
      <c r="C1577" t="s">
        <v>23</v>
      </c>
      <c r="D1577" t="s">
        <v>24</v>
      </c>
      <c r="E1577" t="s">
        <v>25</v>
      </c>
      <c r="F1577">
        <v>1</v>
      </c>
      <c r="G1577">
        <v>9791133186501</v>
      </c>
      <c r="H1577" t="s">
        <v>26</v>
      </c>
      <c r="I1577" t="s">
        <v>64</v>
      </c>
      <c r="J1577" t="s">
        <v>65</v>
      </c>
      <c r="K1577" t="s">
        <v>29</v>
      </c>
      <c r="L1577">
        <v>0</v>
      </c>
      <c r="M1577" t="s">
        <v>29</v>
      </c>
      <c r="N1577">
        <v>0</v>
      </c>
      <c r="O1577">
        <v>0</v>
      </c>
      <c r="P1577" t="s">
        <v>30</v>
      </c>
      <c r="Q1577" s="2">
        <v>0.7</v>
      </c>
      <c r="R1577">
        <v>0</v>
      </c>
      <c r="V1577" t="str">
        <f>VLOOKUP(H1577,'[1]팀별 출판사'!A:B,2,0)</f>
        <v>소설1팀</v>
      </c>
      <c r="W1577" s="6">
        <f t="shared" si="48"/>
        <v>0</v>
      </c>
      <c r="X1577" s="6">
        <f t="shared" si="49"/>
        <v>0</v>
      </c>
    </row>
    <row r="1578" spans="1:24" x14ac:dyDescent="0.3">
      <c r="A1578" t="s">
        <v>2329</v>
      </c>
      <c r="B1578" t="s">
        <v>2519</v>
      </c>
      <c r="C1578" t="s">
        <v>23</v>
      </c>
      <c r="D1578" t="s">
        <v>24</v>
      </c>
      <c r="E1578" t="s">
        <v>25</v>
      </c>
      <c r="F1578">
        <v>1</v>
      </c>
      <c r="G1578">
        <v>9791136928474</v>
      </c>
      <c r="H1578" t="s">
        <v>26</v>
      </c>
      <c r="I1578" t="s">
        <v>2520</v>
      </c>
      <c r="J1578" t="s">
        <v>1348</v>
      </c>
      <c r="K1578" t="s">
        <v>29</v>
      </c>
      <c r="L1578" s="1">
        <v>3200</v>
      </c>
      <c r="M1578" t="s">
        <v>29</v>
      </c>
      <c r="N1578" s="1">
        <v>3200</v>
      </c>
      <c r="O1578" s="1">
        <v>3200</v>
      </c>
      <c r="P1578" t="s">
        <v>30</v>
      </c>
      <c r="Q1578" s="2">
        <v>0.7</v>
      </c>
      <c r="R1578" s="1">
        <v>2240</v>
      </c>
      <c r="S1578" t="s">
        <v>29</v>
      </c>
      <c r="T1578" s="1">
        <v>2240</v>
      </c>
      <c r="V1578" t="str">
        <f>VLOOKUP(H1578,'[1]팀별 출판사'!A:B,2,0)</f>
        <v>소설1팀</v>
      </c>
      <c r="W1578" s="6">
        <f t="shared" si="48"/>
        <v>0</v>
      </c>
      <c r="X1578" s="6">
        <f t="shared" si="49"/>
        <v>2240</v>
      </c>
    </row>
    <row r="1579" spans="1:24" x14ac:dyDescent="0.3">
      <c r="A1579" t="s">
        <v>2329</v>
      </c>
      <c r="B1579" t="s">
        <v>2521</v>
      </c>
      <c r="C1579" t="s">
        <v>23</v>
      </c>
      <c r="D1579" t="s">
        <v>24</v>
      </c>
      <c r="E1579" t="s">
        <v>25</v>
      </c>
      <c r="F1579">
        <v>1</v>
      </c>
      <c r="G1579">
        <v>9791133157112</v>
      </c>
      <c r="H1579" t="s">
        <v>32</v>
      </c>
      <c r="I1579" t="s">
        <v>527</v>
      </c>
      <c r="J1579" t="s">
        <v>51</v>
      </c>
      <c r="K1579" t="s">
        <v>29</v>
      </c>
      <c r="L1579">
        <v>0</v>
      </c>
      <c r="M1579" t="s">
        <v>29</v>
      </c>
      <c r="N1579">
        <v>0</v>
      </c>
      <c r="O1579">
        <v>0</v>
      </c>
      <c r="P1579" t="s">
        <v>30</v>
      </c>
      <c r="Q1579" s="2">
        <v>0.7</v>
      </c>
      <c r="R1579">
        <v>0</v>
      </c>
      <c r="V1579" t="str">
        <f>VLOOKUP(H1579,'[1]팀별 출판사'!A:B,2,0)</f>
        <v>소설1팀</v>
      </c>
      <c r="W1579" s="6">
        <f t="shared" si="48"/>
        <v>0</v>
      </c>
      <c r="X1579" s="6">
        <f t="shared" si="49"/>
        <v>0</v>
      </c>
    </row>
    <row r="1580" spans="1:24" x14ac:dyDescent="0.3">
      <c r="A1580" t="s">
        <v>2329</v>
      </c>
      <c r="B1580" t="s">
        <v>2522</v>
      </c>
      <c r="C1580" t="s">
        <v>23</v>
      </c>
      <c r="D1580" t="s">
        <v>24</v>
      </c>
      <c r="E1580" t="s">
        <v>25</v>
      </c>
      <c r="F1580">
        <v>1</v>
      </c>
      <c r="G1580" t="s">
        <v>2523</v>
      </c>
      <c r="H1580" t="s">
        <v>32</v>
      </c>
      <c r="I1580" t="s">
        <v>2524</v>
      </c>
      <c r="J1580" t="s">
        <v>220</v>
      </c>
      <c r="K1580" t="s">
        <v>29</v>
      </c>
      <c r="L1580">
        <v>0</v>
      </c>
      <c r="M1580" t="s">
        <v>29</v>
      </c>
      <c r="N1580">
        <v>0</v>
      </c>
      <c r="O1580">
        <v>0</v>
      </c>
      <c r="P1580" t="s">
        <v>30</v>
      </c>
      <c r="Q1580" s="2">
        <v>0.7</v>
      </c>
      <c r="R1580">
        <v>0</v>
      </c>
      <c r="V1580" t="str">
        <f>VLOOKUP(H1580,'[1]팀별 출판사'!A:B,2,0)</f>
        <v>소설1팀</v>
      </c>
      <c r="W1580" s="6">
        <f t="shared" si="48"/>
        <v>0</v>
      </c>
      <c r="X1580" s="6">
        <f t="shared" si="49"/>
        <v>0</v>
      </c>
    </row>
    <row r="1581" spans="1:24" x14ac:dyDescent="0.3">
      <c r="A1581" t="s">
        <v>2329</v>
      </c>
      <c r="B1581" t="s">
        <v>2525</v>
      </c>
      <c r="C1581" t="s">
        <v>23</v>
      </c>
      <c r="D1581" t="s">
        <v>24</v>
      </c>
      <c r="E1581" t="s">
        <v>25</v>
      </c>
      <c r="F1581">
        <v>1</v>
      </c>
      <c r="G1581">
        <v>9791170100850</v>
      </c>
      <c r="H1581" t="s">
        <v>67</v>
      </c>
      <c r="I1581" t="s">
        <v>401</v>
      </c>
      <c r="J1581" t="s">
        <v>402</v>
      </c>
      <c r="K1581" t="s">
        <v>29</v>
      </c>
      <c r="L1581">
        <v>0</v>
      </c>
      <c r="M1581" t="s">
        <v>29</v>
      </c>
      <c r="N1581">
        <v>0</v>
      </c>
      <c r="O1581">
        <v>0</v>
      </c>
      <c r="P1581" t="s">
        <v>30</v>
      </c>
      <c r="Q1581" s="2">
        <v>0.7</v>
      </c>
      <c r="R1581">
        <v>0</v>
      </c>
      <c r="V1581" t="str">
        <f>VLOOKUP(H1581,'[1]팀별 출판사'!A:B,2,0)</f>
        <v>소설1팀</v>
      </c>
      <c r="W1581" s="6">
        <f t="shared" si="48"/>
        <v>0</v>
      </c>
      <c r="X1581" s="6">
        <f t="shared" si="49"/>
        <v>0</v>
      </c>
    </row>
    <row r="1582" spans="1:24" x14ac:dyDescent="0.3">
      <c r="A1582" t="s">
        <v>2329</v>
      </c>
      <c r="B1582" t="s">
        <v>2526</v>
      </c>
      <c r="C1582" t="s">
        <v>23</v>
      </c>
      <c r="D1582" t="s">
        <v>24</v>
      </c>
      <c r="E1582" t="s">
        <v>25</v>
      </c>
      <c r="F1582">
        <v>1</v>
      </c>
      <c r="G1582">
        <v>9791133147434</v>
      </c>
      <c r="H1582" t="s">
        <v>32</v>
      </c>
      <c r="I1582" t="s">
        <v>1668</v>
      </c>
      <c r="J1582" t="s">
        <v>284</v>
      </c>
      <c r="K1582" t="s">
        <v>29</v>
      </c>
      <c r="L1582">
        <v>0</v>
      </c>
      <c r="M1582" t="s">
        <v>29</v>
      </c>
      <c r="N1582">
        <v>0</v>
      </c>
      <c r="O1582">
        <v>0</v>
      </c>
      <c r="P1582" t="s">
        <v>30</v>
      </c>
      <c r="Q1582" s="2">
        <v>0.7</v>
      </c>
      <c r="R1582">
        <v>0</v>
      </c>
      <c r="V1582" t="str">
        <f>VLOOKUP(H1582,'[1]팀별 출판사'!A:B,2,0)</f>
        <v>소설1팀</v>
      </c>
      <c r="W1582" s="6">
        <f t="shared" si="48"/>
        <v>0</v>
      </c>
      <c r="X1582" s="6">
        <f t="shared" si="49"/>
        <v>0</v>
      </c>
    </row>
    <row r="1583" spans="1:24" x14ac:dyDescent="0.3">
      <c r="A1583" t="s">
        <v>2329</v>
      </c>
      <c r="B1583" t="s">
        <v>2527</v>
      </c>
      <c r="C1583" t="s">
        <v>23</v>
      </c>
      <c r="D1583" t="s">
        <v>24</v>
      </c>
      <c r="E1583" t="s">
        <v>25</v>
      </c>
      <c r="F1583">
        <v>1</v>
      </c>
      <c r="G1583">
        <v>9791133148059</v>
      </c>
      <c r="H1583" t="s">
        <v>32</v>
      </c>
      <c r="I1583" t="s">
        <v>2505</v>
      </c>
      <c r="J1583" t="s">
        <v>284</v>
      </c>
      <c r="K1583" t="s">
        <v>29</v>
      </c>
      <c r="L1583">
        <v>0</v>
      </c>
      <c r="M1583" t="s">
        <v>29</v>
      </c>
      <c r="N1583">
        <v>0</v>
      </c>
      <c r="O1583">
        <v>0</v>
      </c>
      <c r="P1583" t="s">
        <v>30</v>
      </c>
      <c r="Q1583" s="2">
        <v>0.7</v>
      </c>
      <c r="R1583">
        <v>0</v>
      </c>
      <c r="V1583" t="str">
        <f>VLOOKUP(H1583,'[1]팀별 출판사'!A:B,2,0)</f>
        <v>소설1팀</v>
      </c>
      <c r="W1583" s="6">
        <f t="shared" si="48"/>
        <v>0</v>
      </c>
      <c r="X1583" s="6">
        <f t="shared" si="49"/>
        <v>0</v>
      </c>
    </row>
    <row r="1584" spans="1:24" x14ac:dyDescent="0.3">
      <c r="A1584" t="s">
        <v>2329</v>
      </c>
      <c r="B1584" t="s">
        <v>2528</v>
      </c>
      <c r="C1584" t="s">
        <v>23</v>
      </c>
      <c r="D1584" t="s">
        <v>24</v>
      </c>
      <c r="E1584" t="s">
        <v>25</v>
      </c>
      <c r="F1584">
        <v>1</v>
      </c>
      <c r="G1584">
        <v>9791133148240</v>
      </c>
      <c r="H1584" t="s">
        <v>32</v>
      </c>
      <c r="I1584" t="s">
        <v>283</v>
      </c>
      <c r="J1584" t="s">
        <v>284</v>
      </c>
      <c r="K1584" t="s">
        <v>29</v>
      </c>
      <c r="L1584">
        <v>0</v>
      </c>
      <c r="M1584" t="s">
        <v>29</v>
      </c>
      <c r="N1584">
        <v>0</v>
      </c>
      <c r="O1584">
        <v>0</v>
      </c>
      <c r="P1584" t="s">
        <v>30</v>
      </c>
      <c r="Q1584" s="2">
        <v>0.7</v>
      </c>
      <c r="R1584">
        <v>0</v>
      </c>
      <c r="V1584" t="str">
        <f>VLOOKUP(H1584,'[1]팀별 출판사'!A:B,2,0)</f>
        <v>소설1팀</v>
      </c>
      <c r="W1584" s="6">
        <f t="shared" si="48"/>
        <v>0</v>
      </c>
      <c r="X1584" s="6">
        <f t="shared" si="49"/>
        <v>0</v>
      </c>
    </row>
    <row r="1585" spans="1:24" x14ac:dyDescent="0.3">
      <c r="A1585" t="s">
        <v>2329</v>
      </c>
      <c r="B1585" t="s">
        <v>2529</v>
      </c>
      <c r="C1585" t="s">
        <v>23</v>
      </c>
      <c r="D1585" t="s">
        <v>24</v>
      </c>
      <c r="E1585" t="s">
        <v>25</v>
      </c>
      <c r="F1585">
        <v>1</v>
      </c>
      <c r="G1585">
        <v>9791170101864</v>
      </c>
      <c r="H1585" t="s">
        <v>67</v>
      </c>
      <c r="I1585" t="s">
        <v>1985</v>
      </c>
      <c r="J1585" t="s">
        <v>402</v>
      </c>
      <c r="K1585" t="s">
        <v>29</v>
      </c>
      <c r="L1585">
        <v>0</v>
      </c>
      <c r="M1585" t="s">
        <v>29</v>
      </c>
      <c r="N1585">
        <v>0</v>
      </c>
      <c r="O1585">
        <v>0</v>
      </c>
      <c r="P1585" t="s">
        <v>30</v>
      </c>
      <c r="Q1585" s="2">
        <v>0.7</v>
      </c>
      <c r="R1585">
        <v>0</v>
      </c>
      <c r="V1585" t="str">
        <f>VLOOKUP(H1585,'[1]팀별 출판사'!A:B,2,0)</f>
        <v>소설1팀</v>
      </c>
      <c r="W1585" s="6">
        <f t="shared" si="48"/>
        <v>0</v>
      </c>
      <c r="X1585" s="6">
        <f t="shared" si="49"/>
        <v>0</v>
      </c>
    </row>
    <row r="1586" spans="1:24" x14ac:dyDescent="0.3">
      <c r="A1586" t="s">
        <v>2329</v>
      </c>
      <c r="B1586" t="s">
        <v>2530</v>
      </c>
      <c r="C1586" t="s">
        <v>23</v>
      </c>
      <c r="D1586" t="s">
        <v>24</v>
      </c>
      <c r="E1586" t="s">
        <v>25</v>
      </c>
      <c r="F1586">
        <v>1</v>
      </c>
      <c r="G1586">
        <v>9791136925664</v>
      </c>
      <c r="H1586" t="s">
        <v>26</v>
      </c>
      <c r="I1586" t="s">
        <v>453</v>
      </c>
      <c r="J1586" t="s">
        <v>62</v>
      </c>
      <c r="K1586" t="s">
        <v>29</v>
      </c>
      <c r="L1586">
        <v>0</v>
      </c>
      <c r="M1586" t="s">
        <v>29</v>
      </c>
      <c r="N1586">
        <v>0</v>
      </c>
      <c r="O1586">
        <v>0</v>
      </c>
      <c r="P1586" t="s">
        <v>30</v>
      </c>
      <c r="Q1586" s="2">
        <v>0.7</v>
      </c>
      <c r="R1586">
        <v>0</v>
      </c>
      <c r="V1586" t="str">
        <f>VLOOKUP(H1586,'[1]팀별 출판사'!A:B,2,0)</f>
        <v>소설1팀</v>
      </c>
      <c r="W1586" s="6">
        <f t="shared" si="48"/>
        <v>0</v>
      </c>
      <c r="X1586" s="6">
        <f t="shared" si="49"/>
        <v>0</v>
      </c>
    </row>
    <row r="1587" spans="1:24" x14ac:dyDescent="0.3">
      <c r="A1587" t="s">
        <v>2329</v>
      </c>
      <c r="B1587" t="s">
        <v>2531</v>
      </c>
      <c r="C1587" t="s">
        <v>23</v>
      </c>
      <c r="D1587" t="s">
        <v>24</v>
      </c>
      <c r="E1587" t="s">
        <v>25</v>
      </c>
      <c r="F1587">
        <v>1</v>
      </c>
      <c r="G1587">
        <v>9791157532247</v>
      </c>
      <c r="H1587" t="s">
        <v>32</v>
      </c>
      <c r="I1587" t="s">
        <v>2532</v>
      </c>
      <c r="J1587" t="s">
        <v>112</v>
      </c>
      <c r="K1587" t="s">
        <v>29</v>
      </c>
      <c r="L1587" s="1">
        <v>3200</v>
      </c>
      <c r="M1587" t="s">
        <v>29</v>
      </c>
      <c r="N1587" s="1">
        <v>3200</v>
      </c>
      <c r="O1587" s="1">
        <v>3200</v>
      </c>
      <c r="P1587" t="s">
        <v>30</v>
      </c>
      <c r="Q1587" s="2">
        <v>0.7</v>
      </c>
      <c r="R1587" s="1">
        <v>2240</v>
      </c>
      <c r="S1587" t="s">
        <v>29</v>
      </c>
      <c r="T1587" s="1">
        <v>2240</v>
      </c>
      <c r="V1587" t="str">
        <f>VLOOKUP(H1587,'[1]팀별 출판사'!A:B,2,0)</f>
        <v>소설1팀</v>
      </c>
      <c r="W1587" s="6">
        <f t="shared" si="48"/>
        <v>0</v>
      </c>
      <c r="X1587" s="6">
        <f t="shared" si="49"/>
        <v>2240</v>
      </c>
    </row>
    <row r="1588" spans="1:24" x14ac:dyDescent="0.3">
      <c r="A1588" t="s">
        <v>2329</v>
      </c>
      <c r="B1588" t="s">
        <v>2533</v>
      </c>
      <c r="C1588" t="s">
        <v>23</v>
      </c>
      <c r="D1588" t="s">
        <v>24</v>
      </c>
      <c r="E1588" t="s">
        <v>25</v>
      </c>
      <c r="F1588">
        <v>1</v>
      </c>
      <c r="G1588">
        <v>9791133148462</v>
      </c>
      <c r="H1588" t="s">
        <v>32</v>
      </c>
      <c r="I1588" t="s">
        <v>1592</v>
      </c>
      <c r="J1588" t="s">
        <v>284</v>
      </c>
      <c r="K1588" t="s">
        <v>29</v>
      </c>
      <c r="L1588">
        <v>0</v>
      </c>
      <c r="M1588" t="s">
        <v>29</v>
      </c>
      <c r="N1588">
        <v>0</v>
      </c>
      <c r="O1588">
        <v>0</v>
      </c>
      <c r="P1588" t="s">
        <v>30</v>
      </c>
      <c r="Q1588" s="2">
        <v>0.7</v>
      </c>
      <c r="R1588">
        <v>0</v>
      </c>
      <c r="V1588" t="str">
        <f>VLOOKUP(H1588,'[1]팀별 출판사'!A:B,2,0)</f>
        <v>소설1팀</v>
      </c>
      <c r="W1588" s="6">
        <f t="shared" si="48"/>
        <v>0</v>
      </c>
      <c r="X1588" s="6">
        <f t="shared" si="49"/>
        <v>0</v>
      </c>
    </row>
    <row r="1589" spans="1:24" x14ac:dyDescent="0.3">
      <c r="A1589" t="s">
        <v>2329</v>
      </c>
      <c r="B1589" t="s">
        <v>2534</v>
      </c>
      <c r="C1589" t="s">
        <v>23</v>
      </c>
      <c r="D1589" t="s">
        <v>24</v>
      </c>
      <c r="E1589" t="s">
        <v>25</v>
      </c>
      <c r="F1589">
        <v>1</v>
      </c>
      <c r="G1589">
        <v>9791173785160</v>
      </c>
      <c r="H1589" t="s">
        <v>26</v>
      </c>
      <c r="I1589" t="s">
        <v>2535</v>
      </c>
      <c r="J1589" t="s">
        <v>62</v>
      </c>
      <c r="K1589" t="s">
        <v>29</v>
      </c>
      <c r="L1589" s="1">
        <v>3200</v>
      </c>
      <c r="M1589" t="s">
        <v>29</v>
      </c>
      <c r="N1589" s="1">
        <v>3200</v>
      </c>
      <c r="O1589" s="1">
        <v>3200</v>
      </c>
      <c r="P1589" t="s">
        <v>30</v>
      </c>
      <c r="Q1589" s="2">
        <v>0.7</v>
      </c>
      <c r="R1589" s="1">
        <v>2240</v>
      </c>
      <c r="S1589" t="s">
        <v>29</v>
      </c>
      <c r="T1589" s="1">
        <v>2240</v>
      </c>
      <c r="V1589" t="str">
        <f>VLOOKUP(H1589,'[1]팀별 출판사'!A:B,2,0)</f>
        <v>소설1팀</v>
      </c>
      <c r="W1589" s="6">
        <f t="shared" si="48"/>
        <v>0</v>
      </c>
      <c r="X1589" s="6">
        <f t="shared" si="49"/>
        <v>2240</v>
      </c>
    </row>
    <row r="1590" spans="1:24" x14ac:dyDescent="0.3">
      <c r="A1590" t="s">
        <v>2329</v>
      </c>
      <c r="B1590" t="s">
        <v>2536</v>
      </c>
      <c r="C1590" t="s">
        <v>23</v>
      </c>
      <c r="D1590" t="s">
        <v>24</v>
      </c>
      <c r="E1590" t="s">
        <v>25</v>
      </c>
      <c r="F1590">
        <v>1</v>
      </c>
      <c r="G1590">
        <v>9791133186501</v>
      </c>
      <c r="H1590" t="s">
        <v>26</v>
      </c>
      <c r="I1590" t="s">
        <v>64</v>
      </c>
      <c r="J1590" t="s">
        <v>65</v>
      </c>
      <c r="K1590" t="s">
        <v>29</v>
      </c>
      <c r="L1590">
        <v>0</v>
      </c>
      <c r="M1590" t="s">
        <v>29</v>
      </c>
      <c r="N1590">
        <v>0</v>
      </c>
      <c r="O1590">
        <v>0</v>
      </c>
      <c r="P1590" t="s">
        <v>30</v>
      </c>
      <c r="Q1590" s="2">
        <v>0.7</v>
      </c>
      <c r="R1590">
        <v>0</v>
      </c>
      <c r="V1590" t="str">
        <f>VLOOKUP(H1590,'[1]팀별 출판사'!A:B,2,0)</f>
        <v>소설1팀</v>
      </c>
      <c r="W1590" s="6">
        <f t="shared" si="48"/>
        <v>0</v>
      </c>
      <c r="X1590" s="6">
        <f t="shared" si="49"/>
        <v>0</v>
      </c>
    </row>
    <row r="1591" spans="1:24" x14ac:dyDescent="0.3">
      <c r="A1591" t="s">
        <v>2329</v>
      </c>
      <c r="B1591" t="s">
        <v>2537</v>
      </c>
      <c r="C1591" t="s">
        <v>23</v>
      </c>
      <c r="D1591" t="s">
        <v>24</v>
      </c>
      <c r="E1591" t="s">
        <v>25</v>
      </c>
      <c r="F1591">
        <v>1</v>
      </c>
      <c r="G1591">
        <v>9791136946782</v>
      </c>
      <c r="H1591" t="s">
        <v>26</v>
      </c>
      <c r="I1591" t="s">
        <v>291</v>
      </c>
      <c r="J1591" t="s">
        <v>28</v>
      </c>
      <c r="K1591" t="s">
        <v>29</v>
      </c>
      <c r="L1591">
        <v>0</v>
      </c>
      <c r="M1591" t="s">
        <v>29</v>
      </c>
      <c r="N1591">
        <v>0</v>
      </c>
      <c r="O1591">
        <v>0</v>
      </c>
      <c r="P1591" t="s">
        <v>30</v>
      </c>
      <c r="Q1591" s="2">
        <v>0.7</v>
      </c>
      <c r="R1591">
        <v>0</v>
      </c>
      <c r="V1591" t="str">
        <f>VLOOKUP(H1591,'[1]팀별 출판사'!A:B,2,0)</f>
        <v>소설1팀</v>
      </c>
      <c r="W1591" s="6">
        <f t="shared" si="48"/>
        <v>0</v>
      </c>
      <c r="X1591" s="6">
        <f t="shared" si="49"/>
        <v>0</v>
      </c>
    </row>
    <row r="1592" spans="1:24" x14ac:dyDescent="0.3">
      <c r="A1592" t="s">
        <v>2329</v>
      </c>
      <c r="B1592" t="s">
        <v>2538</v>
      </c>
      <c r="C1592" t="s">
        <v>23</v>
      </c>
      <c r="D1592" t="s">
        <v>24</v>
      </c>
      <c r="E1592" t="s">
        <v>25</v>
      </c>
      <c r="F1592">
        <v>1</v>
      </c>
      <c r="G1592">
        <v>9791170106715</v>
      </c>
      <c r="H1592" t="s">
        <v>67</v>
      </c>
      <c r="I1592" t="s">
        <v>68</v>
      </c>
      <c r="J1592" t="s">
        <v>69</v>
      </c>
      <c r="K1592" t="s">
        <v>29</v>
      </c>
      <c r="L1592">
        <v>0</v>
      </c>
      <c r="M1592" t="s">
        <v>1379</v>
      </c>
      <c r="N1592">
        <v>0</v>
      </c>
      <c r="O1592">
        <v>0</v>
      </c>
      <c r="P1592" t="s">
        <v>1380</v>
      </c>
      <c r="Q1592" s="2">
        <v>0.7</v>
      </c>
      <c r="R1592">
        <v>0</v>
      </c>
      <c r="V1592" t="str">
        <f>VLOOKUP(H1592,'[1]팀별 출판사'!A:B,2,0)</f>
        <v>소설1팀</v>
      </c>
      <c r="W1592" s="6">
        <f t="shared" si="48"/>
        <v>0</v>
      </c>
      <c r="X1592" s="6">
        <f t="shared" si="49"/>
        <v>0</v>
      </c>
    </row>
    <row r="1593" spans="1:24" x14ac:dyDescent="0.3">
      <c r="A1593" t="s">
        <v>2329</v>
      </c>
      <c r="B1593" t="s">
        <v>2539</v>
      </c>
      <c r="C1593" t="s">
        <v>23</v>
      </c>
      <c r="D1593" t="s">
        <v>24</v>
      </c>
      <c r="E1593" t="s">
        <v>25</v>
      </c>
      <c r="F1593">
        <v>1</v>
      </c>
      <c r="G1593" t="s">
        <v>549</v>
      </c>
      <c r="H1593" t="s">
        <v>208</v>
      </c>
      <c r="I1593" t="s">
        <v>2540</v>
      </c>
      <c r="J1593" t="s">
        <v>210</v>
      </c>
      <c r="K1593" t="s">
        <v>29</v>
      </c>
      <c r="L1593" s="1">
        <v>2000</v>
      </c>
      <c r="M1593" t="s">
        <v>29</v>
      </c>
      <c r="N1593" s="1">
        <v>2000</v>
      </c>
      <c r="O1593" s="1">
        <v>2000</v>
      </c>
      <c r="P1593" t="s">
        <v>30</v>
      </c>
      <c r="Q1593" s="2">
        <v>0.7</v>
      </c>
      <c r="R1593" s="1">
        <v>1400</v>
      </c>
      <c r="S1593" t="s">
        <v>29</v>
      </c>
      <c r="T1593" s="1">
        <v>1400</v>
      </c>
      <c r="V1593" t="str">
        <f>VLOOKUP(H1593,'[1]팀별 출판사'!A:B,2,0)</f>
        <v>소설1팀</v>
      </c>
      <c r="W1593" s="6">
        <f t="shared" si="48"/>
        <v>0</v>
      </c>
      <c r="X1593" s="6">
        <f t="shared" si="49"/>
        <v>1400</v>
      </c>
    </row>
    <row r="1594" spans="1:24" x14ac:dyDescent="0.3">
      <c r="A1594" t="s">
        <v>2329</v>
      </c>
      <c r="B1594" t="s">
        <v>2541</v>
      </c>
      <c r="C1594" t="s">
        <v>23</v>
      </c>
      <c r="D1594" t="s">
        <v>24</v>
      </c>
      <c r="E1594" t="s">
        <v>25</v>
      </c>
      <c r="F1594">
        <v>1</v>
      </c>
      <c r="G1594">
        <v>9791136927293</v>
      </c>
      <c r="H1594" t="s">
        <v>26</v>
      </c>
      <c r="I1594" t="s">
        <v>945</v>
      </c>
      <c r="J1594" t="s">
        <v>459</v>
      </c>
      <c r="K1594" t="s">
        <v>29</v>
      </c>
      <c r="L1594">
        <v>0</v>
      </c>
      <c r="M1594" t="s">
        <v>29</v>
      </c>
      <c r="N1594">
        <v>0</v>
      </c>
      <c r="O1594">
        <v>0</v>
      </c>
      <c r="P1594" t="s">
        <v>30</v>
      </c>
      <c r="Q1594" s="2">
        <v>0.7</v>
      </c>
      <c r="R1594">
        <v>0</v>
      </c>
      <c r="V1594" t="str">
        <f>VLOOKUP(H1594,'[1]팀별 출판사'!A:B,2,0)</f>
        <v>소설1팀</v>
      </c>
      <c r="W1594" s="6">
        <f t="shared" si="48"/>
        <v>0</v>
      </c>
      <c r="X1594" s="6">
        <f t="shared" si="49"/>
        <v>0</v>
      </c>
    </row>
    <row r="1595" spans="1:24" x14ac:dyDescent="0.3">
      <c r="A1595" t="s">
        <v>2329</v>
      </c>
      <c r="B1595" t="s">
        <v>2542</v>
      </c>
      <c r="C1595" t="s">
        <v>23</v>
      </c>
      <c r="D1595" t="s">
        <v>24</v>
      </c>
      <c r="E1595" t="s">
        <v>25</v>
      </c>
      <c r="F1595">
        <v>1</v>
      </c>
      <c r="G1595">
        <v>9791173786891</v>
      </c>
      <c r="H1595" t="s">
        <v>26</v>
      </c>
      <c r="I1595" t="s">
        <v>2543</v>
      </c>
      <c r="J1595" t="s">
        <v>256</v>
      </c>
      <c r="K1595" t="s">
        <v>29</v>
      </c>
      <c r="L1595" s="1">
        <v>3200</v>
      </c>
      <c r="M1595" t="s">
        <v>29</v>
      </c>
      <c r="N1595" s="1">
        <v>3200</v>
      </c>
      <c r="O1595" s="1">
        <v>3200</v>
      </c>
      <c r="P1595" t="s">
        <v>30</v>
      </c>
      <c r="Q1595" s="2">
        <v>0.7</v>
      </c>
      <c r="R1595" s="1">
        <v>2240</v>
      </c>
      <c r="S1595" t="s">
        <v>29</v>
      </c>
      <c r="T1595" s="1">
        <v>2240</v>
      </c>
      <c r="V1595" t="str">
        <f>VLOOKUP(H1595,'[1]팀별 출판사'!A:B,2,0)</f>
        <v>소설1팀</v>
      </c>
      <c r="W1595" s="6">
        <f t="shared" si="48"/>
        <v>0</v>
      </c>
      <c r="X1595" s="6">
        <f t="shared" si="49"/>
        <v>2240</v>
      </c>
    </row>
    <row r="1596" spans="1:24" x14ac:dyDescent="0.3">
      <c r="A1596" t="s">
        <v>2329</v>
      </c>
      <c r="B1596" t="s">
        <v>2544</v>
      </c>
      <c r="C1596" t="s">
        <v>23</v>
      </c>
      <c r="D1596" t="s">
        <v>24</v>
      </c>
      <c r="E1596" t="s">
        <v>25</v>
      </c>
      <c r="F1596">
        <v>1</v>
      </c>
      <c r="G1596">
        <v>9791136988157</v>
      </c>
      <c r="H1596" t="s">
        <v>26</v>
      </c>
      <c r="I1596" t="s">
        <v>2545</v>
      </c>
      <c r="J1596" t="s">
        <v>28</v>
      </c>
      <c r="K1596" t="s">
        <v>29</v>
      </c>
      <c r="L1596" s="1">
        <v>3200</v>
      </c>
      <c r="M1596" t="s">
        <v>29</v>
      </c>
      <c r="N1596" s="1">
        <v>3200</v>
      </c>
      <c r="O1596" s="1">
        <v>3200</v>
      </c>
      <c r="P1596" t="s">
        <v>30</v>
      </c>
      <c r="Q1596" s="2">
        <v>0.7</v>
      </c>
      <c r="R1596" s="1">
        <v>2240</v>
      </c>
      <c r="S1596" t="s">
        <v>29</v>
      </c>
      <c r="T1596" s="1">
        <v>2240</v>
      </c>
      <c r="V1596" t="str">
        <f>VLOOKUP(H1596,'[1]팀별 출판사'!A:B,2,0)</f>
        <v>소설1팀</v>
      </c>
      <c r="W1596" s="6">
        <f t="shared" si="48"/>
        <v>0</v>
      </c>
      <c r="X1596" s="6">
        <f t="shared" si="49"/>
        <v>2240</v>
      </c>
    </row>
    <row r="1597" spans="1:24" x14ac:dyDescent="0.3">
      <c r="A1597" t="s">
        <v>2329</v>
      </c>
      <c r="B1597" t="s">
        <v>2546</v>
      </c>
      <c r="C1597" t="s">
        <v>23</v>
      </c>
      <c r="D1597" t="s">
        <v>24</v>
      </c>
      <c r="E1597" t="s">
        <v>25</v>
      </c>
      <c r="F1597">
        <v>1</v>
      </c>
      <c r="G1597">
        <v>9791136916440</v>
      </c>
      <c r="H1597" t="s">
        <v>26</v>
      </c>
      <c r="I1597" t="s">
        <v>2547</v>
      </c>
      <c r="J1597" t="s">
        <v>62</v>
      </c>
      <c r="K1597" t="s">
        <v>29</v>
      </c>
      <c r="L1597" s="1">
        <v>3200</v>
      </c>
      <c r="M1597" t="s">
        <v>29</v>
      </c>
      <c r="N1597" s="1">
        <v>3200</v>
      </c>
      <c r="O1597" s="1">
        <v>3200</v>
      </c>
      <c r="P1597" t="s">
        <v>30</v>
      </c>
      <c r="Q1597" s="2">
        <v>0.7</v>
      </c>
      <c r="R1597" s="1">
        <v>2240</v>
      </c>
      <c r="S1597" t="s">
        <v>29</v>
      </c>
      <c r="T1597" s="1">
        <v>2240</v>
      </c>
      <c r="V1597" t="str">
        <f>VLOOKUP(H1597,'[1]팀별 출판사'!A:B,2,0)</f>
        <v>소설1팀</v>
      </c>
      <c r="W1597" s="6">
        <f t="shared" si="48"/>
        <v>0</v>
      </c>
      <c r="X1597" s="6">
        <f t="shared" si="49"/>
        <v>2240</v>
      </c>
    </row>
    <row r="1598" spans="1:24" x14ac:dyDescent="0.3">
      <c r="A1598" t="s">
        <v>2329</v>
      </c>
      <c r="B1598" t="s">
        <v>2548</v>
      </c>
      <c r="C1598" t="s">
        <v>23</v>
      </c>
      <c r="D1598" t="s">
        <v>24</v>
      </c>
      <c r="E1598" t="s">
        <v>25</v>
      </c>
      <c r="F1598">
        <v>1</v>
      </c>
      <c r="G1598">
        <v>9791133105915</v>
      </c>
      <c r="H1598" t="s">
        <v>32</v>
      </c>
      <c r="I1598" t="s">
        <v>2549</v>
      </c>
      <c r="J1598" t="s">
        <v>663</v>
      </c>
      <c r="K1598" t="s">
        <v>29</v>
      </c>
      <c r="L1598" s="1">
        <v>3200</v>
      </c>
      <c r="M1598" t="s">
        <v>29</v>
      </c>
      <c r="N1598" s="1">
        <v>3200</v>
      </c>
      <c r="O1598" s="1">
        <v>3200</v>
      </c>
      <c r="P1598" t="s">
        <v>30</v>
      </c>
      <c r="Q1598" s="2">
        <v>0.7</v>
      </c>
      <c r="R1598" s="1">
        <v>2240</v>
      </c>
      <c r="S1598" t="s">
        <v>29</v>
      </c>
      <c r="T1598" s="1">
        <v>2240</v>
      </c>
      <c r="V1598" t="str">
        <f>VLOOKUP(H1598,'[1]팀별 출판사'!A:B,2,0)</f>
        <v>소설1팀</v>
      </c>
      <c r="W1598" s="6">
        <f t="shared" si="48"/>
        <v>0</v>
      </c>
      <c r="X1598" s="6">
        <f t="shared" si="49"/>
        <v>2240</v>
      </c>
    </row>
    <row r="1599" spans="1:24" x14ac:dyDescent="0.3">
      <c r="A1599" t="s">
        <v>2550</v>
      </c>
      <c r="B1599" t="s">
        <v>2551</v>
      </c>
      <c r="C1599" t="s">
        <v>23</v>
      </c>
      <c r="D1599" t="s">
        <v>24</v>
      </c>
      <c r="E1599" t="s">
        <v>25</v>
      </c>
      <c r="F1599">
        <v>1</v>
      </c>
      <c r="G1599">
        <v>9791172920937</v>
      </c>
      <c r="H1599" t="s">
        <v>79</v>
      </c>
      <c r="I1599" t="s">
        <v>80</v>
      </c>
      <c r="J1599" t="s">
        <v>81</v>
      </c>
      <c r="K1599" t="s">
        <v>29</v>
      </c>
      <c r="L1599">
        <v>0</v>
      </c>
      <c r="M1599" t="s">
        <v>29</v>
      </c>
      <c r="N1599">
        <v>0</v>
      </c>
      <c r="O1599">
        <v>0</v>
      </c>
      <c r="P1599" t="s">
        <v>30</v>
      </c>
      <c r="Q1599" s="2">
        <v>0.7</v>
      </c>
      <c r="R1599">
        <v>0</v>
      </c>
      <c r="V1599" t="str">
        <f>VLOOKUP(H1599,'[1]팀별 출판사'!A:B,2,0)</f>
        <v>소설1팀</v>
      </c>
      <c r="W1599" s="6">
        <f t="shared" si="48"/>
        <v>0</v>
      </c>
      <c r="X1599" s="6">
        <f t="shared" si="49"/>
        <v>0</v>
      </c>
    </row>
    <row r="1600" spans="1:24" x14ac:dyDescent="0.3">
      <c r="A1600" t="s">
        <v>2550</v>
      </c>
      <c r="B1600" t="s">
        <v>2552</v>
      </c>
      <c r="C1600" t="s">
        <v>23</v>
      </c>
      <c r="D1600" t="s">
        <v>24</v>
      </c>
      <c r="E1600" t="s">
        <v>25</v>
      </c>
      <c r="F1600">
        <v>1</v>
      </c>
      <c r="G1600">
        <v>9791136942036</v>
      </c>
      <c r="H1600" t="s">
        <v>26</v>
      </c>
      <c r="I1600" t="s">
        <v>1941</v>
      </c>
      <c r="J1600" t="s">
        <v>81</v>
      </c>
      <c r="K1600" t="s">
        <v>29</v>
      </c>
      <c r="L1600">
        <v>0</v>
      </c>
      <c r="M1600" t="s">
        <v>29</v>
      </c>
      <c r="N1600">
        <v>0</v>
      </c>
      <c r="O1600">
        <v>0</v>
      </c>
      <c r="P1600" t="s">
        <v>30</v>
      </c>
      <c r="Q1600" s="2">
        <v>0.7</v>
      </c>
      <c r="R1600">
        <v>0</v>
      </c>
      <c r="V1600" t="str">
        <f>VLOOKUP(H1600,'[1]팀별 출판사'!A:B,2,0)</f>
        <v>소설1팀</v>
      </c>
      <c r="W1600" s="6">
        <f t="shared" si="48"/>
        <v>0</v>
      </c>
      <c r="X1600" s="6">
        <f t="shared" si="49"/>
        <v>0</v>
      </c>
    </row>
    <row r="1601" spans="1:24" x14ac:dyDescent="0.3">
      <c r="A1601" t="s">
        <v>2550</v>
      </c>
      <c r="B1601" t="s">
        <v>2553</v>
      </c>
      <c r="C1601" t="s">
        <v>23</v>
      </c>
      <c r="D1601" t="s">
        <v>24</v>
      </c>
      <c r="E1601" t="s">
        <v>25</v>
      </c>
      <c r="F1601">
        <v>1</v>
      </c>
      <c r="G1601">
        <v>9791136903815</v>
      </c>
      <c r="H1601" t="s">
        <v>26</v>
      </c>
      <c r="I1601" t="s">
        <v>2554</v>
      </c>
      <c r="J1601" t="s">
        <v>256</v>
      </c>
      <c r="K1601" t="s">
        <v>29</v>
      </c>
      <c r="L1601" s="1">
        <v>3200</v>
      </c>
      <c r="M1601" t="s">
        <v>29</v>
      </c>
      <c r="N1601" s="1">
        <v>3200</v>
      </c>
      <c r="O1601" s="1">
        <v>3200</v>
      </c>
      <c r="P1601" t="s">
        <v>30</v>
      </c>
      <c r="Q1601" s="2">
        <v>0.7</v>
      </c>
      <c r="R1601" s="1">
        <v>2240</v>
      </c>
      <c r="S1601" t="s">
        <v>29</v>
      </c>
      <c r="T1601" s="1">
        <v>2240</v>
      </c>
      <c r="V1601" t="str">
        <f>VLOOKUP(H1601,'[1]팀별 출판사'!A:B,2,0)</f>
        <v>소설1팀</v>
      </c>
      <c r="W1601" s="6">
        <f t="shared" si="48"/>
        <v>0</v>
      </c>
      <c r="X1601" s="6">
        <f t="shared" si="49"/>
        <v>2240</v>
      </c>
    </row>
    <row r="1602" spans="1:24" x14ac:dyDescent="0.3">
      <c r="A1602" t="s">
        <v>2550</v>
      </c>
      <c r="B1602" t="s">
        <v>2555</v>
      </c>
      <c r="C1602" t="s">
        <v>23</v>
      </c>
      <c r="D1602" t="s">
        <v>24</v>
      </c>
      <c r="E1602" t="s">
        <v>25</v>
      </c>
      <c r="F1602">
        <v>1</v>
      </c>
      <c r="G1602">
        <v>9791136911223</v>
      </c>
      <c r="H1602" t="s">
        <v>32</v>
      </c>
      <c r="I1602" t="s">
        <v>2556</v>
      </c>
      <c r="J1602" t="s">
        <v>160</v>
      </c>
      <c r="K1602" t="s">
        <v>29</v>
      </c>
      <c r="L1602" s="1">
        <v>3200</v>
      </c>
      <c r="M1602" t="s">
        <v>29</v>
      </c>
      <c r="N1602" s="1">
        <v>3200</v>
      </c>
      <c r="O1602" s="1">
        <v>3200</v>
      </c>
      <c r="P1602" t="s">
        <v>30</v>
      </c>
      <c r="Q1602" s="2">
        <v>0.7</v>
      </c>
      <c r="R1602" s="1">
        <v>2240</v>
      </c>
      <c r="S1602" t="s">
        <v>29</v>
      </c>
      <c r="T1602" s="1">
        <v>2240</v>
      </c>
      <c r="V1602" t="str">
        <f>VLOOKUP(H1602,'[1]팀별 출판사'!A:B,2,0)</f>
        <v>소설1팀</v>
      </c>
      <c r="W1602" s="6">
        <f t="shared" ref="W1602:W1665" si="50">IF(P1602="US", T1602*30%, 0)</f>
        <v>0</v>
      </c>
      <c r="X1602" s="6">
        <f t="shared" ref="X1602:X1665" si="51">T1602-W1602</f>
        <v>2240</v>
      </c>
    </row>
    <row r="1603" spans="1:24" x14ac:dyDescent="0.3">
      <c r="A1603" t="s">
        <v>2550</v>
      </c>
      <c r="B1603" t="s">
        <v>2557</v>
      </c>
      <c r="C1603" t="s">
        <v>23</v>
      </c>
      <c r="D1603" t="s">
        <v>24</v>
      </c>
      <c r="E1603" t="s">
        <v>25</v>
      </c>
      <c r="F1603">
        <v>1</v>
      </c>
      <c r="G1603">
        <v>9791136946782</v>
      </c>
      <c r="H1603" t="s">
        <v>26</v>
      </c>
      <c r="I1603" t="s">
        <v>291</v>
      </c>
      <c r="J1603" t="s">
        <v>28</v>
      </c>
      <c r="K1603" t="s">
        <v>29</v>
      </c>
      <c r="L1603">
        <v>0</v>
      </c>
      <c r="M1603" t="s">
        <v>29</v>
      </c>
      <c r="N1603">
        <v>0</v>
      </c>
      <c r="O1603">
        <v>0</v>
      </c>
      <c r="P1603" t="s">
        <v>30</v>
      </c>
      <c r="Q1603" s="2">
        <v>0.7</v>
      </c>
      <c r="R1603">
        <v>0</v>
      </c>
      <c r="V1603" t="str">
        <f>VLOOKUP(H1603,'[1]팀별 출판사'!A:B,2,0)</f>
        <v>소설1팀</v>
      </c>
      <c r="W1603" s="6">
        <f t="shared" si="50"/>
        <v>0</v>
      </c>
      <c r="X1603" s="6">
        <f t="shared" si="51"/>
        <v>0</v>
      </c>
    </row>
    <row r="1604" spans="1:24" x14ac:dyDescent="0.3">
      <c r="A1604" t="s">
        <v>2550</v>
      </c>
      <c r="B1604" t="s">
        <v>2558</v>
      </c>
      <c r="C1604" t="s">
        <v>23</v>
      </c>
      <c r="D1604" t="s">
        <v>24</v>
      </c>
      <c r="E1604" t="s">
        <v>25</v>
      </c>
      <c r="F1604">
        <v>1</v>
      </c>
      <c r="G1604">
        <v>9791133106127</v>
      </c>
      <c r="H1604" t="s">
        <v>32</v>
      </c>
      <c r="I1604" t="s">
        <v>585</v>
      </c>
      <c r="J1604" t="s">
        <v>160</v>
      </c>
      <c r="K1604" t="s">
        <v>29</v>
      </c>
      <c r="L1604">
        <v>0</v>
      </c>
      <c r="M1604" t="s">
        <v>29</v>
      </c>
      <c r="N1604">
        <v>0</v>
      </c>
      <c r="O1604">
        <v>0</v>
      </c>
      <c r="P1604" t="s">
        <v>30</v>
      </c>
      <c r="Q1604" s="2">
        <v>0.7</v>
      </c>
      <c r="R1604">
        <v>0</v>
      </c>
      <c r="V1604" t="str">
        <f>VLOOKUP(H1604,'[1]팀별 출판사'!A:B,2,0)</f>
        <v>소설1팀</v>
      </c>
      <c r="W1604" s="6">
        <f t="shared" si="50"/>
        <v>0</v>
      </c>
      <c r="X1604" s="6">
        <f t="shared" si="51"/>
        <v>0</v>
      </c>
    </row>
    <row r="1605" spans="1:24" x14ac:dyDescent="0.3">
      <c r="A1605" t="s">
        <v>2550</v>
      </c>
      <c r="B1605" t="s">
        <v>2559</v>
      </c>
      <c r="C1605" t="s">
        <v>23</v>
      </c>
      <c r="D1605" t="s">
        <v>24</v>
      </c>
      <c r="E1605" t="s">
        <v>25</v>
      </c>
      <c r="F1605">
        <v>1</v>
      </c>
      <c r="G1605">
        <v>9791133106127</v>
      </c>
      <c r="H1605" t="s">
        <v>32</v>
      </c>
      <c r="I1605" t="s">
        <v>585</v>
      </c>
      <c r="J1605" t="s">
        <v>160</v>
      </c>
      <c r="K1605" t="s">
        <v>29</v>
      </c>
      <c r="L1605">
        <v>0</v>
      </c>
      <c r="M1605" t="s">
        <v>29</v>
      </c>
      <c r="N1605">
        <v>0</v>
      </c>
      <c r="O1605">
        <v>0</v>
      </c>
      <c r="P1605" t="s">
        <v>30</v>
      </c>
      <c r="Q1605" s="2">
        <v>0.7</v>
      </c>
      <c r="R1605">
        <v>0</v>
      </c>
      <c r="V1605" t="str">
        <f>VLOOKUP(H1605,'[1]팀별 출판사'!A:B,2,0)</f>
        <v>소설1팀</v>
      </c>
      <c r="W1605" s="6">
        <f t="shared" si="50"/>
        <v>0</v>
      </c>
      <c r="X1605" s="6">
        <f t="shared" si="51"/>
        <v>0</v>
      </c>
    </row>
    <row r="1606" spans="1:24" x14ac:dyDescent="0.3">
      <c r="A1606" t="s">
        <v>2550</v>
      </c>
      <c r="B1606" t="s">
        <v>2560</v>
      </c>
      <c r="C1606" t="s">
        <v>23</v>
      </c>
      <c r="D1606" t="s">
        <v>24</v>
      </c>
      <c r="E1606" t="s">
        <v>25</v>
      </c>
      <c r="F1606">
        <v>1</v>
      </c>
      <c r="G1606">
        <v>9791173782909</v>
      </c>
      <c r="H1606" t="s">
        <v>26</v>
      </c>
      <c r="I1606" t="s">
        <v>2561</v>
      </c>
      <c r="J1606" t="s">
        <v>284</v>
      </c>
      <c r="K1606" t="s">
        <v>29</v>
      </c>
      <c r="L1606" s="1">
        <v>3200</v>
      </c>
      <c r="M1606" t="s">
        <v>29</v>
      </c>
      <c r="N1606" s="1">
        <v>3200</v>
      </c>
      <c r="O1606" s="1">
        <v>3200</v>
      </c>
      <c r="P1606" t="s">
        <v>30</v>
      </c>
      <c r="Q1606" s="2">
        <v>0.7</v>
      </c>
      <c r="R1606" s="1">
        <v>2240</v>
      </c>
      <c r="S1606" t="s">
        <v>29</v>
      </c>
      <c r="T1606" s="1">
        <v>2240</v>
      </c>
      <c r="V1606" t="str">
        <f>VLOOKUP(H1606,'[1]팀별 출판사'!A:B,2,0)</f>
        <v>소설1팀</v>
      </c>
      <c r="W1606" s="6">
        <f t="shared" si="50"/>
        <v>0</v>
      </c>
      <c r="X1606" s="6">
        <f t="shared" si="51"/>
        <v>2240</v>
      </c>
    </row>
    <row r="1607" spans="1:24" x14ac:dyDescent="0.3">
      <c r="A1607" t="s">
        <v>2550</v>
      </c>
      <c r="B1607" t="s">
        <v>2562</v>
      </c>
      <c r="C1607" t="s">
        <v>23</v>
      </c>
      <c r="D1607" t="s">
        <v>24</v>
      </c>
      <c r="E1607" t="s">
        <v>25</v>
      </c>
      <c r="F1607">
        <v>1</v>
      </c>
      <c r="G1607">
        <v>9791133101801</v>
      </c>
      <c r="H1607" t="s">
        <v>32</v>
      </c>
      <c r="I1607" t="s">
        <v>1173</v>
      </c>
      <c r="J1607" t="s">
        <v>160</v>
      </c>
      <c r="K1607" t="s">
        <v>29</v>
      </c>
      <c r="L1607">
        <v>0</v>
      </c>
      <c r="M1607" t="s">
        <v>29</v>
      </c>
      <c r="N1607">
        <v>0</v>
      </c>
      <c r="O1607">
        <v>0</v>
      </c>
      <c r="P1607" t="s">
        <v>30</v>
      </c>
      <c r="Q1607" s="2">
        <v>0.7</v>
      </c>
      <c r="R1607">
        <v>0</v>
      </c>
      <c r="V1607" t="str">
        <f>VLOOKUP(H1607,'[1]팀별 출판사'!A:B,2,0)</f>
        <v>소설1팀</v>
      </c>
      <c r="W1607" s="6">
        <f t="shared" si="50"/>
        <v>0</v>
      </c>
      <c r="X1607" s="6">
        <f t="shared" si="51"/>
        <v>0</v>
      </c>
    </row>
    <row r="1608" spans="1:24" x14ac:dyDescent="0.3">
      <c r="A1608" t="s">
        <v>2550</v>
      </c>
      <c r="B1608" t="s">
        <v>2563</v>
      </c>
      <c r="C1608" t="s">
        <v>23</v>
      </c>
      <c r="D1608" t="s">
        <v>24</v>
      </c>
      <c r="E1608" t="s">
        <v>25</v>
      </c>
      <c r="F1608">
        <v>1</v>
      </c>
      <c r="G1608">
        <v>9791133130184</v>
      </c>
      <c r="H1608" t="s">
        <v>32</v>
      </c>
      <c r="I1608" t="s">
        <v>669</v>
      </c>
      <c r="J1608" t="s">
        <v>160</v>
      </c>
      <c r="K1608" t="s">
        <v>29</v>
      </c>
      <c r="L1608">
        <v>0</v>
      </c>
      <c r="M1608" t="s">
        <v>29</v>
      </c>
      <c r="N1608">
        <v>0</v>
      </c>
      <c r="O1608">
        <v>0</v>
      </c>
      <c r="P1608" t="s">
        <v>30</v>
      </c>
      <c r="Q1608" s="2">
        <v>0.7</v>
      </c>
      <c r="R1608">
        <v>0</v>
      </c>
      <c r="V1608" t="str">
        <f>VLOOKUP(H1608,'[1]팀별 출판사'!A:B,2,0)</f>
        <v>소설1팀</v>
      </c>
      <c r="W1608" s="6">
        <f t="shared" si="50"/>
        <v>0</v>
      </c>
      <c r="X1608" s="6">
        <f t="shared" si="51"/>
        <v>0</v>
      </c>
    </row>
    <row r="1609" spans="1:24" x14ac:dyDescent="0.3">
      <c r="A1609" t="s">
        <v>2550</v>
      </c>
      <c r="B1609" t="s">
        <v>2564</v>
      </c>
      <c r="C1609" t="s">
        <v>23</v>
      </c>
      <c r="D1609" t="s">
        <v>24</v>
      </c>
      <c r="E1609" t="s">
        <v>25</v>
      </c>
      <c r="F1609">
        <v>1</v>
      </c>
      <c r="G1609">
        <v>9791133101795</v>
      </c>
      <c r="H1609" t="s">
        <v>32</v>
      </c>
      <c r="I1609" t="s">
        <v>566</v>
      </c>
      <c r="J1609" t="s">
        <v>160</v>
      </c>
      <c r="K1609" t="s">
        <v>29</v>
      </c>
      <c r="L1609">
        <v>0</v>
      </c>
      <c r="M1609" t="s">
        <v>29</v>
      </c>
      <c r="N1609">
        <v>0</v>
      </c>
      <c r="O1609">
        <v>0</v>
      </c>
      <c r="P1609" t="s">
        <v>30</v>
      </c>
      <c r="Q1609" s="2">
        <v>0.7</v>
      </c>
      <c r="R1609">
        <v>0</v>
      </c>
      <c r="V1609" t="str">
        <f>VLOOKUP(H1609,'[1]팀별 출판사'!A:B,2,0)</f>
        <v>소설1팀</v>
      </c>
      <c r="W1609" s="6">
        <f t="shared" si="50"/>
        <v>0</v>
      </c>
      <c r="X1609" s="6">
        <f t="shared" si="51"/>
        <v>0</v>
      </c>
    </row>
    <row r="1610" spans="1:24" x14ac:dyDescent="0.3">
      <c r="A1610" t="s">
        <v>2550</v>
      </c>
      <c r="B1610" t="s">
        <v>2565</v>
      </c>
      <c r="C1610" t="s">
        <v>23</v>
      </c>
      <c r="D1610" t="s">
        <v>24</v>
      </c>
      <c r="E1610" t="s">
        <v>25</v>
      </c>
      <c r="F1610">
        <v>1</v>
      </c>
      <c r="G1610" t="s">
        <v>2566</v>
      </c>
      <c r="H1610" t="s">
        <v>208</v>
      </c>
      <c r="I1610" t="s">
        <v>2567</v>
      </c>
      <c r="J1610" t="s">
        <v>2568</v>
      </c>
      <c r="K1610" t="s">
        <v>29</v>
      </c>
      <c r="L1610">
        <v>0</v>
      </c>
      <c r="M1610" t="s">
        <v>29</v>
      </c>
      <c r="N1610">
        <v>0</v>
      </c>
      <c r="O1610">
        <v>0</v>
      </c>
      <c r="P1610" t="s">
        <v>30</v>
      </c>
      <c r="Q1610" s="2">
        <v>0.7</v>
      </c>
      <c r="R1610">
        <v>0</v>
      </c>
      <c r="V1610" t="str">
        <f>VLOOKUP(H1610,'[1]팀별 출판사'!A:B,2,0)</f>
        <v>소설1팀</v>
      </c>
      <c r="W1610" s="6">
        <f t="shared" si="50"/>
        <v>0</v>
      </c>
      <c r="X1610" s="6">
        <f t="shared" si="51"/>
        <v>0</v>
      </c>
    </row>
    <row r="1611" spans="1:24" x14ac:dyDescent="0.3">
      <c r="A1611" t="s">
        <v>2550</v>
      </c>
      <c r="B1611" t="s">
        <v>2569</v>
      </c>
      <c r="C1611" t="s">
        <v>23</v>
      </c>
      <c r="D1611" t="s">
        <v>24</v>
      </c>
      <c r="E1611" t="s">
        <v>25</v>
      </c>
      <c r="F1611">
        <v>1</v>
      </c>
      <c r="G1611">
        <v>9791133186501</v>
      </c>
      <c r="H1611" t="s">
        <v>26</v>
      </c>
      <c r="I1611" t="s">
        <v>64</v>
      </c>
      <c r="J1611" t="s">
        <v>65</v>
      </c>
      <c r="K1611" t="s">
        <v>29</v>
      </c>
      <c r="L1611">
        <v>0</v>
      </c>
      <c r="M1611" t="s">
        <v>29</v>
      </c>
      <c r="N1611">
        <v>0</v>
      </c>
      <c r="O1611">
        <v>0</v>
      </c>
      <c r="P1611" t="s">
        <v>30</v>
      </c>
      <c r="Q1611" s="2">
        <v>0.7</v>
      </c>
      <c r="R1611">
        <v>0</v>
      </c>
      <c r="V1611" t="str">
        <f>VLOOKUP(H1611,'[1]팀별 출판사'!A:B,2,0)</f>
        <v>소설1팀</v>
      </c>
      <c r="W1611" s="6">
        <f t="shared" si="50"/>
        <v>0</v>
      </c>
      <c r="X1611" s="6">
        <f t="shared" si="51"/>
        <v>0</v>
      </c>
    </row>
    <row r="1612" spans="1:24" x14ac:dyDescent="0.3">
      <c r="A1612" t="s">
        <v>2550</v>
      </c>
      <c r="B1612" t="s">
        <v>2570</v>
      </c>
      <c r="C1612" t="s">
        <v>23</v>
      </c>
      <c r="D1612" t="s">
        <v>24</v>
      </c>
      <c r="E1612" t="s">
        <v>25</v>
      </c>
      <c r="F1612">
        <v>1</v>
      </c>
      <c r="G1612" t="s">
        <v>981</v>
      </c>
      <c r="H1612" t="s">
        <v>32</v>
      </c>
      <c r="I1612" t="s">
        <v>982</v>
      </c>
      <c r="J1612" t="s">
        <v>166</v>
      </c>
      <c r="K1612" t="s">
        <v>29</v>
      </c>
      <c r="L1612">
        <v>0</v>
      </c>
      <c r="M1612" t="s">
        <v>29</v>
      </c>
      <c r="N1612">
        <v>0</v>
      </c>
      <c r="O1612">
        <v>0</v>
      </c>
      <c r="P1612" t="s">
        <v>30</v>
      </c>
      <c r="Q1612" s="2">
        <v>0.7</v>
      </c>
      <c r="R1612">
        <v>0</v>
      </c>
      <c r="V1612" t="str">
        <f>VLOOKUP(H1612,'[1]팀별 출판사'!A:B,2,0)</f>
        <v>소설1팀</v>
      </c>
      <c r="W1612" s="6">
        <f t="shared" si="50"/>
        <v>0</v>
      </c>
      <c r="X1612" s="6">
        <f t="shared" si="51"/>
        <v>0</v>
      </c>
    </row>
    <row r="1613" spans="1:24" x14ac:dyDescent="0.3">
      <c r="A1613" t="s">
        <v>2550</v>
      </c>
      <c r="B1613" t="s">
        <v>2571</v>
      </c>
      <c r="C1613" t="s">
        <v>23</v>
      </c>
      <c r="D1613" t="s">
        <v>24</v>
      </c>
      <c r="E1613" t="s">
        <v>25</v>
      </c>
      <c r="F1613">
        <v>1</v>
      </c>
      <c r="G1613">
        <v>9791136930361</v>
      </c>
      <c r="H1613" t="s">
        <v>32</v>
      </c>
      <c r="I1613" t="s">
        <v>33</v>
      </c>
      <c r="J1613" t="s">
        <v>34</v>
      </c>
      <c r="K1613" t="s">
        <v>29</v>
      </c>
      <c r="L1613">
        <v>0</v>
      </c>
      <c r="M1613" t="s">
        <v>47</v>
      </c>
      <c r="N1613">
        <v>0</v>
      </c>
      <c r="O1613">
        <v>0</v>
      </c>
      <c r="P1613" t="s">
        <v>48</v>
      </c>
      <c r="Q1613" s="2">
        <v>0.7</v>
      </c>
      <c r="R1613">
        <v>0</v>
      </c>
      <c r="V1613" t="str">
        <f>VLOOKUP(H1613,'[1]팀별 출판사'!A:B,2,0)</f>
        <v>소설1팀</v>
      </c>
      <c r="W1613" s="6">
        <f t="shared" si="50"/>
        <v>0</v>
      </c>
      <c r="X1613" s="6">
        <f t="shared" si="51"/>
        <v>0</v>
      </c>
    </row>
    <row r="1614" spans="1:24" x14ac:dyDescent="0.3">
      <c r="A1614" t="s">
        <v>2550</v>
      </c>
      <c r="B1614" t="s">
        <v>2572</v>
      </c>
      <c r="C1614" t="s">
        <v>23</v>
      </c>
      <c r="D1614" t="s">
        <v>24</v>
      </c>
      <c r="E1614" t="s">
        <v>25</v>
      </c>
      <c r="F1614">
        <v>1</v>
      </c>
      <c r="G1614">
        <v>9791133102716</v>
      </c>
      <c r="H1614" t="s">
        <v>32</v>
      </c>
      <c r="I1614" t="s">
        <v>673</v>
      </c>
      <c r="J1614" t="s">
        <v>51</v>
      </c>
      <c r="K1614" t="s">
        <v>29</v>
      </c>
      <c r="L1614">
        <v>0</v>
      </c>
      <c r="M1614" t="s">
        <v>29</v>
      </c>
      <c r="N1614">
        <v>0</v>
      </c>
      <c r="O1614">
        <v>0</v>
      </c>
      <c r="P1614" t="s">
        <v>30</v>
      </c>
      <c r="Q1614" s="2">
        <v>0.7</v>
      </c>
      <c r="R1614">
        <v>0</v>
      </c>
      <c r="V1614" t="str">
        <f>VLOOKUP(H1614,'[1]팀별 출판사'!A:B,2,0)</f>
        <v>소설1팀</v>
      </c>
      <c r="W1614" s="6">
        <f t="shared" si="50"/>
        <v>0</v>
      </c>
      <c r="X1614" s="6">
        <f t="shared" si="51"/>
        <v>0</v>
      </c>
    </row>
    <row r="1615" spans="1:24" x14ac:dyDescent="0.3">
      <c r="A1615" t="s">
        <v>2550</v>
      </c>
      <c r="B1615" t="s">
        <v>2573</v>
      </c>
      <c r="C1615" t="s">
        <v>23</v>
      </c>
      <c r="D1615" t="s">
        <v>24</v>
      </c>
      <c r="E1615" t="s">
        <v>25</v>
      </c>
      <c r="F1615">
        <v>1</v>
      </c>
      <c r="G1615">
        <v>9791136936646</v>
      </c>
      <c r="H1615" t="s">
        <v>32</v>
      </c>
      <c r="I1615" t="s">
        <v>989</v>
      </c>
      <c r="J1615" t="s">
        <v>622</v>
      </c>
      <c r="K1615" t="s">
        <v>29</v>
      </c>
      <c r="L1615">
        <v>0</v>
      </c>
      <c r="M1615" t="s">
        <v>47</v>
      </c>
      <c r="N1615">
        <v>0</v>
      </c>
      <c r="O1615">
        <v>0</v>
      </c>
      <c r="P1615" t="s">
        <v>48</v>
      </c>
      <c r="Q1615" s="2">
        <v>0.7</v>
      </c>
      <c r="R1615">
        <v>0</v>
      </c>
      <c r="V1615" t="str">
        <f>VLOOKUP(H1615,'[1]팀별 출판사'!A:B,2,0)</f>
        <v>소설1팀</v>
      </c>
      <c r="W1615" s="6">
        <f t="shared" si="50"/>
        <v>0</v>
      </c>
      <c r="X1615" s="6">
        <f t="shared" si="51"/>
        <v>0</v>
      </c>
    </row>
    <row r="1616" spans="1:24" x14ac:dyDescent="0.3">
      <c r="A1616" t="s">
        <v>2550</v>
      </c>
      <c r="B1616" t="s">
        <v>2574</v>
      </c>
      <c r="C1616" t="s">
        <v>23</v>
      </c>
      <c r="D1616" t="s">
        <v>24</v>
      </c>
      <c r="E1616" t="s">
        <v>25</v>
      </c>
      <c r="F1616">
        <v>1</v>
      </c>
      <c r="G1616">
        <v>9791170101864</v>
      </c>
      <c r="H1616" t="s">
        <v>67</v>
      </c>
      <c r="I1616" t="s">
        <v>1985</v>
      </c>
      <c r="J1616" t="s">
        <v>402</v>
      </c>
      <c r="K1616" t="s">
        <v>29</v>
      </c>
      <c r="L1616">
        <v>0</v>
      </c>
      <c r="M1616" t="s">
        <v>29</v>
      </c>
      <c r="N1616">
        <v>0</v>
      </c>
      <c r="O1616">
        <v>0</v>
      </c>
      <c r="P1616" t="s">
        <v>30</v>
      </c>
      <c r="Q1616" s="2">
        <v>0.7</v>
      </c>
      <c r="R1616">
        <v>0</v>
      </c>
      <c r="V1616" t="str">
        <f>VLOOKUP(H1616,'[1]팀별 출판사'!A:B,2,0)</f>
        <v>소설1팀</v>
      </c>
      <c r="W1616" s="6">
        <f t="shared" si="50"/>
        <v>0</v>
      </c>
      <c r="X1616" s="6">
        <f t="shared" si="51"/>
        <v>0</v>
      </c>
    </row>
    <row r="1617" spans="1:24" x14ac:dyDescent="0.3">
      <c r="A1617" t="s">
        <v>2550</v>
      </c>
      <c r="B1617" t="s">
        <v>2575</v>
      </c>
      <c r="C1617" t="s">
        <v>23</v>
      </c>
      <c r="D1617" t="s">
        <v>24</v>
      </c>
      <c r="E1617" t="s">
        <v>25</v>
      </c>
      <c r="F1617">
        <v>1</v>
      </c>
      <c r="G1617">
        <v>9791136931375</v>
      </c>
      <c r="H1617" t="s">
        <v>32</v>
      </c>
      <c r="I1617" t="s">
        <v>189</v>
      </c>
      <c r="J1617" t="s">
        <v>46</v>
      </c>
      <c r="K1617" t="s">
        <v>29</v>
      </c>
      <c r="L1617">
        <v>0</v>
      </c>
      <c r="M1617" t="s">
        <v>47</v>
      </c>
      <c r="N1617">
        <v>0</v>
      </c>
      <c r="O1617">
        <v>0</v>
      </c>
      <c r="P1617" t="s">
        <v>48</v>
      </c>
      <c r="Q1617" s="2">
        <v>0.7</v>
      </c>
      <c r="R1617">
        <v>0</v>
      </c>
      <c r="V1617" t="str">
        <f>VLOOKUP(H1617,'[1]팀별 출판사'!A:B,2,0)</f>
        <v>소설1팀</v>
      </c>
      <c r="W1617" s="6">
        <f t="shared" si="50"/>
        <v>0</v>
      </c>
      <c r="X1617" s="6">
        <f t="shared" si="51"/>
        <v>0</v>
      </c>
    </row>
    <row r="1618" spans="1:24" x14ac:dyDescent="0.3">
      <c r="A1618" t="s">
        <v>2550</v>
      </c>
      <c r="B1618" t="s">
        <v>2576</v>
      </c>
      <c r="C1618" t="s">
        <v>23</v>
      </c>
      <c r="D1618" t="s">
        <v>24</v>
      </c>
      <c r="E1618" t="s">
        <v>25</v>
      </c>
      <c r="F1618">
        <v>1</v>
      </c>
      <c r="G1618">
        <v>9791136904874</v>
      </c>
      <c r="H1618" t="s">
        <v>26</v>
      </c>
      <c r="I1618" t="s">
        <v>2577</v>
      </c>
      <c r="J1618" t="s">
        <v>166</v>
      </c>
      <c r="K1618" t="s">
        <v>29</v>
      </c>
      <c r="L1618" s="1">
        <v>3200</v>
      </c>
      <c r="M1618" t="s">
        <v>29</v>
      </c>
      <c r="N1618" s="1">
        <v>3200</v>
      </c>
      <c r="O1618" s="1">
        <v>3200</v>
      </c>
      <c r="P1618" t="s">
        <v>30</v>
      </c>
      <c r="Q1618" s="2">
        <v>0.7</v>
      </c>
      <c r="R1618" s="1">
        <v>2240</v>
      </c>
      <c r="S1618" t="s">
        <v>29</v>
      </c>
      <c r="T1618" s="1">
        <v>2240</v>
      </c>
      <c r="V1618" t="str">
        <f>VLOOKUP(H1618,'[1]팀별 출판사'!A:B,2,0)</f>
        <v>소설1팀</v>
      </c>
      <c r="W1618" s="6">
        <f t="shared" si="50"/>
        <v>0</v>
      </c>
      <c r="X1618" s="6">
        <f t="shared" si="51"/>
        <v>2240</v>
      </c>
    </row>
    <row r="1619" spans="1:24" x14ac:dyDescent="0.3">
      <c r="A1619" t="s">
        <v>2550</v>
      </c>
      <c r="B1619" t="s">
        <v>2578</v>
      </c>
      <c r="C1619" t="s">
        <v>23</v>
      </c>
      <c r="D1619" t="s">
        <v>24</v>
      </c>
      <c r="E1619" t="s">
        <v>25</v>
      </c>
      <c r="F1619">
        <v>1</v>
      </c>
      <c r="G1619">
        <v>9791157532254</v>
      </c>
      <c r="H1619" t="s">
        <v>32</v>
      </c>
      <c r="I1619" t="s">
        <v>2579</v>
      </c>
      <c r="J1619" t="s">
        <v>112</v>
      </c>
      <c r="K1619" t="s">
        <v>29</v>
      </c>
      <c r="L1619" s="1">
        <v>3200</v>
      </c>
      <c r="M1619" t="s">
        <v>29</v>
      </c>
      <c r="N1619" s="1">
        <v>3200</v>
      </c>
      <c r="O1619" s="1">
        <v>3200</v>
      </c>
      <c r="P1619" t="s">
        <v>30</v>
      </c>
      <c r="Q1619" s="2">
        <v>0.7</v>
      </c>
      <c r="R1619" s="1">
        <v>2240</v>
      </c>
      <c r="S1619" t="s">
        <v>29</v>
      </c>
      <c r="T1619" s="1">
        <v>2240</v>
      </c>
      <c r="V1619" t="str">
        <f>VLOOKUP(H1619,'[1]팀별 출판사'!A:B,2,0)</f>
        <v>소설1팀</v>
      </c>
      <c r="W1619" s="6">
        <f t="shared" si="50"/>
        <v>0</v>
      </c>
      <c r="X1619" s="6">
        <f t="shared" si="51"/>
        <v>2240</v>
      </c>
    </row>
    <row r="1620" spans="1:24" x14ac:dyDescent="0.3">
      <c r="A1620" t="s">
        <v>2550</v>
      </c>
      <c r="B1620" t="s">
        <v>2580</v>
      </c>
      <c r="C1620" t="s">
        <v>23</v>
      </c>
      <c r="D1620" t="s">
        <v>24</v>
      </c>
      <c r="E1620" t="s">
        <v>25</v>
      </c>
      <c r="F1620">
        <v>1</v>
      </c>
      <c r="G1620">
        <v>9791170104537</v>
      </c>
      <c r="H1620" t="s">
        <v>67</v>
      </c>
      <c r="I1620" t="s">
        <v>1745</v>
      </c>
      <c r="J1620" t="s">
        <v>1746</v>
      </c>
      <c r="K1620" t="s">
        <v>29</v>
      </c>
      <c r="L1620">
        <v>0</v>
      </c>
      <c r="M1620" t="s">
        <v>29</v>
      </c>
      <c r="N1620">
        <v>0</v>
      </c>
      <c r="O1620">
        <v>0</v>
      </c>
      <c r="P1620" t="s">
        <v>30</v>
      </c>
      <c r="Q1620" s="2">
        <v>0.7</v>
      </c>
      <c r="R1620">
        <v>0</v>
      </c>
      <c r="V1620" t="str">
        <f>VLOOKUP(H1620,'[1]팀별 출판사'!A:B,2,0)</f>
        <v>소설1팀</v>
      </c>
      <c r="W1620" s="6">
        <f t="shared" si="50"/>
        <v>0</v>
      </c>
      <c r="X1620" s="6">
        <f t="shared" si="51"/>
        <v>0</v>
      </c>
    </row>
    <row r="1621" spans="1:24" x14ac:dyDescent="0.3">
      <c r="A1621" t="s">
        <v>2550</v>
      </c>
      <c r="B1621" t="s">
        <v>2581</v>
      </c>
      <c r="C1621" t="s">
        <v>23</v>
      </c>
      <c r="D1621" t="s">
        <v>24</v>
      </c>
      <c r="E1621" t="s">
        <v>25</v>
      </c>
      <c r="F1621">
        <v>1</v>
      </c>
      <c r="G1621">
        <v>9791170106944</v>
      </c>
      <c r="H1621" t="s">
        <v>67</v>
      </c>
      <c r="I1621" t="s">
        <v>2582</v>
      </c>
      <c r="J1621" t="s">
        <v>2583</v>
      </c>
      <c r="K1621" t="s">
        <v>29</v>
      </c>
      <c r="L1621">
        <v>0</v>
      </c>
      <c r="M1621" t="s">
        <v>29</v>
      </c>
      <c r="N1621">
        <v>0</v>
      </c>
      <c r="O1621">
        <v>0</v>
      </c>
      <c r="P1621" t="s">
        <v>30</v>
      </c>
      <c r="Q1621" s="2">
        <v>0.7</v>
      </c>
      <c r="R1621">
        <v>0</v>
      </c>
      <c r="V1621" t="str">
        <f>VLOOKUP(H1621,'[1]팀별 출판사'!A:B,2,0)</f>
        <v>소설1팀</v>
      </c>
      <c r="W1621" s="6">
        <f t="shared" si="50"/>
        <v>0</v>
      </c>
      <c r="X1621" s="6">
        <f t="shared" si="51"/>
        <v>0</v>
      </c>
    </row>
    <row r="1622" spans="1:24" x14ac:dyDescent="0.3">
      <c r="A1622" t="s">
        <v>2550</v>
      </c>
      <c r="B1622" t="s">
        <v>2584</v>
      </c>
      <c r="C1622" t="s">
        <v>23</v>
      </c>
      <c r="D1622" t="s">
        <v>24</v>
      </c>
      <c r="E1622" t="s">
        <v>25</v>
      </c>
      <c r="F1622">
        <v>1</v>
      </c>
      <c r="G1622" t="s">
        <v>2160</v>
      </c>
      <c r="H1622" t="s">
        <v>32</v>
      </c>
      <c r="I1622" t="s">
        <v>2161</v>
      </c>
      <c r="J1622" t="s">
        <v>88</v>
      </c>
      <c r="K1622" t="s">
        <v>29</v>
      </c>
      <c r="L1622">
        <v>0</v>
      </c>
      <c r="M1622" t="s">
        <v>29</v>
      </c>
      <c r="N1622">
        <v>0</v>
      </c>
      <c r="O1622">
        <v>0</v>
      </c>
      <c r="P1622" t="s">
        <v>30</v>
      </c>
      <c r="Q1622" s="2">
        <v>0.7</v>
      </c>
      <c r="R1622">
        <v>0</v>
      </c>
      <c r="V1622" t="str">
        <f>VLOOKUP(H1622,'[1]팀별 출판사'!A:B,2,0)</f>
        <v>소설1팀</v>
      </c>
      <c r="W1622" s="6">
        <f t="shared" si="50"/>
        <v>0</v>
      </c>
      <c r="X1622" s="6">
        <f t="shared" si="51"/>
        <v>0</v>
      </c>
    </row>
    <row r="1623" spans="1:24" x14ac:dyDescent="0.3">
      <c r="A1623" t="s">
        <v>2550</v>
      </c>
      <c r="B1623" t="s">
        <v>2585</v>
      </c>
      <c r="C1623" t="s">
        <v>23</v>
      </c>
      <c r="D1623" t="s">
        <v>24</v>
      </c>
      <c r="E1623" t="s">
        <v>25</v>
      </c>
      <c r="F1623">
        <v>1</v>
      </c>
      <c r="G1623">
        <v>9791133147847</v>
      </c>
      <c r="H1623" t="s">
        <v>32</v>
      </c>
      <c r="I1623" t="s">
        <v>2586</v>
      </c>
      <c r="J1623" t="s">
        <v>284</v>
      </c>
      <c r="K1623" t="s">
        <v>29</v>
      </c>
      <c r="L1623">
        <v>0</v>
      </c>
      <c r="M1623" t="s">
        <v>29</v>
      </c>
      <c r="N1623">
        <v>0</v>
      </c>
      <c r="O1623">
        <v>0</v>
      </c>
      <c r="P1623" t="s">
        <v>30</v>
      </c>
      <c r="Q1623" s="2">
        <v>0.7</v>
      </c>
      <c r="R1623">
        <v>0</v>
      </c>
      <c r="V1623" t="str">
        <f>VLOOKUP(H1623,'[1]팀별 출판사'!A:B,2,0)</f>
        <v>소설1팀</v>
      </c>
      <c r="W1623" s="6">
        <f t="shared" si="50"/>
        <v>0</v>
      </c>
      <c r="X1623" s="6">
        <f t="shared" si="51"/>
        <v>0</v>
      </c>
    </row>
    <row r="1624" spans="1:24" x14ac:dyDescent="0.3">
      <c r="A1624" t="s">
        <v>2550</v>
      </c>
      <c r="B1624" t="s">
        <v>2587</v>
      </c>
      <c r="C1624" t="s">
        <v>23</v>
      </c>
      <c r="D1624" t="s">
        <v>24</v>
      </c>
      <c r="E1624" t="s">
        <v>25</v>
      </c>
      <c r="F1624">
        <v>1</v>
      </c>
      <c r="G1624">
        <v>9791170100959</v>
      </c>
      <c r="H1624" t="s">
        <v>67</v>
      </c>
      <c r="I1624" t="s">
        <v>423</v>
      </c>
      <c r="J1624" t="s">
        <v>424</v>
      </c>
      <c r="K1624" t="s">
        <v>29</v>
      </c>
      <c r="L1624">
        <v>0</v>
      </c>
      <c r="M1624" t="s">
        <v>29</v>
      </c>
      <c r="N1624">
        <v>0</v>
      </c>
      <c r="O1624">
        <v>0</v>
      </c>
      <c r="P1624" t="s">
        <v>30</v>
      </c>
      <c r="Q1624" s="2">
        <v>0.7</v>
      </c>
      <c r="R1624">
        <v>0</v>
      </c>
      <c r="V1624" t="str">
        <f>VLOOKUP(H1624,'[1]팀별 출판사'!A:B,2,0)</f>
        <v>소설1팀</v>
      </c>
      <c r="W1624" s="6">
        <f t="shared" si="50"/>
        <v>0</v>
      </c>
      <c r="X1624" s="6">
        <f t="shared" si="51"/>
        <v>0</v>
      </c>
    </row>
    <row r="1625" spans="1:24" x14ac:dyDescent="0.3">
      <c r="A1625" t="s">
        <v>2550</v>
      </c>
      <c r="B1625" t="s">
        <v>2588</v>
      </c>
      <c r="C1625" t="s">
        <v>23</v>
      </c>
      <c r="D1625" t="s">
        <v>24</v>
      </c>
      <c r="E1625" t="s">
        <v>25</v>
      </c>
      <c r="F1625">
        <v>1</v>
      </c>
      <c r="G1625">
        <v>9791170100973</v>
      </c>
      <c r="H1625" t="s">
        <v>67</v>
      </c>
      <c r="I1625" t="s">
        <v>2589</v>
      </c>
      <c r="J1625" t="s">
        <v>424</v>
      </c>
      <c r="K1625" t="s">
        <v>29</v>
      </c>
      <c r="L1625">
        <v>0</v>
      </c>
      <c r="M1625" t="s">
        <v>29</v>
      </c>
      <c r="N1625">
        <v>0</v>
      </c>
      <c r="O1625">
        <v>0</v>
      </c>
      <c r="P1625" t="s">
        <v>30</v>
      </c>
      <c r="Q1625" s="2">
        <v>0.7</v>
      </c>
      <c r="R1625">
        <v>0</v>
      </c>
      <c r="V1625" t="str">
        <f>VLOOKUP(H1625,'[1]팀별 출판사'!A:B,2,0)</f>
        <v>소설1팀</v>
      </c>
      <c r="W1625" s="6">
        <f t="shared" si="50"/>
        <v>0</v>
      </c>
      <c r="X1625" s="6">
        <f t="shared" si="51"/>
        <v>0</v>
      </c>
    </row>
    <row r="1626" spans="1:24" x14ac:dyDescent="0.3">
      <c r="A1626" t="s">
        <v>2550</v>
      </c>
      <c r="B1626" t="s">
        <v>2590</v>
      </c>
      <c r="C1626" t="s">
        <v>23</v>
      </c>
      <c r="D1626" t="s">
        <v>24</v>
      </c>
      <c r="E1626" t="s">
        <v>25</v>
      </c>
      <c r="F1626">
        <v>1</v>
      </c>
      <c r="G1626">
        <v>9791172920029</v>
      </c>
      <c r="H1626" t="s">
        <v>26</v>
      </c>
      <c r="I1626" t="s">
        <v>369</v>
      </c>
      <c r="J1626" t="s">
        <v>276</v>
      </c>
      <c r="K1626" t="s">
        <v>29</v>
      </c>
      <c r="L1626">
        <v>0</v>
      </c>
      <c r="M1626" t="s">
        <v>29</v>
      </c>
      <c r="N1626">
        <v>0</v>
      </c>
      <c r="O1626">
        <v>0</v>
      </c>
      <c r="P1626" t="s">
        <v>30</v>
      </c>
      <c r="Q1626" s="2">
        <v>0.7</v>
      </c>
      <c r="R1626">
        <v>0</v>
      </c>
      <c r="V1626" t="str">
        <f>VLOOKUP(H1626,'[1]팀별 출판사'!A:B,2,0)</f>
        <v>소설1팀</v>
      </c>
      <c r="W1626" s="6">
        <f t="shared" si="50"/>
        <v>0</v>
      </c>
      <c r="X1626" s="6">
        <f t="shared" si="51"/>
        <v>0</v>
      </c>
    </row>
    <row r="1627" spans="1:24" x14ac:dyDescent="0.3">
      <c r="A1627" t="s">
        <v>2550</v>
      </c>
      <c r="B1627" t="s">
        <v>2591</v>
      </c>
      <c r="C1627" t="s">
        <v>23</v>
      </c>
      <c r="D1627" t="s">
        <v>24</v>
      </c>
      <c r="E1627" t="s">
        <v>25</v>
      </c>
      <c r="F1627">
        <v>1</v>
      </c>
      <c r="G1627">
        <v>9791136941862</v>
      </c>
      <c r="H1627" t="s">
        <v>26</v>
      </c>
      <c r="I1627" t="s">
        <v>894</v>
      </c>
      <c r="J1627" t="s">
        <v>81</v>
      </c>
      <c r="K1627" t="s">
        <v>29</v>
      </c>
      <c r="L1627">
        <v>0</v>
      </c>
      <c r="M1627" t="s">
        <v>29</v>
      </c>
      <c r="N1627">
        <v>0</v>
      </c>
      <c r="O1627">
        <v>0</v>
      </c>
      <c r="P1627" t="s">
        <v>30</v>
      </c>
      <c r="Q1627" s="2">
        <v>0.7</v>
      </c>
      <c r="R1627">
        <v>0</v>
      </c>
      <c r="V1627" t="str">
        <f>VLOOKUP(H1627,'[1]팀별 출판사'!A:B,2,0)</f>
        <v>소설1팀</v>
      </c>
      <c r="W1627" s="6">
        <f t="shared" si="50"/>
        <v>0</v>
      </c>
      <c r="X1627" s="6">
        <f t="shared" si="51"/>
        <v>0</v>
      </c>
    </row>
    <row r="1628" spans="1:24" x14ac:dyDescent="0.3">
      <c r="A1628" t="s">
        <v>2550</v>
      </c>
      <c r="B1628" t="s">
        <v>2592</v>
      </c>
      <c r="C1628" t="s">
        <v>23</v>
      </c>
      <c r="D1628" t="s">
        <v>24</v>
      </c>
      <c r="E1628" t="s">
        <v>25</v>
      </c>
      <c r="F1628">
        <v>1</v>
      </c>
      <c r="G1628">
        <v>9791136926807</v>
      </c>
      <c r="H1628" t="s">
        <v>26</v>
      </c>
      <c r="I1628" t="s">
        <v>1947</v>
      </c>
      <c r="J1628" t="s">
        <v>62</v>
      </c>
      <c r="K1628" t="s">
        <v>29</v>
      </c>
      <c r="L1628" s="1">
        <v>3200</v>
      </c>
      <c r="M1628" t="s">
        <v>29</v>
      </c>
      <c r="N1628" s="1">
        <v>3200</v>
      </c>
      <c r="O1628" s="1">
        <v>3200</v>
      </c>
      <c r="P1628" t="s">
        <v>30</v>
      </c>
      <c r="Q1628" s="2">
        <v>0.7</v>
      </c>
      <c r="R1628" s="1">
        <v>2240</v>
      </c>
      <c r="S1628" t="s">
        <v>29</v>
      </c>
      <c r="T1628" s="1">
        <v>2240</v>
      </c>
      <c r="V1628" t="str">
        <f>VLOOKUP(H1628,'[1]팀별 출판사'!A:B,2,0)</f>
        <v>소설1팀</v>
      </c>
      <c r="W1628" s="6">
        <f t="shared" si="50"/>
        <v>0</v>
      </c>
      <c r="X1628" s="6">
        <f t="shared" si="51"/>
        <v>2240</v>
      </c>
    </row>
    <row r="1629" spans="1:24" x14ac:dyDescent="0.3">
      <c r="A1629" t="s">
        <v>2550</v>
      </c>
      <c r="B1629" t="s">
        <v>2593</v>
      </c>
      <c r="C1629" t="s">
        <v>23</v>
      </c>
      <c r="D1629" t="s">
        <v>24</v>
      </c>
      <c r="E1629" t="s">
        <v>25</v>
      </c>
      <c r="F1629">
        <v>1</v>
      </c>
      <c r="G1629">
        <v>9791170100959</v>
      </c>
      <c r="H1629" t="s">
        <v>67</v>
      </c>
      <c r="I1629" t="s">
        <v>423</v>
      </c>
      <c r="J1629" t="s">
        <v>424</v>
      </c>
      <c r="K1629" t="s">
        <v>29</v>
      </c>
      <c r="L1629">
        <v>0</v>
      </c>
      <c r="M1629" t="s">
        <v>29</v>
      </c>
      <c r="N1629">
        <v>0</v>
      </c>
      <c r="O1629">
        <v>0</v>
      </c>
      <c r="P1629" t="s">
        <v>30</v>
      </c>
      <c r="Q1629" s="2">
        <v>0.7</v>
      </c>
      <c r="R1629">
        <v>0</v>
      </c>
      <c r="V1629" t="str">
        <f>VLOOKUP(H1629,'[1]팀별 출판사'!A:B,2,0)</f>
        <v>소설1팀</v>
      </c>
      <c r="W1629" s="6">
        <f t="shared" si="50"/>
        <v>0</v>
      </c>
      <c r="X1629" s="6">
        <f t="shared" si="51"/>
        <v>0</v>
      </c>
    </row>
    <row r="1630" spans="1:24" x14ac:dyDescent="0.3">
      <c r="A1630" t="s">
        <v>2550</v>
      </c>
      <c r="B1630" t="s">
        <v>2594</v>
      </c>
      <c r="C1630" t="s">
        <v>23</v>
      </c>
      <c r="D1630" t="s">
        <v>24</v>
      </c>
      <c r="E1630" t="s">
        <v>25</v>
      </c>
      <c r="F1630">
        <v>1</v>
      </c>
      <c r="G1630">
        <v>9791136942319</v>
      </c>
      <c r="H1630" t="s">
        <v>26</v>
      </c>
      <c r="I1630" t="s">
        <v>2595</v>
      </c>
      <c r="J1630" t="s">
        <v>284</v>
      </c>
      <c r="K1630" t="s">
        <v>29</v>
      </c>
      <c r="L1630">
        <v>0</v>
      </c>
      <c r="M1630" t="s">
        <v>29</v>
      </c>
      <c r="N1630">
        <v>0</v>
      </c>
      <c r="O1630">
        <v>0</v>
      </c>
      <c r="P1630" t="s">
        <v>30</v>
      </c>
      <c r="Q1630" s="2">
        <v>0.7</v>
      </c>
      <c r="R1630">
        <v>0</v>
      </c>
      <c r="V1630" t="str">
        <f>VLOOKUP(H1630,'[1]팀별 출판사'!A:B,2,0)</f>
        <v>소설1팀</v>
      </c>
      <c r="W1630" s="6">
        <f t="shared" si="50"/>
        <v>0</v>
      </c>
      <c r="X1630" s="6">
        <f t="shared" si="51"/>
        <v>0</v>
      </c>
    </row>
    <row r="1631" spans="1:24" x14ac:dyDescent="0.3">
      <c r="A1631" t="s">
        <v>2550</v>
      </c>
      <c r="B1631" t="s">
        <v>2596</v>
      </c>
      <c r="C1631" t="s">
        <v>23</v>
      </c>
      <c r="D1631" t="s">
        <v>24</v>
      </c>
      <c r="E1631" t="s">
        <v>25</v>
      </c>
      <c r="F1631">
        <v>1</v>
      </c>
      <c r="G1631">
        <v>9791136932334</v>
      </c>
      <c r="H1631" t="s">
        <v>26</v>
      </c>
      <c r="I1631" t="s">
        <v>2597</v>
      </c>
      <c r="J1631" t="s">
        <v>1536</v>
      </c>
      <c r="K1631" t="s">
        <v>29</v>
      </c>
      <c r="L1631">
        <v>0</v>
      </c>
      <c r="M1631" t="s">
        <v>29</v>
      </c>
      <c r="N1631">
        <v>0</v>
      </c>
      <c r="O1631">
        <v>0</v>
      </c>
      <c r="P1631" t="s">
        <v>30</v>
      </c>
      <c r="Q1631" s="2">
        <v>0.7</v>
      </c>
      <c r="R1631">
        <v>0</v>
      </c>
      <c r="V1631" t="str">
        <f>VLOOKUP(H1631,'[1]팀별 출판사'!A:B,2,0)</f>
        <v>소설1팀</v>
      </c>
      <c r="W1631" s="6">
        <f t="shared" si="50"/>
        <v>0</v>
      </c>
      <c r="X1631" s="6">
        <f t="shared" si="51"/>
        <v>0</v>
      </c>
    </row>
    <row r="1632" spans="1:24" x14ac:dyDescent="0.3">
      <c r="A1632" t="s">
        <v>2550</v>
      </c>
      <c r="B1632" t="s">
        <v>2598</v>
      </c>
      <c r="C1632" t="s">
        <v>23</v>
      </c>
      <c r="D1632" t="s">
        <v>24</v>
      </c>
      <c r="E1632" t="s">
        <v>25</v>
      </c>
      <c r="F1632">
        <v>1</v>
      </c>
      <c r="G1632">
        <v>9791136940728</v>
      </c>
      <c r="H1632" t="s">
        <v>36</v>
      </c>
      <c r="I1632" t="s">
        <v>2019</v>
      </c>
      <c r="J1632" t="s">
        <v>38</v>
      </c>
      <c r="K1632" t="s">
        <v>29</v>
      </c>
      <c r="L1632" s="1">
        <v>3300</v>
      </c>
      <c r="M1632" t="s">
        <v>1827</v>
      </c>
      <c r="N1632">
        <v>3.2</v>
      </c>
      <c r="O1632">
        <v>2.94</v>
      </c>
      <c r="P1632" t="s">
        <v>1828</v>
      </c>
      <c r="Q1632" s="2">
        <v>0.7</v>
      </c>
      <c r="R1632">
        <v>2.06</v>
      </c>
      <c r="S1632" t="s">
        <v>29</v>
      </c>
      <c r="T1632" s="1">
        <v>2345</v>
      </c>
      <c r="U1632" s="3">
        <v>1140.1455699999999</v>
      </c>
      <c r="V1632" t="str">
        <f>VLOOKUP(H1632,'[1]팀별 출판사'!A:B,2,0)</f>
        <v>소설2팀</v>
      </c>
      <c r="W1632" s="6">
        <f t="shared" si="50"/>
        <v>0</v>
      </c>
      <c r="X1632" s="6">
        <f t="shared" si="51"/>
        <v>2345</v>
      </c>
    </row>
    <row r="1633" spans="1:24" x14ac:dyDescent="0.3">
      <c r="A1633" t="s">
        <v>2550</v>
      </c>
      <c r="B1633" t="s">
        <v>2599</v>
      </c>
      <c r="C1633" t="s">
        <v>23</v>
      </c>
      <c r="D1633" t="s">
        <v>24</v>
      </c>
      <c r="E1633" t="s">
        <v>25</v>
      </c>
      <c r="F1633">
        <v>1</v>
      </c>
      <c r="G1633">
        <v>9791136934925</v>
      </c>
      <c r="H1633" t="s">
        <v>32</v>
      </c>
      <c r="I1633" t="s">
        <v>385</v>
      </c>
      <c r="J1633" t="s">
        <v>126</v>
      </c>
      <c r="K1633" t="s">
        <v>29</v>
      </c>
      <c r="L1633">
        <v>0</v>
      </c>
      <c r="M1633" t="s">
        <v>127</v>
      </c>
      <c r="N1633">
        <v>0</v>
      </c>
      <c r="O1633">
        <v>0</v>
      </c>
      <c r="P1633" t="s">
        <v>128</v>
      </c>
      <c r="Q1633" s="2">
        <v>0.7</v>
      </c>
      <c r="R1633">
        <v>0</v>
      </c>
      <c r="V1633" t="str">
        <f>VLOOKUP(H1633,'[1]팀별 출판사'!A:B,2,0)</f>
        <v>소설1팀</v>
      </c>
      <c r="W1633" s="6">
        <f t="shared" si="50"/>
        <v>0</v>
      </c>
      <c r="X1633" s="6">
        <f t="shared" si="51"/>
        <v>0</v>
      </c>
    </row>
    <row r="1634" spans="1:24" x14ac:dyDescent="0.3">
      <c r="A1634" t="s">
        <v>2550</v>
      </c>
      <c r="B1634" t="s">
        <v>2600</v>
      </c>
      <c r="C1634" t="s">
        <v>23</v>
      </c>
      <c r="D1634" t="s">
        <v>24</v>
      </c>
      <c r="E1634" t="s">
        <v>25</v>
      </c>
      <c r="F1634">
        <v>1</v>
      </c>
      <c r="G1634">
        <v>9791136930224</v>
      </c>
      <c r="H1634" t="s">
        <v>32</v>
      </c>
      <c r="I1634" t="s">
        <v>172</v>
      </c>
      <c r="J1634" t="s">
        <v>46</v>
      </c>
      <c r="K1634" t="s">
        <v>29</v>
      </c>
      <c r="L1634">
        <v>0</v>
      </c>
      <c r="M1634" t="s">
        <v>127</v>
      </c>
      <c r="N1634">
        <v>0</v>
      </c>
      <c r="O1634">
        <v>0</v>
      </c>
      <c r="P1634" t="s">
        <v>128</v>
      </c>
      <c r="Q1634" s="2">
        <v>0.7</v>
      </c>
      <c r="R1634">
        <v>0</v>
      </c>
      <c r="V1634" t="str">
        <f>VLOOKUP(H1634,'[1]팀별 출판사'!A:B,2,0)</f>
        <v>소설1팀</v>
      </c>
      <c r="W1634" s="6">
        <f t="shared" si="50"/>
        <v>0</v>
      </c>
      <c r="X1634" s="6">
        <f t="shared" si="51"/>
        <v>0</v>
      </c>
    </row>
    <row r="1635" spans="1:24" x14ac:dyDescent="0.3">
      <c r="A1635" t="s">
        <v>2550</v>
      </c>
      <c r="B1635" t="s">
        <v>2601</v>
      </c>
      <c r="C1635" t="s">
        <v>23</v>
      </c>
      <c r="D1635" t="s">
        <v>24</v>
      </c>
      <c r="E1635" t="s">
        <v>25</v>
      </c>
      <c r="F1635">
        <v>1</v>
      </c>
      <c r="G1635">
        <v>9791136965455</v>
      </c>
      <c r="H1635" t="s">
        <v>26</v>
      </c>
      <c r="I1635" t="s">
        <v>472</v>
      </c>
      <c r="J1635" t="s">
        <v>157</v>
      </c>
      <c r="K1635" t="s">
        <v>29</v>
      </c>
      <c r="L1635">
        <v>0</v>
      </c>
      <c r="M1635" t="s">
        <v>127</v>
      </c>
      <c r="N1635">
        <v>0</v>
      </c>
      <c r="O1635">
        <v>0</v>
      </c>
      <c r="P1635" t="s">
        <v>128</v>
      </c>
      <c r="Q1635" s="2">
        <v>0.7</v>
      </c>
      <c r="R1635">
        <v>0</v>
      </c>
      <c r="V1635" t="str">
        <f>VLOOKUP(H1635,'[1]팀별 출판사'!A:B,2,0)</f>
        <v>소설1팀</v>
      </c>
      <c r="W1635" s="6">
        <f t="shared" si="50"/>
        <v>0</v>
      </c>
      <c r="X1635" s="6">
        <f t="shared" si="51"/>
        <v>0</v>
      </c>
    </row>
    <row r="1636" spans="1:24" x14ac:dyDescent="0.3">
      <c r="A1636" t="s">
        <v>2550</v>
      </c>
      <c r="B1636" t="s">
        <v>2602</v>
      </c>
      <c r="C1636" t="s">
        <v>23</v>
      </c>
      <c r="D1636" t="s">
        <v>24</v>
      </c>
      <c r="E1636" t="s">
        <v>25</v>
      </c>
      <c r="F1636">
        <v>1</v>
      </c>
      <c r="G1636">
        <v>9791136941862</v>
      </c>
      <c r="H1636" t="s">
        <v>26</v>
      </c>
      <c r="I1636" t="s">
        <v>894</v>
      </c>
      <c r="J1636" t="s">
        <v>81</v>
      </c>
      <c r="K1636" t="s">
        <v>29</v>
      </c>
      <c r="L1636">
        <v>0</v>
      </c>
      <c r="M1636" t="s">
        <v>127</v>
      </c>
      <c r="N1636">
        <v>0</v>
      </c>
      <c r="O1636">
        <v>0</v>
      </c>
      <c r="P1636" t="s">
        <v>128</v>
      </c>
      <c r="Q1636" s="2">
        <v>0.7</v>
      </c>
      <c r="R1636">
        <v>0</v>
      </c>
      <c r="V1636" t="str">
        <f>VLOOKUP(H1636,'[1]팀별 출판사'!A:B,2,0)</f>
        <v>소설1팀</v>
      </c>
      <c r="W1636" s="6">
        <f t="shared" si="50"/>
        <v>0</v>
      </c>
      <c r="X1636" s="6">
        <f t="shared" si="51"/>
        <v>0</v>
      </c>
    </row>
    <row r="1637" spans="1:24" x14ac:dyDescent="0.3">
      <c r="A1637" t="s">
        <v>2550</v>
      </c>
      <c r="B1637" t="s">
        <v>2603</v>
      </c>
      <c r="C1637" t="s">
        <v>23</v>
      </c>
      <c r="D1637" t="s">
        <v>24</v>
      </c>
      <c r="E1637" t="s">
        <v>25</v>
      </c>
      <c r="F1637">
        <v>1</v>
      </c>
      <c r="G1637" t="s">
        <v>2604</v>
      </c>
      <c r="H1637" t="s">
        <v>1311</v>
      </c>
      <c r="I1637" t="s">
        <v>2605</v>
      </c>
      <c r="J1637" t="s">
        <v>2606</v>
      </c>
      <c r="K1637" t="s">
        <v>29</v>
      </c>
      <c r="L1637" s="1">
        <v>3500</v>
      </c>
      <c r="M1637" t="s">
        <v>29</v>
      </c>
      <c r="N1637" s="1">
        <v>3500</v>
      </c>
      <c r="O1637" s="1">
        <v>3500</v>
      </c>
      <c r="P1637" t="s">
        <v>30</v>
      </c>
      <c r="Q1637" s="2">
        <v>0.7</v>
      </c>
      <c r="R1637" s="1">
        <v>2450</v>
      </c>
      <c r="S1637" t="s">
        <v>29</v>
      </c>
      <c r="T1637" s="1">
        <v>2450</v>
      </c>
      <c r="V1637" t="str">
        <f>VLOOKUP(H1637,'[1]팀별 출판사'!A:B,2,0)</f>
        <v>소설2팀</v>
      </c>
      <c r="W1637" s="6">
        <f t="shared" si="50"/>
        <v>0</v>
      </c>
      <c r="X1637" s="6">
        <f t="shared" si="51"/>
        <v>2450</v>
      </c>
    </row>
    <row r="1638" spans="1:24" x14ac:dyDescent="0.3">
      <c r="A1638" t="s">
        <v>2550</v>
      </c>
      <c r="B1638" t="s">
        <v>2607</v>
      </c>
      <c r="C1638" t="s">
        <v>23</v>
      </c>
      <c r="D1638" t="s">
        <v>24</v>
      </c>
      <c r="E1638" t="s">
        <v>25</v>
      </c>
      <c r="F1638">
        <v>1</v>
      </c>
      <c r="G1638">
        <v>9791136903822</v>
      </c>
      <c r="H1638" t="s">
        <v>26</v>
      </c>
      <c r="I1638" t="s">
        <v>2608</v>
      </c>
      <c r="J1638" t="s">
        <v>256</v>
      </c>
      <c r="K1638" t="s">
        <v>29</v>
      </c>
      <c r="L1638" s="1">
        <v>3200</v>
      </c>
      <c r="M1638" t="s">
        <v>29</v>
      </c>
      <c r="N1638" s="1">
        <v>3200</v>
      </c>
      <c r="O1638" s="1">
        <v>3200</v>
      </c>
      <c r="P1638" t="s">
        <v>30</v>
      </c>
      <c r="Q1638" s="2">
        <v>0.7</v>
      </c>
      <c r="R1638" s="1">
        <v>2240</v>
      </c>
      <c r="S1638" t="s">
        <v>29</v>
      </c>
      <c r="T1638" s="1">
        <v>2240</v>
      </c>
      <c r="V1638" t="str">
        <f>VLOOKUP(H1638,'[1]팀별 출판사'!A:B,2,0)</f>
        <v>소설1팀</v>
      </c>
      <c r="W1638" s="6">
        <f t="shared" si="50"/>
        <v>0</v>
      </c>
      <c r="X1638" s="6">
        <f t="shared" si="51"/>
        <v>2240</v>
      </c>
    </row>
    <row r="1639" spans="1:24" x14ac:dyDescent="0.3">
      <c r="A1639" t="s">
        <v>2550</v>
      </c>
      <c r="B1639" t="s">
        <v>2609</v>
      </c>
      <c r="C1639" t="s">
        <v>23</v>
      </c>
      <c r="D1639" t="s">
        <v>24</v>
      </c>
      <c r="E1639" t="s">
        <v>25</v>
      </c>
      <c r="F1639">
        <v>1</v>
      </c>
      <c r="G1639">
        <v>9791136958662</v>
      </c>
      <c r="H1639" t="s">
        <v>79</v>
      </c>
      <c r="I1639" t="s">
        <v>396</v>
      </c>
      <c r="J1639" t="s">
        <v>81</v>
      </c>
      <c r="K1639" t="s">
        <v>29</v>
      </c>
      <c r="L1639">
        <v>0</v>
      </c>
      <c r="M1639" t="s">
        <v>29</v>
      </c>
      <c r="N1639">
        <v>0</v>
      </c>
      <c r="O1639">
        <v>0</v>
      </c>
      <c r="P1639" t="s">
        <v>30</v>
      </c>
      <c r="Q1639" s="2">
        <v>0.7</v>
      </c>
      <c r="R1639">
        <v>0</v>
      </c>
      <c r="V1639" t="str">
        <f>VLOOKUP(H1639,'[1]팀별 출판사'!A:B,2,0)</f>
        <v>소설1팀</v>
      </c>
      <c r="W1639" s="6">
        <f t="shared" si="50"/>
        <v>0</v>
      </c>
      <c r="X1639" s="6">
        <f t="shared" si="51"/>
        <v>0</v>
      </c>
    </row>
    <row r="1640" spans="1:24" x14ac:dyDescent="0.3">
      <c r="A1640" t="s">
        <v>2550</v>
      </c>
      <c r="B1640" t="s">
        <v>2610</v>
      </c>
      <c r="C1640" t="s">
        <v>23</v>
      </c>
      <c r="D1640" t="s">
        <v>24</v>
      </c>
      <c r="E1640" t="s">
        <v>25</v>
      </c>
      <c r="F1640">
        <v>1</v>
      </c>
      <c r="G1640">
        <v>9791136988324</v>
      </c>
      <c r="H1640" t="s">
        <v>26</v>
      </c>
      <c r="I1640" t="s">
        <v>2611</v>
      </c>
      <c r="J1640" t="s">
        <v>28</v>
      </c>
      <c r="K1640" t="s">
        <v>29</v>
      </c>
      <c r="L1640" s="1">
        <v>3200</v>
      </c>
      <c r="M1640" t="s">
        <v>29</v>
      </c>
      <c r="N1640" s="1">
        <v>3200</v>
      </c>
      <c r="O1640" s="1">
        <v>3200</v>
      </c>
      <c r="P1640" t="s">
        <v>30</v>
      </c>
      <c r="Q1640" s="2">
        <v>0.7</v>
      </c>
      <c r="R1640" s="1">
        <v>2240</v>
      </c>
      <c r="S1640" t="s">
        <v>29</v>
      </c>
      <c r="T1640" s="1">
        <v>2240</v>
      </c>
      <c r="V1640" t="str">
        <f>VLOOKUP(H1640,'[1]팀별 출판사'!A:B,2,0)</f>
        <v>소설1팀</v>
      </c>
      <c r="W1640" s="6">
        <f t="shared" si="50"/>
        <v>0</v>
      </c>
      <c r="X1640" s="6">
        <f t="shared" si="51"/>
        <v>2240</v>
      </c>
    </row>
    <row r="1641" spans="1:24" x14ac:dyDescent="0.3">
      <c r="A1641" t="s">
        <v>2550</v>
      </c>
      <c r="B1641" t="s">
        <v>2612</v>
      </c>
      <c r="C1641" t="s">
        <v>23</v>
      </c>
      <c r="D1641" t="s">
        <v>24</v>
      </c>
      <c r="E1641" t="s">
        <v>25</v>
      </c>
      <c r="F1641">
        <v>1</v>
      </c>
      <c r="G1641">
        <v>9791170106715</v>
      </c>
      <c r="H1641" t="s">
        <v>67</v>
      </c>
      <c r="I1641" t="s">
        <v>68</v>
      </c>
      <c r="J1641" t="s">
        <v>69</v>
      </c>
      <c r="K1641" t="s">
        <v>29</v>
      </c>
      <c r="L1641">
        <v>0</v>
      </c>
      <c r="M1641" t="s">
        <v>193</v>
      </c>
      <c r="N1641">
        <v>0</v>
      </c>
      <c r="O1641">
        <v>0</v>
      </c>
      <c r="P1641" t="s">
        <v>194</v>
      </c>
      <c r="Q1641" s="2">
        <v>0.7</v>
      </c>
      <c r="R1641">
        <v>0</v>
      </c>
      <c r="V1641" t="str">
        <f>VLOOKUP(H1641,'[1]팀별 출판사'!A:B,2,0)</f>
        <v>소설1팀</v>
      </c>
      <c r="W1641" s="6">
        <f t="shared" si="50"/>
        <v>0</v>
      </c>
      <c r="X1641" s="6">
        <f t="shared" si="51"/>
        <v>0</v>
      </c>
    </row>
    <row r="1642" spans="1:24" x14ac:dyDescent="0.3">
      <c r="A1642" t="s">
        <v>2550</v>
      </c>
      <c r="B1642" t="s">
        <v>2613</v>
      </c>
      <c r="C1642" t="s">
        <v>23</v>
      </c>
      <c r="D1642" t="s">
        <v>24</v>
      </c>
      <c r="E1642" t="s">
        <v>25</v>
      </c>
      <c r="F1642">
        <v>1</v>
      </c>
      <c r="G1642" t="s">
        <v>2614</v>
      </c>
      <c r="H1642" t="s">
        <v>32</v>
      </c>
      <c r="I1642" t="s">
        <v>2615</v>
      </c>
      <c r="J1642" t="s">
        <v>43</v>
      </c>
      <c r="K1642" t="s">
        <v>29</v>
      </c>
      <c r="L1642" s="1">
        <v>3000</v>
      </c>
      <c r="M1642" t="s">
        <v>29</v>
      </c>
      <c r="N1642" s="1">
        <v>3000</v>
      </c>
      <c r="O1642" s="1">
        <v>3000</v>
      </c>
      <c r="P1642" t="s">
        <v>30</v>
      </c>
      <c r="Q1642" s="2">
        <v>0.7</v>
      </c>
      <c r="R1642" s="1">
        <v>2100</v>
      </c>
      <c r="S1642" t="s">
        <v>29</v>
      </c>
      <c r="T1642" s="1">
        <v>2100</v>
      </c>
      <c r="V1642" t="str">
        <f>VLOOKUP(H1642,'[1]팀별 출판사'!A:B,2,0)</f>
        <v>소설1팀</v>
      </c>
      <c r="W1642" s="6">
        <f t="shared" si="50"/>
        <v>0</v>
      </c>
      <c r="X1642" s="6">
        <f t="shared" si="51"/>
        <v>2100</v>
      </c>
    </row>
    <row r="1643" spans="1:24" x14ac:dyDescent="0.3">
      <c r="A1643" t="s">
        <v>2550</v>
      </c>
      <c r="B1643" t="s">
        <v>2616</v>
      </c>
      <c r="C1643" t="s">
        <v>23</v>
      </c>
      <c r="D1643" t="s">
        <v>24</v>
      </c>
      <c r="E1643" t="s">
        <v>25</v>
      </c>
      <c r="F1643">
        <v>1</v>
      </c>
      <c r="G1643">
        <v>9791136903754</v>
      </c>
      <c r="H1643" t="s">
        <v>26</v>
      </c>
      <c r="I1643" t="s">
        <v>361</v>
      </c>
      <c r="J1643" t="s">
        <v>256</v>
      </c>
      <c r="K1643" t="s">
        <v>29</v>
      </c>
      <c r="L1643">
        <v>0</v>
      </c>
      <c r="M1643" t="s">
        <v>29</v>
      </c>
      <c r="N1643">
        <v>0</v>
      </c>
      <c r="O1643">
        <v>0</v>
      </c>
      <c r="P1643" t="s">
        <v>30</v>
      </c>
      <c r="Q1643" s="2">
        <v>0.7</v>
      </c>
      <c r="R1643">
        <v>0</v>
      </c>
      <c r="V1643" t="str">
        <f>VLOOKUP(H1643,'[1]팀별 출판사'!A:B,2,0)</f>
        <v>소설1팀</v>
      </c>
      <c r="W1643" s="6">
        <f t="shared" si="50"/>
        <v>0</v>
      </c>
      <c r="X1643" s="6">
        <f t="shared" si="51"/>
        <v>0</v>
      </c>
    </row>
    <row r="1644" spans="1:24" x14ac:dyDescent="0.3">
      <c r="A1644" t="s">
        <v>2550</v>
      </c>
      <c r="B1644" t="s">
        <v>2617</v>
      </c>
      <c r="C1644" t="s">
        <v>23</v>
      </c>
      <c r="D1644" t="s">
        <v>24</v>
      </c>
      <c r="E1644" t="s">
        <v>25</v>
      </c>
      <c r="F1644">
        <v>1</v>
      </c>
      <c r="G1644">
        <v>9791133130184</v>
      </c>
      <c r="H1644" t="s">
        <v>32</v>
      </c>
      <c r="I1644" t="s">
        <v>669</v>
      </c>
      <c r="J1644" t="s">
        <v>160</v>
      </c>
      <c r="K1644" t="s">
        <v>29</v>
      </c>
      <c r="L1644">
        <v>0</v>
      </c>
      <c r="M1644" t="s">
        <v>1181</v>
      </c>
      <c r="N1644">
        <v>0</v>
      </c>
      <c r="O1644">
        <v>0</v>
      </c>
      <c r="P1644" t="s">
        <v>1182</v>
      </c>
      <c r="Q1644" s="2">
        <v>0.7</v>
      </c>
      <c r="R1644">
        <v>0</v>
      </c>
      <c r="V1644" t="str">
        <f>VLOOKUP(H1644,'[1]팀별 출판사'!A:B,2,0)</f>
        <v>소설1팀</v>
      </c>
      <c r="W1644" s="6">
        <f t="shared" si="50"/>
        <v>0</v>
      </c>
      <c r="X1644" s="6">
        <f t="shared" si="51"/>
        <v>0</v>
      </c>
    </row>
    <row r="1645" spans="1:24" x14ac:dyDescent="0.3">
      <c r="A1645" t="s">
        <v>2550</v>
      </c>
      <c r="B1645" t="s">
        <v>2618</v>
      </c>
      <c r="C1645" t="s">
        <v>23</v>
      </c>
      <c r="D1645" t="s">
        <v>24</v>
      </c>
      <c r="E1645" t="s">
        <v>25</v>
      </c>
      <c r="F1645">
        <v>1</v>
      </c>
      <c r="G1645">
        <v>9791133140589</v>
      </c>
      <c r="H1645" t="s">
        <v>32</v>
      </c>
      <c r="I1645" t="s">
        <v>1626</v>
      </c>
      <c r="J1645" t="s">
        <v>1627</v>
      </c>
      <c r="K1645" t="s">
        <v>29</v>
      </c>
      <c r="L1645">
        <v>0</v>
      </c>
      <c r="M1645" t="s">
        <v>29</v>
      </c>
      <c r="N1645">
        <v>0</v>
      </c>
      <c r="O1645">
        <v>0</v>
      </c>
      <c r="P1645" t="s">
        <v>30</v>
      </c>
      <c r="Q1645" s="2">
        <v>0.7</v>
      </c>
      <c r="R1645">
        <v>0</v>
      </c>
      <c r="V1645" t="str">
        <f>VLOOKUP(H1645,'[1]팀별 출판사'!A:B,2,0)</f>
        <v>소설1팀</v>
      </c>
      <c r="W1645" s="6">
        <f t="shared" si="50"/>
        <v>0</v>
      </c>
      <c r="X1645" s="6">
        <f t="shared" si="51"/>
        <v>0</v>
      </c>
    </row>
    <row r="1646" spans="1:24" x14ac:dyDescent="0.3">
      <c r="A1646" t="s">
        <v>2550</v>
      </c>
      <c r="B1646" t="s">
        <v>2619</v>
      </c>
      <c r="C1646" t="s">
        <v>23</v>
      </c>
      <c r="D1646" t="s">
        <v>24</v>
      </c>
      <c r="E1646" t="s">
        <v>25</v>
      </c>
      <c r="F1646">
        <v>1</v>
      </c>
      <c r="G1646">
        <v>9791133102716</v>
      </c>
      <c r="H1646" t="s">
        <v>32</v>
      </c>
      <c r="I1646" t="s">
        <v>673</v>
      </c>
      <c r="J1646" t="s">
        <v>51</v>
      </c>
      <c r="K1646" t="s">
        <v>29</v>
      </c>
      <c r="L1646">
        <v>0</v>
      </c>
      <c r="M1646" t="s">
        <v>29</v>
      </c>
      <c r="N1646">
        <v>0</v>
      </c>
      <c r="O1646">
        <v>0</v>
      </c>
      <c r="P1646" t="s">
        <v>30</v>
      </c>
      <c r="Q1646" s="2">
        <v>0.7</v>
      </c>
      <c r="R1646">
        <v>0</v>
      </c>
      <c r="V1646" t="str">
        <f>VLOOKUP(H1646,'[1]팀별 출판사'!A:B,2,0)</f>
        <v>소설1팀</v>
      </c>
      <c r="W1646" s="6">
        <f t="shared" si="50"/>
        <v>0</v>
      </c>
      <c r="X1646" s="6">
        <f t="shared" si="51"/>
        <v>0</v>
      </c>
    </row>
    <row r="1647" spans="1:24" x14ac:dyDescent="0.3">
      <c r="A1647" t="s">
        <v>2550</v>
      </c>
      <c r="B1647" t="s">
        <v>2620</v>
      </c>
      <c r="C1647" t="s">
        <v>23</v>
      </c>
      <c r="D1647" t="s">
        <v>24</v>
      </c>
      <c r="E1647" t="s">
        <v>25</v>
      </c>
      <c r="F1647">
        <v>1</v>
      </c>
      <c r="G1647">
        <v>9791136932648</v>
      </c>
      <c r="H1647" t="s">
        <v>32</v>
      </c>
      <c r="I1647" t="s">
        <v>832</v>
      </c>
      <c r="J1647" t="s">
        <v>34</v>
      </c>
      <c r="K1647" t="s">
        <v>29</v>
      </c>
      <c r="L1647">
        <v>0</v>
      </c>
      <c r="M1647" t="s">
        <v>47</v>
      </c>
      <c r="N1647">
        <v>0</v>
      </c>
      <c r="O1647">
        <v>0</v>
      </c>
      <c r="P1647" t="s">
        <v>48</v>
      </c>
      <c r="Q1647" s="2">
        <v>0.7</v>
      </c>
      <c r="R1647">
        <v>0</v>
      </c>
      <c r="V1647" t="str">
        <f>VLOOKUP(H1647,'[1]팀별 출판사'!A:B,2,0)</f>
        <v>소설1팀</v>
      </c>
      <c r="W1647" s="6">
        <f t="shared" si="50"/>
        <v>0</v>
      </c>
      <c r="X1647" s="6">
        <f t="shared" si="51"/>
        <v>0</v>
      </c>
    </row>
    <row r="1648" spans="1:24" x14ac:dyDescent="0.3">
      <c r="A1648" t="s">
        <v>2550</v>
      </c>
      <c r="B1648" t="s">
        <v>2621</v>
      </c>
      <c r="C1648" t="s">
        <v>23</v>
      </c>
      <c r="D1648" t="s">
        <v>24</v>
      </c>
      <c r="E1648" t="s">
        <v>25</v>
      </c>
      <c r="F1648">
        <v>1</v>
      </c>
      <c r="G1648">
        <v>9791172924850</v>
      </c>
      <c r="H1648" t="s">
        <v>26</v>
      </c>
      <c r="I1648" t="s">
        <v>61</v>
      </c>
      <c r="J1648" t="s">
        <v>62</v>
      </c>
      <c r="K1648" t="s">
        <v>29</v>
      </c>
      <c r="L1648">
        <v>0</v>
      </c>
      <c r="M1648" t="s">
        <v>29</v>
      </c>
      <c r="N1648">
        <v>0</v>
      </c>
      <c r="O1648">
        <v>0</v>
      </c>
      <c r="P1648" t="s">
        <v>30</v>
      </c>
      <c r="Q1648" s="2">
        <v>0.7</v>
      </c>
      <c r="R1648">
        <v>0</v>
      </c>
      <c r="V1648" t="str">
        <f>VLOOKUP(H1648,'[1]팀별 출판사'!A:B,2,0)</f>
        <v>소설1팀</v>
      </c>
      <c r="W1648" s="6">
        <f t="shared" si="50"/>
        <v>0</v>
      </c>
      <c r="X1648" s="6">
        <f t="shared" si="51"/>
        <v>0</v>
      </c>
    </row>
    <row r="1649" spans="1:24" x14ac:dyDescent="0.3">
      <c r="A1649" t="s">
        <v>2550</v>
      </c>
      <c r="B1649" t="s">
        <v>2622</v>
      </c>
      <c r="C1649" t="s">
        <v>23</v>
      </c>
      <c r="D1649" t="s">
        <v>24</v>
      </c>
      <c r="E1649" t="s">
        <v>25</v>
      </c>
      <c r="F1649">
        <v>1</v>
      </c>
      <c r="G1649">
        <v>9791136979452</v>
      </c>
      <c r="H1649" t="s">
        <v>1617</v>
      </c>
      <c r="I1649" t="s">
        <v>2623</v>
      </c>
      <c r="J1649" t="s">
        <v>2624</v>
      </c>
      <c r="K1649" t="s">
        <v>29</v>
      </c>
      <c r="L1649" s="1">
        <v>5500</v>
      </c>
      <c r="M1649" t="s">
        <v>70</v>
      </c>
      <c r="N1649">
        <v>3.81</v>
      </c>
      <c r="O1649">
        <v>3.81</v>
      </c>
      <c r="P1649" t="s">
        <v>71</v>
      </c>
      <c r="Q1649" s="2">
        <v>0.7</v>
      </c>
      <c r="R1649">
        <v>2.67</v>
      </c>
      <c r="S1649" t="s">
        <v>29</v>
      </c>
      <c r="T1649" s="1">
        <v>3845</v>
      </c>
      <c r="U1649" s="3">
        <v>1438.9716000000001</v>
      </c>
      <c r="V1649" t="str">
        <f>VLOOKUP(H1649,'[1]팀별 출판사'!A:B,2,0)</f>
        <v>소설2팀</v>
      </c>
      <c r="W1649" s="6">
        <f t="shared" si="50"/>
        <v>1153.5</v>
      </c>
      <c r="X1649" s="6">
        <f t="shared" si="51"/>
        <v>2691.5</v>
      </c>
    </row>
    <row r="1650" spans="1:24" x14ac:dyDescent="0.3">
      <c r="A1650" t="s">
        <v>2550</v>
      </c>
      <c r="B1650" t="s">
        <v>2622</v>
      </c>
      <c r="C1650" t="s">
        <v>23</v>
      </c>
      <c r="D1650" t="s">
        <v>24</v>
      </c>
      <c r="E1650" t="s">
        <v>25</v>
      </c>
      <c r="F1650">
        <v>1</v>
      </c>
      <c r="G1650">
        <v>9791136970244</v>
      </c>
      <c r="H1650" t="s">
        <v>1617</v>
      </c>
      <c r="I1650" t="s">
        <v>2625</v>
      </c>
      <c r="J1650" t="s">
        <v>2624</v>
      </c>
      <c r="K1650" t="s">
        <v>29</v>
      </c>
      <c r="L1650" s="1">
        <v>5500</v>
      </c>
      <c r="M1650" t="s">
        <v>70</v>
      </c>
      <c r="N1650">
        <v>3.81</v>
      </c>
      <c r="O1650">
        <v>3.81</v>
      </c>
      <c r="P1650" t="s">
        <v>71</v>
      </c>
      <c r="Q1650" s="2">
        <v>0.7</v>
      </c>
      <c r="R1650">
        <v>2.67</v>
      </c>
      <c r="S1650" t="s">
        <v>29</v>
      </c>
      <c r="T1650" s="1">
        <v>3845</v>
      </c>
      <c r="U1650" s="3">
        <v>1438.9716000000001</v>
      </c>
      <c r="V1650" t="str">
        <f>VLOOKUP(H1650,'[1]팀별 출판사'!A:B,2,0)</f>
        <v>소설2팀</v>
      </c>
      <c r="W1650" s="6">
        <f t="shared" si="50"/>
        <v>1153.5</v>
      </c>
      <c r="X1650" s="6">
        <f t="shared" si="51"/>
        <v>2691.5</v>
      </c>
    </row>
    <row r="1651" spans="1:24" x14ac:dyDescent="0.3">
      <c r="A1651" t="s">
        <v>2550</v>
      </c>
      <c r="B1651" t="s">
        <v>2622</v>
      </c>
      <c r="C1651" t="s">
        <v>23</v>
      </c>
      <c r="D1651" t="s">
        <v>24</v>
      </c>
      <c r="E1651" t="s">
        <v>25</v>
      </c>
      <c r="F1651">
        <v>1</v>
      </c>
      <c r="G1651">
        <v>9791136999962</v>
      </c>
      <c r="H1651" t="s">
        <v>1617</v>
      </c>
      <c r="I1651" t="s">
        <v>2626</v>
      </c>
      <c r="J1651" t="s">
        <v>2624</v>
      </c>
      <c r="K1651" t="s">
        <v>29</v>
      </c>
      <c r="L1651" s="1">
        <v>5500</v>
      </c>
      <c r="M1651" t="s">
        <v>70</v>
      </c>
      <c r="N1651">
        <v>3.81</v>
      </c>
      <c r="O1651">
        <v>3.81</v>
      </c>
      <c r="P1651" t="s">
        <v>71</v>
      </c>
      <c r="Q1651" s="2">
        <v>0.7</v>
      </c>
      <c r="R1651">
        <v>2.67</v>
      </c>
      <c r="S1651" t="s">
        <v>29</v>
      </c>
      <c r="T1651" s="1">
        <v>3845</v>
      </c>
      <c r="U1651" s="3">
        <v>1438.9716000000001</v>
      </c>
      <c r="V1651" t="str">
        <f>VLOOKUP(H1651,'[1]팀별 출판사'!A:B,2,0)</f>
        <v>소설2팀</v>
      </c>
      <c r="W1651" s="6">
        <f t="shared" si="50"/>
        <v>1153.5</v>
      </c>
      <c r="X1651" s="6">
        <f t="shared" si="51"/>
        <v>2691.5</v>
      </c>
    </row>
    <row r="1652" spans="1:24" x14ac:dyDescent="0.3">
      <c r="A1652" t="s">
        <v>2550</v>
      </c>
      <c r="B1652" t="s">
        <v>2622</v>
      </c>
      <c r="C1652" t="s">
        <v>23</v>
      </c>
      <c r="D1652" t="s">
        <v>24</v>
      </c>
      <c r="E1652" t="s">
        <v>25</v>
      </c>
      <c r="F1652">
        <v>1</v>
      </c>
      <c r="G1652">
        <v>9791136986634</v>
      </c>
      <c r="H1652" t="s">
        <v>1617</v>
      </c>
      <c r="I1652" t="s">
        <v>2627</v>
      </c>
      <c r="J1652" t="s">
        <v>2624</v>
      </c>
      <c r="K1652" t="s">
        <v>29</v>
      </c>
      <c r="L1652" s="1">
        <v>5500</v>
      </c>
      <c r="M1652" t="s">
        <v>70</v>
      </c>
      <c r="N1652">
        <v>3.81</v>
      </c>
      <c r="O1652">
        <v>3.81</v>
      </c>
      <c r="P1652" t="s">
        <v>71</v>
      </c>
      <c r="Q1652" s="2">
        <v>0.7</v>
      </c>
      <c r="R1652">
        <v>2.67</v>
      </c>
      <c r="S1652" t="s">
        <v>29</v>
      </c>
      <c r="T1652" s="1">
        <v>3845</v>
      </c>
      <c r="U1652" s="3">
        <v>1438.9716000000001</v>
      </c>
      <c r="V1652" t="str">
        <f>VLOOKUP(H1652,'[1]팀별 출판사'!A:B,2,0)</f>
        <v>소설2팀</v>
      </c>
      <c r="W1652" s="6">
        <f t="shared" si="50"/>
        <v>1153.5</v>
      </c>
      <c r="X1652" s="6">
        <f t="shared" si="51"/>
        <v>2691.5</v>
      </c>
    </row>
    <row r="1653" spans="1:24" x14ac:dyDescent="0.3">
      <c r="A1653" t="s">
        <v>2550</v>
      </c>
      <c r="B1653" t="s">
        <v>2628</v>
      </c>
      <c r="C1653" t="s">
        <v>23</v>
      </c>
      <c r="D1653" t="s">
        <v>24</v>
      </c>
      <c r="E1653" t="s">
        <v>25</v>
      </c>
      <c r="F1653">
        <v>1</v>
      </c>
      <c r="G1653">
        <v>9791194664369</v>
      </c>
      <c r="H1653" t="s">
        <v>79</v>
      </c>
      <c r="I1653" t="s">
        <v>156</v>
      </c>
      <c r="J1653" t="s">
        <v>157</v>
      </c>
      <c r="K1653" t="s">
        <v>29</v>
      </c>
      <c r="L1653">
        <v>0</v>
      </c>
      <c r="M1653" t="s">
        <v>127</v>
      </c>
      <c r="N1653">
        <v>0</v>
      </c>
      <c r="O1653">
        <v>0</v>
      </c>
      <c r="P1653" t="s">
        <v>128</v>
      </c>
      <c r="Q1653" s="2">
        <v>0.7</v>
      </c>
      <c r="R1653">
        <v>0</v>
      </c>
      <c r="V1653" t="str">
        <f>VLOOKUP(H1653,'[1]팀별 출판사'!A:B,2,0)</f>
        <v>소설1팀</v>
      </c>
      <c r="W1653" s="6">
        <f t="shared" si="50"/>
        <v>0</v>
      </c>
      <c r="X1653" s="6">
        <f t="shared" si="51"/>
        <v>0</v>
      </c>
    </row>
    <row r="1654" spans="1:24" x14ac:dyDescent="0.3">
      <c r="A1654" t="s">
        <v>2550</v>
      </c>
      <c r="B1654" t="s">
        <v>2629</v>
      </c>
      <c r="C1654" t="s">
        <v>23</v>
      </c>
      <c r="D1654" t="s">
        <v>24</v>
      </c>
      <c r="E1654" t="s">
        <v>25</v>
      </c>
      <c r="F1654">
        <v>1</v>
      </c>
      <c r="G1654">
        <v>9791136927248</v>
      </c>
      <c r="H1654" t="s">
        <v>36</v>
      </c>
      <c r="I1654" t="s">
        <v>2320</v>
      </c>
      <c r="J1654" t="s">
        <v>38</v>
      </c>
      <c r="K1654" t="s">
        <v>29</v>
      </c>
      <c r="L1654" s="1">
        <v>3300</v>
      </c>
      <c r="M1654" t="s">
        <v>2630</v>
      </c>
      <c r="N1654">
        <v>10.01</v>
      </c>
      <c r="O1654">
        <v>9.27</v>
      </c>
      <c r="P1654" t="s">
        <v>2631</v>
      </c>
      <c r="Q1654" s="2">
        <v>0.7</v>
      </c>
      <c r="R1654">
        <v>6.49</v>
      </c>
      <c r="S1654" t="s">
        <v>29</v>
      </c>
      <c r="T1654" s="1">
        <v>2394</v>
      </c>
      <c r="U1654">
        <v>368.62625000000003</v>
      </c>
      <c r="V1654" t="str">
        <f>VLOOKUP(H1654,'[1]팀별 출판사'!A:B,2,0)</f>
        <v>소설2팀</v>
      </c>
      <c r="W1654" s="6">
        <f t="shared" si="50"/>
        <v>0</v>
      </c>
      <c r="X1654" s="6">
        <f t="shared" si="51"/>
        <v>2394</v>
      </c>
    </row>
    <row r="1655" spans="1:24" x14ac:dyDescent="0.3">
      <c r="A1655" t="s">
        <v>2550</v>
      </c>
      <c r="B1655" t="s">
        <v>2632</v>
      </c>
      <c r="C1655" t="s">
        <v>23</v>
      </c>
      <c r="D1655" t="s">
        <v>24</v>
      </c>
      <c r="E1655" t="s">
        <v>25</v>
      </c>
      <c r="F1655">
        <v>1</v>
      </c>
      <c r="G1655" t="s">
        <v>2633</v>
      </c>
      <c r="H1655" t="s">
        <v>32</v>
      </c>
      <c r="I1655" t="s">
        <v>2634</v>
      </c>
      <c r="J1655" t="s">
        <v>220</v>
      </c>
      <c r="K1655" t="s">
        <v>29</v>
      </c>
      <c r="L1655">
        <v>0</v>
      </c>
      <c r="M1655" t="s">
        <v>29</v>
      </c>
      <c r="N1655">
        <v>0</v>
      </c>
      <c r="O1655">
        <v>0</v>
      </c>
      <c r="P1655" t="s">
        <v>30</v>
      </c>
      <c r="Q1655" s="2">
        <v>0.7</v>
      </c>
      <c r="R1655">
        <v>0</v>
      </c>
      <c r="V1655" t="str">
        <f>VLOOKUP(H1655,'[1]팀별 출판사'!A:B,2,0)</f>
        <v>소설1팀</v>
      </c>
      <c r="W1655" s="6">
        <f t="shared" si="50"/>
        <v>0</v>
      </c>
      <c r="X1655" s="6">
        <f t="shared" si="51"/>
        <v>0</v>
      </c>
    </row>
    <row r="1656" spans="1:24" x14ac:dyDescent="0.3">
      <c r="A1656" t="s">
        <v>2550</v>
      </c>
      <c r="B1656" t="s">
        <v>2635</v>
      </c>
      <c r="C1656" t="s">
        <v>23</v>
      </c>
      <c r="D1656" t="s">
        <v>24</v>
      </c>
      <c r="E1656" t="s">
        <v>25</v>
      </c>
      <c r="F1656">
        <v>1</v>
      </c>
      <c r="G1656">
        <v>9791136940728</v>
      </c>
      <c r="H1656" t="s">
        <v>36</v>
      </c>
      <c r="I1656" t="s">
        <v>2019</v>
      </c>
      <c r="J1656" t="s">
        <v>38</v>
      </c>
      <c r="K1656" t="s">
        <v>29</v>
      </c>
      <c r="L1656" s="1">
        <v>3300</v>
      </c>
      <c r="M1656" t="s">
        <v>362</v>
      </c>
      <c r="N1656">
        <v>150.63</v>
      </c>
      <c r="O1656">
        <v>134.49</v>
      </c>
      <c r="P1656" t="s">
        <v>363</v>
      </c>
      <c r="Q1656" s="2">
        <v>0.7</v>
      </c>
      <c r="R1656">
        <v>94.14</v>
      </c>
      <c r="S1656" t="s">
        <v>29</v>
      </c>
      <c r="T1656" s="1">
        <v>2333</v>
      </c>
      <c r="U1656">
        <v>24.76708</v>
      </c>
      <c r="V1656" t="str">
        <f>VLOOKUP(H1656,'[1]팀별 출판사'!A:B,2,0)</f>
        <v>소설2팀</v>
      </c>
      <c r="W1656" s="6">
        <f t="shared" si="50"/>
        <v>0</v>
      </c>
      <c r="X1656" s="6">
        <f t="shared" si="51"/>
        <v>2333</v>
      </c>
    </row>
    <row r="1657" spans="1:24" x14ac:dyDescent="0.3">
      <c r="A1657" t="s">
        <v>2550</v>
      </c>
      <c r="B1657" t="s">
        <v>2636</v>
      </c>
      <c r="C1657" t="s">
        <v>23</v>
      </c>
      <c r="D1657" t="s">
        <v>24</v>
      </c>
      <c r="E1657" t="s">
        <v>25</v>
      </c>
      <c r="F1657">
        <v>1</v>
      </c>
      <c r="G1657">
        <v>9791173788871</v>
      </c>
      <c r="H1657" t="s">
        <v>26</v>
      </c>
      <c r="I1657" t="s">
        <v>2637</v>
      </c>
      <c r="J1657" t="s">
        <v>256</v>
      </c>
      <c r="K1657" t="s">
        <v>29</v>
      </c>
      <c r="L1657" s="1">
        <v>3200</v>
      </c>
      <c r="M1657" t="s">
        <v>29</v>
      </c>
      <c r="N1657" s="1">
        <v>3200</v>
      </c>
      <c r="O1657" s="1">
        <v>3200</v>
      </c>
      <c r="P1657" t="s">
        <v>30</v>
      </c>
      <c r="Q1657" s="2">
        <v>0.7</v>
      </c>
      <c r="R1657" s="1">
        <v>2240</v>
      </c>
      <c r="S1657" t="s">
        <v>29</v>
      </c>
      <c r="T1657" s="1">
        <v>2240</v>
      </c>
      <c r="V1657" t="str">
        <f>VLOOKUP(H1657,'[1]팀별 출판사'!A:B,2,0)</f>
        <v>소설1팀</v>
      </c>
      <c r="W1657" s="6">
        <f t="shared" si="50"/>
        <v>0</v>
      </c>
      <c r="X1657" s="6">
        <f t="shared" si="51"/>
        <v>2240</v>
      </c>
    </row>
    <row r="1658" spans="1:24" x14ac:dyDescent="0.3">
      <c r="A1658" t="s">
        <v>2550</v>
      </c>
      <c r="B1658" t="s">
        <v>2638</v>
      </c>
      <c r="C1658" t="s">
        <v>23</v>
      </c>
      <c r="D1658" t="s">
        <v>24</v>
      </c>
      <c r="E1658" t="s">
        <v>25</v>
      </c>
      <c r="F1658">
        <v>1</v>
      </c>
      <c r="G1658">
        <v>9791133129515</v>
      </c>
      <c r="H1658" t="s">
        <v>32</v>
      </c>
      <c r="I1658" t="s">
        <v>1966</v>
      </c>
      <c r="J1658" t="s">
        <v>160</v>
      </c>
      <c r="K1658" t="s">
        <v>29</v>
      </c>
      <c r="L1658" s="1">
        <v>3500</v>
      </c>
      <c r="M1658" t="s">
        <v>29</v>
      </c>
      <c r="N1658" s="1">
        <v>3500</v>
      </c>
      <c r="O1658" s="1">
        <v>3500</v>
      </c>
      <c r="P1658" t="s">
        <v>30</v>
      </c>
      <c r="Q1658" s="2">
        <v>0.7</v>
      </c>
      <c r="R1658" s="1">
        <v>2450</v>
      </c>
      <c r="S1658" t="s">
        <v>29</v>
      </c>
      <c r="T1658" s="1">
        <v>2450</v>
      </c>
      <c r="V1658" t="str">
        <f>VLOOKUP(H1658,'[1]팀별 출판사'!A:B,2,0)</f>
        <v>소설1팀</v>
      </c>
      <c r="W1658" s="6">
        <f t="shared" si="50"/>
        <v>0</v>
      </c>
      <c r="X1658" s="6">
        <f t="shared" si="51"/>
        <v>2450</v>
      </c>
    </row>
    <row r="1659" spans="1:24" x14ac:dyDescent="0.3">
      <c r="A1659" t="s">
        <v>2550</v>
      </c>
      <c r="B1659" t="s">
        <v>2639</v>
      </c>
      <c r="C1659" t="s">
        <v>23</v>
      </c>
      <c r="D1659" t="s">
        <v>24</v>
      </c>
      <c r="E1659" t="s">
        <v>25</v>
      </c>
      <c r="F1659">
        <v>1</v>
      </c>
      <c r="G1659">
        <v>9791136946775</v>
      </c>
      <c r="H1659" t="s">
        <v>26</v>
      </c>
      <c r="I1659" t="s">
        <v>238</v>
      </c>
      <c r="J1659" t="s">
        <v>28</v>
      </c>
      <c r="K1659" t="s">
        <v>29</v>
      </c>
      <c r="L1659">
        <v>0</v>
      </c>
      <c r="M1659" t="s">
        <v>29</v>
      </c>
      <c r="N1659">
        <v>0</v>
      </c>
      <c r="O1659">
        <v>0</v>
      </c>
      <c r="P1659" t="s">
        <v>30</v>
      </c>
      <c r="Q1659" s="2">
        <v>0.7</v>
      </c>
      <c r="R1659">
        <v>0</v>
      </c>
      <c r="V1659" t="str">
        <f>VLOOKUP(H1659,'[1]팀별 출판사'!A:B,2,0)</f>
        <v>소설1팀</v>
      </c>
      <c r="W1659" s="6">
        <f t="shared" si="50"/>
        <v>0</v>
      </c>
      <c r="X1659" s="6">
        <f t="shared" si="51"/>
        <v>0</v>
      </c>
    </row>
    <row r="1660" spans="1:24" x14ac:dyDescent="0.3">
      <c r="A1660" t="s">
        <v>2550</v>
      </c>
      <c r="B1660" t="s">
        <v>2640</v>
      </c>
      <c r="C1660" t="s">
        <v>23</v>
      </c>
      <c r="D1660" t="s">
        <v>24</v>
      </c>
      <c r="E1660" t="s">
        <v>25</v>
      </c>
      <c r="F1660">
        <v>1</v>
      </c>
      <c r="G1660">
        <v>9791136946805</v>
      </c>
      <c r="H1660" t="s">
        <v>26</v>
      </c>
      <c r="I1660" t="s">
        <v>2641</v>
      </c>
      <c r="J1660" t="s">
        <v>28</v>
      </c>
      <c r="K1660" t="s">
        <v>29</v>
      </c>
      <c r="L1660" s="1">
        <v>3200</v>
      </c>
      <c r="M1660" t="s">
        <v>29</v>
      </c>
      <c r="N1660" s="1">
        <v>3200</v>
      </c>
      <c r="O1660" s="1">
        <v>3200</v>
      </c>
      <c r="P1660" t="s">
        <v>30</v>
      </c>
      <c r="Q1660" s="2">
        <v>0.7</v>
      </c>
      <c r="R1660" s="1">
        <v>2240</v>
      </c>
      <c r="S1660" t="s">
        <v>29</v>
      </c>
      <c r="T1660" s="1">
        <v>2240</v>
      </c>
      <c r="V1660" t="str">
        <f>VLOOKUP(H1660,'[1]팀별 출판사'!A:B,2,0)</f>
        <v>소설1팀</v>
      </c>
      <c r="W1660" s="6">
        <f t="shared" si="50"/>
        <v>0</v>
      </c>
      <c r="X1660" s="6">
        <f t="shared" si="51"/>
        <v>2240</v>
      </c>
    </row>
    <row r="1661" spans="1:24" x14ac:dyDescent="0.3">
      <c r="A1661" t="s">
        <v>2550</v>
      </c>
      <c r="B1661" t="s">
        <v>2642</v>
      </c>
      <c r="C1661" t="s">
        <v>23</v>
      </c>
      <c r="D1661" t="s">
        <v>24</v>
      </c>
      <c r="E1661" t="s">
        <v>25</v>
      </c>
      <c r="F1661">
        <v>1</v>
      </c>
      <c r="G1661">
        <v>9791173783715</v>
      </c>
      <c r="H1661" t="s">
        <v>36</v>
      </c>
      <c r="I1661" t="s">
        <v>2643</v>
      </c>
      <c r="J1661" t="s">
        <v>119</v>
      </c>
      <c r="K1661" t="s">
        <v>29</v>
      </c>
      <c r="L1661" s="1">
        <v>3600</v>
      </c>
      <c r="M1661" t="s">
        <v>362</v>
      </c>
      <c r="N1661">
        <v>164.33</v>
      </c>
      <c r="O1661">
        <v>146.72</v>
      </c>
      <c r="P1661" t="s">
        <v>363</v>
      </c>
      <c r="Q1661" s="2">
        <v>0.7</v>
      </c>
      <c r="R1661">
        <v>102.7</v>
      </c>
      <c r="S1661" t="s">
        <v>29</v>
      </c>
      <c r="T1661" s="1">
        <v>2537</v>
      </c>
      <c r="U1661">
        <v>24.76708</v>
      </c>
      <c r="V1661" t="str">
        <f>VLOOKUP(H1661,'[1]팀별 출판사'!A:B,2,0)</f>
        <v>소설2팀</v>
      </c>
      <c r="W1661" s="6">
        <f t="shared" si="50"/>
        <v>0</v>
      </c>
      <c r="X1661" s="6">
        <f t="shared" si="51"/>
        <v>2537</v>
      </c>
    </row>
    <row r="1662" spans="1:24" x14ac:dyDescent="0.3">
      <c r="A1662" t="s">
        <v>2550</v>
      </c>
      <c r="B1662" t="s">
        <v>2644</v>
      </c>
      <c r="C1662" t="s">
        <v>23</v>
      </c>
      <c r="D1662" t="s">
        <v>24</v>
      </c>
      <c r="E1662" t="s">
        <v>25</v>
      </c>
      <c r="F1662">
        <v>1</v>
      </c>
      <c r="G1662">
        <v>9791136930361</v>
      </c>
      <c r="H1662" t="s">
        <v>32</v>
      </c>
      <c r="I1662" t="s">
        <v>33</v>
      </c>
      <c r="J1662" t="s">
        <v>34</v>
      </c>
      <c r="K1662" t="s">
        <v>29</v>
      </c>
      <c r="L1662">
        <v>0</v>
      </c>
      <c r="M1662" t="s">
        <v>47</v>
      </c>
      <c r="N1662">
        <v>0</v>
      </c>
      <c r="O1662">
        <v>0</v>
      </c>
      <c r="P1662" t="s">
        <v>48</v>
      </c>
      <c r="Q1662" s="2">
        <v>0.7</v>
      </c>
      <c r="R1662">
        <v>0</v>
      </c>
      <c r="V1662" t="str">
        <f>VLOOKUP(H1662,'[1]팀별 출판사'!A:B,2,0)</f>
        <v>소설1팀</v>
      </c>
      <c r="W1662" s="6">
        <f t="shared" si="50"/>
        <v>0</v>
      </c>
      <c r="X1662" s="6">
        <f t="shared" si="51"/>
        <v>0</v>
      </c>
    </row>
    <row r="1663" spans="1:24" x14ac:dyDescent="0.3">
      <c r="A1663" t="s">
        <v>2550</v>
      </c>
      <c r="B1663" t="s">
        <v>2645</v>
      </c>
      <c r="C1663" t="s">
        <v>23</v>
      </c>
      <c r="D1663" t="s">
        <v>24</v>
      </c>
      <c r="E1663" t="s">
        <v>25</v>
      </c>
      <c r="F1663">
        <v>1</v>
      </c>
      <c r="G1663" t="s">
        <v>2646</v>
      </c>
      <c r="H1663" t="s">
        <v>32</v>
      </c>
      <c r="I1663" t="s">
        <v>2647</v>
      </c>
      <c r="J1663" t="s">
        <v>311</v>
      </c>
      <c r="K1663" t="s">
        <v>29</v>
      </c>
      <c r="L1663" s="1">
        <v>3200</v>
      </c>
      <c r="M1663" t="s">
        <v>70</v>
      </c>
      <c r="N1663">
        <v>2.2200000000000002</v>
      </c>
      <c r="O1663">
        <v>2.2200000000000002</v>
      </c>
      <c r="P1663" t="s">
        <v>71</v>
      </c>
      <c r="Q1663" s="2">
        <v>0.7</v>
      </c>
      <c r="R1663">
        <v>1.55</v>
      </c>
      <c r="S1663" t="s">
        <v>29</v>
      </c>
      <c r="T1663" s="1">
        <v>2225</v>
      </c>
      <c r="U1663" s="3">
        <v>1438.9716000000001</v>
      </c>
      <c r="V1663" t="str">
        <f>VLOOKUP(H1663,'[1]팀별 출판사'!A:B,2,0)</f>
        <v>소설1팀</v>
      </c>
      <c r="W1663" s="6">
        <f t="shared" si="50"/>
        <v>667.5</v>
      </c>
      <c r="X1663" s="6">
        <f t="shared" si="51"/>
        <v>1557.5</v>
      </c>
    </row>
    <row r="1664" spans="1:24" x14ac:dyDescent="0.3">
      <c r="A1664" t="s">
        <v>2550</v>
      </c>
      <c r="B1664" t="s">
        <v>2648</v>
      </c>
      <c r="C1664" t="s">
        <v>23</v>
      </c>
      <c r="D1664" t="s">
        <v>24</v>
      </c>
      <c r="E1664" t="s">
        <v>25</v>
      </c>
      <c r="F1664">
        <v>1</v>
      </c>
      <c r="G1664">
        <v>9791133171491</v>
      </c>
      <c r="H1664" t="s">
        <v>26</v>
      </c>
      <c r="I1664" t="s">
        <v>2649</v>
      </c>
      <c r="J1664" t="s">
        <v>588</v>
      </c>
      <c r="K1664" t="s">
        <v>29</v>
      </c>
      <c r="L1664">
        <v>0</v>
      </c>
      <c r="M1664" t="s">
        <v>29</v>
      </c>
      <c r="N1664">
        <v>0</v>
      </c>
      <c r="O1664">
        <v>0</v>
      </c>
      <c r="P1664" t="s">
        <v>30</v>
      </c>
      <c r="Q1664" s="2">
        <v>0.7</v>
      </c>
      <c r="R1664">
        <v>0</v>
      </c>
      <c r="V1664" t="str">
        <f>VLOOKUP(H1664,'[1]팀별 출판사'!A:B,2,0)</f>
        <v>소설1팀</v>
      </c>
      <c r="W1664" s="6">
        <f t="shared" si="50"/>
        <v>0</v>
      </c>
      <c r="X1664" s="6">
        <f t="shared" si="51"/>
        <v>0</v>
      </c>
    </row>
    <row r="1665" spans="1:24" x14ac:dyDescent="0.3">
      <c r="A1665" t="s">
        <v>2550</v>
      </c>
      <c r="B1665" t="s">
        <v>2650</v>
      </c>
      <c r="C1665" t="s">
        <v>23</v>
      </c>
      <c r="D1665" t="s">
        <v>24</v>
      </c>
      <c r="E1665" t="s">
        <v>25</v>
      </c>
      <c r="F1665">
        <v>1</v>
      </c>
      <c r="G1665">
        <v>9791195412358</v>
      </c>
      <c r="H1665" t="s">
        <v>67</v>
      </c>
      <c r="I1665" t="s">
        <v>2651</v>
      </c>
      <c r="J1665" t="s">
        <v>2583</v>
      </c>
      <c r="K1665" t="s">
        <v>29</v>
      </c>
      <c r="L1665">
        <v>0</v>
      </c>
      <c r="M1665" t="s">
        <v>29</v>
      </c>
      <c r="N1665">
        <v>0</v>
      </c>
      <c r="O1665">
        <v>0</v>
      </c>
      <c r="P1665" t="s">
        <v>30</v>
      </c>
      <c r="Q1665" s="2">
        <v>0.7</v>
      </c>
      <c r="R1665">
        <v>0</v>
      </c>
      <c r="V1665" t="str">
        <f>VLOOKUP(H1665,'[1]팀별 출판사'!A:B,2,0)</f>
        <v>소설1팀</v>
      </c>
      <c r="W1665" s="6">
        <f t="shared" si="50"/>
        <v>0</v>
      </c>
      <c r="X1665" s="6">
        <f t="shared" si="51"/>
        <v>0</v>
      </c>
    </row>
    <row r="1666" spans="1:24" x14ac:dyDescent="0.3">
      <c r="A1666" t="s">
        <v>2550</v>
      </c>
      <c r="B1666" t="s">
        <v>2652</v>
      </c>
      <c r="C1666" t="s">
        <v>23</v>
      </c>
      <c r="D1666" t="s">
        <v>24</v>
      </c>
      <c r="E1666" t="s">
        <v>25</v>
      </c>
      <c r="F1666">
        <v>1</v>
      </c>
      <c r="G1666">
        <v>9791173780882</v>
      </c>
      <c r="H1666" t="s">
        <v>26</v>
      </c>
      <c r="I1666" t="s">
        <v>2653</v>
      </c>
      <c r="J1666" t="s">
        <v>2654</v>
      </c>
      <c r="K1666" t="s">
        <v>29</v>
      </c>
      <c r="L1666">
        <v>0</v>
      </c>
      <c r="M1666" t="s">
        <v>29</v>
      </c>
      <c r="N1666">
        <v>0</v>
      </c>
      <c r="O1666">
        <v>0</v>
      </c>
      <c r="P1666" t="s">
        <v>30</v>
      </c>
      <c r="Q1666" s="2">
        <v>0.7</v>
      </c>
      <c r="R1666">
        <v>0</v>
      </c>
      <c r="V1666" t="str">
        <f>VLOOKUP(H1666,'[1]팀별 출판사'!A:B,2,0)</f>
        <v>소설1팀</v>
      </c>
      <c r="W1666" s="6">
        <f t="shared" ref="W1666:W1729" si="52">IF(P1666="US", T1666*30%, 0)</f>
        <v>0</v>
      </c>
      <c r="X1666" s="6">
        <f t="shared" ref="X1666:X1729" si="53">T1666-W1666</f>
        <v>0</v>
      </c>
    </row>
    <row r="1667" spans="1:24" x14ac:dyDescent="0.3">
      <c r="A1667" t="s">
        <v>2550</v>
      </c>
      <c r="B1667" t="s">
        <v>2655</v>
      </c>
      <c r="C1667" t="s">
        <v>23</v>
      </c>
      <c r="D1667" t="s">
        <v>24</v>
      </c>
      <c r="E1667" t="s">
        <v>25</v>
      </c>
      <c r="F1667">
        <v>1</v>
      </c>
      <c r="G1667">
        <v>9791133167227</v>
      </c>
      <c r="H1667" t="s">
        <v>32</v>
      </c>
      <c r="I1667" t="s">
        <v>313</v>
      </c>
      <c r="J1667" t="s">
        <v>160</v>
      </c>
      <c r="K1667" t="s">
        <v>29</v>
      </c>
      <c r="L1667">
        <v>0</v>
      </c>
      <c r="M1667" t="s">
        <v>29</v>
      </c>
      <c r="N1667">
        <v>0</v>
      </c>
      <c r="O1667">
        <v>0</v>
      </c>
      <c r="P1667" t="s">
        <v>30</v>
      </c>
      <c r="Q1667" s="2">
        <v>0.7</v>
      </c>
      <c r="R1667">
        <v>0</v>
      </c>
      <c r="V1667" t="str">
        <f>VLOOKUP(H1667,'[1]팀별 출판사'!A:B,2,0)</f>
        <v>소설1팀</v>
      </c>
      <c r="W1667" s="6">
        <f t="shared" si="52"/>
        <v>0</v>
      </c>
      <c r="X1667" s="6">
        <f t="shared" si="53"/>
        <v>0</v>
      </c>
    </row>
    <row r="1668" spans="1:24" x14ac:dyDescent="0.3">
      <c r="A1668" t="s">
        <v>2550</v>
      </c>
      <c r="B1668" t="s">
        <v>2656</v>
      </c>
      <c r="C1668" t="s">
        <v>23</v>
      </c>
      <c r="D1668" t="s">
        <v>24</v>
      </c>
      <c r="E1668" t="s">
        <v>25</v>
      </c>
      <c r="F1668">
        <v>1</v>
      </c>
      <c r="G1668" t="s">
        <v>2336</v>
      </c>
      <c r="H1668" t="s">
        <v>32</v>
      </c>
      <c r="I1668" t="s">
        <v>2337</v>
      </c>
      <c r="J1668" t="s">
        <v>88</v>
      </c>
      <c r="K1668" t="s">
        <v>29</v>
      </c>
      <c r="L1668">
        <v>0</v>
      </c>
      <c r="M1668" t="s">
        <v>29</v>
      </c>
      <c r="N1668">
        <v>0</v>
      </c>
      <c r="O1668">
        <v>0</v>
      </c>
      <c r="P1668" t="s">
        <v>30</v>
      </c>
      <c r="Q1668" s="2">
        <v>0.7</v>
      </c>
      <c r="R1668">
        <v>0</v>
      </c>
      <c r="V1668" t="str">
        <f>VLOOKUP(H1668,'[1]팀별 출판사'!A:B,2,0)</f>
        <v>소설1팀</v>
      </c>
      <c r="W1668" s="6">
        <f t="shared" si="52"/>
        <v>0</v>
      </c>
      <c r="X1668" s="6">
        <f t="shared" si="53"/>
        <v>0</v>
      </c>
    </row>
    <row r="1669" spans="1:24" x14ac:dyDescent="0.3">
      <c r="A1669" t="s">
        <v>2550</v>
      </c>
      <c r="B1669" t="s">
        <v>2657</v>
      </c>
      <c r="C1669" t="s">
        <v>23</v>
      </c>
      <c r="D1669" t="s">
        <v>24</v>
      </c>
      <c r="E1669" t="s">
        <v>25</v>
      </c>
      <c r="F1669">
        <v>1</v>
      </c>
      <c r="G1669">
        <v>9791136931375</v>
      </c>
      <c r="H1669" t="s">
        <v>32</v>
      </c>
      <c r="I1669" t="s">
        <v>189</v>
      </c>
      <c r="J1669" t="s">
        <v>46</v>
      </c>
      <c r="K1669" t="s">
        <v>29</v>
      </c>
      <c r="L1669">
        <v>0</v>
      </c>
      <c r="M1669" t="s">
        <v>47</v>
      </c>
      <c r="N1669">
        <v>0</v>
      </c>
      <c r="O1669">
        <v>0</v>
      </c>
      <c r="P1669" t="s">
        <v>48</v>
      </c>
      <c r="Q1669" s="2">
        <v>0.7</v>
      </c>
      <c r="R1669">
        <v>0</v>
      </c>
      <c r="V1669" t="str">
        <f>VLOOKUP(H1669,'[1]팀별 출판사'!A:B,2,0)</f>
        <v>소설1팀</v>
      </c>
      <c r="W1669" s="6">
        <f t="shared" si="52"/>
        <v>0</v>
      </c>
      <c r="X1669" s="6">
        <f t="shared" si="53"/>
        <v>0</v>
      </c>
    </row>
    <row r="1670" spans="1:24" x14ac:dyDescent="0.3">
      <c r="A1670" t="s">
        <v>2550</v>
      </c>
      <c r="B1670" t="s">
        <v>2658</v>
      </c>
      <c r="C1670" t="s">
        <v>23</v>
      </c>
      <c r="D1670" t="s">
        <v>24</v>
      </c>
      <c r="E1670" t="s">
        <v>25</v>
      </c>
      <c r="F1670">
        <v>1</v>
      </c>
      <c r="G1670">
        <v>9791136958686</v>
      </c>
      <c r="H1670" t="s">
        <v>79</v>
      </c>
      <c r="I1670" t="s">
        <v>2659</v>
      </c>
      <c r="J1670" t="s">
        <v>81</v>
      </c>
      <c r="K1670" t="s">
        <v>29</v>
      </c>
      <c r="L1670" s="1">
        <v>3200</v>
      </c>
      <c r="M1670" t="s">
        <v>29</v>
      </c>
      <c r="N1670" s="1">
        <v>3200</v>
      </c>
      <c r="O1670" s="1">
        <v>3200</v>
      </c>
      <c r="P1670" t="s">
        <v>30</v>
      </c>
      <c r="Q1670" s="2">
        <v>0.7</v>
      </c>
      <c r="R1670" s="1">
        <v>2240</v>
      </c>
      <c r="S1670" t="s">
        <v>29</v>
      </c>
      <c r="T1670" s="1">
        <v>2240</v>
      </c>
      <c r="V1670" t="str">
        <f>VLOOKUP(H1670,'[1]팀별 출판사'!A:B,2,0)</f>
        <v>소설1팀</v>
      </c>
      <c r="W1670" s="6">
        <f t="shared" si="52"/>
        <v>0</v>
      </c>
      <c r="X1670" s="6">
        <f t="shared" si="53"/>
        <v>2240</v>
      </c>
    </row>
    <row r="1671" spans="1:24" x14ac:dyDescent="0.3">
      <c r="A1671" t="s">
        <v>2550</v>
      </c>
      <c r="B1671" t="s">
        <v>2660</v>
      </c>
      <c r="C1671" t="s">
        <v>23</v>
      </c>
      <c r="D1671" t="s">
        <v>24</v>
      </c>
      <c r="E1671" t="s">
        <v>25</v>
      </c>
      <c r="F1671">
        <v>1</v>
      </c>
      <c r="G1671">
        <v>9791133156474</v>
      </c>
      <c r="H1671" t="s">
        <v>32</v>
      </c>
      <c r="I1671" t="s">
        <v>1215</v>
      </c>
      <c r="J1671" t="s">
        <v>51</v>
      </c>
      <c r="K1671" t="s">
        <v>29</v>
      </c>
      <c r="L1671">
        <v>0</v>
      </c>
      <c r="M1671" t="s">
        <v>29</v>
      </c>
      <c r="N1671">
        <v>0</v>
      </c>
      <c r="O1671">
        <v>0</v>
      </c>
      <c r="P1671" t="s">
        <v>30</v>
      </c>
      <c r="Q1671" s="2">
        <v>0.7</v>
      </c>
      <c r="R1671">
        <v>0</v>
      </c>
      <c r="V1671" t="str">
        <f>VLOOKUP(H1671,'[1]팀별 출판사'!A:B,2,0)</f>
        <v>소설1팀</v>
      </c>
      <c r="W1671" s="6">
        <f t="shared" si="52"/>
        <v>0</v>
      </c>
      <c r="X1671" s="6">
        <f t="shared" si="53"/>
        <v>0</v>
      </c>
    </row>
    <row r="1672" spans="1:24" x14ac:dyDescent="0.3">
      <c r="A1672" t="s">
        <v>2550</v>
      </c>
      <c r="B1672" t="s">
        <v>2661</v>
      </c>
      <c r="C1672" t="s">
        <v>23</v>
      </c>
      <c r="D1672" t="s">
        <v>24</v>
      </c>
      <c r="E1672" t="s">
        <v>25</v>
      </c>
      <c r="F1672">
        <v>1</v>
      </c>
      <c r="G1672">
        <v>9791136903587</v>
      </c>
      <c r="H1672" t="s">
        <v>26</v>
      </c>
      <c r="I1672" t="s">
        <v>2662</v>
      </c>
      <c r="J1672" t="s">
        <v>1376</v>
      </c>
      <c r="K1672" t="s">
        <v>29</v>
      </c>
      <c r="L1672">
        <v>0</v>
      </c>
      <c r="M1672" t="s">
        <v>29</v>
      </c>
      <c r="N1672">
        <v>0</v>
      </c>
      <c r="O1672">
        <v>0</v>
      </c>
      <c r="P1672" t="s">
        <v>30</v>
      </c>
      <c r="Q1672" s="2">
        <v>0.7</v>
      </c>
      <c r="R1672">
        <v>0</v>
      </c>
      <c r="V1672" t="str">
        <f>VLOOKUP(H1672,'[1]팀별 출판사'!A:B,2,0)</f>
        <v>소설1팀</v>
      </c>
      <c r="W1672" s="6">
        <f t="shared" si="52"/>
        <v>0</v>
      </c>
      <c r="X1672" s="6">
        <f t="shared" si="53"/>
        <v>0</v>
      </c>
    </row>
    <row r="1673" spans="1:24" x14ac:dyDescent="0.3">
      <c r="A1673" t="s">
        <v>2550</v>
      </c>
      <c r="B1673" t="s">
        <v>2663</v>
      </c>
      <c r="C1673" t="s">
        <v>23</v>
      </c>
      <c r="D1673" t="s">
        <v>24</v>
      </c>
      <c r="E1673" t="s">
        <v>25</v>
      </c>
      <c r="F1673">
        <v>1</v>
      </c>
      <c r="G1673">
        <v>9791136930491</v>
      </c>
      <c r="H1673" t="s">
        <v>26</v>
      </c>
      <c r="I1673" t="s">
        <v>151</v>
      </c>
      <c r="J1673" t="s">
        <v>46</v>
      </c>
      <c r="K1673" t="s">
        <v>29</v>
      </c>
      <c r="L1673">
        <v>0</v>
      </c>
      <c r="M1673" t="s">
        <v>29</v>
      </c>
      <c r="N1673">
        <v>0</v>
      </c>
      <c r="O1673">
        <v>0</v>
      </c>
      <c r="P1673" t="s">
        <v>30</v>
      </c>
      <c r="Q1673" s="2">
        <v>0.7</v>
      </c>
      <c r="R1673">
        <v>0</v>
      </c>
      <c r="V1673" t="str">
        <f>VLOOKUP(H1673,'[1]팀별 출판사'!A:B,2,0)</f>
        <v>소설1팀</v>
      </c>
      <c r="W1673" s="6">
        <f t="shared" si="52"/>
        <v>0</v>
      </c>
      <c r="X1673" s="6">
        <f t="shared" si="53"/>
        <v>0</v>
      </c>
    </row>
    <row r="1674" spans="1:24" x14ac:dyDescent="0.3">
      <c r="A1674" t="s">
        <v>2550</v>
      </c>
      <c r="B1674" t="s">
        <v>2664</v>
      </c>
      <c r="C1674" t="s">
        <v>23</v>
      </c>
      <c r="D1674" t="s">
        <v>24</v>
      </c>
      <c r="E1674" t="s">
        <v>25</v>
      </c>
      <c r="F1674">
        <v>1</v>
      </c>
      <c r="G1674">
        <v>9791136930361</v>
      </c>
      <c r="H1674" t="s">
        <v>32</v>
      </c>
      <c r="I1674" t="s">
        <v>33</v>
      </c>
      <c r="J1674" t="s">
        <v>34</v>
      </c>
      <c r="K1674" t="s">
        <v>29</v>
      </c>
      <c r="L1674">
        <v>0</v>
      </c>
      <c r="M1674" t="s">
        <v>29</v>
      </c>
      <c r="N1674">
        <v>0</v>
      </c>
      <c r="O1674">
        <v>0</v>
      </c>
      <c r="P1674" t="s">
        <v>30</v>
      </c>
      <c r="Q1674" s="2">
        <v>0.7</v>
      </c>
      <c r="R1674">
        <v>0</v>
      </c>
      <c r="V1674" t="str">
        <f>VLOOKUP(H1674,'[1]팀별 출판사'!A:B,2,0)</f>
        <v>소설1팀</v>
      </c>
      <c r="W1674" s="6">
        <f t="shared" si="52"/>
        <v>0</v>
      </c>
      <c r="X1674" s="6">
        <f t="shared" si="53"/>
        <v>0</v>
      </c>
    </row>
    <row r="1675" spans="1:24" x14ac:dyDescent="0.3">
      <c r="A1675" t="s">
        <v>2550</v>
      </c>
      <c r="B1675" t="s">
        <v>2665</v>
      </c>
      <c r="C1675" t="s">
        <v>23</v>
      </c>
      <c r="D1675" t="s">
        <v>24</v>
      </c>
      <c r="E1675" t="s">
        <v>25</v>
      </c>
      <c r="F1675">
        <v>1</v>
      </c>
      <c r="G1675">
        <v>9791136932648</v>
      </c>
      <c r="H1675" t="s">
        <v>32</v>
      </c>
      <c r="I1675" t="s">
        <v>832</v>
      </c>
      <c r="J1675" t="s">
        <v>34</v>
      </c>
      <c r="K1675" t="s">
        <v>29</v>
      </c>
      <c r="L1675">
        <v>0</v>
      </c>
      <c r="M1675" t="s">
        <v>29</v>
      </c>
      <c r="N1675">
        <v>0</v>
      </c>
      <c r="O1675">
        <v>0</v>
      </c>
      <c r="P1675" t="s">
        <v>30</v>
      </c>
      <c r="Q1675" s="2">
        <v>0.7</v>
      </c>
      <c r="R1675">
        <v>0</v>
      </c>
      <c r="V1675" t="str">
        <f>VLOOKUP(H1675,'[1]팀별 출판사'!A:B,2,0)</f>
        <v>소설1팀</v>
      </c>
      <c r="W1675" s="6">
        <f t="shared" si="52"/>
        <v>0</v>
      </c>
      <c r="X1675" s="6">
        <f t="shared" si="53"/>
        <v>0</v>
      </c>
    </row>
    <row r="1676" spans="1:24" x14ac:dyDescent="0.3">
      <c r="A1676" t="s">
        <v>2550</v>
      </c>
      <c r="B1676" t="s">
        <v>2666</v>
      </c>
      <c r="C1676" t="s">
        <v>23</v>
      </c>
      <c r="D1676" t="s">
        <v>24</v>
      </c>
      <c r="E1676" t="s">
        <v>25</v>
      </c>
      <c r="F1676">
        <v>1</v>
      </c>
      <c r="G1676">
        <v>9791157534548</v>
      </c>
      <c r="H1676" t="s">
        <v>32</v>
      </c>
      <c r="I1676" t="s">
        <v>1134</v>
      </c>
      <c r="J1676" t="s">
        <v>166</v>
      </c>
      <c r="K1676" t="s">
        <v>29</v>
      </c>
      <c r="L1676">
        <v>0</v>
      </c>
      <c r="M1676" t="s">
        <v>29</v>
      </c>
      <c r="N1676">
        <v>0</v>
      </c>
      <c r="O1676">
        <v>0</v>
      </c>
      <c r="P1676" t="s">
        <v>30</v>
      </c>
      <c r="Q1676" s="2">
        <v>0.7</v>
      </c>
      <c r="R1676">
        <v>0</v>
      </c>
      <c r="V1676" t="str">
        <f>VLOOKUP(H1676,'[1]팀별 출판사'!A:B,2,0)</f>
        <v>소설1팀</v>
      </c>
      <c r="W1676" s="6">
        <f t="shared" si="52"/>
        <v>0</v>
      </c>
      <c r="X1676" s="6">
        <f t="shared" si="53"/>
        <v>0</v>
      </c>
    </row>
    <row r="1677" spans="1:24" x14ac:dyDescent="0.3">
      <c r="A1677" t="s">
        <v>2550</v>
      </c>
      <c r="B1677" t="s">
        <v>2667</v>
      </c>
      <c r="C1677" t="s">
        <v>23</v>
      </c>
      <c r="D1677" t="s">
        <v>24</v>
      </c>
      <c r="E1677" t="s">
        <v>25</v>
      </c>
      <c r="F1677">
        <v>1</v>
      </c>
      <c r="G1677">
        <v>9791133110117</v>
      </c>
      <c r="H1677" t="s">
        <v>32</v>
      </c>
      <c r="I1677" t="s">
        <v>1021</v>
      </c>
      <c r="J1677" t="s">
        <v>166</v>
      </c>
      <c r="K1677" t="s">
        <v>29</v>
      </c>
      <c r="L1677">
        <v>0</v>
      </c>
      <c r="M1677" t="s">
        <v>29</v>
      </c>
      <c r="N1677">
        <v>0</v>
      </c>
      <c r="O1677">
        <v>0</v>
      </c>
      <c r="P1677" t="s">
        <v>30</v>
      </c>
      <c r="Q1677" s="2">
        <v>0.7</v>
      </c>
      <c r="R1677">
        <v>0</v>
      </c>
      <c r="V1677" t="str">
        <f>VLOOKUP(H1677,'[1]팀별 출판사'!A:B,2,0)</f>
        <v>소설1팀</v>
      </c>
      <c r="W1677" s="6">
        <f t="shared" si="52"/>
        <v>0</v>
      </c>
      <c r="X1677" s="6">
        <f t="shared" si="53"/>
        <v>0</v>
      </c>
    </row>
    <row r="1678" spans="1:24" x14ac:dyDescent="0.3">
      <c r="A1678" t="s">
        <v>2550</v>
      </c>
      <c r="B1678" t="s">
        <v>2668</v>
      </c>
      <c r="C1678" t="s">
        <v>23</v>
      </c>
      <c r="D1678" t="s">
        <v>24</v>
      </c>
      <c r="E1678" t="s">
        <v>25</v>
      </c>
      <c r="F1678">
        <v>1</v>
      </c>
      <c r="G1678">
        <v>9791136904782</v>
      </c>
      <c r="H1678" t="s">
        <v>26</v>
      </c>
      <c r="I1678" t="s">
        <v>1549</v>
      </c>
      <c r="J1678" t="s">
        <v>166</v>
      </c>
      <c r="K1678" t="s">
        <v>29</v>
      </c>
      <c r="L1678">
        <v>0</v>
      </c>
      <c r="M1678" t="s">
        <v>29</v>
      </c>
      <c r="N1678">
        <v>0</v>
      </c>
      <c r="O1678">
        <v>0</v>
      </c>
      <c r="P1678" t="s">
        <v>30</v>
      </c>
      <c r="Q1678" s="2">
        <v>0.7</v>
      </c>
      <c r="R1678">
        <v>0</v>
      </c>
      <c r="V1678" t="str">
        <f>VLOOKUP(H1678,'[1]팀별 출판사'!A:B,2,0)</f>
        <v>소설1팀</v>
      </c>
      <c r="W1678" s="6">
        <f t="shared" si="52"/>
        <v>0</v>
      </c>
      <c r="X1678" s="6">
        <f t="shared" si="53"/>
        <v>0</v>
      </c>
    </row>
    <row r="1679" spans="1:24" x14ac:dyDescent="0.3">
      <c r="A1679" t="s">
        <v>2550</v>
      </c>
      <c r="B1679" t="s">
        <v>2669</v>
      </c>
      <c r="C1679" t="s">
        <v>23</v>
      </c>
      <c r="D1679" t="s">
        <v>24</v>
      </c>
      <c r="E1679" t="s">
        <v>25</v>
      </c>
      <c r="F1679">
        <v>1</v>
      </c>
      <c r="G1679">
        <v>9791157532261</v>
      </c>
      <c r="H1679" t="s">
        <v>32</v>
      </c>
      <c r="I1679" t="s">
        <v>2670</v>
      </c>
      <c r="J1679" t="s">
        <v>112</v>
      </c>
      <c r="K1679" t="s">
        <v>29</v>
      </c>
      <c r="L1679" s="1">
        <v>3200</v>
      </c>
      <c r="M1679" t="s">
        <v>29</v>
      </c>
      <c r="N1679" s="1">
        <v>3200</v>
      </c>
      <c r="O1679" s="1">
        <v>3200</v>
      </c>
      <c r="P1679" t="s">
        <v>30</v>
      </c>
      <c r="Q1679" s="2">
        <v>0.7</v>
      </c>
      <c r="R1679" s="1">
        <v>2240</v>
      </c>
      <c r="S1679" t="s">
        <v>29</v>
      </c>
      <c r="T1679" s="1">
        <v>2240</v>
      </c>
      <c r="V1679" t="str">
        <f>VLOOKUP(H1679,'[1]팀별 출판사'!A:B,2,0)</f>
        <v>소설1팀</v>
      </c>
      <c r="W1679" s="6">
        <f t="shared" si="52"/>
        <v>0</v>
      </c>
      <c r="X1679" s="6">
        <f t="shared" si="53"/>
        <v>2240</v>
      </c>
    </row>
    <row r="1680" spans="1:24" x14ac:dyDescent="0.3">
      <c r="A1680" t="s">
        <v>2550</v>
      </c>
      <c r="B1680" t="s">
        <v>2671</v>
      </c>
      <c r="C1680" t="s">
        <v>23</v>
      </c>
      <c r="D1680" t="s">
        <v>24</v>
      </c>
      <c r="E1680" t="s">
        <v>25</v>
      </c>
      <c r="F1680">
        <v>1</v>
      </c>
      <c r="G1680">
        <v>9791173785177</v>
      </c>
      <c r="H1680" t="s">
        <v>26</v>
      </c>
      <c r="I1680" t="s">
        <v>2672</v>
      </c>
      <c r="J1680" t="s">
        <v>62</v>
      </c>
      <c r="K1680" t="s">
        <v>29</v>
      </c>
      <c r="L1680" s="1">
        <v>3200</v>
      </c>
      <c r="M1680" t="s">
        <v>29</v>
      </c>
      <c r="N1680" s="1">
        <v>3200</v>
      </c>
      <c r="O1680" s="1">
        <v>3200</v>
      </c>
      <c r="P1680" t="s">
        <v>30</v>
      </c>
      <c r="Q1680" s="2">
        <v>0.7</v>
      </c>
      <c r="R1680" s="1">
        <v>2240</v>
      </c>
      <c r="S1680" t="s">
        <v>29</v>
      </c>
      <c r="T1680" s="1">
        <v>2240</v>
      </c>
      <c r="V1680" t="str">
        <f>VLOOKUP(H1680,'[1]팀별 출판사'!A:B,2,0)</f>
        <v>소설1팀</v>
      </c>
      <c r="W1680" s="6">
        <f t="shared" si="52"/>
        <v>0</v>
      </c>
      <c r="X1680" s="6">
        <f t="shared" si="53"/>
        <v>2240</v>
      </c>
    </row>
    <row r="1681" spans="1:24" x14ac:dyDescent="0.3">
      <c r="A1681" t="s">
        <v>2550</v>
      </c>
      <c r="B1681" t="s">
        <v>2673</v>
      </c>
      <c r="C1681" t="s">
        <v>23</v>
      </c>
      <c r="D1681" t="s">
        <v>24</v>
      </c>
      <c r="E1681" t="s">
        <v>25</v>
      </c>
      <c r="F1681">
        <v>1</v>
      </c>
      <c r="G1681">
        <v>9791136931399</v>
      </c>
      <c r="H1681" t="s">
        <v>32</v>
      </c>
      <c r="I1681" t="s">
        <v>482</v>
      </c>
      <c r="J1681" t="s">
        <v>46</v>
      </c>
      <c r="K1681" t="s">
        <v>29</v>
      </c>
      <c r="L1681">
        <v>0</v>
      </c>
      <c r="M1681" t="s">
        <v>47</v>
      </c>
      <c r="N1681">
        <v>0</v>
      </c>
      <c r="O1681">
        <v>0</v>
      </c>
      <c r="P1681" t="s">
        <v>48</v>
      </c>
      <c r="Q1681" s="2">
        <v>0.7</v>
      </c>
      <c r="R1681">
        <v>0</v>
      </c>
      <c r="V1681" t="str">
        <f>VLOOKUP(H1681,'[1]팀별 출판사'!A:B,2,0)</f>
        <v>소설1팀</v>
      </c>
      <c r="W1681" s="6">
        <f t="shared" si="52"/>
        <v>0</v>
      </c>
      <c r="X1681" s="6">
        <f t="shared" si="53"/>
        <v>0</v>
      </c>
    </row>
    <row r="1682" spans="1:24" x14ac:dyDescent="0.3">
      <c r="A1682" t="s">
        <v>2550</v>
      </c>
      <c r="B1682" t="s">
        <v>2674</v>
      </c>
      <c r="C1682" t="s">
        <v>23</v>
      </c>
      <c r="D1682" t="s">
        <v>24</v>
      </c>
      <c r="E1682" t="s">
        <v>25</v>
      </c>
      <c r="F1682">
        <v>1</v>
      </c>
      <c r="G1682" t="s">
        <v>2675</v>
      </c>
      <c r="H1682" t="s">
        <v>32</v>
      </c>
      <c r="I1682" t="s">
        <v>2676</v>
      </c>
      <c r="J1682" t="s">
        <v>43</v>
      </c>
      <c r="K1682" t="s">
        <v>29</v>
      </c>
      <c r="L1682" s="1">
        <v>3000</v>
      </c>
      <c r="M1682" t="s">
        <v>29</v>
      </c>
      <c r="N1682" s="1">
        <v>3000</v>
      </c>
      <c r="O1682" s="1">
        <v>3000</v>
      </c>
      <c r="P1682" t="s">
        <v>30</v>
      </c>
      <c r="Q1682" s="2">
        <v>0.7</v>
      </c>
      <c r="R1682" s="1">
        <v>2100</v>
      </c>
      <c r="S1682" t="s">
        <v>29</v>
      </c>
      <c r="T1682" s="1">
        <v>2100</v>
      </c>
      <c r="V1682" t="str">
        <f>VLOOKUP(H1682,'[1]팀별 출판사'!A:B,2,0)</f>
        <v>소설1팀</v>
      </c>
      <c r="W1682" s="6">
        <f t="shared" si="52"/>
        <v>0</v>
      </c>
      <c r="X1682" s="6">
        <f t="shared" si="53"/>
        <v>2100</v>
      </c>
    </row>
    <row r="1683" spans="1:24" x14ac:dyDescent="0.3">
      <c r="A1683" t="s">
        <v>2550</v>
      </c>
      <c r="B1683" t="s">
        <v>2677</v>
      </c>
      <c r="C1683" t="s">
        <v>23</v>
      </c>
      <c r="D1683" t="s">
        <v>24</v>
      </c>
      <c r="E1683" t="s">
        <v>25</v>
      </c>
      <c r="F1683">
        <v>1</v>
      </c>
      <c r="G1683" t="s">
        <v>2678</v>
      </c>
      <c r="H1683" t="s">
        <v>32</v>
      </c>
      <c r="I1683" t="s">
        <v>2679</v>
      </c>
      <c r="J1683" t="s">
        <v>311</v>
      </c>
      <c r="K1683" t="s">
        <v>29</v>
      </c>
      <c r="L1683" s="1">
        <v>3200</v>
      </c>
      <c r="M1683" t="s">
        <v>29</v>
      </c>
      <c r="N1683" s="1">
        <v>3200</v>
      </c>
      <c r="O1683" s="1">
        <v>3200</v>
      </c>
      <c r="P1683" t="s">
        <v>30</v>
      </c>
      <c r="Q1683" s="2">
        <v>0.7</v>
      </c>
      <c r="R1683" s="1">
        <v>2240</v>
      </c>
      <c r="S1683" t="s">
        <v>29</v>
      </c>
      <c r="T1683" s="1">
        <v>2240</v>
      </c>
      <c r="V1683" t="str">
        <f>VLOOKUP(H1683,'[1]팀별 출판사'!A:B,2,0)</f>
        <v>소설1팀</v>
      </c>
      <c r="W1683" s="6">
        <f t="shared" si="52"/>
        <v>0</v>
      </c>
      <c r="X1683" s="6">
        <f t="shared" si="53"/>
        <v>2240</v>
      </c>
    </row>
    <row r="1684" spans="1:24" x14ac:dyDescent="0.3">
      <c r="A1684" t="s">
        <v>2550</v>
      </c>
      <c r="B1684" t="s">
        <v>2680</v>
      </c>
      <c r="C1684" t="s">
        <v>23</v>
      </c>
      <c r="D1684" t="s">
        <v>24</v>
      </c>
      <c r="E1684" t="s">
        <v>25</v>
      </c>
      <c r="F1684">
        <v>1</v>
      </c>
      <c r="G1684">
        <v>9791136945013</v>
      </c>
      <c r="H1684" t="s">
        <v>26</v>
      </c>
      <c r="I1684" t="s">
        <v>125</v>
      </c>
      <c r="J1684" t="s">
        <v>126</v>
      </c>
      <c r="K1684" t="s">
        <v>29</v>
      </c>
      <c r="L1684">
        <v>0</v>
      </c>
      <c r="M1684" t="s">
        <v>47</v>
      </c>
      <c r="N1684">
        <v>0</v>
      </c>
      <c r="O1684">
        <v>0</v>
      </c>
      <c r="P1684" t="s">
        <v>48</v>
      </c>
      <c r="Q1684" s="2">
        <v>0.7</v>
      </c>
      <c r="R1684">
        <v>0</v>
      </c>
      <c r="V1684" t="str">
        <f>VLOOKUP(H1684,'[1]팀별 출판사'!A:B,2,0)</f>
        <v>소설1팀</v>
      </c>
      <c r="W1684" s="6">
        <f t="shared" si="52"/>
        <v>0</v>
      </c>
      <c r="X1684" s="6">
        <f t="shared" si="53"/>
        <v>0</v>
      </c>
    </row>
    <row r="1685" spans="1:24" x14ac:dyDescent="0.3">
      <c r="A1685" t="s">
        <v>2550</v>
      </c>
      <c r="B1685" t="s">
        <v>2681</v>
      </c>
      <c r="C1685" t="s">
        <v>23</v>
      </c>
      <c r="D1685" t="s">
        <v>24</v>
      </c>
      <c r="E1685" t="s">
        <v>25</v>
      </c>
      <c r="F1685">
        <v>1</v>
      </c>
      <c r="G1685">
        <v>9791136931375</v>
      </c>
      <c r="H1685" t="s">
        <v>32</v>
      </c>
      <c r="I1685" t="s">
        <v>189</v>
      </c>
      <c r="J1685" t="s">
        <v>46</v>
      </c>
      <c r="K1685" t="s">
        <v>29</v>
      </c>
      <c r="L1685">
        <v>0</v>
      </c>
      <c r="M1685" t="s">
        <v>47</v>
      </c>
      <c r="N1685">
        <v>0</v>
      </c>
      <c r="O1685">
        <v>0</v>
      </c>
      <c r="P1685" t="s">
        <v>48</v>
      </c>
      <c r="Q1685" s="2">
        <v>0.7</v>
      </c>
      <c r="R1685">
        <v>0</v>
      </c>
      <c r="V1685" t="str">
        <f>VLOOKUP(H1685,'[1]팀별 출판사'!A:B,2,0)</f>
        <v>소설1팀</v>
      </c>
      <c r="W1685" s="6">
        <f t="shared" si="52"/>
        <v>0</v>
      </c>
      <c r="X1685" s="6">
        <f t="shared" si="53"/>
        <v>0</v>
      </c>
    </row>
    <row r="1686" spans="1:24" x14ac:dyDescent="0.3">
      <c r="A1686" t="s">
        <v>2550</v>
      </c>
      <c r="B1686" t="s">
        <v>2682</v>
      </c>
      <c r="C1686" t="s">
        <v>23</v>
      </c>
      <c r="D1686" t="s">
        <v>24</v>
      </c>
      <c r="E1686" t="s">
        <v>25</v>
      </c>
      <c r="F1686">
        <v>1</v>
      </c>
      <c r="G1686">
        <v>9791136941909</v>
      </c>
      <c r="H1686" t="s">
        <v>26</v>
      </c>
      <c r="I1686" t="s">
        <v>2683</v>
      </c>
      <c r="J1686" t="s">
        <v>81</v>
      </c>
      <c r="K1686" t="s">
        <v>29</v>
      </c>
      <c r="L1686" s="1">
        <v>3200</v>
      </c>
      <c r="M1686" t="s">
        <v>29</v>
      </c>
      <c r="N1686" s="1">
        <v>3200</v>
      </c>
      <c r="O1686" s="1">
        <v>3200</v>
      </c>
      <c r="P1686" t="s">
        <v>30</v>
      </c>
      <c r="Q1686" s="2">
        <v>0.7</v>
      </c>
      <c r="R1686" s="1">
        <v>2240</v>
      </c>
      <c r="S1686" t="s">
        <v>29</v>
      </c>
      <c r="T1686" s="1">
        <v>2240</v>
      </c>
      <c r="V1686" t="str">
        <f>VLOOKUP(H1686,'[1]팀별 출판사'!A:B,2,0)</f>
        <v>소설1팀</v>
      </c>
      <c r="W1686" s="6">
        <f t="shared" si="52"/>
        <v>0</v>
      </c>
      <c r="X1686" s="6">
        <f t="shared" si="53"/>
        <v>2240</v>
      </c>
    </row>
    <row r="1687" spans="1:24" x14ac:dyDescent="0.3">
      <c r="A1687" t="s">
        <v>2550</v>
      </c>
      <c r="B1687" t="s">
        <v>2684</v>
      </c>
      <c r="C1687" t="s">
        <v>23</v>
      </c>
      <c r="D1687" t="s">
        <v>24</v>
      </c>
      <c r="E1687" t="s">
        <v>25</v>
      </c>
      <c r="F1687">
        <v>1</v>
      </c>
      <c r="G1687">
        <v>9791136925954</v>
      </c>
      <c r="H1687" t="s">
        <v>26</v>
      </c>
      <c r="I1687" t="s">
        <v>2685</v>
      </c>
      <c r="J1687" t="s">
        <v>965</v>
      </c>
      <c r="K1687" t="s">
        <v>29</v>
      </c>
      <c r="L1687" s="1">
        <v>3200</v>
      </c>
      <c r="M1687" t="s">
        <v>29</v>
      </c>
      <c r="N1687" s="1">
        <v>3200</v>
      </c>
      <c r="O1687" s="1">
        <v>3200</v>
      </c>
      <c r="P1687" t="s">
        <v>30</v>
      </c>
      <c r="Q1687" s="2">
        <v>0.7</v>
      </c>
      <c r="R1687" s="1">
        <v>2240</v>
      </c>
      <c r="S1687" t="s">
        <v>29</v>
      </c>
      <c r="T1687" s="1">
        <v>2240</v>
      </c>
      <c r="V1687" t="str">
        <f>VLOOKUP(H1687,'[1]팀별 출판사'!A:B,2,0)</f>
        <v>소설1팀</v>
      </c>
      <c r="W1687" s="6">
        <f t="shared" si="52"/>
        <v>0</v>
      </c>
      <c r="X1687" s="6">
        <f t="shared" si="53"/>
        <v>2240</v>
      </c>
    </row>
    <row r="1688" spans="1:24" x14ac:dyDescent="0.3">
      <c r="A1688" t="s">
        <v>2550</v>
      </c>
      <c r="B1688" t="s">
        <v>2686</v>
      </c>
      <c r="C1688" t="s">
        <v>23</v>
      </c>
      <c r="D1688" t="s">
        <v>24</v>
      </c>
      <c r="E1688" t="s">
        <v>25</v>
      </c>
      <c r="F1688">
        <v>1</v>
      </c>
      <c r="G1688">
        <v>9791133105441</v>
      </c>
      <c r="H1688" t="s">
        <v>32</v>
      </c>
      <c r="I1688" t="s">
        <v>116</v>
      </c>
      <c r="J1688" t="s">
        <v>88</v>
      </c>
      <c r="K1688" t="s">
        <v>29</v>
      </c>
      <c r="L1688">
        <v>0</v>
      </c>
      <c r="M1688" t="s">
        <v>29</v>
      </c>
      <c r="N1688">
        <v>0</v>
      </c>
      <c r="O1688">
        <v>0</v>
      </c>
      <c r="P1688" t="s">
        <v>30</v>
      </c>
      <c r="Q1688" s="2">
        <v>0.7</v>
      </c>
      <c r="R1688">
        <v>0</v>
      </c>
      <c r="V1688" t="str">
        <f>VLOOKUP(H1688,'[1]팀별 출판사'!A:B,2,0)</f>
        <v>소설1팀</v>
      </c>
      <c r="W1688" s="6">
        <f t="shared" si="52"/>
        <v>0</v>
      </c>
      <c r="X1688" s="6">
        <f t="shared" si="53"/>
        <v>0</v>
      </c>
    </row>
    <row r="1689" spans="1:24" x14ac:dyDescent="0.3">
      <c r="A1689" t="s">
        <v>2550</v>
      </c>
      <c r="B1689" t="s">
        <v>2687</v>
      </c>
      <c r="C1689" t="s">
        <v>23</v>
      </c>
      <c r="D1689" t="s">
        <v>24</v>
      </c>
      <c r="E1689" t="s">
        <v>25</v>
      </c>
      <c r="F1689">
        <v>1</v>
      </c>
      <c r="G1689">
        <v>9791136931375</v>
      </c>
      <c r="H1689" t="s">
        <v>32</v>
      </c>
      <c r="I1689" t="s">
        <v>189</v>
      </c>
      <c r="J1689" t="s">
        <v>46</v>
      </c>
      <c r="K1689" t="s">
        <v>29</v>
      </c>
      <c r="L1689">
        <v>0</v>
      </c>
      <c r="M1689" t="s">
        <v>127</v>
      </c>
      <c r="N1689">
        <v>0</v>
      </c>
      <c r="O1689">
        <v>0</v>
      </c>
      <c r="P1689" t="s">
        <v>128</v>
      </c>
      <c r="Q1689" s="2">
        <v>0.7</v>
      </c>
      <c r="R1689">
        <v>0</v>
      </c>
      <c r="V1689" t="str">
        <f>VLOOKUP(H1689,'[1]팀별 출판사'!A:B,2,0)</f>
        <v>소설1팀</v>
      </c>
      <c r="W1689" s="6">
        <f t="shared" si="52"/>
        <v>0</v>
      </c>
      <c r="X1689" s="6">
        <f t="shared" si="53"/>
        <v>0</v>
      </c>
    </row>
    <row r="1690" spans="1:24" x14ac:dyDescent="0.3">
      <c r="A1690" t="s">
        <v>2550</v>
      </c>
      <c r="B1690" t="s">
        <v>2688</v>
      </c>
      <c r="C1690" t="s">
        <v>23</v>
      </c>
      <c r="D1690" t="s">
        <v>24</v>
      </c>
      <c r="E1690" t="s">
        <v>25</v>
      </c>
      <c r="F1690">
        <v>1</v>
      </c>
      <c r="G1690" t="s">
        <v>2689</v>
      </c>
      <c r="H1690" t="s">
        <v>32</v>
      </c>
      <c r="I1690" t="s">
        <v>2690</v>
      </c>
      <c r="J1690" t="s">
        <v>311</v>
      </c>
      <c r="K1690" t="s">
        <v>29</v>
      </c>
      <c r="L1690">
        <v>0</v>
      </c>
      <c r="M1690" t="s">
        <v>29</v>
      </c>
      <c r="N1690">
        <v>0</v>
      </c>
      <c r="O1690">
        <v>0</v>
      </c>
      <c r="P1690" t="s">
        <v>30</v>
      </c>
      <c r="Q1690" s="2">
        <v>0.7</v>
      </c>
      <c r="R1690">
        <v>0</v>
      </c>
      <c r="V1690" t="str">
        <f>VLOOKUP(H1690,'[1]팀별 출판사'!A:B,2,0)</f>
        <v>소설1팀</v>
      </c>
      <c r="W1690" s="6">
        <f t="shared" si="52"/>
        <v>0</v>
      </c>
      <c r="X1690" s="6">
        <f t="shared" si="53"/>
        <v>0</v>
      </c>
    </row>
    <row r="1691" spans="1:24" x14ac:dyDescent="0.3">
      <c r="A1691" t="s">
        <v>2550</v>
      </c>
      <c r="B1691" t="s">
        <v>2691</v>
      </c>
      <c r="C1691" t="s">
        <v>23</v>
      </c>
      <c r="D1691" t="s">
        <v>24</v>
      </c>
      <c r="E1691" t="s">
        <v>25</v>
      </c>
      <c r="F1691">
        <v>1</v>
      </c>
      <c r="G1691">
        <v>9791136928481</v>
      </c>
      <c r="H1691" t="s">
        <v>26</v>
      </c>
      <c r="I1691" t="s">
        <v>2692</v>
      </c>
      <c r="J1691" t="s">
        <v>1348</v>
      </c>
      <c r="K1691" t="s">
        <v>29</v>
      </c>
      <c r="L1691" s="1">
        <v>3200</v>
      </c>
      <c r="M1691" t="s">
        <v>29</v>
      </c>
      <c r="N1691" s="1">
        <v>3200</v>
      </c>
      <c r="O1691" s="1">
        <v>3200</v>
      </c>
      <c r="P1691" t="s">
        <v>30</v>
      </c>
      <c r="Q1691" s="2">
        <v>0.7</v>
      </c>
      <c r="R1691" s="1">
        <v>2240</v>
      </c>
      <c r="S1691" t="s">
        <v>29</v>
      </c>
      <c r="T1691" s="1">
        <v>2240</v>
      </c>
      <c r="V1691" t="str">
        <f>VLOOKUP(H1691,'[1]팀별 출판사'!A:B,2,0)</f>
        <v>소설1팀</v>
      </c>
      <c r="W1691" s="6">
        <f t="shared" si="52"/>
        <v>0</v>
      </c>
      <c r="X1691" s="6">
        <f t="shared" si="53"/>
        <v>2240</v>
      </c>
    </row>
    <row r="1692" spans="1:24" x14ac:dyDescent="0.3">
      <c r="A1692" t="s">
        <v>2550</v>
      </c>
      <c r="B1692" t="s">
        <v>2693</v>
      </c>
      <c r="C1692" t="s">
        <v>23</v>
      </c>
      <c r="D1692" t="s">
        <v>24</v>
      </c>
      <c r="E1692" t="s">
        <v>25</v>
      </c>
      <c r="F1692">
        <v>1</v>
      </c>
      <c r="G1692">
        <v>9791136942418</v>
      </c>
      <c r="H1692" t="s">
        <v>26</v>
      </c>
      <c r="I1692" t="s">
        <v>2055</v>
      </c>
      <c r="J1692" t="s">
        <v>284</v>
      </c>
      <c r="K1692" t="s">
        <v>29</v>
      </c>
      <c r="L1692">
        <v>0</v>
      </c>
      <c r="M1692" t="s">
        <v>29</v>
      </c>
      <c r="N1692">
        <v>0</v>
      </c>
      <c r="O1692">
        <v>0</v>
      </c>
      <c r="P1692" t="s">
        <v>30</v>
      </c>
      <c r="Q1692" s="2">
        <v>0.7</v>
      </c>
      <c r="R1692">
        <v>0</v>
      </c>
      <c r="V1692" t="str">
        <f>VLOOKUP(H1692,'[1]팀별 출판사'!A:B,2,0)</f>
        <v>소설1팀</v>
      </c>
      <c r="W1692" s="6">
        <f t="shared" si="52"/>
        <v>0</v>
      </c>
      <c r="X1692" s="6">
        <f t="shared" si="53"/>
        <v>0</v>
      </c>
    </row>
    <row r="1693" spans="1:24" x14ac:dyDescent="0.3">
      <c r="A1693" t="s">
        <v>2550</v>
      </c>
      <c r="B1693" t="s">
        <v>2694</v>
      </c>
      <c r="C1693" t="s">
        <v>23</v>
      </c>
      <c r="D1693" t="s">
        <v>24</v>
      </c>
      <c r="E1693" t="s">
        <v>25</v>
      </c>
      <c r="F1693">
        <v>1</v>
      </c>
      <c r="G1693">
        <v>9791172920173</v>
      </c>
      <c r="H1693" t="s">
        <v>26</v>
      </c>
      <c r="I1693" t="s">
        <v>2695</v>
      </c>
      <c r="J1693" t="s">
        <v>276</v>
      </c>
      <c r="K1693" t="s">
        <v>29</v>
      </c>
      <c r="L1693" s="1">
        <v>3200</v>
      </c>
      <c r="M1693" t="s">
        <v>29</v>
      </c>
      <c r="N1693" s="1">
        <v>3200</v>
      </c>
      <c r="O1693" s="1">
        <v>3200</v>
      </c>
      <c r="P1693" t="s">
        <v>30</v>
      </c>
      <c r="Q1693" s="2">
        <v>0.7</v>
      </c>
      <c r="R1693" s="1">
        <v>2240</v>
      </c>
      <c r="S1693" t="s">
        <v>29</v>
      </c>
      <c r="T1693" s="1">
        <v>2240</v>
      </c>
      <c r="V1693" t="str">
        <f>VLOOKUP(H1693,'[1]팀별 출판사'!A:B,2,0)</f>
        <v>소설1팀</v>
      </c>
      <c r="W1693" s="6">
        <f t="shared" si="52"/>
        <v>0</v>
      </c>
      <c r="X1693" s="6">
        <f t="shared" si="53"/>
        <v>2240</v>
      </c>
    </row>
    <row r="1694" spans="1:24" x14ac:dyDescent="0.3">
      <c r="A1694" t="s">
        <v>2550</v>
      </c>
      <c r="B1694" t="s">
        <v>2696</v>
      </c>
      <c r="C1694" t="s">
        <v>23</v>
      </c>
      <c r="D1694" t="s">
        <v>24</v>
      </c>
      <c r="E1694" t="s">
        <v>25</v>
      </c>
      <c r="F1694">
        <v>1</v>
      </c>
      <c r="G1694">
        <v>9791133102716</v>
      </c>
      <c r="H1694" t="s">
        <v>32</v>
      </c>
      <c r="I1694" t="s">
        <v>673</v>
      </c>
      <c r="J1694" t="s">
        <v>51</v>
      </c>
      <c r="K1694" t="s">
        <v>29</v>
      </c>
      <c r="L1694">
        <v>0</v>
      </c>
      <c r="M1694" t="s">
        <v>29</v>
      </c>
      <c r="N1694">
        <v>0</v>
      </c>
      <c r="O1694">
        <v>0</v>
      </c>
      <c r="P1694" t="s">
        <v>30</v>
      </c>
      <c r="Q1694" s="2">
        <v>0.7</v>
      </c>
      <c r="R1694">
        <v>0</v>
      </c>
      <c r="V1694" t="str">
        <f>VLOOKUP(H1694,'[1]팀별 출판사'!A:B,2,0)</f>
        <v>소설1팀</v>
      </c>
      <c r="W1694" s="6">
        <f t="shared" si="52"/>
        <v>0</v>
      </c>
      <c r="X1694" s="6">
        <f t="shared" si="53"/>
        <v>0</v>
      </c>
    </row>
    <row r="1695" spans="1:24" x14ac:dyDescent="0.3">
      <c r="A1695" t="s">
        <v>2550</v>
      </c>
      <c r="B1695" t="s">
        <v>2697</v>
      </c>
      <c r="C1695" t="s">
        <v>23</v>
      </c>
      <c r="D1695" t="s">
        <v>24</v>
      </c>
      <c r="E1695" t="s">
        <v>25</v>
      </c>
      <c r="F1695">
        <v>1</v>
      </c>
      <c r="G1695" t="s">
        <v>1138</v>
      </c>
      <c r="H1695" t="s">
        <v>32</v>
      </c>
      <c r="I1695" t="s">
        <v>1139</v>
      </c>
      <c r="J1695" t="s">
        <v>311</v>
      </c>
      <c r="K1695" t="s">
        <v>29</v>
      </c>
      <c r="L1695">
        <v>0</v>
      </c>
      <c r="M1695" t="s">
        <v>29</v>
      </c>
      <c r="N1695">
        <v>0</v>
      </c>
      <c r="O1695">
        <v>0</v>
      </c>
      <c r="P1695" t="s">
        <v>30</v>
      </c>
      <c r="Q1695" s="2">
        <v>0.7</v>
      </c>
      <c r="R1695">
        <v>0</v>
      </c>
      <c r="V1695" t="str">
        <f>VLOOKUP(H1695,'[1]팀별 출판사'!A:B,2,0)</f>
        <v>소설1팀</v>
      </c>
      <c r="W1695" s="6">
        <f t="shared" si="52"/>
        <v>0</v>
      </c>
      <c r="X1695" s="6">
        <f t="shared" si="53"/>
        <v>0</v>
      </c>
    </row>
    <row r="1696" spans="1:24" x14ac:dyDescent="0.3">
      <c r="A1696" t="s">
        <v>2550</v>
      </c>
      <c r="B1696" t="s">
        <v>2698</v>
      </c>
      <c r="C1696" t="s">
        <v>23</v>
      </c>
      <c r="D1696" t="s">
        <v>24</v>
      </c>
      <c r="E1696" t="s">
        <v>25</v>
      </c>
      <c r="F1696">
        <v>1</v>
      </c>
      <c r="G1696">
        <v>9791136903839</v>
      </c>
      <c r="H1696" t="s">
        <v>26</v>
      </c>
      <c r="I1696" t="s">
        <v>2699</v>
      </c>
      <c r="J1696" t="s">
        <v>256</v>
      </c>
      <c r="K1696" t="s">
        <v>29</v>
      </c>
      <c r="L1696" s="1">
        <v>3200</v>
      </c>
      <c r="M1696" t="s">
        <v>29</v>
      </c>
      <c r="N1696" s="1">
        <v>3200</v>
      </c>
      <c r="O1696" s="1">
        <v>3200</v>
      </c>
      <c r="P1696" t="s">
        <v>30</v>
      </c>
      <c r="Q1696" s="2">
        <v>0.7</v>
      </c>
      <c r="R1696" s="1">
        <v>2240</v>
      </c>
      <c r="S1696" t="s">
        <v>29</v>
      </c>
      <c r="T1696" s="1">
        <v>2240</v>
      </c>
      <c r="V1696" t="str">
        <f>VLOOKUP(H1696,'[1]팀별 출판사'!A:B,2,0)</f>
        <v>소설1팀</v>
      </c>
      <c r="W1696" s="6">
        <f t="shared" si="52"/>
        <v>0</v>
      </c>
      <c r="X1696" s="6">
        <f t="shared" si="53"/>
        <v>2240</v>
      </c>
    </row>
    <row r="1697" spans="1:24" x14ac:dyDescent="0.3">
      <c r="A1697" t="s">
        <v>2550</v>
      </c>
      <c r="B1697" t="s">
        <v>2700</v>
      </c>
      <c r="C1697" t="s">
        <v>23</v>
      </c>
      <c r="D1697" t="s">
        <v>24</v>
      </c>
      <c r="E1697" t="s">
        <v>25</v>
      </c>
      <c r="F1697">
        <v>1</v>
      </c>
      <c r="G1697">
        <v>9791136941916</v>
      </c>
      <c r="H1697" t="s">
        <v>26</v>
      </c>
      <c r="I1697" t="s">
        <v>2701</v>
      </c>
      <c r="J1697" t="s">
        <v>81</v>
      </c>
      <c r="K1697" t="s">
        <v>29</v>
      </c>
      <c r="L1697" s="1">
        <v>3200</v>
      </c>
      <c r="M1697" t="s">
        <v>29</v>
      </c>
      <c r="N1697" s="1">
        <v>3200</v>
      </c>
      <c r="O1697" s="1">
        <v>3200</v>
      </c>
      <c r="P1697" t="s">
        <v>30</v>
      </c>
      <c r="Q1697" s="2">
        <v>0.7</v>
      </c>
      <c r="R1697" s="1">
        <v>2240</v>
      </c>
      <c r="S1697" t="s">
        <v>29</v>
      </c>
      <c r="T1697" s="1">
        <v>2240</v>
      </c>
      <c r="V1697" t="str">
        <f>VLOOKUP(H1697,'[1]팀별 출판사'!A:B,2,0)</f>
        <v>소설1팀</v>
      </c>
      <c r="W1697" s="6">
        <f t="shared" si="52"/>
        <v>0</v>
      </c>
      <c r="X1697" s="6">
        <f t="shared" si="53"/>
        <v>2240</v>
      </c>
    </row>
    <row r="1698" spans="1:24" x14ac:dyDescent="0.3">
      <c r="A1698" t="s">
        <v>2550</v>
      </c>
      <c r="B1698" t="s">
        <v>2702</v>
      </c>
      <c r="C1698" t="s">
        <v>23</v>
      </c>
      <c r="D1698" t="s">
        <v>24</v>
      </c>
      <c r="E1698" t="s">
        <v>25</v>
      </c>
      <c r="F1698">
        <v>1</v>
      </c>
      <c r="G1698">
        <v>9791133102846</v>
      </c>
      <c r="H1698" t="s">
        <v>32</v>
      </c>
      <c r="I1698" t="s">
        <v>50</v>
      </c>
      <c r="J1698" t="s">
        <v>51</v>
      </c>
      <c r="K1698" t="s">
        <v>29</v>
      </c>
      <c r="L1698">
        <v>0</v>
      </c>
      <c r="M1698" t="s">
        <v>29</v>
      </c>
      <c r="N1698">
        <v>0</v>
      </c>
      <c r="O1698">
        <v>0</v>
      </c>
      <c r="P1698" t="s">
        <v>30</v>
      </c>
      <c r="Q1698" s="2">
        <v>0.7</v>
      </c>
      <c r="R1698">
        <v>0</v>
      </c>
      <c r="V1698" t="str">
        <f>VLOOKUP(H1698,'[1]팀별 출판사'!A:B,2,0)</f>
        <v>소설1팀</v>
      </c>
      <c r="W1698" s="6">
        <f t="shared" si="52"/>
        <v>0</v>
      </c>
      <c r="X1698" s="6">
        <f t="shared" si="53"/>
        <v>0</v>
      </c>
    </row>
    <row r="1699" spans="1:24" x14ac:dyDescent="0.3">
      <c r="A1699" t="s">
        <v>2550</v>
      </c>
      <c r="B1699" t="s">
        <v>2703</v>
      </c>
      <c r="C1699" t="s">
        <v>23</v>
      </c>
      <c r="D1699" t="s">
        <v>24</v>
      </c>
      <c r="E1699" t="s">
        <v>25</v>
      </c>
      <c r="F1699">
        <v>1</v>
      </c>
      <c r="G1699">
        <v>9791173786136</v>
      </c>
      <c r="H1699" t="s">
        <v>79</v>
      </c>
      <c r="I1699" t="s">
        <v>1476</v>
      </c>
      <c r="J1699" t="s">
        <v>81</v>
      </c>
      <c r="K1699" t="s">
        <v>29</v>
      </c>
      <c r="L1699">
        <v>0</v>
      </c>
      <c r="M1699" t="s">
        <v>29</v>
      </c>
      <c r="N1699">
        <v>0</v>
      </c>
      <c r="O1699">
        <v>0</v>
      </c>
      <c r="P1699" t="s">
        <v>30</v>
      </c>
      <c r="Q1699" s="2">
        <v>0.7</v>
      </c>
      <c r="R1699">
        <v>0</v>
      </c>
      <c r="V1699" t="str">
        <f>VLOOKUP(H1699,'[1]팀별 출판사'!A:B,2,0)</f>
        <v>소설1팀</v>
      </c>
      <c r="W1699" s="6">
        <f t="shared" si="52"/>
        <v>0</v>
      </c>
      <c r="X1699" s="6">
        <f t="shared" si="53"/>
        <v>0</v>
      </c>
    </row>
    <row r="1700" spans="1:24" x14ac:dyDescent="0.3">
      <c r="A1700" t="s">
        <v>2550</v>
      </c>
      <c r="B1700" t="s">
        <v>2704</v>
      </c>
      <c r="C1700" t="s">
        <v>23</v>
      </c>
      <c r="D1700" t="s">
        <v>24</v>
      </c>
      <c r="E1700" t="s">
        <v>25</v>
      </c>
      <c r="F1700">
        <v>1</v>
      </c>
      <c r="G1700">
        <v>9791136943989</v>
      </c>
      <c r="H1700" t="s">
        <v>26</v>
      </c>
      <c r="I1700" t="s">
        <v>651</v>
      </c>
      <c r="J1700" t="s">
        <v>652</v>
      </c>
      <c r="K1700" t="s">
        <v>29</v>
      </c>
      <c r="L1700">
        <v>0</v>
      </c>
      <c r="M1700" t="s">
        <v>29</v>
      </c>
      <c r="N1700">
        <v>0</v>
      </c>
      <c r="O1700">
        <v>0</v>
      </c>
      <c r="P1700" t="s">
        <v>30</v>
      </c>
      <c r="Q1700" s="2">
        <v>0.7</v>
      </c>
      <c r="R1700">
        <v>0</v>
      </c>
      <c r="V1700" t="str">
        <f>VLOOKUP(H1700,'[1]팀별 출판사'!A:B,2,0)</f>
        <v>소설1팀</v>
      </c>
      <c r="W1700" s="6">
        <f t="shared" si="52"/>
        <v>0</v>
      </c>
      <c r="X1700" s="6">
        <f t="shared" si="53"/>
        <v>0</v>
      </c>
    </row>
    <row r="1701" spans="1:24" x14ac:dyDescent="0.3">
      <c r="A1701" t="s">
        <v>2550</v>
      </c>
      <c r="B1701" t="s">
        <v>2705</v>
      </c>
      <c r="C1701" t="s">
        <v>23</v>
      </c>
      <c r="D1701" t="s">
        <v>24</v>
      </c>
      <c r="E1701" t="s">
        <v>25</v>
      </c>
      <c r="F1701">
        <v>1</v>
      </c>
      <c r="G1701">
        <v>9791136904935</v>
      </c>
      <c r="H1701" t="s">
        <v>26</v>
      </c>
      <c r="I1701" t="s">
        <v>505</v>
      </c>
      <c r="J1701" t="s">
        <v>506</v>
      </c>
      <c r="K1701" t="s">
        <v>29</v>
      </c>
      <c r="L1701">
        <v>0</v>
      </c>
      <c r="M1701" t="s">
        <v>70</v>
      </c>
      <c r="N1701">
        <v>0</v>
      </c>
      <c r="O1701">
        <v>0</v>
      </c>
      <c r="P1701" t="s">
        <v>71</v>
      </c>
      <c r="Q1701" s="2">
        <v>0.7</v>
      </c>
      <c r="R1701">
        <v>0</v>
      </c>
      <c r="V1701" t="str">
        <f>VLOOKUP(H1701,'[1]팀별 출판사'!A:B,2,0)</f>
        <v>소설1팀</v>
      </c>
      <c r="W1701" s="6">
        <f t="shared" si="52"/>
        <v>0</v>
      </c>
      <c r="X1701" s="6">
        <f t="shared" si="53"/>
        <v>0</v>
      </c>
    </row>
    <row r="1702" spans="1:24" x14ac:dyDescent="0.3">
      <c r="A1702" t="s">
        <v>2550</v>
      </c>
      <c r="B1702" t="s">
        <v>2706</v>
      </c>
      <c r="C1702" t="s">
        <v>23</v>
      </c>
      <c r="D1702" t="s">
        <v>24</v>
      </c>
      <c r="E1702" t="s">
        <v>25</v>
      </c>
      <c r="F1702">
        <v>1</v>
      </c>
      <c r="G1702">
        <v>9791136998897</v>
      </c>
      <c r="H1702" t="s">
        <v>2005</v>
      </c>
      <c r="I1702" t="s">
        <v>2707</v>
      </c>
      <c r="J1702" t="s">
        <v>2708</v>
      </c>
      <c r="K1702" t="s">
        <v>29</v>
      </c>
      <c r="L1702" s="1">
        <v>3500</v>
      </c>
      <c r="M1702" t="s">
        <v>1379</v>
      </c>
      <c r="N1702" s="1">
        <v>44875</v>
      </c>
      <c r="O1702" s="1">
        <v>40428</v>
      </c>
      <c r="P1702" t="s">
        <v>1380</v>
      </c>
      <c r="Q1702" s="2">
        <v>0.7</v>
      </c>
      <c r="R1702" s="1">
        <v>28300</v>
      </c>
      <c r="S1702" t="s">
        <v>29</v>
      </c>
      <c r="T1702" s="1">
        <v>2423</v>
      </c>
      <c r="U1702">
        <v>8.5510000000000003E-2</v>
      </c>
      <c r="V1702" t="str">
        <f>VLOOKUP(H1702,'[1]팀별 출판사'!A:B,2,0)</f>
        <v>소설2팀</v>
      </c>
      <c r="W1702" s="6">
        <f t="shared" si="52"/>
        <v>0</v>
      </c>
      <c r="X1702" s="6">
        <f t="shared" si="53"/>
        <v>2423</v>
      </c>
    </row>
    <row r="1703" spans="1:24" x14ac:dyDescent="0.3">
      <c r="A1703" t="s">
        <v>2550</v>
      </c>
      <c r="B1703" t="s">
        <v>2709</v>
      </c>
      <c r="C1703" t="s">
        <v>23</v>
      </c>
      <c r="D1703" t="s">
        <v>24</v>
      </c>
      <c r="E1703" t="s">
        <v>25</v>
      </c>
      <c r="F1703">
        <v>1</v>
      </c>
      <c r="G1703">
        <v>9791136998828</v>
      </c>
      <c r="H1703" t="s">
        <v>2005</v>
      </c>
      <c r="I1703" t="s">
        <v>2710</v>
      </c>
      <c r="J1703" t="s">
        <v>2708</v>
      </c>
      <c r="K1703" t="s">
        <v>29</v>
      </c>
      <c r="L1703" s="1">
        <v>1200</v>
      </c>
      <c r="M1703" t="s">
        <v>1379</v>
      </c>
      <c r="N1703" s="1">
        <v>15386</v>
      </c>
      <c r="O1703" s="1">
        <v>13861</v>
      </c>
      <c r="P1703" t="s">
        <v>1380</v>
      </c>
      <c r="Q1703" s="2">
        <v>0.7</v>
      </c>
      <c r="R1703" s="1">
        <v>9703</v>
      </c>
      <c r="S1703" t="s">
        <v>29</v>
      </c>
      <c r="T1703">
        <v>831</v>
      </c>
      <c r="U1703">
        <v>8.5510000000000003E-2</v>
      </c>
      <c r="V1703" t="str">
        <f>VLOOKUP(H1703,'[1]팀별 출판사'!A:B,2,0)</f>
        <v>소설2팀</v>
      </c>
      <c r="W1703" s="6">
        <f t="shared" si="52"/>
        <v>0</v>
      </c>
      <c r="X1703" s="6">
        <f t="shared" si="53"/>
        <v>831</v>
      </c>
    </row>
    <row r="1704" spans="1:24" x14ac:dyDescent="0.3">
      <c r="A1704" t="s">
        <v>2550</v>
      </c>
      <c r="B1704" t="s">
        <v>2711</v>
      </c>
      <c r="C1704" t="s">
        <v>23</v>
      </c>
      <c r="D1704" t="s">
        <v>24</v>
      </c>
      <c r="E1704" t="s">
        <v>25</v>
      </c>
      <c r="F1704">
        <v>1</v>
      </c>
      <c r="G1704">
        <v>9791133144914</v>
      </c>
      <c r="H1704" t="s">
        <v>32</v>
      </c>
      <c r="I1704" t="s">
        <v>1822</v>
      </c>
      <c r="J1704" t="s">
        <v>1192</v>
      </c>
      <c r="K1704" t="s">
        <v>29</v>
      </c>
      <c r="L1704">
        <v>0</v>
      </c>
      <c r="M1704" t="s">
        <v>29</v>
      </c>
      <c r="N1704">
        <v>0</v>
      </c>
      <c r="O1704">
        <v>0</v>
      </c>
      <c r="P1704" t="s">
        <v>30</v>
      </c>
      <c r="Q1704" s="2">
        <v>0.7</v>
      </c>
      <c r="R1704">
        <v>0</v>
      </c>
      <c r="V1704" t="str">
        <f>VLOOKUP(H1704,'[1]팀별 출판사'!A:B,2,0)</f>
        <v>소설1팀</v>
      </c>
      <c r="W1704" s="6">
        <f t="shared" si="52"/>
        <v>0</v>
      </c>
      <c r="X1704" s="6">
        <f t="shared" si="53"/>
        <v>0</v>
      </c>
    </row>
    <row r="1705" spans="1:24" x14ac:dyDescent="0.3">
      <c r="A1705" t="s">
        <v>2550</v>
      </c>
      <c r="B1705" t="s">
        <v>2712</v>
      </c>
      <c r="C1705" t="s">
        <v>23</v>
      </c>
      <c r="D1705" t="s">
        <v>24</v>
      </c>
      <c r="E1705" t="s">
        <v>25</v>
      </c>
      <c r="F1705">
        <v>1</v>
      </c>
      <c r="G1705">
        <v>9791136998866</v>
      </c>
      <c r="H1705" t="s">
        <v>2005</v>
      </c>
      <c r="I1705" t="s">
        <v>2713</v>
      </c>
      <c r="J1705" t="s">
        <v>2708</v>
      </c>
      <c r="K1705" t="s">
        <v>29</v>
      </c>
      <c r="L1705" s="1">
        <v>3500</v>
      </c>
      <c r="M1705" t="s">
        <v>1379</v>
      </c>
      <c r="N1705" s="1">
        <v>44875</v>
      </c>
      <c r="O1705" s="1">
        <v>40428</v>
      </c>
      <c r="P1705" t="s">
        <v>1380</v>
      </c>
      <c r="Q1705" s="2">
        <v>0.7</v>
      </c>
      <c r="R1705" s="1">
        <v>28300</v>
      </c>
      <c r="S1705" t="s">
        <v>29</v>
      </c>
      <c r="T1705" s="1">
        <v>2423</v>
      </c>
      <c r="U1705">
        <v>8.5510000000000003E-2</v>
      </c>
      <c r="V1705" t="str">
        <f>VLOOKUP(H1705,'[1]팀별 출판사'!A:B,2,0)</f>
        <v>소설2팀</v>
      </c>
      <c r="W1705" s="6">
        <f t="shared" si="52"/>
        <v>0</v>
      </c>
      <c r="X1705" s="6">
        <f t="shared" si="53"/>
        <v>2423</v>
      </c>
    </row>
    <row r="1706" spans="1:24" x14ac:dyDescent="0.3">
      <c r="A1706" t="s">
        <v>2550</v>
      </c>
      <c r="B1706" t="s">
        <v>2714</v>
      </c>
      <c r="C1706" t="s">
        <v>23</v>
      </c>
      <c r="D1706" t="s">
        <v>24</v>
      </c>
      <c r="E1706" t="s">
        <v>25</v>
      </c>
      <c r="F1706">
        <v>1</v>
      </c>
      <c r="G1706">
        <v>9791172926991</v>
      </c>
      <c r="H1706" t="s">
        <v>26</v>
      </c>
      <c r="I1706" t="s">
        <v>330</v>
      </c>
      <c r="J1706" t="s">
        <v>28</v>
      </c>
      <c r="K1706" t="s">
        <v>29</v>
      </c>
      <c r="L1706">
        <v>0</v>
      </c>
      <c r="M1706" t="s">
        <v>29</v>
      </c>
      <c r="N1706">
        <v>0</v>
      </c>
      <c r="O1706">
        <v>0</v>
      </c>
      <c r="P1706" t="s">
        <v>30</v>
      </c>
      <c r="Q1706" s="2">
        <v>0.7</v>
      </c>
      <c r="R1706">
        <v>0</v>
      </c>
      <c r="V1706" t="str">
        <f>VLOOKUP(H1706,'[1]팀별 출판사'!A:B,2,0)</f>
        <v>소설1팀</v>
      </c>
      <c r="W1706" s="6">
        <f t="shared" si="52"/>
        <v>0</v>
      </c>
      <c r="X1706" s="6">
        <f t="shared" si="53"/>
        <v>0</v>
      </c>
    </row>
    <row r="1707" spans="1:24" x14ac:dyDescent="0.3">
      <c r="A1707" t="s">
        <v>2550</v>
      </c>
      <c r="B1707" t="s">
        <v>2715</v>
      </c>
      <c r="C1707" t="s">
        <v>23</v>
      </c>
      <c r="D1707" t="s">
        <v>24</v>
      </c>
      <c r="E1707" t="s">
        <v>25</v>
      </c>
      <c r="F1707">
        <v>1</v>
      </c>
      <c r="G1707">
        <v>9791173785139</v>
      </c>
      <c r="H1707" t="s">
        <v>26</v>
      </c>
      <c r="I1707" t="s">
        <v>2244</v>
      </c>
      <c r="J1707" t="s">
        <v>62</v>
      </c>
      <c r="K1707" t="s">
        <v>29</v>
      </c>
      <c r="L1707" s="1">
        <v>3200</v>
      </c>
      <c r="M1707" t="s">
        <v>29</v>
      </c>
      <c r="N1707" s="1">
        <v>3200</v>
      </c>
      <c r="O1707" s="1">
        <v>3200</v>
      </c>
      <c r="P1707" t="s">
        <v>30</v>
      </c>
      <c r="Q1707" s="2">
        <v>0.7</v>
      </c>
      <c r="R1707" s="1">
        <v>2240</v>
      </c>
      <c r="S1707" t="s">
        <v>29</v>
      </c>
      <c r="T1707" s="1">
        <v>2240</v>
      </c>
      <c r="V1707" t="str">
        <f>VLOOKUP(H1707,'[1]팀별 출판사'!A:B,2,0)</f>
        <v>소설1팀</v>
      </c>
      <c r="W1707" s="6">
        <f t="shared" si="52"/>
        <v>0</v>
      </c>
      <c r="X1707" s="6">
        <f t="shared" si="53"/>
        <v>2240</v>
      </c>
    </row>
    <row r="1708" spans="1:24" x14ac:dyDescent="0.3">
      <c r="A1708" t="s">
        <v>2550</v>
      </c>
      <c r="B1708" t="s">
        <v>2716</v>
      </c>
      <c r="C1708" t="s">
        <v>23</v>
      </c>
      <c r="D1708" t="s">
        <v>24</v>
      </c>
      <c r="E1708" t="s">
        <v>25</v>
      </c>
      <c r="F1708">
        <v>1</v>
      </c>
      <c r="G1708">
        <v>9791172926991</v>
      </c>
      <c r="H1708" t="s">
        <v>26</v>
      </c>
      <c r="I1708" t="s">
        <v>330</v>
      </c>
      <c r="J1708" t="s">
        <v>28</v>
      </c>
      <c r="K1708" t="s">
        <v>29</v>
      </c>
      <c r="L1708">
        <v>0</v>
      </c>
      <c r="M1708" t="s">
        <v>29</v>
      </c>
      <c r="N1708">
        <v>0</v>
      </c>
      <c r="O1708">
        <v>0</v>
      </c>
      <c r="P1708" t="s">
        <v>30</v>
      </c>
      <c r="Q1708" s="2">
        <v>0.7</v>
      </c>
      <c r="R1708">
        <v>0</v>
      </c>
      <c r="V1708" t="str">
        <f>VLOOKUP(H1708,'[1]팀별 출판사'!A:B,2,0)</f>
        <v>소설1팀</v>
      </c>
      <c r="W1708" s="6">
        <f t="shared" si="52"/>
        <v>0</v>
      </c>
      <c r="X1708" s="6">
        <f t="shared" si="53"/>
        <v>0</v>
      </c>
    </row>
    <row r="1709" spans="1:24" x14ac:dyDescent="0.3">
      <c r="A1709" t="s">
        <v>2550</v>
      </c>
      <c r="B1709" t="s">
        <v>2717</v>
      </c>
      <c r="C1709" t="s">
        <v>23</v>
      </c>
      <c r="D1709" t="s">
        <v>24</v>
      </c>
      <c r="E1709" t="s">
        <v>25</v>
      </c>
      <c r="F1709">
        <v>1</v>
      </c>
      <c r="G1709">
        <v>9791136942142</v>
      </c>
      <c r="H1709" t="s">
        <v>26</v>
      </c>
      <c r="I1709" t="s">
        <v>180</v>
      </c>
      <c r="J1709" t="s">
        <v>46</v>
      </c>
      <c r="K1709" t="s">
        <v>29</v>
      </c>
      <c r="L1709">
        <v>0</v>
      </c>
      <c r="M1709" t="s">
        <v>127</v>
      </c>
      <c r="N1709">
        <v>0</v>
      </c>
      <c r="O1709">
        <v>0</v>
      </c>
      <c r="P1709" t="s">
        <v>128</v>
      </c>
      <c r="Q1709" s="2">
        <v>0.7</v>
      </c>
      <c r="R1709">
        <v>0</v>
      </c>
      <c r="V1709" t="str">
        <f>VLOOKUP(H1709,'[1]팀별 출판사'!A:B,2,0)</f>
        <v>소설1팀</v>
      </c>
      <c r="W1709" s="6">
        <f t="shared" si="52"/>
        <v>0</v>
      </c>
      <c r="X1709" s="6">
        <f t="shared" si="53"/>
        <v>0</v>
      </c>
    </row>
    <row r="1710" spans="1:24" x14ac:dyDescent="0.3">
      <c r="A1710" t="s">
        <v>2550</v>
      </c>
      <c r="B1710" t="s">
        <v>2718</v>
      </c>
      <c r="C1710" t="s">
        <v>23</v>
      </c>
      <c r="D1710" t="s">
        <v>24</v>
      </c>
      <c r="E1710" t="s">
        <v>25</v>
      </c>
      <c r="F1710">
        <v>1</v>
      </c>
      <c r="G1710">
        <v>9791133106424</v>
      </c>
      <c r="H1710" t="s">
        <v>32</v>
      </c>
      <c r="I1710" t="s">
        <v>1173</v>
      </c>
      <c r="J1710" t="s">
        <v>51</v>
      </c>
      <c r="K1710" t="s">
        <v>29</v>
      </c>
      <c r="L1710">
        <v>0</v>
      </c>
      <c r="M1710" t="s">
        <v>29</v>
      </c>
      <c r="N1710">
        <v>0</v>
      </c>
      <c r="O1710">
        <v>0</v>
      </c>
      <c r="P1710" t="s">
        <v>30</v>
      </c>
      <c r="Q1710" s="2">
        <v>0.7</v>
      </c>
      <c r="R1710">
        <v>0</v>
      </c>
      <c r="V1710" t="str">
        <f>VLOOKUP(H1710,'[1]팀별 출판사'!A:B,2,0)</f>
        <v>소설1팀</v>
      </c>
      <c r="W1710" s="6">
        <f t="shared" si="52"/>
        <v>0</v>
      </c>
      <c r="X1710" s="6">
        <f t="shared" si="53"/>
        <v>0</v>
      </c>
    </row>
    <row r="1711" spans="1:24" x14ac:dyDescent="0.3">
      <c r="A1711" t="s">
        <v>2550</v>
      </c>
      <c r="B1711" t="s">
        <v>2719</v>
      </c>
      <c r="C1711" t="s">
        <v>23</v>
      </c>
      <c r="D1711" t="s">
        <v>24</v>
      </c>
      <c r="E1711" t="s">
        <v>25</v>
      </c>
      <c r="F1711">
        <v>1</v>
      </c>
      <c r="G1711">
        <v>9791136988133</v>
      </c>
      <c r="H1711" t="s">
        <v>26</v>
      </c>
      <c r="I1711" t="s">
        <v>614</v>
      </c>
      <c r="J1711" t="s">
        <v>28</v>
      </c>
      <c r="K1711" t="s">
        <v>29</v>
      </c>
      <c r="L1711">
        <v>0</v>
      </c>
      <c r="M1711" t="s">
        <v>29</v>
      </c>
      <c r="N1711">
        <v>0</v>
      </c>
      <c r="O1711">
        <v>0</v>
      </c>
      <c r="P1711" t="s">
        <v>30</v>
      </c>
      <c r="Q1711" s="2">
        <v>0.7</v>
      </c>
      <c r="R1711">
        <v>0</v>
      </c>
      <c r="V1711" t="str">
        <f>VLOOKUP(H1711,'[1]팀별 출판사'!A:B,2,0)</f>
        <v>소설1팀</v>
      </c>
      <c r="W1711" s="6">
        <f t="shared" si="52"/>
        <v>0</v>
      </c>
      <c r="X1711" s="6">
        <f t="shared" si="53"/>
        <v>0</v>
      </c>
    </row>
    <row r="1712" spans="1:24" x14ac:dyDescent="0.3">
      <c r="A1712" t="s">
        <v>2550</v>
      </c>
      <c r="B1712" t="s">
        <v>2720</v>
      </c>
      <c r="C1712" t="s">
        <v>23</v>
      </c>
      <c r="D1712" t="s">
        <v>24</v>
      </c>
      <c r="E1712" t="s">
        <v>25</v>
      </c>
      <c r="F1712">
        <v>1</v>
      </c>
      <c r="G1712">
        <v>9791170100164</v>
      </c>
      <c r="H1712" t="s">
        <v>67</v>
      </c>
      <c r="I1712" t="s">
        <v>106</v>
      </c>
      <c r="J1712" t="s">
        <v>107</v>
      </c>
      <c r="K1712" t="s">
        <v>29</v>
      </c>
      <c r="L1712">
        <v>0</v>
      </c>
      <c r="M1712" t="s">
        <v>29</v>
      </c>
      <c r="N1712">
        <v>0</v>
      </c>
      <c r="O1712">
        <v>0</v>
      </c>
      <c r="P1712" t="s">
        <v>30</v>
      </c>
      <c r="Q1712" s="2">
        <v>0.7</v>
      </c>
      <c r="R1712">
        <v>0</v>
      </c>
      <c r="V1712" t="str">
        <f>VLOOKUP(H1712,'[1]팀별 출판사'!A:B,2,0)</f>
        <v>소설1팀</v>
      </c>
      <c r="W1712" s="6">
        <f t="shared" si="52"/>
        <v>0</v>
      </c>
      <c r="X1712" s="6">
        <f t="shared" si="53"/>
        <v>0</v>
      </c>
    </row>
    <row r="1713" spans="1:24" x14ac:dyDescent="0.3">
      <c r="A1713" t="s">
        <v>2550</v>
      </c>
      <c r="B1713" t="s">
        <v>2721</v>
      </c>
      <c r="C1713" t="s">
        <v>23</v>
      </c>
      <c r="D1713" t="s">
        <v>24</v>
      </c>
      <c r="E1713" t="s">
        <v>25</v>
      </c>
      <c r="F1713">
        <v>1</v>
      </c>
      <c r="G1713">
        <v>9791157532278</v>
      </c>
      <c r="H1713" t="s">
        <v>32</v>
      </c>
      <c r="I1713" t="s">
        <v>2722</v>
      </c>
      <c r="J1713" t="s">
        <v>112</v>
      </c>
      <c r="K1713" t="s">
        <v>29</v>
      </c>
      <c r="L1713" s="1">
        <v>3200</v>
      </c>
      <c r="M1713" t="s">
        <v>29</v>
      </c>
      <c r="N1713" s="1">
        <v>3200</v>
      </c>
      <c r="O1713" s="1">
        <v>3200</v>
      </c>
      <c r="P1713" t="s">
        <v>30</v>
      </c>
      <c r="Q1713" s="2">
        <v>0.7</v>
      </c>
      <c r="R1713" s="1">
        <v>2240</v>
      </c>
      <c r="S1713" t="s">
        <v>29</v>
      </c>
      <c r="T1713" s="1">
        <v>2240</v>
      </c>
      <c r="V1713" t="str">
        <f>VLOOKUP(H1713,'[1]팀별 출판사'!A:B,2,0)</f>
        <v>소설1팀</v>
      </c>
      <c r="W1713" s="6">
        <f t="shared" si="52"/>
        <v>0</v>
      </c>
      <c r="X1713" s="6">
        <f t="shared" si="53"/>
        <v>2240</v>
      </c>
    </row>
    <row r="1714" spans="1:24" x14ac:dyDescent="0.3">
      <c r="A1714" t="s">
        <v>2550</v>
      </c>
      <c r="B1714" t="s">
        <v>2723</v>
      </c>
      <c r="C1714" t="s">
        <v>23</v>
      </c>
      <c r="D1714" t="s">
        <v>24</v>
      </c>
      <c r="E1714" t="s">
        <v>25</v>
      </c>
      <c r="F1714">
        <v>1</v>
      </c>
      <c r="G1714">
        <v>9791136903846</v>
      </c>
      <c r="H1714" t="s">
        <v>26</v>
      </c>
      <c r="I1714" t="s">
        <v>2724</v>
      </c>
      <c r="J1714" t="s">
        <v>256</v>
      </c>
      <c r="K1714" t="s">
        <v>29</v>
      </c>
      <c r="L1714" s="1">
        <v>3200</v>
      </c>
      <c r="M1714" t="s">
        <v>29</v>
      </c>
      <c r="N1714" s="1">
        <v>3200</v>
      </c>
      <c r="O1714" s="1">
        <v>3200</v>
      </c>
      <c r="P1714" t="s">
        <v>30</v>
      </c>
      <c r="Q1714" s="2">
        <v>0.7</v>
      </c>
      <c r="R1714" s="1">
        <v>2240</v>
      </c>
      <c r="S1714" t="s">
        <v>29</v>
      </c>
      <c r="T1714" s="1">
        <v>2240</v>
      </c>
      <c r="V1714" t="str">
        <f>VLOOKUP(H1714,'[1]팀별 출판사'!A:B,2,0)</f>
        <v>소설1팀</v>
      </c>
      <c r="W1714" s="6">
        <f t="shared" si="52"/>
        <v>0</v>
      </c>
      <c r="X1714" s="6">
        <f t="shared" si="53"/>
        <v>2240</v>
      </c>
    </row>
    <row r="1715" spans="1:24" x14ac:dyDescent="0.3">
      <c r="A1715" t="s">
        <v>2550</v>
      </c>
      <c r="B1715" t="s">
        <v>2725</v>
      </c>
      <c r="C1715" t="s">
        <v>23</v>
      </c>
      <c r="D1715" t="s">
        <v>24</v>
      </c>
      <c r="E1715" t="s">
        <v>25</v>
      </c>
      <c r="F1715">
        <v>1</v>
      </c>
      <c r="G1715">
        <v>9791136926784</v>
      </c>
      <c r="H1715" t="s">
        <v>26</v>
      </c>
      <c r="I1715" t="s">
        <v>1421</v>
      </c>
      <c r="J1715" t="s">
        <v>62</v>
      </c>
      <c r="K1715" t="s">
        <v>29</v>
      </c>
      <c r="L1715">
        <v>0</v>
      </c>
      <c r="M1715" t="s">
        <v>29</v>
      </c>
      <c r="N1715">
        <v>0</v>
      </c>
      <c r="O1715">
        <v>0</v>
      </c>
      <c r="P1715" t="s">
        <v>30</v>
      </c>
      <c r="Q1715" s="2">
        <v>0.7</v>
      </c>
      <c r="R1715">
        <v>0</v>
      </c>
      <c r="V1715" t="str">
        <f>VLOOKUP(H1715,'[1]팀별 출판사'!A:B,2,0)</f>
        <v>소설1팀</v>
      </c>
      <c r="W1715" s="6">
        <f t="shared" si="52"/>
        <v>0</v>
      </c>
      <c r="X1715" s="6">
        <f t="shared" si="53"/>
        <v>0</v>
      </c>
    </row>
    <row r="1716" spans="1:24" x14ac:dyDescent="0.3">
      <c r="A1716" t="s">
        <v>2550</v>
      </c>
      <c r="B1716" t="s">
        <v>2726</v>
      </c>
      <c r="C1716" t="s">
        <v>23</v>
      </c>
      <c r="D1716" t="s">
        <v>24</v>
      </c>
      <c r="E1716" t="s">
        <v>25</v>
      </c>
      <c r="F1716">
        <v>1</v>
      </c>
      <c r="G1716">
        <v>9791136941862</v>
      </c>
      <c r="H1716" t="s">
        <v>26</v>
      </c>
      <c r="I1716" t="s">
        <v>894</v>
      </c>
      <c r="J1716" t="s">
        <v>81</v>
      </c>
      <c r="K1716" t="s">
        <v>29</v>
      </c>
      <c r="L1716">
        <v>0</v>
      </c>
      <c r="M1716" t="s">
        <v>29</v>
      </c>
      <c r="N1716">
        <v>0</v>
      </c>
      <c r="O1716">
        <v>0</v>
      </c>
      <c r="P1716" t="s">
        <v>30</v>
      </c>
      <c r="Q1716" s="2">
        <v>0.7</v>
      </c>
      <c r="R1716">
        <v>0</v>
      </c>
      <c r="V1716" t="str">
        <f>VLOOKUP(H1716,'[1]팀별 출판사'!A:B,2,0)</f>
        <v>소설1팀</v>
      </c>
      <c r="W1716" s="6">
        <f t="shared" si="52"/>
        <v>0</v>
      </c>
      <c r="X1716" s="6">
        <f t="shared" si="53"/>
        <v>0</v>
      </c>
    </row>
    <row r="1717" spans="1:24" x14ac:dyDescent="0.3">
      <c r="A1717" t="s">
        <v>2550</v>
      </c>
      <c r="B1717" t="s">
        <v>2727</v>
      </c>
      <c r="C1717" t="s">
        <v>23</v>
      </c>
      <c r="D1717" t="s">
        <v>24</v>
      </c>
      <c r="E1717" t="s">
        <v>25</v>
      </c>
      <c r="F1717">
        <v>1</v>
      </c>
      <c r="G1717">
        <v>9791175302280</v>
      </c>
      <c r="H1717" t="s">
        <v>26</v>
      </c>
      <c r="I1717" t="s">
        <v>1535</v>
      </c>
      <c r="J1717" t="s">
        <v>1536</v>
      </c>
      <c r="K1717" t="s">
        <v>29</v>
      </c>
      <c r="L1717">
        <v>0</v>
      </c>
      <c r="M1717" t="s">
        <v>29</v>
      </c>
      <c r="N1717">
        <v>0</v>
      </c>
      <c r="O1717">
        <v>0</v>
      </c>
      <c r="P1717" t="s">
        <v>30</v>
      </c>
      <c r="Q1717" s="2">
        <v>0.7</v>
      </c>
      <c r="R1717">
        <v>0</v>
      </c>
      <c r="V1717" t="str">
        <f>VLOOKUP(H1717,'[1]팀별 출판사'!A:B,2,0)</f>
        <v>소설1팀</v>
      </c>
      <c r="W1717" s="6">
        <f t="shared" si="52"/>
        <v>0</v>
      </c>
      <c r="X1717" s="6">
        <f t="shared" si="53"/>
        <v>0</v>
      </c>
    </row>
    <row r="1718" spans="1:24" x14ac:dyDescent="0.3">
      <c r="A1718" t="s">
        <v>2550</v>
      </c>
      <c r="B1718" t="s">
        <v>2728</v>
      </c>
      <c r="C1718" t="s">
        <v>23</v>
      </c>
      <c r="D1718" t="s">
        <v>24</v>
      </c>
      <c r="E1718" t="s">
        <v>25</v>
      </c>
      <c r="F1718">
        <v>1</v>
      </c>
      <c r="G1718">
        <v>9791136946782</v>
      </c>
      <c r="H1718" t="s">
        <v>26</v>
      </c>
      <c r="I1718" t="s">
        <v>291</v>
      </c>
      <c r="J1718" t="s">
        <v>28</v>
      </c>
      <c r="K1718" t="s">
        <v>29</v>
      </c>
      <c r="L1718">
        <v>0</v>
      </c>
      <c r="M1718" t="s">
        <v>29</v>
      </c>
      <c r="N1718">
        <v>0</v>
      </c>
      <c r="O1718">
        <v>0</v>
      </c>
      <c r="P1718" t="s">
        <v>30</v>
      </c>
      <c r="Q1718" s="2">
        <v>0.7</v>
      </c>
      <c r="R1718">
        <v>0</v>
      </c>
      <c r="V1718" t="str">
        <f>VLOOKUP(H1718,'[1]팀별 출판사'!A:B,2,0)</f>
        <v>소설1팀</v>
      </c>
      <c r="W1718" s="6">
        <f t="shared" si="52"/>
        <v>0</v>
      </c>
      <c r="X1718" s="6">
        <f t="shared" si="53"/>
        <v>0</v>
      </c>
    </row>
    <row r="1719" spans="1:24" x14ac:dyDescent="0.3">
      <c r="A1719" t="s">
        <v>2550</v>
      </c>
      <c r="B1719" t="s">
        <v>2729</v>
      </c>
      <c r="C1719" t="s">
        <v>23</v>
      </c>
      <c r="D1719" t="s">
        <v>24</v>
      </c>
      <c r="E1719" t="s">
        <v>25</v>
      </c>
      <c r="F1719">
        <v>1</v>
      </c>
      <c r="G1719">
        <v>9791173785825</v>
      </c>
      <c r="H1719" t="s">
        <v>26</v>
      </c>
      <c r="I1719" t="s">
        <v>2730</v>
      </c>
      <c r="J1719" t="s">
        <v>2731</v>
      </c>
      <c r="K1719" t="s">
        <v>29</v>
      </c>
      <c r="L1719">
        <v>0</v>
      </c>
      <c r="M1719" t="s">
        <v>70</v>
      </c>
      <c r="N1719">
        <v>0</v>
      </c>
      <c r="O1719">
        <v>0</v>
      </c>
      <c r="P1719" t="s">
        <v>71</v>
      </c>
      <c r="Q1719" s="2">
        <v>0.7</v>
      </c>
      <c r="R1719">
        <v>0</v>
      </c>
      <c r="V1719" t="str">
        <f>VLOOKUP(H1719,'[1]팀별 출판사'!A:B,2,0)</f>
        <v>소설1팀</v>
      </c>
      <c r="W1719" s="6">
        <f t="shared" si="52"/>
        <v>0</v>
      </c>
      <c r="X1719" s="6">
        <f t="shared" si="53"/>
        <v>0</v>
      </c>
    </row>
    <row r="1720" spans="1:24" x14ac:dyDescent="0.3">
      <c r="A1720" t="s">
        <v>2550</v>
      </c>
      <c r="B1720" t="s">
        <v>2732</v>
      </c>
      <c r="C1720" t="s">
        <v>23</v>
      </c>
      <c r="D1720" t="s">
        <v>24</v>
      </c>
      <c r="E1720" t="s">
        <v>25</v>
      </c>
      <c r="F1720">
        <v>1</v>
      </c>
      <c r="G1720">
        <v>9791133167258</v>
      </c>
      <c r="H1720" t="s">
        <v>32</v>
      </c>
      <c r="I1720" t="s">
        <v>1977</v>
      </c>
      <c r="J1720" t="s">
        <v>160</v>
      </c>
      <c r="K1720" t="s">
        <v>29</v>
      </c>
      <c r="L1720" s="1">
        <v>2500</v>
      </c>
      <c r="M1720" t="s">
        <v>29</v>
      </c>
      <c r="N1720" s="1">
        <v>2500</v>
      </c>
      <c r="O1720" s="1">
        <v>2500</v>
      </c>
      <c r="P1720" t="s">
        <v>30</v>
      </c>
      <c r="Q1720" s="2">
        <v>0.7</v>
      </c>
      <c r="R1720" s="1">
        <v>1750</v>
      </c>
      <c r="S1720" t="s">
        <v>29</v>
      </c>
      <c r="T1720" s="1">
        <v>1750</v>
      </c>
      <c r="V1720" t="str">
        <f>VLOOKUP(H1720,'[1]팀별 출판사'!A:B,2,0)</f>
        <v>소설1팀</v>
      </c>
      <c r="W1720" s="6">
        <f t="shared" si="52"/>
        <v>0</v>
      </c>
      <c r="X1720" s="6">
        <f t="shared" si="53"/>
        <v>1750</v>
      </c>
    </row>
    <row r="1721" spans="1:24" x14ac:dyDescent="0.3">
      <c r="A1721" t="s">
        <v>2550</v>
      </c>
      <c r="B1721" t="s">
        <v>2733</v>
      </c>
      <c r="C1721" t="s">
        <v>23</v>
      </c>
      <c r="D1721" t="s">
        <v>24</v>
      </c>
      <c r="E1721" t="s">
        <v>25</v>
      </c>
      <c r="F1721">
        <v>1</v>
      </c>
      <c r="G1721">
        <v>9791136946782</v>
      </c>
      <c r="H1721" t="s">
        <v>26</v>
      </c>
      <c r="I1721" t="s">
        <v>291</v>
      </c>
      <c r="J1721" t="s">
        <v>28</v>
      </c>
      <c r="K1721" t="s">
        <v>29</v>
      </c>
      <c r="L1721">
        <v>0</v>
      </c>
      <c r="M1721" t="s">
        <v>29</v>
      </c>
      <c r="N1721">
        <v>0</v>
      </c>
      <c r="O1721">
        <v>0</v>
      </c>
      <c r="P1721" t="s">
        <v>30</v>
      </c>
      <c r="Q1721" s="2">
        <v>0.7</v>
      </c>
      <c r="R1721">
        <v>0</v>
      </c>
      <c r="V1721" t="str">
        <f>VLOOKUP(H1721,'[1]팀별 출판사'!A:B,2,0)</f>
        <v>소설1팀</v>
      </c>
      <c r="W1721" s="6">
        <f t="shared" si="52"/>
        <v>0</v>
      </c>
      <c r="X1721" s="6">
        <f t="shared" si="53"/>
        <v>0</v>
      </c>
    </row>
    <row r="1722" spans="1:24" x14ac:dyDescent="0.3">
      <c r="A1722" t="s">
        <v>2550</v>
      </c>
      <c r="B1722" t="s">
        <v>2734</v>
      </c>
      <c r="C1722" t="s">
        <v>23</v>
      </c>
      <c r="D1722" t="s">
        <v>24</v>
      </c>
      <c r="E1722" t="s">
        <v>25</v>
      </c>
      <c r="F1722">
        <v>1</v>
      </c>
      <c r="G1722">
        <v>9791173785092</v>
      </c>
      <c r="H1722" t="s">
        <v>26</v>
      </c>
      <c r="I1722" t="s">
        <v>327</v>
      </c>
      <c r="J1722" t="s">
        <v>62</v>
      </c>
      <c r="K1722" t="s">
        <v>29</v>
      </c>
      <c r="L1722">
        <v>0</v>
      </c>
      <c r="M1722" t="s">
        <v>29</v>
      </c>
      <c r="N1722">
        <v>0</v>
      </c>
      <c r="O1722">
        <v>0</v>
      </c>
      <c r="P1722" t="s">
        <v>30</v>
      </c>
      <c r="Q1722" s="2">
        <v>0.7</v>
      </c>
      <c r="R1722">
        <v>0</v>
      </c>
      <c r="V1722" t="str">
        <f>VLOOKUP(H1722,'[1]팀별 출판사'!A:B,2,0)</f>
        <v>소설1팀</v>
      </c>
      <c r="W1722" s="6">
        <f t="shared" si="52"/>
        <v>0</v>
      </c>
      <c r="X1722" s="6">
        <f t="shared" si="53"/>
        <v>0</v>
      </c>
    </row>
    <row r="1723" spans="1:24" x14ac:dyDescent="0.3">
      <c r="A1723" t="s">
        <v>2550</v>
      </c>
      <c r="B1723" t="s">
        <v>2735</v>
      </c>
      <c r="C1723" t="s">
        <v>23</v>
      </c>
      <c r="D1723" t="s">
        <v>24</v>
      </c>
      <c r="E1723" t="s">
        <v>25</v>
      </c>
      <c r="F1723">
        <v>1</v>
      </c>
      <c r="G1723">
        <v>9791133105229</v>
      </c>
      <c r="H1723" t="s">
        <v>32</v>
      </c>
      <c r="I1723" t="s">
        <v>2736</v>
      </c>
      <c r="J1723" t="s">
        <v>311</v>
      </c>
      <c r="K1723" t="s">
        <v>29</v>
      </c>
      <c r="L1723">
        <v>0</v>
      </c>
      <c r="M1723" t="s">
        <v>29</v>
      </c>
      <c r="N1723">
        <v>0</v>
      </c>
      <c r="O1723">
        <v>0</v>
      </c>
      <c r="P1723" t="s">
        <v>30</v>
      </c>
      <c r="Q1723" s="2">
        <v>0.7</v>
      </c>
      <c r="R1723">
        <v>0</v>
      </c>
      <c r="V1723" t="str">
        <f>VLOOKUP(H1723,'[1]팀별 출판사'!A:B,2,0)</f>
        <v>소설1팀</v>
      </c>
      <c r="W1723" s="6">
        <f t="shared" si="52"/>
        <v>0</v>
      </c>
      <c r="X1723" s="6">
        <f t="shared" si="53"/>
        <v>0</v>
      </c>
    </row>
    <row r="1724" spans="1:24" x14ac:dyDescent="0.3">
      <c r="A1724" t="s">
        <v>2550</v>
      </c>
      <c r="B1724" t="s">
        <v>2737</v>
      </c>
      <c r="C1724" t="s">
        <v>23</v>
      </c>
      <c r="D1724" t="s">
        <v>24</v>
      </c>
      <c r="E1724" t="s">
        <v>25</v>
      </c>
      <c r="F1724">
        <v>1</v>
      </c>
      <c r="G1724">
        <v>9791170105831</v>
      </c>
      <c r="H1724" t="s">
        <v>67</v>
      </c>
      <c r="I1724" t="s">
        <v>2738</v>
      </c>
      <c r="J1724" t="s">
        <v>867</v>
      </c>
      <c r="K1724" t="s">
        <v>29</v>
      </c>
      <c r="L1724">
        <v>0</v>
      </c>
      <c r="M1724" t="s">
        <v>465</v>
      </c>
      <c r="N1724">
        <v>0</v>
      </c>
      <c r="O1724">
        <v>0</v>
      </c>
      <c r="P1724" t="s">
        <v>466</v>
      </c>
      <c r="Q1724" s="2">
        <v>0.7</v>
      </c>
      <c r="R1724">
        <v>0</v>
      </c>
      <c r="V1724" t="str">
        <f>VLOOKUP(H1724,'[1]팀별 출판사'!A:B,2,0)</f>
        <v>소설1팀</v>
      </c>
      <c r="W1724" s="6">
        <f t="shared" si="52"/>
        <v>0</v>
      </c>
      <c r="X1724" s="6">
        <f t="shared" si="53"/>
        <v>0</v>
      </c>
    </row>
    <row r="1725" spans="1:24" x14ac:dyDescent="0.3">
      <c r="A1725" t="s">
        <v>2550</v>
      </c>
      <c r="B1725" t="s">
        <v>2739</v>
      </c>
      <c r="C1725" t="s">
        <v>23</v>
      </c>
      <c r="D1725" t="s">
        <v>24</v>
      </c>
      <c r="E1725" t="s">
        <v>25</v>
      </c>
      <c r="F1725">
        <v>1</v>
      </c>
      <c r="G1725">
        <v>9791136927255</v>
      </c>
      <c r="H1725" t="s">
        <v>36</v>
      </c>
      <c r="I1725" t="s">
        <v>90</v>
      </c>
      <c r="J1725" t="s">
        <v>38</v>
      </c>
      <c r="K1725" t="s">
        <v>29</v>
      </c>
      <c r="L1725" s="1">
        <v>3300</v>
      </c>
      <c r="M1725" t="s">
        <v>2630</v>
      </c>
      <c r="N1725">
        <v>10.01</v>
      </c>
      <c r="O1725">
        <v>9.27</v>
      </c>
      <c r="P1725" t="s">
        <v>2631</v>
      </c>
      <c r="Q1725" s="2">
        <v>0.7</v>
      </c>
      <c r="R1725">
        <v>6.49</v>
      </c>
      <c r="S1725" t="s">
        <v>29</v>
      </c>
      <c r="T1725" s="1">
        <v>2403</v>
      </c>
      <c r="U1725">
        <v>368.62625000000003</v>
      </c>
      <c r="V1725" t="str">
        <f>VLOOKUP(H1725,'[1]팀별 출판사'!A:B,2,0)</f>
        <v>소설2팀</v>
      </c>
      <c r="W1725" s="6">
        <f t="shared" si="52"/>
        <v>0</v>
      </c>
      <c r="X1725" s="6">
        <f t="shared" si="53"/>
        <v>2403</v>
      </c>
    </row>
    <row r="1726" spans="1:24" x14ac:dyDescent="0.3">
      <c r="A1726" t="s">
        <v>2550</v>
      </c>
      <c r="B1726" t="s">
        <v>2740</v>
      </c>
      <c r="C1726" t="s">
        <v>23</v>
      </c>
      <c r="D1726" t="s">
        <v>24</v>
      </c>
      <c r="E1726" t="s">
        <v>25</v>
      </c>
      <c r="F1726">
        <v>1</v>
      </c>
      <c r="G1726">
        <v>9791136927675</v>
      </c>
      <c r="H1726" t="s">
        <v>36</v>
      </c>
      <c r="I1726" t="s">
        <v>2259</v>
      </c>
      <c r="J1726" t="s">
        <v>38</v>
      </c>
      <c r="K1726" t="s">
        <v>29</v>
      </c>
      <c r="L1726" s="1">
        <v>3300</v>
      </c>
      <c r="M1726" t="s">
        <v>2630</v>
      </c>
      <c r="N1726">
        <v>10.01</v>
      </c>
      <c r="O1726">
        <v>9.27</v>
      </c>
      <c r="P1726" t="s">
        <v>2631</v>
      </c>
      <c r="Q1726" s="2">
        <v>0.7</v>
      </c>
      <c r="R1726">
        <v>6.49</v>
      </c>
      <c r="S1726" t="s">
        <v>29</v>
      </c>
      <c r="T1726" s="1">
        <v>2403</v>
      </c>
      <c r="U1726">
        <v>368.62625000000003</v>
      </c>
      <c r="V1726" t="str">
        <f>VLOOKUP(H1726,'[1]팀별 출판사'!A:B,2,0)</f>
        <v>소설2팀</v>
      </c>
      <c r="W1726" s="6">
        <f t="shared" si="52"/>
        <v>0</v>
      </c>
      <c r="X1726" s="6">
        <f t="shared" si="53"/>
        <v>2403</v>
      </c>
    </row>
    <row r="1727" spans="1:24" x14ac:dyDescent="0.3">
      <c r="A1727" t="s">
        <v>2550</v>
      </c>
      <c r="B1727" t="s">
        <v>2740</v>
      </c>
      <c r="C1727" t="s">
        <v>23</v>
      </c>
      <c r="D1727" t="s">
        <v>24</v>
      </c>
      <c r="E1727" t="s">
        <v>25</v>
      </c>
      <c r="F1727">
        <v>1</v>
      </c>
      <c r="G1727">
        <v>9791136940704</v>
      </c>
      <c r="H1727" t="s">
        <v>36</v>
      </c>
      <c r="I1727" t="s">
        <v>2260</v>
      </c>
      <c r="J1727" t="s">
        <v>38</v>
      </c>
      <c r="K1727" t="s">
        <v>29</v>
      </c>
      <c r="L1727" s="1">
        <v>3300</v>
      </c>
      <c r="M1727" t="s">
        <v>2630</v>
      </c>
      <c r="N1727">
        <v>10.01</v>
      </c>
      <c r="O1727">
        <v>9.27</v>
      </c>
      <c r="P1727" t="s">
        <v>2631</v>
      </c>
      <c r="Q1727" s="2">
        <v>0.7</v>
      </c>
      <c r="R1727">
        <v>6.49</v>
      </c>
      <c r="S1727" t="s">
        <v>29</v>
      </c>
      <c r="T1727" s="1">
        <v>2403</v>
      </c>
      <c r="U1727">
        <v>368.62625000000003</v>
      </c>
      <c r="V1727" t="str">
        <f>VLOOKUP(H1727,'[1]팀별 출판사'!A:B,2,0)</f>
        <v>소설2팀</v>
      </c>
      <c r="W1727" s="6">
        <f t="shared" si="52"/>
        <v>0</v>
      </c>
      <c r="X1727" s="6">
        <f t="shared" si="53"/>
        <v>2403</v>
      </c>
    </row>
    <row r="1728" spans="1:24" x14ac:dyDescent="0.3">
      <c r="A1728" t="s">
        <v>2550</v>
      </c>
      <c r="B1728" t="s">
        <v>2740</v>
      </c>
      <c r="C1728" t="s">
        <v>23</v>
      </c>
      <c r="D1728" t="s">
        <v>24</v>
      </c>
      <c r="E1728" t="s">
        <v>25</v>
      </c>
      <c r="F1728">
        <v>1</v>
      </c>
      <c r="G1728">
        <v>9791136940728</v>
      </c>
      <c r="H1728" t="s">
        <v>36</v>
      </c>
      <c r="I1728" t="s">
        <v>2019</v>
      </c>
      <c r="J1728" t="s">
        <v>38</v>
      </c>
      <c r="K1728" t="s">
        <v>29</v>
      </c>
      <c r="L1728" s="1">
        <v>3300</v>
      </c>
      <c r="M1728" t="s">
        <v>2630</v>
      </c>
      <c r="N1728">
        <v>10.01</v>
      </c>
      <c r="O1728">
        <v>9.27</v>
      </c>
      <c r="P1728" t="s">
        <v>2631</v>
      </c>
      <c r="Q1728" s="2">
        <v>0.7</v>
      </c>
      <c r="R1728">
        <v>6.49</v>
      </c>
      <c r="S1728" t="s">
        <v>29</v>
      </c>
      <c r="T1728" s="1">
        <v>2403</v>
      </c>
      <c r="U1728">
        <v>368.62625000000003</v>
      </c>
      <c r="V1728" t="str">
        <f>VLOOKUP(H1728,'[1]팀별 출판사'!A:B,2,0)</f>
        <v>소설2팀</v>
      </c>
      <c r="W1728" s="6">
        <f t="shared" si="52"/>
        <v>0</v>
      </c>
      <c r="X1728" s="6">
        <f t="shared" si="53"/>
        <v>2403</v>
      </c>
    </row>
    <row r="1729" spans="1:24" x14ac:dyDescent="0.3">
      <c r="A1729" t="s">
        <v>2550</v>
      </c>
      <c r="B1729" t="s">
        <v>2740</v>
      </c>
      <c r="C1729" t="s">
        <v>23</v>
      </c>
      <c r="D1729" t="s">
        <v>24</v>
      </c>
      <c r="E1729" t="s">
        <v>25</v>
      </c>
      <c r="F1729">
        <v>1</v>
      </c>
      <c r="G1729">
        <v>9791173786648</v>
      </c>
      <c r="H1729" t="s">
        <v>36</v>
      </c>
      <c r="I1729" t="s">
        <v>2003</v>
      </c>
      <c r="J1729" t="s">
        <v>38</v>
      </c>
      <c r="K1729" t="s">
        <v>29</v>
      </c>
      <c r="L1729" s="1">
        <v>1800</v>
      </c>
      <c r="M1729" t="s">
        <v>2630</v>
      </c>
      <c r="N1729">
        <v>5.46</v>
      </c>
      <c r="O1729">
        <v>5.0599999999999996</v>
      </c>
      <c r="P1729" t="s">
        <v>2631</v>
      </c>
      <c r="Q1729" s="2">
        <v>0.7</v>
      </c>
      <c r="R1729">
        <v>3.54</v>
      </c>
      <c r="S1729" t="s">
        <v>29</v>
      </c>
      <c r="T1729" s="1">
        <v>1311</v>
      </c>
      <c r="U1729">
        <v>368.62625000000003</v>
      </c>
      <c r="V1729" t="str">
        <f>VLOOKUP(H1729,'[1]팀별 출판사'!A:B,2,0)</f>
        <v>소설2팀</v>
      </c>
      <c r="W1729" s="6">
        <f t="shared" si="52"/>
        <v>0</v>
      </c>
      <c r="X1729" s="6">
        <f t="shared" si="53"/>
        <v>1311</v>
      </c>
    </row>
    <row r="1730" spans="1:24" x14ac:dyDescent="0.3">
      <c r="A1730" t="s">
        <v>2550</v>
      </c>
      <c r="B1730" t="s">
        <v>2741</v>
      </c>
      <c r="C1730" t="s">
        <v>23</v>
      </c>
      <c r="D1730" t="s">
        <v>24</v>
      </c>
      <c r="E1730" t="s">
        <v>25</v>
      </c>
      <c r="F1730">
        <v>1</v>
      </c>
      <c r="G1730">
        <v>9791136942142</v>
      </c>
      <c r="H1730" t="s">
        <v>26</v>
      </c>
      <c r="I1730" t="s">
        <v>180</v>
      </c>
      <c r="J1730" t="s">
        <v>46</v>
      </c>
      <c r="K1730" t="s">
        <v>29</v>
      </c>
      <c r="L1730">
        <v>0</v>
      </c>
      <c r="M1730" t="s">
        <v>47</v>
      </c>
      <c r="N1730">
        <v>0</v>
      </c>
      <c r="O1730">
        <v>0</v>
      </c>
      <c r="P1730" t="s">
        <v>48</v>
      </c>
      <c r="Q1730" s="2">
        <v>0.7</v>
      </c>
      <c r="R1730">
        <v>0</v>
      </c>
      <c r="V1730" t="str">
        <f>VLOOKUP(H1730,'[1]팀별 출판사'!A:B,2,0)</f>
        <v>소설1팀</v>
      </c>
      <c r="W1730" s="6">
        <f t="shared" ref="W1730:W1793" si="54">IF(P1730="US", T1730*30%, 0)</f>
        <v>0</v>
      </c>
      <c r="X1730" s="6">
        <f t="shared" ref="X1730:X1793" si="55">T1730-W1730</f>
        <v>0</v>
      </c>
    </row>
    <row r="1731" spans="1:24" x14ac:dyDescent="0.3">
      <c r="A1731" t="s">
        <v>2550</v>
      </c>
      <c r="B1731" t="s">
        <v>2742</v>
      </c>
      <c r="C1731" t="s">
        <v>23</v>
      </c>
      <c r="D1731" t="s">
        <v>24</v>
      </c>
      <c r="E1731" t="s">
        <v>25</v>
      </c>
      <c r="F1731">
        <v>1</v>
      </c>
      <c r="G1731">
        <v>9791136931375</v>
      </c>
      <c r="H1731" t="s">
        <v>32</v>
      </c>
      <c r="I1731" t="s">
        <v>189</v>
      </c>
      <c r="J1731" t="s">
        <v>46</v>
      </c>
      <c r="K1731" t="s">
        <v>29</v>
      </c>
      <c r="L1731">
        <v>0</v>
      </c>
      <c r="M1731" t="s">
        <v>152</v>
      </c>
      <c r="N1731">
        <v>0</v>
      </c>
      <c r="O1731">
        <v>0</v>
      </c>
      <c r="P1731" t="s">
        <v>153</v>
      </c>
      <c r="Q1731" s="2">
        <v>0.7</v>
      </c>
      <c r="R1731">
        <v>0</v>
      </c>
      <c r="V1731" t="str">
        <f>VLOOKUP(H1731,'[1]팀별 출판사'!A:B,2,0)</f>
        <v>소설1팀</v>
      </c>
      <c r="W1731" s="6">
        <f t="shared" si="54"/>
        <v>0</v>
      </c>
      <c r="X1731" s="6">
        <f t="shared" si="55"/>
        <v>0</v>
      </c>
    </row>
    <row r="1732" spans="1:24" x14ac:dyDescent="0.3">
      <c r="A1732" t="s">
        <v>2550</v>
      </c>
      <c r="B1732" t="s">
        <v>2743</v>
      </c>
      <c r="C1732" t="s">
        <v>23</v>
      </c>
      <c r="D1732" t="s">
        <v>24</v>
      </c>
      <c r="E1732" t="s">
        <v>25</v>
      </c>
      <c r="F1732">
        <v>1</v>
      </c>
      <c r="G1732">
        <v>9791136942142</v>
      </c>
      <c r="H1732" t="s">
        <v>26</v>
      </c>
      <c r="I1732" t="s">
        <v>180</v>
      </c>
      <c r="J1732" t="s">
        <v>46</v>
      </c>
      <c r="K1732" t="s">
        <v>29</v>
      </c>
      <c r="L1732">
        <v>0</v>
      </c>
      <c r="M1732" t="s">
        <v>152</v>
      </c>
      <c r="N1732">
        <v>0</v>
      </c>
      <c r="O1732">
        <v>0</v>
      </c>
      <c r="P1732" t="s">
        <v>153</v>
      </c>
      <c r="Q1732" s="2">
        <v>0.7</v>
      </c>
      <c r="R1732">
        <v>0</v>
      </c>
      <c r="V1732" t="str">
        <f>VLOOKUP(H1732,'[1]팀별 출판사'!A:B,2,0)</f>
        <v>소설1팀</v>
      </c>
      <c r="W1732" s="6">
        <f t="shared" si="54"/>
        <v>0</v>
      </c>
      <c r="X1732" s="6">
        <f t="shared" si="55"/>
        <v>0</v>
      </c>
    </row>
    <row r="1733" spans="1:24" x14ac:dyDescent="0.3">
      <c r="A1733" t="s">
        <v>2550</v>
      </c>
      <c r="B1733" t="s">
        <v>2744</v>
      </c>
      <c r="C1733" t="s">
        <v>23</v>
      </c>
      <c r="D1733" t="s">
        <v>24</v>
      </c>
      <c r="E1733" t="s">
        <v>25</v>
      </c>
      <c r="F1733">
        <v>1</v>
      </c>
      <c r="G1733">
        <v>9791170100171</v>
      </c>
      <c r="H1733" t="s">
        <v>67</v>
      </c>
      <c r="I1733" t="s">
        <v>2081</v>
      </c>
      <c r="J1733" t="s">
        <v>107</v>
      </c>
      <c r="K1733" t="s">
        <v>29</v>
      </c>
      <c r="L1733" s="1">
        <v>2500</v>
      </c>
      <c r="M1733" t="s">
        <v>29</v>
      </c>
      <c r="N1733" s="1">
        <v>2500</v>
      </c>
      <c r="O1733" s="1">
        <v>2500</v>
      </c>
      <c r="P1733" t="s">
        <v>30</v>
      </c>
      <c r="Q1733" s="2">
        <v>0.7</v>
      </c>
      <c r="R1733" s="1">
        <v>1750</v>
      </c>
      <c r="S1733" t="s">
        <v>29</v>
      </c>
      <c r="T1733" s="1">
        <v>1750</v>
      </c>
      <c r="V1733" t="str">
        <f>VLOOKUP(H1733,'[1]팀별 출판사'!A:B,2,0)</f>
        <v>소설1팀</v>
      </c>
      <c r="W1733" s="6">
        <f t="shared" si="54"/>
        <v>0</v>
      </c>
      <c r="X1733" s="6">
        <f t="shared" si="55"/>
        <v>1750</v>
      </c>
    </row>
    <row r="1734" spans="1:24" x14ac:dyDescent="0.3">
      <c r="A1734" t="s">
        <v>2550</v>
      </c>
      <c r="B1734" t="s">
        <v>2745</v>
      </c>
      <c r="C1734" t="s">
        <v>23</v>
      </c>
      <c r="D1734" t="s">
        <v>24</v>
      </c>
      <c r="E1734" t="s">
        <v>25</v>
      </c>
      <c r="F1734">
        <v>1</v>
      </c>
      <c r="G1734">
        <v>9791172920159</v>
      </c>
      <c r="H1734" t="s">
        <v>26</v>
      </c>
      <c r="I1734" t="s">
        <v>2454</v>
      </c>
      <c r="J1734" t="s">
        <v>276</v>
      </c>
      <c r="K1734" t="s">
        <v>29</v>
      </c>
      <c r="L1734" s="1">
        <v>3200</v>
      </c>
      <c r="M1734" t="s">
        <v>29</v>
      </c>
      <c r="N1734" s="1">
        <v>3200</v>
      </c>
      <c r="O1734" s="1">
        <v>3200</v>
      </c>
      <c r="P1734" t="s">
        <v>30</v>
      </c>
      <c r="Q1734" s="2">
        <v>0.7</v>
      </c>
      <c r="R1734" s="1">
        <v>2240</v>
      </c>
      <c r="S1734" t="s">
        <v>29</v>
      </c>
      <c r="T1734" s="1">
        <v>2240</v>
      </c>
      <c r="V1734" t="str">
        <f>VLOOKUP(H1734,'[1]팀별 출판사'!A:B,2,0)</f>
        <v>소설1팀</v>
      </c>
      <c r="W1734" s="6">
        <f t="shared" si="54"/>
        <v>0</v>
      </c>
      <c r="X1734" s="6">
        <f t="shared" si="55"/>
        <v>2240</v>
      </c>
    </row>
    <row r="1735" spans="1:24" x14ac:dyDescent="0.3">
      <c r="A1735" t="s">
        <v>2550</v>
      </c>
      <c r="B1735" t="s">
        <v>2746</v>
      </c>
      <c r="C1735" t="s">
        <v>23</v>
      </c>
      <c r="D1735" t="s">
        <v>24</v>
      </c>
      <c r="E1735" t="s">
        <v>25</v>
      </c>
      <c r="F1735">
        <v>1</v>
      </c>
      <c r="G1735">
        <v>9791133105922</v>
      </c>
      <c r="H1735" t="s">
        <v>32</v>
      </c>
      <c r="I1735" t="s">
        <v>2747</v>
      </c>
      <c r="J1735" t="s">
        <v>663</v>
      </c>
      <c r="K1735" t="s">
        <v>29</v>
      </c>
      <c r="L1735" s="1">
        <v>3200</v>
      </c>
      <c r="M1735" t="s">
        <v>29</v>
      </c>
      <c r="N1735" s="1">
        <v>3200</v>
      </c>
      <c r="O1735" s="1">
        <v>3200</v>
      </c>
      <c r="P1735" t="s">
        <v>30</v>
      </c>
      <c r="Q1735" s="2">
        <v>0.7</v>
      </c>
      <c r="R1735" s="1">
        <v>2240</v>
      </c>
      <c r="S1735" t="s">
        <v>29</v>
      </c>
      <c r="T1735" s="1">
        <v>2240</v>
      </c>
      <c r="V1735" t="str">
        <f>VLOOKUP(H1735,'[1]팀별 출판사'!A:B,2,0)</f>
        <v>소설1팀</v>
      </c>
      <c r="W1735" s="6">
        <f t="shared" si="54"/>
        <v>0</v>
      </c>
      <c r="X1735" s="6">
        <f t="shared" si="55"/>
        <v>2240</v>
      </c>
    </row>
    <row r="1736" spans="1:24" x14ac:dyDescent="0.3">
      <c r="A1736" t="s">
        <v>2550</v>
      </c>
      <c r="B1736" t="s">
        <v>2748</v>
      </c>
      <c r="C1736" t="s">
        <v>23</v>
      </c>
      <c r="D1736" t="s">
        <v>24</v>
      </c>
      <c r="E1736" t="s">
        <v>25</v>
      </c>
      <c r="F1736">
        <v>1</v>
      </c>
      <c r="G1736">
        <v>9791157532285</v>
      </c>
      <c r="H1736" t="s">
        <v>32</v>
      </c>
      <c r="I1736" t="s">
        <v>2749</v>
      </c>
      <c r="J1736" t="s">
        <v>112</v>
      </c>
      <c r="K1736" t="s">
        <v>29</v>
      </c>
      <c r="L1736" s="1">
        <v>3200</v>
      </c>
      <c r="M1736" t="s">
        <v>29</v>
      </c>
      <c r="N1736" s="1">
        <v>3200</v>
      </c>
      <c r="O1736" s="1">
        <v>3200</v>
      </c>
      <c r="P1736" t="s">
        <v>30</v>
      </c>
      <c r="Q1736" s="2">
        <v>0.7</v>
      </c>
      <c r="R1736" s="1">
        <v>2240</v>
      </c>
      <c r="S1736" t="s">
        <v>29</v>
      </c>
      <c r="T1736" s="1">
        <v>2240</v>
      </c>
      <c r="V1736" t="str">
        <f>VLOOKUP(H1736,'[1]팀별 출판사'!A:B,2,0)</f>
        <v>소설1팀</v>
      </c>
      <c r="W1736" s="6">
        <f t="shared" si="54"/>
        <v>0</v>
      </c>
      <c r="X1736" s="6">
        <f t="shared" si="55"/>
        <v>2240</v>
      </c>
    </row>
    <row r="1737" spans="1:24" x14ac:dyDescent="0.3">
      <c r="A1737" t="s">
        <v>2550</v>
      </c>
      <c r="B1737" t="s">
        <v>2750</v>
      </c>
      <c r="C1737" t="s">
        <v>23</v>
      </c>
      <c r="D1737" t="s">
        <v>24</v>
      </c>
      <c r="E1737" t="s">
        <v>25</v>
      </c>
      <c r="F1737">
        <v>1</v>
      </c>
      <c r="G1737">
        <v>9791175301955</v>
      </c>
      <c r="H1737" t="s">
        <v>26</v>
      </c>
      <c r="I1737" t="s">
        <v>591</v>
      </c>
      <c r="J1737" t="s">
        <v>256</v>
      </c>
      <c r="K1737" t="s">
        <v>29</v>
      </c>
      <c r="L1737">
        <v>0</v>
      </c>
      <c r="M1737" t="s">
        <v>29</v>
      </c>
      <c r="N1737">
        <v>0</v>
      </c>
      <c r="O1737">
        <v>0</v>
      </c>
      <c r="P1737" t="s">
        <v>30</v>
      </c>
      <c r="Q1737" s="2">
        <v>0.7</v>
      </c>
      <c r="R1737">
        <v>0</v>
      </c>
      <c r="V1737" t="str">
        <f>VLOOKUP(H1737,'[1]팀별 출판사'!A:B,2,0)</f>
        <v>소설1팀</v>
      </c>
      <c r="W1737" s="6">
        <f t="shared" si="54"/>
        <v>0</v>
      </c>
      <c r="X1737" s="6">
        <f t="shared" si="55"/>
        <v>0</v>
      </c>
    </row>
    <row r="1738" spans="1:24" x14ac:dyDescent="0.3">
      <c r="A1738" t="s">
        <v>2550</v>
      </c>
      <c r="B1738" t="s">
        <v>2751</v>
      </c>
      <c r="C1738" t="s">
        <v>23</v>
      </c>
      <c r="D1738" t="s">
        <v>24</v>
      </c>
      <c r="E1738" t="s">
        <v>25</v>
      </c>
      <c r="F1738">
        <v>1</v>
      </c>
      <c r="G1738">
        <v>9791157539680</v>
      </c>
      <c r="H1738" t="s">
        <v>32</v>
      </c>
      <c r="I1738" t="s">
        <v>2752</v>
      </c>
      <c r="J1738" t="s">
        <v>88</v>
      </c>
      <c r="K1738" t="s">
        <v>29</v>
      </c>
      <c r="L1738" s="1">
        <v>3200</v>
      </c>
      <c r="M1738" t="s">
        <v>29</v>
      </c>
      <c r="N1738" s="1">
        <v>3200</v>
      </c>
      <c r="O1738" s="1">
        <v>3200</v>
      </c>
      <c r="P1738" t="s">
        <v>30</v>
      </c>
      <c r="Q1738" s="2">
        <v>0.7</v>
      </c>
      <c r="R1738" s="1">
        <v>2240</v>
      </c>
      <c r="S1738" t="s">
        <v>29</v>
      </c>
      <c r="T1738" s="1">
        <v>2240</v>
      </c>
      <c r="V1738" t="str">
        <f>VLOOKUP(H1738,'[1]팀별 출판사'!A:B,2,0)</f>
        <v>소설1팀</v>
      </c>
      <c r="W1738" s="6">
        <f t="shared" si="54"/>
        <v>0</v>
      </c>
      <c r="X1738" s="6">
        <f t="shared" si="55"/>
        <v>2240</v>
      </c>
    </row>
    <row r="1739" spans="1:24" x14ac:dyDescent="0.3">
      <c r="A1739" t="s">
        <v>2550</v>
      </c>
      <c r="B1739" t="s">
        <v>2753</v>
      </c>
      <c r="C1739" t="s">
        <v>23</v>
      </c>
      <c r="D1739" t="s">
        <v>24</v>
      </c>
      <c r="E1739" t="s">
        <v>25</v>
      </c>
      <c r="F1739">
        <v>1</v>
      </c>
      <c r="G1739">
        <v>9791136942418</v>
      </c>
      <c r="H1739" t="s">
        <v>26</v>
      </c>
      <c r="I1739" t="s">
        <v>2055</v>
      </c>
      <c r="J1739" t="s">
        <v>284</v>
      </c>
      <c r="K1739" t="s">
        <v>29</v>
      </c>
      <c r="L1739">
        <v>0</v>
      </c>
      <c r="M1739" t="s">
        <v>29</v>
      </c>
      <c r="N1739">
        <v>0</v>
      </c>
      <c r="O1739">
        <v>0</v>
      </c>
      <c r="P1739" t="s">
        <v>30</v>
      </c>
      <c r="Q1739" s="2">
        <v>0.7</v>
      </c>
      <c r="R1739">
        <v>0</v>
      </c>
      <c r="V1739" t="str">
        <f>VLOOKUP(H1739,'[1]팀별 출판사'!A:B,2,0)</f>
        <v>소설1팀</v>
      </c>
      <c r="W1739" s="6">
        <f t="shared" si="54"/>
        <v>0</v>
      </c>
      <c r="X1739" s="6">
        <f t="shared" si="55"/>
        <v>0</v>
      </c>
    </row>
    <row r="1740" spans="1:24" x14ac:dyDescent="0.3">
      <c r="A1740" t="s">
        <v>2754</v>
      </c>
      <c r="B1740" t="s">
        <v>2755</v>
      </c>
      <c r="C1740" t="s">
        <v>23</v>
      </c>
      <c r="D1740" t="s">
        <v>24</v>
      </c>
      <c r="E1740" t="s">
        <v>25</v>
      </c>
      <c r="F1740">
        <v>1</v>
      </c>
      <c r="G1740">
        <v>9791170101024</v>
      </c>
      <c r="H1740" t="s">
        <v>67</v>
      </c>
      <c r="I1740" t="s">
        <v>1544</v>
      </c>
      <c r="J1740" t="s">
        <v>1545</v>
      </c>
      <c r="K1740" t="s">
        <v>29</v>
      </c>
      <c r="L1740">
        <v>0</v>
      </c>
      <c r="M1740" t="s">
        <v>29</v>
      </c>
      <c r="N1740">
        <v>0</v>
      </c>
      <c r="O1740">
        <v>0</v>
      </c>
      <c r="P1740" t="s">
        <v>30</v>
      </c>
      <c r="Q1740" s="2">
        <v>0.7</v>
      </c>
      <c r="R1740">
        <v>0</v>
      </c>
      <c r="V1740" t="str">
        <f>VLOOKUP(H1740,'[1]팀별 출판사'!A:B,2,0)</f>
        <v>소설1팀</v>
      </c>
      <c r="W1740" s="6">
        <f t="shared" si="54"/>
        <v>0</v>
      </c>
      <c r="X1740" s="6">
        <f t="shared" si="55"/>
        <v>0</v>
      </c>
    </row>
    <row r="1741" spans="1:24" x14ac:dyDescent="0.3">
      <c r="A1741" t="s">
        <v>2754</v>
      </c>
      <c r="B1741" t="s">
        <v>2756</v>
      </c>
      <c r="C1741" t="s">
        <v>23</v>
      </c>
      <c r="D1741" t="s">
        <v>24</v>
      </c>
      <c r="E1741" t="s">
        <v>25</v>
      </c>
      <c r="F1741">
        <v>1</v>
      </c>
      <c r="G1741">
        <v>9791136911131</v>
      </c>
      <c r="H1741" t="s">
        <v>26</v>
      </c>
      <c r="I1741" t="s">
        <v>2757</v>
      </c>
      <c r="J1741" t="s">
        <v>160</v>
      </c>
      <c r="K1741" t="s">
        <v>29</v>
      </c>
      <c r="L1741" s="1">
        <v>3200</v>
      </c>
      <c r="M1741" t="s">
        <v>29</v>
      </c>
      <c r="N1741" s="1">
        <v>3200</v>
      </c>
      <c r="O1741" s="1">
        <v>3200</v>
      </c>
      <c r="P1741" t="s">
        <v>30</v>
      </c>
      <c r="Q1741" s="2">
        <v>0.7</v>
      </c>
      <c r="R1741" s="1">
        <v>2240</v>
      </c>
      <c r="S1741" t="s">
        <v>29</v>
      </c>
      <c r="T1741" s="1">
        <v>2240</v>
      </c>
      <c r="V1741" t="str">
        <f>VLOOKUP(H1741,'[1]팀별 출판사'!A:B,2,0)</f>
        <v>소설1팀</v>
      </c>
      <c r="W1741" s="6">
        <f t="shared" si="54"/>
        <v>0</v>
      </c>
      <c r="X1741" s="6">
        <f t="shared" si="55"/>
        <v>2240</v>
      </c>
    </row>
    <row r="1742" spans="1:24" x14ac:dyDescent="0.3">
      <c r="A1742" t="s">
        <v>2754</v>
      </c>
      <c r="B1742" t="s">
        <v>2758</v>
      </c>
      <c r="C1742" t="s">
        <v>23</v>
      </c>
      <c r="D1742" t="s">
        <v>24</v>
      </c>
      <c r="E1742" t="s">
        <v>25</v>
      </c>
      <c r="F1742">
        <v>1</v>
      </c>
      <c r="G1742" t="s">
        <v>2759</v>
      </c>
      <c r="H1742" t="s">
        <v>1311</v>
      </c>
      <c r="I1742" t="s">
        <v>2760</v>
      </c>
      <c r="J1742" t="s">
        <v>2606</v>
      </c>
      <c r="K1742" t="s">
        <v>29</v>
      </c>
      <c r="L1742" s="1">
        <v>7000</v>
      </c>
      <c r="M1742" t="s">
        <v>29</v>
      </c>
      <c r="N1742" s="1">
        <v>7000</v>
      </c>
      <c r="O1742" s="1">
        <v>7000</v>
      </c>
      <c r="P1742" t="s">
        <v>30</v>
      </c>
      <c r="Q1742" s="2">
        <v>0.7</v>
      </c>
      <c r="R1742" s="1">
        <v>4900</v>
      </c>
      <c r="S1742" t="s">
        <v>29</v>
      </c>
      <c r="T1742" s="1">
        <v>4900</v>
      </c>
      <c r="V1742" t="str">
        <f>VLOOKUP(H1742,'[1]팀별 출판사'!A:B,2,0)</f>
        <v>소설2팀</v>
      </c>
      <c r="W1742" s="6">
        <f t="shared" si="54"/>
        <v>0</v>
      </c>
      <c r="X1742" s="6">
        <f t="shared" si="55"/>
        <v>4900</v>
      </c>
    </row>
    <row r="1743" spans="1:24" x14ac:dyDescent="0.3">
      <c r="A1743" t="s">
        <v>2754</v>
      </c>
      <c r="B1743" t="s">
        <v>2761</v>
      </c>
      <c r="C1743" t="s">
        <v>23</v>
      </c>
      <c r="D1743" t="s">
        <v>24</v>
      </c>
      <c r="E1743" t="s">
        <v>25</v>
      </c>
      <c r="F1743">
        <v>1</v>
      </c>
      <c r="G1743">
        <v>9791170100188</v>
      </c>
      <c r="H1743" t="s">
        <v>67</v>
      </c>
      <c r="I1743" t="s">
        <v>2098</v>
      </c>
      <c r="J1743" t="s">
        <v>107</v>
      </c>
      <c r="K1743" t="s">
        <v>29</v>
      </c>
      <c r="L1743" s="1">
        <v>2500</v>
      </c>
      <c r="M1743" t="s">
        <v>29</v>
      </c>
      <c r="N1743" s="1">
        <v>2500</v>
      </c>
      <c r="O1743" s="1">
        <v>2500</v>
      </c>
      <c r="P1743" t="s">
        <v>30</v>
      </c>
      <c r="Q1743" s="2">
        <v>0.7</v>
      </c>
      <c r="R1743" s="1">
        <v>1750</v>
      </c>
      <c r="S1743" t="s">
        <v>29</v>
      </c>
      <c r="T1743" s="1">
        <v>1750</v>
      </c>
      <c r="V1743" t="str">
        <f>VLOOKUP(H1743,'[1]팀별 출판사'!A:B,2,0)</f>
        <v>소설1팀</v>
      </c>
      <c r="W1743" s="6">
        <f t="shared" si="54"/>
        <v>0</v>
      </c>
      <c r="X1743" s="6">
        <f t="shared" si="55"/>
        <v>1750</v>
      </c>
    </row>
    <row r="1744" spans="1:24" x14ac:dyDescent="0.3">
      <c r="A1744" t="s">
        <v>2754</v>
      </c>
      <c r="B1744" t="s">
        <v>2762</v>
      </c>
      <c r="C1744" t="s">
        <v>23</v>
      </c>
      <c r="D1744" t="s">
        <v>24</v>
      </c>
      <c r="E1744" t="s">
        <v>25</v>
      </c>
      <c r="F1744">
        <v>1</v>
      </c>
      <c r="G1744">
        <v>9791136941862</v>
      </c>
      <c r="H1744" t="s">
        <v>26</v>
      </c>
      <c r="I1744" t="s">
        <v>894</v>
      </c>
      <c r="J1744" t="s">
        <v>81</v>
      </c>
      <c r="K1744" t="s">
        <v>29</v>
      </c>
      <c r="L1744">
        <v>0</v>
      </c>
      <c r="M1744" t="s">
        <v>29</v>
      </c>
      <c r="N1744">
        <v>0</v>
      </c>
      <c r="O1744">
        <v>0</v>
      </c>
      <c r="P1744" t="s">
        <v>30</v>
      </c>
      <c r="Q1744" s="2">
        <v>0.7</v>
      </c>
      <c r="R1744">
        <v>0</v>
      </c>
      <c r="V1744" t="str">
        <f>VLOOKUP(H1744,'[1]팀별 출판사'!A:B,2,0)</f>
        <v>소설1팀</v>
      </c>
      <c r="W1744" s="6">
        <f t="shared" si="54"/>
        <v>0</v>
      </c>
      <c r="X1744" s="6">
        <f t="shared" si="55"/>
        <v>0</v>
      </c>
    </row>
    <row r="1745" spans="1:24" x14ac:dyDescent="0.3">
      <c r="A1745" t="s">
        <v>2754</v>
      </c>
      <c r="B1745" t="s">
        <v>2763</v>
      </c>
      <c r="C1745" t="s">
        <v>23</v>
      </c>
      <c r="D1745" t="s">
        <v>24</v>
      </c>
      <c r="E1745" t="s">
        <v>25</v>
      </c>
      <c r="F1745">
        <v>1</v>
      </c>
      <c r="G1745">
        <v>9791133186501</v>
      </c>
      <c r="H1745" t="s">
        <v>26</v>
      </c>
      <c r="I1745" t="s">
        <v>64</v>
      </c>
      <c r="J1745" t="s">
        <v>65</v>
      </c>
      <c r="K1745" t="s">
        <v>29</v>
      </c>
      <c r="L1745">
        <v>0</v>
      </c>
      <c r="M1745" t="s">
        <v>29</v>
      </c>
      <c r="N1745">
        <v>0</v>
      </c>
      <c r="O1745">
        <v>0</v>
      </c>
      <c r="P1745" t="s">
        <v>30</v>
      </c>
      <c r="Q1745" s="2">
        <v>0.7</v>
      </c>
      <c r="R1745">
        <v>0</v>
      </c>
      <c r="V1745" t="str">
        <f>VLOOKUP(H1745,'[1]팀별 출판사'!A:B,2,0)</f>
        <v>소설1팀</v>
      </c>
      <c r="W1745" s="6">
        <f t="shared" si="54"/>
        <v>0</v>
      </c>
      <c r="X1745" s="6">
        <f t="shared" si="55"/>
        <v>0</v>
      </c>
    </row>
    <row r="1746" spans="1:24" x14ac:dyDescent="0.3">
      <c r="A1746" t="s">
        <v>2754</v>
      </c>
      <c r="B1746" t="s">
        <v>2764</v>
      </c>
      <c r="C1746" t="s">
        <v>23</v>
      </c>
      <c r="D1746" t="s">
        <v>24</v>
      </c>
      <c r="E1746" t="s">
        <v>25</v>
      </c>
      <c r="F1746">
        <v>1</v>
      </c>
      <c r="G1746">
        <v>9791136942425</v>
      </c>
      <c r="H1746" t="s">
        <v>26</v>
      </c>
      <c r="I1746" t="s">
        <v>2765</v>
      </c>
      <c r="J1746" t="s">
        <v>284</v>
      </c>
      <c r="K1746" t="s">
        <v>29</v>
      </c>
      <c r="L1746" s="1">
        <v>3200</v>
      </c>
      <c r="M1746" t="s">
        <v>29</v>
      </c>
      <c r="N1746" s="1">
        <v>3200</v>
      </c>
      <c r="O1746" s="1">
        <v>3200</v>
      </c>
      <c r="P1746" t="s">
        <v>30</v>
      </c>
      <c r="Q1746" s="2">
        <v>0.7</v>
      </c>
      <c r="R1746" s="1">
        <v>2240</v>
      </c>
      <c r="S1746" t="s">
        <v>29</v>
      </c>
      <c r="T1746" s="1">
        <v>2240</v>
      </c>
      <c r="V1746" t="str">
        <f>VLOOKUP(H1746,'[1]팀별 출판사'!A:B,2,0)</f>
        <v>소설1팀</v>
      </c>
      <c r="W1746" s="6">
        <f t="shared" si="54"/>
        <v>0</v>
      </c>
      <c r="X1746" s="6">
        <f t="shared" si="55"/>
        <v>2240</v>
      </c>
    </row>
    <row r="1747" spans="1:24" x14ac:dyDescent="0.3">
      <c r="A1747" t="s">
        <v>2754</v>
      </c>
      <c r="B1747" t="s">
        <v>2766</v>
      </c>
      <c r="C1747" t="s">
        <v>23</v>
      </c>
      <c r="D1747" t="s">
        <v>24</v>
      </c>
      <c r="E1747" t="s">
        <v>25</v>
      </c>
      <c r="F1747">
        <v>1</v>
      </c>
      <c r="G1747">
        <v>9791136930224</v>
      </c>
      <c r="H1747" t="s">
        <v>32</v>
      </c>
      <c r="I1747" t="s">
        <v>172</v>
      </c>
      <c r="J1747" t="s">
        <v>46</v>
      </c>
      <c r="K1747" t="s">
        <v>29</v>
      </c>
      <c r="L1747">
        <v>0</v>
      </c>
      <c r="M1747" t="s">
        <v>47</v>
      </c>
      <c r="N1747">
        <v>0</v>
      </c>
      <c r="O1747">
        <v>0</v>
      </c>
      <c r="P1747" t="s">
        <v>48</v>
      </c>
      <c r="Q1747" s="2">
        <v>0.7</v>
      </c>
      <c r="R1747">
        <v>0</v>
      </c>
      <c r="V1747" t="str">
        <f>VLOOKUP(H1747,'[1]팀별 출판사'!A:B,2,0)</f>
        <v>소설1팀</v>
      </c>
      <c r="W1747" s="6">
        <f t="shared" si="54"/>
        <v>0</v>
      </c>
      <c r="X1747" s="6">
        <f t="shared" si="55"/>
        <v>0</v>
      </c>
    </row>
    <row r="1748" spans="1:24" x14ac:dyDescent="0.3">
      <c r="A1748" t="s">
        <v>2754</v>
      </c>
      <c r="B1748" t="s">
        <v>2767</v>
      </c>
      <c r="C1748" t="s">
        <v>23</v>
      </c>
      <c r="D1748" t="s">
        <v>24</v>
      </c>
      <c r="E1748" t="s">
        <v>25</v>
      </c>
      <c r="F1748">
        <v>1</v>
      </c>
      <c r="G1748">
        <v>9791133171361</v>
      </c>
      <c r="H1748" t="s">
        <v>26</v>
      </c>
      <c r="I1748" t="s">
        <v>2768</v>
      </c>
      <c r="J1748" t="s">
        <v>178</v>
      </c>
      <c r="K1748" t="s">
        <v>29</v>
      </c>
      <c r="L1748">
        <v>0</v>
      </c>
      <c r="M1748" t="s">
        <v>29</v>
      </c>
      <c r="N1748">
        <v>0</v>
      </c>
      <c r="O1748">
        <v>0</v>
      </c>
      <c r="P1748" t="s">
        <v>30</v>
      </c>
      <c r="Q1748" s="2">
        <v>0.7</v>
      </c>
      <c r="R1748">
        <v>0</v>
      </c>
      <c r="V1748" t="str">
        <f>VLOOKUP(H1748,'[1]팀별 출판사'!A:B,2,0)</f>
        <v>소설1팀</v>
      </c>
      <c r="W1748" s="6">
        <f t="shared" si="54"/>
        <v>0</v>
      </c>
      <c r="X1748" s="6">
        <f t="shared" si="55"/>
        <v>0</v>
      </c>
    </row>
    <row r="1749" spans="1:24" x14ac:dyDescent="0.3">
      <c r="A1749" t="s">
        <v>2754</v>
      </c>
      <c r="B1749" t="s">
        <v>2769</v>
      </c>
      <c r="C1749" t="s">
        <v>23</v>
      </c>
      <c r="D1749" t="s">
        <v>24</v>
      </c>
      <c r="E1749" t="s">
        <v>25</v>
      </c>
      <c r="F1749">
        <v>1</v>
      </c>
      <c r="G1749">
        <v>9791133183968</v>
      </c>
      <c r="H1749" t="s">
        <v>26</v>
      </c>
      <c r="I1749" t="s">
        <v>2770</v>
      </c>
      <c r="J1749" t="s">
        <v>2771</v>
      </c>
      <c r="K1749" t="s">
        <v>29</v>
      </c>
      <c r="L1749">
        <v>0</v>
      </c>
      <c r="M1749" t="s">
        <v>29</v>
      </c>
      <c r="N1749">
        <v>0</v>
      </c>
      <c r="O1749">
        <v>0</v>
      </c>
      <c r="P1749" t="s">
        <v>30</v>
      </c>
      <c r="Q1749" s="2">
        <v>0.7</v>
      </c>
      <c r="R1749">
        <v>0</v>
      </c>
      <c r="V1749" t="str">
        <f>VLOOKUP(H1749,'[1]팀별 출판사'!A:B,2,0)</f>
        <v>소설1팀</v>
      </c>
      <c r="W1749" s="6">
        <f t="shared" si="54"/>
        <v>0</v>
      </c>
      <c r="X1749" s="6">
        <f t="shared" si="55"/>
        <v>0</v>
      </c>
    </row>
    <row r="1750" spans="1:24" x14ac:dyDescent="0.3">
      <c r="A1750" t="s">
        <v>2754</v>
      </c>
      <c r="B1750" t="s">
        <v>2772</v>
      </c>
      <c r="C1750" t="s">
        <v>23</v>
      </c>
      <c r="D1750" t="s">
        <v>24</v>
      </c>
      <c r="E1750" t="s">
        <v>25</v>
      </c>
      <c r="F1750">
        <v>1</v>
      </c>
      <c r="G1750">
        <v>9791133150298</v>
      </c>
      <c r="H1750" t="s">
        <v>32</v>
      </c>
      <c r="I1750" t="s">
        <v>1079</v>
      </c>
      <c r="J1750" t="s">
        <v>178</v>
      </c>
      <c r="K1750" t="s">
        <v>29</v>
      </c>
      <c r="L1750">
        <v>0</v>
      </c>
      <c r="M1750" t="s">
        <v>29</v>
      </c>
      <c r="N1750">
        <v>0</v>
      </c>
      <c r="O1750">
        <v>0</v>
      </c>
      <c r="P1750" t="s">
        <v>30</v>
      </c>
      <c r="Q1750" s="2">
        <v>0.7</v>
      </c>
      <c r="R1750">
        <v>0</v>
      </c>
      <c r="V1750" t="str">
        <f>VLOOKUP(H1750,'[1]팀별 출판사'!A:B,2,0)</f>
        <v>소설1팀</v>
      </c>
      <c r="W1750" s="6">
        <f t="shared" si="54"/>
        <v>0</v>
      </c>
      <c r="X1750" s="6">
        <f t="shared" si="55"/>
        <v>0</v>
      </c>
    </row>
    <row r="1751" spans="1:24" x14ac:dyDescent="0.3">
      <c r="A1751" t="s">
        <v>2754</v>
      </c>
      <c r="B1751" t="s">
        <v>2773</v>
      </c>
      <c r="C1751" t="s">
        <v>23</v>
      </c>
      <c r="D1751" t="s">
        <v>24</v>
      </c>
      <c r="E1751" t="s">
        <v>25</v>
      </c>
      <c r="F1751">
        <v>1</v>
      </c>
      <c r="G1751">
        <v>9791133198924</v>
      </c>
      <c r="H1751" t="s">
        <v>26</v>
      </c>
      <c r="I1751" t="s">
        <v>96</v>
      </c>
      <c r="J1751" t="s">
        <v>97</v>
      </c>
      <c r="K1751" t="s">
        <v>29</v>
      </c>
      <c r="L1751">
        <v>0</v>
      </c>
      <c r="M1751" t="s">
        <v>29</v>
      </c>
      <c r="N1751">
        <v>0</v>
      </c>
      <c r="O1751">
        <v>0</v>
      </c>
      <c r="P1751" t="s">
        <v>30</v>
      </c>
      <c r="Q1751" s="2">
        <v>0.7</v>
      </c>
      <c r="R1751">
        <v>0</v>
      </c>
      <c r="V1751" t="str">
        <f>VLOOKUP(H1751,'[1]팀별 출판사'!A:B,2,0)</f>
        <v>소설1팀</v>
      </c>
      <c r="W1751" s="6">
        <f t="shared" si="54"/>
        <v>0</v>
      </c>
      <c r="X1751" s="6">
        <f t="shared" si="55"/>
        <v>0</v>
      </c>
    </row>
    <row r="1752" spans="1:24" x14ac:dyDescent="0.3">
      <c r="A1752" t="s">
        <v>2754</v>
      </c>
      <c r="B1752" t="s">
        <v>2774</v>
      </c>
      <c r="C1752" t="s">
        <v>23</v>
      </c>
      <c r="D1752" t="s">
        <v>24</v>
      </c>
      <c r="E1752" t="s">
        <v>25</v>
      </c>
      <c r="F1752">
        <v>1</v>
      </c>
      <c r="G1752">
        <v>9791136958730</v>
      </c>
      <c r="H1752" t="s">
        <v>79</v>
      </c>
      <c r="I1752" t="s">
        <v>2775</v>
      </c>
      <c r="J1752" t="s">
        <v>81</v>
      </c>
      <c r="K1752" t="s">
        <v>29</v>
      </c>
      <c r="L1752" s="1">
        <v>3200</v>
      </c>
      <c r="M1752" t="s">
        <v>29</v>
      </c>
      <c r="N1752" s="1">
        <v>3200</v>
      </c>
      <c r="O1752" s="1">
        <v>3200</v>
      </c>
      <c r="P1752" t="s">
        <v>30</v>
      </c>
      <c r="Q1752" s="2">
        <v>0.7</v>
      </c>
      <c r="R1752" s="1">
        <v>2240</v>
      </c>
      <c r="S1752" t="s">
        <v>29</v>
      </c>
      <c r="T1752" s="1">
        <v>2240</v>
      </c>
      <c r="V1752" t="str">
        <f>VLOOKUP(H1752,'[1]팀별 출판사'!A:B,2,0)</f>
        <v>소설1팀</v>
      </c>
      <c r="W1752" s="6">
        <f t="shared" si="54"/>
        <v>0</v>
      </c>
      <c r="X1752" s="6">
        <f t="shared" si="55"/>
        <v>2240</v>
      </c>
    </row>
    <row r="1753" spans="1:24" x14ac:dyDescent="0.3">
      <c r="A1753" t="s">
        <v>2754</v>
      </c>
      <c r="B1753" t="s">
        <v>2776</v>
      </c>
      <c r="C1753" t="s">
        <v>23</v>
      </c>
      <c r="D1753" t="s">
        <v>24</v>
      </c>
      <c r="E1753" t="s">
        <v>25</v>
      </c>
      <c r="F1753">
        <v>1</v>
      </c>
      <c r="G1753">
        <v>9791133185702</v>
      </c>
      <c r="H1753" t="s">
        <v>26</v>
      </c>
      <c r="I1753" t="s">
        <v>2777</v>
      </c>
      <c r="J1753" t="s">
        <v>62</v>
      </c>
      <c r="K1753" t="s">
        <v>29</v>
      </c>
      <c r="L1753">
        <v>0</v>
      </c>
      <c r="M1753" t="s">
        <v>29</v>
      </c>
      <c r="N1753">
        <v>0</v>
      </c>
      <c r="O1753">
        <v>0</v>
      </c>
      <c r="P1753" t="s">
        <v>30</v>
      </c>
      <c r="Q1753" s="2">
        <v>0.7</v>
      </c>
      <c r="R1753">
        <v>0</v>
      </c>
      <c r="V1753" t="str">
        <f>VLOOKUP(H1753,'[1]팀별 출판사'!A:B,2,0)</f>
        <v>소설1팀</v>
      </c>
      <c r="W1753" s="6">
        <f t="shared" si="54"/>
        <v>0</v>
      </c>
      <c r="X1753" s="6">
        <f t="shared" si="55"/>
        <v>0</v>
      </c>
    </row>
    <row r="1754" spans="1:24" x14ac:dyDescent="0.3">
      <c r="A1754" t="s">
        <v>2754</v>
      </c>
      <c r="B1754" t="s">
        <v>2778</v>
      </c>
      <c r="C1754" t="s">
        <v>23</v>
      </c>
      <c r="D1754" t="s">
        <v>24</v>
      </c>
      <c r="E1754" t="s">
        <v>25</v>
      </c>
      <c r="F1754">
        <v>1</v>
      </c>
      <c r="G1754">
        <v>9791172928025</v>
      </c>
      <c r="H1754" t="s">
        <v>36</v>
      </c>
      <c r="I1754" t="s">
        <v>2779</v>
      </c>
      <c r="J1754" t="s">
        <v>2780</v>
      </c>
      <c r="K1754" t="s">
        <v>29</v>
      </c>
      <c r="L1754" s="1">
        <v>3300</v>
      </c>
      <c r="M1754" t="s">
        <v>70</v>
      </c>
      <c r="N1754">
        <v>2.2799999999999998</v>
      </c>
      <c r="O1754">
        <v>2.2799999999999998</v>
      </c>
      <c r="P1754" t="s">
        <v>71</v>
      </c>
      <c r="Q1754" s="2">
        <v>0.7</v>
      </c>
      <c r="R1754">
        <v>1.6</v>
      </c>
      <c r="S1754" t="s">
        <v>29</v>
      </c>
      <c r="T1754" s="1">
        <v>2312</v>
      </c>
      <c r="U1754" s="3">
        <v>1444.46021</v>
      </c>
      <c r="V1754" t="str">
        <f>VLOOKUP(H1754,'[1]팀별 출판사'!A:B,2,0)</f>
        <v>소설2팀</v>
      </c>
      <c r="W1754" s="6">
        <f t="shared" si="54"/>
        <v>693.6</v>
      </c>
      <c r="X1754" s="6">
        <f t="shared" si="55"/>
        <v>1618.4</v>
      </c>
    </row>
    <row r="1755" spans="1:24" x14ac:dyDescent="0.3">
      <c r="A1755" t="s">
        <v>2754</v>
      </c>
      <c r="B1755" t="s">
        <v>2781</v>
      </c>
      <c r="C1755" t="s">
        <v>23</v>
      </c>
      <c r="D1755" t="s">
        <v>24</v>
      </c>
      <c r="E1755" t="s">
        <v>25</v>
      </c>
      <c r="F1755">
        <v>1</v>
      </c>
      <c r="G1755">
        <v>9791136904881</v>
      </c>
      <c r="H1755" t="s">
        <v>26</v>
      </c>
      <c r="I1755" t="s">
        <v>2782</v>
      </c>
      <c r="J1755" t="s">
        <v>166</v>
      </c>
      <c r="K1755" t="s">
        <v>29</v>
      </c>
      <c r="L1755" s="1">
        <v>3200</v>
      </c>
      <c r="M1755" t="s">
        <v>29</v>
      </c>
      <c r="N1755" s="1">
        <v>3200</v>
      </c>
      <c r="O1755" s="1">
        <v>3200</v>
      </c>
      <c r="P1755" t="s">
        <v>30</v>
      </c>
      <c r="Q1755" s="2">
        <v>0.7</v>
      </c>
      <c r="R1755" s="1">
        <v>2240</v>
      </c>
      <c r="S1755" t="s">
        <v>29</v>
      </c>
      <c r="T1755" s="1">
        <v>2240</v>
      </c>
      <c r="V1755" t="str">
        <f>VLOOKUP(H1755,'[1]팀별 출판사'!A:B,2,0)</f>
        <v>소설1팀</v>
      </c>
      <c r="W1755" s="6">
        <f t="shared" si="54"/>
        <v>0</v>
      </c>
      <c r="X1755" s="6">
        <f t="shared" si="55"/>
        <v>2240</v>
      </c>
    </row>
    <row r="1756" spans="1:24" x14ac:dyDescent="0.3">
      <c r="A1756" t="s">
        <v>2754</v>
      </c>
      <c r="B1756" t="s">
        <v>2783</v>
      </c>
      <c r="C1756" t="s">
        <v>23</v>
      </c>
      <c r="D1756" t="s">
        <v>24</v>
      </c>
      <c r="E1756" t="s">
        <v>25</v>
      </c>
      <c r="F1756">
        <v>1</v>
      </c>
      <c r="G1756">
        <v>9791170100546</v>
      </c>
      <c r="H1756" t="s">
        <v>67</v>
      </c>
      <c r="I1756" t="s">
        <v>428</v>
      </c>
      <c r="J1756" t="s">
        <v>429</v>
      </c>
      <c r="K1756" t="s">
        <v>29</v>
      </c>
      <c r="L1756">
        <v>0</v>
      </c>
      <c r="M1756" t="s">
        <v>29</v>
      </c>
      <c r="N1756">
        <v>0</v>
      </c>
      <c r="O1756">
        <v>0</v>
      </c>
      <c r="P1756" t="s">
        <v>30</v>
      </c>
      <c r="Q1756" s="2">
        <v>0.7</v>
      </c>
      <c r="R1756">
        <v>0</v>
      </c>
      <c r="V1756" t="str">
        <f>VLOOKUP(H1756,'[1]팀별 출판사'!A:B,2,0)</f>
        <v>소설1팀</v>
      </c>
      <c r="W1756" s="6">
        <f t="shared" si="54"/>
        <v>0</v>
      </c>
      <c r="X1756" s="6">
        <f t="shared" si="55"/>
        <v>0</v>
      </c>
    </row>
    <row r="1757" spans="1:24" x14ac:dyDescent="0.3">
      <c r="A1757" t="s">
        <v>2754</v>
      </c>
      <c r="B1757" t="s">
        <v>2784</v>
      </c>
      <c r="C1757" t="s">
        <v>23</v>
      </c>
      <c r="D1757" t="s">
        <v>24</v>
      </c>
      <c r="E1757" t="s">
        <v>25</v>
      </c>
      <c r="F1757">
        <v>1</v>
      </c>
      <c r="G1757" t="s">
        <v>1001</v>
      </c>
      <c r="H1757" t="s">
        <v>32</v>
      </c>
      <c r="I1757" t="s">
        <v>2785</v>
      </c>
      <c r="J1757" t="s">
        <v>166</v>
      </c>
      <c r="K1757" t="s">
        <v>29</v>
      </c>
      <c r="L1757">
        <v>0</v>
      </c>
      <c r="M1757" t="s">
        <v>29</v>
      </c>
      <c r="N1757">
        <v>0</v>
      </c>
      <c r="O1757">
        <v>0</v>
      </c>
      <c r="P1757" t="s">
        <v>30</v>
      </c>
      <c r="Q1757" s="2">
        <v>0.7</v>
      </c>
      <c r="R1757">
        <v>0</v>
      </c>
      <c r="V1757" t="str">
        <f>VLOOKUP(H1757,'[1]팀별 출판사'!A:B,2,0)</f>
        <v>소설1팀</v>
      </c>
      <c r="W1757" s="6">
        <f t="shared" si="54"/>
        <v>0</v>
      </c>
      <c r="X1757" s="6">
        <f t="shared" si="55"/>
        <v>0</v>
      </c>
    </row>
    <row r="1758" spans="1:24" x14ac:dyDescent="0.3">
      <c r="A1758" t="s">
        <v>2754</v>
      </c>
      <c r="B1758" t="s">
        <v>2786</v>
      </c>
      <c r="C1758" t="s">
        <v>23</v>
      </c>
      <c r="D1758" t="s">
        <v>24</v>
      </c>
      <c r="E1758" t="s">
        <v>25</v>
      </c>
      <c r="F1758">
        <v>1</v>
      </c>
      <c r="G1758" t="s">
        <v>2787</v>
      </c>
      <c r="H1758" t="s">
        <v>208</v>
      </c>
      <c r="I1758" t="s">
        <v>2788</v>
      </c>
      <c r="J1758" t="s">
        <v>166</v>
      </c>
      <c r="K1758" t="s">
        <v>29</v>
      </c>
      <c r="L1758">
        <v>0</v>
      </c>
      <c r="M1758" t="s">
        <v>29</v>
      </c>
      <c r="N1758">
        <v>0</v>
      </c>
      <c r="O1758">
        <v>0</v>
      </c>
      <c r="P1758" t="s">
        <v>30</v>
      </c>
      <c r="Q1758" s="2">
        <v>0.7</v>
      </c>
      <c r="R1758">
        <v>0</v>
      </c>
      <c r="V1758" t="str">
        <f>VLOOKUP(H1758,'[1]팀별 출판사'!A:B,2,0)</f>
        <v>소설1팀</v>
      </c>
      <c r="W1758" s="6">
        <f t="shared" si="54"/>
        <v>0</v>
      </c>
      <c r="X1758" s="6">
        <f t="shared" si="55"/>
        <v>0</v>
      </c>
    </row>
    <row r="1759" spans="1:24" x14ac:dyDescent="0.3">
      <c r="A1759" t="s">
        <v>2754</v>
      </c>
      <c r="B1759" t="s">
        <v>2789</v>
      </c>
      <c r="C1759" t="s">
        <v>23</v>
      </c>
      <c r="D1759" t="s">
        <v>24</v>
      </c>
      <c r="E1759" t="s">
        <v>25</v>
      </c>
      <c r="F1759">
        <v>1</v>
      </c>
      <c r="G1759">
        <v>9791136910974</v>
      </c>
      <c r="H1759" t="s">
        <v>26</v>
      </c>
      <c r="I1759" t="s">
        <v>568</v>
      </c>
      <c r="J1759" t="s">
        <v>160</v>
      </c>
      <c r="K1759" t="s">
        <v>29</v>
      </c>
      <c r="L1759">
        <v>0</v>
      </c>
      <c r="M1759" t="s">
        <v>29</v>
      </c>
      <c r="N1759">
        <v>0</v>
      </c>
      <c r="O1759">
        <v>0</v>
      </c>
      <c r="P1759" t="s">
        <v>30</v>
      </c>
      <c r="Q1759" s="2">
        <v>0.7</v>
      </c>
      <c r="R1759">
        <v>0</v>
      </c>
      <c r="V1759" t="str">
        <f>VLOOKUP(H1759,'[1]팀별 출판사'!A:B,2,0)</f>
        <v>소설1팀</v>
      </c>
      <c r="W1759" s="6">
        <f t="shared" si="54"/>
        <v>0</v>
      </c>
      <c r="X1759" s="6">
        <f t="shared" si="55"/>
        <v>0</v>
      </c>
    </row>
    <row r="1760" spans="1:24" x14ac:dyDescent="0.3">
      <c r="A1760" t="s">
        <v>2754</v>
      </c>
      <c r="B1760" t="s">
        <v>2790</v>
      </c>
      <c r="C1760" t="s">
        <v>23</v>
      </c>
      <c r="D1760" t="s">
        <v>24</v>
      </c>
      <c r="E1760" t="s">
        <v>25</v>
      </c>
      <c r="F1760">
        <v>1</v>
      </c>
      <c r="G1760">
        <v>9791136904898</v>
      </c>
      <c r="H1760" t="s">
        <v>26</v>
      </c>
      <c r="I1760" t="s">
        <v>2791</v>
      </c>
      <c r="J1760" t="s">
        <v>166</v>
      </c>
      <c r="K1760" t="s">
        <v>29</v>
      </c>
      <c r="L1760" s="1">
        <v>3200</v>
      </c>
      <c r="M1760" t="s">
        <v>29</v>
      </c>
      <c r="N1760" s="1">
        <v>3200</v>
      </c>
      <c r="O1760" s="1">
        <v>3200</v>
      </c>
      <c r="P1760" t="s">
        <v>30</v>
      </c>
      <c r="Q1760" s="2">
        <v>0.7</v>
      </c>
      <c r="R1760" s="1">
        <v>2240</v>
      </c>
      <c r="S1760" t="s">
        <v>29</v>
      </c>
      <c r="T1760" s="1">
        <v>2240</v>
      </c>
      <c r="V1760" t="str">
        <f>VLOOKUP(H1760,'[1]팀별 출판사'!A:B,2,0)</f>
        <v>소설1팀</v>
      </c>
      <c r="W1760" s="6">
        <f t="shared" si="54"/>
        <v>0</v>
      </c>
      <c r="X1760" s="6">
        <f t="shared" si="55"/>
        <v>2240</v>
      </c>
    </row>
    <row r="1761" spans="1:24" x14ac:dyDescent="0.3">
      <c r="A1761" t="s">
        <v>2754</v>
      </c>
      <c r="B1761" t="s">
        <v>2792</v>
      </c>
      <c r="C1761" t="s">
        <v>23</v>
      </c>
      <c r="D1761" t="s">
        <v>24</v>
      </c>
      <c r="E1761" t="s">
        <v>25</v>
      </c>
      <c r="F1761">
        <v>1</v>
      </c>
      <c r="G1761">
        <v>9791136904904</v>
      </c>
      <c r="H1761" t="s">
        <v>26</v>
      </c>
      <c r="I1761" t="s">
        <v>2793</v>
      </c>
      <c r="J1761" t="s">
        <v>166</v>
      </c>
      <c r="K1761" t="s">
        <v>29</v>
      </c>
      <c r="L1761" s="1">
        <v>3200</v>
      </c>
      <c r="M1761" t="s">
        <v>29</v>
      </c>
      <c r="N1761" s="1">
        <v>3200</v>
      </c>
      <c r="O1761" s="1">
        <v>3200</v>
      </c>
      <c r="P1761" t="s">
        <v>30</v>
      </c>
      <c r="Q1761" s="2">
        <v>0.7</v>
      </c>
      <c r="R1761" s="1">
        <v>2240</v>
      </c>
      <c r="S1761" t="s">
        <v>29</v>
      </c>
      <c r="T1761" s="1">
        <v>2240</v>
      </c>
      <c r="V1761" t="str">
        <f>VLOOKUP(H1761,'[1]팀별 출판사'!A:B,2,0)</f>
        <v>소설1팀</v>
      </c>
      <c r="W1761" s="6">
        <f t="shared" si="54"/>
        <v>0</v>
      </c>
      <c r="X1761" s="6">
        <f t="shared" si="55"/>
        <v>2240</v>
      </c>
    </row>
    <row r="1762" spans="1:24" x14ac:dyDescent="0.3">
      <c r="A1762" t="s">
        <v>2754</v>
      </c>
      <c r="B1762" t="s">
        <v>2794</v>
      </c>
      <c r="C1762" t="s">
        <v>23</v>
      </c>
      <c r="D1762" t="s">
        <v>24</v>
      </c>
      <c r="E1762" t="s">
        <v>25</v>
      </c>
      <c r="F1762">
        <v>1</v>
      </c>
      <c r="G1762">
        <v>9791136926814</v>
      </c>
      <c r="H1762" t="s">
        <v>26</v>
      </c>
      <c r="I1762" t="s">
        <v>2095</v>
      </c>
      <c r="J1762" t="s">
        <v>62</v>
      </c>
      <c r="K1762" t="s">
        <v>29</v>
      </c>
      <c r="L1762" s="1">
        <v>3200</v>
      </c>
      <c r="M1762" t="s">
        <v>29</v>
      </c>
      <c r="N1762" s="1">
        <v>3200</v>
      </c>
      <c r="O1762" s="1">
        <v>3200</v>
      </c>
      <c r="P1762" t="s">
        <v>30</v>
      </c>
      <c r="Q1762" s="2">
        <v>0.7</v>
      </c>
      <c r="R1762" s="1">
        <v>2240</v>
      </c>
      <c r="S1762" t="s">
        <v>29</v>
      </c>
      <c r="T1762" s="1">
        <v>2240</v>
      </c>
      <c r="V1762" t="str">
        <f>VLOOKUP(H1762,'[1]팀별 출판사'!A:B,2,0)</f>
        <v>소설1팀</v>
      </c>
      <c r="W1762" s="6">
        <f t="shared" si="54"/>
        <v>0</v>
      </c>
      <c r="X1762" s="6">
        <f t="shared" si="55"/>
        <v>2240</v>
      </c>
    </row>
    <row r="1763" spans="1:24" x14ac:dyDescent="0.3">
      <c r="A1763" t="s">
        <v>2754</v>
      </c>
      <c r="B1763" t="s">
        <v>2795</v>
      </c>
      <c r="C1763" t="s">
        <v>23</v>
      </c>
      <c r="D1763" t="s">
        <v>24</v>
      </c>
      <c r="E1763" t="s">
        <v>25</v>
      </c>
      <c r="F1763">
        <v>1</v>
      </c>
      <c r="G1763">
        <v>9791157532292</v>
      </c>
      <c r="H1763" t="s">
        <v>32</v>
      </c>
      <c r="I1763" t="s">
        <v>2796</v>
      </c>
      <c r="J1763" t="s">
        <v>112</v>
      </c>
      <c r="K1763" t="s">
        <v>29</v>
      </c>
      <c r="L1763" s="1">
        <v>3200</v>
      </c>
      <c r="M1763" t="s">
        <v>29</v>
      </c>
      <c r="N1763" s="1">
        <v>3200</v>
      </c>
      <c r="O1763" s="1">
        <v>3200</v>
      </c>
      <c r="P1763" t="s">
        <v>30</v>
      </c>
      <c r="Q1763" s="2">
        <v>0.7</v>
      </c>
      <c r="R1763" s="1">
        <v>2240</v>
      </c>
      <c r="S1763" t="s">
        <v>29</v>
      </c>
      <c r="T1763" s="1">
        <v>2240</v>
      </c>
      <c r="V1763" t="str">
        <f>VLOOKUP(H1763,'[1]팀별 출판사'!A:B,2,0)</f>
        <v>소설1팀</v>
      </c>
      <c r="W1763" s="6">
        <f t="shared" si="54"/>
        <v>0</v>
      </c>
      <c r="X1763" s="6">
        <f t="shared" si="55"/>
        <v>2240</v>
      </c>
    </row>
    <row r="1764" spans="1:24" x14ac:dyDescent="0.3">
      <c r="A1764" t="s">
        <v>2754</v>
      </c>
      <c r="B1764" t="s">
        <v>2797</v>
      </c>
      <c r="C1764" t="s">
        <v>23</v>
      </c>
      <c r="D1764" t="s">
        <v>24</v>
      </c>
      <c r="E1764" t="s">
        <v>25</v>
      </c>
      <c r="F1764">
        <v>1</v>
      </c>
      <c r="G1764">
        <v>9791133152759</v>
      </c>
      <c r="H1764" t="s">
        <v>32</v>
      </c>
      <c r="I1764" t="s">
        <v>809</v>
      </c>
      <c r="J1764" t="s">
        <v>810</v>
      </c>
      <c r="K1764" t="s">
        <v>29</v>
      </c>
      <c r="L1764">
        <v>0</v>
      </c>
      <c r="M1764" t="s">
        <v>29</v>
      </c>
      <c r="N1764">
        <v>0</v>
      </c>
      <c r="O1764">
        <v>0</v>
      </c>
      <c r="P1764" t="s">
        <v>30</v>
      </c>
      <c r="Q1764" s="2">
        <v>0.7</v>
      </c>
      <c r="R1764">
        <v>0</v>
      </c>
      <c r="V1764" t="str">
        <f>VLOOKUP(H1764,'[1]팀별 출판사'!A:B,2,0)</f>
        <v>소설1팀</v>
      </c>
      <c r="W1764" s="6">
        <f t="shared" si="54"/>
        <v>0</v>
      </c>
      <c r="X1764" s="6">
        <f t="shared" si="55"/>
        <v>0</v>
      </c>
    </row>
    <row r="1765" spans="1:24" x14ac:dyDescent="0.3">
      <c r="A1765" t="s">
        <v>2754</v>
      </c>
      <c r="B1765" t="s">
        <v>2798</v>
      </c>
      <c r="C1765" t="s">
        <v>23</v>
      </c>
      <c r="D1765" t="s">
        <v>24</v>
      </c>
      <c r="E1765" t="s">
        <v>25</v>
      </c>
      <c r="F1765">
        <v>1</v>
      </c>
      <c r="G1765">
        <v>9791133171453</v>
      </c>
      <c r="H1765" t="s">
        <v>26</v>
      </c>
      <c r="I1765" t="s">
        <v>573</v>
      </c>
      <c r="J1765" t="s">
        <v>287</v>
      </c>
      <c r="K1765" t="s">
        <v>29</v>
      </c>
      <c r="L1765">
        <v>0</v>
      </c>
      <c r="M1765" t="s">
        <v>29</v>
      </c>
      <c r="N1765">
        <v>0</v>
      </c>
      <c r="O1765">
        <v>0</v>
      </c>
      <c r="P1765" t="s">
        <v>30</v>
      </c>
      <c r="Q1765" s="2">
        <v>0.7</v>
      </c>
      <c r="R1765">
        <v>0</v>
      </c>
      <c r="V1765" t="str">
        <f>VLOOKUP(H1765,'[1]팀별 출판사'!A:B,2,0)</f>
        <v>소설1팀</v>
      </c>
      <c r="W1765" s="6">
        <f t="shared" si="54"/>
        <v>0</v>
      </c>
      <c r="X1765" s="6">
        <f t="shared" si="55"/>
        <v>0</v>
      </c>
    </row>
    <row r="1766" spans="1:24" x14ac:dyDescent="0.3">
      <c r="A1766" t="s">
        <v>2754</v>
      </c>
      <c r="B1766" t="s">
        <v>2799</v>
      </c>
      <c r="C1766" t="s">
        <v>23</v>
      </c>
      <c r="D1766" t="s">
        <v>24</v>
      </c>
      <c r="E1766" t="s">
        <v>25</v>
      </c>
      <c r="F1766">
        <v>1</v>
      </c>
      <c r="G1766">
        <v>9791136931375</v>
      </c>
      <c r="H1766" t="s">
        <v>32</v>
      </c>
      <c r="I1766" t="s">
        <v>189</v>
      </c>
      <c r="J1766" t="s">
        <v>46</v>
      </c>
      <c r="K1766" t="s">
        <v>29</v>
      </c>
      <c r="L1766">
        <v>0</v>
      </c>
      <c r="M1766" t="s">
        <v>152</v>
      </c>
      <c r="N1766">
        <v>0</v>
      </c>
      <c r="O1766">
        <v>0</v>
      </c>
      <c r="P1766" t="s">
        <v>153</v>
      </c>
      <c r="Q1766" s="2">
        <v>0.7</v>
      </c>
      <c r="R1766">
        <v>0</v>
      </c>
      <c r="V1766" t="str">
        <f>VLOOKUP(H1766,'[1]팀별 출판사'!A:B,2,0)</f>
        <v>소설1팀</v>
      </c>
      <c r="W1766" s="6">
        <f t="shared" si="54"/>
        <v>0</v>
      </c>
      <c r="X1766" s="6">
        <f t="shared" si="55"/>
        <v>0</v>
      </c>
    </row>
    <row r="1767" spans="1:24" x14ac:dyDescent="0.3">
      <c r="A1767" t="s">
        <v>2754</v>
      </c>
      <c r="B1767" t="s">
        <v>2800</v>
      </c>
      <c r="C1767" t="s">
        <v>23</v>
      </c>
      <c r="D1767" t="s">
        <v>24</v>
      </c>
      <c r="E1767" t="s">
        <v>25</v>
      </c>
      <c r="F1767">
        <v>1</v>
      </c>
      <c r="G1767">
        <v>9791170106715</v>
      </c>
      <c r="H1767" t="s">
        <v>67</v>
      </c>
      <c r="I1767" t="s">
        <v>68</v>
      </c>
      <c r="J1767" t="s">
        <v>69</v>
      </c>
      <c r="K1767" t="s">
        <v>29</v>
      </c>
      <c r="L1767">
        <v>0</v>
      </c>
      <c r="M1767" t="s">
        <v>29</v>
      </c>
      <c r="N1767">
        <v>0</v>
      </c>
      <c r="O1767">
        <v>0</v>
      </c>
      <c r="P1767" t="s">
        <v>30</v>
      </c>
      <c r="Q1767" s="2">
        <v>0.7</v>
      </c>
      <c r="R1767">
        <v>0</v>
      </c>
      <c r="V1767" t="str">
        <f>VLOOKUP(H1767,'[1]팀별 출판사'!A:B,2,0)</f>
        <v>소설1팀</v>
      </c>
      <c r="W1767" s="6">
        <f t="shared" si="54"/>
        <v>0</v>
      </c>
      <c r="X1767" s="6">
        <f t="shared" si="55"/>
        <v>0</v>
      </c>
    </row>
    <row r="1768" spans="1:24" x14ac:dyDescent="0.3">
      <c r="A1768" t="s">
        <v>2754</v>
      </c>
      <c r="B1768" t="s">
        <v>2801</v>
      </c>
      <c r="C1768" t="s">
        <v>23</v>
      </c>
      <c r="D1768" t="s">
        <v>24</v>
      </c>
      <c r="E1768" t="s">
        <v>25</v>
      </c>
      <c r="F1768">
        <v>1</v>
      </c>
      <c r="G1768">
        <v>9791133101870</v>
      </c>
      <c r="H1768" t="s">
        <v>32</v>
      </c>
      <c r="I1768" t="s">
        <v>2802</v>
      </c>
      <c r="J1768" t="s">
        <v>160</v>
      </c>
      <c r="K1768" t="s">
        <v>29</v>
      </c>
      <c r="L1768" s="1">
        <v>3000</v>
      </c>
      <c r="M1768" t="s">
        <v>29</v>
      </c>
      <c r="N1768" s="1">
        <v>3000</v>
      </c>
      <c r="O1768" s="1">
        <v>3000</v>
      </c>
      <c r="P1768" t="s">
        <v>30</v>
      </c>
      <c r="Q1768" s="2">
        <v>0.7</v>
      </c>
      <c r="R1768" s="1">
        <v>2100</v>
      </c>
      <c r="S1768" t="s">
        <v>29</v>
      </c>
      <c r="T1768" s="1">
        <v>2100</v>
      </c>
      <c r="V1768" t="str">
        <f>VLOOKUP(H1768,'[1]팀별 출판사'!A:B,2,0)</f>
        <v>소설1팀</v>
      </c>
      <c r="W1768" s="6">
        <f t="shared" si="54"/>
        <v>0</v>
      </c>
      <c r="X1768" s="6">
        <f t="shared" si="55"/>
        <v>2100</v>
      </c>
    </row>
    <row r="1769" spans="1:24" x14ac:dyDescent="0.3">
      <c r="A1769" t="s">
        <v>2754</v>
      </c>
      <c r="B1769" t="s">
        <v>2803</v>
      </c>
      <c r="C1769" t="s">
        <v>23</v>
      </c>
      <c r="D1769" t="s">
        <v>24</v>
      </c>
      <c r="E1769" t="s">
        <v>25</v>
      </c>
      <c r="F1769">
        <v>1</v>
      </c>
      <c r="G1769">
        <v>9791136930811</v>
      </c>
      <c r="H1769" t="s">
        <v>32</v>
      </c>
      <c r="I1769" t="s">
        <v>1011</v>
      </c>
      <c r="J1769" t="s">
        <v>34</v>
      </c>
      <c r="K1769" t="s">
        <v>29</v>
      </c>
      <c r="L1769">
        <v>0</v>
      </c>
      <c r="M1769" t="s">
        <v>29</v>
      </c>
      <c r="N1769">
        <v>0</v>
      </c>
      <c r="O1769">
        <v>0</v>
      </c>
      <c r="P1769" t="s">
        <v>30</v>
      </c>
      <c r="Q1769" s="2">
        <v>0.7</v>
      </c>
      <c r="R1769">
        <v>0</v>
      </c>
      <c r="V1769" t="str">
        <f>VLOOKUP(H1769,'[1]팀별 출판사'!A:B,2,0)</f>
        <v>소설1팀</v>
      </c>
      <c r="W1769" s="6">
        <f t="shared" si="54"/>
        <v>0</v>
      </c>
      <c r="X1769" s="6">
        <f t="shared" si="55"/>
        <v>0</v>
      </c>
    </row>
    <row r="1770" spans="1:24" x14ac:dyDescent="0.3">
      <c r="A1770" t="s">
        <v>2754</v>
      </c>
      <c r="B1770" t="s">
        <v>2804</v>
      </c>
      <c r="C1770" t="s">
        <v>23</v>
      </c>
      <c r="D1770" t="s">
        <v>24</v>
      </c>
      <c r="E1770" t="s">
        <v>25</v>
      </c>
      <c r="F1770">
        <v>1</v>
      </c>
      <c r="G1770">
        <v>9791133141913</v>
      </c>
      <c r="H1770" t="s">
        <v>32</v>
      </c>
      <c r="I1770" t="s">
        <v>510</v>
      </c>
      <c r="J1770" t="s">
        <v>511</v>
      </c>
      <c r="K1770" t="s">
        <v>29</v>
      </c>
      <c r="L1770">
        <v>0</v>
      </c>
      <c r="M1770" t="s">
        <v>29</v>
      </c>
      <c r="N1770">
        <v>0</v>
      </c>
      <c r="O1770">
        <v>0</v>
      </c>
      <c r="P1770" t="s">
        <v>30</v>
      </c>
      <c r="Q1770" s="2">
        <v>0.7</v>
      </c>
      <c r="R1770">
        <v>0</v>
      </c>
      <c r="V1770" t="str">
        <f>VLOOKUP(H1770,'[1]팀별 출판사'!A:B,2,0)</f>
        <v>소설1팀</v>
      </c>
      <c r="W1770" s="6">
        <f t="shared" si="54"/>
        <v>0</v>
      </c>
      <c r="X1770" s="6">
        <f t="shared" si="55"/>
        <v>0</v>
      </c>
    </row>
    <row r="1771" spans="1:24" x14ac:dyDescent="0.3">
      <c r="A1771" t="s">
        <v>2754</v>
      </c>
      <c r="B1771" t="s">
        <v>2805</v>
      </c>
      <c r="C1771" t="s">
        <v>23</v>
      </c>
      <c r="D1771" t="s">
        <v>24</v>
      </c>
      <c r="E1771" t="s">
        <v>25</v>
      </c>
      <c r="F1771">
        <v>1</v>
      </c>
      <c r="G1771">
        <v>9791136946775</v>
      </c>
      <c r="H1771" t="s">
        <v>26</v>
      </c>
      <c r="I1771" t="s">
        <v>238</v>
      </c>
      <c r="J1771" t="s">
        <v>28</v>
      </c>
      <c r="K1771" t="s">
        <v>29</v>
      </c>
      <c r="L1771">
        <v>0</v>
      </c>
      <c r="M1771" t="s">
        <v>29</v>
      </c>
      <c r="N1771">
        <v>0</v>
      </c>
      <c r="O1771">
        <v>0</v>
      </c>
      <c r="P1771" t="s">
        <v>30</v>
      </c>
      <c r="Q1771" s="2">
        <v>0.7</v>
      </c>
      <c r="R1771">
        <v>0</v>
      </c>
      <c r="V1771" t="str">
        <f>VLOOKUP(H1771,'[1]팀별 출판사'!A:B,2,0)</f>
        <v>소설1팀</v>
      </c>
      <c r="W1771" s="6">
        <f t="shared" si="54"/>
        <v>0</v>
      </c>
      <c r="X1771" s="6">
        <f t="shared" si="55"/>
        <v>0</v>
      </c>
    </row>
    <row r="1772" spans="1:24" x14ac:dyDescent="0.3">
      <c r="A1772" t="s">
        <v>2754</v>
      </c>
      <c r="B1772" t="s">
        <v>2806</v>
      </c>
      <c r="C1772" t="s">
        <v>23</v>
      </c>
      <c r="D1772" t="s">
        <v>24</v>
      </c>
      <c r="E1772" t="s">
        <v>25</v>
      </c>
      <c r="F1772">
        <v>1</v>
      </c>
      <c r="G1772">
        <v>9791133156474</v>
      </c>
      <c r="H1772" t="s">
        <v>32</v>
      </c>
      <c r="I1772" t="s">
        <v>1215</v>
      </c>
      <c r="J1772" t="s">
        <v>51</v>
      </c>
      <c r="K1772" t="s">
        <v>29</v>
      </c>
      <c r="L1772">
        <v>0</v>
      </c>
      <c r="M1772" t="s">
        <v>29</v>
      </c>
      <c r="N1772">
        <v>0</v>
      </c>
      <c r="O1772">
        <v>0</v>
      </c>
      <c r="P1772" t="s">
        <v>30</v>
      </c>
      <c r="Q1772" s="2">
        <v>0.7</v>
      </c>
      <c r="R1772">
        <v>0</v>
      </c>
      <c r="V1772" t="str">
        <f>VLOOKUP(H1772,'[1]팀별 출판사'!A:B,2,0)</f>
        <v>소설1팀</v>
      </c>
      <c r="W1772" s="6">
        <f t="shared" si="54"/>
        <v>0</v>
      </c>
      <c r="X1772" s="6">
        <f t="shared" si="55"/>
        <v>0</v>
      </c>
    </row>
    <row r="1773" spans="1:24" x14ac:dyDescent="0.3">
      <c r="A1773" t="s">
        <v>2754</v>
      </c>
      <c r="B1773" t="s">
        <v>2807</v>
      </c>
      <c r="C1773" t="s">
        <v>23</v>
      </c>
      <c r="D1773" t="s">
        <v>24</v>
      </c>
      <c r="E1773" t="s">
        <v>25</v>
      </c>
      <c r="F1773">
        <v>1</v>
      </c>
      <c r="G1773">
        <v>9791136932594</v>
      </c>
      <c r="H1773" t="s">
        <v>32</v>
      </c>
      <c r="I1773" t="s">
        <v>2808</v>
      </c>
      <c r="J1773" t="s">
        <v>1082</v>
      </c>
      <c r="K1773" t="s">
        <v>29</v>
      </c>
      <c r="L1773">
        <v>0</v>
      </c>
      <c r="M1773" t="s">
        <v>29</v>
      </c>
      <c r="N1773">
        <v>0</v>
      </c>
      <c r="O1773">
        <v>0</v>
      </c>
      <c r="P1773" t="s">
        <v>30</v>
      </c>
      <c r="Q1773" s="2">
        <v>0.7</v>
      </c>
      <c r="R1773">
        <v>0</v>
      </c>
      <c r="V1773" t="str">
        <f>VLOOKUP(H1773,'[1]팀별 출판사'!A:B,2,0)</f>
        <v>소설1팀</v>
      </c>
      <c r="W1773" s="6">
        <f t="shared" si="54"/>
        <v>0</v>
      </c>
      <c r="X1773" s="6">
        <f t="shared" si="55"/>
        <v>0</v>
      </c>
    </row>
    <row r="1774" spans="1:24" x14ac:dyDescent="0.3">
      <c r="A1774" t="s">
        <v>2754</v>
      </c>
      <c r="B1774" t="s">
        <v>2809</v>
      </c>
      <c r="C1774" t="s">
        <v>23</v>
      </c>
      <c r="D1774" t="s">
        <v>24</v>
      </c>
      <c r="E1774" t="s">
        <v>25</v>
      </c>
      <c r="F1774">
        <v>1</v>
      </c>
      <c r="G1774">
        <v>9791157533503</v>
      </c>
      <c r="H1774" t="s">
        <v>32</v>
      </c>
      <c r="I1774" t="s">
        <v>383</v>
      </c>
      <c r="J1774" t="s">
        <v>187</v>
      </c>
      <c r="K1774" t="s">
        <v>29</v>
      </c>
      <c r="L1774">
        <v>0</v>
      </c>
      <c r="M1774" t="s">
        <v>29</v>
      </c>
      <c r="N1774">
        <v>0</v>
      </c>
      <c r="O1774">
        <v>0</v>
      </c>
      <c r="P1774" t="s">
        <v>30</v>
      </c>
      <c r="Q1774" s="2">
        <v>0.7</v>
      </c>
      <c r="R1774">
        <v>0</v>
      </c>
      <c r="V1774" t="str">
        <f>VLOOKUP(H1774,'[1]팀별 출판사'!A:B,2,0)</f>
        <v>소설1팀</v>
      </c>
      <c r="W1774" s="6">
        <f t="shared" si="54"/>
        <v>0</v>
      </c>
      <c r="X1774" s="6">
        <f t="shared" si="55"/>
        <v>0</v>
      </c>
    </row>
    <row r="1775" spans="1:24" x14ac:dyDescent="0.3">
      <c r="A1775" t="s">
        <v>2754</v>
      </c>
      <c r="B1775" t="s">
        <v>2810</v>
      </c>
      <c r="C1775" t="s">
        <v>23</v>
      </c>
      <c r="D1775" t="s">
        <v>24</v>
      </c>
      <c r="E1775" t="s">
        <v>25</v>
      </c>
      <c r="F1775">
        <v>1</v>
      </c>
      <c r="G1775">
        <v>9791136903587</v>
      </c>
      <c r="H1775" t="s">
        <v>26</v>
      </c>
      <c r="I1775" t="s">
        <v>2662</v>
      </c>
      <c r="J1775" t="s">
        <v>1376</v>
      </c>
      <c r="K1775" t="s">
        <v>29</v>
      </c>
      <c r="L1775">
        <v>0</v>
      </c>
      <c r="M1775" t="s">
        <v>29</v>
      </c>
      <c r="N1775">
        <v>0</v>
      </c>
      <c r="O1775">
        <v>0</v>
      </c>
      <c r="P1775" t="s">
        <v>30</v>
      </c>
      <c r="Q1775" s="2">
        <v>0.7</v>
      </c>
      <c r="R1775">
        <v>0</v>
      </c>
      <c r="V1775" t="str">
        <f>VLOOKUP(H1775,'[1]팀별 출판사'!A:B,2,0)</f>
        <v>소설1팀</v>
      </c>
      <c r="W1775" s="6">
        <f t="shared" si="54"/>
        <v>0</v>
      </c>
      <c r="X1775" s="6">
        <f t="shared" si="55"/>
        <v>0</v>
      </c>
    </row>
    <row r="1776" spans="1:24" x14ac:dyDescent="0.3">
      <c r="A1776" t="s">
        <v>2754</v>
      </c>
      <c r="B1776" t="s">
        <v>2811</v>
      </c>
      <c r="C1776" t="s">
        <v>23</v>
      </c>
      <c r="D1776" t="s">
        <v>24</v>
      </c>
      <c r="E1776" t="s">
        <v>25</v>
      </c>
      <c r="F1776">
        <v>1</v>
      </c>
      <c r="G1776">
        <v>9791136925800</v>
      </c>
      <c r="H1776" t="s">
        <v>26</v>
      </c>
      <c r="I1776" t="s">
        <v>1856</v>
      </c>
      <c r="J1776" t="s">
        <v>813</v>
      </c>
      <c r="K1776" t="s">
        <v>29</v>
      </c>
      <c r="L1776">
        <v>0</v>
      </c>
      <c r="M1776" t="s">
        <v>29</v>
      </c>
      <c r="N1776">
        <v>0</v>
      </c>
      <c r="O1776">
        <v>0</v>
      </c>
      <c r="P1776" t="s">
        <v>30</v>
      </c>
      <c r="Q1776" s="2">
        <v>0.7</v>
      </c>
      <c r="R1776">
        <v>0</v>
      </c>
      <c r="V1776" t="str">
        <f>VLOOKUP(H1776,'[1]팀별 출판사'!A:B,2,0)</f>
        <v>소설1팀</v>
      </c>
      <c r="W1776" s="6">
        <f t="shared" si="54"/>
        <v>0</v>
      </c>
      <c r="X1776" s="6">
        <f t="shared" si="55"/>
        <v>0</v>
      </c>
    </row>
    <row r="1777" spans="1:24" x14ac:dyDescent="0.3">
      <c r="A1777" t="s">
        <v>2754</v>
      </c>
      <c r="B1777" t="s">
        <v>2812</v>
      </c>
      <c r="C1777" t="s">
        <v>23</v>
      </c>
      <c r="D1777" t="s">
        <v>24</v>
      </c>
      <c r="E1777" t="s">
        <v>25</v>
      </c>
      <c r="F1777">
        <v>1</v>
      </c>
      <c r="G1777">
        <v>9791133143832</v>
      </c>
      <c r="H1777" t="s">
        <v>32</v>
      </c>
      <c r="I1777" t="s">
        <v>2813</v>
      </c>
      <c r="J1777" t="s">
        <v>88</v>
      </c>
      <c r="K1777" t="s">
        <v>29</v>
      </c>
      <c r="L1777" s="1">
        <v>3200</v>
      </c>
      <c r="M1777" t="s">
        <v>29</v>
      </c>
      <c r="N1777" s="1">
        <v>3200</v>
      </c>
      <c r="O1777" s="1">
        <v>3200</v>
      </c>
      <c r="P1777" t="s">
        <v>30</v>
      </c>
      <c r="Q1777" s="2">
        <v>0.7</v>
      </c>
      <c r="R1777" s="1">
        <v>2240</v>
      </c>
      <c r="S1777" t="s">
        <v>29</v>
      </c>
      <c r="T1777" s="1">
        <v>2240</v>
      </c>
      <c r="V1777" t="str">
        <f>VLOOKUP(H1777,'[1]팀별 출판사'!A:B,2,0)</f>
        <v>소설1팀</v>
      </c>
      <c r="W1777" s="6">
        <f t="shared" si="54"/>
        <v>0</v>
      </c>
      <c r="X1777" s="6">
        <f t="shared" si="55"/>
        <v>2240</v>
      </c>
    </row>
    <row r="1778" spans="1:24" x14ac:dyDescent="0.3">
      <c r="A1778" t="s">
        <v>2754</v>
      </c>
      <c r="B1778" t="s">
        <v>2814</v>
      </c>
      <c r="C1778" t="s">
        <v>23</v>
      </c>
      <c r="D1778" t="s">
        <v>24</v>
      </c>
      <c r="E1778" t="s">
        <v>25</v>
      </c>
      <c r="F1778">
        <v>1</v>
      </c>
      <c r="G1778">
        <v>9791133143849</v>
      </c>
      <c r="H1778" t="s">
        <v>32</v>
      </c>
      <c r="I1778" t="s">
        <v>2815</v>
      </c>
      <c r="J1778" t="s">
        <v>88</v>
      </c>
      <c r="K1778" t="s">
        <v>29</v>
      </c>
      <c r="L1778" s="1">
        <v>3200</v>
      </c>
      <c r="M1778" t="s">
        <v>29</v>
      </c>
      <c r="N1778" s="1">
        <v>3200</v>
      </c>
      <c r="O1778" s="1">
        <v>3200</v>
      </c>
      <c r="P1778" t="s">
        <v>30</v>
      </c>
      <c r="Q1778" s="2">
        <v>0.7</v>
      </c>
      <c r="R1778" s="1">
        <v>2240</v>
      </c>
      <c r="S1778" t="s">
        <v>29</v>
      </c>
      <c r="T1778" s="1">
        <v>2240</v>
      </c>
      <c r="V1778" t="str">
        <f>VLOOKUP(H1778,'[1]팀별 출판사'!A:B,2,0)</f>
        <v>소설1팀</v>
      </c>
      <c r="W1778" s="6">
        <f t="shared" si="54"/>
        <v>0</v>
      </c>
      <c r="X1778" s="6">
        <f t="shared" si="55"/>
        <v>2240</v>
      </c>
    </row>
    <row r="1779" spans="1:24" x14ac:dyDescent="0.3">
      <c r="A1779" t="s">
        <v>2754</v>
      </c>
      <c r="B1779" t="s">
        <v>2816</v>
      </c>
      <c r="C1779" t="s">
        <v>23</v>
      </c>
      <c r="D1779" t="s">
        <v>24</v>
      </c>
      <c r="E1779" t="s">
        <v>25</v>
      </c>
      <c r="F1779">
        <v>1</v>
      </c>
      <c r="G1779">
        <v>9791133167227</v>
      </c>
      <c r="H1779" t="s">
        <v>32</v>
      </c>
      <c r="I1779" t="s">
        <v>313</v>
      </c>
      <c r="J1779" t="s">
        <v>160</v>
      </c>
      <c r="K1779" t="s">
        <v>29</v>
      </c>
      <c r="L1779">
        <v>0</v>
      </c>
      <c r="M1779" t="s">
        <v>29</v>
      </c>
      <c r="N1779">
        <v>0</v>
      </c>
      <c r="O1779">
        <v>0</v>
      </c>
      <c r="P1779" t="s">
        <v>30</v>
      </c>
      <c r="Q1779" s="2">
        <v>0.7</v>
      </c>
      <c r="R1779">
        <v>0</v>
      </c>
      <c r="V1779" t="str">
        <f>VLOOKUP(H1779,'[1]팀별 출판사'!A:B,2,0)</f>
        <v>소설1팀</v>
      </c>
      <c r="W1779" s="6">
        <f t="shared" si="54"/>
        <v>0</v>
      </c>
      <c r="X1779" s="6">
        <f t="shared" si="55"/>
        <v>0</v>
      </c>
    </row>
    <row r="1780" spans="1:24" x14ac:dyDescent="0.3">
      <c r="A1780" t="s">
        <v>2754</v>
      </c>
      <c r="B1780" t="s">
        <v>2816</v>
      </c>
      <c r="C1780" t="s">
        <v>23</v>
      </c>
      <c r="D1780" t="s">
        <v>24</v>
      </c>
      <c r="E1780" t="s">
        <v>25</v>
      </c>
      <c r="F1780">
        <v>1</v>
      </c>
      <c r="G1780">
        <v>9791133167234</v>
      </c>
      <c r="H1780" t="s">
        <v>32</v>
      </c>
      <c r="I1780" t="s">
        <v>1953</v>
      </c>
      <c r="J1780" t="s">
        <v>160</v>
      </c>
      <c r="K1780" t="s">
        <v>29</v>
      </c>
      <c r="L1780" s="1">
        <v>2500</v>
      </c>
      <c r="M1780" t="s">
        <v>29</v>
      </c>
      <c r="N1780" s="1">
        <v>2500</v>
      </c>
      <c r="O1780" s="1">
        <v>2500</v>
      </c>
      <c r="P1780" t="s">
        <v>30</v>
      </c>
      <c r="Q1780" s="2">
        <v>0.7</v>
      </c>
      <c r="R1780" s="1">
        <v>1750</v>
      </c>
      <c r="S1780" t="s">
        <v>29</v>
      </c>
      <c r="T1780" s="1">
        <v>1750</v>
      </c>
      <c r="V1780" t="str">
        <f>VLOOKUP(H1780,'[1]팀별 출판사'!A:B,2,0)</f>
        <v>소설1팀</v>
      </c>
      <c r="W1780" s="6">
        <f t="shared" si="54"/>
        <v>0</v>
      </c>
      <c r="X1780" s="6">
        <f t="shared" si="55"/>
        <v>1750</v>
      </c>
    </row>
    <row r="1781" spans="1:24" x14ac:dyDescent="0.3">
      <c r="A1781" t="s">
        <v>2754</v>
      </c>
      <c r="B1781" t="s">
        <v>2816</v>
      </c>
      <c r="C1781" t="s">
        <v>23</v>
      </c>
      <c r="D1781" t="s">
        <v>24</v>
      </c>
      <c r="E1781" t="s">
        <v>25</v>
      </c>
      <c r="F1781">
        <v>1</v>
      </c>
      <c r="G1781">
        <v>9791133167241</v>
      </c>
      <c r="H1781" t="s">
        <v>32</v>
      </c>
      <c r="I1781" t="s">
        <v>1976</v>
      </c>
      <c r="J1781" t="s">
        <v>160</v>
      </c>
      <c r="K1781" t="s">
        <v>29</v>
      </c>
      <c r="L1781" s="1">
        <v>2500</v>
      </c>
      <c r="M1781" t="s">
        <v>29</v>
      </c>
      <c r="N1781" s="1">
        <v>2500</v>
      </c>
      <c r="O1781" s="1">
        <v>2500</v>
      </c>
      <c r="P1781" t="s">
        <v>30</v>
      </c>
      <c r="Q1781" s="2">
        <v>0.7</v>
      </c>
      <c r="R1781" s="1">
        <v>1750</v>
      </c>
      <c r="S1781" t="s">
        <v>29</v>
      </c>
      <c r="T1781" s="1">
        <v>1750</v>
      </c>
      <c r="V1781" t="str">
        <f>VLOOKUP(H1781,'[1]팀별 출판사'!A:B,2,0)</f>
        <v>소설1팀</v>
      </c>
      <c r="W1781" s="6">
        <f t="shared" si="54"/>
        <v>0</v>
      </c>
      <c r="X1781" s="6">
        <f t="shared" si="55"/>
        <v>1750</v>
      </c>
    </row>
    <row r="1782" spans="1:24" x14ac:dyDescent="0.3">
      <c r="A1782" t="s">
        <v>2754</v>
      </c>
      <c r="B1782" t="s">
        <v>2816</v>
      </c>
      <c r="C1782" t="s">
        <v>23</v>
      </c>
      <c r="D1782" t="s">
        <v>24</v>
      </c>
      <c r="E1782" t="s">
        <v>25</v>
      </c>
      <c r="F1782">
        <v>1</v>
      </c>
      <c r="G1782">
        <v>9791133167258</v>
      </c>
      <c r="H1782" t="s">
        <v>32</v>
      </c>
      <c r="I1782" t="s">
        <v>1977</v>
      </c>
      <c r="J1782" t="s">
        <v>160</v>
      </c>
      <c r="K1782" t="s">
        <v>29</v>
      </c>
      <c r="L1782" s="1">
        <v>2500</v>
      </c>
      <c r="M1782" t="s">
        <v>29</v>
      </c>
      <c r="N1782" s="1">
        <v>2500</v>
      </c>
      <c r="O1782" s="1">
        <v>2500</v>
      </c>
      <c r="P1782" t="s">
        <v>30</v>
      </c>
      <c r="Q1782" s="2">
        <v>0.7</v>
      </c>
      <c r="R1782" s="1">
        <v>1750</v>
      </c>
      <c r="S1782" t="s">
        <v>29</v>
      </c>
      <c r="T1782" s="1">
        <v>1750</v>
      </c>
      <c r="V1782" t="str">
        <f>VLOOKUP(H1782,'[1]팀별 출판사'!A:B,2,0)</f>
        <v>소설1팀</v>
      </c>
      <c r="W1782" s="6">
        <f t="shared" si="54"/>
        <v>0</v>
      </c>
      <c r="X1782" s="6">
        <f t="shared" si="55"/>
        <v>1750</v>
      </c>
    </row>
    <row r="1783" spans="1:24" x14ac:dyDescent="0.3">
      <c r="A1783" t="s">
        <v>2754</v>
      </c>
      <c r="B1783" t="s">
        <v>2816</v>
      </c>
      <c r="C1783" t="s">
        <v>23</v>
      </c>
      <c r="D1783" t="s">
        <v>24</v>
      </c>
      <c r="E1783" t="s">
        <v>25</v>
      </c>
      <c r="F1783">
        <v>1</v>
      </c>
      <c r="G1783">
        <v>9791133167265</v>
      </c>
      <c r="H1783" t="s">
        <v>32</v>
      </c>
      <c r="I1783" t="s">
        <v>2139</v>
      </c>
      <c r="J1783" t="s">
        <v>160</v>
      </c>
      <c r="K1783" t="s">
        <v>29</v>
      </c>
      <c r="L1783" s="1">
        <v>2500</v>
      </c>
      <c r="M1783" t="s">
        <v>29</v>
      </c>
      <c r="N1783" s="1">
        <v>2500</v>
      </c>
      <c r="O1783" s="1">
        <v>2500</v>
      </c>
      <c r="P1783" t="s">
        <v>30</v>
      </c>
      <c r="Q1783" s="2">
        <v>0.7</v>
      </c>
      <c r="R1783" s="1">
        <v>1750</v>
      </c>
      <c r="S1783" t="s">
        <v>29</v>
      </c>
      <c r="T1783" s="1">
        <v>1750</v>
      </c>
      <c r="V1783" t="str">
        <f>VLOOKUP(H1783,'[1]팀별 출판사'!A:B,2,0)</f>
        <v>소설1팀</v>
      </c>
      <c r="W1783" s="6">
        <f t="shared" si="54"/>
        <v>0</v>
      </c>
      <c r="X1783" s="6">
        <f t="shared" si="55"/>
        <v>1750</v>
      </c>
    </row>
    <row r="1784" spans="1:24" x14ac:dyDescent="0.3">
      <c r="A1784" t="s">
        <v>2754</v>
      </c>
      <c r="B1784" t="s">
        <v>2816</v>
      </c>
      <c r="C1784" t="s">
        <v>23</v>
      </c>
      <c r="D1784" t="s">
        <v>24</v>
      </c>
      <c r="E1784" t="s">
        <v>25</v>
      </c>
      <c r="F1784">
        <v>1</v>
      </c>
      <c r="G1784">
        <v>9791133167272</v>
      </c>
      <c r="H1784" t="s">
        <v>32</v>
      </c>
      <c r="I1784" t="s">
        <v>2235</v>
      </c>
      <c r="J1784" t="s">
        <v>160</v>
      </c>
      <c r="K1784" t="s">
        <v>29</v>
      </c>
      <c r="L1784" s="1">
        <v>2500</v>
      </c>
      <c r="M1784" t="s">
        <v>29</v>
      </c>
      <c r="N1784" s="1">
        <v>2500</v>
      </c>
      <c r="O1784" s="1">
        <v>2500</v>
      </c>
      <c r="P1784" t="s">
        <v>30</v>
      </c>
      <c r="Q1784" s="2">
        <v>0.7</v>
      </c>
      <c r="R1784" s="1">
        <v>1750</v>
      </c>
      <c r="S1784" t="s">
        <v>29</v>
      </c>
      <c r="T1784" s="1">
        <v>1750</v>
      </c>
      <c r="V1784" t="str">
        <f>VLOOKUP(H1784,'[1]팀별 출판사'!A:B,2,0)</f>
        <v>소설1팀</v>
      </c>
      <c r="W1784" s="6">
        <f t="shared" si="54"/>
        <v>0</v>
      </c>
      <c r="X1784" s="6">
        <f t="shared" si="55"/>
        <v>1750</v>
      </c>
    </row>
    <row r="1785" spans="1:24" x14ac:dyDescent="0.3">
      <c r="A1785" t="s">
        <v>2754</v>
      </c>
      <c r="B1785" t="s">
        <v>2816</v>
      </c>
      <c r="C1785" t="s">
        <v>23</v>
      </c>
      <c r="D1785" t="s">
        <v>24</v>
      </c>
      <c r="E1785" t="s">
        <v>25</v>
      </c>
      <c r="F1785">
        <v>1</v>
      </c>
      <c r="G1785">
        <v>9791133167289</v>
      </c>
      <c r="H1785" t="s">
        <v>32</v>
      </c>
      <c r="I1785" t="s">
        <v>2236</v>
      </c>
      <c r="J1785" t="s">
        <v>160</v>
      </c>
      <c r="K1785" t="s">
        <v>29</v>
      </c>
      <c r="L1785" s="1">
        <v>2500</v>
      </c>
      <c r="M1785" t="s">
        <v>29</v>
      </c>
      <c r="N1785" s="1">
        <v>2500</v>
      </c>
      <c r="O1785" s="1">
        <v>2500</v>
      </c>
      <c r="P1785" t="s">
        <v>30</v>
      </c>
      <c r="Q1785" s="2">
        <v>0.7</v>
      </c>
      <c r="R1785" s="1">
        <v>1750</v>
      </c>
      <c r="S1785" t="s">
        <v>29</v>
      </c>
      <c r="T1785" s="1">
        <v>1750</v>
      </c>
      <c r="V1785" t="str">
        <f>VLOOKUP(H1785,'[1]팀별 출판사'!A:B,2,0)</f>
        <v>소설1팀</v>
      </c>
      <c r="W1785" s="6">
        <f t="shared" si="54"/>
        <v>0</v>
      </c>
      <c r="X1785" s="6">
        <f t="shared" si="55"/>
        <v>1750</v>
      </c>
    </row>
    <row r="1786" spans="1:24" x14ac:dyDescent="0.3">
      <c r="A1786" t="s">
        <v>2754</v>
      </c>
      <c r="B1786" t="s">
        <v>2816</v>
      </c>
      <c r="C1786" t="s">
        <v>23</v>
      </c>
      <c r="D1786" t="s">
        <v>24</v>
      </c>
      <c r="E1786" t="s">
        <v>25</v>
      </c>
      <c r="F1786">
        <v>1</v>
      </c>
      <c r="G1786">
        <v>9791133167296</v>
      </c>
      <c r="H1786" t="s">
        <v>32</v>
      </c>
      <c r="I1786" t="s">
        <v>2237</v>
      </c>
      <c r="J1786" t="s">
        <v>160</v>
      </c>
      <c r="K1786" t="s">
        <v>29</v>
      </c>
      <c r="L1786" s="1">
        <v>2500</v>
      </c>
      <c r="M1786" t="s">
        <v>29</v>
      </c>
      <c r="N1786" s="1">
        <v>2500</v>
      </c>
      <c r="O1786" s="1">
        <v>2500</v>
      </c>
      <c r="P1786" t="s">
        <v>30</v>
      </c>
      <c r="Q1786" s="2">
        <v>0.7</v>
      </c>
      <c r="R1786" s="1">
        <v>1750</v>
      </c>
      <c r="S1786" t="s">
        <v>29</v>
      </c>
      <c r="T1786" s="1">
        <v>1750</v>
      </c>
      <c r="V1786" t="str">
        <f>VLOOKUP(H1786,'[1]팀별 출판사'!A:B,2,0)</f>
        <v>소설1팀</v>
      </c>
      <c r="W1786" s="6">
        <f t="shared" si="54"/>
        <v>0</v>
      </c>
      <c r="X1786" s="6">
        <f t="shared" si="55"/>
        <v>1750</v>
      </c>
    </row>
    <row r="1787" spans="1:24" x14ac:dyDescent="0.3">
      <c r="A1787" t="s">
        <v>2754</v>
      </c>
      <c r="B1787" t="s">
        <v>2816</v>
      </c>
      <c r="C1787" t="s">
        <v>23</v>
      </c>
      <c r="D1787" t="s">
        <v>24</v>
      </c>
      <c r="E1787" t="s">
        <v>25</v>
      </c>
      <c r="F1787">
        <v>1</v>
      </c>
      <c r="G1787">
        <v>9791133167302</v>
      </c>
      <c r="H1787" t="s">
        <v>32</v>
      </c>
      <c r="I1787" t="s">
        <v>2238</v>
      </c>
      <c r="J1787" t="s">
        <v>160</v>
      </c>
      <c r="K1787" t="s">
        <v>29</v>
      </c>
      <c r="L1787" s="1">
        <v>2500</v>
      </c>
      <c r="M1787" t="s">
        <v>29</v>
      </c>
      <c r="N1787" s="1">
        <v>2500</v>
      </c>
      <c r="O1787" s="1">
        <v>2500</v>
      </c>
      <c r="P1787" t="s">
        <v>30</v>
      </c>
      <c r="Q1787" s="2">
        <v>0.7</v>
      </c>
      <c r="R1787" s="1">
        <v>1750</v>
      </c>
      <c r="S1787" t="s">
        <v>29</v>
      </c>
      <c r="T1787" s="1">
        <v>1750</v>
      </c>
      <c r="V1787" t="str">
        <f>VLOOKUP(H1787,'[1]팀별 출판사'!A:B,2,0)</f>
        <v>소설1팀</v>
      </c>
      <c r="W1787" s="6">
        <f t="shared" si="54"/>
        <v>0</v>
      </c>
      <c r="X1787" s="6">
        <f t="shared" si="55"/>
        <v>1750</v>
      </c>
    </row>
    <row r="1788" spans="1:24" x14ac:dyDescent="0.3">
      <c r="A1788" t="s">
        <v>2754</v>
      </c>
      <c r="B1788" t="s">
        <v>2817</v>
      </c>
      <c r="C1788" t="s">
        <v>23</v>
      </c>
      <c r="D1788" t="s">
        <v>24</v>
      </c>
      <c r="E1788" t="s">
        <v>25</v>
      </c>
      <c r="F1788">
        <v>1</v>
      </c>
      <c r="G1788">
        <v>9791173786907</v>
      </c>
      <c r="H1788" t="s">
        <v>26</v>
      </c>
      <c r="I1788" t="s">
        <v>2818</v>
      </c>
      <c r="J1788" t="s">
        <v>256</v>
      </c>
      <c r="K1788" t="s">
        <v>29</v>
      </c>
      <c r="L1788" s="1">
        <v>3200</v>
      </c>
      <c r="M1788" t="s">
        <v>29</v>
      </c>
      <c r="N1788" s="1">
        <v>3200</v>
      </c>
      <c r="O1788" s="1">
        <v>3200</v>
      </c>
      <c r="P1788" t="s">
        <v>30</v>
      </c>
      <c r="Q1788" s="2">
        <v>0.7</v>
      </c>
      <c r="R1788" s="1">
        <v>2240</v>
      </c>
      <c r="S1788" t="s">
        <v>29</v>
      </c>
      <c r="T1788" s="1">
        <v>2240</v>
      </c>
      <c r="V1788" t="str">
        <f>VLOOKUP(H1788,'[1]팀별 출판사'!A:B,2,0)</f>
        <v>소설1팀</v>
      </c>
      <c r="W1788" s="6">
        <f t="shared" si="54"/>
        <v>0</v>
      </c>
      <c r="X1788" s="6">
        <f t="shared" si="55"/>
        <v>2240</v>
      </c>
    </row>
    <row r="1789" spans="1:24" x14ac:dyDescent="0.3">
      <c r="A1789" t="s">
        <v>2754</v>
      </c>
      <c r="B1789" t="s">
        <v>2819</v>
      </c>
      <c r="C1789" t="s">
        <v>23</v>
      </c>
      <c r="D1789" t="s">
        <v>24</v>
      </c>
      <c r="E1789" t="s">
        <v>25</v>
      </c>
      <c r="F1789">
        <v>1</v>
      </c>
      <c r="G1789">
        <v>9791136988331</v>
      </c>
      <c r="H1789" t="s">
        <v>26</v>
      </c>
      <c r="I1789" t="s">
        <v>2820</v>
      </c>
      <c r="J1789" t="s">
        <v>28</v>
      </c>
      <c r="K1789" t="s">
        <v>29</v>
      </c>
      <c r="L1789" s="1">
        <v>3200</v>
      </c>
      <c r="M1789" t="s">
        <v>29</v>
      </c>
      <c r="N1789" s="1">
        <v>3200</v>
      </c>
      <c r="O1789" s="1">
        <v>3200</v>
      </c>
      <c r="P1789" t="s">
        <v>30</v>
      </c>
      <c r="Q1789" s="2">
        <v>0.7</v>
      </c>
      <c r="R1789" s="1">
        <v>2240</v>
      </c>
      <c r="S1789" t="s">
        <v>29</v>
      </c>
      <c r="T1789" s="1">
        <v>2240</v>
      </c>
      <c r="V1789" t="str">
        <f>VLOOKUP(H1789,'[1]팀별 출판사'!A:B,2,0)</f>
        <v>소설1팀</v>
      </c>
      <c r="W1789" s="6">
        <f t="shared" si="54"/>
        <v>0</v>
      </c>
      <c r="X1789" s="6">
        <f t="shared" si="55"/>
        <v>2240</v>
      </c>
    </row>
    <row r="1790" spans="1:24" x14ac:dyDescent="0.3">
      <c r="A1790" t="s">
        <v>2754</v>
      </c>
      <c r="B1790" t="s">
        <v>2821</v>
      </c>
      <c r="C1790" t="s">
        <v>23</v>
      </c>
      <c r="D1790" t="s">
        <v>24</v>
      </c>
      <c r="E1790" t="s">
        <v>25</v>
      </c>
      <c r="F1790">
        <v>1</v>
      </c>
      <c r="G1790">
        <v>9791133101788</v>
      </c>
      <c r="H1790" t="s">
        <v>32</v>
      </c>
      <c r="I1790" t="s">
        <v>870</v>
      </c>
      <c r="J1790" t="s">
        <v>160</v>
      </c>
      <c r="K1790" t="s">
        <v>29</v>
      </c>
      <c r="L1790">
        <v>0</v>
      </c>
      <c r="M1790" t="s">
        <v>29</v>
      </c>
      <c r="N1790">
        <v>0</v>
      </c>
      <c r="O1790">
        <v>0</v>
      </c>
      <c r="P1790" t="s">
        <v>30</v>
      </c>
      <c r="Q1790" s="2">
        <v>0.7</v>
      </c>
      <c r="R1790">
        <v>0</v>
      </c>
      <c r="V1790" t="str">
        <f>VLOOKUP(H1790,'[1]팀별 출판사'!A:B,2,0)</f>
        <v>소설1팀</v>
      </c>
      <c r="W1790" s="6">
        <f t="shared" si="54"/>
        <v>0</v>
      </c>
      <c r="X1790" s="6">
        <f t="shared" si="55"/>
        <v>0</v>
      </c>
    </row>
    <row r="1791" spans="1:24" x14ac:dyDescent="0.3">
      <c r="A1791" t="s">
        <v>2754</v>
      </c>
      <c r="B1791" t="s">
        <v>2821</v>
      </c>
      <c r="C1791" t="s">
        <v>23</v>
      </c>
      <c r="D1791" t="s">
        <v>24</v>
      </c>
      <c r="E1791" t="s">
        <v>25</v>
      </c>
      <c r="F1791">
        <v>1</v>
      </c>
      <c r="G1791">
        <v>9791133101511</v>
      </c>
      <c r="H1791" t="s">
        <v>32</v>
      </c>
      <c r="I1791" t="s">
        <v>2822</v>
      </c>
      <c r="J1791" t="s">
        <v>160</v>
      </c>
      <c r="K1791" t="s">
        <v>29</v>
      </c>
      <c r="L1791" s="1">
        <v>3000</v>
      </c>
      <c r="M1791" t="s">
        <v>29</v>
      </c>
      <c r="N1791" s="1">
        <v>3000</v>
      </c>
      <c r="O1791" s="1">
        <v>3000</v>
      </c>
      <c r="P1791" t="s">
        <v>30</v>
      </c>
      <c r="Q1791" s="2">
        <v>0.7</v>
      </c>
      <c r="R1791" s="1">
        <v>2100</v>
      </c>
      <c r="S1791" t="s">
        <v>29</v>
      </c>
      <c r="T1791" s="1">
        <v>2100</v>
      </c>
      <c r="V1791" t="str">
        <f>VLOOKUP(H1791,'[1]팀별 출판사'!A:B,2,0)</f>
        <v>소설1팀</v>
      </c>
      <c r="W1791" s="6">
        <f t="shared" si="54"/>
        <v>0</v>
      </c>
      <c r="X1791" s="6">
        <f t="shared" si="55"/>
        <v>2100</v>
      </c>
    </row>
    <row r="1792" spans="1:24" x14ac:dyDescent="0.3">
      <c r="A1792" t="s">
        <v>2754</v>
      </c>
      <c r="B1792" t="s">
        <v>2821</v>
      </c>
      <c r="C1792" t="s">
        <v>23</v>
      </c>
      <c r="D1792" t="s">
        <v>24</v>
      </c>
      <c r="E1792" t="s">
        <v>25</v>
      </c>
      <c r="F1792">
        <v>1</v>
      </c>
      <c r="G1792">
        <v>9791133101528</v>
      </c>
      <c r="H1792" t="s">
        <v>32</v>
      </c>
      <c r="I1792" t="s">
        <v>2823</v>
      </c>
      <c r="J1792" t="s">
        <v>160</v>
      </c>
      <c r="K1792" t="s">
        <v>29</v>
      </c>
      <c r="L1792" s="1">
        <v>3000</v>
      </c>
      <c r="M1792" t="s">
        <v>29</v>
      </c>
      <c r="N1792" s="1">
        <v>3000</v>
      </c>
      <c r="O1792" s="1">
        <v>3000</v>
      </c>
      <c r="P1792" t="s">
        <v>30</v>
      </c>
      <c r="Q1792" s="2">
        <v>0.7</v>
      </c>
      <c r="R1792" s="1">
        <v>2100</v>
      </c>
      <c r="S1792" t="s">
        <v>29</v>
      </c>
      <c r="T1792" s="1">
        <v>2100</v>
      </c>
      <c r="V1792" t="str">
        <f>VLOOKUP(H1792,'[1]팀별 출판사'!A:B,2,0)</f>
        <v>소설1팀</v>
      </c>
      <c r="W1792" s="6">
        <f t="shared" si="54"/>
        <v>0</v>
      </c>
      <c r="X1792" s="6">
        <f t="shared" si="55"/>
        <v>2100</v>
      </c>
    </row>
    <row r="1793" spans="1:24" x14ac:dyDescent="0.3">
      <c r="A1793" t="s">
        <v>2754</v>
      </c>
      <c r="B1793" t="s">
        <v>2821</v>
      </c>
      <c r="C1793" t="s">
        <v>23</v>
      </c>
      <c r="D1793" t="s">
        <v>24</v>
      </c>
      <c r="E1793" t="s">
        <v>25</v>
      </c>
      <c r="F1793">
        <v>1</v>
      </c>
      <c r="G1793">
        <v>9791133101771</v>
      </c>
      <c r="H1793" t="s">
        <v>32</v>
      </c>
      <c r="I1793" t="s">
        <v>2824</v>
      </c>
      <c r="J1793" t="s">
        <v>160</v>
      </c>
      <c r="K1793" t="s">
        <v>29</v>
      </c>
      <c r="L1793" s="1">
        <v>3000</v>
      </c>
      <c r="M1793" t="s">
        <v>29</v>
      </c>
      <c r="N1793" s="1">
        <v>3000</v>
      </c>
      <c r="O1793" s="1">
        <v>3000</v>
      </c>
      <c r="P1793" t="s">
        <v>30</v>
      </c>
      <c r="Q1793" s="2">
        <v>0.7</v>
      </c>
      <c r="R1793" s="1">
        <v>2100</v>
      </c>
      <c r="S1793" t="s">
        <v>29</v>
      </c>
      <c r="T1793" s="1">
        <v>2100</v>
      </c>
      <c r="V1793" t="str">
        <f>VLOOKUP(H1793,'[1]팀별 출판사'!A:B,2,0)</f>
        <v>소설1팀</v>
      </c>
      <c r="W1793" s="6">
        <f t="shared" si="54"/>
        <v>0</v>
      </c>
      <c r="X1793" s="6">
        <f t="shared" si="55"/>
        <v>2100</v>
      </c>
    </row>
    <row r="1794" spans="1:24" x14ac:dyDescent="0.3">
      <c r="A1794" t="s">
        <v>2754</v>
      </c>
      <c r="B1794" t="s">
        <v>2825</v>
      </c>
      <c r="C1794" t="s">
        <v>23</v>
      </c>
      <c r="D1794" t="s">
        <v>24</v>
      </c>
      <c r="E1794" t="s">
        <v>25</v>
      </c>
      <c r="F1794">
        <v>1</v>
      </c>
      <c r="G1794">
        <v>9791173785146</v>
      </c>
      <c r="H1794" t="s">
        <v>26</v>
      </c>
      <c r="I1794" t="s">
        <v>2443</v>
      </c>
      <c r="J1794" t="s">
        <v>62</v>
      </c>
      <c r="K1794" t="s">
        <v>29</v>
      </c>
      <c r="L1794" s="1">
        <v>3200</v>
      </c>
      <c r="M1794" t="s">
        <v>29</v>
      </c>
      <c r="N1794" s="1">
        <v>3200</v>
      </c>
      <c r="O1794" s="1">
        <v>3200</v>
      </c>
      <c r="P1794" t="s">
        <v>30</v>
      </c>
      <c r="Q1794" s="2">
        <v>0.7</v>
      </c>
      <c r="R1794" s="1">
        <v>2240</v>
      </c>
      <c r="S1794" t="s">
        <v>29</v>
      </c>
      <c r="T1794" s="1">
        <v>2240</v>
      </c>
      <c r="V1794" t="str">
        <f>VLOOKUP(H1794,'[1]팀별 출판사'!A:B,2,0)</f>
        <v>소설1팀</v>
      </c>
      <c r="W1794" s="6">
        <f t="shared" ref="W1794:W1857" si="56">IF(P1794="US", T1794*30%, 0)</f>
        <v>0</v>
      </c>
      <c r="X1794" s="6">
        <f t="shared" ref="X1794:X1857" si="57">T1794-W1794</f>
        <v>2240</v>
      </c>
    </row>
    <row r="1795" spans="1:24" x14ac:dyDescent="0.3">
      <c r="A1795" t="s">
        <v>2754</v>
      </c>
      <c r="B1795" t="s">
        <v>2826</v>
      </c>
      <c r="C1795" t="s">
        <v>23</v>
      </c>
      <c r="D1795" t="s">
        <v>24</v>
      </c>
      <c r="E1795" t="s">
        <v>25</v>
      </c>
      <c r="F1795">
        <v>1</v>
      </c>
      <c r="G1795">
        <v>9791172921033</v>
      </c>
      <c r="H1795" t="s">
        <v>79</v>
      </c>
      <c r="I1795" t="s">
        <v>738</v>
      </c>
      <c r="J1795" t="s">
        <v>46</v>
      </c>
      <c r="K1795" t="s">
        <v>29</v>
      </c>
      <c r="L1795">
        <v>0</v>
      </c>
      <c r="M1795" t="s">
        <v>47</v>
      </c>
      <c r="N1795">
        <v>0</v>
      </c>
      <c r="O1795">
        <v>0</v>
      </c>
      <c r="P1795" t="s">
        <v>48</v>
      </c>
      <c r="Q1795" s="2">
        <v>0.7</v>
      </c>
      <c r="R1795">
        <v>0</v>
      </c>
      <c r="V1795" t="str">
        <f>VLOOKUP(H1795,'[1]팀별 출판사'!A:B,2,0)</f>
        <v>소설1팀</v>
      </c>
      <c r="W1795" s="6">
        <f t="shared" si="56"/>
        <v>0</v>
      </c>
      <c r="X1795" s="6">
        <f t="shared" si="57"/>
        <v>0</v>
      </c>
    </row>
    <row r="1796" spans="1:24" x14ac:dyDescent="0.3">
      <c r="A1796" t="s">
        <v>2754</v>
      </c>
      <c r="B1796" t="s">
        <v>2827</v>
      </c>
      <c r="C1796" t="s">
        <v>23</v>
      </c>
      <c r="D1796" t="s">
        <v>24</v>
      </c>
      <c r="E1796" t="s">
        <v>25</v>
      </c>
      <c r="F1796">
        <v>1</v>
      </c>
      <c r="G1796">
        <v>9791136916457</v>
      </c>
      <c r="H1796" t="s">
        <v>26</v>
      </c>
      <c r="I1796" t="s">
        <v>2828</v>
      </c>
      <c r="J1796" t="s">
        <v>62</v>
      </c>
      <c r="K1796" t="s">
        <v>29</v>
      </c>
      <c r="L1796" s="1">
        <v>3200</v>
      </c>
      <c r="M1796" t="s">
        <v>29</v>
      </c>
      <c r="N1796" s="1">
        <v>3200</v>
      </c>
      <c r="O1796" s="1">
        <v>3200</v>
      </c>
      <c r="P1796" t="s">
        <v>30</v>
      </c>
      <c r="Q1796" s="2">
        <v>0.7</v>
      </c>
      <c r="R1796" s="1">
        <v>2240</v>
      </c>
      <c r="S1796" t="s">
        <v>29</v>
      </c>
      <c r="T1796" s="1">
        <v>2240</v>
      </c>
      <c r="V1796" t="str">
        <f>VLOOKUP(H1796,'[1]팀별 출판사'!A:B,2,0)</f>
        <v>소설1팀</v>
      </c>
      <c r="W1796" s="6">
        <f t="shared" si="56"/>
        <v>0</v>
      </c>
      <c r="X1796" s="6">
        <f t="shared" si="57"/>
        <v>2240</v>
      </c>
    </row>
    <row r="1797" spans="1:24" x14ac:dyDescent="0.3">
      <c r="A1797" t="s">
        <v>2754</v>
      </c>
      <c r="B1797" t="s">
        <v>2829</v>
      </c>
      <c r="C1797" t="s">
        <v>23</v>
      </c>
      <c r="D1797" t="s">
        <v>24</v>
      </c>
      <c r="E1797" t="s">
        <v>25</v>
      </c>
      <c r="F1797">
        <v>1</v>
      </c>
      <c r="G1797" t="s">
        <v>2830</v>
      </c>
      <c r="H1797" t="s">
        <v>32</v>
      </c>
      <c r="I1797" t="s">
        <v>2831</v>
      </c>
      <c r="J1797" t="s">
        <v>311</v>
      </c>
      <c r="K1797" t="s">
        <v>29</v>
      </c>
      <c r="L1797" s="1">
        <v>3200</v>
      </c>
      <c r="M1797" t="s">
        <v>70</v>
      </c>
      <c r="N1797">
        <v>2.2200000000000002</v>
      </c>
      <c r="O1797">
        <v>2.2200000000000002</v>
      </c>
      <c r="P1797" t="s">
        <v>71</v>
      </c>
      <c r="Q1797" s="2">
        <v>0.7</v>
      </c>
      <c r="R1797">
        <v>1.55</v>
      </c>
      <c r="S1797" t="s">
        <v>29</v>
      </c>
      <c r="T1797" s="1">
        <v>2242</v>
      </c>
      <c r="U1797" s="3">
        <v>1444.46021</v>
      </c>
      <c r="V1797" t="str">
        <f>VLOOKUP(H1797,'[1]팀별 출판사'!A:B,2,0)</f>
        <v>소설1팀</v>
      </c>
      <c r="W1797" s="6">
        <f t="shared" si="56"/>
        <v>672.6</v>
      </c>
      <c r="X1797" s="6">
        <f t="shared" si="57"/>
        <v>1569.4</v>
      </c>
    </row>
    <row r="1798" spans="1:24" x14ac:dyDescent="0.3">
      <c r="A1798" t="s">
        <v>2754</v>
      </c>
      <c r="B1798" t="s">
        <v>2829</v>
      </c>
      <c r="C1798" t="s">
        <v>23</v>
      </c>
      <c r="D1798" t="s">
        <v>24</v>
      </c>
      <c r="E1798" t="s">
        <v>25</v>
      </c>
      <c r="F1798">
        <v>1</v>
      </c>
      <c r="G1798" t="s">
        <v>2832</v>
      </c>
      <c r="H1798" t="s">
        <v>32</v>
      </c>
      <c r="I1798" t="s">
        <v>2833</v>
      </c>
      <c r="J1798" t="s">
        <v>311</v>
      </c>
      <c r="K1798" t="s">
        <v>29</v>
      </c>
      <c r="L1798" s="1">
        <v>3200</v>
      </c>
      <c r="M1798" t="s">
        <v>70</v>
      </c>
      <c r="N1798">
        <v>2.2200000000000002</v>
      </c>
      <c r="O1798">
        <v>2.2200000000000002</v>
      </c>
      <c r="P1798" t="s">
        <v>71</v>
      </c>
      <c r="Q1798" s="2">
        <v>0.7</v>
      </c>
      <c r="R1798">
        <v>1.55</v>
      </c>
      <c r="S1798" t="s">
        <v>29</v>
      </c>
      <c r="T1798" s="1">
        <v>2242</v>
      </c>
      <c r="U1798" s="3">
        <v>1444.46021</v>
      </c>
      <c r="V1798" t="str">
        <f>VLOOKUP(H1798,'[1]팀별 출판사'!A:B,2,0)</f>
        <v>소설1팀</v>
      </c>
      <c r="W1798" s="6">
        <f t="shared" si="56"/>
        <v>672.6</v>
      </c>
      <c r="X1798" s="6">
        <f t="shared" si="57"/>
        <v>1569.4</v>
      </c>
    </row>
    <row r="1799" spans="1:24" x14ac:dyDescent="0.3">
      <c r="A1799" t="s">
        <v>2754</v>
      </c>
      <c r="B1799" t="s">
        <v>2829</v>
      </c>
      <c r="C1799" t="s">
        <v>23</v>
      </c>
      <c r="D1799" t="s">
        <v>24</v>
      </c>
      <c r="E1799" t="s">
        <v>25</v>
      </c>
      <c r="F1799">
        <v>1</v>
      </c>
      <c r="G1799" t="s">
        <v>2834</v>
      </c>
      <c r="H1799" t="s">
        <v>32</v>
      </c>
      <c r="I1799" t="s">
        <v>2835</v>
      </c>
      <c r="J1799" t="s">
        <v>311</v>
      </c>
      <c r="K1799" t="s">
        <v>29</v>
      </c>
      <c r="L1799" s="1">
        <v>3200</v>
      </c>
      <c r="M1799" t="s">
        <v>70</v>
      </c>
      <c r="N1799">
        <v>2.2200000000000002</v>
      </c>
      <c r="O1799">
        <v>2.2200000000000002</v>
      </c>
      <c r="P1799" t="s">
        <v>71</v>
      </c>
      <c r="Q1799" s="2">
        <v>0.7</v>
      </c>
      <c r="R1799">
        <v>1.55</v>
      </c>
      <c r="S1799" t="s">
        <v>29</v>
      </c>
      <c r="T1799" s="1">
        <v>2242</v>
      </c>
      <c r="U1799" s="3">
        <v>1444.46021</v>
      </c>
      <c r="V1799" t="str">
        <f>VLOOKUP(H1799,'[1]팀별 출판사'!A:B,2,0)</f>
        <v>소설1팀</v>
      </c>
      <c r="W1799" s="6">
        <f t="shared" si="56"/>
        <v>672.6</v>
      </c>
      <c r="X1799" s="6">
        <f t="shared" si="57"/>
        <v>1569.4</v>
      </c>
    </row>
    <row r="1800" spans="1:24" x14ac:dyDescent="0.3">
      <c r="A1800" t="s">
        <v>2754</v>
      </c>
      <c r="B1800" t="s">
        <v>2836</v>
      </c>
      <c r="C1800" t="s">
        <v>23</v>
      </c>
      <c r="D1800" t="s">
        <v>24</v>
      </c>
      <c r="E1800" t="s">
        <v>25</v>
      </c>
      <c r="F1800">
        <v>1</v>
      </c>
      <c r="G1800">
        <v>9791133186501</v>
      </c>
      <c r="H1800" t="s">
        <v>26</v>
      </c>
      <c r="I1800" t="s">
        <v>64</v>
      </c>
      <c r="J1800" t="s">
        <v>65</v>
      </c>
      <c r="K1800" t="s">
        <v>29</v>
      </c>
      <c r="L1800">
        <v>0</v>
      </c>
      <c r="M1800" t="s">
        <v>29</v>
      </c>
      <c r="N1800">
        <v>0</v>
      </c>
      <c r="O1800">
        <v>0</v>
      </c>
      <c r="P1800" t="s">
        <v>30</v>
      </c>
      <c r="Q1800" s="2">
        <v>0.7</v>
      </c>
      <c r="R1800">
        <v>0</v>
      </c>
      <c r="V1800" t="str">
        <f>VLOOKUP(H1800,'[1]팀별 출판사'!A:B,2,0)</f>
        <v>소설1팀</v>
      </c>
      <c r="W1800" s="6">
        <f t="shared" si="56"/>
        <v>0</v>
      </c>
      <c r="X1800" s="6">
        <f t="shared" si="57"/>
        <v>0</v>
      </c>
    </row>
    <row r="1801" spans="1:24" x14ac:dyDescent="0.3">
      <c r="A1801" t="s">
        <v>2754</v>
      </c>
      <c r="B1801" t="s">
        <v>2837</v>
      </c>
      <c r="C1801" t="s">
        <v>23</v>
      </c>
      <c r="D1801" t="s">
        <v>24</v>
      </c>
      <c r="E1801" t="s">
        <v>25</v>
      </c>
      <c r="F1801">
        <v>1</v>
      </c>
      <c r="G1801">
        <v>9791136926784</v>
      </c>
      <c r="H1801" t="s">
        <v>26</v>
      </c>
      <c r="I1801" t="s">
        <v>1421</v>
      </c>
      <c r="J1801" t="s">
        <v>62</v>
      </c>
      <c r="K1801" t="s">
        <v>29</v>
      </c>
      <c r="L1801">
        <v>0</v>
      </c>
      <c r="M1801" t="s">
        <v>29</v>
      </c>
      <c r="N1801">
        <v>0</v>
      </c>
      <c r="O1801">
        <v>0</v>
      </c>
      <c r="P1801" t="s">
        <v>30</v>
      </c>
      <c r="Q1801" s="2">
        <v>0.7</v>
      </c>
      <c r="R1801">
        <v>0</v>
      </c>
      <c r="V1801" t="str">
        <f>VLOOKUP(H1801,'[1]팀별 출판사'!A:B,2,0)</f>
        <v>소설1팀</v>
      </c>
      <c r="W1801" s="6">
        <f t="shared" si="56"/>
        <v>0</v>
      </c>
      <c r="X1801" s="6">
        <f t="shared" si="57"/>
        <v>0</v>
      </c>
    </row>
    <row r="1802" spans="1:24" x14ac:dyDescent="0.3">
      <c r="A1802" t="s">
        <v>2754</v>
      </c>
      <c r="B1802" t="s">
        <v>2838</v>
      </c>
      <c r="C1802" t="s">
        <v>23</v>
      </c>
      <c r="D1802" t="s">
        <v>24</v>
      </c>
      <c r="E1802" t="s">
        <v>25</v>
      </c>
      <c r="F1802">
        <v>1</v>
      </c>
      <c r="G1802">
        <v>9791173786167</v>
      </c>
      <c r="H1802" t="s">
        <v>79</v>
      </c>
      <c r="I1802" t="s">
        <v>2839</v>
      </c>
      <c r="J1802" t="s">
        <v>81</v>
      </c>
      <c r="K1802" t="s">
        <v>29</v>
      </c>
      <c r="L1802" s="1">
        <v>3200</v>
      </c>
      <c r="M1802" t="s">
        <v>70</v>
      </c>
      <c r="N1802">
        <v>2.2200000000000002</v>
      </c>
      <c r="O1802">
        <v>2.2200000000000002</v>
      </c>
      <c r="P1802" t="s">
        <v>71</v>
      </c>
      <c r="Q1802" s="2">
        <v>0.7</v>
      </c>
      <c r="R1802">
        <v>1.55</v>
      </c>
      <c r="S1802" t="s">
        <v>29</v>
      </c>
      <c r="T1802" s="1">
        <v>2237</v>
      </c>
      <c r="U1802" s="3">
        <v>1444.46021</v>
      </c>
      <c r="V1802" t="str">
        <f>VLOOKUP(H1802,'[1]팀별 출판사'!A:B,2,0)</f>
        <v>소설1팀</v>
      </c>
      <c r="W1802" s="6">
        <f t="shared" si="56"/>
        <v>671.1</v>
      </c>
      <c r="X1802" s="6">
        <f t="shared" si="57"/>
        <v>1565.9</v>
      </c>
    </row>
    <row r="1803" spans="1:24" x14ac:dyDescent="0.3">
      <c r="A1803" t="s">
        <v>2754</v>
      </c>
      <c r="B1803" t="s">
        <v>2840</v>
      </c>
      <c r="C1803" t="s">
        <v>23</v>
      </c>
      <c r="D1803" t="s">
        <v>24</v>
      </c>
      <c r="E1803" t="s">
        <v>25</v>
      </c>
      <c r="F1803">
        <v>1</v>
      </c>
      <c r="G1803">
        <v>9791136930491</v>
      </c>
      <c r="H1803" t="s">
        <v>26</v>
      </c>
      <c r="I1803" t="s">
        <v>151</v>
      </c>
      <c r="J1803" t="s">
        <v>46</v>
      </c>
      <c r="K1803" t="s">
        <v>29</v>
      </c>
      <c r="L1803">
        <v>0</v>
      </c>
      <c r="M1803" t="s">
        <v>152</v>
      </c>
      <c r="N1803">
        <v>0</v>
      </c>
      <c r="O1803">
        <v>0</v>
      </c>
      <c r="P1803" t="s">
        <v>153</v>
      </c>
      <c r="Q1803" s="2">
        <v>0.7</v>
      </c>
      <c r="R1803">
        <v>0</v>
      </c>
      <c r="V1803" t="str">
        <f>VLOOKUP(H1803,'[1]팀별 출판사'!A:B,2,0)</f>
        <v>소설1팀</v>
      </c>
      <c r="W1803" s="6">
        <f t="shared" si="56"/>
        <v>0</v>
      </c>
      <c r="X1803" s="6">
        <f t="shared" si="57"/>
        <v>0</v>
      </c>
    </row>
    <row r="1804" spans="1:24" x14ac:dyDescent="0.3">
      <c r="A1804" t="s">
        <v>2754</v>
      </c>
      <c r="B1804" t="s">
        <v>2841</v>
      </c>
      <c r="C1804" t="s">
        <v>23</v>
      </c>
      <c r="D1804" t="s">
        <v>24</v>
      </c>
      <c r="E1804" t="s">
        <v>25</v>
      </c>
      <c r="F1804">
        <v>1</v>
      </c>
      <c r="G1804" t="s">
        <v>2842</v>
      </c>
      <c r="H1804" t="s">
        <v>32</v>
      </c>
      <c r="I1804" t="s">
        <v>2843</v>
      </c>
      <c r="J1804" t="s">
        <v>166</v>
      </c>
      <c r="K1804" t="s">
        <v>29</v>
      </c>
      <c r="L1804">
        <v>0</v>
      </c>
      <c r="M1804" t="s">
        <v>29</v>
      </c>
      <c r="N1804">
        <v>0</v>
      </c>
      <c r="O1804">
        <v>0</v>
      </c>
      <c r="P1804" t="s">
        <v>30</v>
      </c>
      <c r="Q1804" s="2">
        <v>0.7</v>
      </c>
      <c r="R1804">
        <v>0</v>
      </c>
      <c r="V1804" t="str">
        <f>VLOOKUP(H1804,'[1]팀별 출판사'!A:B,2,0)</f>
        <v>소설1팀</v>
      </c>
      <c r="W1804" s="6">
        <f t="shared" si="56"/>
        <v>0</v>
      </c>
      <c r="X1804" s="6">
        <f t="shared" si="57"/>
        <v>0</v>
      </c>
    </row>
    <row r="1805" spans="1:24" x14ac:dyDescent="0.3">
      <c r="A1805" t="s">
        <v>2754</v>
      </c>
      <c r="B1805" t="s">
        <v>2844</v>
      </c>
      <c r="C1805" t="s">
        <v>23</v>
      </c>
      <c r="D1805" t="s">
        <v>24</v>
      </c>
      <c r="E1805" t="s">
        <v>25</v>
      </c>
      <c r="F1805">
        <v>1</v>
      </c>
      <c r="G1805">
        <v>9791133186501</v>
      </c>
      <c r="H1805" t="s">
        <v>26</v>
      </c>
      <c r="I1805" t="s">
        <v>64</v>
      </c>
      <c r="J1805" t="s">
        <v>65</v>
      </c>
      <c r="K1805" t="s">
        <v>29</v>
      </c>
      <c r="L1805">
        <v>0</v>
      </c>
      <c r="M1805" t="s">
        <v>29</v>
      </c>
      <c r="N1805">
        <v>0</v>
      </c>
      <c r="O1805">
        <v>0</v>
      </c>
      <c r="P1805" t="s">
        <v>30</v>
      </c>
      <c r="Q1805" s="2">
        <v>0.7</v>
      </c>
      <c r="R1805">
        <v>0</v>
      </c>
      <c r="V1805" t="str">
        <f>VLOOKUP(H1805,'[1]팀별 출판사'!A:B,2,0)</f>
        <v>소설1팀</v>
      </c>
      <c r="W1805" s="6">
        <f t="shared" si="56"/>
        <v>0</v>
      </c>
      <c r="X1805" s="6">
        <f t="shared" si="57"/>
        <v>0</v>
      </c>
    </row>
    <row r="1806" spans="1:24" x14ac:dyDescent="0.3">
      <c r="A1806" t="s">
        <v>2754</v>
      </c>
      <c r="B1806" t="s">
        <v>2845</v>
      </c>
      <c r="C1806" t="s">
        <v>23</v>
      </c>
      <c r="D1806" t="s">
        <v>24</v>
      </c>
      <c r="E1806" t="s">
        <v>25</v>
      </c>
      <c r="F1806">
        <v>1</v>
      </c>
      <c r="G1806">
        <v>9791133106127</v>
      </c>
      <c r="H1806" t="s">
        <v>32</v>
      </c>
      <c r="I1806" t="s">
        <v>585</v>
      </c>
      <c r="J1806" t="s">
        <v>160</v>
      </c>
      <c r="K1806" t="s">
        <v>29</v>
      </c>
      <c r="L1806">
        <v>0</v>
      </c>
      <c r="M1806" t="s">
        <v>29</v>
      </c>
      <c r="N1806">
        <v>0</v>
      </c>
      <c r="O1806">
        <v>0</v>
      </c>
      <c r="P1806" t="s">
        <v>30</v>
      </c>
      <c r="Q1806" s="2">
        <v>0.7</v>
      </c>
      <c r="R1806">
        <v>0</v>
      </c>
      <c r="V1806" t="str">
        <f>VLOOKUP(H1806,'[1]팀별 출판사'!A:B,2,0)</f>
        <v>소설1팀</v>
      </c>
      <c r="W1806" s="6">
        <f t="shared" si="56"/>
        <v>0</v>
      </c>
      <c r="X1806" s="6">
        <f t="shared" si="57"/>
        <v>0</v>
      </c>
    </row>
    <row r="1807" spans="1:24" x14ac:dyDescent="0.3">
      <c r="A1807" t="s">
        <v>2754</v>
      </c>
      <c r="B1807" t="s">
        <v>2846</v>
      </c>
      <c r="C1807" t="s">
        <v>23</v>
      </c>
      <c r="D1807" t="s">
        <v>24</v>
      </c>
      <c r="E1807" t="s">
        <v>25</v>
      </c>
      <c r="F1807">
        <v>1</v>
      </c>
      <c r="G1807">
        <v>9791133169290</v>
      </c>
      <c r="H1807" t="s">
        <v>32</v>
      </c>
      <c r="I1807" t="s">
        <v>671</v>
      </c>
      <c r="J1807" t="s">
        <v>160</v>
      </c>
      <c r="K1807" t="s">
        <v>29</v>
      </c>
      <c r="L1807">
        <v>0</v>
      </c>
      <c r="M1807" t="s">
        <v>29</v>
      </c>
      <c r="N1807">
        <v>0</v>
      </c>
      <c r="O1807">
        <v>0</v>
      </c>
      <c r="P1807" t="s">
        <v>30</v>
      </c>
      <c r="Q1807" s="2">
        <v>0.7</v>
      </c>
      <c r="R1807">
        <v>0</v>
      </c>
      <c r="V1807" t="str">
        <f>VLOOKUP(H1807,'[1]팀별 출판사'!A:B,2,0)</f>
        <v>소설1팀</v>
      </c>
      <c r="W1807" s="6">
        <f t="shared" si="56"/>
        <v>0</v>
      </c>
      <c r="X1807" s="6">
        <f t="shared" si="57"/>
        <v>0</v>
      </c>
    </row>
    <row r="1808" spans="1:24" x14ac:dyDescent="0.3">
      <c r="A1808" t="s">
        <v>2754</v>
      </c>
      <c r="B1808" t="s">
        <v>2847</v>
      </c>
      <c r="C1808" t="s">
        <v>23</v>
      </c>
      <c r="D1808" t="s">
        <v>24</v>
      </c>
      <c r="E1808" t="s">
        <v>25</v>
      </c>
      <c r="F1808">
        <v>1</v>
      </c>
      <c r="G1808">
        <v>9791136930286</v>
      </c>
      <c r="H1808" t="s">
        <v>32</v>
      </c>
      <c r="I1808" t="s">
        <v>818</v>
      </c>
      <c r="J1808" t="s">
        <v>157</v>
      </c>
      <c r="K1808" t="s">
        <v>29</v>
      </c>
      <c r="L1808">
        <v>0</v>
      </c>
      <c r="M1808" t="s">
        <v>29</v>
      </c>
      <c r="N1808">
        <v>0</v>
      </c>
      <c r="O1808">
        <v>0</v>
      </c>
      <c r="P1808" t="s">
        <v>30</v>
      </c>
      <c r="Q1808" s="2">
        <v>0.7</v>
      </c>
      <c r="R1808">
        <v>0</v>
      </c>
      <c r="V1808" t="str">
        <f>VLOOKUP(H1808,'[1]팀별 출판사'!A:B,2,0)</f>
        <v>소설1팀</v>
      </c>
      <c r="W1808" s="6">
        <f t="shared" si="56"/>
        <v>0</v>
      </c>
      <c r="X1808" s="6">
        <f t="shared" si="57"/>
        <v>0</v>
      </c>
    </row>
    <row r="1809" spans="1:24" x14ac:dyDescent="0.3">
      <c r="A1809" t="s">
        <v>2754</v>
      </c>
      <c r="B1809" t="s">
        <v>2848</v>
      </c>
      <c r="C1809" t="s">
        <v>23</v>
      </c>
      <c r="D1809" t="s">
        <v>24</v>
      </c>
      <c r="E1809" t="s">
        <v>25</v>
      </c>
      <c r="F1809">
        <v>1</v>
      </c>
      <c r="G1809">
        <v>9791136930491</v>
      </c>
      <c r="H1809" t="s">
        <v>26</v>
      </c>
      <c r="I1809" t="s">
        <v>151</v>
      </c>
      <c r="J1809" t="s">
        <v>46</v>
      </c>
      <c r="K1809" t="s">
        <v>29</v>
      </c>
      <c r="L1809">
        <v>0</v>
      </c>
      <c r="M1809" t="s">
        <v>29</v>
      </c>
      <c r="N1809">
        <v>0</v>
      </c>
      <c r="O1809">
        <v>0</v>
      </c>
      <c r="P1809" t="s">
        <v>30</v>
      </c>
      <c r="Q1809" s="2">
        <v>0.7</v>
      </c>
      <c r="R1809">
        <v>0</v>
      </c>
      <c r="V1809" t="str">
        <f>VLOOKUP(H1809,'[1]팀별 출판사'!A:B,2,0)</f>
        <v>소설1팀</v>
      </c>
      <c r="W1809" s="6">
        <f t="shared" si="56"/>
        <v>0</v>
      </c>
      <c r="X1809" s="6">
        <f t="shared" si="57"/>
        <v>0</v>
      </c>
    </row>
    <row r="1810" spans="1:24" x14ac:dyDescent="0.3">
      <c r="A1810" t="s">
        <v>2754</v>
      </c>
      <c r="B1810" t="s">
        <v>2849</v>
      </c>
      <c r="C1810" t="s">
        <v>23</v>
      </c>
      <c r="D1810" t="s">
        <v>24</v>
      </c>
      <c r="E1810" t="s">
        <v>25</v>
      </c>
      <c r="F1810">
        <v>1</v>
      </c>
      <c r="G1810">
        <v>9791136930750</v>
      </c>
      <c r="H1810" t="s">
        <v>32</v>
      </c>
      <c r="I1810" t="s">
        <v>656</v>
      </c>
      <c r="J1810" t="s">
        <v>157</v>
      </c>
      <c r="K1810" t="s">
        <v>29</v>
      </c>
      <c r="L1810">
        <v>0</v>
      </c>
      <c r="M1810" t="s">
        <v>29</v>
      </c>
      <c r="N1810">
        <v>0</v>
      </c>
      <c r="O1810">
        <v>0</v>
      </c>
      <c r="P1810" t="s">
        <v>30</v>
      </c>
      <c r="Q1810" s="2">
        <v>0.7</v>
      </c>
      <c r="R1810">
        <v>0</v>
      </c>
      <c r="V1810" t="str">
        <f>VLOOKUP(H1810,'[1]팀별 출판사'!A:B,2,0)</f>
        <v>소설1팀</v>
      </c>
      <c r="W1810" s="6">
        <f t="shared" si="56"/>
        <v>0</v>
      </c>
      <c r="X1810" s="6">
        <f t="shared" si="57"/>
        <v>0</v>
      </c>
    </row>
    <row r="1811" spans="1:24" x14ac:dyDescent="0.3">
      <c r="A1811" t="s">
        <v>2754</v>
      </c>
      <c r="B1811" t="s">
        <v>2850</v>
      </c>
      <c r="C1811" t="s">
        <v>23</v>
      </c>
      <c r="D1811" t="s">
        <v>24</v>
      </c>
      <c r="E1811" t="s">
        <v>25</v>
      </c>
      <c r="F1811">
        <v>1</v>
      </c>
      <c r="G1811">
        <v>9791136936769</v>
      </c>
      <c r="H1811" t="s">
        <v>32</v>
      </c>
      <c r="I1811" t="s">
        <v>792</v>
      </c>
      <c r="J1811" t="s">
        <v>793</v>
      </c>
      <c r="K1811" t="s">
        <v>29</v>
      </c>
      <c r="L1811">
        <v>0</v>
      </c>
      <c r="M1811" t="s">
        <v>29</v>
      </c>
      <c r="N1811">
        <v>0</v>
      </c>
      <c r="O1811">
        <v>0</v>
      </c>
      <c r="P1811" t="s">
        <v>30</v>
      </c>
      <c r="Q1811" s="2">
        <v>0.7</v>
      </c>
      <c r="R1811">
        <v>0</v>
      </c>
      <c r="V1811" t="str">
        <f>VLOOKUP(H1811,'[1]팀별 출판사'!A:B,2,0)</f>
        <v>소설1팀</v>
      </c>
      <c r="W1811" s="6">
        <f t="shared" si="56"/>
        <v>0</v>
      </c>
      <c r="X1811" s="6">
        <f t="shared" si="57"/>
        <v>0</v>
      </c>
    </row>
    <row r="1812" spans="1:24" x14ac:dyDescent="0.3">
      <c r="A1812" t="s">
        <v>2754</v>
      </c>
      <c r="B1812" t="s">
        <v>2851</v>
      </c>
      <c r="C1812" t="s">
        <v>23</v>
      </c>
      <c r="D1812" t="s">
        <v>24</v>
      </c>
      <c r="E1812" t="s">
        <v>25</v>
      </c>
      <c r="F1812">
        <v>1</v>
      </c>
      <c r="G1812">
        <v>9791136946263</v>
      </c>
      <c r="H1812" t="s">
        <v>26</v>
      </c>
      <c r="I1812" t="s">
        <v>781</v>
      </c>
      <c r="J1812" t="s">
        <v>421</v>
      </c>
      <c r="K1812" t="s">
        <v>29</v>
      </c>
      <c r="L1812">
        <v>0</v>
      </c>
      <c r="M1812" t="s">
        <v>29</v>
      </c>
      <c r="N1812">
        <v>0</v>
      </c>
      <c r="O1812">
        <v>0</v>
      </c>
      <c r="P1812" t="s">
        <v>30</v>
      </c>
      <c r="Q1812" s="2">
        <v>0.7</v>
      </c>
      <c r="R1812">
        <v>0</v>
      </c>
      <c r="V1812" t="str">
        <f>VLOOKUP(H1812,'[1]팀별 출판사'!A:B,2,0)</f>
        <v>소설1팀</v>
      </c>
      <c r="W1812" s="6">
        <f t="shared" si="56"/>
        <v>0</v>
      </c>
      <c r="X1812" s="6">
        <f t="shared" si="57"/>
        <v>0</v>
      </c>
    </row>
    <row r="1813" spans="1:24" x14ac:dyDescent="0.3">
      <c r="A1813" t="s">
        <v>2754</v>
      </c>
      <c r="B1813" t="s">
        <v>2852</v>
      </c>
      <c r="C1813" t="s">
        <v>23</v>
      </c>
      <c r="D1813" t="s">
        <v>24</v>
      </c>
      <c r="E1813" t="s">
        <v>25</v>
      </c>
      <c r="F1813">
        <v>1</v>
      </c>
      <c r="G1813">
        <v>9791170106715</v>
      </c>
      <c r="H1813" t="s">
        <v>67</v>
      </c>
      <c r="I1813" t="s">
        <v>68</v>
      </c>
      <c r="J1813" t="s">
        <v>69</v>
      </c>
      <c r="K1813" t="s">
        <v>29</v>
      </c>
      <c r="L1813">
        <v>0</v>
      </c>
      <c r="M1813" t="s">
        <v>2630</v>
      </c>
      <c r="N1813">
        <v>0</v>
      </c>
      <c r="O1813">
        <v>0</v>
      </c>
      <c r="P1813" t="s">
        <v>2631</v>
      </c>
      <c r="Q1813" s="2">
        <v>0.7</v>
      </c>
      <c r="R1813">
        <v>0</v>
      </c>
      <c r="V1813" t="str">
        <f>VLOOKUP(H1813,'[1]팀별 출판사'!A:B,2,0)</f>
        <v>소설1팀</v>
      </c>
      <c r="W1813" s="6">
        <f t="shared" si="56"/>
        <v>0</v>
      </c>
      <c r="X1813" s="6">
        <f t="shared" si="57"/>
        <v>0</v>
      </c>
    </row>
    <row r="1814" spans="1:24" x14ac:dyDescent="0.3">
      <c r="A1814" t="s">
        <v>2754</v>
      </c>
      <c r="B1814" t="s">
        <v>2853</v>
      </c>
      <c r="C1814" t="s">
        <v>23</v>
      </c>
      <c r="D1814" t="s">
        <v>24</v>
      </c>
      <c r="E1814" t="s">
        <v>25</v>
      </c>
      <c r="F1814">
        <v>1</v>
      </c>
      <c r="G1814">
        <v>9791170107064</v>
      </c>
      <c r="H1814" t="s">
        <v>67</v>
      </c>
      <c r="I1814" t="s">
        <v>901</v>
      </c>
      <c r="J1814" t="s">
        <v>902</v>
      </c>
      <c r="K1814" t="s">
        <v>29</v>
      </c>
      <c r="L1814">
        <v>0</v>
      </c>
      <c r="M1814" t="s">
        <v>933</v>
      </c>
      <c r="N1814">
        <v>0</v>
      </c>
      <c r="O1814">
        <v>0</v>
      </c>
      <c r="P1814" t="s">
        <v>934</v>
      </c>
      <c r="Q1814" s="2">
        <v>0.7</v>
      </c>
      <c r="R1814">
        <v>0</v>
      </c>
      <c r="V1814" t="str">
        <f>VLOOKUP(H1814,'[1]팀별 출판사'!A:B,2,0)</f>
        <v>소설1팀</v>
      </c>
      <c r="W1814" s="6">
        <f t="shared" si="56"/>
        <v>0</v>
      </c>
      <c r="X1814" s="6">
        <f t="shared" si="57"/>
        <v>0</v>
      </c>
    </row>
    <row r="1815" spans="1:24" x14ac:dyDescent="0.3">
      <c r="A1815" t="s">
        <v>2754</v>
      </c>
      <c r="B1815" t="s">
        <v>2854</v>
      </c>
      <c r="C1815" t="s">
        <v>23</v>
      </c>
      <c r="D1815" t="s">
        <v>24</v>
      </c>
      <c r="E1815" t="s">
        <v>25</v>
      </c>
      <c r="F1815">
        <v>1</v>
      </c>
      <c r="G1815">
        <v>9791170106715</v>
      </c>
      <c r="H1815" t="s">
        <v>67</v>
      </c>
      <c r="I1815" t="s">
        <v>68</v>
      </c>
      <c r="J1815" t="s">
        <v>69</v>
      </c>
      <c r="K1815" t="s">
        <v>29</v>
      </c>
      <c r="L1815">
        <v>0</v>
      </c>
      <c r="M1815" t="s">
        <v>252</v>
      </c>
      <c r="N1815">
        <v>0</v>
      </c>
      <c r="O1815">
        <v>0</v>
      </c>
      <c r="P1815" t="s">
        <v>253</v>
      </c>
      <c r="Q1815" s="2">
        <v>0.7</v>
      </c>
      <c r="R1815">
        <v>0</v>
      </c>
      <c r="V1815" t="str">
        <f>VLOOKUP(H1815,'[1]팀별 출판사'!A:B,2,0)</f>
        <v>소설1팀</v>
      </c>
      <c r="W1815" s="6">
        <f t="shared" si="56"/>
        <v>0</v>
      </c>
      <c r="X1815" s="6">
        <f t="shared" si="57"/>
        <v>0</v>
      </c>
    </row>
    <row r="1816" spans="1:24" x14ac:dyDescent="0.3">
      <c r="A1816" t="s">
        <v>2754</v>
      </c>
      <c r="B1816" t="s">
        <v>2855</v>
      </c>
      <c r="C1816" t="s">
        <v>23</v>
      </c>
      <c r="D1816" t="s">
        <v>24</v>
      </c>
      <c r="E1816" t="s">
        <v>25</v>
      </c>
      <c r="F1816">
        <v>1</v>
      </c>
      <c r="G1816">
        <v>9791194664369</v>
      </c>
      <c r="H1816" t="s">
        <v>79</v>
      </c>
      <c r="I1816" t="s">
        <v>156</v>
      </c>
      <c r="J1816" t="s">
        <v>157</v>
      </c>
      <c r="K1816" t="s">
        <v>29</v>
      </c>
      <c r="L1816">
        <v>0</v>
      </c>
      <c r="M1816" t="s">
        <v>29</v>
      </c>
      <c r="N1816">
        <v>0</v>
      </c>
      <c r="O1816">
        <v>0</v>
      </c>
      <c r="P1816" t="s">
        <v>30</v>
      </c>
      <c r="Q1816" s="2">
        <v>0.7</v>
      </c>
      <c r="R1816">
        <v>0</v>
      </c>
      <c r="V1816" t="str">
        <f>VLOOKUP(H1816,'[1]팀별 출판사'!A:B,2,0)</f>
        <v>소설1팀</v>
      </c>
      <c r="W1816" s="6">
        <f t="shared" si="56"/>
        <v>0</v>
      </c>
      <c r="X1816" s="6">
        <f t="shared" si="57"/>
        <v>0</v>
      </c>
    </row>
    <row r="1817" spans="1:24" x14ac:dyDescent="0.3">
      <c r="A1817" t="s">
        <v>2754</v>
      </c>
      <c r="B1817" t="s">
        <v>2856</v>
      </c>
      <c r="C1817" t="s">
        <v>23</v>
      </c>
      <c r="D1817" t="s">
        <v>24</v>
      </c>
      <c r="E1817" t="s">
        <v>25</v>
      </c>
      <c r="F1817">
        <v>1</v>
      </c>
      <c r="G1817" t="s">
        <v>2857</v>
      </c>
      <c r="H1817" t="s">
        <v>32</v>
      </c>
      <c r="I1817" t="s">
        <v>2858</v>
      </c>
      <c r="J1817" t="s">
        <v>43</v>
      </c>
      <c r="K1817" t="s">
        <v>29</v>
      </c>
      <c r="L1817" s="1">
        <v>3000</v>
      </c>
      <c r="M1817" t="s">
        <v>29</v>
      </c>
      <c r="N1817" s="1">
        <v>3000</v>
      </c>
      <c r="O1817" s="1">
        <v>3000</v>
      </c>
      <c r="P1817" t="s">
        <v>30</v>
      </c>
      <c r="Q1817" s="2">
        <v>0.7</v>
      </c>
      <c r="R1817" s="1">
        <v>2100</v>
      </c>
      <c r="S1817" t="s">
        <v>29</v>
      </c>
      <c r="T1817" s="1">
        <v>2100</v>
      </c>
      <c r="V1817" t="str">
        <f>VLOOKUP(H1817,'[1]팀별 출판사'!A:B,2,0)</f>
        <v>소설1팀</v>
      </c>
      <c r="W1817" s="6">
        <f t="shared" si="56"/>
        <v>0</v>
      </c>
      <c r="X1817" s="6">
        <f t="shared" si="57"/>
        <v>2100</v>
      </c>
    </row>
    <row r="1818" spans="1:24" x14ac:dyDescent="0.3">
      <c r="A1818" t="s">
        <v>2754</v>
      </c>
      <c r="B1818" t="s">
        <v>2859</v>
      </c>
      <c r="C1818" t="s">
        <v>23</v>
      </c>
      <c r="D1818" t="s">
        <v>24</v>
      </c>
      <c r="E1818" t="s">
        <v>25</v>
      </c>
      <c r="F1818">
        <v>1</v>
      </c>
      <c r="G1818">
        <v>9791157532308</v>
      </c>
      <c r="H1818" t="s">
        <v>32</v>
      </c>
      <c r="I1818" t="s">
        <v>2860</v>
      </c>
      <c r="J1818" t="s">
        <v>112</v>
      </c>
      <c r="K1818" t="s">
        <v>29</v>
      </c>
      <c r="L1818" s="1">
        <v>3200</v>
      </c>
      <c r="M1818" t="s">
        <v>29</v>
      </c>
      <c r="N1818" s="1">
        <v>3200</v>
      </c>
      <c r="O1818" s="1">
        <v>3200</v>
      </c>
      <c r="P1818" t="s">
        <v>30</v>
      </c>
      <c r="Q1818" s="2">
        <v>0.7</v>
      </c>
      <c r="R1818" s="1">
        <v>2240</v>
      </c>
      <c r="S1818" t="s">
        <v>29</v>
      </c>
      <c r="T1818" s="1">
        <v>2240</v>
      </c>
      <c r="V1818" t="str">
        <f>VLOOKUP(H1818,'[1]팀별 출판사'!A:B,2,0)</f>
        <v>소설1팀</v>
      </c>
      <c r="W1818" s="6">
        <f t="shared" si="56"/>
        <v>0</v>
      </c>
      <c r="X1818" s="6">
        <f t="shared" si="57"/>
        <v>2240</v>
      </c>
    </row>
    <row r="1819" spans="1:24" x14ac:dyDescent="0.3">
      <c r="A1819" t="s">
        <v>2754</v>
      </c>
      <c r="B1819" t="s">
        <v>2861</v>
      </c>
      <c r="C1819" t="s">
        <v>23</v>
      </c>
      <c r="D1819" t="s">
        <v>24</v>
      </c>
      <c r="E1819" t="s">
        <v>25</v>
      </c>
      <c r="F1819">
        <v>1</v>
      </c>
      <c r="G1819">
        <v>9791136942418</v>
      </c>
      <c r="H1819" t="s">
        <v>26</v>
      </c>
      <c r="I1819" t="s">
        <v>2055</v>
      </c>
      <c r="J1819" t="s">
        <v>284</v>
      </c>
      <c r="K1819" t="s">
        <v>29</v>
      </c>
      <c r="L1819">
        <v>0</v>
      </c>
      <c r="M1819" t="s">
        <v>29</v>
      </c>
      <c r="N1819">
        <v>0</v>
      </c>
      <c r="O1819">
        <v>0</v>
      </c>
      <c r="P1819" t="s">
        <v>30</v>
      </c>
      <c r="Q1819" s="2">
        <v>0.7</v>
      </c>
      <c r="R1819">
        <v>0</v>
      </c>
      <c r="V1819" t="str">
        <f>VLOOKUP(H1819,'[1]팀별 출판사'!A:B,2,0)</f>
        <v>소설1팀</v>
      </c>
      <c r="W1819" s="6">
        <f t="shared" si="56"/>
        <v>0</v>
      </c>
      <c r="X1819" s="6">
        <f t="shared" si="57"/>
        <v>0</v>
      </c>
    </row>
    <row r="1820" spans="1:24" x14ac:dyDescent="0.3">
      <c r="A1820" t="s">
        <v>2754</v>
      </c>
      <c r="B1820" t="s">
        <v>2862</v>
      </c>
      <c r="C1820" t="s">
        <v>23</v>
      </c>
      <c r="D1820" t="s">
        <v>24</v>
      </c>
      <c r="E1820" t="s">
        <v>25</v>
      </c>
      <c r="F1820">
        <v>1</v>
      </c>
      <c r="G1820" t="s">
        <v>448</v>
      </c>
      <c r="H1820" t="s">
        <v>32</v>
      </c>
      <c r="I1820" t="s">
        <v>449</v>
      </c>
      <c r="J1820" t="s">
        <v>311</v>
      </c>
      <c r="K1820" t="s">
        <v>29</v>
      </c>
      <c r="L1820">
        <v>0</v>
      </c>
      <c r="M1820" t="s">
        <v>29</v>
      </c>
      <c r="N1820">
        <v>0</v>
      </c>
      <c r="O1820">
        <v>0</v>
      </c>
      <c r="P1820" t="s">
        <v>30</v>
      </c>
      <c r="Q1820" s="2">
        <v>0.7</v>
      </c>
      <c r="R1820">
        <v>0</v>
      </c>
      <c r="V1820" t="str">
        <f>VLOOKUP(H1820,'[1]팀별 출판사'!A:B,2,0)</f>
        <v>소설1팀</v>
      </c>
      <c r="W1820" s="6">
        <f t="shared" si="56"/>
        <v>0</v>
      </c>
      <c r="X1820" s="6">
        <f t="shared" si="57"/>
        <v>0</v>
      </c>
    </row>
    <row r="1821" spans="1:24" x14ac:dyDescent="0.3">
      <c r="A1821" t="s">
        <v>2754</v>
      </c>
      <c r="B1821" t="s">
        <v>2863</v>
      </c>
      <c r="C1821" t="s">
        <v>23</v>
      </c>
      <c r="D1821" t="s">
        <v>24</v>
      </c>
      <c r="E1821" t="s">
        <v>25</v>
      </c>
      <c r="F1821">
        <v>1</v>
      </c>
      <c r="G1821">
        <v>9791136930491</v>
      </c>
      <c r="H1821" t="s">
        <v>26</v>
      </c>
      <c r="I1821" t="s">
        <v>151</v>
      </c>
      <c r="J1821" t="s">
        <v>46</v>
      </c>
      <c r="K1821" t="s">
        <v>29</v>
      </c>
      <c r="L1821">
        <v>0</v>
      </c>
      <c r="M1821" t="s">
        <v>29</v>
      </c>
      <c r="N1821">
        <v>0</v>
      </c>
      <c r="O1821">
        <v>0</v>
      </c>
      <c r="P1821" t="s">
        <v>30</v>
      </c>
      <c r="Q1821" s="2">
        <v>0.7</v>
      </c>
      <c r="R1821">
        <v>0</v>
      </c>
      <c r="V1821" t="str">
        <f>VLOOKUP(H1821,'[1]팀별 출판사'!A:B,2,0)</f>
        <v>소설1팀</v>
      </c>
      <c r="W1821" s="6">
        <f t="shared" si="56"/>
        <v>0</v>
      </c>
      <c r="X1821" s="6">
        <f t="shared" si="57"/>
        <v>0</v>
      </c>
    </row>
    <row r="1822" spans="1:24" x14ac:dyDescent="0.3">
      <c r="A1822" t="s">
        <v>2754</v>
      </c>
      <c r="B1822" t="s">
        <v>2864</v>
      </c>
      <c r="C1822" t="s">
        <v>23</v>
      </c>
      <c r="D1822" t="s">
        <v>24</v>
      </c>
      <c r="E1822" t="s">
        <v>25</v>
      </c>
      <c r="F1822">
        <v>1</v>
      </c>
      <c r="G1822">
        <v>9791136930361</v>
      </c>
      <c r="H1822" t="s">
        <v>32</v>
      </c>
      <c r="I1822" t="s">
        <v>33</v>
      </c>
      <c r="J1822" t="s">
        <v>34</v>
      </c>
      <c r="K1822" t="s">
        <v>29</v>
      </c>
      <c r="L1822">
        <v>0</v>
      </c>
      <c r="M1822" t="s">
        <v>29</v>
      </c>
      <c r="N1822">
        <v>0</v>
      </c>
      <c r="O1822">
        <v>0</v>
      </c>
      <c r="P1822" t="s">
        <v>30</v>
      </c>
      <c r="Q1822" s="2">
        <v>0.7</v>
      </c>
      <c r="R1822">
        <v>0</v>
      </c>
      <c r="V1822" t="str">
        <f>VLOOKUP(H1822,'[1]팀별 출판사'!A:B,2,0)</f>
        <v>소설1팀</v>
      </c>
      <c r="W1822" s="6">
        <f t="shared" si="56"/>
        <v>0</v>
      </c>
      <c r="X1822" s="6">
        <f t="shared" si="57"/>
        <v>0</v>
      </c>
    </row>
    <row r="1823" spans="1:24" x14ac:dyDescent="0.3">
      <c r="A1823" t="s">
        <v>2754</v>
      </c>
      <c r="B1823" t="s">
        <v>2865</v>
      </c>
      <c r="C1823" t="s">
        <v>23</v>
      </c>
      <c r="D1823" t="s">
        <v>24</v>
      </c>
      <c r="E1823" t="s">
        <v>25</v>
      </c>
      <c r="F1823">
        <v>1</v>
      </c>
      <c r="G1823" t="s">
        <v>797</v>
      </c>
      <c r="H1823" t="s">
        <v>32</v>
      </c>
      <c r="I1823" t="s">
        <v>798</v>
      </c>
      <c r="J1823" t="s">
        <v>43</v>
      </c>
      <c r="K1823" t="s">
        <v>29</v>
      </c>
      <c r="L1823">
        <v>0</v>
      </c>
      <c r="M1823" t="s">
        <v>29</v>
      </c>
      <c r="N1823">
        <v>0</v>
      </c>
      <c r="O1823">
        <v>0</v>
      </c>
      <c r="P1823" t="s">
        <v>30</v>
      </c>
      <c r="Q1823" s="2">
        <v>0.7</v>
      </c>
      <c r="R1823">
        <v>0</v>
      </c>
      <c r="V1823" t="str">
        <f>VLOOKUP(H1823,'[1]팀별 출판사'!A:B,2,0)</f>
        <v>소설1팀</v>
      </c>
      <c r="W1823" s="6">
        <f t="shared" si="56"/>
        <v>0</v>
      </c>
      <c r="X1823" s="6">
        <f t="shared" si="57"/>
        <v>0</v>
      </c>
    </row>
    <row r="1824" spans="1:24" x14ac:dyDescent="0.3">
      <c r="A1824" t="s">
        <v>2754</v>
      </c>
      <c r="B1824" t="s">
        <v>2866</v>
      </c>
      <c r="C1824" t="s">
        <v>23</v>
      </c>
      <c r="D1824" t="s">
        <v>24</v>
      </c>
      <c r="E1824" t="s">
        <v>25</v>
      </c>
      <c r="F1824">
        <v>1</v>
      </c>
      <c r="G1824" t="s">
        <v>2867</v>
      </c>
      <c r="H1824" t="s">
        <v>32</v>
      </c>
      <c r="I1824" t="s">
        <v>2868</v>
      </c>
      <c r="J1824" t="s">
        <v>166</v>
      </c>
      <c r="K1824" t="s">
        <v>29</v>
      </c>
      <c r="L1824">
        <v>0</v>
      </c>
      <c r="M1824" t="s">
        <v>29</v>
      </c>
      <c r="N1824">
        <v>0</v>
      </c>
      <c r="O1824">
        <v>0</v>
      </c>
      <c r="P1824" t="s">
        <v>30</v>
      </c>
      <c r="Q1824" s="2">
        <v>0.7</v>
      </c>
      <c r="R1824">
        <v>0</v>
      </c>
      <c r="V1824" t="str">
        <f>VLOOKUP(H1824,'[1]팀별 출판사'!A:B,2,0)</f>
        <v>소설1팀</v>
      </c>
      <c r="W1824" s="6">
        <f t="shared" si="56"/>
        <v>0</v>
      </c>
      <c r="X1824" s="6">
        <f t="shared" si="57"/>
        <v>0</v>
      </c>
    </row>
    <row r="1825" spans="1:24" x14ac:dyDescent="0.3">
      <c r="A1825" t="s">
        <v>2754</v>
      </c>
      <c r="B1825" t="s">
        <v>2869</v>
      </c>
      <c r="C1825" t="s">
        <v>23</v>
      </c>
      <c r="D1825" t="s">
        <v>24</v>
      </c>
      <c r="E1825" t="s">
        <v>25</v>
      </c>
      <c r="F1825">
        <v>1</v>
      </c>
      <c r="G1825" t="s">
        <v>245</v>
      </c>
      <c r="H1825" t="s">
        <v>32</v>
      </c>
      <c r="I1825" t="s">
        <v>246</v>
      </c>
      <c r="J1825" t="s">
        <v>166</v>
      </c>
      <c r="K1825" t="s">
        <v>29</v>
      </c>
      <c r="L1825">
        <v>0</v>
      </c>
      <c r="M1825" t="s">
        <v>29</v>
      </c>
      <c r="N1825">
        <v>0</v>
      </c>
      <c r="O1825">
        <v>0</v>
      </c>
      <c r="P1825" t="s">
        <v>30</v>
      </c>
      <c r="Q1825" s="2">
        <v>0.7</v>
      </c>
      <c r="R1825">
        <v>0</v>
      </c>
      <c r="V1825" t="str">
        <f>VLOOKUP(H1825,'[1]팀별 출판사'!A:B,2,0)</f>
        <v>소설1팀</v>
      </c>
      <c r="W1825" s="6">
        <f t="shared" si="56"/>
        <v>0</v>
      </c>
      <c r="X1825" s="6">
        <f t="shared" si="57"/>
        <v>0</v>
      </c>
    </row>
    <row r="1826" spans="1:24" x14ac:dyDescent="0.3">
      <c r="A1826" t="s">
        <v>2754</v>
      </c>
      <c r="B1826" t="s">
        <v>2870</v>
      </c>
      <c r="C1826" t="s">
        <v>23</v>
      </c>
      <c r="D1826" t="s">
        <v>24</v>
      </c>
      <c r="E1826" t="s">
        <v>25</v>
      </c>
      <c r="F1826">
        <v>1</v>
      </c>
      <c r="G1826" t="s">
        <v>1886</v>
      </c>
      <c r="H1826" t="s">
        <v>32</v>
      </c>
      <c r="I1826" t="s">
        <v>1887</v>
      </c>
      <c r="J1826" t="s">
        <v>166</v>
      </c>
      <c r="K1826" t="s">
        <v>29</v>
      </c>
      <c r="L1826">
        <v>0</v>
      </c>
      <c r="M1826" t="s">
        <v>29</v>
      </c>
      <c r="N1826">
        <v>0</v>
      </c>
      <c r="O1826">
        <v>0</v>
      </c>
      <c r="P1826" t="s">
        <v>30</v>
      </c>
      <c r="Q1826" s="2">
        <v>0.7</v>
      </c>
      <c r="R1826">
        <v>0</v>
      </c>
      <c r="V1826" t="str">
        <f>VLOOKUP(H1826,'[1]팀별 출판사'!A:B,2,0)</f>
        <v>소설1팀</v>
      </c>
      <c r="W1826" s="6">
        <f t="shared" si="56"/>
        <v>0</v>
      </c>
      <c r="X1826" s="6">
        <f t="shared" si="57"/>
        <v>0</v>
      </c>
    </row>
    <row r="1827" spans="1:24" x14ac:dyDescent="0.3">
      <c r="A1827" t="s">
        <v>2754</v>
      </c>
      <c r="B1827" t="s">
        <v>2871</v>
      </c>
      <c r="C1827" t="s">
        <v>23</v>
      </c>
      <c r="D1827" t="s">
        <v>24</v>
      </c>
      <c r="E1827" t="s">
        <v>25</v>
      </c>
      <c r="F1827">
        <v>1</v>
      </c>
      <c r="G1827">
        <v>9791136945013</v>
      </c>
      <c r="H1827" t="s">
        <v>26</v>
      </c>
      <c r="I1827" t="s">
        <v>125</v>
      </c>
      <c r="J1827" t="s">
        <v>126</v>
      </c>
      <c r="K1827" t="s">
        <v>29</v>
      </c>
      <c r="L1827">
        <v>0</v>
      </c>
      <c r="M1827" t="s">
        <v>127</v>
      </c>
      <c r="N1827">
        <v>0</v>
      </c>
      <c r="O1827">
        <v>0</v>
      </c>
      <c r="P1827" t="s">
        <v>128</v>
      </c>
      <c r="Q1827" s="2">
        <v>0.7</v>
      </c>
      <c r="R1827">
        <v>0</v>
      </c>
      <c r="V1827" t="str">
        <f>VLOOKUP(H1827,'[1]팀별 출판사'!A:B,2,0)</f>
        <v>소설1팀</v>
      </c>
      <c r="W1827" s="6">
        <f t="shared" si="56"/>
        <v>0</v>
      </c>
      <c r="X1827" s="6">
        <f t="shared" si="57"/>
        <v>0</v>
      </c>
    </row>
    <row r="1828" spans="1:24" x14ac:dyDescent="0.3">
      <c r="A1828" t="s">
        <v>2754</v>
      </c>
      <c r="B1828" t="s">
        <v>2872</v>
      </c>
      <c r="C1828" t="s">
        <v>23</v>
      </c>
      <c r="D1828" t="s">
        <v>24</v>
      </c>
      <c r="E1828" t="s">
        <v>25</v>
      </c>
      <c r="F1828">
        <v>1</v>
      </c>
      <c r="G1828">
        <v>9791136942142</v>
      </c>
      <c r="H1828" t="s">
        <v>26</v>
      </c>
      <c r="I1828" t="s">
        <v>180</v>
      </c>
      <c r="J1828" t="s">
        <v>46</v>
      </c>
      <c r="K1828" t="s">
        <v>29</v>
      </c>
      <c r="L1828">
        <v>0</v>
      </c>
      <c r="M1828" t="s">
        <v>29</v>
      </c>
      <c r="N1828">
        <v>0</v>
      </c>
      <c r="O1828">
        <v>0</v>
      </c>
      <c r="P1828" t="s">
        <v>30</v>
      </c>
      <c r="Q1828" s="2">
        <v>0.7</v>
      </c>
      <c r="R1828">
        <v>0</v>
      </c>
      <c r="V1828" t="str">
        <f>VLOOKUP(H1828,'[1]팀별 출판사'!A:B,2,0)</f>
        <v>소설1팀</v>
      </c>
      <c r="W1828" s="6">
        <f t="shared" si="56"/>
        <v>0</v>
      </c>
      <c r="X1828" s="6">
        <f t="shared" si="57"/>
        <v>0</v>
      </c>
    </row>
    <row r="1829" spans="1:24" x14ac:dyDescent="0.3">
      <c r="A1829" t="s">
        <v>2754</v>
      </c>
      <c r="B1829" t="s">
        <v>2873</v>
      </c>
      <c r="C1829" t="s">
        <v>23</v>
      </c>
      <c r="D1829" t="s">
        <v>24</v>
      </c>
      <c r="E1829" t="s">
        <v>25</v>
      </c>
      <c r="F1829">
        <v>1</v>
      </c>
      <c r="G1829">
        <v>9791136932648</v>
      </c>
      <c r="H1829" t="s">
        <v>32</v>
      </c>
      <c r="I1829" t="s">
        <v>832</v>
      </c>
      <c r="J1829" t="s">
        <v>34</v>
      </c>
      <c r="K1829" t="s">
        <v>29</v>
      </c>
      <c r="L1829">
        <v>0</v>
      </c>
      <c r="M1829" t="s">
        <v>29</v>
      </c>
      <c r="N1829">
        <v>0</v>
      </c>
      <c r="O1829">
        <v>0</v>
      </c>
      <c r="P1829" t="s">
        <v>30</v>
      </c>
      <c r="Q1829" s="2">
        <v>0.7</v>
      </c>
      <c r="R1829">
        <v>0</v>
      </c>
      <c r="V1829" t="str">
        <f>VLOOKUP(H1829,'[1]팀별 출판사'!A:B,2,0)</f>
        <v>소설1팀</v>
      </c>
      <c r="W1829" s="6">
        <f t="shared" si="56"/>
        <v>0</v>
      </c>
      <c r="X1829" s="6">
        <f t="shared" si="57"/>
        <v>0</v>
      </c>
    </row>
    <row r="1830" spans="1:24" x14ac:dyDescent="0.3">
      <c r="A1830" t="s">
        <v>2754</v>
      </c>
      <c r="B1830" t="s">
        <v>2874</v>
      </c>
      <c r="C1830" t="s">
        <v>23</v>
      </c>
      <c r="D1830" t="s">
        <v>24</v>
      </c>
      <c r="E1830" t="s">
        <v>25</v>
      </c>
      <c r="F1830">
        <v>1</v>
      </c>
      <c r="G1830">
        <v>9791170101864</v>
      </c>
      <c r="H1830" t="s">
        <v>67</v>
      </c>
      <c r="I1830" t="s">
        <v>1985</v>
      </c>
      <c r="J1830" t="s">
        <v>402</v>
      </c>
      <c r="K1830" t="s">
        <v>29</v>
      </c>
      <c r="L1830">
        <v>0</v>
      </c>
      <c r="M1830" t="s">
        <v>29</v>
      </c>
      <c r="N1830">
        <v>0</v>
      </c>
      <c r="O1830">
        <v>0</v>
      </c>
      <c r="P1830" t="s">
        <v>30</v>
      </c>
      <c r="Q1830" s="2">
        <v>0.7</v>
      </c>
      <c r="R1830">
        <v>0</v>
      </c>
      <c r="V1830" t="str">
        <f>VLOOKUP(H1830,'[1]팀별 출판사'!A:B,2,0)</f>
        <v>소설1팀</v>
      </c>
      <c r="W1830" s="6">
        <f t="shared" si="56"/>
        <v>0</v>
      </c>
      <c r="X1830" s="6">
        <f t="shared" si="57"/>
        <v>0</v>
      </c>
    </row>
    <row r="1831" spans="1:24" x14ac:dyDescent="0.3">
      <c r="A1831" t="s">
        <v>2754</v>
      </c>
      <c r="B1831" t="s">
        <v>2875</v>
      </c>
      <c r="C1831" t="s">
        <v>23</v>
      </c>
      <c r="D1831" t="s">
        <v>24</v>
      </c>
      <c r="E1831" t="s">
        <v>25</v>
      </c>
      <c r="F1831">
        <v>1</v>
      </c>
      <c r="G1831">
        <v>9791136942432</v>
      </c>
      <c r="H1831" t="s">
        <v>26</v>
      </c>
      <c r="I1831" t="s">
        <v>2876</v>
      </c>
      <c r="J1831" t="s">
        <v>284</v>
      </c>
      <c r="K1831" t="s">
        <v>29</v>
      </c>
      <c r="L1831" s="1">
        <v>3200</v>
      </c>
      <c r="M1831" t="s">
        <v>29</v>
      </c>
      <c r="N1831" s="1">
        <v>3200</v>
      </c>
      <c r="O1831" s="1">
        <v>3200</v>
      </c>
      <c r="P1831" t="s">
        <v>30</v>
      </c>
      <c r="Q1831" s="2">
        <v>0.7</v>
      </c>
      <c r="R1831" s="1">
        <v>2240</v>
      </c>
      <c r="S1831" t="s">
        <v>29</v>
      </c>
      <c r="T1831" s="1">
        <v>2240</v>
      </c>
      <c r="V1831" t="str">
        <f>VLOOKUP(H1831,'[1]팀별 출판사'!A:B,2,0)</f>
        <v>소설1팀</v>
      </c>
      <c r="W1831" s="6">
        <f t="shared" si="56"/>
        <v>0</v>
      </c>
      <c r="X1831" s="6">
        <f t="shared" si="57"/>
        <v>2240</v>
      </c>
    </row>
    <row r="1832" spans="1:24" x14ac:dyDescent="0.3">
      <c r="A1832" t="s">
        <v>2754</v>
      </c>
      <c r="B1832" t="s">
        <v>2877</v>
      </c>
      <c r="C1832" t="s">
        <v>23</v>
      </c>
      <c r="D1832" t="s">
        <v>24</v>
      </c>
      <c r="E1832" t="s">
        <v>25</v>
      </c>
      <c r="F1832">
        <v>1</v>
      </c>
      <c r="G1832">
        <v>9791136931375</v>
      </c>
      <c r="H1832" t="s">
        <v>32</v>
      </c>
      <c r="I1832" t="s">
        <v>189</v>
      </c>
      <c r="J1832" t="s">
        <v>46</v>
      </c>
      <c r="K1832" t="s">
        <v>29</v>
      </c>
      <c r="L1832">
        <v>0</v>
      </c>
      <c r="M1832" t="s">
        <v>47</v>
      </c>
      <c r="N1832">
        <v>0</v>
      </c>
      <c r="O1832">
        <v>0</v>
      </c>
      <c r="P1832" t="s">
        <v>48</v>
      </c>
      <c r="Q1832" s="2">
        <v>0.7</v>
      </c>
      <c r="R1832">
        <v>0</v>
      </c>
      <c r="V1832" t="str">
        <f>VLOOKUP(H1832,'[1]팀별 출판사'!A:B,2,0)</f>
        <v>소설1팀</v>
      </c>
      <c r="W1832" s="6">
        <f t="shared" si="56"/>
        <v>0</v>
      </c>
      <c r="X1832" s="6">
        <f t="shared" si="57"/>
        <v>0</v>
      </c>
    </row>
    <row r="1833" spans="1:24" x14ac:dyDescent="0.3">
      <c r="A1833" t="s">
        <v>2754</v>
      </c>
      <c r="B1833" t="s">
        <v>2878</v>
      </c>
      <c r="C1833" t="s">
        <v>23</v>
      </c>
      <c r="D1833" t="s">
        <v>24</v>
      </c>
      <c r="E1833" t="s">
        <v>25</v>
      </c>
      <c r="F1833">
        <v>1</v>
      </c>
      <c r="G1833">
        <v>9791136930491</v>
      </c>
      <c r="H1833" t="s">
        <v>26</v>
      </c>
      <c r="I1833" t="s">
        <v>151</v>
      </c>
      <c r="J1833" t="s">
        <v>46</v>
      </c>
      <c r="K1833" t="s">
        <v>29</v>
      </c>
      <c r="L1833">
        <v>0</v>
      </c>
      <c r="M1833" t="s">
        <v>47</v>
      </c>
      <c r="N1833">
        <v>0</v>
      </c>
      <c r="O1833">
        <v>0</v>
      </c>
      <c r="P1833" t="s">
        <v>48</v>
      </c>
      <c r="Q1833" s="2">
        <v>0.7</v>
      </c>
      <c r="R1833">
        <v>0</v>
      </c>
      <c r="V1833" t="str">
        <f>VLOOKUP(H1833,'[1]팀별 출판사'!A:B,2,0)</f>
        <v>소설1팀</v>
      </c>
      <c r="W1833" s="6">
        <f t="shared" si="56"/>
        <v>0</v>
      </c>
      <c r="X1833" s="6">
        <f t="shared" si="57"/>
        <v>0</v>
      </c>
    </row>
    <row r="1834" spans="1:24" x14ac:dyDescent="0.3">
      <c r="A1834" t="s">
        <v>2754</v>
      </c>
      <c r="B1834" t="s">
        <v>2879</v>
      </c>
      <c r="C1834" t="s">
        <v>23</v>
      </c>
      <c r="D1834" t="s">
        <v>24</v>
      </c>
      <c r="E1834" t="s">
        <v>25</v>
      </c>
      <c r="F1834">
        <v>1</v>
      </c>
      <c r="G1834">
        <v>9791136931382</v>
      </c>
      <c r="H1834" t="s">
        <v>32</v>
      </c>
      <c r="I1834" t="s">
        <v>523</v>
      </c>
      <c r="J1834" t="s">
        <v>46</v>
      </c>
      <c r="K1834" t="s">
        <v>29</v>
      </c>
      <c r="L1834">
        <v>0</v>
      </c>
      <c r="M1834" t="s">
        <v>47</v>
      </c>
      <c r="N1834">
        <v>0</v>
      </c>
      <c r="O1834">
        <v>0</v>
      </c>
      <c r="P1834" t="s">
        <v>48</v>
      </c>
      <c r="Q1834" s="2">
        <v>0.7</v>
      </c>
      <c r="R1834">
        <v>0</v>
      </c>
      <c r="V1834" t="str">
        <f>VLOOKUP(H1834,'[1]팀별 출판사'!A:B,2,0)</f>
        <v>소설1팀</v>
      </c>
      <c r="W1834" s="6">
        <f t="shared" si="56"/>
        <v>0</v>
      </c>
      <c r="X1834" s="6">
        <f t="shared" si="57"/>
        <v>0</v>
      </c>
    </row>
    <row r="1835" spans="1:24" x14ac:dyDescent="0.3">
      <c r="A1835" t="s">
        <v>2754</v>
      </c>
      <c r="B1835" t="s">
        <v>2880</v>
      </c>
      <c r="C1835" t="s">
        <v>23</v>
      </c>
      <c r="D1835" t="s">
        <v>24</v>
      </c>
      <c r="E1835" t="s">
        <v>25</v>
      </c>
      <c r="F1835">
        <v>1</v>
      </c>
      <c r="G1835">
        <v>9791136946263</v>
      </c>
      <c r="H1835" t="s">
        <v>26</v>
      </c>
      <c r="I1835" t="s">
        <v>781</v>
      </c>
      <c r="J1835" t="s">
        <v>421</v>
      </c>
      <c r="K1835" t="s">
        <v>29</v>
      </c>
      <c r="L1835">
        <v>0</v>
      </c>
      <c r="M1835" t="s">
        <v>29</v>
      </c>
      <c r="N1835">
        <v>0</v>
      </c>
      <c r="O1835">
        <v>0</v>
      </c>
      <c r="P1835" t="s">
        <v>30</v>
      </c>
      <c r="Q1835" s="2">
        <v>0.7</v>
      </c>
      <c r="R1835">
        <v>0</v>
      </c>
      <c r="V1835" t="str">
        <f>VLOOKUP(H1835,'[1]팀별 출판사'!A:B,2,0)</f>
        <v>소설1팀</v>
      </c>
      <c r="W1835" s="6">
        <f t="shared" si="56"/>
        <v>0</v>
      </c>
      <c r="X1835" s="6">
        <f t="shared" si="57"/>
        <v>0</v>
      </c>
    </row>
    <row r="1836" spans="1:24" x14ac:dyDescent="0.3">
      <c r="A1836" t="s">
        <v>2754</v>
      </c>
      <c r="B1836" t="s">
        <v>2881</v>
      </c>
      <c r="C1836" t="s">
        <v>23</v>
      </c>
      <c r="D1836" t="s">
        <v>24</v>
      </c>
      <c r="E1836" t="s">
        <v>25</v>
      </c>
      <c r="F1836">
        <v>1</v>
      </c>
      <c r="G1836">
        <v>9791136942449</v>
      </c>
      <c r="H1836" t="s">
        <v>26</v>
      </c>
      <c r="I1836" t="s">
        <v>2882</v>
      </c>
      <c r="J1836" t="s">
        <v>284</v>
      </c>
      <c r="K1836" t="s">
        <v>29</v>
      </c>
      <c r="L1836" s="1">
        <v>3200</v>
      </c>
      <c r="M1836" t="s">
        <v>29</v>
      </c>
      <c r="N1836" s="1">
        <v>3200</v>
      </c>
      <c r="O1836" s="1">
        <v>3200</v>
      </c>
      <c r="P1836" t="s">
        <v>30</v>
      </c>
      <c r="Q1836" s="2">
        <v>0.7</v>
      </c>
      <c r="R1836" s="1">
        <v>2240</v>
      </c>
      <c r="S1836" t="s">
        <v>29</v>
      </c>
      <c r="T1836" s="1">
        <v>2240</v>
      </c>
      <c r="V1836" t="str">
        <f>VLOOKUP(H1836,'[1]팀별 출판사'!A:B,2,0)</f>
        <v>소설1팀</v>
      </c>
      <c r="W1836" s="6">
        <f t="shared" si="56"/>
        <v>0</v>
      </c>
      <c r="X1836" s="6">
        <f t="shared" si="57"/>
        <v>2240</v>
      </c>
    </row>
    <row r="1837" spans="1:24" x14ac:dyDescent="0.3">
      <c r="A1837" t="s">
        <v>2754</v>
      </c>
      <c r="B1837" t="s">
        <v>2883</v>
      </c>
      <c r="C1837" t="s">
        <v>23</v>
      </c>
      <c r="D1837" t="s">
        <v>24</v>
      </c>
      <c r="E1837" t="s">
        <v>25</v>
      </c>
      <c r="F1837">
        <v>1</v>
      </c>
      <c r="G1837">
        <v>9791172920135</v>
      </c>
      <c r="H1837" t="s">
        <v>26</v>
      </c>
      <c r="I1837" t="s">
        <v>278</v>
      </c>
      <c r="J1837" t="s">
        <v>276</v>
      </c>
      <c r="K1837" t="s">
        <v>29</v>
      </c>
      <c r="L1837">
        <v>0</v>
      </c>
      <c r="M1837" t="s">
        <v>29</v>
      </c>
      <c r="N1837">
        <v>0</v>
      </c>
      <c r="O1837">
        <v>0</v>
      </c>
      <c r="P1837" t="s">
        <v>30</v>
      </c>
      <c r="Q1837" s="2">
        <v>0.7</v>
      </c>
      <c r="R1837">
        <v>0</v>
      </c>
      <c r="V1837" t="str">
        <f>VLOOKUP(H1837,'[1]팀별 출판사'!A:B,2,0)</f>
        <v>소설1팀</v>
      </c>
      <c r="W1837" s="6">
        <f t="shared" si="56"/>
        <v>0</v>
      </c>
      <c r="X1837" s="6">
        <f t="shared" si="57"/>
        <v>0</v>
      </c>
    </row>
    <row r="1838" spans="1:24" x14ac:dyDescent="0.3">
      <c r="A1838" t="s">
        <v>2754</v>
      </c>
      <c r="B1838" t="s">
        <v>2884</v>
      </c>
      <c r="C1838" t="s">
        <v>23</v>
      </c>
      <c r="D1838" t="s">
        <v>24</v>
      </c>
      <c r="E1838" t="s">
        <v>25</v>
      </c>
      <c r="F1838">
        <v>1</v>
      </c>
      <c r="G1838">
        <v>9791136916648</v>
      </c>
      <c r="H1838" t="s">
        <v>26</v>
      </c>
      <c r="I1838" t="s">
        <v>2885</v>
      </c>
      <c r="J1838" t="s">
        <v>2886</v>
      </c>
      <c r="K1838" t="s">
        <v>29</v>
      </c>
      <c r="L1838">
        <v>0</v>
      </c>
      <c r="M1838" t="s">
        <v>29</v>
      </c>
      <c r="N1838">
        <v>0</v>
      </c>
      <c r="O1838">
        <v>0</v>
      </c>
      <c r="P1838" t="s">
        <v>30</v>
      </c>
      <c r="Q1838" s="2">
        <v>0.7</v>
      </c>
      <c r="R1838">
        <v>0</v>
      </c>
      <c r="V1838" t="str">
        <f>VLOOKUP(H1838,'[1]팀별 출판사'!A:B,2,0)</f>
        <v>소설1팀</v>
      </c>
      <c r="W1838" s="6">
        <f t="shared" si="56"/>
        <v>0</v>
      </c>
      <c r="X1838" s="6">
        <f t="shared" si="57"/>
        <v>0</v>
      </c>
    </row>
    <row r="1839" spans="1:24" x14ac:dyDescent="0.3">
      <c r="A1839" t="s">
        <v>2754</v>
      </c>
      <c r="B1839" t="s">
        <v>2887</v>
      </c>
      <c r="C1839" t="s">
        <v>23</v>
      </c>
      <c r="D1839" t="s">
        <v>24</v>
      </c>
      <c r="E1839" t="s">
        <v>25</v>
      </c>
      <c r="F1839">
        <v>1</v>
      </c>
      <c r="G1839">
        <v>9791133133444</v>
      </c>
      <c r="H1839" t="s">
        <v>32</v>
      </c>
      <c r="I1839" t="s">
        <v>2888</v>
      </c>
      <c r="J1839" t="s">
        <v>813</v>
      </c>
      <c r="K1839" t="s">
        <v>29</v>
      </c>
      <c r="L1839" s="1">
        <v>2500</v>
      </c>
      <c r="M1839" t="s">
        <v>29</v>
      </c>
      <c r="N1839" s="1">
        <v>2500</v>
      </c>
      <c r="O1839" s="1">
        <v>2500</v>
      </c>
      <c r="P1839" t="s">
        <v>30</v>
      </c>
      <c r="Q1839" s="2">
        <v>0.7</v>
      </c>
      <c r="R1839" s="1">
        <v>1750</v>
      </c>
      <c r="S1839" t="s">
        <v>29</v>
      </c>
      <c r="T1839" s="1">
        <v>1750</v>
      </c>
      <c r="V1839" t="str">
        <f>VLOOKUP(H1839,'[1]팀별 출판사'!A:B,2,0)</f>
        <v>소설1팀</v>
      </c>
      <c r="W1839" s="6">
        <f t="shared" si="56"/>
        <v>0</v>
      </c>
      <c r="X1839" s="6">
        <f t="shared" si="57"/>
        <v>1750</v>
      </c>
    </row>
    <row r="1840" spans="1:24" x14ac:dyDescent="0.3">
      <c r="A1840" t="s">
        <v>2754</v>
      </c>
      <c r="B1840" t="s">
        <v>2889</v>
      </c>
      <c r="C1840" t="s">
        <v>23</v>
      </c>
      <c r="D1840" t="s">
        <v>24</v>
      </c>
      <c r="E1840" t="s">
        <v>25</v>
      </c>
      <c r="F1840">
        <v>1</v>
      </c>
      <c r="G1840" t="s">
        <v>2160</v>
      </c>
      <c r="H1840" t="s">
        <v>32</v>
      </c>
      <c r="I1840" t="s">
        <v>2161</v>
      </c>
      <c r="J1840" t="s">
        <v>88</v>
      </c>
      <c r="K1840" t="s">
        <v>29</v>
      </c>
      <c r="L1840">
        <v>0</v>
      </c>
      <c r="M1840" t="s">
        <v>29</v>
      </c>
      <c r="N1840">
        <v>0</v>
      </c>
      <c r="O1840">
        <v>0</v>
      </c>
      <c r="P1840" t="s">
        <v>30</v>
      </c>
      <c r="Q1840" s="2">
        <v>0.7</v>
      </c>
      <c r="R1840">
        <v>0</v>
      </c>
      <c r="V1840" t="str">
        <f>VLOOKUP(H1840,'[1]팀별 출판사'!A:B,2,0)</f>
        <v>소설1팀</v>
      </c>
      <c r="W1840" s="6">
        <f t="shared" si="56"/>
        <v>0</v>
      </c>
      <c r="X1840" s="6">
        <f t="shared" si="57"/>
        <v>0</v>
      </c>
    </row>
    <row r="1841" spans="1:24" x14ac:dyDescent="0.3">
      <c r="A1841" t="s">
        <v>2754</v>
      </c>
      <c r="B1841" t="s">
        <v>2890</v>
      </c>
      <c r="C1841" t="s">
        <v>23</v>
      </c>
      <c r="D1841" t="s">
        <v>24</v>
      </c>
      <c r="E1841" t="s">
        <v>25</v>
      </c>
      <c r="F1841">
        <v>1</v>
      </c>
      <c r="G1841">
        <v>9791133171439</v>
      </c>
      <c r="H1841" t="s">
        <v>26</v>
      </c>
      <c r="I1841" t="s">
        <v>286</v>
      </c>
      <c r="J1841" t="s">
        <v>287</v>
      </c>
      <c r="K1841" t="s">
        <v>29</v>
      </c>
      <c r="L1841">
        <v>0</v>
      </c>
      <c r="M1841" t="s">
        <v>29</v>
      </c>
      <c r="N1841">
        <v>0</v>
      </c>
      <c r="O1841">
        <v>0</v>
      </c>
      <c r="P1841" t="s">
        <v>30</v>
      </c>
      <c r="Q1841" s="2">
        <v>0.7</v>
      </c>
      <c r="R1841">
        <v>0</v>
      </c>
      <c r="V1841" t="str">
        <f>VLOOKUP(H1841,'[1]팀별 출판사'!A:B,2,0)</f>
        <v>소설1팀</v>
      </c>
      <c r="W1841" s="6">
        <f t="shared" si="56"/>
        <v>0</v>
      </c>
      <c r="X1841" s="6">
        <f t="shared" si="57"/>
        <v>0</v>
      </c>
    </row>
    <row r="1842" spans="1:24" x14ac:dyDescent="0.3">
      <c r="A1842" t="s">
        <v>2754</v>
      </c>
      <c r="B1842" t="s">
        <v>2891</v>
      </c>
      <c r="C1842" t="s">
        <v>23</v>
      </c>
      <c r="D1842" t="s">
        <v>24</v>
      </c>
      <c r="E1842" t="s">
        <v>25</v>
      </c>
      <c r="F1842">
        <v>1</v>
      </c>
      <c r="G1842">
        <v>9791136943361</v>
      </c>
      <c r="H1842" t="s">
        <v>26</v>
      </c>
      <c r="I1842" t="s">
        <v>2346</v>
      </c>
      <c r="J1842" t="s">
        <v>284</v>
      </c>
      <c r="K1842" t="s">
        <v>29</v>
      </c>
      <c r="L1842">
        <v>0</v>
      </c>
      <c r="M1842" t="s">
        <v>29</v>
      </c>
      <c r="N1842">
        <v>0</v>
      </c>
      <c r="O1842">
        <v>0</v>
      </c>
      <c r="P1842" t="s">
        <v>30</v>
      </c>
      <c r="Q1842" s="2">
        <v>0.7</v>
      </c>
      <c r="R1842">
        <v>0</v>
      </c>
      <c r="V1842" t="str">
        <f>VLOOKUP(H1842,'[1]팀별 출판사'!A:B,2,0)</f>
        <v>소설1팀</v>
      </c>
      <c r="W1842" s="6">
        <f t="shared" si="56"/>
        <v>0</v>
      </c>
      <c r="X1842" s="6">
        <f t="shared" si="57"/>
        <v>0</v>
      </c>
    </row>
    <row r="1843" spans="1:24" x14ac:dyDescent="0.3">
      <c r="A1843" t="s">
        <v>2754</v>
      </c>
      <c r="B1843" t="s">
        <v>2892</v>
      </c>
      <c r="C1843" t="s">
        <v>23</v>
      </c>
      <c r="D1843" t="s">
        <v>24</v>
      </c>
      <c r="E1843" t="s">
        <v>25</v>
      </c>
      <c r="F1843">
        <v>1</v>
      </c>
      <c r="G1843" t="s">
        <v>2270</v>
      </c>
      <c r="H1843" t="s">
        <v>32</v>
      </c>
      <c r="I1843" t="s">
        <v>2271</v>
      </c>
      <c r="J1843" t="s">
        <v>311</v>
      </c>
      <c r="K1843" t="s">
        <v>29</v>
      </c>
      <c r="L1843" s="1">
        <v>3200</v>
      </c>
      <c r="M1843" t="s">
        <v>29</v>
      </c>
      <c r="N1843" s="1">
        <v>3200</v>
      </c>
      <c r="O1843" s="1">
        <v>3200</v>
      </c>
      <c r="P1843" t="s">
        <v>30</v>
      </c>
      <c r="Q1843" s="2">
        <v>0.7</v>
      </c>
      <c r="R1843" s="1">
        <v>2240</v>
      </c>
      <c r="S1843" t="s">
        <v>29</v>
      </c>
      <c r="T1843" s="1">
        <v>2240</v>
      </c>
      <c r="V1843" t="str">
        <f>VLOOKUP(H1843,'[1]팀별 출판사'!A:B,2,0)</f>
        <v>소설1팀</v>
      </c>
      <c r="W1843" s="6">
        <f t="shared" si="56"/>
        <v>0</v>
      </c>
      <c r="X1843" s="6">
        <f t="shared" si="57"/>
        <v>2240</v>
      </c>
    </row>
    <row r="1844" spans="1:24" x14ac:dyDescent="0.3">
      <c r="A1844" t="s">
        <v>2754</v>
      </c>
      <c r="B1844" t="s">
        <v>2893</v>
      </c>
      <c r="C1844" t="s">
        <v>23</v>
      </c>
      <c r="D1844" t="s">
        <v>24</v>
      </c>
      <c r="E1844" t="s">
        <v>25</v>
      </c>
      <c r="F1844">
        <v>1</v>
      </c>
      <c r="G1844">
        <v>9791136946263</v>
      </c>
      <c r="H1844" t="s">
        <v>26</v>
      </c>
      <c r="I1844" t="s">
        <v>781</v>
      </c>
      <c r="J1844" t="s">
        <v>421</v>
      </c>
      <c r="K1844" t="s">
        <v>29</v>
      </c>
      <c r="L1844">
        <v>0</v>
      </c>
      <c r="M1844" t="s">
        <v>29</v>
      </c>
      <c r="N1844">
        <v>0</v>
      </c>
      <c r="O1844">
        <v>0</v>
      </c>
      <c r="P1844" t="s">
        <v>30</v>
      </c>
      <c r="Q1844" s="2">
        <v>0.7</v>
      </c>
      <c r="R1844">
        <v>0</v>
      </c>
      <c r="V1844" t="str">
        <f>VLOOKUP(H1844,'[1]팀별 출판사'!A:B,2,0)</f>
        <v>소설1팀</v>
      </c>
      <c r="W1844" s="6">
        <f t="shared" si="56"/>
        <v>0</v>
      </c>
      <c r="X1844" s="6">
        <f t="shared" si="57"/>
        <v>0</v>
      </c>
    </row>
    <row r="1845" spans="1:24" x14ac:dyDescent="0.3">
      <c r="A1845" t="s">
        <v>2754</v>
      </c>
      <c r="B1845" t="s">
        <v>2894</v>
      </c>
      <c r="C1845" t="s">
        <v>23</v>
      </c>
      <c r="D1845" t="s">
        <v>24</v>
      </c>
      <c r="E1845" t="s">
        <v>25</v>
      </c>
      <c r="F1845">
        <v>1</v>
      </c>
      <c r="G1845">
        <v>9791173785153</v>
      </c>
      <c r="H1845" t="s">
        <v>26</v>
      </c>
      <c r="I1845" t="s">
        <v>2493</v>
      </c>
      <c r="J1845" t="s">
        <v>62</v>
      </c>
      <c r="K1845" t="s">
        <v>29</v>
      </c>
      <c r="L1845" s="1">
        <v>3200</v>
      </c>
      <c r="M1845" t="s">
        <v>29</v>
      </c>
      <c r="N1845" s="1">
        <v>3200</v>
      </c>
      <c r="O1845" s="1">
        <v>3200</v>
      </c>
      <c r="P1845" t="s">
        <v>30</v>
      </c>
      <c r="Q1845" s="2">
        <v>0.7</v>
      </c>
      <c r="R1845" s="1">
        <v>2240</v>
      </c>
      <c r="S1845" t="s">
        <v>29</v>
      </c>
      <c r="T1845" s="1">
        <v>2240</v>
      </c>
      <c r="V1845" t="str">
        <f>VLOOKUP(H1845,'[1]팀별 출판사'!A:B,2,0)</f>
        <v>소설1팀</v>
      </c>
      <c r="W1845" s="6">
        <f t="shared" si="56"/>
        <v>0</v>
      </c>
      <c r="X1845" s="6">
        <f t="shared" si="57"/>
        <v>2240</v>
      </c>
    </row>
    <row r="1846" spans="1:24" x14ac:dyDescent="0.3">
      <c r="A1846" t="s">
        <v>2754</v>
      </c>
      <c r="B1846" t="s">
        <v>2895</v>
      </c>
      <c r="C1846" t="s">
        <v>23</v>
      </c>
      <c r="D1846" t="s">
        <v>24</v>
      </c>
      <c r="E1846" t="s">
        <v>25</v>
      </c>
      <c r="F1846">
        <v>1</v>
      </c>
      <c r="G1846">
        <v>9791136943378</v>
      </c>
      <c r="H1846" t="s">
        <v>26</v>
      </c>
      <c r="I1846" t="s">
        <v>2896</v>
      </c>
      <c r="J1846" t="s">
        <v>284</v>
      </c>
      <c r="K1846" t="s">
        <v>29</v>
      </c>
      <c r="L1846" s="1">
        <v>3200</v>
      </c>
      <c r="M1846" t="s">
        <v>29</v>
      </c>
      <c r="N1846" s="1">
        <v>3200</v>
      </c>
      <c r="O1846" s="1">
        <v>3200</v>
      </c>
      <c r="P1846" t="s">
        <v>30</v>
      </c>
      <c r="Q1846" s="2">
        <v>0.7</v>
      </c>
      <c r="R1846" s="1">
        <v>2240</v>
      </c>
      <c r="S1846" t="s">
        <v>29</v>
      </c>
      <c r="T1846" s="1">
        <v>2240</v>
      </c>
      <c r="V1846" t="str">
        <f>VLOOKUP(H1846,'[1]팀별 출판사'!A:B,2,0)</f>
        <v>소설1팀</v>
      </c>
      <c r="W1846" s="6">
        <f t="shared" si="56"/>
        <v>0</v>
      </c>
      <c r="X1846" s="6">
        <f t="shared" si="57"/>
        <v>2240</v>
      </c>
    </row>
    <row r="1847" spans="1:24" x14ac:dyDescent="0.3">
      <c r="A1847" t="s">
        <v>2754</v>
      </c>
      <c r="B1847" t="s">
        <v>2897</v>
      </c>
      <c r="C1847" t="s">
        <v>23</v>
      </c>
      <c r="D1847" t="s">
        <v>24</v>
      </c>
      <c r="E1847" t="s">
        <v>25</v>
      </c>
      <c r="F1847">
        <v>1</v>
      </c>
      <c r="G1847">
        <v>9791133133512</v>
      </c>
      <c r="H1847" t="s">
        <v>32</v>
      </c>
      <c r="I1847" t="s">
        <v>2497</v>
      </c>
      <c r="J1847" t="s">
        <v>813</v>
      </c>
      <c r="K1847" t="s">
        <v>29</v>
      </c>
      <c r="L1847">
        <v>0</v>
      </c>
      <c r="M1847" t="s">
        <v>29</v>
      </c>
      <c r="N1847">
        <v>0</v>
      </c>
      <c r="O1847">
        <v>0</v>
      </c>
      <c r="P1847" t="s">
        <v>30</v>
      </c>
      <c r="Q1847" s="2">
        <v>0.7</v>
      </c>
      <c r="R1847">
        <v>0</v>
      </c>
      <c r="V1847" t="str">
        <f>VLOOKUP(H1847,'[1]팀별 출판사'!A:B,2,0)</f>
        <v>소설1팀</v>
      </c>
      <c r="W1847" s="6">
        <f t="shared" si="56"/>
        <v>0</v>
      </c>
      <c r="X1847" s="6">
        <f t="shared" si="57"/>
        <v>0</v>
      </c>
    </row>
    <row r="1848" spans="1:24" x14ac:dyDescent="0.3">
      <c r="A1848" t="s">
        <v>2754</v>
      </c>
      <c r="B1848" t="s">
        <v>2898</v>
      </c>
      <c r="C1848" t="s">
        <v>23</v>
      </c>
      <c r="D1848" t="s">
        <v>24</v>
      </c>
      <c r="E1848" t="s">
        <v>25</v>
      </c>
      <c r="F1848">
        <v>1</v>
      </c>
      <c r="G1848">
        <v>9791133180066</v>
      </c>
      <c r="H1848" t="s">
        <v>26</v>
      </c>
      <c r="I1848" t="s">
        <v>320</v>
      </c>
      <c r="J1848" t="s">
        <v>321</v>
      </c>
      <c r="K1848" t="s">
        <v>29</v>
      </c>
      <c r="L1848">
        <v>0</v>
      </c>
      <c r="M1848" t="s">
        <v>29</v>
      </c>
      <c r="N1848">
        <v>0</v>
      </c>
      <c r="O1848">
        <v>0</v>
      </c>
      <c r="P1848" t="s">
        <v>30</v>
      </c>
      <c r="Q1848" s="2">
        <v>0.7</v>
      </c>
      <c r="R1848">
        <v>0</v>
      </c>
      <c r="V1848" t="str">
        <f>VLOOKUP(H1848,'[1]팀별 출판사'!A:B,2,0)</f>
        <v>소설1팀</v>
      </c>
      <c r="W1848" s="6">
        <f t="shared" si="56"/>
        <v>0</v>
      </c>
      <c r="X1848" s="6">
        <f t="shared" si="57"/>
        <v>0</v>
      </c>
    </row>
    <row r="1849" spans="1:24" x14ac:dyDescent="0.3">
      <c r="A1849" t="s">
        <v>2754</v>
      </c>
      <c r="B1849" t="s">
        <v>2899</v>
      </c>
      <c r="C1849" t="s">
        <v>23</v>
      </c>
      <c r="D1849" t="s">
        <v>24</v>
      </c>
      <c r="E1849" t="s">
        <v>25</v>
      </c>
      <c r="F1849">
        <v>1</v>
      </c>
      <c r="G1849">
        <v>9791136942906</v>
      </c>
      <c r="H1849" t="s">
        <v>26</v>
      </c>
      <c r="I1849" t="s">
        <v>2900</v>
      </c>
      <c r="J1849" t="s">
        <v>284</v>
      </c>
      <c r="K1849" t="s">
        <v>29</v>
      </c>
      <c r="L1849">
        <v>0</v>
      </c>
      <c r="M1849" t="s">
        <v>29</v>
      </c>
      <c r="N1849">
        <v>0</v>
      </c>
      <c r="O1849">
        <v>0</v>
      </c>
      <c r="P1849" t="s">
        <v>30</v>
      </c>
      <c r="Q1849" s="2">
        <v>0.7</v>
      </c>
      <c r="R1849">
        <v>0</v>
      </c>
      <c r="V1849" t="str">
        <f>VLOOKUP(H1849,'[1]팀별 출판사'!A:B,2,0)</f>
        <v>소설1팀</v>
      </c>
      <c r="W1849" s="6">
        <f t="shared" si="56"/>
        <v>0</v>
      </c>
      <c r="X1849" s="6">
        <f t="shared" si="57"/>
        <v>0</v>
      </c>
    </row>
    <row r="1850" spans="1:24" x14ac:dyDescent="0.3">
      <c r="A1850" t="s">
        <v>2754</v>
      </c>
      <c r="B1850" t="s">
        <v>2901</v>
      </c>
      <c r="C1850" t="s">
        <v>23</v>
      </c>
      <c r="D1850" t="s">
        <v>24</v>
      </c>
      <c r="E1850" t="s">
        <v>25</v>
      </c>
      <c r="F1850">
        <v>1</v>
      </c>
      <c r="G1850">
        <v>9791136912732</v>
      </c>
      <c r="H1850" t="s">
        <v>26</v>
      </c>
      <c r="I1850" t="s">
        <v>1125</v>
      </c>
      <c r="J1850" t="s">
        <v>256</v>
      </c>
      <c r="K1850" t="s">
        <v>29</v>
      </c>
      <c r="L1850">
        <v>0</v>
      </c>
      <c r="M1850" t="s">
        <v>29</v>
      </c>
      <c r="N1850">
        <v>0</v>
      </c>
      <c r="O1850">
        <v>0</v>
      </c>
      <c r="P1850" t="s">
        <v>30</v>
      </c>
      <c r="Q1850" s="2">
        <v>0.7</v>
      </c>
      <c r="R1850">
        <v>0</v>
      </c>
      <c r="V1850" t="str">
        <f>VLOOKUP(H1850,'[1]팀별 출판사'!A:B,2,0)</f>
        <v>소설1팀</v>
      </c>
      <c r="W1850" s="6">
        <f t="shared" si="56"/>
        <v>0</v>
      </c>
      <c r="X1850" s="6">
        <f t="shared" si="57"/>
        <v>0</v>
      </c>
    </row>
    <row r="1851" spans="1:24" x14ac:dyDescent="0.3">
      <c r="A1851" t="s">
        <v>2754</v>
      </c>
      <c r="B1851" t="s">
        <v>2902</v>
      </c>
      <c r="C1851" t="s">
        <v>23</v>
      </c>
      <c r="D1851" t="s">
        <v>24</v>
      </c>
      <c r="E1851" t="s">
        <v>25</v>
      </c>
      <c r="F1851">
        <v>1</v>
      </c>
      <c r="G1851" t="s">
        <v>2903</v>
      </c>
      <c r="H1851" t="s">
        <v>32</v>
      </c>
      <c r="I1851" t="s">
        <v>2904</v>
      </c>
      <c r="J1851" t="s">
        <v>663</v>
      </c>
      <c r="K1851" t="s">
        <v>29</v>
      </c>
      <c r="L1851">
        <v>0</v>
      </c>
      <c r="M1851" t="s">
        <v>70</v>
      </c>
      <c r="N1851">
        <v>0</v>
      </c>
      <c r="O1851">
        <v>0</v>
      </c>
      <c r="P1851" t="s">
        <v>71</v>
      </c>
      <c r="Q1851" s="2">
        <v>0.7</v>
      </c>
      <c r="R1851">
        <v>0</v>
      </c>
      <c r="V1851" t="str">
        <f>VLOOKUP(H1851,'[1]팀별 출판사'!A:B,2,0)</f>
        <v>소설1팀</v>
      </c>
      <c r="W1851" s="6">
        <f t="shared" si="56"/>
        <v>0</v>
      </c>
      <c r="X1851" s="6">
        <f t="shared" si="57"/>
        <v>0</v>
      </c>
    </row>
    <row r="1852" spans="1:24" x14ac:dyDescent="0.3">
      <c r="A1852" t="s">
        <v>2754</v>
      </c>
      <c r="B1852" t="s">
        <v>2905</v>
      </c>
      <c r="C1852" t="s">
        <v>23</v>
      </c>
      <c r="D1852" t="s">
        <v>24</v>
      </c>
      <c r="E1852" t="s">
        <v>25</v>
      </c>
      <c r="F1852">
        <v>1</v>
      </c>
      <c r="G1852">
        <v>9791175301955</v>
      </c>
      <c r="H1852" t="s">
        <v>26</v>
      </c>
      <c r="I1852" t="s">
        <v>591</v>
      </c>
      <c r="J1852" t="s">
        <v>256</v>
      </c>
      <c r="K1852" t="s">
        <v>29</v>
      </c>
      <c r="L1852">
        <v>0</v>
      </c>
      <c r="M1852" t="s">
        <v>29</v>
      </c>
      <c r="N1852">
        <v>0</v>
      </c>
      <c r="O1852">
        <v>0</v>
      </c>
      <c r="P1852" t="s">
        <v>30</v>
      </c>
      <c r="Q1852" s="2">
        <v>0.7</v>
      </c>
      <c r="R1852">
        <v>0</v>
      </c>
      <c r="V1852" t="str">
        <f>VLOOKUP(H1852,'[1]팀별 출판사'!A:B,2,0)</f>
        <v>소설1팀</v>
      </c>
      <c r="W1852" s="6">
        <f t="shared" si="56"/>
        <v>0</v>
      </c>
      <c r="X1852" s="6">
        <f t="shared" si="57"/>
        <v>0</v>
      </c>
    </row>
    <row r="1853" spans="1:24" x14ac:dyDescent="0.3">
      <c r="A1853" t="s">
        <v>2754</v>
      </c>
      <c r="B1853" t="s">
        <v>2906</v>
      </c>
      <c r="C1853" t="s">
        <v>23</v>
      </c>
      <c r="D1853" t="s">
        <v>24</v>
      </c>
      <c r="E1853" t="s">
        <v>25</v>
      </c>
      <c r="F1853">
        <v>1</v>
      </c>
      <c r="G1853">
        <v>9791136988133</v>
      </c>
      <c r="H1853" t="s">
        <v>26</v>
      </c>
      <c r="I1853" t="s">
        <v>614</v>
      </c>
      <c r="J1853" t="s">
        <v>28</v>
      </c>
      <c r="K1853" t="s">
        <v>29</v>
      </c>
      <c r="L1853">
        <v>0</v>
      </c>
      <c r="M1853" t="s">
        <v>29</v>
      </c>
      <c r="N1853">
        <v>0</v>
      </c>
      <c r="O1853">
        <v>0</v>
      </c>
      <c r="P1853" t="s">
        <v>30</v>
      </c>
      <c r="Q1853" s="2">
        <v>0.7</v>
      </c>
      <c r="R1853">
        <v>0</v>
      </c>
      <c r="V1853" t="str">
        <f>VLOOKUP(H1853,'[1]팀별 출판사'!A:B,2,0)</f>
        <v>소설1팀</v>
      </c>
      <c r="W1853" s="6">
        <f t="shared" si="56"/>
        <v>0</v>
      </c>
      <c r="X1853" s="6">
        <f t="shared" si="57"/>
        <v>0</v>
      </c>
    </row>
    <row r="1854" spans="1:24" x14ac:dyDescent="0.3">
      <c r="A1854" t="s">
        <v>2754</v>
      </c>
      <c r="B1854" t="s">
        <v>2907</v>
      </c>
      <c r="C1854" t="s">
        <v>23</v>
      </c>
      <c r="D1854" t="s">
        <v>24</v>
      </c>
      <c r="E1854" t="s">
        <v>25</v>
      </c>
      <c r="F1854">
        <v>1</v>
      </c>
      <c r="G1854">
        <v>9791133188642</v>
      </c>
      <c r="H1854" t="s">
        <v>26</v>
      </c>
      <c r="I1854" t="s">
        <v>1437</v>
      </c>
      <c r="J1854" t="s">
        <v>743</v>
      </c>
      <c r="K1854" t="s">
        <v>29</v>
      </c>
      <c r="L1854">
        <v>0</v>
      </c>
      <c r="M1854" t="s">
        <v>70</v>
      </c>
      <c r="N1854">
        <v>0</v>
      </c>
      <c r="O1854">
        <v>0</v>
      </c>
      <c r="P1854" t="s">
        <v>2908</v>
      </c>
      <c r="Q1854" s="2">
        <v>0.7</v>
      </c>
      <c r="R1854">
        <v>0</v>
      </c>
      <c r="V1854" t="str">
        <f>VLOOKUP(H1854,'[1]팀별 출판사'!A:B,2,0)</f>
        <v>소설1팀</v>
      </c>
      <c r="W1854" s="6">
        <f t="shared" si="56"/>
        <v>0</v>
      </c>
      <c r="X1854" s="6">
        <f t="shared" si="57"/>
        <v>0</v>
      </c>
    </row>
    <row r="1855" spans="1:24" x14ac:dyDescent="0.3">
      <c r="A1855" t="s">
        <v>2754</v>
      </c>
      <c r="B1855" t="s">
        <v>2909</v>
      </c>
      <c r="C1855" t="s">
        <v>23</v>
      </c>
      <c r="D1855" t="s">
        <v>24</v>
      </c>
      <c r="E1855" t="s">
        <v>25</v>
      </c>
      <c r="F1855">
        <v>1</v>
      </c>
      <c r="G1855">
        <v>9791170106715</v>
      </c>
      <c r="H1855" t="s">
        <v>67</v>
      </c>
      <c r="I1855" t="s">
        <v>68</v>
      </c>
      <c r="J1855" t="s">
        <v>69</v>
      </c>
      <c r="K1855" t="s">
        <v>29</v>
      </c>
      <c r="L1855">
        <v>0</v>
      </c>
      <c r="M1855" t="s">
        <v>1379</v>
      </c>
      <c r="N1855">
        <v>0</v>
      </c>
      <c r="O1855">
        <v>0</v>
      </c>
      <c r="P1855" t="s">
        <v>1380</v>
      </c>
      <c r="Q1855" s="2">
        <v>0.7</v>
      </c>
      <c r="R1855">
        <v>0</v>
      </c>
      <c r="V1855" t="str">
        <f>VLOOKUP(H1855,'[1]팀별 출판사'!A:B,2,0)</f>
        <v>소설1팀</v>
      </c>
      <c r="W1855" s="6">
        <f t="shared" si="56"/>
        <v>0</v>
      </c>
      <c r="X1855" s="6">
        <f t="shared" si="57"/>
        <v>0</v>
      </c>
    </row>
    <row r="1856" spans="1:24" x14ac:dyDescent="0.3">
      <c r="A1856" t="s">
        <v>2754</v>
      </c>
      <c r="B1856" t="s">
        <v>2910</v>
      </c>
      <c r="C1856" t="s">
        <v>23</v>
      </c>
      <c r="D1856" t="s">
        <v>24</v>
      </c>
      <c r="E1856" t="s">
        <v>25</v>
      </c>
      <c r="F1856">
        <v>1</v>
      </c>
      <c r="G1856">
        <v>9791133171408</v>
      </c>
      <c r="H1856" t="s">
        <v>26</v>
      </c>
      <c r="I1856" t="s">
        <v>1979</v>
      </c>
      <c r="J1856" t="s">
        <v>287</v>
      </c>
      <c r="K1856" t="s">
        <v>29</v>
      </c>
      <c r="L1856">
        <v>0</v>
      </c>
      <c r="M1856" t="s">
        <v>29</v>
      </c>
      <c r="N1856">
        <v>0</v>
      </c>
      <c r="O1856">
        <v>0</v>
      </c>
      <c r="P1856" t="s">
        <v>30</v>
      </c>
      <c r="Q1856" s="2">
        <v>0.7</v>
      </c>
      <c r="R1856">
        <v>0</v>
      </c>
      <c r="V1856" t="str">
        <f>VLOOKUP(H1856,'[1]팀별 출판사'!A:B,2,0)</f>
        <v>소설1팀</v>
      </c>
      <c r="W1856" s="6">
        <f t="shared" si="56"/>
        <v>0</v>
      </c>
      <c r="X1856" s="6">
        <f t="shared" si="57"/>
        <v>0</v>
      </c>
    </row>
    <row r="1857" spans="1:24" x14ac:dyDescent="0.3">
      <c r="A1857" t="s">
        <v>2754</v>
      </c>
      <c r="B1857" t="s">
        <v>2911</v>
      </c>
      <c r="C1857" t="s">
        <v>23</v>
      </c>
      <c r="D1857" t="s">
        <v>24</v>
      </c>
      <c r="E1857" t="s">
        <v>25</v>
      </c>
      <c r="F1857">
        <v>1</v>
      </c>
      <c r="G1857">
        <v>9791136932648</v>
      </c>
      <c r="H1857" t="s">
        <v>32</v>
      </c>
      <c r="I1857" t="s">
        <v>832</v>
      </c>
      <c r="J1857" t="s">
        <v>34</v>
      </c>
      <c r="K1857" t="s">
        <v>29</v>
      </c>
      <c r="L1857">
        <v>0</v>
      </c>
      <c r="M1857" t="s">
        <v>47</v>
      </c>
      <c r="N1857">
        <v>0</v>
      </c>
      <c r="O1857">
        <v>0</v>
      </c>
      <c r="P1857" t="s">
        <v>48</v>
      </c>
      <c r="Q1857" s="2">
        <v>0.7</v>
      </c>
      <c r="R1857">
        <v>0</v>
      </c>
      <c r="V1857" t="str">
        <f>VLOOKUP(H1857,'[1]팀별 출판사'!A:B,2,0)</f>
        <v>소설1팀</v>
      </c>
      <c r="W1857" s="6">
        <f t="shared" si="56"/>
        <v>0</v>
      </c>
      <c r="X1857" s="6">
        <f t="shared" si="57"/>
        <v>0</v>
      </c>
    </row>
    <row r="1858" spans="1:24" x14ac:dyDescent="0.3">
      <c r="A1858" t="s">
        <v>2754</v>
      </c>
      <c r="B1858" t="s">
        <v>2912</v>
      </c>
      <c r="C1858" t="s">
        <v>23</v>
      </c>
      <c r="D1858" t="s">
        <v>24</v>
      </c>
      <c r="E1858" t="s">
        <v>25</v>
      </c>
      <c r="F1858">
        <v>1</v>
      </c>
      <c r="G1858">
        <v>9791136912732</v>
      </c>
      <c r="H1858" t="s">
        <v>26</v>
      </c>
      <c r="I1858" t="s">
        <v>1125</v>
      </c>
      <c r="J1858" t="s">
        <v>256</v>
      </c>
      <c r="K1858" t="s">
        <v>29</v>
      </c>
      <c r="L1858">
        <v>0</v>
      </c>
      <c r="M1858" t="s">
        <v>29</v>
      </c>
      <c r="N1858">
        <v>0</v>
      </c>
      <c r="O1858">
        <v>0</v>
      </c>
      <c r="P1858" t="s">
        <v>30</v>
      </c>
      <c r="Q1858" s="2">
        <v>0.7</v>
      </c>
      <c r="R1858">
        <v>0</v>
      </c>
      <c r="V1858" t="str">
        <f>VLOOKUP(H1858,'[1]팀별 출판사'!A:B,2,0)</f>
        <v>소설1팀</v>
      </c>
      <c r="W1858" s="6">
        <f t="shared" ref="W1858:W1921" si="58">IF(P1858="US", T1858*30%, 0)</f>
        <v>0</v>
      </c>
      <c r="X1858" s="6">
        <f t="shared" ref="X1858:X1921" si="59">T1858-W1858</f>
        <v>0</v>
      </c>
    </row>
    <row r="1859" spans="1:24" x14ac:dyDescent="0.3">
      <c r="A1859" t="s">
        <v>2754</v>
      </c>
      <c r="B1859" t="s">
        <v>2913</v>
      </c>
      <c r="C1859" t="s">
        <v>23</v>
      </c>
      <c r="D1859" t="s">
        <v>24</v>
      </c>
      <c r="E1859" t="s">
        <v>25</v>
      </c>
      <c r="F1859">
        <v>1</v>
      </c>
      <c r="G1859">
        <v>9791170106500</v>
      </c>
      <c r="H1859" t="s">
        <v>67</v>
      </c>
      <c r="I1859" t="s">
        <v>931</v>
      </c>
      <c r="J1859" t="s">
        <v>932</v>
      </c>
      <c r="K1859" t="s">
        <v>29</v>
      </c>
      <c r="L1859">
        <v>0</v>
      </c>
      <c r="M1859" t="s">
        <v>1482</v>
      </c>
      <c r="N1859">
        <v>0</v>
      </c>
      <c r="O1859">
        <v>0</v>
      </c>
      <c r="P1859" t="s">
        <v>1483</v>
      </c>
      <c r="Q1859" s="2">
        <v>0.7</v>
      </c>
      <c r="R1859">
        <v>0</v>
      </c>
      <c r="V1859" t="str">
        <f>VLOOKUP(H1859,'[1]팀별 출판사'!A:B,2,0)</f>
        <v>소설1팀</v>
      </c>
      <c r="W1859" s="6">
        <f t="shared" si="58"/>
        <v>0</v>
      </c>
      <c r="X1859" s="6">
        <f t="shared" si="59"/>
        <v>0</v>
      </c>
    </row>
    <row r="1860" spans="1:24" x14ac:dyDescent="0.3">
      <c r="A1860" t="s">
        <v>2754</v>
      </c>
      <c r="B1860" t="s">
        <v>2914</v>
      </c>
      <c r="C1860" t="s">
        <v>23</v>
      </c>
      <c r="D1860" t="s">
        <v>24</v>
      </c>
      <c r="E1860" t="s">
        <v>25</v>
      </c>
      <c r="F1860">
        <v>1</v>
      </c>
      <c r="G1860">
        <v>9791172920135</v>
      </c>
      <c r="H1860" t="s">
        <v>26</v>
      </c>
      <c r="I1860" t="s">
        <v>278</v>
      </c>
      <c r="J1860" t="s">
        <v>276</v>
      </c>
      <c r="K1860" t="s">
        <v>29</v>
      </c>
      <c r="L1860">
        <v>0</v>
      </c>
      <c r="M1860" t="s">
        <v>29</v>
      </c>
      <c r="N1860">
        <v>0</v>
      </c>
      <c r="O1860">
        <v>0</v>
      </c>
      <c r="P1860" t="s">
        <v>30</v>
      </c>
      <c r="Q1860" s="2">
        <v>0.7</v>
      </c>
      <c r="R1860">
        <v>0</v>
      </c>
      <c r="V1860" t="str">
        <f>VLOOKUP(H1860,'[1]팀별 출판사'!A:B,2,0)</f>
        <v>소설1팀</v>
      </c>
      <c r="W1860" s="6">
        <f t="shared" si="58"/>
        <v>0</v>
      </c>
      <c r="X1860" s="6">
        <f t="shared" si="59"/>
        <v>0</v>
      </c>
    </row>
    <row r="1861" spans="1:24" x14ac:dyDescent="0.3">
      <c r="A1861" t="s">
        <v>2754</v>
      </c>
      <c r="B1861" t="s">
        <v>2915</v>
      </c>
      <c r="C1861" t="s">
        <v>23</v>
      </c>
      <c r="D1861" t="s">
        <v>24</v>
      </c>
      <c r="E1861" t="s">
        <v>25</v>
      </c>
      <c r="F1861">
        <v>1</v>
      </c>
      <c r="G1861">
        <v>9791136930361</v>
      </c>
      <c r="H1861" t="s">
        <v>32</v>
      </c>
      <c r="I1861" t="s">
        <v>33</v>
      </c>
      <c r="J1861" t="s">
        <v>34</v>
      </c>
      <c r="K1861" t="s">
        <v>29</v>
      </c>
      <c r="L1861">
        <v>0</v>
      </c>
      <c r="M1861" t="s">
        <v>47</v>
      </c>
      <c r="N1861">
        <v>0</v>
      </c>
      <c r="O1861">
        <v>0</v>
      </c>
      <c r="P1861" t="s">
        <v>48</v>
      </c>
      <c r="Q1861" s="2">
        <v>0.7</v>
      </c>
      <c r="R1861">
        <v>0</v>
      </c>
      <c r="V1861" t="str">
        <f>VLOOKUP(H1861,'[1]팀별 출판사'!A:B,2,0)</f>
        <v>소설1팀</v>
      </c>
      <c r="W1861" s="6">
        <f t="shared" si="58"/>
        <v>0</v>
      </c>
      <c r="X1861" s="6">
        <f t="shared" si="59"/>
        <v>0</v>
      </c>
    </row>
    <row r="1862" spans="1:24" x14ac:dyDescent="0.3">
      <c r="A1862" t="s">
        <v>2754</v>
      </c>
      <c r="B1862" t="s">
        <v>2916</v>
      </c>
      <c r="C1862" t="s">
        <v>23</v>
      </c>
      <c r="D1862" t="s">
        <v>24</v>
      </c>
      <c r="E1862" t="s">
        <v>25</v>
      </c>
      <c r="F1862">
        <v>1</v>
      </c>
      <c r="G1862">
        <v>9791194664369</v>
      </c>
      <c r="H1862" t="s">
        <v>79</v>
      </c>
      <c r="I1862" t="s">
        <v>156</v>
      </c>
      <c r="J1862" t="s">
        <v>157</v>
      </c>
      <c r="K1862" t="s">
        <v>29</v>
      </c>
      <c r="L1862">
        <v>0</v>
      </c>
      <c r="M1862" t="s">
        <v>47</v>
      </c>
      <c r="N1862">
        <v>0</v>
      </c>
      <c r="O1862">
        <v>0</v>
      </c>
      <c r="P1862" t="s">
        <v>48</v>
      </c>
      <c r="Q1862" s="2">
        <v>0.7</v>
      </c>
      <c r="R1862">
        <v>0</v>
      </c>
      <c r="V1862" t="str">
        <f>VLOOKUP(H1862,'[1]팀별 출판사'!A:B,2,0)</f>
        <v>소설1팀</v>
      </c>
      <c r="W1862" s="6">
        <f t="shared" si="58"/>
        <v>0</v>
      </c>
      <c r="X1862" s="6">
        <f t="shared" si="59"/>
        <v>0</v>
      </c>
    </row>
    <row r="1863" spans="1:24" x14ac:dyDescent="0.3">
      <c r="A1863" t="s">
        <v>2754</v>
      </c>
      <c r="B1863" t="s">
        <v>2917</v>
      </c>
      <c r="C1863" t="s">
        <v>23</v>
      </c>
      <c r="D1863" t="s">
        <v>24</v>
      </c>
      <c r="E1863" t="s">
        <v>25</v>
      </c>
      <c r="F1863">
        <v>1</v>
      </c>
      <c r="G1863">
        <v>9791173788888</v>
      </c>
      <c r="H1863" t="s">
        <v>26</v>
      </c>
      <c r="I1863" t="s">
        <v>2918</v>
      </c>
      <c r="J1863" t="s">
        <v>256</v>
      </c>
      <c r="K1863" t="s">
        <v>29</v>
      </c>
      <c r="L1863" s="1">
        <v>3200</v>
      </c>
      <c r="M1863" t="s">
        <v>29</v>
      </c>
      <c r="N1863" s="1">
        <v>3200</v>
      </c>
      <c r="O1863" s="1">
        <v>3200</v>
      </c>
      <c r="P1863" t="s">
        <v>30</v>
      </c>
      <c r="Q1863" s="2">
        <v>0.7</v>
      </c>
      <c r="R1863" s="1">
        <v>2240</v>
      </c>
      <c r="S1863" t="s">
        <v>29</v>
      </c>
      <c r="T1863" s="1">
        <v>2240</v>
      </c>
      <c r="V1863" t="str">
        <f>VLOOKUP(H1863,'[1]팀별 출판사'!A:B,2,0)</f>
        <v>소설1팀</v>
      </c>
      <c r="W1863" s="6">
        <f t="shared" si="58"/>
        <v>0</v>
      </c>
      <c r="X1863" s="6">
        <f t="shared" si="59"/>
        <v>2240</v>
      </c>
    </row>
    <row r="1864" spans="1:24" x14ac:dyDescent="0.3">
      <c r="A1864" t="s">
        <v>2754</v>
      </c>
      <c r="B1864" t="s">
        <v>2919</v>
      </c>
      <c r="C1864" t="s">
        <v>23</v>
      </c>
      <c r="D1864" t="s">
        <v>24</v>
      </c>
      <c r="E1864" t="s">
        <v>25</v>
      </c>
      <c r="F1864">
        <v>1</v>
      </c>
      <c r="G1864">
        <v>9791133183975</v>
      </c>
      <c r="H1864" t="s">
        <v>26</v>
      </c>
      <c r="I1864" t="s">
        <v>1715</v>
      </c>
      <c r="J1864" t="s">
        <v>1716</v>
      </c>
      <c r="K1864" t="s">
        <v>29</v>
      </c>
      <c r="L1864">
        <v>0</v>
      </c>
      <c r="M1864" t="s">
        <v>29</v>
      </c>
      <c r="N1864">
        <v>0</v>
      </c>
      <c r="O1864">
        <v>0</v>
      </c>
      <c r="P1864" t="s">
        <v>30</v>
      </c>
      <c r="Q1864" s="2">
        <v>0.7</v>
      </c>
      <c r="R1864">
        <v>0</v>
      </c>
      <c r="V1864" t="str">
        <f>VLOOKUP(H1864,'[1]팀별 출판사'!A:B,2,0)</f>
        <v>소설1팀</v>
      </c>
      <c r="W1864" s="6">
        <f t="shared" si="58"/>
        <v>0</v>
      </c>
      <c r="X1864" s="6">
        <f t="shared" si="59"/>
        <v>0</v>
      </c>
    </row>
    <row r="1865" spans="1:24" x14ac:dyDescent="0.3">
      <c r="A1865" t="s">
        <v>2754</v>
      </c>
      <c r="B1865" t="s">
        <v>2920</v>
      </c>
      <c r="C1865" t="s">
        <v>23</v>
      </c>
      <c r="D1865" t="s">
        <v>24</v>
      </c>
      <c r="E1865" t="s">
        <v>25</v>
      </c>
      <c r="F1865">
        <v>1</v>
      </c>
      <c r="G1865">
        <v>9791170105800</v>
      </c>
      <c r="H1865" t="s">
        <v>67</v>
      </c>
      <c r="I1865" t="s">
        <v>2921</v>
      </c>
      <c r="J1865" t="s">
        <v>2922</v>
      </c>
      <c r="K1865" t="s">
        <v>29</v>
      </c>
      <c r="L1865">
        <v>0</v>
      </c>
      <c r="M1865" t="s">
        <v>2923</v>
      </c>
      <c r="N1865">
        <v>0</v>
      </c>
      <c r="O1865">
        <v>0</v>
      </c>
      <c r="P1865" t="s">
        <v>2924</v>
      </c>
      <c r="Q1865" s="2">
        <v>0.7</v>
      </c>
      <c r="R1865">
        <v>0</v>
      </c>
      <c r="V1865" t="str">
        <f>VLOOKUP(H1865,'[1]팀별 출판사'!A:B,2,0)</f>
        <v>소설1팀</v>
      </c>
      <c r="W1865" s="6">
        <f t="shared" si="58"/>
        <v>0</v>
      </c>
      <c r="X1865" s="6">
        <f t="shared" si="59"/>
        <v>0</v>
      </c>
    </row>
    <row r="1866" spans="1:24" x14ac:dyDescent="0.3">
      <c r="A1866" t="s">
        <v>2754</v>
      </c>
      <c r="B1866" t="s">
        <v>2925</v>
      </c>
      <c r="C1866" t="s">
        <v>23</v>
      </c>
      <c r="D1866" t="s">
        <v>24</v>
      </c>
      <c r="E1866" t="s">
        <v>25</v>
      </c>
      <c r="F1866">
        <v>1</v>
      </c>
      <c r="G1866">
        <v>9791170107194</v>
      </c>
      <c r="H1866" t="s">
        <v>67</v>
      </c>
      <c r="I1866" t="s">
        <v>518</v>
      </c>
      <c r="J1866" t="s">
        <v>519</v>
      </c>
      <c r="K1866" t="s">
        <v>29</v>
      </c>
      <c r="L1866">
        <v>0</v>
      </c>
      <c r="M1866" t="s">
        <v>29</v>
      </c>
      <c r="N1866">
        <v>0</v>
      </c>
      <c r="O1866">
        <v>0</v>
      </c>
      <c r="P1866" t="s">
        <v>30</v>
      </c>
      <c r="Q1866" s="2">
        <v>0.7</v>
      </c>
      <c r="R1866">
        <v>0</v>
      </c>
      <c r="V1866" t="str">
        <f>VLOOKUP(H1866,'[1]팀별 출판사'!A:B,2,0)</f>
        <v>소설1팀</v>
      </c>
      <c r="W1866" s="6">
        <f t="shared" si="58"/>
        <v>0</v>
      </c>
      <c r="X1866" s="6">
        <f t="shared" si="59"/>
        <v>0</v>
      </c>
    </row>
    <row r="1867" spans="1:24" x14ac:dyDescent="0.3">
      <c r="A1867" t="s">
        <v>2754</v>
      </c>
      <c r="B1867" t="s">
        <v>2926</v>
      </c>
      <c r="C1867" t="s">
        <v>23</v>
      </c>
      <c r="D1867" t="s">
        <v>24</v>
      </c>
      <c r="E1867" t="s">
        <v>25</v>
      </c>
      <c r="F1867">
        <v>1</v>
      </c>
      <c r="G1867">
        <v>9791170103479</v>
      </c>
      <c r="H1867" t="s">
        <v>67</v>
      </c>
      <c r="I1867" t="s">
        <v>2927</v>
      </c>
      <c r="J1867" t="s">
        <v>2928</v>
      </c>
      <c r="K1867" t="s">
        <v>29</v>
      </c>
      <c r="L1867">
        <v>0</v>
      </c>
      <c r="M1867" t="s">
        <v>29</v>
      </c>
      <c r="N1867">
        <v>0</v>
      </c>
      <c r="O1867">
        <v>0</v>
      </c>
      <c r="P1867" t="s">
        <v>30</v>
      </c>
      <c r="Q1867" s="2">
        <v>0.7</v>
      </c>
      <c r="R1867">
        <v>0</v>
      </c>
      <c r="V1867" t="str">
        <f>VLOOKUP(H1867,'[1]팀별 출판사'!A:B,2,0)</f>
        <v>소설1팀</v>
      </c>
      <c r="W1867" s="6">
        <f t="shared" si="58"/>
        <v>0</v>
      </c>
      <c r="X1867" s="6">
        <f t="shared" si="59"/>
        <v>0</v>
      </c>
    </row>
    <row r="1868" spans="1:24" x14ac:dyDescent="0.3">
      <c r="A1868" t="s">
        <v>2754</v>
      </c>
      <c r="B1868" t="s">
        <v>2929</v>
      </c>
      <c r="C1868" t="s">
        <v>23</v>
      </c>
      <c r="D1868" t="s">
        <v>24</v>
      </c>
      <c r="E1868" t="s">
        <v>25</v>
      </c>
      <c r="F1868">
        <v>1</v>
      </c>
      <c r="G1868">
        <v>9791170102212</v>
      </c>
      <c r="H1868" t="s">
        <v>67</v>
      </c>
      <c r="I1868" t="s">
        <v>2930</v>
      </c>
      <c r="J1868" t="s">
        <v>2931</v>
      </c>
      <c r="K1868" t="s">
        <v>29</v>
      </c>
      <c r="L1868">
        <v>0</v>
      </c>
      <c r="M1868" t="s">
        <v>29</v>
      </c>
      <c r="N1868">
        <v>0</v>
      </c>
      <c r="O1868">
        <v>0</v>
      </c>
      <c r="P1868" t="s">
        <v>30</v>
      </c>
      <c r="Q1868" s="2">
        <v>0.7</v>
      </c>
      <c r="R1868">
        <v>0</v>
      </c>
      <c r="V1868" t="str">
        <f>VLOOKUP(H1868,'[1]팀별 출판사'!A:B,2,0)</f>
        <v>소설1팀</v>
      </c>
      <c r="W1868" s="6">
        <f t="shared" si="58"/>
        <v>0</v>
      </c>
      <c r="X1868" s="6">
        <f t="shared" si="59"/>
        <v>0</v>
      </c>
    </row>
    <row r="1869" spans="1:24" x14ac:dyDescent="0.3">
      <c r="A1869" t="s">
        <v>2754</v>
      </c>
      <c r="B1869" t="s">
        <v>2932</v>
      </c>
      <c r="C1869" t="s">
        <v>23</v>
      </c>
      <c r="D1869" t="s">
        <v>24</v>
      </c>
      <c r="E1869" t="s">
        <v>25</v>
      </c>
      <c r="F1869">
        <v>1</v>
      </c>
      <c r="G1869">
        <v>9791136928443</v>
      </c>
      <c r="H1869" t="s">
        <v>26</v>
      </c>
      <c r="I1869" t="s">
        <v>2933</v>
      </c>
      <c r="J1869" t="s">
        <v>1348</v>
      </c>
      <c r="K1869" t="s">
        <v>29</v>
      </c>
      <c r="L1869">
        <v>0</v>
      </c>
      <c r="M1869" t="s">
        <v>29</v>
      </c>
      <c r="N1869">
        <v>0</v>
      </c>
      <c r="O1869">
        <v>0</v>
      </c>
      <c r="P1869" t="s">
        <v>30</v>
      </c>
      <c r="Q1869" s="2">
        <v>0.7</v>
      </c>
      <c r="R1869">
        <v>0</v>
      </c>
      <c r="V1869" t="str">
        <f>VLOOKUP(H1869,'[1]팀별 출판사'!A:B,2,0)</f>
        <v>소설1팀</v>
      </c>
      <c r="W1869" s="6">
        <f t="shared" si="58"/>
        <v>0</v>
      </c>
      <c r="X1869" s="6">
        <f t="shared" si="59"/>
        <v>0</v>
      </c>
    </row>
    <row r="1870" spans="1:24" x14ac:dyDescent="0.3">
      <c r="A1870" t="s">
        <v>2754</v>
      </c>
      <c r="B1870" t="s">
        <v>2934</v>
      </c>
      <c r="C1870" t="s">
        <v>23</v>
      </c>
      <c r="D1870" t="s">
        <v>24</v>
      </c>
      <c r="E1870" t="s">
        <v>25</v>
      </c>
      <c r="F1870">
        <v>1</v>
      </c>
      <c r="G1870">
        <v>9791170104117</v>
      </c>
      <c r="H1870" t="s">
        <v>67</v>
      </c>
      <c r="I1870" t="s">
        <v>2935</v>
      </c>
      <c r="J1870" t="s">
        <v>2936</v>
      </c>
      <c r="K1870" t="s">
        <v>29</v>
      </c>
      <c r="L1870">
        <v>0</v>
      </c>
      <c r="M1870" t="s">
        <v>29</v>
      </c>
      <c r="N1870">
        <v>0</v>
      </c>
      <c r="O1870">
        <v>0</v>
      </c>
      <c r="P1870" t="s">
        <v>30</v>
      </c>
      <c r="Q1870" s="2">
        <v>0.7</v>
      </c>
      <c r="R1870">
        <v>0</v>
      </c>
      <c r="V1870" t="str">
        <f>VLOOKUP(H1870,'[1]팀별 출판사'!A:B,2,0)</f>
        <v>소설1팀</v>
      </c>
      <c r="W1870" s="6">
        <f t="shared" si="58"/>
        <v>0</v>
      </c>
      <c r="X1870" s="6">
        <f t="shared" si="59"/>
        <v>0</v>
      </c>
    </row>
    <row r="1871" spans="1:24" x14ac:dyDescent="0.3">
      <c r="A1871" t="s">
        <v>2754</v>
      </c>
      <c r="B1871" t="s">
        <v>2937</v>
      </c>
      <c r="C1871" t="s">
        <v>23</v>
      </c>
      <c r="D1871" t="s">
        <v>24</v>
      </c>
      <c r="E1871" t="s">
        <v>25</v>
      </c>
      <c r="F1871">
        <v>1</v>
      </c>
      <c r="G1871" t="s">
        <v>2938</v>
      </c>
      <c r="H1871" t="s">
        <v>32</v>
      </c>
      <c r="I1871" t="s">
        <v>2939</v>
      </c>
      <c r="J1871" t="s">
        <v>2940</v>
      </c>
      <c r="K1871" t="s">
        <v>29</v>
      </c>
      <c r="L1871">
        <v>0</v>
      </c>
      <c r="M1871" t="s">
        <v>29</v>
      </c>
      <c r="N1871">
        <v>0</v>
      </c>
      <c r="O1871">
        <v>0</v>
      </c>
      <c r="P1871" t="s">
        <v>30</v>
      </c>
      <c r="Q1871" s="2">
        <v>0.7</v>
      </c>
      <c r="R1871">
        <v>0</v>
      </c>
      <c r="V1871" t="str">
        <f>VLOOKUP(H1871,'[1]팀별 출판사'!A:B,2,0)</f>
        <v>소설1팀</v>
      </c>
      <c r="W1871" s="6">
        <f t="shared" si="58"/>
        <v>0</v>
      </c>
      <c r="X1871" s="6">
        <f t="shared" si="59"/>
        <v>0</v>
      </c>
    </row>
    <row r="1872" spans="1:24" x14ac:dyDescent="0.3">
      <c r="A1872" t="s">
        <v>2754</v>
      </c>
      <c r="B1872" t="s">
        <v>2941</v>
      </c>
      <c r="C1872" t="s">
        <v>23</v>
      </c>
      <c r="D1872" t="s">
        <v>24</v>
      </c>
      <c r="E1872" t="s">
        <v>25</v>
      </c>
      <c r="F1872">
        <v>1</v>
      </c>
      <c r="G1872">
        <v>9791136930361</v>
      </c>
      <c r="H1872" t="s">
        <v>32</v>
      </c>
      <c r="I1872" t="s">
        <v>33</v>
      </c>
      <c r="J1872" t="s">
        <v>34</v>
      </c>
      <c r="K1872" t="s">
        <v>29</v>
      </c>
      <c r="L1872">
        <v>0</v>
      </c>
      <c r="M1872" t="s">
        <v>47</v>
      </c>
      <c r="N1872">
        <v>0</v>
      </c>
      <c r="O1872">
        <v>0</v>
      </c>
      <c r="P1872" t="s">
        <v>48</v>
      </c>
      <c r="Q1872" s="2">
        <v>0.7</v>
      </c>
      <c r="R1872">
        <v>0</v>
      </c>
      <c r="V1872" t="str">
        <f>VLOOKUP(H1872,'[1]팀별 출판사'!A:B,2,0)</f>
        <v>소설1팀</v>
      </c>
      <c r="W1872" s="6">
        <f t="shared" si="58"/>
        <v>0</v>
      </c>
      <c r="X1872" s="6">
        <f t="shared" si="59"/>
        <v>0</v>
      </c>
    </row>
    <row r="1873" spans="1:24" x14ac:dyDescent="0.3">
      <c r="A1873" t="s">
        <v>2754</v>
      </c>
      <c r="B1873" t="s">
        <v>2942</v>
      </c>
      <c r="C1873" t="s">
        <v>23</v>
      </c>
      <c r="D1873" t="s">
        <v>24</v>
      </c>
      <c r="E1873" t="s">
        <v>25</v>
      </c>
      <c r="F1873">
        <v>1</v>
      </c>
      <c r="G1873">
        <v>9791133186501</v>
      </c>
      <c r="H1873" t="s">
        <v>26</v>
      </c>
      <c r="I1873" t="s">
        <v>64</v>
      </c>
      <c r="J1873" t="s">
        <v>65</v>
      </c>
      <c r="K1873" t="s">
        <v>29</v>
      </c>
      <c r="L1873">
        <v>0</v>
      </c>
      <c r="M1873" t="s">
        <v>29</v>
      </c>
      <c r="N1873">
        <v>0</v>
      </c>
      <c r="O1873">
        <v>0</v>
      </c>
      <c r="P1873" t="s">
        <v>30</v>
      </c>
      <c r="Q1873" s="2">
        <v>0.7</v>
      </c>
      <c r="R1873">
        <v>0</v>
      </c>
      <c r="V1873" t="str">
        <f>VLOOKUP(H1873,'[1]팀별 출판사'!A:B,2,0)</f>
        <v>소설1팀</v>
      </c>
      <c r="W1873" s="6">
        <f t="shared" si="58"/>
        <v>0</v>
      </c>
      <c r="X1873" s="6">
        <f t="shared" si="59"/>
        <v>0</v>
      </c>
    </row>
    <row r="1874" spans="1:24" x14ac:dyDescent="0.3">
      <c r="A1874" t="s">
        <v>2754</v>
      </c>
      <c r="B1874" t="s">
        <v>2943</v>
      </c>
      <c r="C1874" t="s">
        <v>23</v>
      </c>
      <c r="D1874" t="s">
        <v>24</v>
      </c>
      <c r="E1874" t="s">
        <v>25</v>
      </c>
      <c r="F1874">
        <v>1</v>
      </c>
      <c r="G1874">
        <v>9791133167258</v>
      </c>
      <c r="H1874" t="s">
        <v>32</v>
      </c>
      <c r="I1874" t="s">
        <v>1977</v>
      </c>
      <c r="J1874" t="s">
        <v>160</v>
      </c>
      <c r="K1874" t="s">
        <v>29</v>
      </c>
      <c r="L1874" s="1">
        <v>2500</v>
      </c>
      <c r="M1874" t="s">
        <v>29</v>
      </c>
      <c r="N1874" s="1">
        <v>2500</v>
      </c>
      <c r="O1874" s="1">
        <v>2500</v>
      </c>
      <c r="P1874" t="s">
        <v>30</v>
      </c>
      <c r="Q1874" s="2">
        <v>0.7</v>
      </c>
      <c r="R1874" s="1">
        <v>1750</v>
      </c>
      <c r="S1874" t="s">
        <v>29</v>
      </c>
      <c r="T1874" s="1">
        <v>1750</v>
      </c>
      <c r="V1874" t="str">
        <f>VLOOKUP(H1874,'[1]팀별 출판사'!A:B,2,0)</f>
        <v>소설1팀</v>
      </c>
      <c r="W1874" s="6">
        <f t="shared" si="58"/>
        <v>0</v>
      </c>
      <c r="X1874" s="6">
        <f t="shared" si="59"/>
        <v>1750</v>
      </c>
    </row>
    <row r="1875" spans="1:24" x14ac:dyDescent="0.3">
      <c r="A1875" t="s">
        <v>2754</v>
      </c>
      <c r="B1875" t="s">
        <v>2944</v>
      </c>
      <c r="C1875" t="s">
        <v>23</v>
      </c>
      <c r="D1875" t="s">
        <v>24</v>
      </c>
      <c r="E1875" t="s">
        <v>25</v>
      </c>
      <c r="F1875">
        <v>1</v>
      </c>
      <c r="G1875">
        <v>9791133198924</v>
      </c>
      <c r="H1875" t="s">
        <v>26</v>
      </c>
      <c r="I1875" t="s">
        <v>96</v>
      </c>
      <c r="J1875" t="s">
        <v>97</v>
      </c>
      <c r="K1875" t="s">
        <v>29</v>
      </c>
      <c r="L1875">
        <v>0</v>
      </c>
      <c r="M1875" t="s">
        <v>29</v>
      </c>
      <c r="N1875">
        <v>0</v>
      </c>
      <c r="O1875">
        <v>0</v>
      </c>
      <c r="P1875" t="s">
        <v>30</v>
      </c>
      <c r="Q1875" s="2">
        <v>0.7</v>
      </c>
      <c r="R1875">
        <v>0</v>
      </c>
      <c r="V1875" t="str">
        <f>VLOOKUP(H1875,'[1]팀별 출판사'!A:B,2,0)</f>
        <v>소설1팀</v>
      </c>
      <c r="W1875" s="6">
        <f t="shared" si="58"/>
        <v>0</v>
      </c>
      <c r="X1875" s="6">
        <f t="shared" si="59"/>
        <v>0</v>
      </c>
    </row>
    <row r="1876" spans="1:24" x14ac:dyDescent="0.3">
      <c r="A1876" t="s">
        <v>2754</v>
      </c>
      <c r="B1876" t="s">
        <v>2945</v>
      </c>
      <c r="C1876" t="s">
        <v>23</v>
      </c>
      <c r="D1876" t="s">
        <v>24</v>
      </c>
      <c r="E1876" t="s">
        <v>25</v>
      </c>
      <c r="F1876">
        <v>1</v>
      </c>
      <c r="G1876">
        <v>9791175302594</v>
      </c>
      <c r="H1876" t="s">
        <v>26</v>
      </c>
      <c r="I1876" t="s">
        <v>101</v>
      </c>
      <c r="J1876" t="s">
        <v>102</v>
      </c>
      <c r="K1876" t="s">
        <v>29</v>
      </c>
      <c r="L1876">
        <v>0</v>
      </c>
      <c r="M1876" t="s">
        <v>29</v>
      </c>
      <c r="N1876">
        <v>0</v>
      </c>
      <c r="O1876">
        <v>0</v>
      </c>
      <c r="P1876" t="s">
        <v>30</v>
      </c>
      <c r="Q1876" s="2">
        <v>0.7</v>
      </c>
      <c r="R1876">
        <v>0</v>
      </c>
      <c r="V1876" t="str">
        <f>VLOOKUP(H1876,'[1]팀별 출판사'!A:B,2,0)</f>
        <v>소설1팀</v>
      </c>
      <c r="W1876" s="6">
        <f t="shared" si="58"/>
        <v>0</v>
      </c>
      <c r="X1876" s="6">
        <f t="shared" si="59"/>
        <v>0</v>
      </c>
    </row>
    <row r="1877" spans="1:24" x14ac:dyDescent="0.3">
      <c r="A1877" t="s">
        <v>2754</v>
      </c>
      <c r="B1877" t="s">
        <v>2946</v>
      </c>
      <c r="C1877" t="s">
        <v>23</v>
      </c>
      <c r="D1877" t="s">
        <v>24</v>
      </c>
      <c r="E1877" t="s">
        <v>25</v>
      </c>
      <c r="F1877">
        <v>1</v>
      </c>
      <c r="G1877">
        <v>9791136916532</v>
      </c>
      <c r="H1877" t="s">
        <v>26</v>
      </c>
      <c r="I1877" t="s">
        <v>2947</v>
      </c>
      <c r="J1877" t="s">
        <v>2886</v>
      </c>
      <c r="K1877" t="s">
        <v>29</v>
      </c>
      <c r="L1877" s="1">
        <v>3200</v>
      </c>
      <c r="M1877" t="s">
        <v>29</v>
      </c>
      <c r="N1877" s="1">
        <v>3200</v>
      </c>
      <c r="O1877" s="1">
        <v>3200</v>
      </c>
      <c r="P1877" t="s">
        <v>30</v>
      </c>
      <c r="Q1877" s="2">
        <v>0.7</v>
      </c>
      <c r="R1877" s="1">
        <v>2240</v>
      </c>
      <c r="S1877" t="s">
        <v>29</v>
      </c>
      <c r="T1877" s="1">
        <v>2240</v>
      </c>
      <c r="V1877" t="str">
        <f>VLOOKUP(H1877,'[1]팀별 출판사'!A:B,2,0)</f>
        <v>소설1팀</v>
      </c>
      <c r="W1877" s="6">
        <f t="shared" si="58"/>
        <v>0</v>
      </c>
      <c r="X1877" s="6">
        <f t="shared" si="59"/>
        <v>2240</v>
      </c>
    </row>
    <row r="1878" spans="1:24" x14ac:dyDescent="0.3">
      <c r="A1878" t="s">
        <v>2754</v>
      </c>
      <c r="B1878" t="s">
        <v>2948</v>
      </c>
      <c r="C1878" t="s">
        <v>23</v>
      </c>
      <c r="D1878" t="s">
        <v>24</v>
      </c>
      <c r="E1878" t="s">
        <v>25</v>
      </c>
      <c r="F1878">
        <v>1</v>
      </c>
      <c r="G1878">
        <v>9791133167227</v>
      </c>
      <c r="H1878" t="s">
        <v>32</v>
      </c>
      <c r="I1878" t="s">
        <v>313</v>
      </c>
      <c r="J1878" t="s">
        <v>160</v>
      </c>
      <c r="K1878" t="s">
        <v>29</v>
      </c>
      <c r="L1878">
        <v>0</v>
      </c>
      <c r="M1878" t="s">
        <v>29</v>
      </c>
      <c r="N1878">
        <v>0</v>
      </c>
      <c r="O1878">
        <v>0</v>
      </c>
      <c r="P1878" t="s">
        <v>30</v>
      </c>
      <c r="Q1878" s="2">
        <v>0.7</v>
      </c>
      <c r="R1878">
        <v>0</v>
      </c>
      <c r="V1878" t="str">
        <f>VLOOKUP(H1878,'[1]팀별 출판사'!A:B,2,0)</f>
        <v>소설1팀</v>
      </c>
      <c r="W1878" s="6">
        <f t="shared" si="58"/>
        <v>0</v>
      </c>
      <c r="X1878" s="6">
        <f t="shared" si="59"/>
        <v>0</v>
      </c>
    </row>
    <row r="1879" spans="1:24" x14ac:dyDescent="0.3">
      <c r="A1879" t="s">
        <v>2754</v>
      </c>
      <c r="B1879" t="s">
        <v>2949</v>
      </c>
      <c r="C1879" t="s">
        <v>23</v>
      </c>
      <c r="D1879" t="s">
        <v>24</v>
      </c>
      <c r="E1879" t="s">
        <v>25</v>
      </c>
      <c r="F1879">
        <v>1</v>
      </c>
      <c r="G1879">
        <v>9791133167241</v>
      </c>
      <c r="H1879" t="s">
        <v>32</v>
      </c>
      <c r="I1879" t="s">
        <v>1976</v>
      </c>
      <c r="J1879" t="s">
        <v>160</v>
      </c>
      <c r="K1879" t="s">
        <v>29</v>
      </c>
      <c r="L1879" s="1">
        <v>2500</v>
      </c>
      <c r="M1879" t="s">
        <v>29</v>
      </c>
      <c r="N1879" s="1">
        <v>2500</v>
      </c>
      <c r="O1879" s="1">
        <v>2500</v>
      </c>
      <c r="P1879" t="s">
        <v>30</v>
      </c>
      <c r="Q1879" s="2">
        <v>0.7</v>
      </c>
      <c r="R1879" s="1">
        <v>1750</v>
      </c>
      <c r="S1879" t="s">
        <v>29</v>
      </c>
      <c r="T1879" s="1">
        <v>1750</v>
      </c>
      <c r="V1879" t="str">
        <f>VLOOKUP(H1879,'[1]팀별 출판사'!A:B,2,0)</f>
        <v>소설1팀</v>
      </c>
      <c r="W1879" s="6">
        <f t="shared" si="58"/>
        <v>0</v>
      </c>
      <c r="X1879" s="6">
        <f t="shared" si="59"/>
        <v>1750</v>
      </c>
    </row>
    <row r="1880" spans="1:24" x14ac:dyDescent="0.3">
      <c r="A1880" t="s">
        <v>2754</v>
      </c>
      <c r="B1880" t="s">
        <v>2950</v>
      </c>
      <c r="C1880" t="s">
        <v>23</v>
      </c>
      <c r="D1880" t="s">
        <v>24</v>
      </c>
      <c r="E1880" t="s">
        <v>25</v>
      </c>
      <c r="F1880">
        <v>1</v>
      </c>
      <c r="G1880">
        <v>9791170103493</v>
      </c>
      <c r="H1880" t="s">
        <v>67</v>
      </c>
      <c r="I1880" t="s">
        <v>2951</v>
      </c>
      <c r="J1880" t="s">
        <v>2952</v>
      </c>
      <c r="K1880" t="s">
        <v>29</v>
      </c>
      <c r="L1880">
        <v>0</v>
      </c>
      <c r="M1880" t="s">
        <v>29</v>
      </c>
      <c r="N1880">
        <v>0</v>
      </c>
      <c r="O1880">
        <v>0</v>
      </c>
      <c r="P1880" t="s">
        <v>30</v>
      </c>
      <c r="Q1880" s="2">
        <v>0.7</v>
      </c>
      <c r="R1880">
        <v>0</v>
      </c>
      <c r="V1880" t="str">
        <f>VLOOKUP(H1880,'[1]팀별 출판사'!A:B,2,0)</f>
        <v>소설1팀</v>
      </c>
      <c r="W1880" s="6">
        <f t="shared" si="58"/>
        <v>0</v>
      </c>
      <c r="X1880" s="6">
        <f t="shared" si="59"/>
        <v>0</v>
      </c>
    </row>
    <row r="1881" spans="1:24" x14ac:dyDescent="0.3">
      <c r="A1881" t="s">
        <v>2754</v>
      </c>
      <c r="B1881" t="s">
        <v>2953</v>
      </c>
      <c r="C1881" t="s">
        <v>23</v>
      </c>
      <c r="D1881" t="s">
        <v>24</v>
      </c>
      <c r="E1881" t="s">
        <v>25</v>
      </c>
      <c r="F1881">
        <v>1</v>
      </c>
      <c r="G1881">
        <v>9791136958662</v>
      </c>
      <c r="H1881" t="s">
        <v>79</v>
      </c>
      <c r="I1881" t="s">
        <v>396</v>
      </c>
      <c r="J1881" t="s">
        <v>81</v>
      </c>
      <c r="K1881" t="s">
        <v>29</v>
      </c>
      <c r="L1881">
        <v>0</v>
      </c>
      <c r="M1881" t="s">
        <v>29</v>
      </c>
      <c r="N1881">
        <v>0</v>
      </c>
      <c r="O1881">
        <v>0</v>
      </c>
      <c r="P1881" t="s">
        <v>30</v>
      </c>
      <c r="Q1881" s="2">
        <v>0.7</v>
      </c>
      <c r="R1881">
        <v>0</v>
      </c>
      <c r="V1881" t="str">
        <f>VLOOKUP(H1881,'[1]팀별 출판사'!A:B,2,0)</f>
        <v>소설1팀</v>
      </c>
      <c r="W1881" s="6">
        <f t="shared" si="58"/>
        <v>0</v>
      </c>
      <c r="X1881" s="6">
        <f t="shared" si="59"/>
        <v>0</v>
      </c>
    </row>
    <row r="1882" spans="1:24" x14ac:dyDescent="0.3">
      <c r="A1882" t="s">
        <v>2754</v>
      </c>
      <c r="B1882" t="s">
        <v>2954</v>
      </c>
      <c r="C1882" t="s">
        <v>23</v>
      </c>
      <c r="D1882" t="s">
        <v>24</v>
      </c>
      <c r="E1882" t="s">
        <v>25</v>
      </c>
      <c r="F1882">
        <v>1</v>
      </c>
      <c r="G1882">
        <v>9791170103509</v>
      </c>
      <c r="H1882" t="s">
        <v>67</v>
      </c>
      <c r="I1882" t="s">
        <v>2955</v>
      </c>
      <c r="J1882" t="s">
        <v>2952</v>
      </c>
      <c r="K1882" t="s">
        <v>29</v>
      </c>
      <c r="L1882" s="1">
        <v>2500</v>
      </c>
      <c r="M1882" t="s">
        <v>29</v>
      </c>
      <c r="N1882" s="1">
        <v>2500</v>
      </c>
      <c r="O1882" s="1">
        <v>2500</v>
      </c>
      <c r="P1882" t="s">
        <v>30</v>
      </c>
      <c r="Q1882" s="2">
        <v>0.7</v>
      </c>
      <c r="R1882" s="1">
        <v>1750</v>
      </c>
      <c r="S1882" t="s">
        <v>29</v>
      </c>
      <c r="T1882" s="1">
        <v>1750</v>
      </c>
      <c r="V1882" t="str">
        <f>VLOOKUP(H1882,'[1]팀별 출판사'!A:B,2,0)</f>
        <v>소설1팀</v>
      </c>
      <c r="W1882" s="6">
        <f t="shared" si="58"/>
        <v>0</v>
      </c>
      <c r="X1882" s="6">
        <f t="shared" si="59"/>
        <v>1750</v>
      </c>
    </row>
    <row r="1883" spans="1:24" x14ac:dyDescent="0.3">
      <c r="A1883" t="s">
        <v>2754</v>
      </c>
      <c r="B1883" t="s">
        <v>2956</v>
      </c>
      <c r="C1883" t="s">
        <v>23</v>
      </c>
      <c r="D1883" t="s">
        <v>24</v>
      </c>
      <c r="E1883" t="s">
        <v>25</v>
      </c>
      <c r="F1883">
        <v>1</v>
      </c>
      <c r="G1883">
        <v>9791136927255</v>
      </c>
      <c r="H1883" t="s">
        <v>36</v>
      </c>
      <c r="I1883" t="s">
        <v>90</v>
      </c>
      <c r="J1883" t="s">
        <v>38</v>
      </c>
      <c r="K1883" t="s">
        <v>29</v>
      </c>
      <c r="L1883" s="1">
        <v>3300</v>
      </c>
      <c r="M1883" t="s">
        <v>29</v>
      </c>
      <c r="N1883" s="1">
        <v>3300</v>
      </c>
      <c r="O1883" s="1">
        <v>3300</v>
      </c>
      <c r="P1883" t="s">
        <v>30</v>
      </c>
      <c r="Q1883" s="2">
        <v>0.7</v>
      </c>
      <c r="R1883" s="1">
        <v>2310</v>
      </c>
      <c r="S1883" t="s">
        <v>29</v>
      </c>
      <c r="T1883" s="1">
        <v>2310</v>
      </c>
      <c r="V1883" t="str">
        <f>VLOOKUP(H1883,'[1]팀별 출판사'!A:B,2,0)</f>
        <v>소설2팀</v>
      </c>
      <c r="W1883" s="6">
        <f t="shared" si="58"/>
        <v>0</v>
      </c>
      <c r="X1883" s="6">
        <f t="shared" si="59"/>
        <v>2310</v>
      </c>
    </row>
    <row r="1884" spans="1:24" x14ac:dyDescent="0.3">
      <c r="A1884" t="s">
        <v>2754</v>
      </c>
      <c r="B1884" t="s">
        <v>2957</v>
      </c>
      <c r="C1884" t="s">
        <v>23</v>
      </c>
      <c r="D1884" t="s">
        <v>24</v>
      </c>
      <c r="E1884" t="s">
        <v>25</v>
      </c>
      <c r="F1884">
        <v>1</v>
      </c>
      <c r="G1884">
        <v>9791133140589</v>
      </c>
      <c r="H1884" t="s">
        <v>32</v>
      </c>
      <c r="I1884" t="s">
        <v>1626</v>
      </c>
      <c r="J1884" t="s">
        <v>1627</v>
      </c>
      <c r="K1884" t="s">
        <v>29</v>
      </c>
      <c r="L1884">
        <v>0</v>
      </c>
      <c r="M1884" t="s">
        <v>29</v>
      </c>
      <c r="N1884">
        <v>0</v>
      </c>
      <c r="O1884">
        <v>0</v>
      </c>
      <c r="P1884" t="s">
        <v>30</v>
      </c>
      <c r="Q1884" s="2">
        <v>0.7</v>
      </c>
      <c r="R1884">
        <v>0</v>
      </c>
      <c r="V1884" t="str">
        <f>VLOOKUP(H1884,'[1]팀별 출판사'!A:B,2,0)</f>
        <v>소설1팀</v>
      </c>
      <c r="W1884" s="6">
        <f t="shared" si="58"/>
        <v>0</v>
      </c>
      <c r="X1884" s="6">
        <f t="shared" si="59"/>
        <v>0</v>
      </c>
    </row>
    <row r="1885" spans="1:24" x14ac:dyDescent="0.3">
      <c r="A1885" t="s">
        <v>2754</v>
      </c>
      <c r="B1885" t="s">
        <v>2958</v>
      </c>
      <c r="C1885" t="s">
        <v>23</v>
      </c>
      <c r="D1885" t="s">
        <v>24</v>
      </c>
      <c r="E1885" t="s">
        <v>25</v>
      </c>
      <c r="F1885">
        <v>1</v>
      </c>
      <c r="G1885">
        <v>9791136935007</v>
      </c>
      <c r="H1885" t="s">
        <v>32</v>
      </c>
      <c r="I1885" t="s">
        <v>1081</v>
      </c>
      <c r="J1885" t="s">
        <v>1082</v>
      </c>
      <c r="K1885" t="s">
        <v>29</v>
      </c>
      <c r="L1885">
        <v>0</v>
      </c>
      <c r="M1885" t="s">
        <v>29</v>
      </c>
      <c r="N1885">
        <v>0</v>
      </c>
      <c r="O1885">
        <v>0</v>
      </c>
      <c r="P1885" t="s">
        <v>30</v>
      </c>
      <c r="Q1885" s="2">
        <v>0.7</v>
      </c>
      <c r="R1885">
        <v>0</v>
      </c>
      <c r="V1885" t="str">
        <f>VLOOKUP(H1885,'[1]팀별 출판사'!A:B,2,0)</f>
        <v>소설1팀</v>
      </c>
      <c r="W1885" s="6">
        <f t="shared" si="58"/>
        <v>0</v>
      </c>
      <c r="X1885" s="6">
        <f t="shared" si="59"/>
        <v>0</v>
      </c>
    </row>
    <row r="1886" spans="1:24" x14ac:dyDescent="0.3">
      <c r="A1886" t="s">
        <v>2754</v>
      </c>
      <c r="B1886" t="s">
        <v>2959</v>
      </c>
      <c r="C1886" t="s">
        <v>23</v>
      </c>
      <c r="D1886" t="s">
        <v>24</v>
      </c>
      <c r="E1886" t="s">
        <v>25</v>
      </c>
      <c r="F1886">
        <v>1</v>
      </c>
      <c r="G1886">
        <v>9791136930811</v>
      </c>
      <c r="H1886" t="s">
        <v>32</v>
      </c>
      <c r="I1886" t="s">
        <v>1011</v>
      </c>
      <c r="J1886" t="s">
        <v>34</v>
      </c>
      <c r="K1886" t="s">
        <v>29</v>
      </c>
      <c r="L1886">
        <v>0</v>
      </c>
      <c r="M1886" t="s">
        <v>47</v>
      </c>
      <c r="N1886">
        <v>0</v>
      </c>
      <c r="O1886">
        <v>0</v>
      </c>
      <c r="P1886" t="s">
        <v>48</v>
      </c>
      <c r="Q1886" s="2">
        <v>0.7</v>
      </c>
      <c r="R1886">
        <v>0</v>
      </c>
      <c r="V1886" t="str">
        <f>VLOOKUP(H1886,'[1]팀별 출판사'!A:B,2,0)</f>
        <v>소설1팀</v>
      </c>
      <c r="W1886" s="6">
        <f t="shared" si="58"/>
        <v>0</v>
      </c>
      <c r="X1886" s="6">
        <f t="shared" si="59"/>
        <v>0</v>
      </c>
    </row>
    <row r="1887" spans="1:24" x14ac:dyDescent="0.3">
      <c r="A1887" t="s">
        <v>2754</v>
      </c>
      <c r="B1887" t="s">
        <v>2960</v>
      </c>
      <c r="C1887" t="s">
        <v>23</v>
      </c>
      <c r="D1887" t="s">
        <v>24</v>
      </c>
      <c r="E1887" t="s">
        <v>25</v>
      </c>
      <c r="F1887">
        <v>1</v>
      </c>
      <c r="G1887">
        <v>9791133152360</v>
      </c>
      <c r="H1887" t="s">
        <v>32</v>
      </c>
      <c r="I1887" t="s">
        <v>2961</v>
      </c>
      <c r="J1887" t="s">
        <v>1153</v>
      </c>
      <c r="K1887" t="s">
        <v>29</v>
      </c>
      <c r="L1887">
        <v>0</v>
      </c>
      <c r="M1887" t="s">
        <v>29</v>
      </c>
      <c r="N1887">
        <v>0</v>
      </c>
      <c r="O1887">
        <v>0</v>
      </c>
      <c r="P1887" t="s">
        <v>30</v>
      </c>
      <c r="Q1887" s="2">
        <v>0.7</v>
      </c>
      <c r="R1887">
        <v>0</v>
      </c>
      <c r="V1887" t="str">
        <f>VLOOKUP(H1887,'[1]팀별 출판사'!A:B,2,0)</f>
        <v>소설1팀</v>
      </c>
      <c r="W1887" s="6">
        <f t="shared" si="58"/>
        <v>0</v>
      </c>
      <c r="X1887" s="6">
        <f t="shared" si="59"/>
        <v>0</v>
      </c>
    </row>
    <row r="1888" spans="1:24" x14ac:dyDescent="0.3">
      <c r="A1888" t="s">
        <v>2754</v>
      </c>
      <c r="B1888" t="s">
        <v>2962</v>
      </c>
      <c r="C1888" t="s">
        <v>23</v>
      </c>
      <c r="D1888" t="s">
        <v>24</v>
      </c>
      <c r="E1888" t="s">
        <v>25</v>
      </c>
      <c r="F1888">
        <v>1</v>
      </c>
      <c r="G1888">
        <v>9791194664369</v>
      </c>
      <c r="H1888" t="s">
        <v>79</v>
      </c>
      <c r="I1888" t="s">
        <v>156</v>
      </c>
      <c r="J1888" t="s">
        <v>157</v>
      </c>
      <c r="K1888" t="s">
        <v>29</v>
      </c>
      <c r="L1888">
        <v>0</v>
      </c>
      <c r="M1888" t="s">
        <v>127</v>
      </c>
      <c r="N1888">
        <v>0</v>
      </c>
      <c r="O1888">
        <v>0</v>
      </c>
      <c r="P1888" t="s">
        <v>128</v>
      </c>
      <c r="Q1888" s="2">
        <v>0.7</v>
      </c>
      <c r="R1888">
        <v>0</v>
      </c>
      <c r="V1888" t="str">
        <f>VLOOKUP(H1888,'[1]팀별 출판사'!A:B,2,0)</f>
        <v>소설1팀</v>
      </c>
      <c r="W1888" s="6">
        <f t="shared" si="58"/>
        <v>0</v>
      </c>
      <c r="X1888" s="6">
        <f t="shared" si="59"/>
        <v>0</v>
      </c>
    </row>
    <row r="1889" spans="1:24" x14ac:dyDescent="0.3">
      <c r="A1889" t="s">
        <v>2754</v>
      </c>
      <c r="B1889" t="s">
        <v>2963</v>
      </c>
      <c r="C1889" t="s">
        <v>23</v>
      </c>
      <c r="D1889" t="s">
        <v>24</v>
      </c>
      <c r="E1889" t="s">
        <v>25</v>
      </c>
      <c r="F1889">
        <v>1</v>
      </c>
      <c r="G1889">
        <v>9791136934925</v>
      </c>
      <c r="H1889" t="s">
        <v>32</v>
      </c>
      <c r="I1889" t="s">
        <v>385</v>
      </c>
      <c r="J1889" t="s">
        <v>126</v>
      </c>
      <c r="K1889" t="s">
        <v>29</v>
      </c>
      <c r="L1889">
        <v>0</v>
      </c>
      <c r="M1889" t="s">
        <v>127</v>
      </c>
      <c r="N1889">
        <v>0</v>
      </c>
      <c r="O1889">
        <v>0</v>
      </c>
      <c r="P1889" t="s">
        <v>128</v>
      </c>
      <c r="Q1889" s="2">
        <v>0.7</v>
      </c>
      <c r="R1889">
        <v>0</v>
      </c>
      <c r="V1889" t="str">
        <f>VLOOKUP(H1889,'[1]팀별 출판사'!A:B,2,0)</f>
        <v>소설1팀</v>
      </c>
      <c r="W1889" s="6">
        <f t="shared" si="58"/>
        <v>0</v>
      </c>
      <c r="X1889" s="6">
        <f t="shared" si="59"/>
        <v>0</v>
      </c>
    </row>
    <row r="1890" spans="1:24" x14ac:dyDescent="0.3">
      <c r="A1890" t="s">
        <v>2754</v>
      </c>
      <c r="B1890" t="s">
        <v>2964</v>
      </c>
      <c r="C1890" t="s">
        <v>23</v>
      </c>
      <c r="D1890" t="s">
        <v>24</v>
      </c>
      <c r="E1890" t="s">
        <v>25</v>
      </c>
      <c r="F1890">
        <v>1</v>
      </c>
      <c r="G1890">
        <v>9791136988164</v>
      </c>
      <c r="H1890" t="s">
        <v>26</v>
      </c>
      <c r="I1890" t="s">
        <v>2110</v>
      </c>
      <c r="J1890" t="s">
        <v>28</v>
      </c>
      <c r="K1890" t="s">
        <v>29</v>
      </c>
      <c r="L1890" s="1">
        <v>3200</v>
      </c>
      <c r="M1890" t="s">
        <v>29</v>
      </c>
      <c r="N1890" s="1">
        <v>3200</v>
      </c>
      <c r="O1890" s="1">
        <v>3200</v>
      </c>
      <c r="P1890" t="s">
        <v>30</v>
      </c>
      <c r="Q1890" s="2">
        <v>0.7</v>
      </c>
      <c r="R1890" s="1">
        <v>2240</v>
      </c>
      <c r="S1890" t="s">
        <v>29</v>
      </c>
      <c r="T1890" s="1">
        <v>2240</v>
      </c>
      <c r="V1890" t="str">
        <f>VLOOKUP(H1890,'[1]팀별 출판사'!A:B,2,0)</f>
        <v>소설1팀</v>
      </c>
      <c r="W1890" s="6">
        <f t="shared" si="58"/>
        <v>0</v>
      </c>
      <c r="X1890" s="6">
        <f t="shared" si="59"/>
        <v>2240</v>
      </c>
    </row>
    <row r="1891" spans="1:24" x14ac:dyDescent="0.3">
      <c r="A1891" t="s">
        <v>2754</v>
      </c>
      <c r="B1891" t="s">
        <v>2965</v>
      </c>
      <c r="C1891" t="s">
        <v>23</v>
      </c>
      <c r="D1891" t="s">
        <v>24</v>
      </c>
      <c r="E1891" t="s">
        <v>25</v>
      </c>
      <c r="F1891">
        <v>1</v>
      </c>
      <c r="G1891" t="s">
        <v>2966</v>
      </c>
      <c r="H1891" t="s">
        <v>32</v>
      </c>
      <c r="I1891" t="s">
        <v>2967</v>
      </c>
      <c r="J1891" t="s">
        <v>2968</v>
      </c>
      <c r="K1891" t="s">
        <v>29</v>
      </c>
      <c r="L1891">
        <v>0</v>
      </c>
      <c r="M1891" t="s">
        <v>29</v>
      </c>
      <c r="N1891">
        <v>0</v>
      </c>
      <c r="O1891">
        <v>0</v>
      </c>
      <c r="P1891" t="s">
        <v>30</v>
      </c>
      <c r="Q1891" s="2">
        <v>0.7</v>
      </c>
      <c r="R1891">
        <v>0</v>
      </c>
      <c r="V1891" t="str">
        <f>VLOOKUP(H1891,'[1]팀별 출판사'!A:B,2,0)</f>
        <v>소설1팀</v>
      </c>
      <c r="W1891" s="6">
        <f t="shared" si="58"/>
        <v>0</v>
      </c>
      <c r="X1891" s="6">
        <f t="shared" si="59"/>
        <v>0</v>
      </c>
    </row>
    <row r="1892" spans="1:24" x14ac:dyDescent="0.3">
      <c r="A1892" t="s">
        <v>2754</v>
      </c>
      <c r="B1892" t="s">
        <v>2969</v>
      </c>
      <c r="C1892" t="s">
        <v>23</v>
      </c>
      <c r="D1892" t="s">
        <v>24</v>
      </c>
      <c r="E1892" t="s">
        <v>25</v>
      </c>
      <c r="F1892">
        <v>1</v>
      </c>
      <c r="G1892">
        <v>9791173785214</v>
      </c>
      <c r="H1892" t="s">
        <v>26</v>
      </c>
      <c r="I1892" t="s">
        <v>1393</v>
      </c>
      <c r="J1892" t="s">
        <v>1394</v>
      </c>
      <c r="K1892" t="s">
        <v>29</v>
      </c>
      <c r="L1892">
        <v>0</v>
      </c>
      <c r="M1892" t="s">
        <v>70</v>
      </c>
      <c r="N1892">
        <v>0</v>
      </c>
      <c r="O1892">
        <v>0</v>
      </c>
      <c r="P1892" t="s">
        <v>71</v>
      </c>
      <c r="Q1892" s="2">
        <v>0.7</v>
      </c>
      <c r="R1892">
        <v>0</v>
      </c>
      <c r="V1892" t="str">
        <f>VLOOKUP(H1892,'[1]팀별 출판사'!A:B,2,0)</f>
        <v>소설1팀</v>
      </c>
      <c r="W1892" s="6">
        <f t="shared" si="58"/>
        <v>0</v>
      </c>
      <c r="X1892" s="6">
        <f t="shared" si="59"/>
        <v>0</v>
      </c>
    </row>
    <row r="1893" spans="1:24" x14ac:dyDescent="0.3">
      <c r="A1893" t="s">
        <v>2754</v>
      </c>
      <c r="B1893" t="s">
        <v>2970</v>
      </c>
      <c r="C1893" t="s">
        <v>23</v>
      </c>
      <c r="D1893" t="s">
        <v>24</v>
      </c>
      <c r="E1893" t="s">
        <v>25</v>
      </c>
      <c r="F1893">
        <v>1</v>
      </c>
      <c r="G1893">
        <v>9791136988157</v>
      </c>
      <c r="H1893" t="s">
        <v>26</v>
      </c>
      <c r="I1893" t="s">
        <v>2545</v>
      </c>
      <c r="J1893" t="s">
        <v>28</v>
      </c>
      <c r="K1893" t="s">
        <v>29</v>
      </c>
      <c r="L1893" s="1">
        <v>3200</v>
      </c>
      <c r="M1893" t="s">
        <v>29</v>
      </c>
      <c r="N1893" s="1">
        <v>3200</v>
      </c>
      <c r="O1893" s="1">
        <v>3200</v>
      </c>
      <c r="P1893" t="s">
        <v>30</v>
      </c>
      <c r="Q1893" s="2">
        <v>0.7</v>
      </c>
      <c r="R1893" s="1">
        <v>2240</v>
      </c>
      <c r="S1893" t="s">
        <v>29</v>
      </c>
      <c r="T1893" s="1">
        <v>2240</v>
      </c>
      <c r="V1893" t="str">
        <f>VLOOKUP(H1893,'[1]팀별 출판사'!A:B,2,0)</f>
        <v>소설1팀</v>
      </c>
      <c r="W1893" s="6">
        <f t="shared" si="58"/>
        <v>0</v>
      </c>
      <c r="X1893" s="6">
        <f t="shared" si="59"/>
        <v>2240</v>
      </c>
    </row>
    <row r="1894" spans="1:24" x14ac:dyDescent="0.3">
      <c r="A1894" t="s">
        <v>2754</v>
      </c>
      <c r="B1894" t="s">
        <v>2971</v>
      </c>
      <c r="C1894" t="s">
        <v>23</v>
      </c>
      <c r="D1894" t="s">
        <v>24</v>
      </c>
      <c r="E1894" t="s">
        <v>25</v>
      </c>
      <c r="F1894">
        <v>1</v>
      </c>
      <c r="G1894">
        <v>9791136932594</v>
      </c>
      <c r="H1894" t="s">
        <v>32</v>
      </c>
      <c r="I1894" t="s">
        <v>2808</v>
      </c>
      <c r="J1894" t="s">
        <v>1082</v>
      </c>
      <c r="K1894" t="s">
        <v>29</v>
      </c>
      <c r="L1894">
        <v>0</v>
      </c>
      <c r="M1894" t="s">
        <v>29</v>
      </c>
      <c r="N1894">
        <v>0</v>
      </c>
      <c r="O1894">
        <v>0</v>
      </c>
      <c r="P1894" t="s">
        <v>30</v>
      </c>
      <c r="Q1894" s="2">
        <v>0.7</v>
      </c>
      <c r="R1894">
        <v>0</v>
      </c>
      <c r="V1894" t="str">
        <f>VLOOKUP(H1894,'[1]팀별 출판사'!A:B,2,0)</f>
        <v>소설1팀</v>
      </c>
      <c r="W1894" s="6">
        <f t="shared" si="58"/>
        <v>0</v>
      </c>
      <c r="X1894" s="6">
        <f t="shared" si="59"/>
        <v>0</v>
      </c>
    </row>
    <row r="1895" spans="1:24" x14ac:dyDescent="0.3">
      <c r="A1895" t="s">
        <v>2754</v>
      </c>
      <c r="B1895" t="s">
        <v>2972</v>
      </c>
      <c r="C1895" t="s">
        <v>23</v>
      </c>
      <c r="D1895" t="s">
        <v>24</v>
      </c>
      <c r="E1895" t="s">
        <v>25</v>
      </c>
      <c r="F1895">
        <v>1</v>
      </c>
      <c r="G1895">
        <v>9791136934925</v>
      </c>
      <c r="H1895" t="s">
        <v>32</v>
      </c>
      <c r="I1895" t="s">
        <v>385</v>
      </c>
      <c r="J1895" t="s">
        <v>126</v>
      </c>
      <c r="K1895" t="s">
        <v>29</v>
      </c>
      <c r="L1895">
        <v>0</v>
      </c>
      <c r="M1895" t="s">
        <v>29</v>
      </c>
      <c r="N1895">
        <v>0</v>
      </c>
      <c r="O1895">
        <v>0</v>
      </c>
      <c r="P1895" t="s">
        <v>30</v>
      </c>
      <c r="Q1895" s="2">
        <v>0.7</v>
      </c>
      <c r="R1895">
        <v>0</v>
      </c>
      <c r="V1895" t="str">
        <f>VLOOKUP(H1895,'[1]팀별 출판사'!A:B,2,0)</f>
        <v>소설1팀</v>
      </c>
      <c r="W1895" s="6">
        <f t="shared" si="58"/>
        <v>0</v>
      </c>
      <c r="X1895" s="6">
        <f t="shared" si="59"/>
        <v>0</v>
      </c>
    </row>
    <row r="1896" spans="1:24" x14ac:dyDescent="0.3">
      <c r="A1896" t="s">
        <v>2754</v>
      </c>
      <c r="B1896" t="s">
        <v>2973</v>
      </c>
      <c r="C1896" t="s">
        <v>23</v>
      </c>
      <c r="D1896" t="s">
        <v>24</v>
      </c>
      <c r="E1896" t="s">
        <v>25</v>
      </c>
      <c r="F1896">
        <v>1</v>
      </c>
      <c r="G1896">
        <v>9791136930552</v>
      </c>
      <c r="H1896" t="s">
        <v>26</v>
      </c>
      <c r="I1896" t="s">
        <v>45</v>
      </c>
      <c r="J1896" t="s">
        <v>46</v>
      </c>
      <c r="K1896" t="s">
        <v>29</v>
      </c>
      <c r="L1896">
        <v>0</v>
      </c>
      <c r="M1896" t="s">
        <v>47</v>
      </c>
      <c r="N1896">
        <v>0</v>
      </c>
      <c r="O1896">
        <v>0</v>
      </c>
      <c r="P1896" t="s">
        <v>48</v>
      </c>
      <c r="Q1896" s="2">
        <v>0.7</v>
      </c>
      <c r="R1896">
        <v>0</v>
      </c>
      <c r="V1896" t="str">
        <f>VLOOKUP(H1896,'[1]팀별 출판사'!A:B,2,0)</f>
        <v>소설1팀</v>
      </c>
      <c r="W1896" s="6">
        <f t="shared" si="58"/>
        <v>0</v>
      </c>
      <c r="X1896" s="6">
        <f t="shared" si="59"/>
        <v>0</v>
      </c>
    </row>
    <row r="1897" spans="1:24" x14ac:dyDescent="0.3">
      <c r="A1897" t="s">
        <v>2754</v>
      </c>
      <c r="B1897" t="s">
        <v>2974</v>
      </c>
      <c r="C1897" t="s">
        <v>23</v>
      </c>
      <c r="D1897" t="s">
        <v>24</v>
      </c>
      <c r="E1897" t="s">
        <v>25</v>
      </c>
      <c r="F1897">
        <v>1</v>
      </c>
      <c r="G1897">
        <v>9791136945013</v>
      </c>
      <c r="H1897" t="s">
        <v>26</v>
      </c>
      <c r="I1897" t="s">
        <v>125</v>
      </c>
      <c r="J1897" t="s">
        <v>126</v>
      </c>
      <c r="K1897" t="s">
        <v>29</v>
      </c>
      <c r="L1897">
        <v>0</v>
      </c>
      <c r="M1897" t="s">
        <v>29</v>
      </c>
      <c r="N1897">
        <v>0</v>
      </c>
      <c r="O1897">
        <v>0</v>
      </c>
      <c r="P1897" t="s">
        <v>30</v>
      </c>
      <c r="Q1897" s="2">
        <v>0.7</v>
      </c>
      <c r="R1897">
        <v>0</v>
      </c>
      <c r="V1897" t="str">
        <f>VLOOKUP(H1897,'[1]팀별 출판사'!A:B,2,0)</f>
        <v>소설1팀</v>
      </c>
      <c r="W1897" s="6">
        <f t="shared" si="58"/>
        <v>0</v>
      </c>
      <c r="X1897" s="6">
        <f t="shared" si="59"/>
        <v>0</v>
      </c>
    </row>
    <row r="1898" spans="1:24" x14ac:dyDescent="0.3">
      <c r="A1898" t="s">
        <v>2754</v>
      </c>
      <c r="B1898" t="s">
        <v>2975</v>
      </c>
      <c r="C1898" t="s">
        <v>23</v>
      </c>
      <c r="D1898" t="s">
        <v>24</v>
      </c>
      <c r="E1898" t="s">
        <v>25</v>
      </c>
      <c r="F1898">
        <v>1</v>
      </c>
      <c r="G1898">
        <v>9791136930750</v>
      </c>
      <c r="H1898" t="s">
        <v>32</v>
      </c>
      <c r="I1898" t="s">
        <v>656</v>
      </c>
      <c r="J1898" t="s">
        <v>157</v>
      </c>
      <c r="K1898" t="s">
        <v>29</v>
      </c>
      <c r="L1898">
        <v>0</v>
      </c>
      <c r="M1898" t="s">
        <v>29</v>
      </c>
      <c r="N1898">
        <v>0</v>
      </c>
      <c r="O1898">
        <v>0</v>
      </c>
      <c r="P1898" t="s">
        <v>30</v>
      </c>
      <c r="Q1898" s="2">
        <v>0.7</v>
      </c>
      <c r="R1898">
        <v>0</v>
      </c>
      <c r="V1898" t="str">
        <f>VLOOKUP(H1898,'[1]팀별 출판사'!A:B,2,0)</f>
        <v>소설1팀</v>
      </c>
      <c r="W1898" s="6">
        <f t="shared" si="58"/>
        <v>0</v>
      </c>
      <c r="X1898" s="6">
        <f t="shared" si="59"/>
        <v>0</v>
      </c>
    </row>
    <row r="1899" spans="1:24" x14ac:dyDescent="0.3">
      <c r="A1899" t="s">
        <v>2754</v>
      </c>
      <c r="B1899" t="s">
        <v>2976</v>
      </c>
      <c r="C1899" t="s">
        <v>23</v>
      </c>
      <c r="D1899" t="s">
        <v>24</v>
      </c>
      <c r="E1899" t="s">
        <v>25</v>
      </c>
      <c r="F1899">
        <v>1</v>
      </c>
      <c r="G1899">
        <v>9791170100164</v>
      </c>
      <c r="H1899" t="s">
        <v>67</v>
      </c>
      <c r="I1899" t="s">
        <v>106</v>
      </c>
      <c r="J1899" t="s">
        <v>107</v>
      </c>
      <c r="K1899" t="s">
        <v>29</v>
      </c>
      <c r="L1899">
        <v>0</v>
      </c>
      <c r="M1899" t="s">
        <v>29</v>
      </c>
      <c r="N1899">
        <v>0</v>
      </c>
      <c r="O1899">
        <v>0</v>
      </c>
      <c r="P1899" t="s">
        <v>30</v>
      </c>
      <c r="Q1899" s="2">
        <v>0.7</v>
      </c>
      <c r="R1899">
        <v>0</v>
      </c>
      <c r="V1899" t="str">
        <f>VLOOKUP(H1899,'[1]팀별 출판사'!A:B,2,0)</f>
        <v>소설1팀</v>
      </c>
      <c r="W1899" s="6">
        <f t="shared" si="58"/>
        <v>0</v>
      </c>
      <c r="X1899" s="6">
        <f t="shared" si="59"/>
        <v>0</v>
      </c>
    </row>
    <row r="1900" spans="1:24" x14ac:dyDescent="0.3">
      <c r="A1900" t="s">
        <v>2754</v>
      </c>
      <c r="B1900" t="s">
        <v>2977</v>
      </c>
      <c r="C1900" t="s">
        <v>23</v>
      </c>
      <c r="D1900" t="s">
        <v>24</v>
      </c>
      <c r="E1900" t="s">
        <v>25</v>
      </c>
      <c r="F1900">
        <v>1</v>
      </c>
      <c r="G1900">
        <v>9791172927844</v>
      </c>
      <c r="H1900" t="s">
        <v>79</v>
      </c>
      <c r="I1900" t="s">
        <v>1168</v>
      </c>
      <c r="J1900" t="s">
        <v>81</v>
      </c>
      <c r="K1900" t="s">
        <v>29</v>
      </c>
      <c r="L1900">
        <v>0</v>
      </c>
      <c r="M1900" t="s">
        <v>29</v>
      </c>
      <c r="N1900">
        <v>0</v>
      </c>
      <c r="O1900">
        <v>0</v>
      </c>
      <c r="P1900" t="s">
        <v>30</v>
      </c>
      <c r="Q1900" s="2">
        <v>0.7</v>
      </c>
      <c r="R1900">
        <v>0</v>
      </c>
      <c r="V1900" t="str">
        <f>VLOOKUP(H1900,'[1]팀별 출판사'!A:B,2,0)</f>
        <v>소설1팀</v>
      </c>
      <c r="W1900" s="6">
        <f t="shared" si="58"/>
        <v>0</v>
      </c>
      <c r="X1900" s="6">
        <f t="shared" si="59"/>
        <v>0</v>
      </c>
    </row>
    <row r="1901" spans="1:24" x14ac:dyDescent="0.3">
      <c r="A1901" t="s">
        <v>2754</v>
      </c>
      <c r="B1901" t="s">
        <v>2978</v>
      </c>
      <c r="C1901" t="s">
        <v>23</v>
      </c>
      <c r="D1901" t="s">
        <v>24</v>
      </c>
      <c r="E1901" t="s">
        <v>25</v>
      </c>
      <c r="F1901">
        <v>1</v>
      </c>
      <c r="G1901">
        <v>9791136910981</v>
      </c>
      <c r="H1901" t="s">
        <v>32</v>
      </c>
      <c r="I1901" t="s">
        <v>752</v>
      </c>
      <c r="J1901" t="s">
        <v>160</v>
      </c>
      <c r="K1901" t="s">
        <v>29</v>
      </c>
      <c r="L1901">
        <v>0</v>
      </c>
      <c r="M1901" t="s">
        <v>29</v>
      </c>
      <c r="N1901">
        <v>0</v>
      </c>
      <c r="O1901">
        <v>0</v>
      </c>
      <c r="P1901" t="s">
        <v>30</v>
      </c>
      <c r="Q1901" s="2">
        <v>0.7</v>
      </c>
      <c r="R1901">
        <v>0</v>
      </c>
      <c r="V1901" t="str">
        <f>VLOOKUP(H1901,'[1]팀별 출판사'!A:B,2,0)</f>
        <v>소설1팀</v>
      </c>
      <c r="W1901" s="6">
        <f t="shared" si="58"/>
        <v>0</v>
      </c>
      <c r="X1901" s="6">
        <f t="shared" si="59"/>
        <v>0</v>
      </c>
    </row>
    <row r="1902" spans="1:24" x14ac:dyDescent="0.3">
      <c r="A1902" t="s">
        <v>2754</v>
      </c>
      <c r="B1902" t="s">
        <v>2979</v>
      </c>
      <c r="C1902" t="s">
        <v>23</v>
      </c>
      <c r="D1902" t="s">
        <v>24</v>
      </c>
      <c r="E1902" t="s">
        <v>25</v>
      </c>
      <c r="F1902">
        <v>1</v>
      </c>
      <c r="G1902">
        <v>9791136942821</v>
      </c>
      <c r="H1902" t="s">
        <v>26</v>
      </c>
      <c r="I1902" t="s">
        <v>2311</v>
      </c>
      <c r="J1902" t="s">
        <v>284</v>
      </c>
      <c r="K1902" t="s">
        <v>29</v>
      </c>
      <c r="L1902">
        <v>0</v>
      </c>
      <c r="M1902" t="s">
        <v>29</v>
      </c>
      <c r="N1902">
        <v>0</v>
      </c>
      <c r="O1902">
        <v>0</v>
      </c>
      <c r="P1902" t="s">
        <v>30</v>
      </c>
      <c r="Q1902" s="2">
        <v>0.7</v>
      </c>
      <c r="R1902">
        <v>0</v>
      </c>
      <c r="V1902" t="str">
        <f>VLOOKUP(H1902,'[1]팀별 출판사'!A:B,2,0)</f>
        <v>소설1팀</v>
      </c>
      <c r="W1902" s="6">
        <f t="shared" si="58"/>
        <v>0</v>
      </c>
      <c r="X1902" s="6">
        <f t="shared" si="59"/>
        <v>0</v>
      </c>
    </row>
    <row r="1903" spans="1:24" x14ac:dyDescent="0.3">
      <c r="A1903" t="s">
        <v>2754</v>
      </c>
      <c r="B1903" t="s">
        <v>2980</v>
      </c>
      <c r="C1903" t="s">
        <v>23</v>
      </c>
      <c r="D1903" t="s">
        <v>24</v>
      </c>
      <c r="E1903" t="s">
        <v>25</v>
      </c>
      <c r="F1903">
        <v>1</v>
      </c>
      <c r="G1903">
        <v>9791136928863</v>
      </c>
      <c r="H1903" t="s">
        <v>26</v>
      </c>
      <c r="I1903" t="s">
        <v>2981</v>
      </c>
      <c r="J1903" t="s">
        <v>62</v>
      </c>
      <c r="K1903" t="s">
        <v>29</v>
      </c>
      <c r="L1903">
        <v>0</v>
      </c>
      <c r="M1903" t="s">
        <v>29</v>
      </c>
      <c r="N1903">
        <v>0</v>
      </c>
      <c r="O1903">
        <v>0</v>
      </c>
      <c r="P1903" t="s">
        <v>30</v>
      </c>
      <c r="Q1903" s="2">
        <v>0.7</v>
      </c>
      <c r="R1903">
        <v>0</v>
      </c>
      <c r="V1903" t="str">
        <f>VLOOKUP(H1903,'[1]팀별 출판사'!A:B,2,0)</f>
        <v>소설1팀</v>
      </c>
      <c r="W1903" s="6">
        <f t="shared" si="58"/>
        <v>0</v>
      </c>
      <c r="X1903" s="6">
        <f t="shared" si="59"/>
        <v>0</v>
      </c>
    </row>
    <row r="1904" spans="1:24" x14ac:dyDescent="0.3">
      <c r="A1904" t="s">
        <v>2754</v>
      </c>
      <c r="B1904" t="s">
        <v>2982</v>
      </c>
      <c r="C1904" t="s">
        <v>23</v>
      </c>
      <c r="D1904" t="s">
        <v>24</v>
      </c>
      <c r="E1904" t="s">
        <v>25</v>
      </c>
      <c r="F1904">
        <v>1</v>
      </c>
      <c r="G1904">
        <v>9791136931375</v>
      </c>
      <c r="H1904" t="s">
        <v>32</v>
      </c>
      <c r="I1904" t="s">
        <v>189</v>
      </c>
      <c r="J1904" t="s">
        <v>46</v>
      </c>
      <c r="K1904" t="s">
        <v>29</v>
      </c>
      <c r="L1904">
        <v>0</v>
      </c>
      <c r="M1904" t="s">
        <v>152</v>
      </c>
      <c r="N1904">
        <v>0</v>
      </c>
      <c r="O1904">
        <v>0</v>
      </c>
      <c r="P1904" t="s">
        <v>153</v>
      </c>
      <c r="Q1904" s="2">
        <v>0.7</v>
      </c>
      <c r="R1904">
        <v>0</v>
      </c>
      <c r="V1904" t="str">
        <f>VLOOKUP(H1904,'[1]팀별 출판사'!A:B,2,0)</f>
        <v>소설1팀</v>
      </c>
      <c r="W1904" s="6">
        <f t="shared" si="58"/>
        <v>0</v>
      </c>
      <c r="X1904" s="6">
        <f t="shared" si="59"/>
        <v>0</v>
      </c>
    </row>
    <row r="1905" spans="1:24" x14ac:dyDescent="0.3">
      <c r="A1905" t="s">
        <v>2754</v>
      </c>
      <c r="B1905" t="s">
        <v>2983</v>
      </c>
      <c r="C1905" t="s">
        <v>23</v>
      </c>
      <c r="D1905" t="s">
        <v>24</v>
      </c>
      <c r="E1905" t="s">
        <v>25</v>
      </c>
      <c r="F1905">
        <v>1</v>
      </c>
      <c r="G1905">
        <v>9791136999658</v>
      </c>
      <c r="H1905" t="s">
        <v>26</v>
      </c>
      <c r="I1905" t="s">
        <v>2170</v>
      </c>
      <c r="J1905" t="s">
        <v>937</v>
      </c>
      <c r="K1905" t="s">
        <v>29</v>
      </c>
      <c r="L1905">
        <v>0</v>
      </c>
      <c r="M1905" t="s">
        <v>29</v>
      </c>
      <c r="N1905">
        <v>0</v>
      </c>
      <c r="O1905">
        <v>0</v>
      </c>
      <c r="P1905" t="s">
        <v>30</v>
      </c>
      <c r="Q1905" s="2">
        <v>0.7</v>
      </c>
      <c r="R1905">
        <v>0</v>
      </c>
      <c r="V1905" t="str">
        <f>VLOOKUP(H1905,'[1]팀별 출판사'!A:B,2,0)</f>
        <v>소설1팀</v>
      </c>
      <c r="W1905" s="6">
        <f t="shared" si="58"/>
        <v>0</v>
      </c>
      <c r="X1905" s="6">
        <f t="shared" si="59"/>
        <v>0</v>
      </c>
    </row>
    <row r="1906" spans="1:24" x14ac:dyDescent="0.3">
      <c r="A1906" t="s">
        <v>2754</v>
      </c>
      <c r="B1906" t="s">
        <v>2984</v>
      </c>
      <c r="C1906" t="s">
        <v>23</v>
      </c>
      <c r="D1906" t="s">
        <v>24</v>
      </c>
      <c r="E1906" t="s">
        <v>25</v>
      </c>
      <c r="F1906">
        <v>1</v>
      </c>
      <c r="G1906">
        <v>9791173786136</v>
      </c>
      <c r="H1906" t="s">
        <v>79</v>
      </c>
      <c r="I1906" t="s">
        <v>1476</v>
      </c>
      <c r="J1906" t="s">
        <v>81</v>
      </c>
      <c r="K1906" t="s">
        <v>29</v>
      </c>
      <c r="L1906">
        <v>0</v>
      </c>
      <c r="M1906" t="s">
        <v>29</v>
      </c>
      <c r="N1906">
        <v>0</v>
      </c>
      <c r="O1906">
        <v>0</v>
      </c>
      <c r="P1906" t="s">
        <v>30</v>
      </c>
      <c r="Q1906" s="2">
        <v>0.7</v>
      </c>
      <c r="R1906">
        <v>0</v>
      </c>
      <c r="V1906" t="str">
        <f>VLOOKUP(H1906,'[1]팀별 출판사'!A:B,2,0)</f>
        <v>소설1팀</v>
      </c>
      <c r="W1906" s="6">
        <f t="shared" si="58"/>
        <v>0</v>
      </c>
      <c r="X1906" s="6">
        <f t="shared" si="59"/>
        <v>0</v>
      </c>
    </row>
    <row r="1907" spans="1:24" x14ac:dyDescent="0.3">
      <c r="A1907" t="s">
        <v>2754</v>
      </c>
      <c r="B1907" t="s">
        <v>2985</v>
      </c>
      <c r="C1907" t="s">
        <v>23</v>
      </c>
      <c r="D1907" t="s">
        <v>24</v>
      </c>
      <c r="E1907" t="s">
        <v>25</v>
      </c>
      <c r="F1907">
        <v>1</v>
      </c>
      <c r="G1907">
        <v>9791136907257</v>
      </c>
      <c r="H1907" t="s">
        <v>26</v>
      </c>
      <c r="I1907" t="s">
        <v>2986</v>
      </c>
      <c r="J1907" t="s">
        <v>1348</v>
      </c>
      <c r="K1907" t="s">
        <v>29</v>
      </c>
      <c r="L1907" s="1">
        <v>3200</v>
      </c>
      <c r="M1907" t="s">
        <v>29</v>
      </c>
      <c r="N1907" s="1">
        <v>3200</v>
      </c>
      <c r="O1907" s="1">
        <v>3200</v>
      </c>
      <c r="P1907" t="s">
        <v>30</v>
      </c>
      <c r="Q1907" s="2">
        <v>0.7</v>
      </c>
      <c r="R1907" s="1">
        <v>2240</v>
      </c>
      <c r="S1907" t="s">
        <v>29</v>
      </c>
      <c r="T1907" s="1">
        <v>2240</v>
      </c>
      <c r="V1907" t="str">
        <f>VLOOKUP(H1907,'[1]팀별 출판사'!A:B,2,0)</f>
        <v>소설1팀</v>
      </c>
      <c r="W1907" s="6">
        <f t="shared" si="58"/>
        <v>0</v>
      </c>
      <c r="X1907" s="6">
        <f t="shared" si="59"/>
        <v>2240</v>
      </c>
    </row>
    <row r="1908" spans="1:24" x14ac:dyDescent="0.3">
      <c r="A1908" t="s">
        <v>2754</v>
      </c>
      <c r="B1908" t="s">
        <v>2987</v>
      </c>
      <c r="C1908" t="s">
        <v>23</v>
      </c>
      <c r="D1908" t="s">
        <v>24</v>
      </c>
      <c r="E1908" t="s">
        <v>25</v>
      </c>
      <c r="F1908">
        <v>1</v>
      </c>
      <c r="G1908">
        <v>9791175300651</v>
      </c>
      <c r="H1908" t="s">
        <v>26</v>
      </c>
      <c r="I1908" t="s">
        <v>1090</v>
      </c>
      <c r="J1908" t="s">
        <v>256</v>
      </c>
      <c r="K1908" t="s">
        <v>29</v>
      </c>
      <c r="L1908">
        <v>0</v>
      </c>
      <c r="M1908" t="s">
        <v>29</v>
      </c>
      <c r="N1908">
        <v>0</v>
      </c>
      <c r="O1908">
        <v>0</v>
      </c>
      <c r="P1908" t="s">
        <v>30</v>
      </c>
      <c r="Q1908" s="2">
        <v>0.7</v>
      </c>
      <c r="R1908">
        <v>0</v>
      </c>
      <c r="V1908" t="str">
        <f>VLOOKUP(H1908,'[1]팀별 출판사'!A:B,2,0)</f>
        <v>소설1팀</v>
      </c>
      <c r="W1908" s="6">
        <f t="shared" si="58"/>
        <v>0</v>
      </c>
      <c r="X1908" s="6">
        <f t="shared" si="59"/>
        <v>0</v>
      </c>
    </row>
    <row r="1909" spans="1:24" x14ac:dyDescent="0.3">
      <c r="A1909" t="s">
        <v>2754</v>
      </c>
      <c r="B1909" t="s">
        <v>2988</v>
      </c>
      <c r="C1909" t="s">
        <v>23</v>
      </c>
      <c r="D1909" t="s">
        <v>24</v>
      </c>
      <c r="E1909" t="s">
        <v>25</v>
      </c>
      <c r="F1909">
        <v>1</v>
      </c>
      <c r="G1909">
        <v>9791133186501</v>
      </c>
      <c r="H1909" t="s">
        <v>26</v>
      </c>
      <c r="I1909" t="s">
        <v>64</v>
      </c>
      <c r="J1909" t="s">
        <v>65</v>
      </c>
      <c r="K1909" t="s">
        <v>29</v>
      </c>
      <c r="L1909">
        <v>0</v>
      </c>
      <c r="M1909" t="s">
        <v>29</v>
      </c>
      <c r="N1909">
        <v>0</v>
      </c>
      <c r="O1909">
        <v>0</v>
      </c>
      <c r="P1909" t="s">
        <v>30</v>
      </c>
      <c r="Q1909" s="2">
        <v>0.7</v>
      </c>
      <c r="R1909">
        <v>0</v>
      </c>
      <c r="V1909" t="str">
        <f>VLOOKUP(H1909,'[1]팀별 출판사'!A:B,2,0)</f>
        <v>소설1팀</v>
      </c>
      <c r="W1909" s="6">
        <f t="shared" si="58"/>
        <v>0</v>
      </c>
      <c r="X1909" s="6">
        <f t="shared" si="59"/>
        <v>0</v>
      </c>
    </row>
    <row r="1910" spans="1:24" x14ac:dyDescent="0.3">
      <c r="A1910" t="s">
        <v>2754</v>
      </c>
      <c r="B1910" t="s">
        <v>2989</v>
      </c>
      <c r="C1910" t="s">
        <v>23</v>
      </c>
      <c r="D1910" t="s">
        <v>24</v>
      </c>
      <c r="E1910" t="s">
        <v>25</v>
      </c>
      <c r="F1910">
        <v>1</v>
      </c>
      <c r="G1910">
        <v>9791173785092</v>
      </c>
      <c r="H1910" t="s">
        <v>26</v>
      </c>
      <c r="I1910" t="s">
        <v>327</v>
      </c>
      <c r="J1910" t="s">
        <v>62</v>
      </c>
      <c r="K1910" t="s">
        <v>29</v>
      </c>
      <c r="L1910">
        <v>0</v>
      </c>
      <c r="M1910" t="s">
        <v>29</v>
      </c>
      <c r="N1910">
        <v>0</v>
      </c>
      <c r="O1910">
        <v>0</v>
      </c>
      <c r="P1910" t="s">
        <v>30</v>
      </c>
      <c r="Q1910" s="2">
        <v>0.7</v>
      </c>
      <c r="R1910">
        <v>0</v>
      </c>
      <c r="V1910" t="str">
        <f>VLOOKUP(H1910,'[1]팀별 출판사'!A:B,2,0)</f>
        <v>소설1팀</v>
      </c>
      <c r="W1910" s="6">
        <f t="shared" si="58"/>
        <v>0</v>
      </c>
      <c r="X1910" s="6">
        <f t="shared" si="59"/>
        <v>0</v>
      </c>
    </row>
    <row r="1911" spans="1:24" x14ac:dyDescent="0.3">
      <c r="A1911" t="s">
        <v>2754</v>
      </c>
      <c r="B1911" t="s">
        <v>2990</v>
      </c>
      <c r="C1911" t="s">
        <v>23</v>
      </c>
      <c r="D1911" t="s">
        <v>24</v>
      </c>
      <c r="E1911" t="s">
        <v>25</v>
      </c>
      <c r="F1911">
        <v>1</v>
      </c>
      <c r="G1911">
        <v>9791136930156</v>
      </c>
      <c r="H1911" t="s">
        <v>32</v>
      </c>
      <c r="I1911" t="s">
        <v>702</v>
      </c>
      <c r="J1911" t="s">
        <v>34</v>
      </c>
      <c r="K1911" t="s">
        <v>29</v>
      </c>
      <c r="L1911">
        <v>0</v>
      </c>
      <c r="M1911" t="s">
        <v>47</v>
      </c>
      <c r="N1911">
        <v>0</v>
      </c>
      <c r="O1911">
        <v>0</v>
      </c>
      <c r="P1911" t="s">
        <v>48</v>
      </c>
      <c r="Q1911" s="2">
        <v>0.7</v>
      </c>
      <c r="R1911">
        <v>0</v>
      </c>
      <c r="V1911" t="str">
        <f>VLOOKUP(H1911,'[1]팀별 출판사'!A:B,2,0)</f>
        <v>소설1팀</v>
      </c>
      <c r="W1911" s="6">
        <f t="shared" si="58"/>
        <v>0</v>
      </c>
      <c r="X1911" s="6">
        <f t="shared" si="59"/>
        <v>0</v>
      </c>
    </row>
    <row r="1912" spans="1:24" x14ac:dyDescent="0.3">
      <c r="A1912" t="s">
        <v>2754</v>
      </c>
      <c r="B1912" t="s">
        <v>2991</v>
      </c>
      <c r="C1912" t="s">
        <v>23</v>
      </c>
      <c r="D1912" t="s">
        <v>24</v>
      </c>
      <c r="E1912" t="s">
        <v>25</v>
      </c>
      <c r="F1912">
        <v>1</v>
      </c>
      <c r="G1912">
        <v>9791133171422</v>
      </c>
      <c r="H1912" t="s">
        <v>26</v>
      </c>
      <c r="I1912" t="s">
        <v>2992</v>
      </c>
      <c r="J1912" t="s">
        <v>287</v>
      </c>
      <c r="K1912" t="s">
        <v>29</v>
      </c>
      <c r="L1912">
        <v>0</v>
      </c>
      <c r="M1912" t="s">
        <v>29</v>
      </c>
      <c r="N1912">
        <v>0</v>
      </c>
      <c r="O1912">
        <v>0</v>
      </c>
      <c r="P1912" t="s">
        <v>30</v>
      </c>
      <c r="Q1912" s="2">
        <v>0.7</v>
      </c>
      <c r="R1912">
        <v>0</v>
      </c>
      <c r="V1912" t="str">
        <f>VLOOKUP(H1912,'[1]팀별 출판사'!A:B,2,0)</f>
        <v>소설1팀</v>
      </c>
      <c r="W1912" s="6">
        <f t="shared" si="58"/>
        <v>0</v>
      </c>
      <c r="X1912" s="6">
        <f t="shared" si="59"/>
        <v>0</v>
      </c>
    </row>
    <row r="1913" spans="1:24" x14ac:dyDescent="0.3">
      <c r="A1913" t="s">
        <v>2754</v>
      </c>
      <c r="B1913" t="s">
        <v>2993</v>
      </c>
      <c r="C1913" t="s">
        <v>23</v>
      </c>
      <c r="D1913" t="s">
        <v>24</v>
      </c>
      <c r="E1913" t="s">
        <v>25</v>
      </c>
      <c r="F1913">
        <v>1</v>
      </c>
      <c r="G1913">
        <v>9791133171439</v>
      </c>
      <c r="H1913" t="s">
        <v>26</v>
      </c>
      <c r="I1913" t="s">
        <v>286</v>
      </c>
      <c r="J1913" t="s">
        <v>287</v>
      </c>
      <c r="K1913" t="s">
        <v>29</v>
      </c>
      <c r="L1913">
        <v>0</v>
      </c>
      <c r="M1913" t="s">
        <v>29</v>
      </c>
      <c r="N1913">
        <v>0</v>
      </c>
      <c r="O1913">
        <v>0</v>
      </c>
      <c r="P1913" t="s">
        <v>30</v>
      </c>
      <c r="Q1913" s="2">
        <v>0.7</v>
      </c>
      <c r="R1913">
        <v>0</v>
      </c>
      <c r="V1913" t="str">
        <f>VLOOKUP(H1913,'[1]팀별 출판사'!A:B,2,0)</f>
        <v>소설1팀</v>
      </c>
      <c r="W1913" s="6">
        <f t="shared" si="58"/>
        <v>0</v>
      </c>
      <c r="X1913" s="6">
        <f t="shared" si="59"/>
        <v>0</v>
      </c>
    </row>
    <row r="1914" spans="1:24" x14ac:dyDescent="0.3">
      <c r="A1914" t="s">
        <v>2754</v>
      </c>
      <c r="B1914" t="s">
        <v>2994</v>
      </c>
      <c r="C1914" t="s">
        <v>23</v>
      </c>
      <c r="D1914" t="s">
        <v>24</v>
      </c>
      <c r="E1914" t="s">
        <v>25</v>
      </c>
      <c r="F1914">
        <v>1</v>
      </c>
      <c r="G1914">
        <v>9791133171446</v>
      </c>
      <c r="H1914" t="s">
        <v>26</v>
      </c>
      <c r="I1914" t="s">
        <v>729</v>
      </c>
      <c r="J1914" t="s">
        <v>287</v>
      </c>
      <c r="K1914" t="s">
        <v>29</v>
      </c>
      <c r="L1914">
        <v>0</v>
      </c>
      <c r="M1914" t="s">
        <v>29</v>
      </c>
      <c r="N1914">
        <v>0</v>
      </c>
      <c r="O1914">
        <v>0</v>
      </c>
      <c r="P1914" t="s">
        <v>30</v>
      </c>
      <c r="Q1914" s="2">
        <v>0.7</v>
      </c>
      <c r="R1914">
        <v>0</v>
      </c>
      <c r="V1914" t="str">
        <f>VLOOKUP(H1914,'[1]팀별 출판사'!A:B,2,0)</f>
        <v>소설1팀</v>
      </c>
      <c r="W1914" s="6">
        <f t="shared" si="58"/>
        <v>0</v>
      </c>
      <c r="X1914" s="6">
        <f t="shared" si="59"/>
        <v>0</v>
      </c>
    </row>
    <row r="1915" spans="1:24" x14ac:dyDescent="0.3">
      <c r="A1915" t="s">
        <v>2754</v>
      </c>
      <c r="B1915" t="s">
        <v>2995</v>
      </c>
      <c r="C1915" t="s">
        <v>23</v>
      </c>
      <c r="D1915" t="s">
        <v>24</v>
      </c>
      <c r="E1915" t="s">
        <v>25</v>
      </c>
      <c r="F1915">
        <v>1</v>
      </c>
      <c r="G1915">
        <v>9791136931375</v>
      </c>
      <c r="H1915" t="s">
        <v>32</v>
      </c>
      <c r="I1915" t="s">
        <v>189</v>
      </c>
      <c r="J1915" t="s">
        <v>46</v>
      </c>
      <c r="K1915" t="s">
        <v>29</v>
      </c>
      <c r="L1915">
        <v>0</v>
      </c>
      <c r="M1915" t="s">
        <v>152</v>
      </c>
      <c r="N1915">
        <v>0</v>
      </c>
      <c r="O1915">
        <v>0</v>
      </c>
      <c r="P1915" t="s">
        <v>153</v>
      </c>
      <c r="Q1915" s="2">
        <v>0.7</v>
      </c>
      <c r="R1915">
        <v>0</v>
      </c>
      <c r="V1915" t="str">
        <f>VLOOKUP(H1915,'[1]팀별 출판사'!A:B,2,0)</f>
        <v>소설1팀</v>
      </c>
      <c r="W1915" s="6">
        <f t="shared" si="58"/>
        <v>0</v>
      </c>
      <c r="X1915" s="6">
        <f t="shared" si="59"/>
        <v>0</v>
      </c>
    </row>
    <row r="1916" spans="1:24" x14ac:dyDescent="0.3">
      <c r="A1916" t="s">
        <v>2754</v>
      </c>
      <c r="B1916" t="s">
        <v>2996</v>
      </c>
      <c r="C1916" t="s">
        <v>23</v>
      </c>
      <c r="D1916" t="s">
        <v>24</v>
      </c>
      <c r="E1916" t="s">
        <v>25</v>
      </c>
      <c r="F1916">
        <v>1</v>
      </c>
      <c r="G1916">
        <v>9791173785993</v>
      </c>
      <c r="H1916" t="s">
        <v>26</v>
      </c>
      <c r="I1916" t="s">
        <v>769</v>
      </c>
      <c r="J1916" t="s">
        <v>81</v>
      </c>
      <c r="K1916" t="s">
        <v>29</v>
      </c>
      <c r="L1916">
        <v>0</v>
      </c>
      <c r="M1916" t="s">
        <v>29</v>
      </c>
      <c r="N1916">
        <v>0</v>
      </c>
      <c r="O1916">
        <v>0</v>
      </c>
      <c r="P1916" t="s">
        <v>30</v>
      </c>
      <c r="Q1916" s="2">
        <v>0.7</v>
      </c>
      <c r="R1916">
        <v>0</v>
      </c>
      <c r="V1916" t="str">
        <f>VLOOKUP(H1916,'[1]팀별 출판사'!A:B,2,0)</f>
        <v>소설1팀</v>
      </c>
      <c r="W1916" s="6">
        <f t="shared" si="58"/>
        <v>0</v>
      </c>
      <c r="X1916" s="6">
        <f t="shared" si="59"/>
        <v>0</v>
      </c>
    </row>
    <row r="1917" spans="1:24" x14ac:dyDescent="0.3">
      <c r="A1917" t="s">
        <v>2754</v>
      </c>
      <c r="B1917" t="s">
        <v>2997</v>
      </c>
      <c r="C1917" t="s">
        <v>23</v>
      </c>
      <c r="D1917" t="s">
        <v>24</v>
      </c>
      <c r="E1917" t="s">
        <v>25</v>
      </c>
      <c r="F1917">
        <v>1</v>
      </c>
      <c r="G1917">
        <v>9791173783883</v>
      </c>
      <c r="H1917" t="s">
        <v>26</v>
      </c>
      <c r="I1917" t="s">
        <v>936</v>
      </c>
      <c r="J1917" t="s">
        <v>937</v>
      </c>
      <c r="K1917" t="s">
        <v>29</v>
      </c>
      <c r="L1917">
        <v>0</v>
      </c>
      <c r="M1917" t="s">
        <v>70</v>
      </c>
      <c r="N1917">
        <v>0</v>
      </c>
      <c r="O1917">
        <v>0</v>
      </c>
      <c r="P1917" t="s">
        <v>71</v>
      </c>
      <c r="Q1917" s="2">
        <v>0.7</v>
      </c>
      <c r="R1917">
        <v>0</v>
      </c>
      <c r="V1917" t="str">
        <f>VLOOKUP(H1917,'[1]팀별 출판사'!A:B,2,0)</f>
        <v>소설1팀</v>
      </c>
      <c r="W1917" s="6">
        <f t="shared" si="58"/>
        <v>0</v>
      </c>
      <c r="X1917" s="6">
        <f t="shared" si="59"/>
        <v>0</v>
      </c>
    </row>
    <row r="1918" spans="1:24" x14ac:dyDescent="0.3">
      <c r="A1918" t="s">
        <v>2754</v>
      </c>
      <c r="B1918" t="s">
        <v>2998</v>
      </c>
      <c r="C1918" t="s">
        <v>23</v>
      </c>
      <c r="D1918" t="s">
        <v>24</v>
      </c>
      <c r="E1918" t="s">
        <v>25</v>
      </c>
      <c r="F1918">
        <v>1</v>
      </c>
      <c r="G1918">
        <v>9791157532315</v>
      </c>
      <c r="H1918" t="s">
        <v>32</v>
      </c>
      <c r="I1918" t="s">
        <v>2999</v>
      </c>
      <c r="J1918" t="s">
        <v>112</v>
      </c>
      <c r="K1918" t="s">
        <v>29</v>
      </c>
      <c r="L1918" s="1">
        <v>3200</v>
      </c>
      <c r="M1918" t="s">
        <v>29</v>
      </c>
      <c r="N1918" s="1">
        <v>3200</v>
      </c>
      <c r="O1918" s="1">
        <v>3200</v>
      </c>
      <c r="P1918" t="s">
        <v>30</v>
      </c>
      <c r="Q1918" s="2">
        <v>0.7</v>
      </c>
      <c r="R1918" s="1">
        <v>2240</v>
      </c>
      <c r="S1918" t="s">
        <v>29</v>
      </c>
      <c r="T1918" s="1">
        <v>2240</v>
      </c>
      <c r="V1918" t="str">
        <f>VLOOKUP(H1918,'[1]팀별 출판사'!A:B,2,0)</f>
        <v>소설1팀</v>
      </c>
      <c r="W1918" s="6">
        <f t="shared" si="58"/>
        <v>0</v>
      </c>
      <c r="X1918" s="6">
        <f t="shared" si="59"/>
        <v>2240</v>
      </c>
    </row>
    <row r="1919" spans="1:24" x14ac:dyDescent="0.3">
      <c r="A1919" t="s">
        <v>2754</v>
      </c>
      <c r="B1919" t="s">
        <v>3000</v>
      </c>
      <c r="C1919" t="s">
        <v>23</v>
      </c>
      <c r="D1919" t="s">
        <v>24</v>
      </c>
      <c r="E1919" t="s">
        <v>25</v>
      </c>
      <c r="F1919">
        <v>1</v>
      </c>
      <c r="G1919">
        <v>9791173785092</v>
      </c>
      <c r="H1919" t="s">
        <v>26</v>
      </c>
      <c r="I1919" t="s">
        <v>327</v>
      </c>
      <c r="J1919" t="s">
        <v>62</v>
      </c>
      <c r="K1919" t="s">
        <v>29</v>
      </c>
      <c r="L1919">
        <v>0</v>
      </c>
      <c r="M1919" t="s">
        <v>29</v>
      </c>
      <c r="N1919">
        <v>0</v>
      </c>
      <c r="O1919">
        <v>0</v>
      </c>
      <c r="P1919" t="s">
        <v>30</v>
      </c>
      <c r="Q1919" s="2">
        <v>0.7</v>
      </c>
      <c r="R1919">
        <v>0</v>
      </c>
      <c r="V1919" t="str">
        <f>VLOOKUP(H1919,'[1]팀별 출판사'!A:B,2,0)</f>
        <v>소설1팀</v>
      </c>
      <c r="W1919" s="6">
        <f t="shared" si="58"/>
        <v>0</v>
      </c>
      <c r="X1919" s="6">
        <f t="shared" si="59"/>
        <v>0</v>
      </c>
    </row>
    <row r="1920" spans="1:24" x14ac:dyDescent="0.3">
      <c r="A1920" t="s">
        <v>2754</v>
      </c>
      <c r="B1920" t="s">
        <v>3001</v>
      </c>
      <c r="C1920" t="s">
        <v>23</v>
      </c>
      <c r="D1920" t="s">
        <v>24</v>
      </c>
      <c r="E1920" t="s">
        <v>25</v>
      </c>
      <c r="F1920">
        <v>1</v>
      </c>
      <c r="G1920">
        <v>9791136920485</v>
      </c>
      <c r="H1920" t="s">
        <v>26</v>
      </c>
      <c r="I1920" t="s">
        <v>3002</v>
      </c>
      <c r="J1920" t="s">
        <v>3003</v>
      </c>
      <c r="K1920" t="s">
        <v>29</v>
      </c>
      <c r="L1920">
        <v>0</v>
      </c>
      <c r="M1920" t="s">
        <v>29</v>
      </c>
      <c r="N1920">
        <v>0</v>
      </c>
      <c r="O1920">
        <v>0</v>
      </c>
      <c r="P1920" t="s">
        <v>30</v>
      </c>
      <c r="Q1920" s="2">
        <v>0.7</v>
      </c>
      <c r="R1920">
        <v>0</v>
      </c>
      <c r="V1920" t="str">
        <f>VLOOKUP(H1920,'[1]팀별 출판사'!A:B,2,0)</f>
        <v>소설1팀</v>
      </c>
      <c r="W1920" s="6">
        <f t="shared" si="58"/>
        <v>0</v>
      </c>
      <c r="X1920" s="6">
        <f t="shared" si="59"/>
        <v>0</v>
      </c>
    </row>
    <row r="1921" spans="1:24" x14ac:dyDescent="0.3">
      <c r="A1921" t="s">
        <v>2754</v>
      </c>
      <c r="B1921" t="s">
        <v>3004</v>
      </c>
      <c r="C1921" t="s">
        <v>23</v>
      </c>
      <c r="D1921" t="s">
        <v>24</v>
      </c>
      <c r="E1921" t="s">
        <v>25</v>
      </c>
      <c r="F1921">
        <v>1</v>
      </c>
      <c r="G1921">
        <v>9791173785160</v>
      </c>
      <c r="H1921" t="s">
        <v>26</v>
      </c>
      <c r="I1921" t="s">
        <v>2535</v>
      </c>
      <c r="J1921" t="s">
        <v>62</v>
      </c>
      <c r="K1921" t="s">
        <v>29</v>
      </c>
      <c r="L1921" s="1">
        <v>3200</v>
      </c>
      <c r="M1921" t="s">
        <v>29</v>
      </c>
      <c r="N1921" s="1">
        <v>3200</v>
      </c>
      <c r="O1921" s="1">
        <v>3200</v>
      </c>
      <c r="P1921" t="s">
        <v>30</v>
      </c>
      <c r="Q1921" s="2">
        <v>0.7</v>
      </c>
      <c r="R1921" s="1">
        <v>2240</v>
      </c>
      <c r="S1921" t="s">
        <v>29</v>
      </c>
      <c r="T1921" s="1">
        <v>2240</v>
      </c>
      <c r="V1921" t="str">
        <f>VLOOKUP(H1921,'[1]팀별 출판사'!A:B,2,0)</f>
        <v>소설1팀</v>
      </c>
      <c r="W1921" s="6">
        <f t="shared" si="58"/>
        <v>0</v>
      </c>
      <c r="X1921" s="6">
        <f t="shared" si="59"/>
        <v>2240</v>
      </c>
    </row>
    <row r="1922" spans="1:24" x14ac:dyDescent="0.3">
      <c r="A1922" t="s">
        <v>2754</v>
      </c>
      <c r="B1922" t="s">
        <v>3005</v>
      </c>
      <c r="C1922" t="s">
        <v>23</v>
      </c>
      <c r="D1922" t="s">
        <v>24</v>
      </c>
      <c r="E1922" t="s">
        <v>25</v>
      </c>
      <c r="F1922">
        <v>1</v>
      </c>
      <c r="G1922">
        <v>9791133102716</v>
      </c>
      <c r="H1922" t="s">
        <v>32</v>
      </c>
      <c r="I1922" t="s">
        <v>673</v>
      </c>
      <c r="J1922" t="s">
        <v>51</v>
      </c>
      <c r="K1922" t="s">
        <v>29</v>
      </c>
      <c r="L1922">
        <v>0</v>
      </c>
      <c r="M1922" t="s">
        <v>29</v>
      </c>
      <c r="N1922">
        <v>0</v>
      </c>
      <c r="O1922">
        <v>0</v>
      </c>
      <c r="P1922" t="s">
        <v>30</v>
      </c>
      <c r="Q1922" s="2">
        <v>0.7</v>
      </c>
      <c r="R1922">
        <v>0</v>
      </c>
      <c r="V1922" t="str">
        <f>VLOOKUP(H1922,'[1]팀별 출판사'!A:B,2,0)</f>
        <v>소설1팀</v>
      </c>
      <c r="W1922" s="6">
        <f t="shared" ref="W1922:W1985" si="60">IF(P1922="US", T1922*30%, 0)</f>
        <v>0</v>
      </c>
      <c r="X1922" s="6">
        <f t="shared" ref="X1922:X1985" si="61">T1922-W1922</f>
        <v>0</v>
      </c>
    </row>
    <row r="1923" spans="1:24" x14ac:dyDescent="0.3">
      <c r="A1923" t="s">
        <v>2754</v>
      </c>
      <c r="B1923" t="s">
        <v>3006</v>
      </c>
      <c r="C1923" t="s">
        <v>23</v>
      </c>
      <c r="D1923" t="s">
        <v>24</v>
      </c>
      <c r="E1923" t="s">
        <v>25</v>
      </c>
      <c r="F1923">
        <v>1</v>
      </c>
      <c r="G1923">
        <v>9791133102662</v>
      </c>
      <c r="H1923" t="s">
        <v>32</v>
      </c>
      <c r="I1923" t="s">
        <v>675</v>
      </c>
      <c r="J1923" t="s">
        <v>51</v>
      </c>
      <c r="K1923" t="s">
        <v>29</v>
      </c>
      <c r="L1923">
        <v>0</v>
      </c>
      <c r="M1923" t="s">
        <v>29</v>
      </c>
      <c r="N1923">
        <v>0</v>
      </c>
      <c r="O1923">
        <v>0</v>
      </c>
      <c r="P1923" t="s">
        <v>30</v>
      </c>
      <c r="Q1923" s="2">
        <v>0.7</v>
      </c>
      <c r="R1923">
        <v>0</v>
      </c>
      <c r="V1923" t="str">
        <f>VLOOKUP(H1923,'[1]팀별 출판사'!A:B,2,0)</f>
        <v>소설1팀</v>
      </c>
      <c r="W1923" s="6">
        <f t="shared" si="60"/>
        <v>0</v>
      </c>
      <c r="X1923" s="6">
        <f t="shared" si="61"/>
        <v>0</v>
      </c>
    </row>
    <row r="1924" spans="1:24" x14ac:dyDescent="0.3">
      <c r="A1924" t="s">
        <v>2754</v>
      </c>
      <c r="B1924" t="s">
        <v>3007</v>
      </c>
      <c r="C1924" t="s">
        <v>23</v>
      </c>
      <c r="D1924" t="s">
        <v>24</v>
      </c>
      <c r="E1924" t="s">
        <v>25</v>
      </c>
      <c r="F1924">
        <v>1</v>
      </c>
      <c r="G1924">
        <v>9791133102891</v>
      </c>
      <c r="H1924" t="s">
        <v>32</v>
      </c>
      <c r="I1924" t="s">
        <v>3008</v>
      </c>
      <c r="J1924" t="s">
        <v>51</v>
      </c>
      <c r="K1924" t="s">
        <v>29</v>
      </c>
      <c r="L1924">
        <v>0</v>
      </c>
      <c r="M1924" t="s">
        <v>29</v>
      </c>
      <c r="N1924">
        <v>0</v>
      </c>
      <c r="O1924">
        <v>0</v>
      </c>
      <c r="P1924" t="s">
        <v>30</v>
      </c>
      <c r="Q1924" s="2">
        <v>0.7</v>
      </c>
      <c r="R1924">
        <v>0</v>
      </c>
      <c r="V1924" t="str">
        <f>VLOOKUP(H1924,'[1]팀별 출판사'!A:B,2,0)</f>
        <v>소설1팀</v>
      </c>
      <c r="W1924" s="6">
        <f t="shared" si="60"/>
        <v>0</v>
      </c>
      <c r="X1924" s="6">
        <f t="shared" si="61"/>
        <v>0</v>
      </c>
    </row>
    <row r="1925" spans="1:24" x14ac:dyDescent="0.3">
      <c r="A1925" t="s">
        <v>2754</v>
      </c>
      <c r="B1925" t="s">
        <v>3009</v>
      </c>
      <c r="C1925" t="s">
        <v>23</v>
      </c>
      <c r="D1925" t="s">
        <v>24</v>
      </c>
      <c r="E1925" t="s">
        <v>25</v>
      </c>
      <c r="F1925">
        <v>1</v>
      </c>
      <c r="G1925">
        <v>9791133102549</v>
      </c>
      <c r="H1925" t="s">
        <v>32</v>
      </c>
      <c r="I1925" t="s">
        <v>3010</v>
      </c>
      <c r="J1925" t="s">
        <v>51</v>
      </c>
      <c r="K1925" t="s">
        <v>29</v>
      </c>
      <c r="L1925">
        <v>0</v>
      </c>
      <c r="M1925" t="s">
        <v>29</v>
      </c>
      <c r="N1925">
        <v>0</v>
      </c>
      <c r="O1925">
        <v>0</v>
      </c>
      <c r="P1925" t="s">
        <v>30</v>
      </c>
      <c r="Q1925" s="2">
        <v>0.7</v>
      </c>
      <c r="R1925">
        <v>0</v>
      </c>
      <c r="V1925" t="str">
        <f>VLOOKUP(H1925,'[1]팀별 출판사'!A:B,2,0)</f>
        <v>소설1팀</v>
      </c>
      <c r="W1925" s="6">
        <f t="shared" si="60"/>
        <v>0</v>
      </c>
      <c r="X1925" s="6">
        <f t="shared" si="61"/>
        <v>0</v>
      </c>
    </row>
    <row r="1926" spans="1:24" x14ac:dyDescent="0.3">
      <c r="A1926" t="s">
        <v>3011</v>
      </c>
      <c r="B1926" t="s">
        <v>3012</v>
      </c>
      <c r="C1926" t="s">
        <v>23</v>
      </c>
      <c r="D1926" t="s">
        <v>24</v>
      </c>
      <c r="E1926" t="s">
        <v>25</v>
      </c>
      <c r="F1926">
        <v>1</v>
      </c>
      <c r="G1926">
        <v>9791133143801</v>
      </c>
      <c r="H1926" t="s">
        <v>32</v>
      </c>
      <c r="I1926" t="s">
        <v>1056</v>
      </c>
      <c r="J1926" t="s">
        <v>88</v>
      </c>
      <c r="K1926" t="s">
        <v>29</v>
      </c>
      <c r="L1926">
        <v>0</v>
      </c>
      <c r="M1926" t="s">
        <v>29</v>
      </c>
      <c r="N1926">
        <v>0</v>
      </c>
      <c r="O1926">
        <v>0</v>
      </c>
      <c r="P1926" t="s">
        <v>30</v>
      </c>
      <c r="Q1926" s="2">
        <v>0.7</v>
      </c>
      <c r="R1926">
        <v>0</v>
      </c>
      <c r="V1926" t="str">
        <f>VLOOKUP(H1926,'[1]팀별 출판사'!A:B,2,0)</f>
        <v>소설1팀</v>
      </c>
      <c r="W1926" s="6">
        <f t="shared" si="60"/>
        <v>0</v>
      </c>
      <c r="X1926" s="6">
        <f t="shared" si="61"/>
        <v>0</v>
      </c>
    </row>
    <row r="1927" spans="1:24" x14ac:dyDescent="0.3">
      <c r="A1927" t="s">
        <v>3011</v>
      </c>
      <c r="B1927" t="s">
        <v>3013</v>
      </c>
      <c r="C1927" t="s">
        <v>23</v>
      </c>
      <c r="D1927" t="s">
        <v>24</v>
      </c>
      <c r="E1927" t="s">
        <v>25</v>
      </c>
      <c r="F1927">
        <v>1</v>
      </c>
      <c r="G1927">
        <v>9791136958747</v>
      </c>
      <c r="H1927" t="s">
        <v>79</v>
      </c>
      <c r="I1927" t="s">
        <v>3014</v>
      </c>
      <c r="J1927" t="s">
        <v>81</v>
      </c>
      <c r="K1927" t="s">
        <v>29</v>
      </c>
      <c r="L1927" s="1">
        <v>3200</v>
      </c>
      <c r="M1927" t="s">
        <v>29</v>
      </c>
      <c r="N1927" s="1">
        <v>3200</v>
      </c>
      <c r="O1927" s="1">
        <v>3200</v>
      </c>
      <c r="P1927" t="s">
        <v>30</v>
      </c>
      <c r="Q1927" s="2">
        <v>0.7</v>
      </c>
      <c r="R1927" s="1">
        <v>2240</v>
      </c>
      <c r="S1927" t="s">
        <v>29</v>
      </c>
      <c r="T1927" s="1">
        <v>2240</v>
      </c>
      <c r="V1927" t="str">
        <f>VLOOKUP(H1927,'[1]팀별 출판사'!A:B,2,0)</f>
        <v>소설1팀</v>
      </c>
      <c r="W1927" s="6">
        <f t="shared" si="60"/>
        <v>0</v>
      </c>
      <c r="X1927" s="6">
        <f t="shared" si="61"/>
        <v>2240</v>
      </c>
    </row>
    <row r="1928" spans="1:24" x14ac:dyDescent="0.3">
      <c r="A1928" t="s">
        <v>3011</v>
      </c>
      <c r="B1928" t="s">
        <v>3015</v>
      </c>
      <c r="C1928" t="s">
        <v>23</v>
      </c>
      <c r="D1928" t="s">
        <v>24</v>
      </c>
      <c r="E1928" t="s">
        <v>25</v>
      </c>
      <c r="F1928">
        <v>1</v>
      </c>
      <c r="G1928">
        <v>9791170106500</v>
      </c>
      <c r="H1928" t="s">
        <v>67</v>
      </c>
      <c r="I1928" t="s">
        <v>931</v>
      </c>
      <c r="J1928" t="s">
        <v>932</v>
      </c>
      <c r="K1928" t="s">
        <v>29</v>
      </c>
      <c r="L1928">
        <v>0</v>
      </c>
      <c r="M1928" t="s">
        <v>1379</v>
      </c>
      <c r="N1928">
        <v>0</v>
      </c>
      <c r="O1928">
        <v>0</v>
      </c>
      <c r="P1928" t="s">
        <v>1380</v>
      </c>
      <c r="Q1928" s="2">
        <v>0.7</v>
      </c>
      <c r="R1928">
        <v>0</v>
      </c>
      <c r="V1928" t="str">
        <f>VLOOKUP(H1928,'[1]팀별 출판사'!A:B,2,0)</f>
        <v>소설1팀</v>
      </c>
      <c r="W1928" s="6">
        <f t="shared" si="60"/>
        <v>0</v>
      </c>
      <c r="X1928" s="6">
        <f t="shared" si="61"/>
        <v>0</v>
      </c>
    </row>
    <row r="1929" spans="1:24" x14ac:dyDescent="0.3">
      <c r="A1929" t="s">
        <v>3011</v>
      </c>
      <c r="B1929" t="s">
        <v>3016</v>
      </c>
      <c r="C1929" t="s">
        <v>23</v>
      </c>
      <c r="D1929" t="s">
        <v>24</v>
      </c>
      <c r="E1929" t="s">
        <v>25</v>
      </c>
      <c r="F1929">
        <v>1</v>
      </c>
      <c r="G1929">
        <v>9791136930552</v>
      </c>
      <c r="H1929" t="s">
        <v>26</v>
      </c>
      <c r="I1929" t="s">
        <v>45</v>
      </c>
      <c r="J1929" t="s">
        <v>46</v>
      </c>
      <c r="K1929" t="s">
        <v>29</v>
      </c>
      <c r="L1929">
        <v>0</v>
      </c>
      <c r="M1929" t="s">
        <v>47</v>
      </c>
      <c r="N1929">
        <v>0</v>
      </c>
      <c r="O1929">
        <v>0</v>
      </c>
      <c r="P1929" t="s">
        <v>48</v>
      </c>
      <c r="Q1929" s="2">
        <v>0.7</v>
      </c>
      <c r="R1929">
        <v>0</v>
      </c>
      <c r="V1929" t="str">
        <f>VLOOKUP(H1929,'[1]팀별 출판사'!A:B,2,0)</f>
        <v>소설1팀</v>
      </c>
      <c r="W1929" s="6">
        <f t="shared" si="60"/>
        <v>0</v>
      </c>
      <c r="X1929" s="6">
        <f t="shared" si="61"/>
        <v>0</v>
      </c>
    </row>
    <row r="1930" spans="1:24" x14ac:dyDescent="0.3">
      <c r="A1930" t="s">
        <v>3011</v>
      </c>
      <c r="B1930" t="s">
        <v>3017</v>
      </c>
      <c r="C1930" t="s">
        <v>23</v>
      </c>
      <c r="D1930" t="s">
        <v>24</v>
      </c>
      <c r="E1930" t="s">
        <v>25</v>
      </c>
      <c r="F1930">
        <v>1</v>
      </c>
      <c r="G1930">
        <v>9791136944702</v>
      </c>
      <c r="H1930" t="s">
        <v>26</v>
      </c>
      <c r="I1930" t="s">
        <v>913</v>
      </c>
      <c r="J1930" t="s">
        <v>284</v>
      </c>
      <c r="K1930" t="s">
        <v>29</v>
      </c>
      <c r="L1930">
        <v>0</v>
      </c>
      <c r="M1930" t="s">
        <v>29</v>
      </c>
      <c r="N1930">
        <v>0</v>
      </c>
      <c r="O1930">
        <v>0</v>
      </c>
      <c r="P1930" t="s">
        <v>30</v>
      </c>
      <c r="Q1930" s="2">
        <v>0.7</v>
      </c>
      <c r="R1930">
        <v>0</v>
      </c>
      <c r="V1930" t="str">
        <f>VLOOKUP(H1930,'[1]팀별 출판사'!A:B,2,0)</f>
        <v>소설1팀</v>
      </c>
      <c r="W1930" s="6">
        <f t="shared" si="60"/>
        <v>0</v>
      </c>
      <c r="X1930" s="6">
        <f t="shared" si="61"/>
        <v>0</v>
      </c>
    </row>
    <row r="1931" spans="1:24" x14ac:dyDescent="0.3">
      <c r="A1931" t="s">
        <v>3011</v>
      </c>
      <c r="B1931" t="s">
        <v>3018</v>
      </c>
      <c r="C1931" t="s">
        <v>23</v>
      </c>
      <c r="D1931" t="s">
        <v>24</v>
      </c>
      <c r="E1931" t="s">
        <v>25</v>
      </c>
      <c r="F1931">
        <v>1</v>
      </c>
      <c r="G1931">
        <v>9791136943361</v>
      </c>
      <c r="H1931" t="s">
        <v>26</v>
      </c>
      <c r="I1931" t="s">
        <v>2346</v>
      </c>
      <c r="J1931" t="s">
        <v>284</v>
      </c>
      <c r="K1931" t="s">
        <v>29</v>
      </c>
      <c r="L1931">
        <v>0</v>
      </c>
      <c r="M1931" t="s">
        <v>29</v>
      </c>
      <c r="N1931">
        <v>0</v>
      </c>
      <c r="O1931">
        <v>0</v>
      </c>
      <c r="P1931" t="s">
        <v>30</v>
      </c>
      <c r="Q1931" s="2">
        <v>0.7</v>
      </c>
      <c r="R1931">
        <v>0</v>
      </c>
      <c r="V1931" t="str">
        <f>VLOOKUP(H1931,'[1]팀별 출판사'!A:B,2,0)</f>
        <v>소설1팀</v>
      </c>
      <c r="W1931" s="6">
        <f t="shared" si="60"/>
        <v>0</v>
      </c>
      <c r="X1931" s="6">
        <f t="shared" si="61"/>
        <v>0</v>
      </c>
    </row>
    <row r="1932" spans="1:24" x14ac:dyDescent="0.3">
      <c r="A1932" t="s">
        <v>3011</v>
      </c>
      <c r="B1932" t="s">
        <v>3019</v>
      </c>
      <c r="C1932" t="s">
        <v>23</v>
      </c>
      <c r="D1932" t="s">
        <v>24</v>
      </c>
      <c r="E1932" t="s">
        <v>25</v>
      </c>
      <c r="F1932">
        <v>1</v>
      </c>
      <c r="G1932">
        <v>9791175303997</v>
      </c>
      <c r="H1932" t="s">
        <v>79</v>
      </c>
      <c r="I1932" t="s">
        <v>3020</v>
      </c>
      <c r="J1932" t="s">
        <v>571</v>
      </c>
      <c r="K1932" t="s">
        <v>29</v>
      </c>
      <c r="L1932" s="1">
        <v>3200</v>
      </c>
      <c r="M1932" t="s">
        <v>29</v>
      </c>
      <c r="N1932" s="1">
        <v>3200</v>
      </c>
      <c r="O1932" s="1">
        <v>3200</v>
      </c>
      <c r="P1932" t="s">
        <v>30</v>
      </c>
      <c r="Q1932" s="2">
        <v>0.7</v>
      </c>
      <c r="R1932" s="1">
        <v>2240</v>
      </c>
      <c r="S1932" t="s">
        <v>29</v>
      </c>
      <c r="T1932" s="1">
        <v>2240</v>
      </c>
      <c r="V1932" t="str">
        <f>VLOOKUP(H1932,'[1]팀별 출판사'!A:B,2,0)</f>
        <v>소설1팀</v>
      </c>
      <c r="W1932" s="6">
        <f t="shared" si="60"/>
        <v>0</v>
      </c>
      <c r="X1932" s="6">
        <f t="shared" si="61"/>
        <v>2240</v>
      </c>
    </row>
    <row r="1933" spans="1:24" x14ac:dyDescent="0.3">
      <c r="A1933" t="s">
        <v>3011</v>
      </c>
      <c r="B1933" t="s">
        <v>3021</v>
      </c>
      <c r="C1933" t="s">
        <v>23</v>
      </c>
      <c r="D1933" t="s">
        <v>24</v>
      </c>
      <c r="E1933" t="s">
        <v>25</v>
      </c>
      <c r="F1933">
        <v>1</v>
      </c>
      <c r="G1933">
        <v>9791133171439</v>
      </c>
      <c r="H1933" t="s">
        <v>26</v>
      </c>
      <c r="I1933" t="s">
        <v>286</v>
      </c>
      <c r="J1933" t="s">
        <v>287</v>
      </c>
      <c r="K1933" t="s">
        <v>29</v>
      </c>
      <c r="L1933">
        <v>0</v>
      </c>
      <c r="M1933" t="s">
        <v>29</v>
      </c>
      <c r="N1933">
        <v>0</v>
      </c>
      <c r="O1933">
        <v>0</v>
      </c>
      <c r="P1933" t="s">
        <v>30</v>
      </c>
      <c r="Q1933" s="2">
        <v>0.7</v>
      </c>
      <c r="R1933">
        <v>0</v>
      </c>
      <c r="V1933" t="str">
        <f>VLOOKUP(H1933,'[1]팀별 출판사'!A:B,2,0)</f>
        <v>소설1팀</v>
      </c>
      <c r="W1933" s="6">
        <f t="shared" si="60"/>
        <v>0</v>
      </c>
      <c r="X1933" s="6">
        <f t="shared" si="61"/>
        <v>0</v>
      </c>
    </row>
    <row r="1934" spans="1:24" x14ac:dyDescent="0.3">
      <c r="A1934" t="s">
        <v>3011</v>
      </c>
      <c r="B1934" t="s">
        <v>3022</v>
      </c>
      <c r="C1934" t="s">
        <v>23</v>
      </c>
      <c r="D1934" t="s">
        <v>24</v>
      </c>
      <c r="E1934" t="s">
        <v>25</v>
      </c>
      <c r="F1934">
        <v>1</v>
      </c>
      <c r="G1934">
        <v>9791136943361</v>
      </c>
      <c r="H1934" t="s">
        <v>26</v>
      </c>
      <c r="I1934" t="s">
        <v>2346</v>
      </c>
      <c r="J1934" t="s">
        <v>284</v>
      </c>
      <c r="K1934" t="s">
        <v>29</v>
      </c>
      <c r="L1934">
        <v>0</v>
      </c>
      <c r="M1934" t="s">
        <v>29</v>
      </c>
      <c r="N1934">
        <v>0</v>
      </c>
      <c r="O1934">
        <v>0</v>
      </c>
      <c r="P1934" t="s">
        <v>30</v>
      </c>
      <c r="Q1934" s="2">
        <v>0.7</v>
      </c>
      <c r="R1934">
        <v>0</v>
      </c>
      <c r="V1934" t="str">
        <f>VLOOKUP(H1934,'[1]팀별 출판사'!A:B,2,0)</f>
        <v>소설1팀</v>
      </c>
      <c r="W1934" s="6">
        <f t="shared" si="60"/>
        <v>0</v>
      </c>
      <c r="X1934" s="6">
        <f t="shared" si="61"/>
        <v>0</v>
      </c>
    </row>
    <row r="1935" spans="1:24" x14ac:dyDescent="0.3">
      <c r="A1935" t="s">
        <v>3011</v>
      </c>
      <c r="B1935" t="s">
        <v>3023</v>
      </c>
      <c r="C1935" t="s">
        <v>23</v>
      </c>
      <c r="D1935" t="s">
        <v>24</v>
      </c>
      <c r="E1935" t="s">
        <v>25</v>
      </c>
      <c r="F1935">
        <v>1</v>
      </c>
      <c r="G1935">
        <v>9791194664369</v>
      </c>
      <c r="H1935" t="s">
        <v>79</v>
      </c>
      <c r="I1935" t="s">
        <v>156</v>
      </c>
      <c r="J1935" t="s">
        <v>157</v>
      </c>
      <c r="K1935" t="s">
        <v>29</v>
      </c>
      <c r="L1935">
        <v>0</v>
      </c>
      <c r="M1935" t="s">
        <v>152</v>
      </c>
      <c r="N1935">
        <v>0</v>
      </c>
      <c r="O1935">
        <v>0</v>
      </c>
      <c r="P1935" t="s">
        <v>153</v>
      </c>
      <c r="Q1935" s="2">
        <v>0.7</v>
      </c>
      <c r="R1935">
        <v>0</v>
      </c>
      <c r="V1935" t="str">
        <f>VLOOKUP(H1935,'[1]팀별 출판사'!A:B,2,0)</f>
        <v>소설1팀</v>
      </c>
      <c r="W1935" s="6">
        <f t="shared" si="60"/>
        <v>0</v>
      </c>
      <c r="X1935" s="6">
        <f t="shared" si="61"/>
        <v>0</v>
      </c>
    </row>
    <row r="1936" spans="1:24" x14ac:dyDescent="0.3">
      <c r="A1936" t="s">
        <v>3011</v>
      </c>
      <c r="B1936" t="s">
        <v>3024</v>
      </c>
      <c r="C1936" t="s">
        <v>23</v>
      </c>
      <c r="D1936" t="s">
        <v>24</v>
      </c>
      <c r="E1936" t="s">
        <v>25</v>
      </c>
      <c r="F1936">
        <v>1</v>
      </c>
      <c r="G1936">
        <v>9791136965455</v>
      </c>
      <c r="H1936" t="s">
        <v>26</v>
      </c>
      <c r="I1936" t="s">
        <v>472</v>
      </c>
      <c r="J1936" t="s">
        <v>157</v>
      </c>
      <c r="K1936" t="s">
        <v>29</v>
      </c>
      <c r="L1936">
        <v>0</v>
      </c>
      <c r="M1936" t="s">
        <v>29</v>
      </c>
      <c r="N1936">
        <v>0</v>
      </c>
      <c r="O1936">
        <v>0</v>
      </c>
      <c r="P1936" t="s">
        <v>30</v>
      </c>
      <c r="Q1936" s="2">
        <v>0.7</v>
      </c>
      <c r="R1936">
        <v>0</v>
      </c>
      <c r="V1936" t="str">
        <f>VLOOKUP(H1936,'[1]팀별 출판사'!A:B,2,0)</f>
        <v>소설1팀</v>
      </c>
      <c r="W1936" s="6">
        <f t="shared" si="60"/>
        <v>0</v>
      </c>
      <c r="X1936" s="6">
        <f t="shared" si="61"/>
        <v>0</v>
      </c>
    </row>
    <row r="1937" spans="1:24" x14ac:dyDescent="0.3">
      <c r="A1937" t="s">
        <v>3011</v>
      </c>
      <c r="B1937" t="s">
        <v>3025</v>
      </c>
      <c r="C1937" t="s">
        <v>23</v>
      </c>
      <c r="D1937" t="s">
        <v>24</v>
      </c>
      <c r="E1937" t="s">
        <v>25</v>
      </c>
      <c r="F1937">
        <v>1</v>
      </c>
      <c r="G1937">
        <v>9791173782916</v>
      </c>
      <c r="H1937" t="s">
        <v>26</v>
      </c>
      <c r="I1937" t="s">
        <v>3026</v>
      </c>
      <c r="J1937" t="s">
        <v>284</v>
      </c>
      <c r="K1937" t="s">
        <v>29</v>
      </c>
      <c r="L1937" s="1">
        <v>3200</v>
      </c>
      <c r="M1937" t="s">
        <v>29</v>
      </c>
      <c r="N1937" s="1">
        <v>3200</v>
      </c>
      <c r="O1937" s="1">
        <v>3200</v>
      </c>
      <c r="P1937" t="s">
        <v>30</v>
      </c>
      <c r="Q1937" s="2">
        <v>0.7</v>
      </c>
      <c r="R1937" s="1">
        <v>2240</v>
      </c>
      <c r="S1937" t="s">
        <v>29</v>
      </c>
      <c r="T1937" s="1">
        <v>2240</v>
      </c>
      <c r="V1937" t="str">
        <f>VLOOKUP(H1937,'[1]팀별 출판사'!A:B,2,0)</f>
        <v>소설1팀</v>
      </c>
      <c r="W1937" s="6">
        <f t="shared" si="60"/>
        <v>0</v>
      </c>
      <c r="X1937" s="6">
        <f t="shared" si="61"/>
        <v>2240</v>
      </c>
    </row>
    <row r="1938" spans="1:24" x14ac:dyDescent="0.3">
      <c r="A1938" t="s">
        <v>3011</v>
      </c>
      <c r="B1938" t="s">
        <v>3027</v>
      </c>
      <c r="C1938" t="s">
        <v>23</v>
      </c>
      <c r="D1938" t="s">
        <v>24</v>
      </c>
      <c r="E1938" t="s">
        <v>25</v>
      </c>
      <c r="F1938">
        <v>1</v>
      </c>
      <c r="G1938">
        <v>9791136930361</v>
      </c>
      <c r="H1938" t="s">
        <v>32</v>
      </c>
      <c r="I1938" t="s">
        <v>33</v>
      </c>
      <c r="J1938" t="s">
        <v>34</v>
      </c>
      <c r="K1938" t="s">
        <v>29</v>
      </c>
      <c r="L1938">
        <v>0</v>
      </c>
      <c r="M1938" t="s">
        <v>29</v>
      </c>
      <c r="N1938">
        <v>0</v>
      </c>
      <c r="O1938">
        <v>0</v>
      </c>
      <c r="P1938" t="s">
        <v>30</v>
      </c>
      <c r="Q1938" s="2">
        <v>0.7</v>
      </c>
      <c r="R1938">
        <v>0</v>
      </c>
      <c r="V1938" t="str">
        <f>VLOOKUP(H1938,'[1]팀별 출판사'!A:B,2,0)</f>
        <v>소설1팀</v>
      </c>
      <c r="W1938" s="6">
        <f t="shared" si="60"/>
        <v>0</v>
      </c>
      <c r="X1938" s="6">
        <f t="shared" si="61"/>
        <v>0</v>
      </c>
    </row>
    <row r="1939" spans="1:24" x14ac:dyDescent="0.3">
      <c r="A1939" t="s">
        <v>3011</v>
      </c>
      <c r="B1939" t="s">
        <v>3028</v>
      </c>
      <c r="C1939" t="s">
        <v>23</v>
      </c>
      <c r="D1939" t="s">
        <v>24</v>
      </c>
      <c r="E1939" t="s">
        <v>25</v>
      </c>
      <c r="F1939">
        <v>1</v>
      </c>
      <c r="G1939">
        <v>9791136930880</v>
      </c>
      <c r="H1939" t="s">
        <v>32</v>
      </c>
      <c r="I1939" t="s">
        <v>59</v>
      </c>
      <c r="J1939" t="s">
        <v>34</v>
      </c>
      <c r="K1939" t="s">
        <v>29</v>
      </c>
      <c r="L1939">
        <v>0</v>
      </c>
      <c r="M1939" t="s">
        <v>29</v>
      </c>
      <c r="N1939">
        <v>0</v>
      </c>
      <c r="O1939">
        <v>0</v>
      </c>
      <c r="P1939" t="s">
        <v>30</v>
      </c>
      <c r="Q1939" s="2">
        <v>0.7</v>
      </c>
      <c r="R1939">
        <v>0</v>
      </c>
      <c r="V1939" t="str">
        <f>VLOOKUP(H1939,'[1]팀별 출판사'!A:B,2,0)</f>
        <v>소설1팀</v>
      </c>
      <c r="W1939" s="6">
        <f t="shared" si="60"/>
        <v>0</v>
      </c>
      <c r="X1939" s="6">
        <f t="shared" si="61"/>
        <v>0</v>
      </c>
    </row>
    <row r="1940" spans="1:24" x14ac:dyDescent="0.3">
      <c r="A1940" t="s">
        <v>3011</v>
      </c>
      <c r="B1940" t="s">
        <v>3029</v>
      </c>
      <c r="C1940" t="s">
        <v>23</v>
      </c>
      <c r="D1940" t="s">
        <v>24</v>
      </c>
      <c r="E1940" t="s">
        <v>25</v>
      </c>
      <c r="F1940">
        <v>1</v>
      </c>
      <c r="G1940">
        <v>9791136930699</v>
      </c>
      <c r="H1940" t="s">
        <v>32</v>
      </c>
      <c r="I1940" t="s">
        <v>1735</v>
      </c>
      <c r="J1940" t="s">
        <v>34</v>
      </c>
      <c r="K1940" t="s">
        <v>29</v>
      </c>
      <c r="L1940">
        <v>0</v>
      </c>
      <c r="M1940" t="s">
        <v>29</v>
      </c>
      <c r="N1940">
        <v>0</v>
      </c>
      <c r="O1940">
        <v>0</v>
      </c>
      <c r="P1940" t="s">
        <v>30</v>
      </c>
      <c r="Q1940" s="2">
        <v>0.7</v>
      </c>
      <c r="R1940">
        <v>0</v>
      </c>
      <c r="V1940" t="str">
        <f>VLOOKUP(H1940,'[1]팀별 출판사'!A:B,2,0)</f>
        <v>소설1팀</v>
      </c>
      <c r="W1940" s="6">
        <f t="shared" si="60"/>
        <v>0</v>
      </c>
      <c r="X1940" s="6">
        <f t="shared" si="61"/>
        <v>0</v>
      </c>
    </row>
    <row r="1941" spans="1:24" x14ac:dyDescent="0.3">
      <c r="A1941" t="s">
        <v>3011</v>
      </c>
      <c r="B1941" t="s">
        <v>3030</v>
      </c>
      <c r="C1941" t="s">
        <v>23</v>
      </c>
      <c r="D1941" t="s">
        <v>24</v>
      </c>
      <c r="E1941" t="s">
        <v>25</v>
      </c>
      <c r="F1941">
        <v>1</v>
      </c>
      <c r="G1941">
        <v>9791170106715</v>
      </c>
      <c r="H1941" t="s">
        <v>67</v>
      </c>
      <c r="I1941" t="s">
        <v>68</v>
      </c>
      <c r="J1941" t="s">
        <v>69</v>
      </c>
      <c r="K1941" t="s">
        <v>29</v>
      </c>
      <c r="L1941">
        <v>0</v>
      </c>
      <c r="M1941" t="s">
        <v>29</v>
      </c>
      <c r="N1941">
        <v>0</v>
      </c>
      <c r="O1941">
        <v>0</v>
      </c>
      <c r="P1941" t="s">
        <v>30</v>
      </c>
      <c r="Q1941" s="2">
        <v>0.7</v>
      </c>
      <c r="R1941">
        <v>0</v>
      </c>
      <c r="V1941" t="str">
        <f>VLOOKUP(H1941,'[1]팀별 출판사'!A:B,2,0)</f>
        <v>소설1팀</v>
      </c>
      <c r="W1941" s="6">
        <f t="shared" si="60"/>
        <v>0</v>
      </c>
      <c r="X1941" s="6">
        <f t="shared" si="61"/>
        <v>0</v>
      </c>
    </row>
    <row r="1942" spans="1:24" x14ac:dyDescent="0.3">
      <c r="A1942" t="s">
        <v>3011</v>
      </c>
      <c r="B1942" t="s">
        <v>3031</v>
      </c>
      <c r="C1942" t="s">
        <v>23</v>
      </c>
      <c r="D1942" t="s">
        <v>24</v>
      </c>
      <c r="E1942" t="s">
        <v>25</v>
      </c>
      <c r="F1942">
        <v>1</v>
      </c>
      <c r="G1942">
        <v>9791172925789</v>
      </c>
      <c r="H1942" t="s">
        <v>26</v>
      </c>
      <c r="I1942" t="s">
        <v>3032</v>
      </c>
      <c r="J1942" t="s">
        <v>937</v>
      </c>
      <c r="K1942" t="s">
        <v>29</v>
      </c>
      <c r="L1942">
        <v>0</v>
      </c>
      <c r="M1942" t="s">
        <v>29</v>
      </c>
      <c r="N1942">
        <v>0</v>
      </c>
      <c r="O1942">
        <v>0</v>
      </c>
      <c r="P1942" t="s">
        <v>30</v>
      </c>
      <c r="Q1942" s="2">
        <v>0.7</v>
      </c>
      <c r="R1942">
        <v>0</v>
      </c>
      <c r="V1942" t="str">
        <f>VLOOKUP(H1942,'[1]팀별 출판사'!A:B,2,0)</f>
        <v>소설1팀</v>
      </c>
      <c r="W1942" s="6">
        <f t="shared" si="60"/>
        <v>0</v>
      </c>
      <c r="X1942" s="6">
        <f t="shared" si="61"/>
        <v>0</v>
      </c>
    </row>
    <row r="1943" spans="1:24" x14ac:dyDescent="0.3">
      <c r="A1943" t="s">
        <v>3011</v>
      </c>
      <c r="B1943" t="s">
        <v>3033</v>
      </c>
      <c r="C1943" t="s">
        <v>23</v>
      </c>
      <c r="D1943" t="s">
        <v>24</v>
      </c>
      <c r="E1943" t="s">
        <v>25</v>
      </c>
      <c r="F1943">
        <v>1</v>
      </c>
      <c r="G1943">
        <v>9791136912732</v>
      </c>
      <c r="H1943" t="s">
        <v>26</v>
      </c>
      <c r="I1943" t="s">
        <v>1125</v>
      </c>
      <c r="J1943" t="s">
        <v>256</v>
      </c>
      <c r="K1943" t="s">
        <v>29</v>
      </c>
      <c r="L1943">
        <v>0</v>
      </c>
      <c r="M1943" t="s">
        <v>29</v>
      </c>
      <c r="N1943">
        <v>0</v>
      </c>
      <c r="O1943">
        <v>0</v>
      </c>
      <c r="P1943" t="s">
        <v>30</v>
      </c>
      <c r="Q1943" s="2">
        <v>0.7</v>
      </c>
      <c r="R1943">
        <v>0</v>
      </c>
      <c r="V1943" t="str">
        <f>VLOOKUP(H1943,'[1]팀별 출판사'!A:B,2,0)</f>
        <v>소설1팀</v>
      </c>
      <c r="W1943" s="6">
        <f t="shared" si="60"/>
        <v>0</v>
      </c>
      <c r="X1943" s="6">
        <f t="shared" si="61"/>
        <v>0</v>
      </c>
    </row>
    <row r="1944" spans="1:24" x14ac:dyDescent="0.3">
      <c r="A1944" t="s">
        <v>3011</v>
      </c>
      <c r="B1944" t="s">
        <v>3034</v>
      </c>
      <c r="C1944" t="s">
        <v>23</v>
      </c>
      <c r="D1944" t="s">
        <v>24</v>
      </c>
      <c r="E1944" t="s">
        <v>25</v>
      </c>
      <c r="F1944">
        <v>1</v>
      </c>
      <c r="G1944">
        <v>9791136965455</v>
      </c>
      <c r="H1944" t="s">
        <v>26</v>
      </c>
      <c r="I1944" t="s">
        <v>472</v>
      </c>
      <c r="J1944" t="s">
        <v>157</v>
      </c>
      <c r="K1944" t="s">
        <v>29</v>
      </c>
      <c r="L1944">
        <v>0</v>
      </c>
      <c r="M1944" t="s">
        <v>152</v>
      </c>
      <c r="N1944">
        <v>0</v>
      </c>
      <c r="O1944">
        <v>0</v>
      </c>
      <c r="P1944" t="s">
        <v>153</v>
      </c>
      <c r="Q1944" s="2">
        <v>0.7</v>
      </c>
      <c r="R1944">
        <v>0</v>
      </c>
      <c r="V1944" t="str">
        <f>VLOOKUP(H1944,'[1]팀별 출판사'!A:B,2,0)</f>
        <v>소설1팀</v>
      </c>
      <c r="W1944" s="6">
        <f t="shared" si="60"/>
        <v>0</v>
      </c>
      <c r="X1944" s="6">
        <f t="shared" si="61"/>
        <v>0</v>
      </c>
    </row>
    <row r="1945" spans="1:24" x14ac:dyDescent="0.3">
      <c r="A1945" t="s">
        <v>3011</v>
      </c>
      <c r="B1945" t="s">
        <v>3035</v>
      </c>
      <c r="C1945" t="s">
        <v>23</v>
      </c>
      <c r="D1945" t="s">
        <v>24</v>
      </c>
      <c r="E1945" t="s">
        <v>25</v>
      </c>
      <c r="F1945">
        <v>1</v>
      </c>
      <c r="G1945">
        <v>9791136926791</v>
      </c>
      <c r="H1945" t="s">
        <v>26</v>
      </c>
      <c r="I1945" t="s">
        <v>2379</v>
      </c>
      <c r="J1945" t="s">
        <v>62</v>
      </c>
      <c r="K1945" t="s">
        <v>29</v>
      </c>
      <c r="L1945" s="1">
        <v>3200</v>
      </c>
      <c r="M1945" t="s">
        <v>29</v>
      </c>
      <c r="N1945" s="1">
        <v>3200</v>
      </c>
      <c r="O1945" s="1">
        <v>3200</v>
      </c>
      <c r="P1945" t="s">
        <v>30</v>
      </c>
      <c r="Q1945" s="2">
        <v>0.7</v>
      </c>
      <c r="R1945" s="1">
        <v>2240</v>
      </c>
      <c r="S1945" t="s">
        <v>29</v>
      </c>
      <c r="T1945" s="1">
        <v>2240</v>
      </c>
      <c r="V1945" t="str">
        <f>VLOOKUP(H1945,'[1]팀별 출판사'!A:B,2,0)</f>
        <v>소설1팀</v>
      </c>
      <c r="W1945" s="6">
        <f t="shared" si="60"/>
        <v>0</v>
      </c>
      <c r="X1945" s="6">
        <f t="shared" si="61"/>
        <v>2240</v>
      </c>
    </row>
    <row r="1946" spans="1:24" x14ac:dyDescent="0.3">
      <c r="A1946" t="s">
        <v>3011</v>
      </c>
      <c r="B1946" t="s">
        <v>3036</v>
      </c>
      <c r="C1946" t="s">
        <v>23</v>
      </c>
      <c r="D1946" t="s">
        <v>24</v>
      </c>
      <c r="E1946" t="s">
        <v>25</v>
      </c>
      <c r="F1946">
        <v>1</v>
      </c>
      <c r="G1946">
        <v>9791133102617</v>
      </c>
      <c r="H1946" t="s">
        <v>32</v>
      </c>
      <c r="I1946" t="s">
        <v>3037</v>
      </c>
      <c r="J1946" t="s">
        <v>51</v>
      </c>
      <c r="K1946" t="s">
        <v>29</v>
      </c>
      <c r="L1946">
        <v>0</v>
      </c>
      <c r="M1946" t="s">
        <v>29</v>
      </c>
      <c r="N1946">
        <v>0</v>
      </c>
      <c r="O1946">
        <v>0</v>
      </c>
      <c r="P1946" t="s">
        <v>30</v>
      </c>
      <c r="Q1946" s="2">
        <v>0.7</v>
      </c>
      <c r="R1946">
        <v>0</v>
      </c>
      <c r="V1946" t="str">
        <f>VLOOKUP(H1946,'[1]팀별 출판사'!A:B,2,0)</f>
        <v>소설1팀</v>
      </c>
      <c r="W1946" s="6">
        <f t="shared" si="60"/>
        <v>0</v>
      </c>
      <c r="X1946" s="6">
        <f t="shared" si="61"/>
        <v>0</v>
      </c>
    </row>
    <row r="1947" spans="1:24" x14ac:dyDescent="0.3">
      <c r="A1947" t="s">
        <v>3011</v>
      </c>
      <c r="B1947" t="s">
        <v>3038</v>
      </c>
      <c r="C1947" t="s">
        <v>23</v>
      </c>
      <c r="D1947" t="s">
        <v>24</v>
      </c>
      <c r="E1947" t="s">
        <v>25</v>
      </c>
      <c r="F1947">
        <v>1</v>
      </c>
      <c r="G1947">
        <v>9791136905642</v>
      </c>
      <c r="H1947" t="s">
        <v>26</v>
      </c>
      <c r="I1947" t="s">
        <v>374</v>
      </c>
      <c r="J1947" t="s">
        <v>311</v>
      </c>
      <c r="K1947" t="s">
        <v>29</v>
      </c>
      <c r="L1947">
        <v>0</v>
      </c>
      <c r="M1947" t="s">
        <v>29</v>
      </c>
      <c r="N1947">
        <v>0</v>
      </c>
      <c r="O1947">
        <v>0</v>
      </c>
      <c r="P1947" t="s">
        <v>30</v>
      </c>
      <c r="Q1947" s="2">
        <v>0.7</v>
      </c>
      <c r="R1947">
        <v>0</v>
      </c>
      <c r="V1947" t="str">
        <f>VLOOKUP(H1947,'[1]팀별 출판사'!A:B,2,0)</f>
        <v>소설1팀</v>
      </c>
      <c r="W1947" s="6">
        <f t="shared" si="60"/>
        <v>0</v>
      </c>
      <c r="X1947" s="6">
        <f t="shared" si="61"/>
        <v>0</v>
      </c>
    </row>
    <row r="1948" spans="1:24" x14ac:dyDescent="0.3">
      <c r="A1948" t="s">
        <v>3011</v>
      </c>
      <c r="B1948" t="s">
        <v>3039</v>
      </c>
      <c r="C1948" t="s">
        <v>23</v>
      </c>
      <c r="D1948" t="s">
        <v>24</v>
      </c>
      <c r="E1948" t="s">
        <v>25</v>
      </c>
      <c r="F1948">
        <v>1</v>
      </c>
      <c r="G1948">
        <v>9791157532322</v>
      </c>
      <c r="H1948" t="s">
        <v>32</v>
      </c>
      <c r="I1948" t="s">
        <v>3040</v>
      </c>
      <c r="J1948" t="s">
        <v>112</v>
      </c>
      <c r="K1948" t="s">
        <v>29</v>
      </c>
      <c r="L1948" s="1">
        <v>3200</v>
      </c>
      <c r="M1948" t="s">
        <v>29</v>
      </c>
      <c r="N1948" s="1">
        <v>3200</v>
      </c>
      <c r="O1948" s="1">
        <v>3200</v>
      </c>
      <c r="P1948" t="s">
        <v>30</v>
      </c>
      <c r="Q1948" s="2">
        <v>0.7</v>
      </c>
      <c r="R1948" s="1">
        <v>2240</v>
      </c>
      <c r="S1948" t="s">
        <v>29</v>
      </c>
      <c r="T1948" s="1">
        <v>2240</v>
      </c>
      <c r="V1948" t="str">
        <f>VLOOKUP(H1948,'[1]팀별 출판사'!A:B,2,0)</f>
        <v>소설1팀</v>
      </c>
      <c r="W1948" s="6">
        <f t="shared" si="60"/>
        <v>0</v>
      </c>
      <c r="X1948" s="6">
        <f t="shared" si="61"/>
        <v>2240</v>
      </c>
    </row>
    <row r="1949" spans="1:24" x14ac:dyDescent="0.3">
      <c r="A1949" t="s">
        <v>3011</v>
      </c>
      <c r="B1949" t="s">
        <v>3041</v>
      </c>
      <c r="C1949" t="s">
        <v>23</v>
      </c>
      <c r="D1949" t="s">
        <v>24</v>
      </c>
      <c r="E1949" t="s">
        <v>25</v>
      </c>
      <c r="F1949">
        <v>1</v>
      </c>
      <c r="G1949">
        <v>9791133171347</v>
      </c>
      <c r="H1949" t="s">
        <v>26</v>
      </c>
      <c r="I1949" t="s">
        <v>2303</v>
      </c>
      <c r="J1949" t="s">
        <v>51</v>
      </c>
      <c r="K1949" t="s">
        <v>29</v>
      </c>
      <c r="L1949">
        <v>0</v>
      </c>
      <c r="M1949" t="s">
        <v>29</v>
      </c>
      <c r="N1949">
        <v>0</v>
      </c>
      <c r="O1949">
        <v>0</v>
      </c>
      <c r="P1949" t="s">
        <v>30</v>
      </c>
      <c r="Q1949" s="2">
        <v>0.7</v>
      </c>
      <c r="R1949">
        <v>0</v>
      </c>
      <c r="V1949" t="str">
        <f>VLOOKUP(H1949,'[1]팀별 출판사'!A:B,2,0)</f>
        <v>소설1팀</v>
      </c>
      <c r="W1949" s="6">
        <f t="shared" si="60"/>
        <v>0</v>
      </c>
      <c r="X1949" s="6">
        <f t="shared" si="61"/>
        <v>0</v>
      </c>
    </row>
    <row r="1950" spans="1:24" x14ac:dyDescent="0.3">
      <c r="A1950" t="s">
        <v>3011</v>
      </c>
      <c r="B1950" t="s">
        <v>3042</v>
      </c>
      <c r="C1950" t="s">
        <v>23</v>
      </c>
      <c r="D1950" t="s">
        <v>24</v>
      </c>
      <c r="E1950" t="s">
        <v>25</v>
      </c>
      <c r="F1950">
        <v>1</v>
      </c>
      <c r="G1950">
        <v>9791133102891</v>
      </c>
      <c r="H1950" t="s">
        <v>32</v>
      </c>
      <c r="I1950" t="s">
        <v>3008</v>
      </c>
      <c r="J1950" t="s">
        <v>51</v>
      </c>
      <c r="K1950" t="s">
        <v>29</v>
      </c>
      <c r="L1950">
        <v>0</v>
      </c>
      <c r="M1950" t="s">
        <v>29</v>
      </c>
      <c r="N1950">
        <v>0</v>
      </c>
      <c r="O1950">
        <v>0</v>
      </c>
      <c r="P1950" t="s">
        <v>30</v>
      </c>
      <c r="Q1950" s="2">
        <v>0.7</v>
      </c>
      <c r="R1950">
        <v>0</v>
      </c>
      <c r="V1950" t="str">
        <f>VLOOKUP(H1950,'[1]팀별 출판사'!A:B,2,0)</f>
        <v>소설1팀</v>
      </c>
      <c r="W1950" s="6">
        <f t="shared" si="60"/>
        <v>0</v>
      </c>
      <c r="X1950" s="6">
        <f t="shared" si="61"/>
        <v>0</v>
      </c>
    </row>
    <row r="1951" spans="1:24" x14ac:dyDescent="0.3">
      <c r="A1951" t="s">
        <v>3011</v>
      </c>
      <c r="B1951" t="s">
        <v>3043</v>
      </c>
      <c r="C1951" t="s">
        <v>23</v>
      </c>
      <c r="D1951" t="s">
        <v>24</v>
      </c>
      <c r="E1951" t="s">
        <v>25</v>
      </c>
      <c r="F1951">
        <v>1</v>
      </c>
      <c r="G1951">
        <v>9791136943378</v>
      </c>
      <c r="H1951" t="s">
        <v>26</v>
      </c>
      <c r="I1951" t="s">
        <v>2896</v>
      </c>
      <c r="J1951" t="s">
        <v>284</v>
      </c>
      <c r="K1951" t="s">
        <v>29</v>
      </c>
      <c r="L1951" s="1">
        <v>3200</v>
      </c>
      <c r="M1951" t="s">
        <v>29</v>
      </c>
      <c r="N1951" s="1">
        <v>3200</v>
      </c>
      <c r="O1951" s="1">
        <v>3200</v>
      </c>
      <c r="P1951" t="s">
        <v>30</v>
      </c>
      <c r="Q1951" s="2">
        <v>0.7</v>
      </c>
      <c r="R1951" s="1">
        <v>2240</v>
      </c>
      <c r="S1951" t="s">
        <v>29</v>
      </c>
      <c r="T1951" s="1">
        <v>2240</v>
      </c>
      <c r="V1951" t="str">
        <f>VLOOKUP(H1951,'[1]팀별 출판사'!A:B,2,0)</f>
        <v>소설1팀</v>
      </c>
      <c r="W1951" s="6">
        <f t="shared" si="60"/>
        <v>0</v>
      </c>
      <c r="X1951" s="6">
        <f t="shared" si="61"/>
        <v>2240</v>
      </c>
    </row>
    <row r="1952" spans="1:24" x14ac:dyDescent="0.3">
      <c r="A1952" t="s">
        <v>3011</v>
      </c>
      <c r="B1952" t="s">
        <v>3044</v>
      </c>
      <c r="C1952" t="s">
        <v>23</v>
      </c>
      <c r="D1952" t="s">
        <v>24</v>
      </c>
      <c r="E1952" t="s">
        <v>25</v>
      </c>
      <c r="F1952">
        <v>1</v>
      </c>
      <c r="G1952">
        <v>9791136946782</v>
      </c>
      <c r="H1952" t="s">
        <v>26</v>
      </c>
      <c r="I1952" t="s">
        <v>291</v>
      </c>
      <c r="J1952" t="s">
        <v>28</v>
      </c>
      <c r="K1952" t="s">
        <v>29</v>
      </c>
      <c r="L1952">
        <v>0</v>
      </c>
      <c r="M1952" t="s">
        <v>29</v>
      </c>
      <c r="N1952">
        <v>0</v>
      </c>
      <c r="O1952">
        <v>0</v>
      </c>
      <c r="P1952" t="s">
        <v>30</v>
      </c>
      <c r="Q1952" s="2">
        <v>0.7</v>
      </c>
      <c r="R1952">
        <v>0</v>
      </c>
      <c r="V1952" t="str">
        <f>VLOOKUP(H1952,'[1]팀별 출판사'!A:B,2,0)</f>
        <v>소설1팀</v>
      </c>
      <c r="W1952" s="6">
        <f t="shared" si="60"/>
        <v>0</v>
      </c>
      <c r="X1952" s="6">
        <f t="shared" si="61"/>
        <v>0</v>
      </c>
    </row>
    <row r="1953" spans="1:24" x14ac:dyDescent="0.3">
      <c r="A1953" t="s">
        <v>3011</v>
      </c>
      <c r="B1953" t="s">
        <v>3045</v>
      </c>
      <c r="C1953" t="s">
        <v>23</v>
      </c>
      <c r="D1953" t="s">
        <v>24</v>
      </c>
      <c r="E1953" t="s">
        <v>25</v>
      </c>
      <c r="F1953">
        <v>1</v>
      </c>
      <c r="G1953">
        <v>9791133143801</v>
      </c>
      <c r="H1953" t="s">
        <v>32</v>
      </c>
      <c r="I1953" t="s">
        <v>1056</v>
      </c>
      <c r="J1953" t="s">
        <v>88</v>
      </c>
      <c r="K1953" t="s">
        <v>29</v>
      </c>
      <c r="L1953">
        <v>0</v>
      </c>
      <c r="M1953" t="s">
        <v>29</v>
      </c>
      <c r="N1953">
        <v>0</v>
      </c>
      <c r="O1953">
        <v>0</v>
      </c>
      <c r="P1953" t="s">
        <v>30</v>
      </c>
      <c r="Q1953" s="2">
        <v>0.7</v>
      </c>
      <c r="R1953">
        <v>0</v>
      </c>
      <c r="V1953" t="str">
        <f>VLOOKUP(H1953,'[1]팀별 출판사'!A:B,2,0)</f>
        <v>소설1팀</v>
      </c>
      <c r="W1953" s="6">
        <f t="shared" si="60"/>
        <v>0</v>
      </c>
      <c r="X1953" s="6">
        <f t="shared" si="61"/>
        <v>0</v>
      </c>
    </row>
    <row r="1954" spans="1:24" x14ac:dyDescent="0.3">
      <c r="A1954" t="s">
        <v>3011</v>
      </c>
      <c r="B1954" t="s">
        <v>3046</v>
      </c>
      <c r="C1954" t="s">
        <v>23</v>
      </c>
      <c r="D1954" t="s">
        <v>24</v>
      </c>
      <c r="E1954" t="s">
        <v>25</v>
      </c>
      <c r="F1954">
        <v>1</v>
      </c>
      <c r="G1954">
        <v>9791173783883</v>
      </c>
      <c r="H1954" t="s">
        <v>26</v>
      </c>
      <c r="I1954" t="s">
        <v>936</v>
      </c>
      <c r="J1954" t="s">
        <v>937</v>
      </c>
      <c r="K1954" t="s">
        <v>29</v>
      </c>
      <c r="L1954">
        <v>0</v>
      </c>
      <c r="M1954" t="s">
        <v>29</v>
      </c>
      <c r="N1954">
        <v>0</v>
      </c>
      <c r="O1954">
        <v>0</v>
      </c>
      <c r="P1954" t="s">
        <v>30</v>
      </c>
      <c r="Q1954" s="2">
        <v>0.7</v>
      </c>
      <c r="R1954">
        <v>0</v>
      </c>
      <c r="V1954" t="str">
        <f>VLOOKUP(H1954,'[1]팀별 출판사'!A:B,2,0)</f>
        <v>소설1팀</v>
      </c>
      <c r="W1954" s="6">
        <f t="shared" si="60"/>
        <v>0</v>
      </c>
      <c r="X1954" s="6">
        <f t="shared" si="61"/>
        <v>0</v>
      </c>
    </row>
    <row r="1955" spans="1:24" x14ac:dyDescent="0.3">
      <c r="A1955" t="s">
        <v>3011</v>
      </c>
      <c r="B1955" t="s">
        <v>3047</v>
      </c>
      <c r="C1955" t="s">
        <v>23</v>
      </c>
      <c r="D1955" t="s">
        <v>24</v>
      </c>
      <c r="E1955" t="s">
        <v>25</v>
      </c>
      <c r="F1955">
        <v>1</v>
      </c>
      <c r="G1955">
        <v>9791172920937</v>
      </c>
      <c r="H1955" t="s">
        <v>79</v>
      </c>
      <c r="I1955" t="s">
        <v>80</v>
      </c>
      <c r="J1955" t="s">
        <v>81</v>
      </c>
      <c r="K1955" t="s">
        <v>29</v>
      </c>
      <c r="L1955">
        <v>0</v>
      </c>
      <c r="M1955" t="s">
        <v>29</v>
      </c>
      <c r="N1955">
        <v>0</v>
      </c>
      <c r="O1955">
        <v>0</v>
      </c>
      <c r="P1955" t="s">
        <v>30</v>
      </c>
      <c r="Q1955" s="2">
        <v>0.7</v>
      </c>
      <c r="R1955">
        <v>0</v>
      </c>
      <c r="V1955" t="str">
        <f>VLOOKUP(H1955,'[1]팀별 출판사'!A:B,2,0)</f>
        <v>소설1팀</v>
      </c>
      <c r="W1955" s="6">
        <f t="shared" si="60"/>
        <v>0</v>
      </c>
      <c r="X1955" s="6">
        <f t="shared" si="61"/>
        <v>0</v>
      </c>
    </row>
    <row r="1956" spans="1:24" x14ac:dyDescent="0.3">
      <c r="A1956" t="s">
        <v>3011</v>
      </c>
      <c r="B1956" t="s">
        <v>3048</v>
      </c>
      <c r="C1956" t="s">
        <v>23</v>
      </c>
      <c r="D1956" t="s">
        <v>24</v>
      </c>
      <c r="E1956" t="s">
        <v>25</v>
      </c>
      <c r="F1956">
        <v>1</v>
      </c>
      <c r="G1956">
        <v>9791136907158</v>
      </c>
      <c r="H1956" t="s">
        <v>26</v>
      </c>
      <c r="I1956" t="s">
        <v>3049</v>
      </c>
      <c r="J1956" t="s">
        <v>1348</v>
      </c>
      <c r="K1956" t="s">
        <v>29</v>
      </c>
      <c r="L1956" s="1">
        <v>3200</v>
      </c>
      <c r="M1956" t="s">
        <v>29</v>
      </c>
      <c r="N1956" s="1">
        <v>3200</v>
      </c>
      <c r="O1956" s="1">
        <v>3200</v>
      </c>
      <c r="P1956" t="s">
        <v>30</v>
      </c>
      <c r="Q1956" s="2">
        <v>0.7</v>
      </c>
      <c r="R1956" s="1">
        <v>2240</v>
      </c>
      <c r="S1956" t="s">
        <v>29</v>
      </c>
      <c r="T1956" s="1">
        <v>2240</v>
      </c>
      <c r="V1956" t="str">
        <f>VLOOKUP(H1956,'[1]팀별 출판사'!A:B,2,0)</f>
        <v>소설1팀</v>
      </c>
      <c r="W1956" s="6">
        <f t="shared" si="60"/>
        <v>0</v>
      </c>
      <c r="X1956" s="6">
        <f t="shared" si="61"/>
        <v>2240</v>
      </c>
    </row>
    <row r="1957" spans="1:24" x14ac:dyDescent="0.3">
      <c r="A1957" t="s">
        <v>3011</v>
      </c>
      <c r="B1957" t="s">
        <v>3050</v>
      </c>
      <c r="C1957" t="s">
        <v>23</v>
      </c>
      <c r="D1957" t="s">
        <v>24</v>
      </c>
      <c r="E1957" t="s">
        <v>25</v>
      </c>
      <c r="F1957">
        <v>1</v>
      </c>
      <c r="G1957">
        <v>9791136926821</v>
      </c>
      <c r="H1957" t="s">
        <v>26</v>
      </c>
      <c r="I1957" t="s">
        <v>3051</v>
      </c>
      <c r="J1957" t="s">
        <v>62</v>
      </c>
      <c r="K1957" t="s">
        <v>29</v>
      </c>
      <c r="L1957" s="1">
        <v>3200</v>
      </c>
      <c r="M1957" t="s">
        <v>29</v>
      </c>
      <c r="N1957" s="1">
        <v>3200</v>
      </c>
      <c r="O1957" s="1">
        <v>3200</v>
      </c>
      <c r="P1957" t="s">
        <v>30</v>
      </c>
      <c r="Q1957" s="2">
        <v>0.7</v>
      </c>
      <c r="R1957" s="1">
        <v>2240</v>
      </c>
      <c r="S1957" t="s">
        <v>29</v>
      </c>
      <c r="T1957" s="1">
        <v>2240</v>
      </c>
      <c r="V1957" t="str">
        <f>VLOOKUP(H1957,'[1]팀별 출판사'!A:B,2,0)</f>
        <v>소설1팀</v>
      </c>
      <c r="W1957" s="6">
        <f t="shared" si="60"/>
        <v>0</v>
      </c>
      <c r="X1957" s="6">
        <f t="shared" si="61"/>
        <v>2240</v>
      </c>
    </row>
    <row r="1958" spans="1:24" x14ac:dyDescent="0.3">
      <c r="A1958" t="s">
        <v>3011</v>
      </c>
      <c r="B1958" t="s">
        <v>3052</v>
      </c>
      <c r="C1958" t="s">
        <v>23</v>
      </c>
      <c r="D1958" t="s">
        <v>24</v>
      </c>
      <c r="E1958" t="s">
        <v>25</v>
      </c>
      <c r="F1958">
        <v>1</v>
      </c>
      <c r="G1958">
        <v>9791136958709</v>
      </c>
      <c r="H1958" t="s">
        <v>79</v>
      </c>
      <c r="I1958" t="s">
        <v>3053</v>
      </c>
      <c r="J1958" t="s">
        <v>81</v>
      </c>
      <c r="K1958" t="s">
        <v>29</v>
      </c>
      <c r="L1958" s="1">
        <v>3200</v>
      </c>
      <c r="M1958" t="s">
        <v>29</v>
      </c>
      <c r="N1958" s="1">
        <v>3200</v>
      </c>
      <c r="O1958" s="1">
        <v>3200</v>
      </c>
      <c r="P1958" t="s">
        <v>30</v>
      </c>
      <c r="Q1958" s="2">
        <v>0.7</v>
      </c>
      <c r="R1958" s="1">
        <v>2240</v>
      </c>
      <c r="S1958" t="s">
        <v>29</v>
      </c>
      <c r="T1958" s="1">
        <v>2240</v>
      </c>
      <c r="V1958" t="str">
        <f>VLOOKUP(H1958,'[1]팀별 출판사'!A:B,2,0)</f>
        <v>소설1팀</v>
      </c>
      <c r="W1958" s="6">
        <f t="shared" si="60"/>
        <v>0</v>
      </c>
      <c r="X1958" s="6">
        <f t="shared" si="61"/>
        <v>2240</v>
      </c>
    </row>
    <row r="1959" spans="1:24" x14ac:dyDescent="0.3">
      <c r="A1959" t="s">
        <v>3011</v>
      </c>
      <c r="B1959" t="s">
        <v>3054</v>
      </c>
      <c r="C1959" t="s">
        <v>23</v>
      </c>
      <c r="D1959" t="s">
        <v>24</v>
      </c>
      <c r="E1959" t="s">
        <v>25</v>
      </c>
      <c r="F1959">
        <v>1</v>
      </c>
      <c r="G1959">
        <v>9791157534142</v>
      </c>
      <c r="H1959" t="s">
        <v>32</v>
      </c>
      <c r="I1959" t="s">
        <v>3055</v>
      </c>
      <c r="J1959" t="s">
        <v>3056</v>
      </c>
      <c r="K1959" t="s">
        <v>29</v>
      </c>
      <c r="L1959">
        <v>0</v>
      </c>
      <c r="M1959" t="s">
        <v>29</v>
      </c>
      <c r="N1959">
        <v>0</v>
      </c>
      <c r="O1959">
        <v>0</v>
      </c>
      <c r="P1959" t="s">
        <v>30</v>
      </c>
      <c r="Q1959" s="2">
        <v>0.7</v>
      </c>
      <c r="R1959">
        <v>0</v>
      </c>
      <c r="V1959" t="str">
        <f>VLOOKUP(H1959,'[1]팀별 출판사'!A:B,2,0)</f>
        <v>소설1팀</v>
      </c>
      <c r="W1959" s="6">
        <f t="shared" si="60"/>
        <v>0</v>
      </c>
      <c r="X1959" s="6">
        <f t="shared" si="61"/>
        <v>0</v>
      </c>
    </row>
    <row r="1960" spans="1:24" x14ac:dyDescent="0.3">
      <c r="A1960" t="s">
        <v>3011</v>
      </c>
      <c r="B1960" t="s">
        <v>3057</v>
      </c>
      <c r="C1960" t="s">
        <v>23</v>
      </c>
      <c r="D1960" t="s">
        <v>24</v>
      </c>
      <c r="E1960" t="s">
        <v>25</v>
      </c>
      <c r="F1960">
        <v>1</v>
      </c>
      <c r="G1960">
        <v>9791133106127</v>
      </c>
      <c r="H1960" t="s">
        <v>32</v>
      </c>
      <c r="I1960" t="s">
        <v>585</v>
      </c>
      <c r="J1960" t="s">
        <v>160</v>
      </c>
      <c r="K1960" t="s">
        <v>29</v>
      </c>
      <c r="L1960">
        <v>0</v>
      </c>
      <c r="M1960" t="s">
        <v>29</v>
      </c>
      <c r="N1960">
        <v>0</v>
      </c>
      <c r="O1960">
        <v>0</v>
      </c>
      <c r="P1960" t="s">
        <v>30</v>
      </c>
      <c r="Q1960" s="2">
        <v>0.7</v>
      </c>
      <c r="R1960">
        <v>0</v>
      </c>
      <c r="V1960" t="str">
        <f>VLOOKUP(H1960,'[1]팀별 출판사'!A:B,2,0)</f>
        <v>소설1팀</v>
      </c>
      <c r="W1960" s="6">
        <f t="shared" si="60"/>
        <v>0</v>
      </c>
      <c r="X1960" s="6">
        <f t="shared" si="61"/>
        <v>0</v>
      </c>
    </row>
    <row r="1961" spans="1:24" x14ac:dyDescent="0.3">
      <c r="A1961" t="s">
        <v>3011</v>
      </c>
      <c r="B1961" t="s">
        <v>3058</v>
      </c>
      <c r="C1961" t="s">
        <v>23</v>
      </c>
      <c r="D1961" t="s">
        <v>24</v>
      </c>
      <c r="E1961" t="s">
        <v>25</v>
      </c>
      <c r="F1961">
        <v>1</v>
      </c>
      <c r="G1961">
        <v>9791133186501</v>
      </c>
      <c r="H1961" t="s">
        <v>26</v>
      </c>
      <c r="I1961" t="s">
        <v>64</v>
      </c>
      <c r="J1961" t="s">
        <v>65</v>
      </c>
      <c r="K1961" t="s">
        <v>29</v>
      </c>
      <c r="L1961">
        <v>0</v>
      </c>
      <c r="M1961" t="s">
        <v>29</v>
      </c>
      <c r="N1961">
        <v>0</v>
      </c>
      <c r="O1961">
        <v>0</v>
      </c>
      <c r="P1961" t="s">
        <v>30</v>
      </c>
      <c r="Q1961" s="2">
        <v>0.7</v>
      </c>
      <c r="R1961">
        <v>0</v>
      </c>
      <c r="V1961" t="str">
        <f>VLOOKUP(H1961,'[1]팀별 출판사'!A:B,2,0)</f>
        <v>소설1팀</v>
      </c>
      <c r="W1961" s="6">
        <f t="shared" si="60"/>
        <v>0</v>
      </c>
      <c r="X1961" s="6">
        <f t="shared" si="61"/>
        <v>0</v>
      </c>
    </row>
    <row r="1962" spans="1:24" x14ac:dyDescent="0.3">
      <c r="A1962" t="s">
        <v>3011</v>
      </c>
      <c r="B1962" t="s">
        <v>3059</v>
      </c>
      <c r="C1962" t="s">
        <v>23</v>
      </c>
      <c r="D1962" t="s">
        <v>24</v>
      </c>
      <c r="E1962" t="s">
        <v>25</v>
      </c>
      <c r="F1962">
        <v>1</v>
      </c>
      <c r="G1962">
        <v>9791136930552</v>
      </c>
      <c r="H1962" t="s">
        <v>26</v>
      </c>
      <c r="I1962" t="s">
        <v>45</v>
      </c>
      <c r="J1962" t="s">
        <v>46</v>
      </c>
      <c r="K1962" t="s">
        <v>29</v>
      </c>
      <c r="L1962">
        <v>0</v>
      </c>
      <c r="M1962" t="s">
        <v>152</v>
      </c>
      <c r="N1962">
        <v>0</v>
      </c>
      <c r="O1962">
        <v>0</v>
      </c>
      <c r="P1962" t="s">
        <v>153</v>
      </c>
      <c r="Q1962" s="2">
        <v>0.7</v>
      </c>
      <c r="R1962">
        <v>0</v>
      </c>
      <c r="V1962" t="str">
        <f>VLOOKUP(H1962,'[1]팀별 출판사'!A:B,2,0)</f>
        <v>소설1팀</v>
      </c>
      <c r="W1962" s="6">
        <f t="shared" si="60"/>
        <v>0</v>
      </c>
      <c r="X1962" s="6">
        <f t="shared" si="61"/>
        <v>0</v>
      </c>
    </row>
    <row r="1963" spans="1:24" x14ac:dyDescent="0.3">
      <c r="A1963" t="s">
        <v>3011</v>
      </c>
      <c r="B1963" t="s">
        <v>3060</v>
      </c>
      <c r="C1963" t="s">
        <v>23</v>
      </c>
      <c r="D1963" t="s">
        <v>24</v>
      </c>
      <c r="E1963" t="s">
        <v>25</v>
      </c>
      <c r="F1963">
        <v>1</v>
      </c>
      <c r="G1963">
        <v>9791136942142</v>
      </c>
      <c r="H1963" t="s">
        <v>26</v>
      </c>
      <c r="I1963" t="s">
        <v>180</v>
      </c>
      <c r="J1963" t="s">
        <v>46</v>
      </c>
      <c r="K1963" t="s">
        <v>29</v>
      </c>
      <c r="L1963">
        <v>0</v>
      </c>
      <c r="M1963" t="s">
        <v>152</v>
      </c>
      <c r="N1963">
        <v>0</v>
      </c>
      <c r="O1963">
        <v>0</v>
      </c>
      <c r="P1963" t="s">
        <v>153</v>
      </c>
      <c r="Q1963" s="2">
        <v>0.7</v>
      </c>
      <c r="R1963">
        <v>0</v>
      </c>
      <c r="V1963" t="str">
        <f>VLOOKUP(H1963,'[1]팀별 출판사'!A:B,2,0)</f>
        <v>소설1팀</v>
      </c>
      <c r="W1963" s="6">
        <f t="shared" si="60"/>
        <v>0</v>
      </c>
      <c r="X1963" s="6">
        <f t="shared" si="61"/>
        <v>0</v>
      </c>
    </row>
    <row r="1964" spans="1:24" x14ac:dyDescent="0.3">
      <c r="A1964" t="s">
        <v>3011</v>
      </c>
      <c r="B1964" t="s">
        <v>3061</v>
      </c>
      <c r="C1964" t="s">
        <v>23</v>
      </c>
      <c r="D1964" t="s">
        <v>24</v>
      </c>
      <c r="E1964" t="s">
        <v>25</v>
      </c>
      <c r="F1964">
        <v>1</v>
      </c>
      <c r="G1964">
        <v>9791133157730</v>
      </c>
      <c r="H1964" t="s">
        <v>32</v>
      </c>
      <c r="I1964" t="s">
        <v>3062</v>
      </c>
      <c r="J1964" t="s">
        <v>51</v>
      </c>
      <c r="K1964" t="s">
        <v>29</v>
      </c>
      <c r="L1964" s="1">
        <v>3000</v>
      </c>
      <c r="M1964" t="s">
        <v>29</v>
      </c>
      <c r="N1964" s="1">
        <v>3000</v>
      </c>
      <c r="O1964" s="1">
        <v>3000</v>
      </c>
      <c r="P1964" t="s">
        <v>30</v>
      </c>
      <c r="Q1964" s="2">
        <v>0.7</v>
      </c>
      <c r="R1964" s="1">
        <v>2100</v>
      </c>
      <c r="S1964" t="s">
        <v>29</v>
      </c>
      <c r="T1964" s="1">
        <v>2100</v>
      </c>
      <c r="V1964" t="str">
        <f>VLOOKUP(H1964,'[1]팀별 출판사'!A:B,2,0)</f>
        <v>소설1팀</v>
      </c>
      <c r="W1964" s="6">
        <f t="shared" si="60"/>
        <v>0</v>
      </c>
      <c r="X1964" s="6">
        <f t="shared" si="61"/>
        <v>2100</v>
      </c>
    </row>
    <row r="1965" spans="1:24" x14ac:dyDescent="0.3">
      <c r="A1965" t="s">
        <v>3011</v>
      </c>
      <c r="B1965" t="s">
        <v>3063</v>
      </c>
      <c r="C1965" t="s">
        <v>23</v>
      </c>
      <c r="D1965" t="s">
        <v>24</v>
      </c>
      <c r="E1965" t="s">
        <v>25</v>
      </c>
      <c r="F1965">
        <v>1</v>
      </c>
      <c r="G1965">
        <v>9791136907165</v>
      </c>
      <c r="H1965" t="s">
        <v>26</v>
      </c>
      <c r="I1965" t="s">
        <v>3064</v>
      </c>
      <c r="J1965" t="s">
        <v>1348</v>
      </c>
      <c r="K1965" t="s">
        <v>29</v>
      </c>
      <c r="L1965" s="1">
        <v>3200</v>
      </c>
      <c r="M1965" t="s">
        <v>29</v>
      </c>
      <c r="N1965" s="1">
        <v>3200</v>
      </c>
      <c r="O1965" s="1">
        <v>3200</v>
      </c>
      <c r="P1965" t="s">
        <v>30</v>
      </c>
      <c r="Q1965" s="2">
        <v>0.7</v>
      </c>
      <c r="R1965" s="1">
        <v>2240</v>
      </c>
      <c r="S1965" t="s">
        <v>29</v>
      </c>
      <c r="T1965" s="1">
        <v>2240</v>
      </c>
      <c r="V1965" t="str">
        <f>VLOOKUP(H1965,'[1]팀별 출판사'!A:B,2,0)</f>
        <v>소설1팀</v>
      </c>
      <c r="W1965" s="6">
        <f t="shared" si="60"/>
        <v>0</v>
      </c>
      <c r="X1965" s="6">
        <f t="shared" si="61"/>
        <v>2240</v>
      </c>
    </row>
    <row r="1966" spans="1:24" x14ac:dyDescent="0.3">
      <c r="A1966" t="s">
        <v>3011</v>
      </c>
      <c r="B1966" t="s">
        <v>3065</v>
      </c>
      <c r="C1966" t="s">
        <v>23</v>
      </c>
      <c r="D1966" t="s">
        <v>24</v>
      </c>
      <c r="E1966" t="s">
        <v>25</v>
      </c>
      <c r="F1966">
        <v>1</v>
      </c>
      <c r="G1966" t="s">
        <v>1516</v>
      </c>
      <c r="H1966" t="s">
        <v>32</v>
      </c>
      <c r="I1966" t="s">
        <v>1517</v>
      </c>
      <c r="J1966" t="s">
        <v>311</v>
      </c>
      <c r="K1966" t="s">
        <v>29</v>
      </c>
      <c r="L1966">
        <v>0</v>
      </c>
      <c r="M1966" t="s">
        <v>29</v>
      </c>
      <c r="N1966">
        <v>0</v>
      </c>
      <c r="O1966">
        <v>0</v>
      </c>
      <c r="P1966" t="s">
        <v>30</v>
      </c>
      <c r="Q1966" s="2">
        <v>0.7</v>
      </c>
      <c r="R1966">
        <v>0</v>
      </c>
      <c r="V1966" t="str">
        <f>VLOOKUP(H1966,'[1]팀별 출판사'!A:B,2,0)</f>
        <v>소설1팀</v>
      </c>
      <c r="W1966" s="6">
        <f t="shared" si="60"/>
        <v>0</v>
      </c>
      <c r="X1966" s="6">
        <f t="shared" si="61"/>
        <v>0</v>
      </c>
    </row>
    <row r="1967" spans="1:24" x14ac:dyDescent="0.3">
      <c r="A1967" t="s">
        <v>3011</v>
      </c>
      <c r="B1967" t="s">
        <v>3066</v>
      </c>
      <c r="C1967" t="s">
        <v>23</v>
      </c>
      <c r="D1967" t="s">
        <v>24</v>
      </c>
      <c r="E1967" t="s">
        <v>25</v>
      </c>
      <c r="F1967">
        <v>1</v>
      </c>
      <c r="G1967">
        <v>9791136927675</v>
      </c>
      <c r="H1967" t="s">
        <v>36</v>
      </c>
      <c r="I1967" t="s">
        <v>2259</v>
      </c>
      <c r="J1967" t="s">
        <v>38</v>
      </c>
      <c r="K1967" t="s">
        <v>29</v>
      </c>
      <c r="L1967" s="1">
        <v>3300</v>
      </c>
      <c r="M1967" t="s">
        <v>29</v>
      </c>
      <c r="N1967" s="1">
        <v>3300</v>
      </c>
      <c r="O1967" s="1">
        <v>3300</v>
      </c>
      <c r="P1967" t="s">
        <v>30</v>
      </c>
      <c r="Q1967" s="2">
        <v>0.7</v>
      </c>
      <c r="R1967" s="1">
        <v>2310</v>
      </c>
      <c r="S1967" t="s">
        <v>29</v>
      </c>
      <c r="T1967" s="1">
        <v>2310</v>
      </c>
      <c r="V1967" t="str">
        <f>VLOOKUP(H1967,'[1]팀별 출판사'!A:B,2,0)</f>
        <v>소설2팀</v>
      </c>
      <c r="W1967" s="6">
        <f t="shared" si="60"/>
        <v>0</v>
      </c>
      <c r="X1967" s="6">
        <f t="shared" si="61"/>
        <v>2310</v>
      </c>
    </row>
    <row r="1968" spans="1:24" x14ac:dyDescent="0.3">
      <c r="A1968" t="s">
        <v>3011</v>
      </c>
      <c r="B1968" t="s">
        <v>3067</v>
      </c>
      <c r="C1968" t="s">
        <v>23</v>
      </c>
      <c r="D1968" t="s">
        <v>24</v>
      </c>
      <c r="E1968" t="s">
        <v>25</v>
      </c>
      <c r="F1968">
        <v>1</v>
      </c>
      <c r="G1968">
        <v>9791136990600</v>
      </c>
      <c r="H1968" t="s">
        <v>26</v>
      </c>
      <c r="I1968" t="s">
        <v>1034</v>
      </c>
      <c r="J1968" t="s">
        <v>459</v>
      </c>
      <c r="K1968" t="s">
        <v>29</v>
      </c>
      <c r="L1968">
        <v>0</v>
      </c>
      <c r="M1968" t="s">
        <v>70</v>
      </c>
      <c r="N1968">
        <v>0</v>
      </c>
      <c r="O1968">
        <v>0</v>
      </c>
      <c r="P1968" t="s">
        <v>71</v>
      </c>
      <c r="Q1968" s="2">
        <v>0.7</v>
      </c>
      <c r="R1968">
        <v>0</v>
      </c>
      <c r="V1968" t="str">
        <f>VLOOKUP(H1968,'[1]팀별 출판사'!A:B,2,0)</f>
        <v>소설1팀</v>
      </c>
      <c r="W1968" s="6">
        <f t="shared" si="60"/>
        <v>0</v>
      </c>
      <c r="X1968" s="6">
        <f t="shared" si="61"/>
        <v>0</v>
      </c>
    </row>
    <row r="1969" spans="1:24" x14ac:dyDescent="0.3">
      <c r="A1969" t="s">
        <v>3011</v>
      </c>
      <c r="B1969" t="s">
        <v>3068</v>
      </c>
      <c r="C1969" t="s">
        <v>23</v>
      </c>
      <c r="D1969" t="s">
        <v>24</v>
      </c>
      <c r="E1969" t="s">
        <v>25</v>
      </c>
      <c r="F1969">
        <v>1</v>
      </c>
      <c r="G1969">
        <v>9791136930491</v>
      </c>
      <c r="H1969" t="s">
        <v>26</v>
      </c>
      <c r="I1969" t="s">
        <v>151</v>
      </c>
      <c r="J1969" t="s">
        <v>46</v>
      </c>
      <c r="K1969" t="s">
        <v>29</v>
      </c>
      <c r="L1969">
        <v>0</v>
      </c>
      <c r="M1969" t="s">
        <v>152</v>
      </c>
      <c r="N1969">
        <v>0</v>
      </c>
      <c r="O1969">
        <v>0</v>
      </c>
      <c r="P1969" t="s">
        <v>153</v>
      </c>
      <c r="Q1969" s="2">
        <v>0.7</v>
      </c>
      <c r="R1969">
        <v>0</v>
      </c>
      <c r="V1969" t="str">
        <f>VLOOKUP(H1969,'[1]팀별 출판사'!A:B,2,0)</f>
        <v>소설1팀</v>
      </c>
      <c r="W1969" s="6">
        <f t="shared" si="60"/>
        <v>0</v>
      </c>
      <c r="X1969" s="6">
        <f t="shared" si="61"/>
        <v>0</v>
      </c>
    </row>
    <row r="1970" spans="1:24" x14ac:dyDescent="0.3">
      <c r="A1970" t="s">
        <v>3011</v>
      </c>
      <c r="B1970" t="s">
        <v>3069</v>
      </c>
      <c r="C1970" t="s">
        <v>23</v>
      </c>
      <c r="D1970" t="s">
        <v>24</v>
      </c>
      <c r="E1970" t="s">
        <v>25</v>
      </c>
      <c r="F1970">
        <v>1</v>
      </c>
      <c r="G1970">
        <v>9791136930286</v>
      </c>
      <c r="H1970" t="s">
        <v>32</v>
      </c>
      <c r="I1970" t="s">
        <v>818</v>
      </c>
      <c r="J1970" t="s">
        <v>157</v>
      </c>
      <c r="K1970" t="s">
        <v>29</v>
      </c>
      <c r="L1970">
        <v>0</v>
      </c>
      <c r="M1970" t="s">
        <v>29</v>
      </c>
      <c r="N1970">
        <v>0</v>
      </c>
      <c r="O1970">
        <v>0</v>
      </c>
      <c r="P1970" t="s">
        <v>30</v>
      </c>
      <c r="Q1970" s="2">
        <v>0.7</v>
      </c>
      <c r="R1970">
        <v>0</v>
      </c>
      <c r="V1970" t="str">
        <f>VLOOKUP(H1970,'[1]팀별 출판사'!A:B,2,0)</f>
        <v>소설1팀</v>
      </c>
      <c r="W1970" s="6">
        <f t="shared" si="60"/>
        <v>0</v>
      </c>
      <c r="X1970" s="6">
        <f t="shared" si="61"/>
        <v>0</v>
      </c>
    </row>
    <row r="1971" spans="1:24" x14ac:dyDescent="0.3">
      <c r="A1971" t="s">
        <v>3011</v>
      </c>
      <c r="B1971" t="s">
        <v>3070</v>
      </c>
      <c r="C1971" t="s">
        <v>23</v>
      </c>
      <c r="D1971" t="s">
        <v>24</v>
      </c>
      <c r="E1971" t="s">
        <v>25</v>
      </c>
      <c r="F1971">
        <v>1</v>
      </c>
      <c r="G1971">
        <v>9791136999665</v>
      </c>
      <c r="H1971" t="s">
        <v>26</v>
      </c>
      <c r="I1971" t="s">
        <v>3071</v>
      </c>
      <c r="J1971" t="s">
        <v>937</v>
      </c>
      <c r="K1971" t="s">
        <v>29</v>
      </c>
      <c r="L1971" s="1">
        <v>3200</v>
      </c>
      <c r="M1971" t="s">
        <v>29</v>
      </c>
      <c r="N1971" s="1">
        <v>3200</v>
      </c>
      <c r="O1971" s="1">
        <v>3200</v>
      </c>
      <c r="P1971" t="s">
        <v>30</v>
      </c>
      <c r="Q1971" s="2">
        <v>0.7</v>
      </c>
      <c r="R1971" s="1">
        <v>2240</v>
      </c>
      <c r="S1971" t="s">
        <v>29</v>
      </c>
      <c r="T1971" s="1">
        <v>2240</v>
      </c>
      <c r="V1971" t="str">
        <f>VLOOKUP(H1971,'[1]팀별 출판사'!A:B,2,0)</f>
        <v>소설1팀</v>
      </c>
      <c r="W1971" s="6">
        <f t="shared" si="60"/>
        <v>0</v>
      </c>
      <c r="X1971" s="6">
        <f t="shared" si="61"/>
        <v>2240</v>
      </c>
    </row>
    <row r="1972" spans="1:24" x14ac:dyDescent="0.3">
      <c r="A1972" t="s">
        <v>3011</v>
      </c>
      <c r="B1972" t="s">
        <v>3072</v>
      </c>
      <c r="C1972" t="s">
        <v>23</v>
      </c>
      <c r="D1972" t="s">
        <v>24</v>
      </c>
      <c r="E1972" t="s">
        <v>25</v>
      </c>
      <c r="F1972">
        <v>1</v>
      </c>
      <c r="G1972">
        <v>9791136931375</v>
      </c>
      <c r="H1972" t="s">
        <v>32</v>
      </c>
      <c r="I1972" t="s">
        <v>189</v>
      </c>
      <c r="J1972" t="s">
        <v>46</v>
      </c>
      <c r="K1972" t="s">
        <v>29</v>
      </c>
      <c r="L1972">
        <v>0</v>
      </c>
      <c r="M1972" t="s">
        <v>152</v>
      </c>
      <c r="N1972">
        <v>0</v>
      </c>
      <c r="O1972">
        <v>0</v>
      </c>
      <c r="P1972" t="s">
        <v>153</v>
      </c>
      <c r="Q1972" s="2">
        <v>0.7</v>
      </c>
      <c r="R1972">
        <v>0</v>
      </c>
      <c r="V1972" t="str">
        <f>VLOOKUP(H1972,'[1]팀별 출판사'!A:B,2,0)</f>
        <v>소설1팀</v>
      </c>
      <c r="W1972" s="6">
        <f t="shared" si="60"/>
        <v>0</v>
      </c>
      <c r="X1972" s="6">
        <f t="shared" si="61"/>
        <v>0</v>
      </c>
    </row>
    <row r="1973" spans="1:24" x14ac:dyDescent="0.3">
      <c r="A1973" t="s">
        <v>3011</v>
      </c>
      <c r="B1973" t="s">
        <v>3073</v>
      </c>
      <c r="C1973" t="s">
        <v>23</v>
      </c>
      <c r="D1973" t="s">
        <v>24</v>
      </c>
      <c r="E1973" t="s">
        <v>25</v>
      </c>
      <c r="F1973">
        <v>1</v>
      </c>
      <c r="G1973">
        <v>9791133186501</v>
      </c>
      <c r="H1973" t="s">
        <v>26</v>
      </c>
      <c r="I1973" t="s">
        <v>64</v>
      </c>
      <c r="J1973" t="s">
        <v>65</v>
      </c>
      <c r="K1973" t="s">
        <v>29</v>
      </c>
      <c r="L1973">
        <v>0</v>
      </c>
      <c r="M1973" t="s">
        <v>29</v>
      </c>
      <c r="N1973">
        <v>0</v>
      </c>
      <c r="O1973">
        <v>0</v>
      </c>
      <c r="P1973" t="s">
        <v>30</v>
      </c>
      <c r="Q1973" s="2">
        <v>0.7</v>
      </c>
      <c r="R1973">
        <v>0</v>
      </c>
      <c r="V1973" t="str">
        <f>VLOOKUP(H1973,'[1]팀별 출판사'!A:B,2,0)</f>
        <v>소설1팀</v>
      </c>
      <c r="W1973" s="6">
        <f t="shared" si="60"/>
        <v>0</v>
      </c>
      <c r="X1973" s="6">
        <f t="shared" si="61"/>
        <v>0</v>
      </c>
    </row>
    <row r="1974" spans="1:24" x14ac:dyDescent="0.3">
      <c r="A1974" t="s">
        <v>3011</v>
      </c>
      <c r="B1974" t="s">
        <v>3074</v>
      </c>
      <c r="C1974" t="s">
        <v>23</v>
      </c>
      <c r="D1974" t="s">
        <v>24</v>
      </c>
      <c r="E1974" t="s">
        <v>25</v>
      </c>
      <c r="F1974">
        <v>1</v>
      </c>
      <c r="G1974">
        <v>9791133198924</v>
      </c>
      <c r="H1974" t="s">
        <v>26</v>
      </c>
      <c r="I1974" t="s">
        <v>96</v>
      </c>
      <c r="J1974" t="s">
        <v>97</v>
      </c>
      <c r="K1974" t="s">
        <v>29</v>
      </c>
      <c r="L1974">
        <v>0</v>
      </c>
      <c r="M1974" t="s">
        <v>29</v>
      </c>
      <c r="N1974">
        <v>0</v>
      </c>
      <c r="O1974">
        <v>0</v>
      </c>
      <c r="P1974" t="s">
        <v>30</v>
      </c>
      <c r="Q1974" s="2">
        <v>0.7</v>
      </c>
      <c r="R1974">
        <v>0</v>
      </c>
      <c r="V1974" t="str">
        <f>VLOOKUP(H1974,'[1]팀별 출판사'!A:B,2,0)</f>
        <v>소설1팀</v>
      </c>
      <c r="W1974" s="6">
        <f t="shared" si="60"/>
        <v>0</v>
      </c>
      <c r="X1974" s="6">
        <f t="shared" si="61"/>
        <v>0</v>
      </c>
    </row>
    <row r="1975" spans="1:24" x14ac:dyDescent="0.3">
      <c r="A1975" t="s">
        <v>3011</v>
      </c>
      <c r="B1975" t="s">
        <v>3075</v>
      </c>
      <c r="C1975" t="s">
        <v>23</v>
      </c>
      <c r="D1975" t="s">
        <v>24</v>
      </c>
      <c r="E1975" t="s">
        <v>25</v>
      </c>
      <c r="F1975">
        <v>1</v>
      </c>
      <c r="G1975">
        <v>9791136916464</v>
      </c>
      <c r="H1975" t="s">
        <v>26</v>
      </c>
      <c r="I1975" t="s">
        <v>3076</v>
      </c>
      <c r="J1975" t="s">
        <v>62</v>
      </c>
      <c r="K1975" t="s">
        <v>29</v>
      </c>
      <c r="L1975" s="1">
        <v>3200</v>
      </c>
      <c r="M1975" t="s">
        <v>29</v>
      </c>
      <c r="N1975" s="1">
        <v>3200</v>
      </c>
      <c r="O1975" s="1">
        <v>3200</v>
      </c>
      <c r="P1975" t="s">
        <v>30</v>
      </c>
      <c r="Q1975" s="2">
        <v>0.7</v>
      </c>
      <c r="R1975" s="1">
        <v>2240</v>
      </c>
      <c r="S1975" t="s">
        <v>29</v>
      </c>
      <c r="T1975" s="1">
        <v>2240</v>
      </c>
      <c r="V1975" t="str">
        <f>VLOOKUP(H1975,'[1]팀별 출판사'!A:B,2,0)</f>
        <v>소설1팀</v>
      </c>
      <c r="W1975" s="6">
        <f t="shared" si="60"/>
        <v>0</v>
      </c>
      <c r="X1975" s="6">
        <f t="shared" si="61"/>
        <v>2240</v>
      </c>
    </row>
    <row r="1976" spans="1:24" x14ac:dyDescent="0.3">
      <c r="A1976" t="s">
        <v>3011</v>
      </c>
      <c r="B1976" t="s">
        <v>3077</v>
      </c>
      <c r="C1976" t="s">
        <v>23</v>
      </c>
      <c r="D1976" t="s">
        <v>24</v>
      </c>
      <c r="E1976" t="s">
        <v>25</v>
      </c>
      <c r="F1976">
        <v>1</v>
      </c>
      <c r="G1976">
        <v>9791172927844</v>
      </c>
      <c r="H1976" t="s">
        <v>79</v>
      </c>
      <c r="I1976" t="s">
        <v>1168</v>
      </c>
      <c r="J1976" t="s">
        <v>81</v>
      </c>
      <c r="K1976" t="s">
        <v>29</v>
      </c>
      <c r="L1976">
        <v>0</v>
      </c>
      <c r="M1976" t="s">
        <v>29</v>
      </c>
      <c r="N1976">
        <v>0</v>
      </c>
      <c r="O1976">
        <v>0</v>
      </c>
      <c r="P1976" t="s">
        <v>30</v>
      </c>
      <c r="Q1976" s="2">
        <v>0.7</v>
      </c>
      <c r="R1976">
        <v>0</v>
      </c>
      <c r="V1976" t="str">
        <f>VLOOKUP(H1976,'[1]팀별 출판사'!A:B,2,0)</f>
        <v>소설1팀</v>
      </c>
      <c r="W1976" s="6">
        <f t="shared" si="60"/>
        <v>0</v>
      </c>
      <c r="X1976" s="6">
        <f t="shared" si="61"/>
        <v>0</v>
      </c>
    </row>
    <row r="1977" spans="1:24" x14ac:dyDescent="0.3">
      <c r="A1977" t="s">
        <v>3011</v>
      </c>
      <c r="B1977" t="s">
        <v>3078</v>
      </c>
      <c r="C1977" t="s">
        <v>23</v>
      </c>
      <c r="D1977" t="s">
        <v>24</v>
      </c>
      <c r="E1977" t="s">
        <v>25</v>
      </c>
      <c r="F1977">
        <v>1</v>
      </c>
      <c r="G1977">
        <v>9791136930286</v>
      </c>
      <c r="H1977" t="s">
        <v>32</v>
      </c>
      <c r="I1977" t="s">
        <v>818</v>
      </c>
      <c r="J1977" t="s">
        <v>157</v>
      </c>
      <c r="K1977" t="s">
        <v>29</v>
      </c>
      <c r="L1977">
        <v>0</v>
      </c>
      <c r="M1977" t="s">
        <v>29</v>
      </c>
      <c r="N1977">
        <v>0</v>
      </c>
      <c r="O1977">
        <v>0</v>
      </c>
      <c r="P1977" t="s">
        <v>30</v>
      </c>
      <c r="Q1977" s="2">
        <v>0.7</v>
      </c>
      <c r="R1977">
        <v>0</v>
      </c>
      <c r="V1977" t="str">
        <f>VLOOKUP(H1977,'[1]팀별 출판사'!A:B,2,0)</f>
        <v>소설1팀</v>
      </c>
      <c r="W1977" s="6">
        <f t="shared" si="60"/>
        <v>0</v>
      </c>
      <c r="X1977" s="6">
        <f t="shared" si="61"/>
        <v>0</v>
      </c>
    </row>
    <row r="1978" spans="1:24" x14ac:dyDescent="0.3">
      <c r="A1978" t="s">
        <v>3011</v>
      </c>
      <c r="B1978" t="s">
        <v>3079</v>
      </c>
      <c r="C1978" t="s">
        <v>23</v>
      </c>
      <c r="D1978" t="s">
        <v>24</v>
      </c>
      <c r="E1978" t="s">
        <v>25</v>
      </c>
      <c r="F1978">
        <v>1</v>
      </c>
      <c r="G1978">
        <v>9791136930118</v>
      </c>
      <c r="H1978" t="s">
        <v>32</v>
      </c>
      <c r="I1978" t="s">
        <v>828</v>
      </c>
      <c r="J1978" t="s">
        <v>157</v>
      </c>
      <c r="K1978" t="s">
        <v>29</v>
      </c>
      <c r="L1978">
        <v>0</v>
      </c>
      <c r="M1978" t="s">
        <v>29</v>
      </c>
      <c r="N1978">
        <v>0</v>
      </c>
      <c r="O1978">
        <v>0</v>
      </c>
      <c r="P1978" t="s">
        <v>30</v>
      </c>
      <c r="Q1978" s="2">
        <v>0.7</v>
      </c>
      <c r="R1978">
        <v>0</v>
      </c>
      <c r="V1978" t="str">
        <f>VLOOKUP(H1978,'[1]팀별 출판사'!A:B,2,0)</f>
        <v>소설1팀</v>
      </c>
      <c r="W1978" s="6">
        <f t="shared" si="60"/>
        <v>0</v>
      </c>
      <c r="X1978" s="6">
        <f t="shared" si="61"/>
        <v>0</v>
      </c>
    </row>
    <row r="1979" spans="1:24" x14ac:dyDescent="0.3">
      <c r="A1979" t="s">
        <v>3011</v>
      </c>
      <c r="B1979" t="s">
        <v>3080</v>
      </c>
      <c r="C1979" t="s">
        <v>23</v>
      </c>
      <c r="D1979" t="s">
        <v>24</v>
      </c>
      <c r="E1979" t="s">
        <v>25</v>
      </c>
      <c r="F1979">
        <v>1</v>
      </c>
      <c r="G1979">
        <v>9791136941862</v>
      </c>
      <c r="H1979" t="s">
        <v>26</v>
      </c>
      <c r="I1979" t="s">
        <v>894</v>
      </c>
      <c r="J1979" t="s">
        <v>81</v>
      </c>
      <c r="K1979" t="s">
        <v>29</v>
      </c>
      <c r="L1979">
        <v>0</v>
      </c>
      <c r="M1979" t="s">
        <v>29</v>
      </c>
      <c r="N1979">
        <v>0</v>
      </c>
      <c r="O1979">
        <v>0</v>
      </c>
      <c r="P1979" t="s">
        <v>30</v>
      </c>
      <c r="Q1979" s="2">
        <v>0.7</v>
      </c>
      <c r="R1979">
        <v>0</v>
      </c>
      <c r="V1979" t="str">
        <f>VLOOKUP(H1979,'[1]팀별 출판사'!A:B,2,0)</f>
        <v>소설1팀</v>
      </c>
      <c r="W1979" s="6">
        <f t="shared" si="60"/>
        <v>0</v>
      </c>
      <c r="X1979" s="6">
        <f t="shared" si="61"/>
        <v>0</v>
      </c>
    </row>
    <row r="1980" spans="1:24" x14ac:dyDescent="0.3">
      <c r="A1980" t="s">
        <v>3011</v>
      </c>
      <c r="B1980" t="s">
        <v>3081</v>
      </c>
      <c r="C1980" t="s">
        <v>23</v>
      </c>
      <c r="D1980" t="s">
        <v>24</v>
      </c>
      <c r="E1980" t="s">
        <v>25</v>
      </c>
      <c r="F1980">
        <v>1</v>
      </c>
      <c r="G1980">
        <v>9791136927255</v>
      </c>
      <c r="H1980" t="s">
        <v>36</v>
      </c>
      <c r="I1980" t="s">
        <v>90</v>
      </c>
      <c r="J1980" t="s">
        <v>38</v>
      </c>
      <c r="K1980" t="s">
        <v>29</v>
      </c>
      <c r="L1980" s="1">
        <v>3300</v>
      </c>
      <c r="M1980" t="s">
        <v>70</v>
      </c>
      <c r="N1980">
        <v>2.2799999999999998</v>
      </c>
      <c r="O1980">
        <v>2.2799999999999998</v>
      </c>
      <c r="P1980" t="s">
        <v>3082</v>
      </c>
      <c r="Q1980" s="2">
        <v>0.7</v>
      </c>
      <c r="R1980">
        <v>1.6</v>
      </c>
      <c r="S1980" t="s">
        <v>29</v>
      </c>
      <c r="T1980" s="1">
        <v>2310</v>
      </c>
      <c r="U1980" s="3">
        <v>1443.82</v>
      </c>
      <c r="V1980" t="str">
        <f>VLOOKUP(H1980,'[1]팀별 출판사'!A:B,2,0)</f>
        <v>소설2팀</v>
      </c>
      <c r="W1980" s="6">
        <f t="shared" si="60"/>
        <v>0</v>
      </c>
      <c r="X1980" s="6">
        <f t="shared" si="61"/>
        <v>2310</v>
      </c>
    </row>
    <row r="1981" spans="1:24" x14ac:dyDescent="0.3">
      <c r="A1981" t="s">
        <v>3011</v>
      </c>
      <c r="B1981" t="s">
        <v>3083</v>
      </c>
      <c r="C1981" t="s">
        <v>23</v>
      </c>
      <c r="D1981" t="s">
        <v>24</v>
      </c>
      <c r="E1981" t="s">
        <v>25</v>
      </c>
      <c r="F1981">
        <v>1</v>
      </c>
      <c r="G1981">
        <v>9791136930156</v>
      </c>
      <c r="H1981" t="s">
        <v>32</v>
      </c>
      <c r="I1981" t="s">
        <v>702</v>
      </c>
      <c r="J1981" t="s">
        <v>34</v>
      </c>
      <c r="K1981" t="s">
        <v>29</v>
      </c>
      <c r="L1981">
        <v>0</v>
      </c>
      <c r="M1981" t="s">
        <v>29</v>
      </c>
      <c r="N1981">
        <v>0</v>
      </c>
      <c r="O1981">
        <v>0</v>
      </c>
      <c r="P1981" t="s">
        <v>30</v>
      </c>
      <c r="Q1981" s="2">
        <v>0.7</v>
      </c>
      <c r="R1981">
        <v>0</v>
      </c>
      <c r="V1981" t="str">
        <f>VLOOKUP(H1981,'[1]팀별 출판사'!A:B,2,0)</f>
        <v>소설1팀</v>
      </c>
      <c r="W1981" s="6">
        <f t="shared" si="60"/>
        <v>0</v>
      </c>
      <c r="X1981" s="6">
        <f t="shared" si="61"/>
        <v>0</v>
      </c>
    </row>
    <row r="1982" spans="1:24" x14ac:dyDescent="0.3">
      <c r="A1982" t="s">
        <v>3011</v>
      </c>
      <c r="B1982" t="s">
        <v>3084</v>
      </c>
      <c r="C1982" t="s">
        <v>23</v>
      </c>
      <c r="D1982" t="s">
        <v>24</v>
      </c>
      <c r="E1982" t="s">
        <v>25</v>
      </c>
      <c r="F1982">
        <v>1</v>
      </c>
      <c r="G1982">
        <v>9791133171507</v>
      </c>
      <c r="H1982" t="s">
        <v>26</v>
      </c>
      <c r="I1982" t="s">
        <v>3085</v>
      </c>
      <c r="J1982" t="s">
        <v>51</v>
      </c>
      <c r="K1982" t="s">
        <v>29</v>
      </c>
      <c r="L1982" s="1">
        <v>2500</v>
      </c>
      <c r="M1982" t="s">
        <v>29</v>
      </c>
      <c r="N1982" s="1">
        <v>2500</v>
      </c>
      <c r="O1982" s="1">
        <v>2500</v>
      </c>
      <c r="P1982" t="s">
        <v>30</v>
      </c>
      <c r="Q1982" s="2">
        <v>0.7</v>
      </c>
      <c r="R1982" s="1">
        <v>1750</v>
      </c>
      <c r="S1982" t="s">
        <v>29</v>
      </c>
      <c r="T1982" s="1">
        <v>1750</v>
      </c>
      <c r="V1982" t="str">
        <f>VLOOKUP(H1982,'[1]팀별 출판사'!A:B,2,0)</f>
        <v>소설1팀</v>
      </c>
      <c r="W1982" s="6">
        <f t="shared" si="60"/>
        <v>0</v>
      </c>
      <c r="X1982" s="6">
        <f t="shared" si="61"/>
        <v>1750</v>
      </c>
    </row>
    <row r="1983" spans="1:24" x14ac:dyDescent="0.3">
      <c r="A1983" t="s">
        <v>3011</v>
      </c>
      <c r="B1983" t="s">
        <v>3086</v>
      </c>
      <c r="C1983" t="s">
        <v>23</v>
      </c>
      <c r="D1983" t="s">
        <v>24</v>
      </c>
      <c r="E1983" t="s">
        <v>25</v>
      </c>
      <c r="F1983">
        <v>1</v>
      </c>
      <c r="G1983">
        <v>9791136999672</v>
      </c>
      <c r="H1983" t="s">
        <v>26</v>
      </c>
      <c r="I1983" t="s">
        <v>3087</v>
      </c>
      <c r="J1983" t="s">
        <v>937</v>
      </c>
      <c r="K1983" t="s">
        <v>29</v>
      </c>
      <c r="L1983" s="1">
        <v>3200</v>
      </c>
      <c r="M1983" t="s">
        <v>29</v>
      </c>
      <c r="N1983" s="1">
        <v>3200</v>
      </c>
      <c r="O1983" s="1">
        <v>3200</v>
      </c>
      <c r="P1983" t="s">
        <v>30</v>
      </c>
      <c r="Q1983" s="2">
        <v>0.7</v>
      </c>
      <c r="R1983" s="1">
        <v>2240</v>
      </c>
      <c r="S1983" t="s">
        <v>29</v>
      </c>
      <c r="T1983" s="1">
        <v>2240</v>
      </c>
      <c r="V1983" t="str">
        <f>VLOOKUP(H1983,'[1]팀별 출판사'!A:B,2,0)</f>
        <v>소설1팀</v>
      </c>
      <c r="W1983" s="6">
        <f t="shared" si="60"/>
        <v>0</v>
      </c>
      <c r="X1983" s="6">
        <f t="shared" si="61"/>
        <v>2240</v>
      </c>
    </row>
    <row r="1984" spans="1:24" x14ac:dyDescent="0.3">
      <c r="A1984" t="s">
        <v>3011</v>
      </c>
      <c r="B1984" t="s">
        <v>3088</v>
      </c>
      <c r="C1984" t="s">
        <v>23</v>
      </c>
      <c r="D1984" t="s">
        <v>24</v>
      </c>
      <c r="E1984" t="s">
        <v>25</v>
      </c>
      <c r="F1984">
        <v>1</v>
      </c>
      <c r="G1984">
        <v>9791136965455</v>
      </c>
      <c r="H1984" t="s">
        <v>26</v>
      </c>
      <c r="I1984" t="s">
        <v>472</v>
      </c>
      <c r="J1984" t="s">
        <v>157</v>
      </c>
      <c r="K1984" t="s">
        <v>29</v>
      </c>
      <c r="L1984">
        <v>0</v>
      </c>
      <c r="M1984" t="s">
        <v>152</v>
      </c>
      <c r="N1984">
        <v>0</v>
      </c>
      <c r="O1984">
        <v>0</v>
      </c>
      <c r="P1984" t="s">
        <v>153</v>
      </c>
      <c r="Q1984" s="2">
        <v>0.7</v>
      </c>
      <c r="R1984">
        <v>0</v>
      </c>
      <c r="V1984" t="str">
        <f>VLOOKUP(H1984,'[1]팀별 출판사'!A:B,2,0)</f>
        <v>소설1팀</v>
      </c>
      <c r="W1984" s="6">
        <f t="shared" si="60"/>
        <v>0</v>
      </c>
      <c r="X1984" s="6">
        <f t="shared" si="61"/>
        <v>0</v>
      </c>
    </row>
    <row r="1985" spans="1:24" x14ac:dyDescent="0.3">
      <c r="A1985" t="s">
        <v>3011</v>
      </c>
      <c r="B1985" t="s">
        <v>3089</v>
      </c>
      <c r="C1985" t="s">
        <v>23</v>
      </c>
      <c r="D1985" t="s">
        <v>24</v>
      </c>
      <c r="E1985" t="s">
        <v>25</v>
      </c>
      <c r="F1985">
        <v>1</v>
      </c>
      <c r="G1985">
        <v>9791194664369</v>
      </c>
      <c r="H1985" t="s">
        <v>79</v>
      </c>
      <c r="I1985" t="s">
        <v>156</v>
      </c>
      <c r="J1985" t="s">
        <v>157</v>
      </c>
      <c r="K1985" t="s">
        <v>29</v>
      </c>
      <c r="L1985">
        <v>0</v>
      </c>
      <c r="M1985" t="s">
        <v>152</v>
      </c>
      <c r="N1985">
        <v>0</v>
      </c>
      <c r="O1985">
        <v>0</v>
      </c>
      <c r="P1985" t="s">
        <v>153</v>
      </c>
      <c r="Q1985" s="2">
        <v>0.7</v>
      </c>
      <c r="R1985">
        <v>0</v>
      </c>
      <c r="V1985" t="str">
        <f>VLOOKUP(H1985,'[1]팀별 출판사'!A:B,2,0)</f>
        <v>소설1팀</v>
      </c>
      <c r="W1985" s="6">
        <f t="shared" si="60"/>
        <v>0</v>
      </c>
      <c r="X1985" s="6">
        <f t="shared" si="61"/>
        <v>0</v>
      </c>
    </row>
    <row r="1986" spans="1:24" x14ac:dyDescent="0.3">
      <c r="A1986" t="s">
        <v>3011</v>
      </c>
      <c r="B1986" t="s">
        <v>3090</v>
      </c>
      <c r="C1986" t="s">
        <v>23</v>
      </c>
      <c r="D1986" t="s">
        <v>24</v>
      </c>
      <c r="E1986" t="s">
        <v>25</v>
      </c>
      <c r="F1986">
        <v>1</v>
      </c>
      <c r="G1986">
        <v>9791136930811</v>
      </c>
      <c r="H1986" t="s">
        <v>32</v>
      </c>
      <c r="I1986" t="s">
        <v>1011</v>
      </c>
      <c r="J1986" t="s">
        <v>34</v>
      </c>
      <c r="K1986" t="s">
        <v>29</v>
      </c>
      <c r="L1986">
        <v>0</v>
      </c>
      <c r="M1986" t="s">
        <v>29</v>
      </c>
      <c r="N1986">
        <v>0</v>
      </c>
      <c r="O1986">
        <v>0</v>
      </c>
      <c r="P1986" t="s">
        <v>30</v>
      </c>
      <c r="Q1986" s="2">
        <v>0.7</v>
      </c>
      <c r="R1986">
        <v>0</v>
      </c>
      <c r="V1986" t="str">
        <f>VLOOKUP(H1986,'[1]팀별 출판사'!A:B,2,0)</f>
        <v>소설1팀</v>
      </c>
      <c r="W1986" s="6">
        <f t="shared" ref="W1986:W2049" si="62">IF(P1986="US", T1986*30%, 0)</f>
        <v>0</v>
      </c>
      <c r="X1986" s="6">
        <f t="shared" ref="X1986:X2049" si="63">T1986-W1986</f>
        <v>0</v>
      </c>
    </row>
    <row r="1987" spans="1:24" x14ac:dyDescent="0.3">
      <c r="A1987" t="s">
        <v>3011</v>
      </c>
      <c r="B1987" t="s">
        <v>3091</v>
      </c>
      <c r="C1987" t="s">
        <v>23</v>
      </c>
      <c r="D1987" t="s">
        <v>24</v>
      </c>
      <c r="E1987" t="s">
        <v>25</v>
      </c>
      <c r="F1987">
        <v>1</v>
      </c>
      <c r="G1987">
        <v>9791136931382</v>
      </c>
      <c r="H1987" t="s">
        <v>32</v>
      </c>
      <c r="I1987" t="s">
        <v>523</v>
      </c>
      <c r="J1987" t="s">
        <v>46</v>
      </c>
      <c r="K1987" t="s">
        <v>29</v>
      </c>
      <c r="L1987">
        <v>0</v>
      </c>
      <c r="M1987" t="s">
        <v>47</v>
      </c>
      <c r="N1987">
        <v>0</v>
      </c>
      <c r="O1987">
        <v>0</v>
      </c>
      <c r="P1987" t="s">
        <v>48</v>
      </c>
      <c r="Q1987" s="2">
        <v>0.7</v>
      </c>
      <c r="R1987">
        <v>0</v>
      </c>
      <c r="V1987" t="str">
        <f>VLOOKUP(H1987,'[1]팀별 출판사'!A:B,2,0)</f>
        <v>소설1팀</v>
      </c>
      <c r="W1987" s="6">
        <f t="shared" si="62"/>
        <v>0</v>
      </c>
      <c r="X1987" s="6">
        <f t="shared" si="63"/>
        <v>0</v>
      </c>
    </row>
    <row r="1988" spans="1:24" x14ac:dyDescent="0.3">
      <c r="A1988" t="s">
        <v>3011</v>
      </c>
      <c r="B1988" t="s">
        <v>3092</v>
      </c>
      <c r="C1988" t="s">
        <v>23</v>
      </c>
      <c r="D1988" t="s">
        <v>24</v>
      </c>
      <c r="E1988" t="s">
        <v>25</v>
      </c>
      <c r="F1988">
        <v>1</v>
      </c>
      <c r="G1988">
        <v>9791175303966</v>
      </c>
      <c r="H1988" t="s">
        <v>79</v>
      </c>
      <c r="I1988" t="s">
        <v>570</v>
      </c>
      <c r="J1988" t="s">
        <v>571</v>
      </c>
      <c r="K1988" t="s">
        <v>29</v>
      </c>
      <c r="L1988">
        <v>0</v>
      </c>
      <c r="M1988" t="s">
        <v>29</v>
      </c>
      <c r="N1988">
        <v>0</v>
      </c>
      <c r="O1988">
        <v>0</v>
      </c>
      <c r="P1988" t="s">
        <v>30</v>
      </c>
      <c r="Q1988" s="2">
        <v>0.7</v>
      </c>
      <c r="R1988">
        <v>0</v>
      </c>
      <c r="V1988" t="str">
        <f>VLOOKUP(H1988,'[1]팀별 출판사'!A:B,2,0)</f>
        <v>소설1팀</v>
      </c>
      <c r="W1988" s="6">
        <f t="shared" si="62"/>
        <v>0</v>
      </c>
      <c r="X1988" s="6">
        <f t="shared" si="63"/>
        <v>0</v>
      </c>
    </row>
    <row r="1989" spans="1:24" x14ac:dyDescent="0.3">
      <c r="A1989" t="s">
        <v>3011</v>
      </c>
      <c r="B1989" t="s">
        <v>3093</v>
      </c>
      <c r="C1989" t="s">
        <v>23</v>
      </c>
      <c r="D1989" t="s">
        <v>24</v>
      </c>
      <c r="E1989" t="s">
        <v>25</v>
      </c>
      <c r="F1989">
        <v>1</v>
      </c>
      <c r="G1989">
        <v>9791136930880</v>
      </c>
      <c r="H1989" t="s">
        <v>32</v>
      </c>
      <c r="I1989" t="s">
        <v>59</v>
      </c>
      <c r="J1989" t="s">
        <v>34</v>
      </c>
      <c r="K1989" t="s">
        <v>29</v>
      </c>
      <c r="L1989">
        <v>0</v>
      </c>
      <c r="M1989" t="s">
        <v>29</v>
      </c>
      <c r="N1989">
        <v>0</v>
      </c>
      <c r="O1989">
        <v>0</v>
      </c>
      <c r="P1989" t="s">
        <v>30</v>
      </c>
      <c r="Q1989" s="2">
        <v>0.7</v>
      </c>
      <c r="R1989">
        <v>0</v>
      </c>
      <c r="V1989" t="str">
        <f>VLOOKUP(H1989,'[1]팀별 출판사'!A:B,2,0)</f>
        <v>소설1팀</v>
      </c>
      <c r="W1989" s="6">
        <f t="shared" si="62"/>
        <v>0</v>
      </c>
      <c r="X1989" s="6">
        <f t="shared" si="63"/>
        <v>0</v>
      </c>
    </row>
    <row r="1990" spans="1:24" x14ac:dyDescent="0.3">
      <c r="A1990" t="s">
        <v>3011</v>
      </c>
      <c r="B1990" t="s">
        <v>3094</v>
      </c>
      <c r="C1990" t="s">
        <v>23</v>
      </c>
      <c r="D1990" t="s">
        <v>24</v>
      </c>
      <c r="E1990" t="s">
        <v>25</v>
      </c>
      <c r="F1990">
        <v>1</v>
      </c>
      <c r="G1990">
        <v>9791136930910</v>
      </c>
      <c r="H1990" t="s">
        <v>32</v>
      </c>
      <c r="I1990" t="s">
        <v>872</v>
      </c>
      <c r="J1990" t="s">
        <v>34</v>
      </c>
      <c r="K1990" t="s">
        <v>29</v>
      </c>
      <c r="L1990">
        <v>0</v>
      </c>
      <c r="M1990" t="s">
        <v>29</v>
      </c>
      <c r="N1990">
        <v>0</v>
      </c>
      <c r="O1990">
        <v>0</v>
      </c>
      <c r="P1990" t="s">
        <v>30</v>
      </c>
      <c r="Q1990" s="2">
        <v>0.7</v>
      </c>
      <c r="R1990">
        <v>0</v>
      </c>
      <c r="V1990" t="str">
        <f>VLOOKUP(H1990,'[1]팀별 출판사'!A:B,2,0)</f>
        <v>소설1팀</v>
      </c>
      <c r="W1990" s="6">
        <f t="shared" si="62"/>
        <v>0</v>
      </c>
      <c r="X1990" s="6">
        <f t="shared" si="63"/>
        <v>0</v>
      </c>
    </row>
    <row r="1991" spans="1:24" x14ac:dyDescent="0.3">
      <c r="A1991" t="s">
        <v>3011</v>
      </c>
      <c r="B1991" t="s">
        <v>3095</v>
      </c>
      <c r="C1991" t="s">
        <v>23</v>
      </c>
      <c r="D1991" t="s">
        <v>24</v>
      </c>
      <c r="E1991" t="s">
        <v>25</v>
      </c>
      <c r="F1991">
        <v>1</v>
      </c>
      <c r="G1991">
        <v>9791136941862</v>
      </c>
      <c r="H1991" t="s">
        <v>26</v>
      </c>
      <c r="I1991" t="s">
        <v>894</v>
      </c>
      <c r="J1991" t="s">
        <v>81</v>
      </c>
      <c r="K1991" t="s">
        <v>29</v>
      </c>
      <c r="L1991">
        <v>0</v>
      </c>
      <c r="M1991" t="s">
        <v>127</v>
      </c>
      <c r="N1991">
        <v>0</v>
      </c>
      <c r="O1991">
        <v>0</v>
      </c>
      <c r="P1991" t="s">
        <v>128</v>
      </c>
      <c r="Q1991" s="2">
        <v>0.7</v>
      </c>
      <c r="R1991">
        <v>0</v>
      </c>
      <c r="V1991" t="str">
        <f>VLOOKUP(H1991,'[1]팀별 출판사'!A:B,2,0)</f>
        <v>소설1팀</v>
      </c>
      <c r="W1991" s="6">
        <f t="shared" si="62"/>
        <v>0</v>
      </c>
      <c r="X1991" s="6">
        <f t="shared" si="63"/>
        <v>0</v>
      </c>
    </row>
    <row r="1992" spans="1:24" x14ac:dyDescent="0.3">
      <c r="A1992" t="s">
        <v>3011</v>
      </c>
      <c r="B1992" t="s">
        <v>3096</v>
      </c>
      <c r="C1992" t="s">
        <v>23</v>
      </c>
      <c r="D1992" t="s">
        <v>24</v>
      </c>
      <c r="E1992" t="s">
        <v>25</v>
      </c>
      <c r="F1992">
        <v>1</v>
      </c>
      <c r="G1992">
        <v>9791136930811</v>
      </c>
      <c r="H1992" t="s">
        <v>32</v>
      </c>
      <c r="I1992" t="s">
        <v>1011</v>
      </c>
      <c r="J1992" t="s">
        <v>34</v>
      </c>
      <c r="K1992" t="s">
        <v>29</v>
      </c>
      <c r="L1992">
        <v>0</v>
      </c>
      <c r="M1992" t="s">
        <v>127</v>
      </c>
      <c r="N1992">
        <v>0</v>
      </c>
      <c r="O1992">
        <v>0</v>
      </c>
      <c r="P1992" t="s">
        <v>128</v>
      </c>
      <c r="Q1992" s="2">
        <v>0.7</v>
      </c>
      <c r="R1992">
        <v>0</v>
      </c>
      <c r="V1992" t="str">
        <f>VLOOKUP(H1992,'[1]팀별 출판사'!A:B,2,0)</f>
        <v>소설1팀</v>
      </c>
      <c r="W1992" s="6">
        <f t="shared" si="62"/>
        <v>0</v>
      </c>
      <c r="X1992" s="6">
        <f t="shared" si="63"/>
        <v>0</v>
      </c>
    </row>
    <row r="1993" spans="1:24" x14ac:dyDescent="0.3">
      <c r="A1993" t="s">
        <v>3011</v>
      </c>
      <c r="B1993" t="s">
        <v>3097</v>
      </c>
      <c r="C1993" t="s">
        <v>23</v>
      </c>
      <c r="D1993" t="s">
        <v>24</v>
      </c>
      <c r="E1993" t="s">
        <v>25</v>
      </c>
      <c r="F1993">
        <v>1</v>
      </c>
      <c r="G1993">
        <v>9791136935496</v>
      </c>
      <c r="H1993" t="s">
        <v>32</v>
      </c>
      <c r="I1993" t="s">
        <v>441</v>
      </c>
      <c r="J1993" t="s">
        <v>442</v>
      </c>
      <c r="K1993" t="s">
        <v>29</v>
      </c>
      <c r="L1993">
        <v>0</v>
      </c>
      <c r="M1993" t="s">
        <v>29</v>
      </c>
      <c r="N1993">
        <v>0</v>
      </c>
      <c r="O1993">
        <v>0</v>
      </c>
      <c r="P1993" t="s">
        <v>30</v>
      </c>
      <c r="Q1993" s="2">
        <v>0.7</v>
      </c>
      <c r="R1993">
        <v>0</v>
      </c>
      <c r="V1993" t="str">
        <f>VLOOKUP(H1993,'[1]팀별 출판사'!A:B,2,0)</f>
        <v>소설1팀</v>
      </c>
      <c r="W1993" s="6">
        <f t="shared" si="62"/>
        <v>0</v>
      </c>
      <c r="X1993" s="6">
        <f t="shared" si="63"/>
        <v>0</v>
      </c>
    </row>
    <row r="1994" spans="1:24" x14ac:dyDescent="0.3">
      <c r="A1994" t="s">
        <v>3011</v>
      </c>
      <c r="B1994" t="s">
        <v>3098</v>
      </c>
      <c r="C1994" t="s">
        <v>23</v>
      </c>
      <c r="D1994" t="s">
        <v>24</v>
      </c>
      <c r="E1994" t="s">
        <v>25</v>
      </c>
      <c r="F1994">
        <v>1</v>
      </c>
      <c r="G1994">
        <v>9791136931382</v>
      </c>
      <c r="H1994" t="s">
        <v>32</v>
      </c>
      <c r="I1994" t="s">
        <v>523</v>
      </c>
      <c r="J1994" t="s">
        <v>46</v>
      </c>
      <c r="K1994" t="s">
        <v>29</v>
      </c>
      <c r="L1994">
        <v>0</v>
      </c>
      <c r="M1994" t="s">
        <v>29</v>
      </c>
      <c r="N1994">
        <v>0</v>
      </c>
      <c r="O1994">
        <v>0</v>
      </c>
      <c r="P1994" t="s">
        <v>30</v>
      </c>
      <c r="Q1994" s="2">
        <v>0.7</v>
      </c>
      <c r="R1994">
        <v>0</v>
      </c>
      <c r="V1994" t="str">
        <f>VLOOKUP(H1994,'[1]팀별 출판사'!A:B,2,0)</f>
        <v>소설1팀</v>
      </c>
      <c r="W1994" s="6">
        <f t="shared" si="62"/>
        <v>0</v>
      </c>
      <c r="X1994" s="6">
        <f t="shared" si="63"/>
        <v>0</v>
      </c>
    </row>
    <row r="1995" spans="1:24" x14ac:dyDescent="0.3">
      <c r="A1995" t="s">
        <v>3011</v>
      </c>
      <c r="B1995" t="s">
        <v>3099</v>
      </c>
      <c r="C1995" t="s">
        <v>23</v>
      </c>
      <c r="D1995" t="s">
        <v>24</v>
      </c>
      <c r="E1995" t="s">
        <v>25</v>
      </c>
      <c r="F1995">
        <v>1</v>
      </c>
      <c r="G1995">
        <v>9791172927844</v>
      </c>
      <c r="H1995" t="s">
        <v>79</v>
      </c>
      <c r="I1995" t="s">
        <v>1168</v>
      </c>
      <c r="J1995" t="s">
        <v>81</v>
      </c>
      <c r="K1995" t="s">
        <v>29</v>
      </c>
      <c r="L1995">
        <v>0</v>
      </c>
      <c r="M1995" t="s">
        <v>29</v>
      </c>
      <c r="N1995">
        <v>0</v>
      </c>
      <c r="O1995">
        <v>0</v>
      </c>
      <c r="P1995" t="s">
        <v>30</v>
      </c>
      <c r="Q1995" s="2">
        <v>0.7</v>
      </c>
      <c r="R1995">
        <v>0</v>
      </c>
      <c r="V1995" t="str">
        <f>VLOOKUP(H1995,'[1]팀별 출판사'!A:B,2,0)</f>
        <v>소설1팀</v>
      </c>
      <c r="W1995" s="6">
        <f t="shared" si="62"/>
        <v>0</v>
      </c>
      <c r="X1995" s="6">
        <f t="shared" si="63"/>
        <v>0</v>
      </c>
    </row>
    <row r="1996" spans="1:24" x14ac:dyDescent="0.3">
      <c r="A1996" t="s">
        <v>3011</v>
      </c>
      <c r="B1996" t="s">
        <v>3100</v>
      </c>
      <c r="C1996" t="s">
        <v>23</v>
      </c>
      <c r="D1996" t="s">
        <v>24</v>
      </c>
      <c r="E1996" t="s">
        <v>25</v>
      </c>
      <c r="F1996">
        <v>1</v>
      </c>
      <c r="G1996">
        <v>9791173786136</v>
      </c>
      <c r="H1996" t="s">
        <v>79</v>
      </c>
      <c r="I1996" t="s">
        <v>1476</v>
      </c>
      <c r="J1996" t="s">
        <v>81</v>
      </c>
      <c r="K1996" t="s">
        <v>29</v>
      </c>
      <c r="L1996">
        <v>0</v>
      </c>
      <c r="M1996" t="s">
        <v>29</v>
      </c>
      <c r="N1996">
        <v>0</v>
      </c>
      <c r="O1996">
        <v>0</v>
      </c>
      <c r="P1996" t="s">
        <v>30</v>
      </c>
      <c r="Q1996" s="2">
        <v>0.7</v>
      </c>
      <c r="R1996">
        <v>0</v>
      </c>
      <c r="V1996" t="str">
        <f>VLOOKUP(H1996,'[1]팀별 출판사'!A:B,2,0)</f>
        <v>소설1팀</v>
      </c>
      <c r="W1996" s="6">
        <f t="shared" si="62"/>
        <v>0</v>
      </c>
      <c r="X1996" s="6">
        <f t="shared" si="63"/>
        <v>0</v>
      </c>
    </row>
    <row r="1997" spans="1:24" x14ac:dyDescent="0.3">
      <c r="A1997" t="s">
        <v>3011</v>
      </c>
      <c r="B1997" t="s">
        <v>3101</v>
      </c>
      <c r="C1997" t="s">
        <v>23</v>
      </c>
      <c r="D1997" t="s">
        <v>24</v>
      </c>
      <c r="E1997" t="s">
        <v>25</v>
      </c>
      <c r="F1997">
        <v>1</v>
      </c>
      <c r="G1997">
        <v>9791172920937</v>
      </c>
      <c r="H1997" t="s">
        <v>79</v>
      </c>
      <c r="I1997" t="s">
        <v>80</v>
      </c>
      <c r="J1997" t="s">
        <v>81</v>
      </c>
      <c r="K1997" t="s">
        <v>29</v>
      </c>
      <c r="L1997">
        <v>0</v>
      </c>
      <c r="M1997" t="s">
        <v>29</v>
      </c>
      <c r="N1997">
        <v>0</v>
      </c>
      <c r="O1997">
        <v>0</v>
      </c>
      <c r="P1997" t="s">
        <v>30</v>
      </c>
      <c r="Q1997" s="2">
        <v>0.7</v>
      </c>
      <c r="R1997">
        <v>0</v>
      </c>
      <c r="V1997" t="str">
        <f>VLOOKUP(H1997,'[1]팀별 출판사'!A:B,2,0)</f>
        <v>소설1팀</v>
      </c>
      <c r="W1997" s="6">
        <f t="shared" si="62"/>
        <v>0</v>
      </c>
      <c r="X1997" s="6">
        <f t="shared" si="63"/>
        <v>0</v>
      </c>
    </row>
    <row r="1998" spans="1:24" x14ac:dyDescent="0.3">
      <c r="A1998" t="s">
        <v>3011</v>
      </c>
      <c r="B1998" t="s">
        <v>3102</v>
      </c>
      <c r="C1998" t="s">
        <v>23</v>
      </c>
      <c r="D1998" t="s">
        <v>24</v>
      </c>
      <c r="E1998" t="s">
        <v>25</v>
      </c>
      <c r="F1998">
        <v>1</v>
      </c>
      <c r="G1998">
        <v>9791133171514</v>
      </c>
      <c r="H1998" t="s">
        <v>26</v>
      </c>
      <c r="I1998" t="s">
        <v>3103</v>
      </c>
      <c r="J1998" t="s">
        <v>51</v>
      </c>
      <c r="K1998" t="s">
        <v>29</v>
      </c>
      <c r="L1998" s="1">
        <v>2500</v>
      </c>
      <c r="M1998" t="s">
        <v>29</v>
      </c>
      <c r="N1998" s="1">
        <v>2500</v>
      </c>
      <c r="O1998" s="1">
        <v>2500</v>
      </c>
      <c r="P1998" t="s">
        <v>30</v>
      </c>
      <c r="Q1998" s="2">
        <v>0.7</v>
      </c>
      <c r="R1998" s="1">
        <v>1750</v>
      </c>
      <c r="S1998" t="s">
        <v>29</v>
      </c>
      <c r="T1998" s="1">
        <v>1750</v>
      </c>
      <c r="V1998" t="str">
        <f>VLOOKUP(H1998,'[1]팀별 출판사'!A:B,2,0)</f>
        <v>소설1팀</v>
      </c>
      <c r="W1998" s="6">
        <f t="shared" si="62"/>
        <v>0</v>
      </c>
      <c r="X1998" s="6">
        <f t="shared" si="63"/>
        <v>1750</v>
      </c>
    </row>
    <row r="1999" spans="1:24" x14ac:dyDescent="0.3">
      <c r="A1999" t="s">
        <v>3011</v>
      </c>
      <c r="B1999" t="s">
        <v>3104</v>
      </c>
      <c r="C1999" t="s">
        <v>23</v>
      </c>
      <c r="D1999" t="s">
        <v>24</v>
      </c>
      <c r="E1999" t="s">
        <v>25</v>
      </c>
      <c r="F1999">
        <v>1</v>
      </c>
      <c r="G1999">
        <v>9791172924348</v>
      </c>
      <c r="H1999" t="s">
        <v>1311</v>
      </c>
      <c r="I1999" t="s">
        <v>3105</v>
      </c>
      <c r="J1999" t="s">
        <v>1313</v>
      </c>
      <c r="K1999" t="s">
        <v>29</v>
      </c>
      <c r="L1999" s="1">
        <v>3000</v>
      </c>
      <c r="M1999" t="s">
        <v>29</v>
      </c>
      <c r="N1999" s="1">
        <v>3000</v>
      </c>
      <c r="O1999" s="1">
        <v>3000</v>
      </c>
      <c r="P1999" t="s">
        <v>30</v>
      </c>
      <c r="Q1999" s="2">
        <v>0.7</v>
      </c>
      <c r="R1999" s="1">
        <v>2100</v>
      </c>
      <c r="S1999" t="s">
        <v>29</v>
      </c>
      <c r="T1999" s="1">
        <v>2100</v>
      </c>
      <c r="V1999" t="str">
        <f>VLOOKUP(H1999,'[1]팀별 출판사'!A:B,2,0)</f>
        <v>소설2팀</v>
      </c>
      <c r="W1999" s="6">
        <f t="shared" si="62"/>
        <v>0</v>
      </c>
      <c r="X1999" s="6">
        <f t="shared" si="63"/>
        <v>2100</v>
      </c>
    </row>
    <row r="2000" spans="1:24" x14ac:dyDescent="0.3">
      <c r="A2000" t="s">
        <v>3011</v>
      </c>
      <c r="B2000" t="s">
        <v>3104</v>
      </c>
      <c r="C2000" t="s">
        <v>23</v>
      </c>
      <c r="D2000" t="s">
        <v>24</v>
      </c>
      <c r="E2000" t="s">
        <v>25</v>
      </c>
      <c r="F2000">
        <v>1</v>
      </c>
      <c r="G2000">
        <v>9791172924362</v>
      </c>
      <c r="H2000" t="s">
        <v>1311</v>
      </c>
      <c r="I2000" t="s">
        <v>3106</v>
      </c>
      <c r="J2000" t="s">
        <v>1313</v>
      </c>
      <c r="K2000" t="s">
        <v>29</v>
      </c>
      <c r="L2000" s="1">
        <v>3000</v>
      </c>
      <c r="M2000" t="s">
        <v>29</v>
      </c>
      <c r="N2000" s="1">
        <v>3000</v>
      </c>
      <c r="O2000" s="1">
        <v>3000</v>
      </c>
      <c r="P2000" t="s">
        <v>30</v>
      </c>
      <c r="Q2000" s="2">
        <v>0.7</v>
      </c>
      <c r="R2000" s="1">
        <v>2100</v>
      </c>
      <c r="S2000" t="s">
        <v>29</v>
      </c>
      <c r="T2000" s="1">
        <v>2100</v>
      </c>
      <c r="V2000" t="str">
        <f>VLOOKUP(H2000,'[1]팀별 출판사'!A:B,2,0)</f>
        <v>소설2팀</v>
      </c>
      <c r="W2000" s="6">
        <f t="shared" si="62"/>
        <v>0</v>
      </c>
      <c r="X2000" s="6">
        <f t="shared" si="63"/>
        <v>2100</v>
      </c>
    </row>
    <row r="2001" spans="1:24" x14ac:dyDescent="0.3">
      <c r="A2001" t="s">
        <v>3011</v>
      </c>
      <c r="B2001" t="s">
        <v>3107</v>
      </c>
      <c r="C2001" t="s">
        <v>23</v>
      </c>
      <c r="D2001" t="s">
        <v>24</v>
      </c>
      <c r="E2001" t="s">
        <v>25</v>
      </c>
      <c r="F2001">
        <v>1</v>
      </c>
      <c r="G2001">
        <v>9791136935496</v>
      </c>
      <c r="H2001" t="s">
        <v>32</v>
      </c>
      <c r="I2001" t="s">
        <v>441</v>
      </c>
      <c r="J2001" t="s">
        <v>442</v>
      </c>
      <c r="K2001" t="s">
        <v>29</v>
      </c>
      <c r="L2001">
        <v>0</v>
      </c>
      <c r="M2001" t="s">
        <v>29</v>
      </c>
      <c r="N2001">
        <v>0</v>
      </c>
      <c r="O2001">
        <v>0</v>
      </c>
      <c r="P2001" t="s">
        <v>30</v>
      </c>
      <c r="Q2001" s="2">
        <v>0.7</v>
      </c>
      <c r="R2001">
        <v>0</v>
      </c>
      <c r="V2001" t="str">
        <f>VLOOKUP(H2001,'[1]팀별 출판사'!A:B,2,0)</f>
        <v>소설1팀</v>
      </c>
      <c r="W2001" s="6">
        <f t="shared" si="62"/>
        <v>0</v>
      </c>
      <c r="X2001" s="6">
        <f t="shared" si="63"/>
        <v>0</v>
      </c>
    </row>
    <row r="2002" spans="1:24" x14ac:dyDescent="0.3">
      <c r="A2002" t="s">
        <v>3011</v>
      </c>
      <c r="B2002" t="s">
        <v>3108</v>
      </c>
      <c r="C2002" t="s">
        <v>23</v>
      </c>
      <c r="D2002" t="s">
        <v>24</v>
      </c>
      <c r="E2002" t="s">
        <v>25</v>
      </c>
      <c r="F2002">
        <v>1</v>
      </c>
      <c r="G2002">
        <v>9791136930750</v>
      </c>
      <c r="H2002" t="s">
        <v>32</v>
      </c>
      <c r="I2002" t="s">
        <v>656</v>
      </c>
      <c r="J2002" t="s">
        <v>157</v>
      </c>
      <c r="K2002" t="s">
        <v>29</v>
      </c>
      <c r="L2002">
        <v>0</v>
      </c>
      <c r="M2002" t="s">
        <v>29</v>
      </c>
      <c r="N2002">
        <v>0</v>
      </c>
      <c r="O2002">
        <v>0</v>
      </c>
      <c r="P2002" t="s">
        <v>30</v>
      </c>
      <c r="Q2002" s="2">
        <v>0.7</v>
      </c>
      <c r="R2002">
        <v>0</v>
      </c>
      <c r="V2002" t="str">
        <f>VLOOKUP(H2002,'[1]팀별 출판사'!A:B,2,0)</f>
        <v>소설1팀</v>
      </c>
      <c r="W2002" s="6">
        <f t="shared" si="62"/>
        <v>0</v>
      </c>
      <c r="X2002" s="6">
        <f t="shared" si="63"/>
        <v>0</v>
      </c>
    </row>
    <row r="2003" spans="1:24" x14ac:dyDescent="0.3">
      <c r="A2003" t="s">
        <v>3011</v>
      </c>
      <c r="B2003" t="s">
        <v>3109</v>
      </c>
      <c r="C2003" t="s">
        <v>23</v>
      </c>
      <c r="D2003" t="s">
        <v>24</v>
      </c>
      <c r="E2003" t="s">
        <v>25</v>
      </c>
      <c r="F2003">
        <v>1</v>
      </c>
      <c r="G2003">
        <v>9791136914675</v>
      </c>
      <c r="H2003" t="s">
        <v>26</v>
      </c>
      <c r="I2003" t="s">
        <v>3110</v>
      </c>
      <c r="J2003" t="s">
        <v>300</v>
      </c>
      <c r="K2003" t="s">
        <v>29</v>
      </c>
      <c r="L2003">
        <v>0</v>
      </c>
      <c r="M2003" t="s">
        <v>39</v>
      </c>
      <c r="N2003">
        <v>0</v>
      </c>
      <c r="O2003">
        <v>0</v>
      </c>
      <c r="P2003" t="s">
        <v>3111</v>
      </c>
      <c r="Q2003" s="2">
        <v>0.7</v>
      </c>
      <c r="R2003">
        <v>0</v>
      </c>
      <c r="V2003" t="str">
        <f>VLOOKUP(H2003,'[1]팀별 출판사'!A:B,2,0)</f>
        <v>소설1팀</v>
      </c>
      <c r="W2003" s="6">
        <f t="shared" si="62"/>
        <v>0</v>
      </c>
      <c r="X2003" s="6">
        <f t="shared" si="63"/>
        <v>0</v>
      </c>
    </row>
    <row r="2004" spans="1:24" x14ac:dyDescent="0.3">
      <c r="A2004" t="s">
        <v>3011</v>
      </c>
      <c r="B2004" t="s">
        <v>3112</v>
      </c>
      <c r="C2004" t="s">
        <v>23</v>
      </c>
      <c r="D2004" t="s">
        <v>24</v>
      </c>
      <c r="E2004" t="s">
        <v>25</v>
      </c>
      <c r="F2004">
        <v>1</v>
      </c>
      <c r="G2004">
        <v>9791133188642</v>
      </c>
      <c r="H2004" t="s">
        <v>26</v>
      </c>
      <c r="I2004" t="s">
        <v>1437</v>
      </c>
      <c r="J2004" t="s">
        <v>743</v>
      </c>
      <c r="K2004" t="s">
        <v>29</v>
      </c>
      <c r="L2004">
        <v>0</v>
      </c>
      <c r="M2004" t="s">
        <v>39</v>
      </c>
      <c r="N2004">
        <v>0</v>
      </c>
      <c r="O2004">
        <v>0</v>
      </c>
      <c r="P2004" t="s">
        <v>3111</v>
      </c>
      <c r="Q2004" s="2">
        <v>0.7</v>
      </c>
      <c r="R2004">
        <v>0</v>
      </c>
      <c r="V2004" t="str">
        <f>VLOOKUP(H2004,'[1]팀별 출판사'!A:B,2,0)</f>
        <v>소설1팀</v>
      </c>
      <c r="W2004" s="6">
        <f t="shared" si="62"/>
        <v>0</v>
      </c>
      <c r="X2004" s="6">
        <f t="shared" si="63"/>
        <v>0</v>
      </c>
    </row>
    <row r="2005" spans="1:24" x14ac:dyDescent="0.3">
      <c r="A2005" t="s">
        <v>3011</v>
      </c>
      <c r="B2005" t="s">
        <v>3113</v>
      </c>
      <c r="C2005" t="s">
        <v>23</v>
      </c>
      <c r="D2005" t="s">
        <v>24</v>
      </c>
      <c r="E2005" t="s">
        <v>25</v>
      </c>
      <c r="F2005">
        <v>1</v>
      </c>
      <c r="G2005">
        <v>9791136943385</v>
      </c>
      <c r="H2005" t="s">
        <v>26</v>
      </c>
      <c r="I2005" t="s">
        <v>3114</v>
      </c>
      <c r="J2005" t="s">
        <v>284</v>
      </c>
      <c r="K2005" t="s">
        <v>29</v>
      </c>
      <c r="L2005" s="1">
        <v>3200</v>
      </c>
      <c r="M2005" t="s">
        <v>29</v>
      </c>
      <c r="N2005" s="1">
        <v>3200</v>
      </c>
      <c r="O2005" s="1">
        <v>3200</v>
      </c>
      <c r="P2005" t="s">
        <v>30</v>
      </c>
      <c r="Q2005" s="2">
        <v>0.7</v>
      </c>
      <c r="R2005" s="1">
        <v>2240</v>
      </c>
      <c r="S2005" t="s">
        <v>29</v>
      </c>
      <c r="T2005" s="1">
        <v>2240</v>
      </c>
      <c r="V2005" t="str">
        <f>VLOOKUP(H2005,'[1]팀별 출판사'!A:B,2,0)</f>
        <v>소설1팀</v>
      </c>
      <c r="W2005" s="6">
        <f t="shared" si="62"/>
        <v>0</v>
      </c>
      <c r="X2005" s="6">
        <f t="shared" si="63"/>
        <v>2240</v>
      </c>
    </row>
    <row r="2006" spans="1:24" x14ac:dyDescent="0.3">
      <c r="A2006" t="s">
        <v>3011</v>
      </c>
      <c r="B2006" t="s">
        <v>3115</v>
      </c>
      <c r="C2006" t="s">
        <v>23</v>
      </c>
      <c r="D2006" t="s">
        <v>24</v>
      </c>
      <c r="E2006" t="s">
        <v>25</v>
      </c>
      <c r="F2006">
        <v>1</v>
      </c>
      <c r="G2006">
        <v>9791157532339</v>
      </c>
      <c r="H2006" t="s">
        <v>32</v>
      </c>
      <c r="I2006" t="s">
        <v>3116</v>
      </c>
      <c r="J2006" t="s">
        <v>112</v>
      </c>
      <c r="K2006" t="s">
        <v>29</v>
      </c>
      <c r="L2006" s="1">
        <v>3200</v>
      </c>
      <c r="M2006" t="s">
        <v>29</v>
      </c>
      <c r="N2006" s="1">
        <v>3200</v>
      </c>
      <c r="O2006" s="1">
        <v>3200</v>
      </c>
      <c r="P2006" t="s">
        <v>30</v>
      </c>
      <c r="Q2006" s="2">
        <v>0.7</v>
      </c>
      <c r="R2006" s="1">
        <v>2240</v>
      </c>
      <c r="S2006" t="s">
        <v>29</v>
      </c>
      <c r="T2006" s="1">
        <v>2240</v>
      </c>
      <c r="V2006" t="str">
        <f>VLOOKUP(H2006,'[1]팀별 출판사'!A:B,2,0)</f>
        <v>소설1팀</v>
      </c>
      <c r="W2006" s="6">
        <f t="shared" si="62"/>
        <v>0</v>
      </c>
      <c r="X2006" s="6">
        <f t="shared" si="63"/>
        <v>2240</v>
      </c>
    </row>
    <row r="2007" spans="1:24" x14ac:dyDescent="0.3">
      <c r="A2007" t="s">
        <v>3011</v>
      </c>
      <c r="B2007" t="s">
        <v>3117</v>
      </c>
      <c r="C2007" t="s">
        <v>23</v>
      </c>
      <c r="D2007" t="s">
        <v>24</v>
      </c>
      <c r="E2007" t="s">
        <v>25</v>
      </c>
      <c r="F2007">
        <v>1</v>
      </c>
      <c r="G2007">
        <v>9791136930552</v>
      </c>
      <c r="H2007" t="s">
        <v>26</v>
      </c>
      <c r="I2007" t="s">
        <v>45</v>
      </c>
      <c r="J2007" t="s">
        <v>46</v>
      </c>
      <c r="K2007" t="s">
        <v>29</v>
      </c>
      <c r="L2007">
        <v>0</v>
      </c>
      <c r="M2007" t="s">
        <v>127</v>
      </c>
      <c r="N2007">
        <v>0</v>
      </c>
      <c r="O2007">
        <v>0</v>
      </c>
      <c r="P2007" t="s">
        <v>128</v>
      </c>
      <c r="Q2007" s="2">
        <v>0.7</v>
      </c>
      <c r="R2007">
        <v>0</v>
      </c>
      <c r="V2007" t="str">
        <f>VLOOKUP(H2007,'[1]팀별 출판사'!A:B,2,0)</f>
        <v>소설1팀</v>
      </c>
      <c r="W2007" s="6">
        <f t="shared" si="62"/>
        <v>0</v>
      </c>
      <c r="X2007" s="6">
        <f t="shared" si="63"/>
        <v>0</v>
      </c>
    </row>
    <row r="2008" spans="1:24" x14ac:dyDescent="0.3">
      <c r="A2008" t="s">
        <v>3011</v>
      </c>
      <c r="B2008" t="s">
        <v>3118</v>
      </c>
      <c r="C2008" t="s">
        <v>23</v>
      </c>
      <c r="D2008" t="s">
        <v>24</v>
      </c>
      <c r="E2008" t="s">
        <v>25</v>
      </c>
      <c r="F2008">
        <v>1</v>
      </c>
      <c r="G2008">
        <v>9791136935496</v>
      </c>
      <c r="H2008" t="s">
        <v>32</v>
      </c>
      <c r="I2008" t="s">
        <v>441</v>
      </c>
      <c r="J2008" t="s">
        <v>442</v>
      </c>
      <c r="K2008" t="s">
        <v>29</v>
      </c>
      <c r="L2008">
        <v>0</v>
      </c>
      <c r="M2008" t="s">
        <v>127</v>
      </c>
      <c r="N2008">
        <v>0</v>
      </c>
      <c r="O2008">
        <v>0</v>
      </c>
      <c r="P2008" t="s">
        <v>128</v>
      </c>
      <c r="Q2008" s="2">
        <v>0.7</v>
      </c>
      <c r="R2008">
        <v>0</v>
      </c>
      <c r="V2008" t="str">
        <f>VLOOKUP(H2008,'[1]팀별 출판사'!A:B,2,0)</f>
        <v>소설1팀</v>
      </c>
      <c r="W2008" s="6">
        <f t="shared" si="62"/>
        <v>0</v>
      </c>
      <c r="X2008" s="6">
        <f t="shared" si="63"/>
        <v>0</v>
      </c>
    </row>
    <row r="2009" spans="1:24" x14ac:dyDescent="0.3">
      <c r="A2009" t="s">
        <v>3011</v>
      </c>
      <c r="B2009" t="s">
        <v>3119</v>
      </c>
      <c r="C2009" t="s">
        <v>23</v>
      </c>
      <c r="D2009" t="s">
        <v>24</v>
      </c>
      <c r="E2009" t="s">
        <v>25</v>
      </c>
      <c r="F2009">
        <v>1</v>
      </c>
      <c r="G2009">
        <v>9791136931375</v>
      </c>
      <c r="H2009" t="s">
        <v>32</v>
      </c>
      <c r="I2009" t="s">
        <v>189</v>
      </c>
      <c r="J2009" t="s">
        <v>46</v>
      </c>
      <c r="K2009" t="s">
        <v>29</v>
      </c>
      <c r="L2009">
        <v>0</v>
      </c>
      <c r="M2009" t="s">
        <v>47</v>
      </c>
      <c r="N2009">
        <v>0</v>
      </c>
      <c r="O2009">
        <v>0</v>
      </c>
      <c r="P2009" t="s">
        <v>48</v>
      </c>
      <c r="Q2009" s="2">
        <v>0.7</v>
      </c>
      <c r="R2009">
        <v>0</v>
      </c>
      <c r="V2009" t="str">
        <f>VLOOKUP(H2009,'[1]팀별 출판사'!A:B,2,0)</f>
        <v>소설1팀</v>
      </c>
      <c r="W2009" s="6">
        <f t="shared" si="62"/>
        <v>0</v>
      </c>
      <c r="X2009" s="6">
        <f t="shared" si="63"/>
        <v>0</v>
      </c>
    </row>
    <row r="2010" spans="1:24" x14ac:dyDescent="0.3">
      <c r="A2010" t="s">
        <v>3011</v>
      </c>
      <c r="B2010" t="s">
        <v>3120</v>
      </c>
      <c r="C2010" t="s">
        <v>23</v>
      </c>
      <c r="D2010" t="s">
        <v>24</v>
      </c>
      <c r="E2010" t="s">
        <v>25</v>
      </c>
      <c r="F2010">
        <v>1</v>
      </c>
      <c r="G2010">
        <v>9791136988133</v>
      </c>
      <c r="H2010" t="s">
        <v>26</v>
      </c>
      <c r="I2010" t="s">
        <v>614</v>
      </c>
      <c r="J2010" t="s">
        <v>28</v>
      </c>
      <c r="K2010" t="s">
        <v>29</v>
      </c>
      <c r="L2010">
        <v>0</v>
      </c>
      <c r="M2010" t="s">
        <v>29</v>
      </c>
      <c r="N2010">
        <v>0</v>
      </c>
      <c r="O2010">
        <v>0</v>
      </c>
      <c r="P2010" t="s">
        <v>30</v>
      </c>
      <c r="Q2010" s="2">
        <v>0.7</v>
      </c>
      <c r="R2010">
        <v>0</v>
      </c>
      <c r="V2010" t="str">
        <f>VLOOKUP(H2010,'[1]팀별 출판사'!A:B,2,0)</f>
        <v>소설1팀</v>
      </c>
      <c r="W2010" s="6">
        <f t="shared" si="62"/>
        <v>0</v>
      </c>
      <c r="X2010" s="6">
        <f t="shared" si="63"/>
        <v>0</v>
      </c>
    </row>
    <row r="2011" spans="1:24" x14ac:dyDescent="0.3">
      <c r="A2011" t="s">
        <v>3011</v>
      </c>
      <c r="B2011" t="s">
        <v>3121</v>
      </c>
      <c r="C2011" t="s">
        <v>23</v>
      </c>
      <c r="D2011" t="s">
        <v>24</v>
      </c>
      <c r="E2011" t="s">
        <v>25</v>
      </c>
      <c r="F2011">
        <v>1</v>
      </c>
      <c r="G2011">
        <v>9791170100553</v>
      </c>
      <c r="H2011" t="s">
        <v>67</v>
      </c>
      <c r="I2011" t="s">
        <v>3122</v>
      </c>
      <c r="J2011" t="s">
        <v>429</v>
      </c>
      <c r="K2011" t="s">
        <v>29</v>
      </c>
      <c r="L2011" s="1">
        <v>2500</v>
      </c>
      <c r="M2011" t="s">
        <v>29</v>
      </c>
      <c r="N2011" s="1">
        <v>2500</v>
      </c>
      <c r="O2011" s="1">
        <v>2500</v>
      </c>
      <c r="P2011" t="s">
        <v>30</v>
      </c>
      <c r="Q2011" s="2">
        <v>0.7</v>
      </c>
      <c r="R2011" s="1">
        <v>1750</v>
      </c>
      <c r="S2011" t="s">
        <v>29</v>
      </c>
      <c r="T2011" s="1">
        <v>1750</v>
      </c>
      <c r="V2011" t="str">
        <f>VLOOKUP(H2011,'[1]팀별 출판사'!A:B,2,0)</f>
        <v>소설1팀</v>
      </c>
      <c r="W2011" s="6">
        <f t="shared" si="62"/>
        <v>0</v>
      </c>
      <c r="X2011" s="6">
        <f t="shared" si="63"/>
        <v>1750</v>
      </c>
    </row>
    <row r="2012" spans="1:24" x14ac:dyDescent="0.3">
      <c r="A2012" t="s">
        <v>3011</v>
      </c>
      <c r="B2012" t="s">
        <v>3123</v>
      </c>
      <c r="C2012" t="s">
        <v>23</v>
      </c>
      <c r="D2012" t="s">
        <v>24</v>
      </c>
      <c r="E2012" t="s">
        <v>25</v>
      </c>
      <c r="F2012">
        <v>1</v>
      </c>
      <c r="G2012">
        <v>9791136912732</v>
      </c>
      <c r="H2012" t="s">
        <v>26</v>
      </c>
      <c r="I2012" t="s">
        <v>1125</v>
      </c>
      <c r="J2012" t="s">
        <v>256</v>
      </c>
      <c r="K2012" t="s">
        <v>29</v>
      </c>
      <c r="L2012">
        <v>0</v>
      </c>
      <c r="M2012" t="s">
        <v>29</v>
      </c>
      <c r="N2012">
        <v>0</v>
      </c>
      <c r="O2012">
        <v>0</v>
      </c>
      <c r="P2012" t="s">
        <v>30</v>
      </c>
      <c r="Q2012" s="2">
        <v>0.7</v>
      </c>
      <c r="R2012">
        <v>0</v>
      </c>
      <c r="V2012" t="str">
        <f>VLOOKUP(H2012,'[1]팀별 출판사'!A:B,2,0)</f>
        <v>소설1팀</v>
      </c>
      <c r="W2012" s="6">
        <f t="shared" si="62"/>
        <v>0</v>
      </c>
      <c r="X2012" s="6">
        <f t="shared" si="63"/>
        <v>0</v>
      </c>
    </row>
    <row r="2013" spans="1:24" x14ac:dyDescent="0.3">
      <c r="A2013" t="s">
        <v>3011</v>
      </c>
      <c r="B2013" t="s">
        <v>3124</v>
      </c>
      <c r="C2013" t="s">
        <v>23</v>
      </c>
      <c r="D2013" t="s">
        <v>24</v>
      </c>
      <c r="E2013" t="s">
        <v>25</v>
      </c>
      <c r="F2013">
        <v>1</v>
      </c>
      <c r="G2013">
        <v>9791170106715</v>
      </c>
      <c r="H2013" t="s">
        <v>67</v>
      </c>
      <c r="I2013" t="s">
        <v>68</v>
      </c>
      <c r="J2013" t="s">
        <v>69</v>
      </c>
      <c r="K2013" t="s">
        <v>29</v>
      </c>
      <c r="L2013">
        <v>0</v>
      </c>
      <c r="M2013" t="s">
        <v>478</v>
      </c>
      <c r="N2013">
        <v>0</v>
      </c>
      <c r="O2013">
        <v>0</v>
      </c>
      <c r="P2013" t="s">
        <v>479</v>
      </c>
      <c r="Q2013" s="2">
        <v>0.7</v>
      </c>
      <c r="R2013">
        <v>0</v>
      </c>
      <c r="V2013" t="str">
        <f>VLOOKUP(H2013,'[1]팀별 출판사'!A:B,2,0)</f>
        <v>소설1팀</v>
      </c>
      <c r="W2013" s="6">
        <f t="shared" si="62"/>
        <v>0</v>
      </c>
      <c r="X2013" s="6">
        <f t="shared" si="63"/>
        <v>0</v>
      </c>
    </row>
    <row r="2014" spans="1:24" x14ac:dyDescent="0.3">
      <c r="A2014" t="s">
        <v>3011</v>
      </c>
      <c r="B2014" t="s">
        <v>3125</v>
      </c>
      <c r="C2014" t="s">
        <v>23</v>
      </c>
      <c r="D2014" t="s">
        <v>24</v>
      </c>
      <c r="E2014" t="s">
        <v>25</v>
      </c>
      <c r="F2014">
        <v>1</v>
      </c>
      <c r="G2014">
        <v>9791170107064</v>
      </c>
      <c r="H2014" t="s">
        <v>67</v>
      </c>
      <c r="I2014" t="s">
        <v>901</v>
      </c>
      <c r="J2014" t="s">
        <v>902</v>
      </c>
      <c r="K2014" t="s">
        <v>29</v>
      </c>
      <c r="L2014">
        <v>0</v>
      </c>
      <c r="M2014" t="s">
        <v>478</v>
      </c>
      <c r="N2014">
        <v>0</v>
      </c>
      <c r="O2014">
        <v>0</v>
      </c>
      <c r="P2014" t="s">
        <v>479</v>
      </c>
      <c r="Q2014" s="2">
        <v>0.7</v>
      </c>
      <c r="R2014">
        <v>0</v>
      </c>
      <c r="V2014" t="str">
        <f>VLOOKUP(H2014,'[1]팀별 출판사'!A:B,2,0)</f>
        <v>소설1팀</v>
      </c>
      <c r="W2014" s="6">
        <f t="shared" si="62"/>
        <v>0</v>
      </c>
      <c r="X2014" s="6">
        <f t="shared" si="63"/>
        <v>0</v>
      </c>
    </row>
    <row r="2015" spans="1:24" x14ac:dyDescent="0.3">
      <c r="A2015" t="s">
        <v>3011</v>
      </c>
      <c r="B2015" t="s">
        <v>3126</v>
      </c>
      <c r="C2015" t="s">
        <v>23</v>
      </c>
      <c r="D2015" t="s">
        <v>24</v>
      </c>
      <c r="E2015" t="s">
        <v>25</v>
      </c>
      <c r="F2015">
        <v>1</v>
      </c>
      <c r="G2015">
        <v>9791136944160</v>
      </c>
      <c r="H2015" t="s">
        <v>26</v>
      </c>
      <c r="I2015" t="s">
        <v>3127</v>
      </c>
      <c r="J2015" t="s">
        <v>1692</v>
      </c>
      <c r="K2015" t="s">
        <v>29</v>
      </c>
      <c r="L2015">
        <v>0</v>
      </c>
      <c r="M2015" t="s">
        <v>29</v>
      </c>
      <c r="N2015">
        <v>0</v>
      </c>
      <c r="O2015">
        <v>0</v>
      </c>
      <c r="P2015" t="s">
        <v>30</v>
      </c>
      <c r="Q2015" s="2">
        <v>0.7</v>
      </c>
      <c r="R2015">
        <v>0</v>
      </c>
      <c r="V2015" t="str">
        <f>VLOOKUP(H2015,'[1]팀별 출판사'!A:B,2,0)</f>
        <v>소설1팀</v>
      </c>
      <c r="W2015" s="6">
        <f t="shared" si="62"/>
        <v>0</v>
      </c>
      <c r="X2015" s="6">
        <f t="shared" si="63"/>
        <v>0</v>
      </c>
    </row>
    <row r="2016" spans="1:24" x14ac:dyDescent="0.3">
      <c r="A2016" t="s">
        <v>3011</v>
      </c>
      <c r="B2016" t="s">
        <v>3128</v>
      </c>
      <c r="C2016" t="s">
        <v>23</v>
      </c>
      <c r="D2016" t="s">
        <v>24</v>
      </c>
      <c r="E2016" t="s">
        <v>25</v>
      </c>
      <c r="F2016">
        <v>1</v>
      </c>
      <c r="G2016">
        <v>9791170105985</v>
      </c>
      <c r="H2016" t="s">
        <v>67</v>
      </c>
      <c r="I2016" t="s">
        <v>2420</v>
      </c>
      <c r="J2016" t="s">
        <v>2421</v>
      </c>
      <c r="K2016" t="s">
        <v>29</v>
      </c>
      <c r="L2016">
        <v>0</v>
      </c>
      <c r="M2016" t="s">
        <v>29</v>
      </c>
      <c r="N2016">
        <v>0</v>
      </c>
      <c r="O2016">
        <v>0</v>
      </c>
      <c r="P2016" t="s">
        <v>30</v>
      </c>
      <c r="Q2016" s="2">
        <v>0.7</v>
      </c>
      <c r="R2016">
        <v>0</v>
      </c>
      <c r="V2016" t="str">
        <f>VLOOKUP(H2016,'[1]팀별 출판사'!A:B,2,0)</f>
        <v>소설1팀</v>
      </c>
      <c r="W2016" s="6">
        <f t="shared" si="62"/>
        <v>0</v>
      </c>
      <c r="X2016" s="6">
        <f t="shared" si="63"/>
        <v>0</v>
      </c>
    </row>
    <row r="2017" spans="1:24" x14ac:dyDescent="0.3">
      <c r="A2017" t="s">
        <v>3011</v>
      </c>
      <c r="B2017" t="s">
        <v>3129</v>
      </c>
      <c r="C2017" t="s">
        <v>23</v>
      </c>
      <c r="D2017" t="s">
        <v>24</v>
      </c>
      <c r="E2017" t="s">
        <v>25</v>
      </c>
      <c r="F2017">
        <v>1</v>
      </c>
      <c r="G2017">
        <v>9791136941589</v>
      </c>
      <c r="H2017" t="s">
        <v>26</v>
      </c>
      <c r="I2017" t="s">
        <v>275</v>
      </c>
      <c r="J2017" t="s">
        <v>276</v>
      </c>
      <c r="K2017" t="s">
        <v>29</v>
      </c>
      <c r="L2017">
        <v>0</v>
      </c>
      <c r="M2017" t="s">
        <v>29</v>
      </c>
      <c r="N2017">
        <v>0</v>
      </c>
      <c r="O2017">
        <v>0</v>
      </c>
      <c r="P2017" t="s">
        <v>30</v>
      </c>
      <c r="Q2017" s="2">
        <v>0.7</v>
      </c>
      <c r="R2017">
        <v>0</v>
      </c>
      <c r="V2017" t="str">
        <f>VLOOKUP(H2017,'[1]팀별 출판사'!A:B,2,0)</f>
        <v>소설1팀</v>
      </c>
      <c r="W2017" s="6">
        <f t="shared" si="62"/>
        <v>0</v>
      </c>
      <c r="X2017" s="6">
        <f t="shared" si="63"/>
        <v>0</v>
      </c>
    </row>
    <row r="2018" spans="1:24" x14ac:dyDescent="0.3">
      <c r="A2018" t="s">
        <v>3011</v>
      </c>
      <c r="B2018" t="s">
        <v>3130</v>
      </c>
      <c r="C2018" t="s">
        <v>23</v>
      </c>
      <c r="D2018" t="s">
        <v>24</v>
      </c>
      <c r="E2018" t="s">
        <v>25</v>
      </c>
      <c r="F2018">
        <v>1</v>
      </c>
      <c r="G2018">
        <v>9791157532100</v>
      </c>
      <c r="H2018" t="s">
        <v>32</v>
      </c>
      <c r="I2018" t="s">
        <v>1432</v>
      </c>
      <c r="J2018" t="s">
        <v>112</v>
      </c>
      <c r="K2018" t="s">
        <v>29</v>
      </c>
      <c r="L2018">
        <v>0</v>
      </c>
      <c r="M2018" t="s">
        <v>70</v>
      </c>
      <c r="N2018">
        <v>0</v>
      </c>
      <c r="O2018">
        <v>0</v>
      </c>
      <c r="P2018" t="s">
        <v>71</v>
      </c>
      <c r="Q2018" s="2">
        <v>0.7</v>
      </c>
      <c r="R2018">
        <v>0</v>
      </c>
      <c r="V2018" t="str">
        <f>VLOOKUP(H2018,'[1]팀별 출판사'!A:B,2,0)</f>
        <v>소설1팀</v>
      </c>
      <c r="W2018" s="6">
        <f t="shared" si="62"/>
        <v>0</v>
      </c>
      <c r="X2018" s="6">
        <f t="shared" si="63"/>
        <v>0</v>
      </c>
    </row>
    <row r="2019" spans="1:24" x14ac:dyDescent="0.3">
      <c r="A2019" t="s">
        <v>3011</v>
      </c>
      <c r="B2019" t="s">
        <v>3131</v>
      </c>
      <c r="C2019" t="s">
        <v>23</v>
      </c>
      <c r="D2019" t="s">
        <v>24</v>
      </c>
      <c r="E2019" t="s">
        <v>25</v>
      </c>
      <c r="F2019">
        <v>1</v>
      </c>
      <c r="G2019">
        <v>9791172926991</v>
      </c>
      <c r="H2019" t="s">
        <v>26</v>
      </c>
      <c r="I2019" t="s">
        <v>330</v>
      </c>
      <c r="J2019" t="s">
        <v>28</v>
      </c>
      <c r="K2019" t="s">
        <v>29</v>
      </c>
      <c r="L2019">
        <v>0</v>
      </c>
      <c r="M2019" t="s">
        <v>29</v>
      </c>
      <c r="N2019">
        <v>0</v>
      </c>
      <c r="O2019">
        <v>0</v>
      </c>
      <c r="P2019" t="s">
        <v>30</v>
      </c>
      <c r="Q2019" s="2">
        <v>0.7</v>
      </c>
      <c r="R2019">
        <v>0</v>
      </c>
      <c r="V2019" t="str">
        <f>VLOOKUP(H2019,'[1]팀별 출판사'!A:B,2,0)</f>
        <v>소설1팀</v>
      </c>
      <c r="W2019" s="6">
        <f t="shared" si="62"/>
        <v>0</v>
      </c>
      <c r="X2019" s="6">
        <f t="shared" si="63"/>
        <v>0</v>
      </c>
    </row>
    <row r="2020" spans="1:24" x14ac:dyDescent="0.3">
      <c r="A2020" t="s">
        <v>3011</v>
      </c>
      <c r="B2020" t="s">
        <v>3132</v>
      </c>
      <c r="C2020" t="s">
        <v>23</v>
      </c>
      <c r="D2020" t="s">
        <v>24</v>
      </c>
      <c r="E2020" t="s">
        <v>25</v>
      </c>
      <c r="F2020">
        <v>1</v>
      </c>
      <c r="G2020">
        <v>9791173788864</v>
      </c>
      <c r="H2020" t="s">
        <v>26</v>
      </c>
      <c r="I2020" t="s">
        <v>1930</v>
      </c>
      <c r="J2020" t="s">
        <v>256</v>
      </c>
      <c r="K2020" t="s">
        <v>29</v>
      </c>
      <c r="L2020">
        <v>0</v>
      </c>
      <c r="M2020" t="s">
        <v>29</v>
      </c>
      <c r="N2020">
        <v>0</v>
      </c>
      <c r="O2020">
        <v>0</v>
      </c>
      <c r="P2020" t="s">
        <v>30</v>
      </c>
      <c r="Q2020" s="2">
        <v>0.7</v>
      </c>
      <c r="R2020">
        <v>0</v>
      </c>
      <c r="V2020" t="str">
        <f>VLOOKUP(H2020,'[1]팀별 출판사'!A:B,2,0)</f>
        <v>소설1팀</v>
      </c>
      <c r="W2020" s="6">
        <f t="shared" si="62"/>
        <v>0</v>
      </c>
      <c r="X2020" s="6">
        <f t="shared" si="63"/>
        <v>0</v>
      </c>
    </row>
    <row r="2021" spans="1:24" x14ac:dyDescent="0.3">
      <c r="A2021" t="s">
        <v>3011</v>
      </c>
      <c r="B2021" t="s">
        <v>3133</v>
      </c>
      <c r="C2021" t="s">
        <v>23</v>
      </c>
      <c r="D2021" t="s">
        <v>24</v>
      </c>
      <c r="E2021" t="s">
        <v>25</v>
      </c>
      <c r="F2021">
        <v>1</v>
      </c>
      <c r="G2021">
        <v>9791136931375</v>
      </c>
      <c r="H2021" t="s">
        <v>32</v>
      </c>
      <c r="I2021" t="s">
        <v>189</v>
      </c>
      <c r="J2021" t="s">
        <v>46</v>
      </c>
      <c r="K2021" t="s">
        <v>29</v>
      </c>
      <c r="L2021">
        <v>0</v>
      </c>
      <c r="M2021" t="s">
        <v>29</v>
      </c>
      <c r="N2021">
        <v>0</v>
      </c>
      <c r="O2021">
        <v>0</v>
      </c>
      <c r="P2021" t="s">
        <v>30</v>
      </c>
      <c r="Q2021" s="2">
        <v>0.7</v>
      </c>
      <c r="R2021">
        <v>0</v>
      </c>
      <c r="V2021" t="str">
        <f>VLOOKUP(H2021,'[1]팀별 출판사'!A:B,2,0)</f>
        <v>소설1팀</v>
      </c>
      <c r="W2021" s="6">
        <f t="shared" si="62"/>
        <v>0</v>
      </c>
      <c r="X2021" s="6">
        <f t="shared" si="63"/>
        <v>0</v>
      </c>
    </row>
    <row r="2022" spans="1:24" x14ac:dyDescent="0.3">
      <c r="A2022" t="s">
        <v>3011</v>
      </c>
      <c r="B2022" t="s">
        <v>3134</v>
      </c>
      <c r="C2022" t="s">
        <v>23</v>
      </c>
      <c r="D2022" t="s">
        <v>24</v>
      </c>
      <c r="E2022" t="s">
        <v>25</v>
      </c>
      <c r="F2022">
        <v>1</v>
      </c>
      <c r="G2022">
        <v>9791136946782</v>
      </c>
      <c r="H2022" t="s">
        <v>26</v>
      </c>
      <c r="I2022" t="s">
        <v>291</v>
      </c>
      <c r="J2022" t="s">
        <v>28</v>
      </c>
      <c r="K2022" t="s">
        <v>29</v>
      </c>
      <c r="L2022">
        <v>0</v>
      </c>
      <c r="M2022" t="s">
        <v>29</v>
      </c>
      <c r="N2022">
        <v>0</v>
      </c>
      <c r="O2022">
        <v>0</v>
      </c>
      <c r="P2022" t="s">
        <v>30</v>
      </c>
      <c r="Q2022" s="2">
        <v>0.7</v>
      </c>
      <c r="R2022">
        <v>0</v>
      </c>
      <c r="V2022" t="str">
        <f>VLOOKUP(H2022,'[1]팀별 출판사'!A:B,2,0)</f>
        <v>소설1팀</v>
      </c>
      <c r="W2022" s="6">
        <f t="shared" si="62"/>
        <v>0</v>
      </c>
      <c r="X2022" s="6">
        <f t="shared" si="63"/>
        <v>0</v>
      </c>
    </row>
    <row r="2023" spans="1:24" x14ac:dyDescent="0.3">
      <c r="A2023" t="s">
        <v>3011</v>
      </c>
      <c r="B2023" t="s">
        <v>3135</v>
      </c>
      <c r="C2023" t="s">
        <v>23</v>
      </c>
      <c r="D2023" t="s">
        <v>24</v>
      </c>
      <c r="E2023" t="s">
        <v>25</v>
      </c>
      <c r="F2023">
        <v>1</v>
      </c>
      <c r="G2023">
        <v>9791136931382</v>
      </c>
      <c r="H2023" t="s">
        <v>32</v>
      </c>
      <c r="I2023" t="s">
        <v>523</v>
      </c>
      <c r="J2023" t="s">
        <v>46</v>
      </c>
      <c r="K2023" t="s">
        <v>29</v>
      </c>
      <c r="L2023">
        <v>0</v>
      </c>
      <c r="M2023" t="s">
        <v>29</v>
      </c>
      <c r="N2023">
        <v>0</v>
      </c>
      <c r="O2023">
        <v>0</v>
      </c>
      <c r="P2023" t="s">
        <v>30</v>
      </c>
      <c r="Q2023" s="2">
        <v>0.7</v>
      </c>
      <c r="R2023">
        <v>0</v>
      </c>
      <c r="V2023" t="str">
        <f>VLOOKUP(H2023,'[1]팀별 출판사'!A:B,2,0)</f>
        <v>소설1팀</v>
      </c>
      <c r="W2023" s="6">
        <f t="shared" si="62"/>
        <v>0</v>
      </c>
      <c r="X2023" s="6">
        <f t="shared" si="63"/>
        <v>0</v>
      </c>
    </row>
    <row r="2024" spans="1:24" x14ac:dyDescent="0.3">
      <c r="A2024" t="s">
        <v>3011</v>
      </c>
      <c r="B2024" t="s">
        <v>3136</v>
      </c>
      <c r="C2024" t="s">
        <v>23</v>
      </c>
      <c r="D2024" t="s">
        <v>24</v>
      </c>
      <c r="E2024" t="s">
        <v>25</v>
      </c>
      <c r="F2024">
        <v>1</v>
      </c>
      <c r="G2024">
        <v>9791136927675</v>
      </c>
      <c r="H2024" t="s">
        <v>36</v>
      </c>
      <c r="I2024" t="s">
        <v>2259</v>
      </c>
      <c r="J2024" t="s">
        <v>38</v>
      </c>
      <c r="K2024" t="s">
        <v>29</v>
      </c>
      <c r="L2024" s="1">
        <v>3300</v>
      </c>
      <c r="M2024" t="s">
        <v>70</v>
      </c>
      <c r="N2024">
        <v>2.2799999999999998</v>
      </c>
      <c r="O2024">
        <v>2.2799999999999998</v>
      </c>
      <c r="P2024" t="s">
        <v>3082</v>
      </c>
      <c r="Q2024" s="2">
        <v>0.7</v>
      </c>
      <c r="R2024">
        <v>1.6</v>
      </c>
      <c r="S2024" t="s">
        <v>29</v>
      </c>
      <c r="T2024" s="1">
        <v>2310</v>
      </c>
      <c r="U2024" s="3">
        <v>1443.82</v>
      </c>
      <c r="V2024" t="str">
        <f>VLOOKUP(H2024,'[1]팀별 출판사'!A:B,2,0)</f>
        <v>소설2팀</v>
      </c>
      <c r="W2024" s="6">
        <f t="shared" si="62"/>
        <v>0</v>
      </c>
      <c r="X2024" s="6">
        <f t="shared" si="63"/>
        <v>2310</v>
      </c>
    </row>
    <row r="2025" spans="1:24" x14ac:dyDescent="0.3">
      <c r="A2025" t="s">
        <v>3011</v>
      </c>
      <c r="B2025" t="s">
        <v>3137</v>
      </c>
      <c r="C2025" t="s">
        <v>23</v>
      </c>
      <c r="D2025" t="s">
        <v>24</v>
      </c>
      <c r="E2025" t="s">
        <v>25</v>
      </c>
      <c r="F2025">
        <v>1</v>
      </c>
      <c r="G2025">
        <v>9791136943392</v>
      </c>
      <c r="H2025" t="s">
        <v>26</v>
      </c>
      <c r="I2025" t="s">
        <v>3138</v>
      </c>
      <c r="J2025" t="s">
        <v>284</v>
      </c>
      <c r="K2025" t="s">
        <v>29</v>
      </c>
      <c r="L2025" s="1">
        <v>3200</v>
      </c>
      <c r="M2025" t="s">
        <v>29</v>
      </c>
      <c r="N2025" s="1">
        <v>3200</v>
      </c>
      <c r="O2025" s="1">
        <v>3200</v>
      </c>
      <c r="P2025" t="s">
        <v>30</v>
      </c>
      <c r="Q2025" s="2">
        <v>0.7</v>
      </c>
      <c r="R2025" s="1">
        <v>2240</v>
      </c>
      <c r="S2025" t="s">
        <v>29</v>
      </c>
      <c r="T2025" s="1">
        <v>2240</v>
      </c>
      <c r="V2025" t="str">
        <f>VLOOKUP(H2025,'[1]팀별 출판사'!A:B,2,0)</f>
        <v>소설1팀</v>
      </c>
      <c r="W2025" s="6">
        <f t="shared" si="62"/>
        <v>0</v>
      </c>
      <c r="X2025" s="6">
        <f t="shared" si="63"/>
        <v>2240</v>
      </c>
    </row>
    <row r="2026" spans="1:24" x14ac:dyDescent="0.3">
      <c r="A2026" t="s">
        <v>3011</v>
      </c>
      <c r="B2026" t="s">
        <v>3139</v>
      </c>
      <c r="C2026" t="s">
        <v>23</v>
      </c>
      <c r="D2026" t="s">
        <v>24</v>
      </c>
      <c r="E2026" t="s">
        <v>25</v>
      </c>
      <c r="F2026">
        <v>1</v>
      </c>
      <c r="G2026">
        <v>9791133189007</v>
      </c>
      <c r="H2026" t="s">
        <v>26</v>
      </c>
      <c r="I2026" t="s">
        <v>3140</v>
      </c>
      <c r="J2026" t="s">
        <v>908</v>
      </c>
      <c r="K2026" t="s">
        <v>29</v>
      </c>
      <c r="L2026" s="1">
        <v>3200</v>
      </c>
      <c r="M2026" t="s">
        <v>29</v>
      </c>
      <c r="N2026" s="1">
        <v>3200</v>
      </c>
      <c r="O2026" s="1">
        <v>3200</v>
      </c>
      <c r="P2026" t="s">
        <v>30</v>
      </c>
      <c r="Q2026" s="2">
        <v>0.7</v>
      </c>
      <c r="R2026" s="1">
        <v>2240</v>
      </c>
      <c r="S2026" t="s">
        <v>29</v>
      </c>
      <c r="T2026" s="1">
        <v>2240</v>
      </c>
      <c r="V2026" t="str">
        <f>VLOOKUP(H2026,'[1]팀별 출판사'!A:B,2,0)</f>
        <v>소설1팀</v>
      </c>
      <c r="W2026" s="6">
        <f t="shared" si="62"/>
        <v>0</v>
      </c>
      <c r="X2026" s="6">
        <f t="shared" si="63"/>
        <v>2240</v>
      </c>
    </row>
    <row r="2027" spans="1:24" x14ac:dyDescent="0.3">
      <c r="A2027" t="s">
        <v>3011</v>
      </c>
      <c r="B2027" t="s">
        <v>3141</v>
      </c>
      <c r="C2027" t="s">
        <v>23</v>
      </c>
      <c r="D2027" t="s">
        <v>24</v>
      </c>
      <c r="E2027" t="s">
        <v>25</v>
      </c>
      <c r="F2027">
        <v>1</v>
      </c>
      <c r="G2027">
        <v>9791170106715</v>
      </c>
      <c r="H2027" t="s">
        <v>67</v>
      </c>
      <c r="I2027" t="s">
        <v>68</v>
      </c>
      <c r="J2027" t="s">
        <v>69</v>
      </c>
      <c r="K2027" t="s">
        <v>29</v>
      </c>
      <c r="L2027">
        <v>0</v>
      </c>
      <c r="M2027" t="s">
        <v>2923</v>
      </c>
      <c r="N2027">
        <v>0</v>
      </c>
      <c r="O2027">
        <v>0</v>
      </c>
      <c r="P2027" t="s">
        <v>2924</v>
      </c>
      <c r="Q2027" s="2">
        <v>0.7</v>
      </c>
      <c r="R2027">
        <v>0</v>
      </c>
      <c r="V2027" t="str">
        <f>VLOOKUP(H2027,'[1]팀별 출판사'!A:B,2,0)</f>
        <v>소설1팀</v>
      </c>
      <c r="W2027" s="6">
        <f t="shared" si="62"/>
        <v>0</v>
      </c>
      <c r="X2027" s="6">
        <f t="shared" si="63"/>
        <v>0</v>
      </c>
    </row>
    <row r="2028" spans="1:24" x14ac:dyDescent="0.3">
      <c r="A2028" t="s">
        <v>3011</v>
      </c>
      <c r="B2028" t="s">
        <v>3142</v>
      </c>
      <c r="C2028" t="s">
        <v>23</v>
      </c>
      <c r="D2028" t="s">
        <v>24</v>
      </c>
      <c r="E2028" t="s">
        <v>25</v>
      </c>
      <c r="F2028">
        <v>1</v>
      </c>
      <c r="G2028">
        <v>9791170106128</v>
      </c>
      <c r="H2028" t="s">
        <v>67</v>
      </c>
      <c r="I2028" t="s">
        <v>2290</v>
      </c>
      <c r="J2028" t="s">
        <v>2291</v>
      </c>
      <c r="K2028" t="s">
        <v>29</v>
      </c>
      <c r="L2028">
        <v>0</v>
      </c>
      <c r="M2028" t="s">
        <v>2923</v>
      </c>
      <c r="N2028">
        <v>0</v>
      </c>
      <c r="O2028">
        <v>0</v>
      </c>
      <c r="P2028" t="s">
        <v>2924</v>
      </c>
      <c r="Q2028" s="2">
        <v>0.7</v>
      </c>
      <c r="R2028">
        <v>0</v>
      </c>
      <c r="V2028" t="str">
        <f>VLOOKUP(H2028,'[1]팀별 출판사'!A:B,2,0)</f>
        <v>소설1팀</v>
      </c>
      <c r="W2028" s="6">
        <f t="shared" si="62"/>
        <v>0</v>
      </c>
      <c r="X2028" s="6">
        <f t="shared" si="63"/>
        <v>0</v>
      </c>
    </row>
    <row r="2029" spans="1:24" x14ac:dyDescent="0.3">
      <c r="A2029" t="s">
        <v>3011</v>
      </c>
      <c r="B2029" t="s">
        <v>3143</v>
      </c>
      <c r="C2029" t="s">
        <v>23</v>
      </c>
      <c r="D2029" t="s">
        <v>24</v>
      </c>
      <c r="E2029" t="s">
        <v>25</v>
      </c>
      <c r="F2029">
        <v>1</v>
      </c>
      <c r="G2029">
        <v>9791136965455</v>
      </c>
      <c r="H2029" t="s">
        <v>26</v>
      </c>
      <c r="I2029" t="s">
        <v>472</v>
      </c>
      <c r="J2029" t="s">
        <v>157</v>
      </c>
      <c r="K2029" t="s">
        <v>29</v>
      </c>
      <c r="L2029">
        <v>0</v>
      </c>
      <c r="M2029" t="s">
        <v>47</v>
      </c>
      <c r="N2029">
        <v>0</v>
      </c>
      <c r="O2029">
        <v>0</v>
      </c>
      <c r="P2029" t="s">
        <v>48</v>
      </c>
      <c r="Q2029" s="2">
        <v>0.7</v>
      </c>
      <c r="R2029">
        <v>0</v>
      </c>
      <c r="V2029" t="str">
        <f>VLOOKUP(H2029,'[1]팀별 출판사'!A:B,2,0)</f>
        <v>소설1팀</v>
      </c>
      <c r="W2029" s="6">
        <f t="shared" si="62"/>
        <v>0</v>
      </c>
      <c r="X2029" s="6">
        <f t="shared" si="63"/>
        <v>0</v>
      </c>
    </row>
    <row r="2030" spans="1:24" x14ac:dyDescent="0.3">
      <c r="A2030" t="s">
        <v>3011</v>
      </c>
      <c r="B2030" t="s">
        <v>3144</v>
      </c>
      <c r="C2030" t="s">
        <v>23</v>
      </c>
      <c r="D2030" t="s">
        <v>24</v>
      </c>
      <c r="E2030" t="s">
        <v>25</v>
      </c>
      <c r="F2030">
        <v>1</v>
      </c>
      <c r="G2030">
        <v>9791136911155</v>
      </c>
      <c r="H2030" t="s">
        <v>26</v>
      </c>
      <c r="I2030" t="s">
        <v>3145</v>
      </c>
      <c r="J2030" t="s">
        <v>160</v>
      </c>
      <c r="K2030" t="s">
        <v>29</v>
      </c>
      <c r="L2030" s="1">
        <v>3200</v>
      </c>
      <c r="M2030" t="s">
        <v>29</v>
      </c>
      <c r="N2030" s="1">
        <v>3200</v>
      </c>
      <c r="O2030" s="1">
        <v>3200</v>
      </c>
      <c r="P2030" t="s">
        <v>30</v>
      </c>
      <c r="Q2030" s="2">
        <v>0.7</v>
      </c>
      <c r="R2030" s="1">
        <v>2240</v>
      </c>
      <c r="S2030" t="s">
        <v>29</v>
      </c>
      <c r="T2030" s="1">
        <v>2240</v>
      </c>
      <c r="V2030" t="str">
        <f>VLOOKUP(H2030,'[1]팀별 출판사'!A:B,2,0)</f>
        <v>소설1팀</v>
      </c>
      <c r="W2030" s="6">
        <f t="shared" si="62"/>
        <v>0</v>
      </c>
      <c r="X2030" s="6">
        <f t="shared" si="63"/>
        <v>2240</v>
      </c>
    </row>
    <row r="2031" spans="1:24" x14ac:dyDescent="0.3">
      <c r="A2031" t="s">
        <v>3011</v>
      </c>
      <c r="B2031" t="s">
        <v>3146</v>
      </c>
      <c r="C2031" t="s">
        <v>23</v>
      </c>
      <c r="D2031" t="s">
        <v>24</v>
      </c>
      <c r="E2031" t="s">
        <v>25</v>
      </c>
      <c r="F2031">
        <v>1</v>
      </c>
      <c r="G2031">
        <v>9791136950819</v>
      </c>
      <c r="H2031" t="s">
        <v>26</v>
      </c>
      <c r="I2031" t="s">
        <v>420</v>
      </c>
      <c r="J2031" t="s">
        <v>421</v>
      </c>
      <c r="K2031" t="s">
        <v>29</v>
      </c>
      <c r="L2031">
        <v>0</v>
      </c>
      <c r="M2031" t="s">
        <v>29</v>
      </c>
      <c r="N2031">
        <v>0</v>
      </c>
      <c r="O2031">
        <v>0</v>
      </c>
      <c r="P2031" t="s">
        <v>30</v>
      </c>
      <c r="Q2031" s="2">
        <v>0.7</v>
      </c>
      <c r="R2031">
        <v>0</v>
      </c>
      <c r="V2031" t="str">
        <f>VLOOKUP(H2031,'[1]팀별 출판사'!A:B,2,0)</f>
        <v>소설1팀</v>
      </c>
      <c r="W2031" s="6">
        <f t="shared" si="62"/>
        <v>0</v>
      </c>
      <c r="X2031" s="6">
        <f t="shared" si="63"/>
        <v>0</v>
      </c>
    </row>
    <row r="2032" spans="1:24" x14ac:dyDescent="0.3">
      <c r="A2032" t="s">
        <v>3011</v>
      </c>
      <c r="B2032" t="s">
        <v>3147</v>
      </c>
      <c r="C2032" t="s">
        <v>23</v>
      </c>
      <c r="D2032" t="s">
        <v>24</v>
      </c>
      <c r="E2032" t="s">
        <v>25</v>
      </c>
      <c r="F2032">
        <v>1</v>
      </c>
      <c r="G2032">
        <v>9791170100379</v>
      </c>
      <c r="H2032" t="s">
        <v>67</v>
      </c>
      <c r="I2032" t="s">
        <v>1006</v>
      </c>
      <c r="J2032" t="s">
        <v>1007</v>
      </c>
      <c r="K2032" t="s">
        <v>29</v>
      </c>
      <c r="L2032">
        <v>0</v>
      </c>
      <c r="M2032" t="s">
        <v>29</v>
      </c>
      <c r="N2032">
        <v>0</v>
      </c>
      <c r="O2032">
        <v>0</v>
      </c>
      <c r="P2032" t="s">
        <v>30</v>
      </c>
      <c r="Q2032" s="2">
        <v>0.7</v>
      </c>
      <c r="R2032">
        <v>0</v>
      </c>
      <c r="V2032" t="str">
        <f>VLOOKUP(H2032,'[1]팀별 출판사'!A:B,2,0)</f>
        <v>소설1팀</v>
      </c>
      <c r="W2032" s="6">
        <f t="shared" si="62"/>
        <v>0</v>
      </c>
      <c r="X2032" s="6">
        <f t="shared" si="63"/>
        <v>0</v>
      </c>
    </row>
    <row r="2033" spans="1:24" x14ac:dyDescent="0.3">
      <c r="A2033" t="s">
        <v>3011</v>
      </c>
      <c r="B2033" t="s">
        <v>3148</v>
      </c>
      <c r="C2033" t="s">
        <v>23</v>
      </c>
      <c r="D2033" t="s">
        <v>24</v>
      </c>
      <c r="E2033" t="s">
        <v>25</v>
      </c>
      <c r="F2033">
        <v>1</v>
      </c>
      <c r="G2033">
        <v>9791136930286</v>
      </c>
      <c r="H2033" t="s">
        <v>32</v>
      </c>
      <c r="I2033" t="s">
        <v>3149</v>
      </c>
      <c r="J2033" t="s">
        <v>157</v>
      </c>
      <c r="K2033" t="s">
        <v>29</v>
      </c>
      <c r="L2033">
        <v>0</v>
      </c>
      <c r="M2033" t="s">
        <v>29</v>
      </c>
      <c r="N2033">
        <v>0</v>
      </c>
      <c r="O2033">
        <v>0</v>
      </c>
      <c r="P2033" t="s">
        <v>30</v>
      </c>
      <c r="Q2033" s="2">
        <v>0.7</v>
      </c>
      <c r="R2033">
        <v>0</v>
      </c>
      <c r="V2033" t="str">
        <f>VLOOKUP(H2033,'[1]팀별 출판사'!A:B,2,0)</f>
        <v>소설1팀</v>
      </c>
      <c r="W2033" s="6">
        <f t="shared" si="62"/>
        <v>0</v>
      </c>
      <c r="X2033" s="6">
        <f t="shared" si="63"/>
        <v>0</v>
      </c>
    </row>
    <row r="2034" spans="1:24" x14ac:dyDescent="0.3">
      <c r="A2034" t="s">
        <v>3011</v>
      </c>
      <c r="B2034" t="s">
        <v>3150</v>
      </c>
      <c r="C2034" t="s">
        <v>23</v>
      </c>
      <c r="D2034" t="s">
        <v>24</v>
      </c>
      <c r="E2034" t="s">
        <v>25</v>
      </c>
      <c r="F2034">
        <v>1</v>
      </c>
      <c r="G2034">
        <v>9791136941862</v>
      </c>
      <c r="H2034" t="s">
        <v>26</v>
      </c>
      <c r="I2034" t="s">
        <v>894</v>
      </c>
      <c r="J2034" t="s">
        <v>81</v>
      </c>
      <c r="K2034" t="s">
        <v>29</v>
      </c>
      <c r="L2034">
        <v>0</v>
      </c>
      <c r="M2034" t="s">
        <v>70</v>
      </c>
      <c r="N2034">
        <v>0</v>
      </c>
      <c r="O2034">
        <v>0</v>
      </c>
      <c r="P2034" t="s">
        <v>71</v>
      </c>
      <c r="Q2034" s="2">
        <v>0.7</v>
      </c>
      <c r="R2034">
        <v>0</v>
      </c>
      <c r="V2034" t="str">
        <f>VLOOKUP(H2034,'[1]팀별 출판사'!A:B,2,0)</f>
        <v>소설1팀</v>
      </c>
      <c r="W2034" s="6">
        <f t="shared" si="62"/>
        <v>0</v>
      </c>
      <c r="X2034" s="6">
        <f t="shared" si="63"/>
        <v>0</v>
      </c>
    </row>
    <row r="2035" spans="1:24" x14ac:dyDescent="0.3">
      <c r="A2035" t="s">
        <v>3011</v>
      </c>
      <c r="B2035" t="s">
        <v>3151</v>
      </c>
      <c r="C2035" t="s">
        <v>23</v>
      </c>
      <c r="D2035" t="s">
        <v>24</v>
      </c>
      <c r="E2035" t="s">
        <v>25</v>
      </c>
      <c r="F2035">
        <v>1</v>
      </c>
      <c r="G2035">
        <v>9791133148462</v>
      </c>
      <c r="H2035" t="s">
        <v>32</v>
      </c>
      <c r="I2035" t="s">
        <v>1592</v>
      </c>
      <c r="J2035" t="s">
        <v>284</v>
      </c>
      <c r="K2035" t="s">
        <v>29</v>
      </c>
      <c r="L2035">
        <v>0</v>
      </c>
      <c r="M2035" t="s">
        <v>29</v>
      </c>
      <c r="N2035">
        <v>0</v>
      </c>
      <c r="O2035">
        <v>0</v>
      </c>
      <c r="P2035" t="s">
        <v>30</v>
      </c>
      <c r="Q2035" s="2">
        <v>0.7</v>
      </c>
      <c r="R2035">
        <v>0</v>
      </c>
      <c r="V2035" t="str">
        <f>VLOOKUP(H2035,'[1]팀별 출판사'!A:B,2,0)</f>
        <v>소설1팀</v>
      </c>
      <c r="W2035" s="6">
        <f t="shared" si="62"/>
        <v>0</v>
      </c>
      <c r="X2035" s="6">
        <f t="shared" si="63"/>
        <v>0</v>
      </c>
    </row>
    <row r="2036" spans="1:24" x14ac:dyDescent="0.3">
      <c r="A2036" t="s">
        <v>3011</v>
      </c>
      <c r="B2036" t="s">
        <v>3152</v>
      </c>
      <c r="C2036" t="s">
        <v>23</v>
      </c>
      <c r="D2036" t="s">
        <v>24</v>
      </c>
      <c r="E2036" t="s">
        <v>25</v>
      </c>
      <c r="F2036">
        <v>1</v>
      </c>
      <c r="G2036">
        <v>9791170100386</v>
      </c>
      <c r="H2036" t="s">
        <v>67</v>
      </c>
      <c r="I2036" t="s">
        <v>3153</v>
      </c>
      <c r="J2036" t="s">
        <v>1007</v>
      </c>
      <c r="K2036" t="s">
        <v>29</v>
      </c>
      <c r="L2036" s="1">
        <v>2500</v>
      </c>
      <c r="M2036" t="s">
        <v>29</v>
      </c>
      <c r="N2036" s="1">
        <v>2500</v>
      </c>
      <c r="O2036" s="1">
        <v>2500</v>
      </c>
      <c r="P2036" t="s">
        <v>30</v>
      </c>
      <c r="Q2036" s="2">
        <v>0.7</v>
      </c>
      <c r="R2036" s="1">
        <v>1750</v>
      </c>
      <c r="S2036" t="s">
        <v>29</v>
      </c>
      <c r="T2036" s="1">
        <v>1750</v>
      </c>
      <c r="V2036" t="str">
        <f>VLOOKUP(H2036,'[1]팀별 출판사'!A:B,2,0)</f>
        <v>소설1팀</v>
      </c>
      <c r="W2036" s="6">
        <f t="shared" si="62"/>
        <v>0</v>
      </c>
      <c r="X2036" s="6">
        <f t="shared" si="63"/>
        <v>1750</v>
      </c>
    </row>
    <row r="2037" spans="1:24" x14ac:dyDescent="0.3">
      <c r="A2037" t="s">
        <v>3011</v>
      </c>
      <c r="B2037" t="s">
        <v>3154</v>
      </c>
      <c r="C2037" t="s">
        <v>23</v>
      </c>
      <c r="D2037" t="s">
        <v>24</v>
      </c>
      <c r="E2037" t="s">
        <v>25</v>
      </c>
      <c r="F2037">
        <v>1</v>
      </c>
      <c r="G2037">
        <v>9791136941879</v>
      </c>
      <c r="H2037" t="s">
        <v>26</v>
      </c>
      <c r="I2037" t="s">
        <v>3155</v>
      </c>
      <c r="J2037" t="s">
        <v>81</v>
      </c>
      <c r="K2037" t="s">
        <v>29</v>
      </c>
      <c r="L2037" s="1">
        <v>3200</v>
      </c>
      <c r="M2037" t="s">
        <v>70</v>
      </c>
      <c r="N2037">
        <v>2.2200000000000002</v>
      </c>
      <c r="O2037">
        <v>2.2200000000000002</v>
      </c>
      <c r="P2037" t="s">
        <v>71</v>
      </c>
      <c r="Q2037" s="2">
        <v>0.7</v>
      </c>
      <c r="R2037">
        <v>1.55</v>
      </c>
      <c r="S2037" t="s">
        <v>29</v>
      </c>
      <c r="T2037" s="1">
        <v>2238</v>
      </c>
      <c r="U2037" s="3">
        <v>1443.82</v>
      </c>
      <c r="V2037" t="str">
        <f>VLOOKUP(H2037,'[1]팀별 출판사'!A:B,2,0)</f>
        <v>소설1팀</v>
      </c>
      <c r="W2037" s="6">
        <f t="shared" si="62"/>
        <v>671.4</v>
      </c>
      <c r="X2037" s="6">
        <f t="shared" si="63"/>
        <v>1566.6</v>
      </c>
    </row>
    <row r="2038" spans="1:24" x14ac:dyDescent="0.3">
      <c r="A2038" t="s">
        <v>3011</v>
      </c>
      <c r="B2038" t="s">
        <v>3156</v>
      </c>
      <c r="C2038" t="s">
        <v>23</v>
      </c>
      <c r="D2038" t="s">
        <v>24</v>
      </c>
      <c r="E2038" t="s">
        <v>25</v>
      </c>
      <c r="F2038">
        <v>1</v>
      </c>
      <c r="G2038">
        <v>9791136999689</v>
      </c>
      <c r="H2038" t="s">
        <v>26</v>
      </c>
      <c r="I2038" t="s">
        <v>3157</v>
      </c>
      <c r="J2038" t="s">
        <v>937</v>
      </c>
      <c r="K2038" t="s">
        <v>29</v>
      </c>
      <c r="L2038" s="1">
        <v>3200</v>
      </c>
      <c r="M2038" t="s">
        <v>29</v>
      </c>
      <c r="N2038" s="1">
        <v>3200</v>
      </c>
      <c r="O2038" s="1">
        <v>3200</v>
      </c>
      <c r="P2038" t="s">
        <v>30</v>
      </c>
      <c r="Q2038" s="2">
        <v>0.7</v>
      </c>
      <c r="R2038" s="1">
        <v>2240</v>
      </c>
      <c r="S2038" t="s">
        <v>29</v>
      </c>
      <c r="T2038" s="1">
        <v>2240</v>
      </c>
      <c r="V2038" t="str">
        <f>VLOOKUP(H2038,'[1]팀별 출판사'!A:B,2,0)</f>
        <v>소설1팀</v>
      </c>
      <c r="W2038" s="6">
        <f t="shared" si="62"/>
        <v>0</v>
      </c>
      <c r="X2038" s="6">
        <f t="shared" si="63"/>
        <v>2240</v>
      </c>
    </row>
    <row r="2039" spans="1:24" x14ac:dyDescent="0.3">
      <c r="A2039" t="s">
        <v>3011</v>
      </c>
      <c r="B2039" t="s">
        <v>3158</v>
      </c>
      <c r="C2039" t="s">
        <v>23</v>
      </c>
      <c r="D2039" t="s">
        <v>24</v>
      </c>
      <c r="E2039" t="s">
        <v>25</v>
      </c>
      <c r="F2039">
        <v>1</v>
      </c>
      <c r="G2039">
        <v>9791136935823</v>
      </c>
      <c r="H2039" t="s">
        <v>26</v>
      </c>
      <c r="I2039" t="s">
        <v>3159</v>
      </c>
      <c r="J2039" t="s">
        <v>147</v>
      </c>
      <c r="K2039" t="s">
        <v>29</v>
      </c>
      <c r="L2039">
        <v>0</v>
      </c>
      <c r="M2039" t="s">
        <v>29</v>
      </c>
      <c r="N2039">
        <v>0</v>
      </c>
      <c r="O2039">
        <v>0</v>
      </c>
      <c r="P2039" t="s">
        <v>30</v>
      </c>
      <c r="Q2039" s="2">
        <v>0.7</v>
      </c>
      <c r="R2039">
        <v>0</v>
      </c>
      <c r="V2039" t="str">
        <f>VLOOKUP(H2039,'[1]팀별 출판사'!A:B,2,0)</f>
        <v>소설1팀</v>
      </c>
      <c r="W2039" s="6">
        <f t="shared" si="62"/>
        <v>0</v>
      </c>
      <c r="X2039" s="6">
        <f t="shared" si="63"/>
        <v>0</v>
      </c>
    </row>
    <row r="2040" spans="1:24" x14ac:dyDescent="0.3">
      <c r="A2040" t="s">
        <v>3011</v>
      </c>
      <c r="B2040" t="s">
        <v>3160</v>
      </c>
      <c r="C2040" t="s">
        <v>23</v>
      </c>
      <c r="D2040" t="s">
        <v>24</v>
      </c>
      <c r="E2040" t="s">
        <v>25</v>
      </c>
      <c r="F2040">
        <v>1</v>
      </c>
      <c r="G2040">
        <v>9791136903754</v>
      </c>
      <c r="H2040" t="s">
        <v>26</v>
      </c>
      <c r="I2040" t="s">
        <v>361</v>
      </c>
      <c r="J2040" t="s">
        <v>256</v>
      </c>
      <c r="K2040" t="s">
        <v>29</v>
      </c>
      <c r="L2040">
        <v>0</v>
      </c>
      <c r="M2040" t="s">
        <v>29</v>
      </c>
      <c r="N2040">
        <v>0</v>
      </c>
      <c r="O2040">
        <v>0</v>
      </c>
      <c r="P2040" t="s">
        <v>30</v>
      </c>
      <c r="Q2040" s="2">
        <v>0.7</v>
      </c>
      <c r="R2040">
        <v>0</v>
      </c>
      <c r="V2040" t="str">
        <f>VLOOKUP(H2040,'[1]팀별 출판사'!A:B,2,0)</f>
        <v>소설1팀</v>
      </c>
      <c r="W2040" s="6">
        <f t="shared" si="62"/>
        <v>0</v>
      </c>
      <c r="X2040" s="6">
        <f t="shared" si="63"/>
        <v>0</v>
      </c>
    </row>
    <row r="2041" spans="1:24" x14ac:dyDescent="0.3">
      <c r="A2041" t="s">
        <v>3011</v>
      </c>
      <c r="B2041" t="s">
        <v>3161</v>
      </c>
      <c r="C2041" t="s">
        <v>23</v>
      </c>
      <c r="D2041" t="s">
        <v>24</v>
      </c>
      <c r="E2041" t="s">
        <v>25</v>
      </c>
      <c r="F2041">
        <v>1</v>
      </c>
      <c r="G2041">
        <v>9791133188260</v>
      </c>
      <c r="H2041" t="s">
        <v>26</v>
      </c>
      <c r="I2041" t="s">
        <v>822</v>
      </c>
      <c r="J2041" t="s">
        <v>743</v>
      </c>
      <c r="K2041" t="s">
        <v>29</v>
      </c>
      <c r="L2041">
        <v>0</v>
      </c>
      <c r="M2041" t="s">
        <v>29</v>
      </c>
      <c r="N2041">
        <v>0</v>
      </c>
      <c r="O2041">
        <v>0</v>
      </c>
      <c r="P2041" t="s">
        <v>30</v>
      </c>
      <c r="Q2041" s="2">
        <v>0.7</v>
      </c>
      <c r="R2041">
        <v>0</v>
      </c>
      <c r="V2041" t="str">
        <f>VLOOKUP(H2041,'[1]팀별 출판사'!A:B,2,0)</f>
        <v>소설1팀</v>
      </c>
      <c r="W2041" s="6">
        <f t="shared" si="62"/>
        <v>0</v>
      </c>
      <c r="X2041" s="6">
        <f t="shared" si="63"/>
        <v>0</v>
      </c>
    </row>
    <row r="2042" spans="1:24" x14ac:dyDescent="0.3">
      <c r="A2042" t="s">
        <v>3011</v>
      </c>
      <c r="B2042" t="s">
        <v>3162</v>
      </c>
      <c r="C2042" t="s">
        <v>23</v>
      </c>
      <c r="D2042" t="s">
        <v>24</v>
      </c>
      <c r="E2042" t="s">
        <v>25</v>
      </c>
      <c r="F2042">
        <v>1</v>
      </c>
      <c r="G2042">
        <v>9791136925664</v>
      </c>
      <c r="H2042" t="s">
        <v>26</v>
      </c>
      <c r="I2042" t="s">
        <v>453</v>
      </c>
      <c r="J2042" t="s">
        <v>62</v>
      </c>
      <c r="K2042" t="s">
        <v>29</v>
      </c>
      <c r="L2042">
        <v>0</v>
      </c>
      <c r="M2042" t="s">
        <v>29</v>
      </c>
      <c r="N2042">
        <v>0</v>
      </c>
      <c r="O2042">
        <v>0</v>
      </c>
      <c r="P2042" t="s">
        <v>30</v>
      </c>
      <c r="Q2042" s="2">
        <v>0.7</v>
      </c>
      <c r="R2042">
        <v>0</v>
      </c>
      <c r="V2042" t="str">
        <f>VLOOKUP(H2042,'[1]팀별 출판사'!A:B,2,0)</f>
        <v>소설1팀</v>
      </c>
      <c r="W2042" s="6">
        <f t="shared" si="62"/>
        <v>0</v>
      </c>
      <c r="X2042" s="6">
        <f t="shared" si="63"/>
        <v>0</v>
      </c>
    </row>
    <row r="2043" spans="1:24" x14ac:dyDescent="0.3">
      <c r="A2043" t="s">
        <v>3011</v>
      </c>
      <c r="B2043" t="s">
        <v>3163</v>
      </c>
      <c r="C2043" t="s">
        <v>23</v>
      </c>
      <c r="D2043" t="s">
        <v>24</v>
      </c>
      <c r="E2043" t="s">
        <v>25</v>
      </c>
      <c r="F2043">
        <v>1</v>
      </c>
      <c r="G2043">
        <v>9791173788864</v>
      </c>
      <c r="H2043" t="s">
        <v>26</v>
      </c>
      <c r="I2043" t="s">
        <v>1930</v>
      </c>
      <c r="J2043" t="s">
        <v>256</v>
      </c>
      <c r="K2043" t="s">
        <v>29</v>
      </c>
      <c r="L2043">
        <v>0</v>
      </c>
      <c r="M2043" t="s">
        <v>29</v>
      </c>
      <c r="N2043">
        <v>0</v>
      </c>
      <c r="O2043">
        <v>0</v>
      </c>
      <c r="P2043" t="s">
        <v>30</v>
      </c>
      <c r="Q2043" s="2">
        <v>0.7</v>
      </c>
      <c r="R2043">
        <v>0</v>
      </c>
      <c r="V2043" t="str">
        <f>VLOOKUP(H2043,'[1]팀별 출판사'!A:B,2,0)</f>
        <v>소설1팀</v>
      </c>
      <c r="W2043" s="6">
        <f t="shared" si="62"/>
        <v>0</v>
      </c>
      <c r="X2043" s="6">
        <f t="shared" si="63"/>
        <v>0</v>
      </c>
    </row>
    <row r="2044" spans="1:24" x14ac:dyDescent="0.3">
      <c r="A2044" t="s">
        <v>3011</v>
      </c>
      <c r="B2044" t="s">
        <v>3164</v>
      </c>
      <c r="C2044" t="s">
        <v>23</v>
      </c>
      <c r="D2044" t="s">
        <v>24</v>
      </c>
      <c r="E2044" t="s">
        <v>25</v>
      </c>
      <c r="F2044">
        <v>1</v>
      </c>
      <c r="G2044">
        <v>9791136928863</v>
      </c>
      <c r="H2044" t="s">
        <v>26</v>
      </c>
      <c r="I2044" t="s">
        <v>2981</v>
      </c>
      <c r="J2044" t="s">
        <v>62</v>
      </c>
      <c r="K2044" t="s">
        <v>29</v>
      </c>
      <c r="L2044">
        <v>0</v>
      </c>
      <c r="M2044" t="s">
        <v>70</v>
      </c>
      <c r="N2044">
        <v>0</v>
      </c>
      <c r="O2044">
        <v>0</v>
      </c>
      <c r="P2044" t="s">
        <v>71</v>
      </c>
      <c r="Q2044" s="2">
        <v>0.7</v>
      </c>
      <c r="R2044">
        <v>0</v>
      </c>
      <c r="V2044" t="str">
        <f>VLOOKUP(H2044,'[1]팀별 출판사'!A:B,2,0)</f>
        <v>소설1팀</v>
      </c>
      <c r="W2044" s="6">
        <f t="shared" si="62"/>
        <v>0</v>
      </c>
      <c r="X2044" s="6">
        <f t="shared" si="63"/>
        <v>0</v>
      </c>
    </row>
    <row r="2045" spans="1:24" x14ac:dyDescent="0.3">
      <c r="A2045" t="s">
        <v>3011</v>
      </c>
      <c r="B2045" t="s">
        <v>3165</v>
      </c>
      <c r="C2045" t="s">
        <v>23</v>
      </c>
      <c r="D2045" t="s">
        <v>24</v>
      </c>
      <c r="E2045" t="s">
        <v>25</v>
      </c>
      <c r="F2045">
        <v>1</v>
      </c>
      <c r="G2045">
        <v>9791136928887</v>
      </c>
      <c r="H2045" t="s">
        <v>26</v>
      </c>
      <c r="I2045" t="s">
        <v>3166</v>
      </c>
      <c r="J2045" t="s">
        <v>62</v>
      </c>
      <c r="K2045" t="s">
        <v>29</v>
      </c>
      <c r="L2045" s="1">
        <v>3200</v>
      </c>
      <c r="M2045" t="s">
        <v>29</v>
      </c>
      <c r="N2045" s="1">
        <v>3200</v>
      </c>
      <c r="O2045" s="1">
        <v>3200</v>
      </c>
      <c r="P2045" t="s">
        <v>30</v>
      </c>
      <c r="Q2045" s="2">
        <v>0.7</v>
      </c>
      <c r="R2045" s="1">
        <v>2240</v>
      </c>
      <c r="S2045" t="s">
        <v>29</v>
      </c>
      <c r="T2045" s="1">
        <v>2240</v>
      </c>
      <c r="V2045" t="str">
        <f>VLOOKUP(H2045,'[1]팀별 출판사'!A:B,2,0)</f>
        <v>소설1팀</v>
      </c>
      <c r="W2045" s="6">
        <f t="shared" si="62"/>
        <v>0</v>
      </c>
      <c r="X2045" s="6">
        <f t="shared" si="63"/>
        <v>2240</v>
      </c>
    </row>
    <row r="2046" spans="1:24" x14ac:dyDescent="0.3">
      <c r="A2046" t="s">
        <v>3011</v>
      </c>
      <c r="B2046" t="s">
        <v>3167</v>
      </c>
      <c r="C2046" t="s">
        <v>23</v>
      </c>
      <c r="D2046" t="s">
        <v>24</v>
      </c>
      <c r="E2046" t="s">
        <v>25</v>
      </c>
      <c r="F2046">
        <v>1</v>
      </c>
      <c r="G2046">
        <v>9791172924850</v>
      </c>
      <c r="H2046" t="s">
        <v>26</v>
      </c>
      <c r="I2046" t="s">
        <v>61</v>
      </c>
      <c r="J2046" t="s">
        <v>62</v>
      </c>
      <c r="K2046" t="s">
        <v>29</v>
      </c>
      <c r="L2046">
        <v>0</v>
      </c>
      <c r="M2046" t="s">
        <v>29</v>
      </c>
      <c r="N2046">
        <v>0</v>
      </c>
      <c r="O2046">
        <v>0</v>
      </c>
      <c r="P2046" t="s">
        <v>30</v>
      </c>
      <c r="Q2046" s="2">
        <v>0.7</v>
      </c>
      <c r="R2046">
        <v>0</v>
      </c>
      <c r="V2046" t="str">
        <f>VLOOKUP(H2046,'[1]팀별 출판사'!A:B,2,0)</f>
        <v>소설1팀</v>
      </c>
      <c r="W2046" s="6">
        <f t="shared" si="62"/>
        <v>0</v>
      </c>
      <c r="X2046" s="6">
        <f t="shared" si="63"/>
        <v>0</v>
      </c>
    </row>
    <row r="2047" spans="1:24" x14ac:dyDescent="0.3">
      <c r="A2047" t="s">
        <v>3011</v>
      </c>
      <c r="B2047" t="s">
        <v>3168</v>
      </c>
      <c r="C2047" t="s">
        <v>23</v>
      </c>
      <c r="D2047" t="s">
        <v>24</v>
      </c>
      <c r="E2047" t="s">
        <v>25</v>
      </c>
      <c r="F2047">
        <v>1</v>
      </c>
      <c r="G2047">
        <v>9791133101887</v>
      </c>
      <c r="H2047" t="s">
        <v>32</v>
      </c>
      <c r="I2047" t="s">
        <v>3169</v>
      </c>
      <c r="J2047" t="s">
        <v>160</v>
      </c>
      <c r="K2047" t="s">
        <v>29</v>
      </c>
      <c r="L2047" s="1">
        <v>3000</v>
      </c>
      <c r="M2047" t="s">
        <v>29</v>
      </c>
      <c r="N2047" s="1">
        <v>3000</v>
      </c>
      <c r="O2047" s="1">
        <v>3000</v>
      </c>
      <c r="P2047" t="s">
        <v>30</v>
      </c>
      <c r="Q2047" s="2">
        <v>0.7</v>
      </c>
      <c r="R2047" s="1">
        <v>2100</v>
      </c>
      <c r="S2047" t="s">
        <v>29</v>
      </c>
      <c r="T2047" s="1">
        <v>2100</v>
      </c>
      <c r="V2047" t="str">
        <f>VLOOKUP(H2047,'[1]팀별 출판사'!A:B,2,0)</f>
        <v>소설1팀</v>
      </c>
      <c r="W2047" s="6">
        <f t="shared" si="62"/>
        <v>0</v>
      </c>
      <c r="X2047" s="6">
        <f t="shared" si="63"/>
        <v>2100</v>
      </c>
    </row>
    <row r="2048" spans="1:24" x14ac:dyDescent="0.3">
      <c r="A2048" t="s">
        <v>3011</v>
      </c>
      <c r="B2048" t="s">
        <v>3170</v>
      </c>
      <c r="C2048" t="s">
        <v>23</v>
      </c>
      <c r="D2048" t="s">
        <v>24</v>
      </c>
      <c r="E2048" t="s">
        <v>25</v>
      </c>
      <c r="F2048">
        <v>1</v>
      </c>
      <c r="G2048">
        <v>9791157532629</v>
      </c>
      <c r="H2048" t="s">
        <v>32</v>
      </c>
      <c r="I2048" t="s">
        <v>1170</v>
      </c>
      <c r="J2048" t="s">
        <v>187</v>
      </c>
      <c r="K2048" t="s">
        <v>29</v>
      </c>
      <c r="L2048">
        <v>0</v>
      </c>
      <c r="M2048" t="s">
        <v>29</v>
      </c>
      <c r="N2048">
        <v>0</v>
      </c>
      <c r="O2048">
        <v>0</v>
      </c>
      <c r="P2048" t="s">
        <v>30</v>
      </c>
      <c r="Q2048" s="2">
        <v>0.7</v>
      </c>
      <c r="R2048">
        <v>0</v>
      </c>
      <c r="V2048" t="str">
        <f>VLOOKUP(H2048,'[1]팀별 출판사'!A:B,2,0)</f>
        <v>소설1팀</v>
      </c>
      <c r="W2048" s="6">
        <f t="shared" si="62"/>
        <v>0</v>
      </c>
      <c r="X2048" s="6">
        <f t="shared" si="63"/>
        <v>0</v>
      </c>
    </row>
    <row r="2049" spans="1:24" x14ac:dyDescent="0.3">
      <c r="A2049" t="s">
        <v>3011</v>
      </c>
      <c r="B2049" t="s">
        <v>3171</v>
      </c>
      <c r="C2049" t="s">
        <v>23</v>
      </c>
      <c r="D2049" t="s">
        <v>24</v>
      </c>
      <c r="E2049" t="s">
        <v>25</v>
      </c>
      <c r="F2049">
        <v>1</v>
      </c>
      <c r="G2049">
        <v>9791136903754</v>
      </c>
      <c r="H2049" t="s">
        <v>26</v>
      </c>
      <c r="I2049" t="s">
        <v>361</v>
      </c>
      <c r="J2049" t="s">
        <v>256</v>
      </c>
      <c r="K2049" t="s">
        <v>29</v>
      </c>
      <c r="L2049">
        <v>0</v>
      </c>
      <c r="M2049" t="s">
        <v>29</v>
      </c>
      <c r="N2049">
        <v>0</v>
      </c>
      <c r="O2049">
        <v>0</v>
      </c>
      <c r="P2049" t="s">
        <v>30</v>
      </c>
      <c r="Q2049" s="2">
        <v>0.7</v>
      </c>
      <c r="R2049">
        <v>0</v>
      </c>
      <c r="V2049" t="str">
        <f>VLOOKUP(H2049,'[1]팀별 출판사'!A:B,2,0)</f>
        <v>소설1팀</v>
      </c>
      <c r="W2049" s="6">
        <f t="shared" si="62"/>
        <v>0</v>
      </c>
      <c r="X2049" s="6">
        <f t="shared" si="63"/>
        <v>0</v>
      </c>
    </row>
    <row r="2050" spans="1:24" x14ac:dyDescent="0.3">
      <c r="A2050" t="s">
        <v>3011</v>
      </c>
      <c r="B2050" t="s">
        <v>3172</v>
      </c>
      <c r="C2050" t="s">
        <v>23</v>
      </c>
      <c r="D2050" t="s">
        <v>24</v>
      </c>
      <c r="E2050" t="s">
        <v>25</v>
      </c>
      <c r="F2050">
        <v>1</v>
      </c>
      <c r="G2050">
        <v>9791133180073</v>
      </c>
      <c r="H2050" t="s">
        <v>26</v>
      </c>
      <c r="I2050" t="s">
        <v>3173</v>
      </c>
      <c r="J2050" t="s">
        <v>321</v>
      </c>
      <c r="K2050" t="s">
        <v>29</v>
      </c>
      <c r="L2050" s="1">
        <v>3200</v>
      </c>
      <c r="M2050" t="s">
        <v>29</v>
      </c>
      <c r="N2050" s="1">
        <v>3200</v>
      </c>
      <c r="O2050" s="1">
        <v>3200</v>
      </c>
      <c r="P2050" t="s">
        <v>30</v>
      </c>
      <c r="Q2050" s="2">
        <v>0.7</v>
      </c>
      <c r="R2050" s="1">
        <v>2240</v>
      </c>
      <c r="S2050" t="s">
        <v>29</v>
      </c>
      <c r="T2050" s="1">
        <v>2240</v>
      </c>
      <c r="V2050" t="str">
        <f>VLOOKUP(H2050,'[1]팀별 출판사'!A:B,2,0)</f>
        <v>소설1팀</v>
      </c>
      <c r="W2050" s="6">
        <f t="shared" ref="W2050:W2113" si="64">IF(P2050="US", T2050*30%, 0)</f>
        <v>0</v>
      </c>
      <c r="X2050" s="6">
        <f t="shared" ref="X2050:X2113" si="65">T2050-W2050</f>
        <v>2240</v>
      </c>
    </row>
    <row r="2051" spans="1:24" x14ac:dyDescent="0.3">
      <c r="A2051" t="s">
        <v>3011</v>
      </c>
      <c r="B2051" t="s">
        <v>3174</v>
      </c>
      <c r="C2051" t="s">
        <v>23</v>
      </c>
      <c r="D2051" t="s">
        <v>24</v>
      </c>
      <c r="E2051" t="s">
        <v>25</v>
      </c>
      <c r="F2051">
        <v>1</v>
      </c>
      <c r="G2051">
        <v>9791136942036</v>
      </c>
      <c r="H2051" t="s">
        <v>26</v>
      </c>
      <c r="I2051" t="s">
        <v>1941</v>
      </c>
      <c r="J2051" t="s">
        <v>81</v>
      </c>
      <c r="K2051" t="s">
        <v>29</v>
      </c>
      <c r="L2051">
        <v>0</v>
      </c>
      <c r="M2051" t="s">
        <v>29</v>
      </c>
      <c r="N2051">
        <v>0</v>
      </c>
      <c r="O2051">
        <v>0</v>
      </c>
      <c r="P2051" t="s">
        <v>30</v>
      </c>
      <c r="Q2051" s="2">
        <v>0.7</v>
      </c>
      <c r="R2051">
        <v>0</v>
      </c>
      <c r="V2051" t="str">
        <f>VLOOKUP(H2051,'[1]팀별 출판사'!A:B,2,0)</f>
        <v>소설1팀</v>
      </c>
      <c r="W2051" s="6">
        <f t="shared" si="64"/>
        <v>0</v>
      </c>
      <c r="X2051" s="6">
        <f t="shared" si="65"/>
        <v>0</v>
      </c>
    </row>
    <row r="2052" spans="1:24" x14ac:dyDescent="0.3">
      <c r="A2052" t="s">
        <v>3011</v>
      </c>
      <c r="B2052" t="s">
        <v>3175</v>
      </c>
      <c r="C2052" t="s">
        <v>23</v>
      </c>
      <c r="D2052" t="s">
        <v>24</v>
      </c>
      <c r="E2052" t="s">
        <v>25</v>
      </c>
      <c r="F2052">
        <v>1</v>
      </c>
      <c r="G2052">
        <v>9791157532346</v>
      </c>
      <c r="H2052" t="s">
        <v>32</v>
      </c>
      <c r="I2052" t="s">
        <v>3176</v>
      </c>
      <c r="J2052" t="s">
        <v>112</v>
      </c>
      <c r="K2052" t="s">
        <v>29</v>
      </c>
      <c r="L2052" s="1">
        <v>3200</v>
      </c>
      <c r="M2052" t="s">
        <v>29</v>
      </c>
      <c r="N2052" s="1">
        <v>3200</v>
      </c>
      <c r="O2052" s="1">
        <v>3200</v>
      </c>
      <c r="P2052" t="s">
        <v>30</v>
      </c>
      <c r="Q2052" s="2">
        <v>0.7</v>
      </c>
      <c r="R2052" s="1">
        <v>2240</v>
      </c>
      <c r="S2052" t="s">
        <v>29</v>
      </c>
      <c r="T2052" s="1">
        <v>2240</v>
      </c>
      <c r="V2052" t="str">
        <f>VLOOKUP(H2052,'[1]팀별 출판사'!A:B,2,0)</f>
        <v>소설1팀</v>
      </c>
      <c r="W2052" s="6">
        <f t="shared" si="64"/>
        <v>0</v>
      </c>
      <c r="X2052" s="6">
        <f t="shared" si="65"/>
        <v>2240</v>
      </c>
    </row>
    <row r="2053" spans="1:24" x14ac:dyDescent="0.3">
      <c r="A2053" t="s">
        <v>3011</v>
      </c>
      <c r="B2053" t="s">
        <v>3177</v>
      </c>
      <c r="C2053" t="s">
        <v>23</v>
      </c>
      <c r="D2053" t="s">
        <v>24</v>
      </c>
      <c r="E2053" t="s">
        <v>25</v>
      </c>
      <c r="F2053">
        <v>1</v>
      </c>
      <c r="G2053">
        <v>9791136940704</v>
      </c>
      <c r="H2053" t="s">
        <v>36</v>
      </c>
      <c r="I2053" t="s">
        <v>2260</v>
      </c>
      <c r="J2053" t="s">
        <v>38</v>
      </c>
      <c r="K2053" t="s">
        <v>29</v>
      </c>
      <c r="L2053" s="1">
        <v>3300</v>
      </c>
      <c r="M2053" t="s">
        <v>29</v>
      </c>
      <c r="N2053" s="1">
        <v>3300</v>
      </c>
      <c r="O2053" s="1">
        <v>3300</v>
      </c>
      <c r="P2053" t="s">
        <v>30</v>
      </c>
      <c r="Q2053" s="2">
        <v>0.7</v>
      </c>
      <c r="R2053" s="1">
        <v>2310</v>
      </c>
      <c r="S2053" t="s">
        <v>29</v>
      </c>
      <c r="T2053" s="1">
        <v>2310</v>
      </c>
      <c r="V2053" t="str">
        <f>VLOOKUP(H2053,'[1]팀별 출판사'!A:B,2,0)</f>
        <v>소설2팀</v>
      </c>
      <c r="W2053" s="6">
        <f t="shared" si="64"/>
        <v>0</v>
      </c>
      <c r="X2053" s="6">
        <f t="shared" si="65"/>
        <v>2310</v>
      </c>
    </row>
    <row r="2054" spans="1:24" x14ac:dyDescent="0.3">
      <c r="A2054" t="s">
        <v>3011</v>
      </c>
      <c r="B2054" t="s">
        <v>3177</v>
      </c>
      <c r="C2054" t="s">
        <v>23</v>
      </c>
      <c r="D2054" t="s">
        <v>24</v>
      </c>
      <c r="E2054" t="s">
        <v>25</v>
      </c>
      <c r="F2054">
        <v>1</v>
      </c>
      <c r="G2054">
        <v>9791136940728</v>
      </c>
      <c r="H2054" t="s">
        <v>36</v>
      </c>
      <c r="I2054" t="s">
        <v>2019</v>
      </c>
      <c r="J2054" t="s">
        <v>38</v>
      </c>
      <c r="K2054" t="s">
        <v>29</v>
      </c>
      <c r="L2054" s="1">
        <v>3300</v>
      </c>
      <c r="M2054" t="s">
        <v>29</v>
      </c>
      <c r="N2054" s="1">
        <v>3300</v>
      </c>
      <c r="O2054" s="1">
        <v>3300</v>
      </c>
      <c r="P2054" t="s">
        <v>30</v>
      </c>
      <c r="Q2054" s="2">
        <v>0.7</v>
      </c>
      <c r="R2054" s="1">
        <v>2310</v>
      </c>
      <c r="S2054" t="s">
        <v>29</v>
      </c>
      <c r="T2054" s="1">
        <v>2310</v>
      </c>
      <c r="V2054" t="str">
        <f>VLOOKUP(H2054,'[1]팀별 출판사'!A:B,2,0)</f>
        <v>소설2팀</v>
      </c>
      <c r="W2054" s="6">
        <f t="shared" si="64"/>
        <v>0</v>
      </c>
      <c r="X2054" s="6">
        <f t="shared" si="65"/>
        <v>2310</v>
      </c>
    </row>
    <row r="2055" spans="1:24" x14ac:dyDescent="0.3">
      <c r="A2055" t="s">
        <v>3011</v>
      </c>
      <c r="B2055" t="s">
        <v>3177</v>
      </c>
      <c r="C2055" t="s">
        <v>23</v>
      </c>
      <c r="D2055" t="s">
        <v>24</v>
      </c>
      <c r="E2055" t="s">
        <v>25</v>
      </c>
      <c r="F2055">
        <v>1</v>
      </c>
      <c r="G2055">
        <v>9791173786648</v>
      </c>
      <c r="H2055" t="s">
        <v>36</v>
      </c>
      <c r="I2055" t="s">
        <v>2003</v>
      </c>
      <c r="J2055" t="s">
        <v>38</v>
      </c>
      <c r="K2055" t="s">
        <v>29</v>
      </c>
      <c r="L2055" s="1">
        <v>1800</v>
      </c>
      <c r="M2055" t="s">
        <v>29</v>
      </c>
      <c r="N2055" s="1">
        <v>1800</v>
      </c>
      <c r="O2055" s="1">
        <v>1800</v>
      </c>
      <c r="P2055" t="s">
        <v>30</v>
      </c>
      <c r="Q2055" s="2">
        <v>0.7</v>
      </c>
      <c r="R2055" s="1">
        <v>1260</v>
      </c>
      <c r="S2055" t="s">
        <v>29</v>
      </c>
      <c r="T2055" s="1">
        <v>1260</v>
      </c>
      <c r="V2055" t="str">
        <f>VLOOKUP(H2055,'[1]팀별 출판사'!A:B,2,0)</f>
        <v>소설2팀</v>
      </c>
      <c r="W2055" s="6">
        <f t="shared" si="64"/>
        <v>0</v>
      </c>
      <c r="X2055" s="6">
        <f t="shared" si="65"/>
        <v>1260</v>
      </c>
    </row>
    <row r="2056" spans="1:24" x14ac:dyDescent="0.3">
      <c r="A2056" t="s">
        <v>3011</v>
      </c>
      <c r="B2056" t="s">
        <v>3178</v>
      </c>
      <c r="C2056" t="s">
        <v>23</v>
      </c>
      <c r="D2056" t="s">
        <v>24</v>
      </c>
      <c r="E2056" t="s">
        <v>25</v>
      </c>
      <c r="F2056">
        <v>1</v>
      </c>
      <c r="G2056">
        <v>9791194664369</v>
      </c>
      <c r="H2056" t="s">
        <v>79</v>
      </c>
      <c r="I2056" t="s">
        <v>156</v>
      </c>
      <c r="J2056" t="s">
        <v>157</v>
      </c>
      <c r="K2056" t="s">
        <v>29</v>
      </c>
      <c r="L2056">
        <v>0</v>
      </c>
      <c r="M2056" t="s">
        <v>47</v>
      </c>
      <c r="N2056">
        <v>0</v>
      </c>
      <c r="O2056">
        <v>0</v>
      </c>
      <c r="P2056" t="s">
        <v>48</v>
      </c>
      <c r="Q2056" s="2">
        <v>0.7</v>
      </c>
      <c r="R2056">
        <v>0</v>
      </c>
      <c r="V2056" t="str">
        <f>VLOOKUP(H2056,'[1]팀별 출판사'!A:B,2,0)</f>
        <v>소설1팀</v>
      </c>
      <c r="W2056" s="6">
        <f t="shared" si="64"/>
        <v>0</v>
      </c>
      <c r="X2056" s="6">
        <f t="shared" si="65"/>
        <v>0</v>
      </c>
    </row>
    <row r="2057" spans="1:24" x14ac:dyDescent="0.3">
      <c r="A2057" t="s">
        <v>3011</v>
      </c>
      <c r="B2057" t="s">
        <v>3179</v>
      </c>
      <c r="C2057" t="s">
        <v>23</v>
      </c>
      <c r="D2057" t="s">
        <v>24</v>
      </c>
      <c r="E2057" t="s">
        <v>25</v>
      </c>
      <c r="F2057">
        <v>1</v>
      </c>
      <c r="G2057">
        <v>9791133186501</v>
      </c>
      <c r="H2057" t="s">
        <v>26</v>
      </c>
      <c r="I2057" t="s">
        <v>64</v>
      </c>
      <c r="J2057" t="s">
        <v>65</v>
      </c>
      <c r="K2057" t="s">
        <v>29</v>
      </c>
      <c r="L2057">
        <v>0</v>
      </c>
      <c r="M2057" t="s">
        <v>29</v>
      </c>
      <c r="N2057">
        <v>0</v>
      </c>
      <c r="O2057">
        <v>0</v>
      </c>
      <c r="P2057" t="s">
        <v>30</v>
      </c>
      <c r="Q2057" s="2">
        <v>0.7</v>
      </c>
      <c r="R2057">
        <v>0</v>
      </c>
      <c r="V2057" t="str">
        <f>VLOOKUP(H2057,'[1]팀별 출판사'!A:B,2,0)</f>
        <v>소설1팀</v>
      </c>
      <c r="W2057" s="6">
        <f t="shared" si="64"/>
        <v>0</v>
      </c>
      <c r="X2057" s="6">
        <f t="shared" si="65"/>
        <v>0</v>
      </c>
    </row>
    <row r="2058" spans="1:24" x14ac:dyDescent="0.3">
      <c r="A2058" t="s">
        <v>3011</v>
      </c>
      <c r="B2058" t="s">
        <v>3180</v>
      </c>
      <c r="C2058" t="s">
        <v>23</v>
      </c>
      <c r="D2058" t="s">
        <v>24</v>
      </c>
      <c r="E2058" t="s">
        <v>25</v>
      </c>
      <c r="F2058">
        <v>1</v>
      </c>
      <c r="G2058">
        <v>9791173786136</v>
      </c>
      <c r="H2058" t="s">
        <v>79</v>
      </c>
      <c r="I2058" t="s">
        <v>1476</v>
      </c>
      <c r="J2058" t="s">
        <v>81</v>
      </c>
      <c r="K2058" t="s">
        <v>29</v>
      </c>
      <c r="L2058">
        <v>0</v>
      </c>
      <c r="M2058" t="s">
        <v>29</v>
      </c>
      <c r="N2058">
        <v>0</v>
      </c>
      <c r="O2058">
        <v>0</v>
      </c>
      <c r="P2058" t="s">
        <v>30</v>
      </c>
      <c r="Q2058" s="2">
        <v>0.7</v>
      </c>
      <c r="R2058">
        <v>0</v>
      </c>
      <c r="V2058" t="str">
        <f>VLOOKUP(H2058,'[1]팀별 출판사'!A:B,2,0)</f>
        <v>소설1팀</v>
      </c>
      <c r="W2058" s="6">
        <f t="shared" si="64"/>
        <v>0</v>
      </c>
      <c r="X2058" s="6">
        <f t="shared" si="65"/>
        <v>0</v>
      </c>
    </row>
    <row r="2059" spans="1:24" x14ac:dyDescent="0.3">
      <c r="A2059" t="s">
        <v>3011</v>
      </c>
      <c r="B2059" t="s">
        <v>3181</v>
      </c>
      <c r="C2059" t="s">
        <v>23</v>
      </c>
      <c r="D2059" t="s">
        <v>24</v>
      </c>
      <c r="E2059" t="s">
        <v>25</v>
      </c>
      <c r="F2059">
        <v>1</v>
      </c>
      <c r="G2059">
        <v>9791136950819</v>
      </c>
      <c r="H2059" t="s">
        <v>26</v>
      </c>
      <c r="I2059" t="s">
        <v>420</v>
      </c>
      <c r="J2059" t="s">
        <v>421</v>
      </c>
      <c r="K2059" t="s">
        <v>29</v>
      </c>
      <c r="L2059">
        <v>0</v>
      </c>
      <c r="M2059" t="s">
        <v>29</v>
      </c>
      <c r="N2059">
        <v>0</v>
      </c>
      <c r="O2059">
        <v>0</v>
      </c>
      <c r="P2059" t="s">
        <v>30</v>
      </c>
      <c r="Q2059" s="2">
        <v>0.7</v>
      </c>
      <c r="R2059">
        <v>0</v>
      </c>
      <c r="V2059" t="str">
        <f>VLOOKUP(H2059,'[1]팀별 출판사'!A:B,2,0)</f>
        <v>소설1팀</v>
      </c>
      <c r="W2059" s="6">
        <f t="shared" si="64"/>
        <v>0</v>
      </c>
      <c r="X2059" s="6">
        <f t="shared" si="65"/>
        <v>0</v>
      </c>
    </row>
    <row r="2060" spans="1:24" x14ac:dyDescent="0.3">
      <c r="A2060" t="s">
        <v>3011</v>
      </c>
      <c r="B2060" t="s">
        <v>3182</v>
      </c>
      <c r="C2060" t="s">
        <v>23</v>
      </c>
      <c r="D2060" t="s">
        <v>24</v>
      </c>
      <c r="E2060" t="s">
        <v>25</v>
      </c>
      <c r="F2060">
        <v>1</v>
      </c>
      <c r="G2060">
        <v>9791136943408</v>
      </c>
      <c r="H2060" t="s">
        <v>26</v>
      </c>
      <c r="I2060" t="s">
        <v>3183</v>
      </c>
      <c r="J2060" t="s">
        <v>284</v>
      </c>
      <c r="K2060" t="s">
        <v>29</v>
      </c>
      <c r="L2060" s="1">
        <v>3200</v>
      </c>
      <c r="M2060" t="s">
        <v>29</v>
      </c>
      <c r="N2060" s="1">
        <v>3200</v>
      </c>
      <c r="O2060" s="1">
        <v>3200</v>
      </c>
      <c r="P2060" t="s">
        <v>30</v>
      </c>
      <c r="Q2060" s="2">
        <v>0.7</v>
      </c>
      <c r="R2060" s="1">
        <v>2240</v>
      </c>
      <c r="S2060" t="s">
        <v>29</v>
      </c>
      <c r="T2060" s="1">
        <v>2240</v>
      </c>
      <c r="V2060" t="str">
        <f>VLOOKUP(H2060,'[1]팀별 출판사'!A:B,2,0)</f>
        <v>소설1팀</v>
      </c>
      <c r="W2060" s="6">
        <f t="shared" si="64"/>
        <v>0</v>
      </c>
      <c r="X2060" s="6">
        <f t="shared" si="65"/>
        <v>2240</v>
      </c>
    </row>
    <row r="2061" spans="1:24" x14ac:dyDescent="0.3">
      <c r="A2061" t="s">
        <v>3011</v>
      </c>
      <c r="B2061" t="s">
        <v>3184</v>
      </c>
      <c r="C2061" t="s">
        <v>23</v>
      </c>
      <c r="D2061" t="s">
        <v>24</v>
      </c>
      <c r="E2061" t="s">
        <v>25</v>
      </c>
      <c r="F2061">
        <v>1</v>
      </c>
      <c r="G2061">
        <v>9791136998903</v>
      </c>
      <c r="H2061" t="s">
        <v>26</v>
      </c>
      <c r="I2061" t="s">
        <v>3185</v>
      </c>
      <c r="J2061" t="s">
        <v>937</v>
      </c>
      <c r="K2061" t="s">
        <v>29</v>
      </c>
      <c r="L2061" s="1">
        <v>3200</v>
      </c>
      <c r="M2061" t="s">
        <v>29</v>
      </c>
      <c r="N2061" s="1">
        <v>3200</v>
      </c>
      <c r="O2061" s="1">
        <v>3200</v>
      </c>
      <c r="P2061" t="s">
        <v>30</v>
      </c>
      <c r="Q2061" s="2">
        <v>0.7</v>
      </c>
      <c r="R2061" s="1">
        <v>2240</v>
      </c>
      <c r="S2061" t="s">
        <v>29</v>
      </c>
      <c r="T2061" s="1">
        <v>2240</v>
      </c>
      <c r="V2061" t="str">
        <f>VLOOKUP(H2061,'[1]팀별 출판사'!A:B,2,0)</f>
        <v>소설1팀</v>
      </c>
      <c r="W2061" s="6">
        <f t="shared" si="64"/>
        <v>0</v>
      </c>
      <c r="X2061" s="6">
        <f t="shared" si="65"/>
        <v>2240</v>
      </c>
    </row>
    <row r="2062" spans="1:24" x14ac:dyDescent="0.3">
      <c r="A2062" t="s">
        <v>3011</v>
      </c>
      <c r="B2062" t="s">
        <v>3186</v>
      </c>
      <c r="C2062" t="s">
        <v>23</v>
      </c>
      <c r="D2062" t="s">
        <v>24</v>
      </c>
      <c r="E2062" t="s">
        <v>25</v>
      </c>
      <c r="F2062">
        <v>1</v>
      </c>
      <c r="G2062">
        <v>9791136941947</v>
      </c>
      <c r="H2062" t="s">
        <v>26</v>
      </c>
      <c r="I2062" t="s">
        <v>2384</v>
      </c>
      <c r="J2062" t="s">
        <v>2385</v>
      </c>
      <c r="K2062" t="s">
        <v>29</v>
      </c>
      <c r="L2062">
        <v>0</v>
      </c>
      <c r="M2062" t="s">
        <v>29</v>
      </c>
      <c r="N2062">
        <v>0</v>
      </c>
      <c r="O2062">
        <v>0</v>
      </c>
      <c r="P2062" t="s">
        <v>30</v>
      </c>
      <c r="Q2062" s="2">
        <v>0.7</v>
      </c>
      <c r="R2062">
        <v>0</v>
      </c>
      <c r="V2062" t="str">
        <f>VLOOKUP(H2062,'[1]팀별 출판사'!A:B,2,0)</f>
        <v>소설1팀</v>
      </c>
      <c r="W2062" s="6">
        <f t="shared" si="64"/>
        <v>0</v>
      </c>
      <c r="X2062" s="6">
        <f t="shared" si="65"/>
        <v>0</v>
      </c>
    </row>
    <row r="2063" spans="1:24" x14ac:dyDescent="0.3">
      <c r="A2063" t="s">
        <v>3011</v>
      </c>
      <c r="B2063" t="s">
        <v>3187</v>
      </c>
      <c r="C2063" t="s">
        <v>23</v>
      </c>
      <c r="D2063" t="s">
        <v>24</v>
      </c>
      <c r="E2063" t="s">
        <v>25</v>
      </c>
      <c r="F2063">
        <v>1</v>
      </c>
      <c r="G2063">
        <v>9791133173396</v>
      </c>
      <c r="H2063" t="s">
        <v>26</v>
      </c>
      <c r="I2063" t="s">
        <v>1955</v>
      </c>
      <c r="J2063" t="s">
        <v>287</v>
      </c>
      <c r="K2063" t="s">
        <v>29</v>
      </c>
      <c r="L2063" s="1">
        <v>2500</v>
      </c>
      <c r="M2063" t="s">
        <v>29</v>
      </c>
      <c r="N2063" s="1">
        <v>2500</v>
      </c>
      <c r="O2063" s="1">
        <v>2500</v>
      </c>
      <c r="P2063" t="s">
        <v>30</v>
      </c>
      <c r="Q2063" s="2">
        <v>0.7</v>
      </c>
      <c r="R2063" s="1">
        <v>1750</v>
      </c>
      <c r="S2063" t="s">
        <v>29</v>
      </c>
      <c r="T2063" s="1">
        <v>1750</v>
      </c>
      <c r="V2063" t="str">
        <f>VLOOKUP(H2063,'[1]팀별 출판사'!A:B,2,0)</f>
        <v>소설1팀</v>
      </c>
      <c r="W2063" s="6">
        <f t="shared" si="64"/>
        <v>0</v>
      </c>
      <c r="X2063" s="6">
        <f t="shared" si="65"/>
        <v>1750</v>
      </c>
    </row>
    <row r="2064" spans="1:24" x14ac:dyDescent="0.3">
      <c r="A2064" t="s">
        <v>3011</v>
      </c>
      <c r="B2064" t="s">
        <v>3188</v>
      </c>
      <c r="C2064" t="s">
        <v>23</v>
      </c>
      <c r="D2064" t="s">
        <v>24</v>
      </c>
      <c r="E2064" t="s">
        <v>25</v>
      </c>
      <c r="F2064">
        <v>1</v>
      </c>
      <c r="G2064">
        <v>9791170100164</v>
      </c>
      <c r="H2064" t="s">
        <v>67</v>
      </c>
      <c r="I2064" t="s">
        <v>106</v>
      </c>
      <c r="J2064" t="s">
        <v>107</v>
      </c>
      <c r="K2064" t="s">
        <v>29</v>
      </c>
      <c r="L2064">
        <v>0</v>
      </c>
      <c r="M2064" t="s">
        <v>29</v>
      </c>
      <c r="N2064">
        <v>0</v>
      </c>
      <c r="O2064">
        <v>0</v>
      </c>
      <c r="P2064" t="s">
        <v>30</v>
      </c>
      <c r="Q2064" s="2">
        <v>0.7</v>
      </c>
      <c r="R2064">
        <v>0</v>
      </c>
      <c r="V2064" t="str">
        <f>VLOOKUP(H2064,'[1]팀별 출판사'!A:B,2,0)</f>
        <v>소설1팀</v>
      </c>
      <c r="W2064" s="6">
        <f t="shared" si="64"/>
        <v>0</v>
      </c>
      <c r="X2064" s="6">
        <f t="shared" si="65"/>
        <v>0</v>
      </c>
    </row>
    <row r="2065" spans="1:24" x14ac:dyDescent="0.3">
      <c r="A2065" t="s">
        <v>3011</v>
      </c>
      <c r="B2065" t="s">
        <v>3189</v>
      </c>
      <c r="C2065" t="s">
        <v>23</v>
      </c>
      <c r="D2065" t="s">
        <v>24</v>
      </c>
      <c r="E2065" t="s">
        <v>25</v>
      </c>
      <c r="F2065">
        <v>1</v>
      </c>
      <c r="G2065">
        <v>9791136912732</v>
      </c>
      <c r="H2065" t="s">
        <v>26</v>
      </c>
      <c r="I2065" t="s">
        <v>1125</v>
      </c>
      <c r="J2065" t="s">
        <v>256</v>
      </c>
      <c r="K2065" t="s">
        <v>29</v>
      </c>
      <c r="L2065">
        <v>0</v>
      </c>
      <c r="M2065" t="s">
        <v>29</v>
      </c>
      <c r="N2065">
        <v>0</v>
      </c>
      <c r="O2065">
        <v>0</v>
      </c>
      <c r="P2065" t="s">
        <v>30</v>
      </c>
      <c r="Q2065" s="2">
        <v>0.7</v>
      </c>
      <c r="R2065">
        <v>0</v>
      </c>
      <c r="V2065" t="str">
        <f>VLOOKUP(H2065,'[1]팀별 출판사'!A:B,2,0)</f>
        <v>소설1팀</v>
      </c>
      <c r="W2065" s="6">
        <f t="shared" si="64"/>
        <v>0</v>
      </c>
      <c r="X2065" s="6">
        <f t="shared" si="65"/>
        <v>0</v>
      </c>
    </row>
    <row r="2066" spans="1:24" x14ac:dyDescent="0.3">
      <c r="A2066" t="s">
        <v>3011</v>
      </c>
      <c r="B2066" t="s">
        <v>3190</v>
      </c>
      <c r="C2066" t="s">
        <v>23</v>
      </c>
      <c r="D2066" t="s">
        <v>24</v>
      </c>
      <c r="E2066" t="s">
        <v>25</v>
      </c>
      <c r="F2066">
        <v>1</v>
      </c>
      <c r="G2066">
        <v>9791136903754</v>
      </c>
      <c r="H2066" t="s">
        <v>26</v>
      </c>
      <c r="I2066" t="s">
        <v>361</v>
      </c>
      <c r="J2066" t="s">
        <v>256</v>
      </c>
      <c r="K2066" t="s">
        <v>29</v>
      </c>
      <c r="L2066">
        <v>0</v>
      </c>
      <c r="M2066" t="s">
        <v>29</v>
      </c>
      <c r="N2066">
        <v>0</v>
      </c>
      <c r="O2066">
        <v>0</v>
      </c>
      <c r="P2066" t="s">
        <v>30</v>
      </c>
      <c r="Q2066" s="2">
        <v>0.7</v>
      </c>
      <c r="R2066">
        <v>0</v>
      </c>
      <c r="V2066" t="str">
        <f>VLOOKUP(H2066,'[1]팀별 출판사'!A:B,2,0)</f>
        <v>소설1팀</v>
      </c>
      <c r="W2066" s="6">
        <f t="shared" si="64"/>
        <v>0</v>
      </c>
      <c r="X2066" s="6">
        <f t="shared" si="65"/>
        <v>0</v>
      </c>
    </row>
    <row r="2067" spans="1:24" x14ac:dyDescent="0.3">
      <c r="A2067" t="s">
        <v>3011</v>
      </c>
      <c r="B2067" t="s">
        <v>3191</v>
      </c>
      <c r="C2067" t="s">
        <v>23</v>
      </c>
      <c r="D2067" t="s">
        <v>24</v>
      </c>
      <c r="E2067" t="s">
        <v>25</v>
      </c>
      <c r="F2067">
        <v>1</v>
      </c>
      <c r="G2067">
        <v>9791136930552</v>
      </c>
      <c r="H2067" t="s">
        <v>26</v>
      </c>
      <c r="I2067" t="s">
        <v>45</v>
      </c>
      <c r="J2067" t="s">
        <v>46</v>
      </c>
      <c r="K2067" t="s">
        <v>29</v>
      </c>
      <c r="L2067">
        <v>0</v>
      </c>
      <c r="M2067" t="s">
        <v>47</v>
      </c>
      <c r="N2067">
        <v>0</v>
      </c>
      <c r="O2067">
        <v>0</v>
      </c>
      <c r="P2067" t="s">
        <v>48</v>
      </c>
      <c r="Q2067" s="2">
        <v>0.7</v>
      </c>
      <c r="R2067">
        <v>0</v>
      </c>
      <c r="V2067" t="str">
        <f>VLOOKUP(H2067,'[1]팀별 출판사'!A:B,2,0)</f>
        <v>소설1팀</v>
      </c>
      <c r="W2067" s="6">
        <f t="shared" si="64"/>
        <v>0</v>
      </c>
      <c r="X2067" s="6">
        <f t="shared" si="65"/>
        <v>0</v>
      </c>
    </row>
    <row r="2068" spans="1:24" x14ac:dyDescent="0.3">
      <c r="A2068" t="s">
        <v>3011</v>
      </c>
      <c r="B2068" t="s">
        <v>3192</v>
      </c>
      <c r="C2068" t="s">
        <v>23</v>
      </c>
      <c r="D2068" t="s">
        <v>24</v>
      </c>
      <c r="E2068" t="s">
        <v>25</v>
      </c>
      <c r="F2068">
        <v>1</v>
      </c>
      <c r="G2068">
        <v>9791133130375</v>
      </c>
      <c r="H2068" t="s">
        <v>32</v>
      </c>
      <c r="I2068" t="s">
        <v>536</v>
      </c>
      <c r="J2068" t="s">
        <v>160</v>
      </c>
      <c r="K2068" t="s">
        <v>29</v>
      </c>
      <c r="L2068">
        <v>0</v>
      </c>
      <c r="M2068" t="s">
        <v>29</v>
      </c>
      <c r="N2068">
        <v>0</v>
      </c>
      <c r="O2068">
        <v>0</v>
      </c>
      <c r="P2068" t="s">
        <v>30</v>
      </c>
      <c r="Q2068" s="2">
        <v>0.7</v>
      </c>
      <c r="R2068">
        <v>0</v>
      </c>
      <c r="V2068" t="str">
        <f>VLOOKUP(H2068,'[1]팀별 출판사'!A:B,2,0)</f>
        <v>소설1팀</v>
      </c>
      <c r="W2068" s="6">
        <f t="shared" si="64"/>
        <v>0</v>
      </c>
      <c r="X2068" s="6">
        <f t="shared" si="65"/>
        <v>0</v>
      </c>
    </row>
    <row r="2069" spans="1:24" x14ac:dyDescent="0.3">
      <c r="A2069" t="s">
        <v>3011</v>
      </c>
      <c r="B2069" t="s">
        <v>3193</v>
      </c>
      <c r="C2069" t="s">
        <v>23</v>
      </c>
      <c r="D2069" t="s">
        <v>24</v>
      </c>
      <c r="E2069" t="s">
        <v>25</v>
      </c>
      <c r="F2069">
        <v>1</v>
      </c>
      <c r="G2069">
        <v>9791170101734</v>
      </c>
      <c r="H2069" t="s">
        <v>67</v>
      </c>
      <c r="I2069" t="s">
        <v>1797</v>
      </c>
      <c r="J2069" t="s">
        <v>1798</v>
      </c>
      <c r="K2069" t="s">
        <v>29</v>
      </c>
      <c r="L2069">
        <v>0</v>
      </c>
      <c r="M2069" t="s">
        <v>29</v>
      </c>
      <c r="N2069">
        <v>0</v>
      </c>
      <c r="O2069">
        <v>0</v>
      </c>
      <c r="P2069" t="s">
        <v>30</v>
      </c>
      <c r="Q2069" s="2">
        <v>0.7</v>
      </c>
      <c r="R2069">
        <v>0</v>
      </c>
      <c r="V2069" t="str">
        <f>VLOOKUP(H2069,'[1]팀별 출판사'!A:B,2,0)</f>
        <v>소설1팀</v>
      </c>
      <c r="W2069" s="6">
        <f t="shared" si="64"/>
        <v>0</v>
      </c>
      <c r="X2069" s="6">
        <f t="shared" si="65"/>
        <v>0</v>
      </c>
    </row>
    <row r="2070" spans="1:24" x14ac:dyDescent="0.3">
      <c r="A2070" t="s">
        <v>3011</v>
      </c>
      <c r="B2070" t="s">
        <v>3194</v>
      </c>
      <c r="C2070" t="s">
        <v>23</v>
      </c>
      <c r="D2070" t="s">
        <v>24</v>
      </c>
      <c r="E2070" t="s">
        <v>25</v>
      </c>
      <c r="F2070">
        <v>1</v>
      </c>
      <c r="G2070">
        <v>9791136942036</v>
      </c>
      <c r="H2070" t="s">
        <v>26</v>
      </c>
      <c r="I2070" t="s">
        <v>1941</v>
      </c>
      <c r="J2070" t="s">
        <v>81</v>
      </c>
      <c r="K2070" t="s">
        <v>29</v>
      </c>
      <c r="L2070">
        <v>0</v>
      </c>
      <c r="M2070" t="s">
        <v>29</v>
      </c>
      <c r="N2070">
        <v>0</v>
      </c>
      <c r="O2070">
        <v>0</v>
      </c>
      <c r="P2070" t="s">
        <v>30</v>
      </c>
      <c r="Q2070" s="2">
        <v>0.7</v>
      </c>
      <c r="R2070">
        <v>0</v>
      </c>
      <c r="V2070" t="str">
        <f>VLOOKUP(H2070,'[1]팀별 출판사'!A:B,2,0)</f>
        <v>소설1팀</v>
      </c>
      <c r="W2070" s="6">
        <f t="shared" si="64"/>
        <v>0</v>
      </c>
      <c r="X2070" s="6">
        <f t="shared" si="65"/>
        <v>0</v>
      </c>
    </row>
    <row r="2071" spans="1:24" x14ac:dyDescent="0.3">
      <c r="A2071" t="s">
        <v>3195</v>
      </c>
      <c r="B2071" t="s">
        <v>3196</v>
      </c>
      <c r="C2071" t="s">
        <v>23</v>
      </c>
      <c r="D2071" t="s">
        <v>24</v>
      </c>
      <c r="E2071" t="s">
        <v>25</v>
      </c>
      <c r="F2071">
        <v>1</v>
      </c>
      <c r="G2071">
        <v>9791136999658</v>
      </c>
      <c r="H2071" t="s">
        <v>26</v>
      </c>
      <c r="I2071" t="s">
        <v>2170</v>
      </c>
      <c r="J2071" t="s">
        <v>937</v>
      </c>
      <c r="K2071" t="s">
        <v>29</v>
      </c>
      <c r="L2071">
        <v>0</v>
      </c>
      <c r="M2071" t="s">
        <v>29</v>
      </c>
      <c r="N2071">
        <v>0</v>
      </c>
      <c r="O2071">
        <v>0</v>
      </c>
      <c r="P2071" t="s">
        <v>30</v>
      </c>
      <c r="Q2071" s="2">
        <v>0.7</v>
      </c>
      <c r="R2071">
        <v>0</v>
      </c>
      <c r="V2071" t="str">
        <f>VLOOKUP(H2071,'[1]팀별 출판사'!A:B,2,0)</f>
        <v>소설1팀</v>
      </c>
      <c r="W2071" s="6">
        <f t="shared" si="64"/>
        <v>0</v>
      </c>
      <c r="X2071" s="6">
        <f t="shared" si="65"/>
        <v>0</v>
      </c>
    </row>
    <row r="2072" spans="1:24" x14ac:dyDescent="0.3">
      <c r="A2072" t="s">
        <v>3195</v>
      </c>
      <c r="B2072" t="s">
        <v>3197</v>
      </c>
      <c r="C2072" t="s">
        <v>23</v>
      </c>
      <c r="D2072" t="s">
        <v>24</v>
      </c>
      <c r="E2072" t="s">
        <v>25</v>
      </c>
      <c r="F2072">
        <v>1</v>
      </c>
      <c r="G2072">
        <v>9791133171439</v>
      </c>
      <c r="H2072" t="s">
        <v>26</v>
      </c>
      <c r="I2072" t="s">
        <v>286</v>
      </c>
      <c r="J2072" t="s">
        <v>287</v>
      </c>
      <c r="K2072" t="s">
        <v>29</v>
      </c>
      <c r="L2072">
        <v>0</v>
      </c>
      <c r="M2072" t="s">
        <v>29</v>
      </c>
      <c r="N2072">
        <v>0</v>
      </c>
      <c r="O2072">
        <v>0</v>
      </c>
      <c r="P2072" t="s">
        <v>30</v>
      </c>
      <c r="Q2072" s="2">
        <v>0.7</v>
      </c>
      <c r="R2072">
        <v>0</v>
      </c>
      <c r="V2072" t="str">
        <f>VLOOKUP(H2072,'[1]팀별 출판사'!A:B,2,0)</f>
        <v>소설1팀</v>
      </c>
      <c r="W2072" s="6">
        <f t="shared" si="64"/>
        <v>0</v>
      </c>
      <c r="X2072" s="6">
        <f t="shared" si="65"/>
        <v>0</v>
      </c>
    </row>
    <row r="2073" spans="1:24" x14ac:dyDescent="0.3">
      <c r="A2073" t="s">
        <v>3195</v>
      </c>
      <c r="B2073" t="s">
        <v>3198</v>
      </c>
      <c r="C2073" t="s">
        <v>23</v>
      </c>
      <c r="D2073" t="s">
        <v>24</v>
      </c>
      <c r="E2073" t="s">
        <v>25</v>
      </c>
      <c r="F2073">
        <v>1</v>
      </c>
      <c r="G2073">
        <v>9791136988133</v>
      </c>
      <c r="H2073" t="s">
        <v>26</v>
      </c>
      <c r="I2073" t="s">
        <v>614</v>
      </c>
      <c r="J2073" t="s">
        <v>28</v>
      </c>
      <c r="K2073" t="s">
        <v>29</v>
      </c>
      <c r="L2073">
        <v>0</v>
      </c>
      <c r="M2073" t="s">
        <v>29</v>
      </c>
      <c r="N2073">
        <v>0</v>
      </c>
      <c r="O2073">
        <v>0</v>
      </c>
      <c r="P2073" t="s">
        <v>30</v>
      </c>
      <c r="Q2073" s="2">
        <v>0.7</v>
      </c>
      <c r="R2073">
        <v>0</v>
      </c>
      <c r="V2073" t="str">
        <f>VLOOKUP(H2073,'[1]팀별 출판사'!A:B,2,0)</f>
        <v>소설1팀</v>
      </c>
      <c r="W2073" s="6">
        <f t="shared" si="64"/>
        <v>0</v>
      </c>
      <c r="X2073" s="6">
        <f t="shared" si="65"/>
        <v>0</v>
      </c>
    </row>
    <row r="2074" spans="1:24" x14ac:dyDescent="0.3">
      <c r="A2074" t="s">
        <v>3195</v>
      </c>
      <c r="B2074" t="s">
        <v>3199</v>
      </c>
      <c r="C2074" t="s">
        <v>23</v>
      </c>
      <c r="D2074" t="s">
        <v>24</v>
      </c>
      <c r="E2074" t="s">
        <v>25</v>
      </c>
      <c r="F2074">
        <v>1</v>
      </c>
      <c r="G2074">
        <v>9791133186501</v>
      </c>
      <c r="H2074" t="s">
        <v>26</v>
      </c>
      <c r="I2074" t="s">
        <v>64</v>
      </c>
      <c r="J2074" t="s">
        <v>65</v>
      </c>
      <c r="K2074" t="s">
        <v>29</v>
      </c>
      <c r="L2074">
        <v>0</v>
      </c>
      <c r="M2074" t="s">
        <v>29</v>
      </c>
      <c r="N2074">
        <v>0</v>
      </c>
      <c r="O2074">
        <v>0</v>
      </c>
      <c r="P2074" t="s">
        <v>30</v>
      </c>
      <c r="Q2074" s="2">
        <v>0.7</v>
      </c>
      <c r="R2074">
        <v>0</v>
      </c>
      <c r="V2074" t="str">
        <f>VLOOKUP(H2074,'[1]팀별 출판사'!A:B,2,0)</f>
        <v>소설1팀</v>
      </c>
      <c r="W2074" s="6">
        <f t="shared" si="64"/>
        <v>0</v>
      </c>
      <c r="X2074" s="6">
        <f t="shared" si="65"/>
        <v>0</v>
      </c>
    </row>
    <row r="2075" spans="1:24" x14ac:dyDescent="0.3">
      <c r="A2075" t="s">
        <v>3195</v>
      </c>
      <c r="B2075" t="s">
        <v>3200</v>
      </c>
      <c r="C2075" t="s">
        <v>23</v>
      </c>
      <c r="D2075" t="s">
        <v>24</v>
      </c>
      <c r="E2075" t="s">
        <v>25</v>
      </c>
      <c r="F2075">
        <v>1</v>
      </c>
      <c r="G2075">
        <v>9791170101321</v>
      </c>
      <c r="H2075" t="s">
        <v>67</v>
      </c>
      <c r="I2075" t="s">
        <v>848</v>
      </c>
      <c r="J2075" t="s">
        <v>414</v>
      </c>
      <c r="K2075" t="s">
        <v>29</v>
      </c>
      <c r="L2075">
        <v>0</v>
      </c>
      <c r="M2075" t="s">
        <v>29</v>
      </c>
      <c r="N2075">
        <v>0</v>
      </c>
      <c r="O2075">
        <v>0</v>
      </c>
      <c r="P2075" t="s">
        <v>30</v>
      </c>
      <c r="Q2075" s="2">
        <v>0.7</v>
      </c>
      <c r="R2075">
        <v>0</v>
      </c>
      <c r="V2075" t="str">
        <f>VLOOKUP(H2075,'[1]팀별 출판사'!A:B,2,0)</f>
        <v>소설1팀</v>
      </c>
      <c r="W2075" s="6">
        <f t="shared" si="64"/>
        <v>0</v>
      </c>
      <c r="X2075" s="6">
        <f t="shared" si="65"/>
        <v>0</v>
      </c>
    </row>
    <row r="2076" spans="1:24" x14ac:dyDescent="0.3">
      <c r="A2076" t="s">
        <v>3195</v>
      </c>
      <c r="B2076" t="s">
        <v>3201</v>
      </c>
      <c r="C2076" t="s">
        <v>23</v>
      </c>
      <c r="D2076" t="s">
        <v>24</v>
      </c>
      <c r="E2076" t="s">
        <v>25</v>
      </c>
      <c r="F2076">
        <v>1</v>
      </c>
      <c r="G2076">
        <v>9791170105633</v>
      </c>
      <c r="H2076" t="s">
        <v>67</v>
      </c>
      <c r="I2076" t="s">
        <v>3202</v>
      </c>
      <c r="J2076" t="s">
        <v>2297</v>
      </c>
      <c r="K2076" t="s">
        <v>29</v>
      </c>
      <c r="L2076">
        <v>0</v>
      </c>
      <c r="M2076" t="s">
        <v>29</v>
      </c>
      <c r="N2076">
        <v>0</v>
      </c>
      <c r="O2076">
        <v>0</v>
      </c>
      <c r="P2076" t="s">
        <v>30</v>
      </c>
      <c r="Q2076" s="2">
        <v>0.7</v>
      </c>
      <c r="R2076">
        <v>0</v>
      </c>
      <c r="V2076" t="str">
        <f>VLOOKUP(H2076,'[1]팀별 출판사'!A:B,2,0)</f>
        <v>소설1팀</v>
      </c>
      <c r="W2076" s="6">
        <f t="shared" si="64"/>
        <v>0</v>
      </c>
      <c r="X2076" s="6">
        <f t="shared" si="65"/>
        <v>0</v>
      </c>
    </row>
    <row r="2077" spans="1:24" x14ac:dyDescent="0.3">
      <c r="A2077" t="s">
        <v>3195</v>
      </c>
      <c r="B2077" t="s">
        <v>3203</v>
      </c>
      <c r="C2077" t="s">
        <v>23</v>
      </c>
      <c r="D2077" t="s">
        <v>24</v>
      </c>
      <c r="E2077" t="s">
        <v>25</v>
      </c>
      <c r="F2077">
        <v>1</v>
      </c>
      <c r="G2077">
        <v>9791170106449</v>
      </c>
      <c r="H2077" t="s">
        <v>67</v>
      </c>
      <c r="I2077" t="s">
        <v>3204</v>
      </c>
      <c r="J2077" t="s">
        <v>3205</v>
      </c>
      <c r="K2077" t="s">
        <v>29</v>
      </c>
      <c r="L2077">
        <v>0</v>
      </c>
      <c r="M2077" t="s">
        <v>29</v>
      </c>
      <c r="N2077">
        <v>0</v>
      </c>
      <c r="O2077">
        <v>0</v>
      </c>
      <c r="P2077" t="s">
        <v>30</v>
      </c>
      <c r="Q2077" s="2">
        <v>0.7</v>
      </c>
      <c r="R2077">
        <v>0</v>
      </c>
      <c r="V2077" t="str">
        <f>VLOOKUP(H2077,'[1]팀별 출판사'!A:B,2,0)</f>
        <v>소설1팀</v>
      </c>
      <c r="W2077" s="6">
        <f t="shared" si="64"/>
        <v>0</v>
      </c>
      <c r="X2077" s="6">
        <f t="shared" si="65"/>
        <v>0</v>
      </c>
    </row>
    <row r="2078" spans="1:24" x14ac:dyDescent="0.3">
      <c r="A2078" t="s">
        <v>3195</v>
      </c>
      <c r="B2078" t="s">
        <v>3206</v>
      </c>
      <c r="C2078" t="s">
        <v>23</v>
      </c>
      <c r="D2078" t="s">
        <v>24</v>
      </c>
      <c r="E2078" t="s">
        <v>25</v>
      </c>
      <c r="F2078">
        <v>1</v>
      </c>
      <c r="G2078">
        <v>9791170101307</v>
      </c>
      <c r="H2078" t="s">
        <v>67</v>
      </c>
      <c r="I2078" t="s">
        <v>413</v>
      </c>
      <c r="J2078" t="s">
        <v>414</v>
      </c>
      <c r="K2078" t="s">
        <v>29</v>
      </c>
      <c r="L2078">
        <v>0</v>
      </c>
      <c r="M2078" t="s">
        <v>29</v>
      </c>
      <c r="N2078">
        <v>0</v>
      </c>
      <c r="O2078">
        <v>0</v>
      </c>
      <c r="P2078" t="s">
        <v>30</v>
      </c>
      <c r="Q2078" s="2">
        <v>0.7</v>
      </c>
      <c r="R2078">
        <v>0</v>
      </c>
      <c r="V2078" t="str">
        <f>VLOOKUP(H2078,'[1]팀별 출판사'!A:B,2,0)</f>
        <v>소설1팀</v>
      </c>
      <c r="W2078" s="6">
        <f t="shared" si="64"/>
        <v>0</v>
      </c>
      <c r="X2078" s="6">
        <f t="shared" si="65"/>
        <v>0</v>
      </c>
    </row>
    <row r="2079" spans="1:24" x14ac:dyDescent="0.3">
      <c r="A2079" t="s">
        <v>3195</v>
      </c>
      <c r="B2079" t="s">
        <v>3207</v>
      </c>
      <c r="C2079" t="s">
        <v>23</v>
      </c>
      <c r="D2079" t="s">
        <v>24</v>
      </c>
      <c r="E2079" t="s">
        <v>25</v>
      </c>
      <c r="F2079">
        <v>1</v>
      </c>
      <c r="G2079">
        <v>9791170101864</v>
      </c>
      <c r="H2079" t="s">
        <v>67</v>
      </c>
      <c r="I2079" t="s">
        <v>1985</v>
      </c>
      <c r="J2079" t="s">
        <v>402</v>
      </c>
      <c r="K2079" t="s">
        <v>29</v>
      </c>
      <c r="L2079">
        <v>0</v>
      </c>
      <c r="M2079" t="s">
        <v>29</v>
      </c>
      <c r="N2079">
        <v>0</v>
      </c>
      <c r="O2079">
        <v>0</v>
      </c>
      <c r="P2079" t="s">
        <v>30</v>
      </c>
      <c r="Q2079" s="2">
        <v>0.7</v>
      </c>
      <c r="R2079">
        <v>0</v>
      </c>
      <c r="V2079" t="str">
        <f>VLOOKUP(H2079,'[1]팀별 출판사'!A:B,2,0)</f>
        <v>소설1팀</v>
      </c>
      <c r="W2079" s="6">
        <f t="shared" si="64"/>
        <v>0</v>
      </c>
      <c r="X2079" s="6">
        <f t="shared" si="65"/>
        <v>0</v>
      </c>
    </row>
    <row r="2080" spans="1:24" x14ac:dyDescent="0.3">
      <c r="A2080" t="s">
        <v>3195</v>
      </c>
      <c r="B2080" t="s">
        <v>3208</v>
      </c>
      <c r="C2080" t="s">
        <v>23</v>
      </c>
      <c r="D2080" t="s">
        <v>24</v>
      </c>
      <c r="E2080" t="s">
        <v>25</v>
      </c>
      <c r="F2080">
        <v>1</v>
      </c>
      <c r="G2080">
        <v>9791136941862</v>
      </c>
      <c r="H2080" t="s">
        <v>26</v>
      </c>
      <c r="I2080" t="s">
        <v>894</v>
      </c>
      <c r="J2080" t="s">
        <v>81</v>
      </c>
      <c r="K2080" t="s">
        <v>29</v>
      </c>
      <c r="L2080">
        <v>0</v>
      </c>
      <c r="M2080" t="s">
        <v>29</v>
      </c>
      <c r="N2080">
        <v>0</v>
      </c>
      <c r="O2080">
        <v>0</v>
      </c>
      <c r="P2080" t="s">
        <v>30</v>
      </c>
      <c r="Q2080" s="2">
        <v>0.7</v>
      </c>
      <c r="R2080">
        <v>0</v>
      </c>
      <c r="V2080" t="str">
        <f>VLOOKUP(H2080,'[1]팀별 출판사'!A:B,2,0)</f>
        <v>소설1팀</v>
      </c>
      <c r="W2080" s="6">
        <f t="shared" si="64"/>
        <v>0</v>
      </c>
      <c r="X2080" s="6">
        <f t="shared" si="65"/>
        <v>0</v>
      </c>
    </row>
    <row r="2081" spans="1:24" x14ac:dyDescent="0.3">
      <c r="A2081" t="s">
        <v>3195</v>
      </c>
      <c r="B2081" t="s">
        <v>3209</v>
      </c>
      <c r="C2081" t="s">
        <v>23</v>
      </c>
      <c r="D2081" t="s">
        <v>24</v>
      </c>
      <c r="E2081" t="s">
        <v>25</v>
      </c>
      <c r="F2081">
        <v>1</v>
      </c>
      <c r="G2081">
        <v>9791133186501</v>
      </c>
      <c r="H2081" t="s">
        <v>26</v>
      </c>
      <c r="I2081" t="s">
        <v>64</v>
      </c>
      <c r="J2081" t="s">
        <v>65</v>
      </c>
      <c r="K2081" t="s">
        <v>29</v>
      </c>
      <c r="L2081">
        <v>0</v>
      </c>
      <c r="M2081" t="s">
        <v>29</v>
      </c>
      <c r="N2081">
        <v>0</v>
      </c>
      <c r="O2081">
        <v>0</v>
      </c>
      <c r="P2081" t="s">
        <v>30</v>
      </c>
      <c r="Q2081" s="2">
        <v>0.7</v>
      </c>
      <c r="R2081">
        <v>0</v>
      </c>
      <c r="V2081" t="str">
        <f>VLOOKUP(H2081,'[1]팀별 출판사'!A:B,2,0)</f>
        <v>소설1팀</v>
      </c>
      <c r="W2081" s="6">
        <f t="shared" si="64"/>
        <v>0</v>
      </c>
      <c r="X2081" s="6">
        <f t="shared" si="65"/>
        <v>0</v>
      </c>
    </row>
    <row r="2082" spans="1:24" x14ac:dyDescent="0.3">
      <c r="A2082" t="s">
        <v>3195</v>
      </c>
      <c r="B2082" t="s">
        <v>3210</v>
      </c>
      <c r="C2082" t="s">
        <v>23</v>
      </c>
      <c r="D2082" t="s">
        <v>24</v>
      </c>
      <c r="E2082" t="s">
        <v>25</v>
      </c>
      <c r="F2082">
        <v>1</v>
      </c>
      <c r="G2082">
        <v>9791136988164</v>
      </c>
      <c r="H2082" t="s">
        <v>26</v>
      </c>
      <c r="I2082" t="s">
        <v>2110</v>
      </c>
      <c r="J2082" t="s">
        <v>28</v>
      </c>
      <c r="K2082" t="s">
        <v>29</v>
      </c>
      <c r="L2082" s="1">
        <v>3200</v>
      </c>
      <c r="M2082" t="s">
        <v>29</v>
      </c>
      <c r="N2082" s="1">
        <v>3200</v>
      </c>
      <c r="O2082" s="1">
        <v>3200</v>
      </c>
      <c r="P2082" t="s">
        <v>30</v>
      </c>
      <c r="Q2082" s="2">
        <v>0.7</v>
      </c>
      <c r="R2082" s="1">
        <v>2240</v>
      </c>
      <c r="S2082" t="s">
        <v>29</v>
      </c>
      <c r="T2082" s="1">
        <v>2240</v>
      </c>
      <c r="V2082" t="str">
        <f>VLOOKUP(H2082,'[1]팀별 출판사'!A:B,2,0)</f>
        <v>소설1팀</v>
      </c>
      <c r="W2082" s="6">
        <f t="shared" si="64"/>
        <v>0</v>
      </c>
      <c r="X2082" s="6">
        <f t="shared" si="65"/>
        <v>2240</v>
      </c>
    </row>
    <row r="2083" spans="1:24" x14ac:dyDescent="0.3">
      <c r="A2083" t="s">
        <v>3195</v>
      </c>
      <c r="B2083" t="s">
        <v>3211</v>
      </c>
      <c r="C2083" t="s">
        <v>23</v>
      </c>
      <c r="D2083" t="s">
        <v>24</v>
      </c>
      <c r="E2083" t="s">
        <v>25</v>
      </c>
      <c r="F2083">
        <v>1</v>
      </c>
      <c r="G2083">
        <v>9791133148059</v>
      </c>
      <c r="H2083" t="s">
        <v>32</v>
      </c>
      <c r="I2083" t="s">
        <v>2505</v>
      </c>
      <c r="J2083" t="s">
        <v>284</v>
      </c>
      <c r="K2083" t="s">
        <v>29</v>
      </c>
      <c r="L2083">
        <v>0</v>
      </c>
      <c r="M2083" t="s">
        <v>29</v>
      </c>
      <c r="N2083">
        <v>0</v>
      </c>
      <c r="O2083">
        <v>0</v>
      </c>
      <c r="P2083" t="s">
        <v>30</v>
      </c>
      <c r="Q2083" s="2">
        <v>0.7</v>
      </c>
      <c r="R2083">
        <v>0</v>
      </c>
      <c r="V2083" t="str">
        <f>VLOOKUP(H2083,'[1]팀별 출판사'!A:B,2,0)</f>
        <v>소설1팀</v>
      </c>
      <c r="W2083" s="6">
        <f t="shared" si="64"/>
        <v>0</v>
      </c>
      <c r="X2083" s="6">
        <f t="shared" si="65"/>
        <v>0</v>
      </c>
    </row>
    <row r="2084" spans="1:24" x14ac:dyDescent="0.3">
      <c r="A2084" t="s">
        <v>3195</v>
      </c>
      <c r="B2084" t="s">
        <v>3212</v>
      </c>
      <c r="C2084" t="s">
        <v>23</v>
      </c>
      <c r="D2084" t="s">
        <v>24</v>
      </c>
      <c r="E2084" t="s">
        <v>25</v>
      </c>
      <c r="F2084">
        <v>1</v>
      </c>
      <c r="G2084">
        <v>9791170107064</v>
      </c>
      <c r="H2084" t="s">
        <v>67</v>
      </c>
      <c r="I2084" t="s">
        <v>901</v>
      </c>
      <c r="J2084" t="s">
        <v>902</v>
      </c>
      <c r="K2084" t="s">
        <v>29</v>
      </c>
      <c r="L2084">
        <v>0</v>
      </c>
      <c r="M2084" t="s">
        <v>120</v>
      </c>
      <c r="N2084">
        <v>0</v>
      </c>
      <c r="O2084">
        <v>0</v>
      </c>
      <c r="P2084" t="s">
        <v>121</v>
      </c>
      <c r="Q2084" s="2">
        <v>0.7</v>
      </c>
      <c r="R2084">
        <v>0</v>
      </c>
      <c r="V2084" t="str">
        <f>VLOOKUP(H2084,'[1]팀별 출판사'!A:B,2,0)</f>
        <v>소설1팀</v>
      </c>
      <c r="W2084" s="6">
        <f t="shared" si="64"/>
        <v>0</v>
      </c>
      <c r="X2084" s="6">
        <f t="shared" si="65"/>
        <v>0</v>
      </c>
    </row>
    <row r="2085" spans="1:24" x14ac:dyDescent="0.3">
      <c r="A2085" t="s">
        <v>3195</v>
      </c>
      <c r="B2085" t="s">
        <v>3213</v>
      </c>
      <c r="C2085" t="s">
        <v>23</v>
      </c>
      <c r="D2085" t="s">
        <v>24</v>
      </c>
      <c r="E2085" t="s">
        <v>25</v>
      </c>
      <c r="F2085">
        <v>1</v>
      </c>
      <c r="G2085">
        <v>9791157532353</v>
      </c>
      <c r="H2085" t="s">
        <v>32</v>
      </c>
      <c r="I2085" t="s">
        <v>3214</v>
      </c>
      <c r="J2085" t="s">
        <v>112</v>
      </c>
      <c r="K2085" t="s">
        <v>29</v>
      </c>
      <c r="L2085" s="1">
        <v>3200</v>
      </c>
      <c r="M2085" t="s">
        <v>29</v>
      </c>
      <c r="N2085" s="1">
        <v>3200</v>
      </c>
      <c r="O2085" s="1">
        <v>3200</v>
      </c>
      <c r="P2085" t="s">
        <v>30</v>
      </c>
      <c r="Q2085" s="2">
        <v>0.7</v>
      </c>
      <c r="R2085" s="1">
        <v>2240</v>
      </c>
      <c r="S2085" t="s">
        <v>29</v>
      </c>
      <c r="T2085" s="1">
        <v>2240</v>
      </c>
      <c r="V2085" t="str">
        <f>VLOOKUP(H2085,'[1]팀별 출판사'!A:B,2,0)</f>
        <v>소설1팀</v>
      </c>
      <c r="W2085" s="6">
        <f t="shared" si="64"/>
        <v>0</v>
      </c>
      <c r="X2085" s="6">
        <f t="shared" si="65"/>
        <v>2240</v>
      </c>
    </row>
    <row r="2086" spans="1:24" x14ac:dyDescent="0.3">
      <c r="A2086" t="s">
        <v>3195</v>
      </c>
      <c r="B2086" t="s">
        <v>3215</v>
      </c>
      <c r="C2086" t="s">
        <v>23</v>
      </c>
      <c r="D2086" t="s">
        <v>24</v>
      </c>
      <c r="E2086" t="s">
        <v>25</v>
      </c>
      <c r="F2086">
        <v>1</v>
      </c>
      <c r="G2086">
        <v>9791136946782</v>
      </c>
      <c r="H2086" t="s">
        <v>26</v>
      </c>
      <c r="I2086" t="s">
        <v>291</v>
      </c>
      <c r="J2086" t="s">
        <v>28</v>
      </c>
      <c r="K2086" t="s">
        <v>29</v>
      </c>
      <c r="L2086">
        <v>0</v>
      </c>
      <c r="M2086" t="s">
        <v>29</v>
      </c>
      <c r="N2086">
        <v>0</v>
      </c>
      <c r="O2086">
        <v>0</v>
      </c>
      <c r="P2086" t="s">
        <v>30</v>
      </c>
      <c r="Q2086" s="2">
        <v>0.7</v>
      </c>
      <c r="R2086">
        <v>0</v>
      </c>
      <c r="V2086" t="str">
        <f>VLOOKUP(H2086,'[1]팀별 출판사'!A:B,2,0)</f>
        <v>소설1팀</v>
      </c>
      <c r="W2086" s="6">
        <f t="shared" si="64"/>
        <v>0</v>
      </c>
      <c r="X2086" s="6">
        <f t="shared" si="65"/>
        <v>0</v>
      </c>
    </row>
    <row r="2087" spans="1:24" x14ac:dyDescent="0.3">
      <c r="A2087" t="s">
        <v>3195</v>
      </c>
      <c r="B2087" t="s">
        <v>3216</v>
      </c>
      <c r="C2087" t="s">
        <v>23</v>
      </c>
      <c r="D2087" t="s">
        <v>24</v>
      </c>
      <c r="E2087" t="s">
        <v>25</v>
      </c>
      <c r="F2087">
        <v>1</v>
      </c>
      <c r="G2087">
        <v>9791173785825</v>
      </c>
      <c r="H2087" t="s">
        <v>26</v>
      </c>
      <c r="I2087" t="s">
        <v>2730</v>
      </c>
      <c r="J2087" t="s">
        <v>2731</v>
      </c>
      <c r="K2087" t="s">
        <v>29</v>
      </c>
      <c r="L2087">
        <v>0</v>
      </c>
      <c r="M2087" t="s">
        <v>29</v>
      </c>
      <c r="N2087">
        <v>0</v>
      </c>
      <c r="O2087">
        <v>0</v>
      </c>
      <c r="P2087" t="s">
        <v>30</v>
      </c>
      <c r="Q2087" s="2">
        <v>0.7</v>
      </c>
      <c r="R2087">
        <v>0</v>
      </c>
      <c r="V2087" t="str">
        <f>VLOOKUP(H2087,'[1]팀별 출판사'!A:B,2,0)</f>
        <v>소설1팀</v>
      </c>
      <c r="W2087" s="6">
        <f t="shared" si="64"/>
        <v>0</v>
      </c>
      <c r="X2087" s="6">
        <f t="shared" si="65"/>
        <v>0</v>
      </c>
    </row>
    <row r="2088" spans="1:24" x14ac:dyDescent="0.3">
      <c r="A2088" t="s">
        <v>3195</v>
      </c>
      <c r="B2088" t="s">
        <v>3217</v>
      </c>
      <c r="C2088" t="s">
        <v>23</v>
      </c>
      <c r="D2088" t="s">
        <v>24</v>
      </c>
      <c r="E2088" t="s">
        <v>25</v>
      </c>
      <c r="F2088">
        <v>1</v>
      </c>
      <c r="G2088">
        <v>9791136958747</v>
      </c>
      <c r="H2088" t="s">
        <v>79</v>
      </c>
      <c r="I2088" t="s">
        <v>3014</v>
      </c>
      <c r="J2088" t="s">
        <v>81</v>
      </c>
      <c r="K2088" t="s">
        <v>29</v>
      </c>
      <c r="L2088" s="1">
        <v>3200</v>
      </c>
      <c r="M2088" t="s">
        <v>29</v>
      </c>
      <c r="N2088" s="1">
        <v>3200</v>
      </c>
      <c r="O2088" s="1">
        <v>3200</v>
      </c>
      <c r="P2088" t="s">
        <v>30</v>
      </c>
      <c r="Q2088" s="2">
        <v>0.7</v>
      </c>
      <c r="R2088" s="1">
        <v>2240</v>
      </c>
      <c r="S2088" t="s">
        <v>29</v>
      </c>
      <c r="T2088" s="1">
        <v>2240</v>
      </c>
      <c r="V2088" t="str">
        <f>VLOOKUP(H2088,'[1]팀별 출판사'!A:B,2,0)</f>
        <v>소설1팀</v>
      </c>
      <c r="W2088" s="6">
        <f t="shared" si="64"/>
        <v>0</v>
      </c>
      <c r="X2088" s="6">
        <f t="shared" si="65"/>
        <v>2240</v>
      </c>
    </row>
    <row r="2089" spans="1:24" x14ac:dyDescent="0.3">
      <c r="A2089" t="s">
        <v>3195</v>
      </c>
      <c r="B2089" t="s">
        <v>3218</v>
      </c>
      <c r="C2089" t="s">
        <v>23</v>
      </c>
      <c r="D2089" t="s">
        <v>24</v>
      </c>
      <c r="E2089" t="s">
        <v>25</v>
      </c>
      <c r="F2089">
        <v>1</v>
      </c>
      <c r="G2089">
        <v>9791133186501</v>
      </c>
      <c r="H2089" t="s">
        <v>26</v>
      </c>
      <c r="I2089" t="s">
        <v>64</v>
      </c>
      <c r="J2089" t="s">
        <v>65</v>
      </c>
      <c r="K2089" t="s">
        <v>29</v>
      </c>
      <c r="L2089">
        <v>0</v>
      </c>
      <c r="M2089" t="s">
        <v>29</v>
      </c>
      <c r="N2089">
        <v>0</v>
      </c>
      <c r="O2089">
        <v>0</v>
      </c>
      <c r="P2089" t="s">
        <v>30</v>
      </c>
      <c r="Q2089" s="2">
        <v>0.7</v>
      </c>
      <c r="R2089">
        <v>0</v>
      </c>
      <c r="V2089" t="str">
        <f>VLOOKUP(H2089,'[1]팀별 출판사'!A:B,2,0)</f>
        <v>소설1팀</v>
      </c>
      <c r="W2089" s="6">
        <f t="shared" si="64"/>
        <v>0</v>
      </c>
      <c r="X2089" s="6">
        <f t="shared" si="65"/>
        <v>0</v>
      </c>
    </row>
    <row r="2090" spans="1:24" x14ac:dyDescent="0.3">
      <c r="A2090" t="s">
        <v>3195</v>
      </c>
      <c r="B2090" t="s">
        <v>3219</v>
      </c>
      <c r="C2090" t="s">
        <v>23</v>
      </c>
      <c r="D2090" t="s">
        <v>24</v>
      </c>
      <c r="E2090" t="s">
        <v>25</v>
      </c>
      <c r="F2090">
        <v>1</v>
      </c>
      <c r="G2090">
        <v>9791136926838</v>
      </c>
      <c r="H2090" t="s">
        <v>26</v>
      </c>
      <c r="I2090" t="s">
        <v>3220</v>
      </c>
      <c r="J2090" t="s">
        <v>62</v>
      </c>
      <c r="K2090" t="s">
        <v>29</v>
      </c>
      <c r="L2090" s="1">
        <v>3200</v>
      </c>
      <c r="M2090" t="s">
        <v>29</v>
      </c>
      <c r="N2090" s="1">
        <v>3200</v>
      </c>
      <c r="O2090" s="1">
        <v>3200</v>
      </c>
      <c r="P2090" t="s">
        <v>30</v>
      </c>
      <c r="Q2090" s="2">
        <v>0.7</v>
      </c>
      <c r="R2090" s="1">
        <v>2240</v>
      </c>
      <c r="S2090" t="s">
        <v>29</v>
      </c>
      <c r="T2090" s="1">
        <v>2240</v>
      </c>
      <c r="V2090" t="str">
        <f>VLOOKUP(H2090,'[1]팀별 출판사'!A:B,2,0)</f>
        <v>소설1팀</v>
      </c>
      <c r="W2090" s="6">
        <f t="shared" si="64"/>
        <v>0</v>
      </c>
      <c r="X2090" s="6">
        <f t="shared" si="65"/>
        <v>2240</v>
      </c>
    </row>
    <row r="2091" spans="1:24" x14ac:dyDescent="0.3">
      <c r="A2091" t="s">
        <v>3195</v>
      </c>
      <c r="B2091" t="s">
        <v>3221</v>
      </c>
      <c r="C2091" t="s">
        <v>23</v>
      </c>
      <c r="D2091" t="s">
        <v>24</v>
      </c>
      <c r="E2091" t="s">
        <v>25</v>
      </c>
      <c r="F2091">
        <v>1</v>
      </c>
      <c r="G2091">
        <v>9791133169290</v>
      </c>
      <c r="H2091" t="s">
        <v>32</v>
      </c>
      <c r="I2091" t="s">
        <v>671</v>
      </c>
      <c r="J2091" t="s">
        <v>160</v>
      </c>
      <c r="K2091" t="s">
        <v>29</v>
      </c>
      <c r="L2091">
        <v>0</v>
      </c>
      <c r="M2091" t="s">
        <v>29</v>
      </c>
      <c r="N2091">
        <v>0</v>
      </c>
      <c r="O2091">
        <v>0</v>
      </c>
      <c r="P2091" t="s">
        <v>30</v>
      </c>
      <c r="Q2091" s="2">
        <v>0.7</v>
      </c>
      <c r="R2091">
        <v>0</v>
      </c>
      <c r="V2091" t="str">
        <f>VLOOKUP(H2091,'[1]팀별 출판사'!A:B,2,0)</f>
        <v>소설1팀</v>
      </c>
      <c r="W2091" s="6">
        <f t="shared" si="64"/>
        <v>0</v>
      </c>
      <c r="X2091" s="6">
        <f t="shared" si="65"/>
        <v>0</v>
      </c>
    </row>
    <row r="2092" spans="1:24" x14ac:dyDescent="0.3">
      <c r="A2092" t="s">
        <v>3195</v>
      </c>
      <c r="B2092" t="s">
        <v>3222</v>
      </c>
      <c r="C2092" t="s">
        <v>23</v>
      </c>
      <c r="D2092" t="s">
        <v>24</v>
      </c>
      <c r="E2092" t="s">
        <v>25</v>
      </c>
      <c r="F2092">
        <v>1</v>
      </c>
      <c r="G2092">
        <v>9791173785177</v>
      </c>
      <c r="H2092" t="s">
        <v>26</v>
      </c>
      <c r="I2092" t="s">
        <v>2672</v>
      </c>
      <c r="J2092" t="s">
        <v>62</v>
      </c>
      <c r="K2092" t="s">
        <v>29</v>
      </c>
      <c r="L2092" s="1">
        <v>3200</v>
      </c>
      <c r="M2092" t="s">
        <v>29</v>
      </c>
      <c r="N2092" s="1">
        <v>3200</v>
      </c>
      <c r="O2092" s="1">
        <v>3200</v>
      </c>
      <c r="P2092" t="s">
        <v>30</v>
      </c>
      <c r="Q2092" s="2">
        <v>0.7</v>
      </c>
      <c r="R2092" s="1">
        <v>2240</v>
      </c>
      <c r="S2092" t="s">
        <v>29</v>
      </c>
      <c r="T2092" s="1">
        <v>2240</v>
      </c>
      <c r="V2092" t="str">
        <f>VLOOKUP(H2092,'[1]팀별 출판사'!A:B,2,0)</f>
        <v>소설1팀</v>
      </c>
      <c r="W2092" s="6">
        <f t="shared" si="64"/>
        <v>0</v>
      </c>
      <c r="X2092" s="6">
        <f t="shared" si="65"/>
        <v>2240</v>
      </c>
    </row>
    <row r="2093" spans="1:24" x14ac:dyDescent="0.3">
      <c r="A2093" t="s">
        <v>3195</v>
      </c>
      <c r="B2093" t="s">
        <v>3223</v>
      </c>
      <c r="C2093" t="s">
        <v>23</v>
      </c>
      <c r="D2093" t="s">
        <v>24</v>
      </c>
      <c r="E2093" t="s">
        <v>25</v>
      </c>
      <c r="F2093">
        <v>1</v>
      </c>
      <c r="G2093">
        <v>9791133146635</v>
      </c>
      <c r="H2093" t="s">
        <v>32</v>
      </c>
      <c r="I2093" t="s">
        <v>3224</v>
      </c>
      <c r="J2093" t="s">
        <v>3225</v>
      </c>
      <c r="K2093" t="s">
        <v>29</v>
      </c>
      <c r="L2093">
        <v>0</v>
      </c>
      <c r="M2093" t="s">
        <v>29</v>
      </c>
      <c r="N2093">
        <v>0</v>
      </c>
      <c r="O2093">
        <v>0</v>
      </c>
      <c r="P2093" t="s">
        <v>30</v>
      </c>
      <c r="Q2093" s="2">
        <v>0.7</v>
      </c>
      <c r="R2093">
        <v>0</v>
      </c>
      <c r="V2093" t="str">
        <f>VLOOKUP(H2093,'[1]팀별 출판사'!A:B,2,0)</f>
        <v>소설1팀</v>
      </c>
      <c r="W2093" s="6">
        <f t="shared" si="64"/>
        <v>0</v>
      </c>
      <c r="X2093" s="6">
        <f t="shared" si="65"/>
        <v>0</v>
      </c>
    </row>
    <row r="2094" spans="1:24" x14ac:dyDescent="0.3">
      <c r="A2094" t="s">
        <v>3195</v>
      </c>
      <c r="B2094" t="s">
        <v>3226</v>
      </c>
      <c r="C2094" t="s">
        <v>23</v>
      </c>
      <c r="D2094" t="s">
        <v>24</v>
      </c>
      <c r="E2094" t="s">
        <v>25</v>
      </c>
      <c r="F2094">
        <v>1</v>
      </c>
      <c r="G2094" t="s">
        <v>581</v>
      </c>
      <c r="H2094" t="s">
        <v>32</v>
      </c>
      <c r="I2094" t="s">
        <v>582</v>
      </c>
      <c r="J2094" t="s">
        <v>583</v>
      </c>
      <c r="K2094" t="s">
        <v>29</v>
      </c>
      <c r="L2094">
        <v>0</v>
      </c>
      <c r="M2094" t="s">
        <v>29</v>
      </c>
      <c r="N2094">
        <v>0</v>
      </c>
      <c r="O2094">
        <v>0</v>
      </c>
      <c r="P2094" t="s">
        <v>30</v>
      </c>
      <c r="Q2094" s="2">
        <v>0.7</v>
      </c>
      <c r="R2094">
        <v>0</v>
      </c>
      <c r="V2094" t="str">
        <f>VLOOKUP(H2094,'[1]팀별 출판사'!A:B,2,0)</f>
        <v>소설1팀</v>
      </c>
      <c r="W2094" s="6">
        <f t="shared" si="64"/>
        <v>0</v>
      </c>
      <c r="X2094" s="6">
        <f t="shared" si="65"/>
        <v>0</v>
      </c>
    </row>
    <row r="2095" spans="1:24" x14ac:dyDescent="0.3">
      <c r="A2095" t="s">
        <v>3195</v>
      </c>
      <c r="B2095" t="s">
        <v>3227</v>
      </c>
      <c r="C2095" t="s">
        <v>23</v>
      </c>
      <c r="D2095" t="s">
        <v>24</v>
      </c>
      <c r="E2095" t="s">
        <v>25</v>
      </c>
      <c r="F2095">
        <v>1</v>
      </c>
      <c r="G2095">
        <v>9791173783715</v>
      </c>
      <c r="H2095" t="s">
        <v>36</v>
      </c>
      <c r="I2095" t="s">
        <v>2643</v>
      </c>
      <c r="J2095" t="s">
        <v>119</v>
      </c>
      <c r="K2095" t="s">
        <v>29</v>
      </c>
      <c r="L2095" s="1">
        <v>3600</v>
      </c>
      <c r="M2095" t="s">
        <v>2630</v>
      </c>
      <c r="N2095">
        <v>10.92</v>
      </c>
      <c r="O2095">
        <v>10.11</v>
      </c>
      <c r="P2095" t="s">
        <v>2631</v>
      </c>
      <c r="Q2095" s="2">
        <v>0.7</v>
      </c>
      <c r="R2095">
        <v>7.08</v>
      </c>
      <c r="S2095" t="s">
        <v>29</v>
      </c>
      <c r="T2095" s="1">
        <v>2615</v>
      </c>
      <c r="U2095">
        <v>369.41537</v>
      </c>
      <c r="V2095" t="str">
        <f>VLOOKUP(H2095,'[1]팀별 출판사'!A:B,2,0)</f>
        <v>소설2팀</v>
      </c>
      <c r="W2095" s="6">
        <f t="shared" si="64"/>
        <v>0</v>
      </c>
      <c r="X2095" s="6">
        <f t="shared" si="65"/>
        <v>2615</v>
      </c>
    </row>
    <row r="2096" spans="1:24" x14ac:dyDescent="0.3">
      <c r="A2096" t="s">
        <v>3195</v>
      </c>
      <c r="B2096" t="s">
        <v>3227</v>
      </c>
      <c r="C2096" t="s">
        <v>23</v>
      </c>
      <c r="D2096" t="s">
        <v>24</v>
      </c>
      <c r="E2096" t="s">
        <v>25</v>
      </c>
      <c r="F2096">
        <v>1</v>
      </c>
      <c r="G2096">
        <v>9791173783722</v>
      </c>
      <c r="H2096" t="s">
        <v>36</v>
      </c>
      <c r="I2096" t="s">
        <v>3228</v>
      </c>
      <c r="J2096" t="s">
        <v>119</v>
      </c>
      <c r="K2096" t="s">
        <v>29</v>
      </c>
      <c r="L2096" s="1">
        <v>3600</v>
      </c>
      <c r="M2096" t="s">
        <v>2630</v>
      </c>
      <c r="N2096">
        <v>10.92</v>
      </c>
      <c r="O2096">
        <v>10.11</v>
      </c>
      <c r="P2096" t="s">
        <v>2631</v>
      </c>
      <c r="Q2096" s="2">
        <v>0.7</v>
      </c>
      <c r="R2096">
        <v>7.08</v>
      </c>
      <c r="S2096" t="s">
        <v>29</v>
      </c>
      <c r="T2096" s="1">
        <v>2615</v>
      </c>
      <c r="U2096">
        <v>369.41537</v>
      </c>
      <c r="V2096" t="str">
        <f>VLOOKUP(H2096,'[1]팀별 출판사'!A:B,2,0)</f>
        <v>소설2팀</v>
      </c>
      <c r="W2096" s="6">
        <f t="shared" si="64"/>
        <v>0</v>
      </c>
      <c r="X2096" s="6">
        <f t="shared" si="65"/>
        <v>2615</v>
      </c>
    </row>
    <row r="2097" spans="1:24" x14ac:dyDescent="0.3">
      <c r="A2097" t="s">
        <v>3195</v>
      </c>
      <c r="B2097" t="s">
        <v>3227</v>
      </c>
      <c r="C2097" t="s">
        <v>23</v>
      </c>
      <c r="D2097" t="s">
        <v>24</v>
      </c>
      <c r="E2097" t="s">
        <v>25</v>
      </c>
      <c r="F2097">
        <v>1</v>
      </c>
      <c r="G2097">
        <v>9791173783739</v>
      </c>
      <c r="H2097" t="s">
        <v>36</v>
      </c>
      <c r="I2097" t="s">
        <v>3229</v>
      </c>
      <c r="J2097" t="s">
        <v>119</v>
      </c>
      <c r="K2097" t="s">
        <v>29</v>
      </c>
      <c r="L2097" s="1">
        <v>3600</v>
      </c>
      <c r="M2097" t="s">
        <v>2630</v>
      </c>
      <c r="N2097">
        <v>10.92</v>
      </c>
      <c r="O2097">
        <v>10.11</v>
      </c>
      <c r="P2097" t="s">
        <v>2631</v>
      </c>
      <c r="Q2097" s="2">
        <v>0.7</v>
      </c>
      <c r="R2097">
        <v>7.08</v>
      </c>
      <c r="S2097" t="s">
        <v>29</v>
      </c>
      <c r="T2097" s="1">
        <v>2615</v>
      </c>
      <c r="U2097">
        <v>369.41537</v>
      </c>
      <c r="V2097" t="str">
        <f>VLOOKUP(H2097,'[1]팀별 출판사'!A:B,2,0)</f>
        <v>소설2팀</v>
      </c>
      <c r="W2097" s="6">
        <f t="shared" si="64"/>
        <v>0</v>
      </c>
      <c r="X2097" s="6">
        <f t="shared" si="65"/>
        <v>2615</v>
      </c>
    </row>
    <row r="2098" spans="1:24" x14ac:dyDescent="0.3">
      <c r="A2098" t="s">
        <v>3195</v>
      </c>
      <c r="B2098" t="s">
        <v>3230</v>
      </c>
      <c r="C2098" t="s">
        <v>23</v>
      </c>
      <c r="D2098" t="s">
        <v>24</v>
      </c>
      <c r="E2098" t="s">
        <v>25</v>
      </c>
      <c r="F2098">
        <v>1</v>
      </c>
      <c r="G2098">
        <v>9791136921758</v>
      </c>
      <c r="H2098" t="s">
        <v>26</v>
      </c>
      <c r="I2098" t="s">
        <v>875</v>
      </c>
      <c r="J2098" t="s">
        <v>876</v>
      </c>
      <c r="K2098" t="s">
        <v>29</v>
      </c>
      <c r="L2098">
        <v>0</v>
      </c>
      <c r="M2098" t="s">
        <v>29</v>
      </c>
      <c r="N2098">
        <v>0</v>
      </c>
      <c r="O2098">
        <v>0</v>
      </c>
      <c r="P2098" t="s">
        <v>30</v>
      </c>
      <c r="Q2098" s="2">
        <v>0.7</v>
      </c>
      <c r="R2098">
        <v>0</v>
      </c>
      <c r="V2098" t="str">
        <f>VLOOKUP(H2098,'[1]팀별 출판사'!A:B,2,0)</f>
        <v>소설1팀</v>
      </c>
      <c r="W2098" s="6">
        <f t="shared" si="64"/>
        <v>0</v>
      </c>
      <c r="X2098" s="6">
        <f t="shared" si="65"/>
        <v>0</v>
      </c>
    </row>
    <row r="2099" spans="1:24" x14ac:dyDescent="0.3">
      <c r="A2099" t="s">
        <v>3195</v>
      </c>
      <c r="B2099" t="s">
        <v>3231</v>
      </c>
      <c r="C2099" t="s">
        <v>23</v>
      </c>
      <c r="D2099" t="s">
        <v>24</v>
      </c>
      <c r="E2099" t="s">
        <v>25</v>
      </c>
      <c r="F2099">
        <v>1</v>
      </c>
      <c r="G2099">
        <v>9791157533336</v>
      </c>
      <c r="H2099" t="s">
        <v>32</v>
      </c>
      <c r="I2099" t="s">
        <v>3232</v>
      </c>
      <c r="J2099" t="s">
        <v>187</v>
      </c>
      <c r="K2099" t="s">
        <v>29</v>
      </c>
      <c r="L2099" s="1">
        <v>3200</v>
      </c>
      <c r="M2099" t="s">
        <v>29</v>
      </c>
      <c r="N2099" s="1">
        <v>3200</v>
      </c>
      <c r="O2099" s="1">
        <v>3200</v>
      </c>
      <c r="P2099" t="s">
        <v>30</v>
      </c>
      <c r="Q2099" s="2">
        <v>0.7</v>
      </c>
      <c r="R2099" s="1">
        <v>2240</v>
      </c>
      <c r="S2099" t="s">
        <v>29</v>
      </c>
      <c r="T2099" s="1">
        <v>2240</v>
      </c>
      <c r="V2099" t="str">
        <f>VLOOKUP(H2099,'[1]팀별 출판사'!A:B,2,0)</f>
        <v>소설1팀</v>
      </c>
      <c r="W2099" s="6">
        <f t="shared" si="64"/>
        <v>0</v>
      </c>
      <c r="X2099" s="6">
        <f t="shared" si="65"/>
        <v>2240</v>
      </c>
    </row>
    <row r="2100" spans="1:24" x14ac:dyDescent="0.3">
      <c r="A2100" t="s">
        <v>3195</v>
      </c>
      <c r="B2100" t="s">
        <v>3233</v>
      </c>
      <c r="C2100" t="s">
        <v>23</v>
      </c>
      <c r="D2100" t="s">
        <v>24</v>
      </c>
      <c r="E2100" t="s">
        <v>25</v>
      </c>
      <c r="F2100">
        <v>1</v>
      </c>
      <c r="G2100">
        <v>9791170103387</v>
      </c>
      <c r="H2100" t="s">
        <v>67</v>
      </c>
      <c r="I2100" t="s">
        <v>307</v>
      </c>
      <c r="J2100" t="s">
        <v>308</v>
      </c>
      <c r="K2100" t="s">
        <v>29</v>
      </c>
      <c r="L2100">
        <v>0</v>
      </c>
      <c r="M2100" t="s">
        <v>47</v>
      </c>
      <c r="N2100">
        <v>0</v>
      </c>
      <c r="O2100">
        <v>0</v>
      </c>
      <c r="P2100" t="s">
        <v>48</v>
      </c>
      <c r="Q2100" s="2">
        <v>0.7</v>
      </c>
      <c r="R2100">
        <v>0</v>
      </c>
      <c r="V2100" t="str">
        <f>VLOOKUP(H2100,'[1]팀별 출판사'!A:B,2,0)</f>
        <v>소설1팀</v>
      </c>
      <c r="W2100" s="6">
        <f t="shared" si="64"/>
        <v>0</v>
      </c>
      <c r="X2100" s="6">
        <f t="shared" si="65"/>
        <v>0</v>
      </c>
    </row>
    <row r="2101" spans="1:24" x14ac:dyDescent="0.3">
      <c r="A2101" t="s">
        <v>3195</v>
      </c>
      <c r="B2101" t="s">
        <v>3234</v>
      </c>
      <c r="C2101" t="s">
        <v>23</v>
      </c>
      <c r="D2101" t="s">
        <v>24</v>
      </c>
      <c r="E2101" t="s">
        <v>25</v>
      </c>
      <c r="F2101">
        <v>1</v>
      </c>
      <c r="G2101">
        <v>9791136928870</v>
      </c>
      <c r="H2101" t="s">
        <v>26</v>
      </c>
      <c r="I2101" t="s">
        <v>3235</v>
      </c>
      <c r="J2101" t="s">
        <v>62</v>
      </c>
      <c r="K2101" t="s">
        <v>29</v>
      </c>
      <c r="L2101" s="1">
        <v>3200</v>
      </c>
      <c r="M2101" t="s">
        <v>70</v>
      </c>
      <c r="N2101">
        <v>2.2200000000000002</v>
      </c>
      <c r="O2101">
        <v>2.2200000000000002</v>
      </c>
      <c r="P2101" t="s">
        <v>71</v>
      </c>
      <c r="Q2101" s="2">
        <v>0.7</v>
      </c>
      <c r="R2101">
        <v>1.55</v>
      </c>
      <c r="S2101" t="s">
        <v>29</v>
      </c>
      <c r="T2101" s="1">
        <v>2238</v>
      </c>
      <c r="U2101" s="3">
        <v>1443.44129</v>
      </c>
      <c r="V2101" t="str">
        <f>VLOOKUP(H2101,'[1]팀별 출판사'!A:B,2,0)</f>
        <v>소설1팀</v>
      </c>
      <c r="W2101" s="6">
        <f t="shared" si="64"/>
        <v>671.4</v>
      </c>
      <c r="X2101" s="6">
        <f t="shared" si="65"/>
        <v>1566.6</v>
      </c>
    </row>
    <row r="2102" spans="1:24" x14ac:dyDescent="0.3">
      <c r="A2102" t="s">
        <v>3195</v>
      </c>
      <c r="B2102" t="s">
        <v>3234</v>
      </c>
      <c r="C2102" t="s">
        <v>23</v>
      </c>
      <c r="D2102" t="s">
        <v>24</v>
      </c>
      <c r="E2102" t="s">
        <v>25</v>
      </c>
      <c r="F2102">
        <v>1</v>
      </c>
      <c r="G2102">
        <v>9791136928887</v>
      </c>
      <c r="H2102" t="s">
        <v>26</v>
      </c>
      <c r="I2102" t="s">
        <v>3166</v>
      </c>
      <c r="J2102" t="s">
        <v>62</v>
      </c>
      <c r="K2102" t="s">
        <v>29</v>
      </c>
      <c r="L2102" s="1">
        <v>3200</v>
      </c>
      <c r="M2102" t="s">
        <v>70</v>
      </c>
      <c r="N2102">
        <v>2.2200000000000002</v>
      </c>
      <c r="O2102">
        <v>2.2200000000000002</v>
      </c>
      <c r="P2102" t="s">
        <v>71</v>
      </c>
      <c r="Q2102" s="2">
        <v>0.7</v>
      </c>
      <c r="R2102">
        <v>1.55</v>
      </c>
      <c r="S2102" t="s">
        <v>29</v>
      </c>
      <c r="T2102" s="1">
        <v>2238</v>
      </c>
      <c r="U2102" s="3">
        <v>1443.44129</v>
      </c>
      <c r="V2102" t="str">
        <f>VLOOKUP(H2102,'[1]팀별 출판사'!A:B,2,0)</f>
        <v>소설1팀</v>
      </c>
      <c r="W2102" s="6">
        <f t="shared" si="64"/>
        <v>671.4</v>
      </c>
      <c r="X2102" s="6">
        <f t="shared" si="65"/>
        <v>1566.6</v>
      </c>
    </row>
    <row r="2103" spans="1:24" x14ac:dyDescent="0.3">
      <c r="A2103" t="s">
        <v>3195</v>
      </c>
      <c r="B2103" t="s">
        <v>3234</v>
      </c>
      <c r="C2103" t="s">
        <v>23</v>
      </c>
      <c r="D2103" t="s">
        <v>24</v>
      </c>
      <c r="E2103" t="s">
        <v>25</v>
      </c>
      <c r="F2103">
        <v>1</v>
      </c>
      <c r="G2103">
        <v>9791136928894</v>
      </c>
      <c r="H2103" t="s">
        <v>26</v>
      </c>
      <c r="I2103" t="s">
        <v>3236</v>
      </c>
      <c r="J2103" t="s">
        <v>62</v>
      </c>
      <c r="K2103" t="s">
        <v>29</v>
      </c>
      <c r="L2103" s="1">
        <v>3200</v>
      </c>
      <c r="M2103" t="s">
        <v>70</v>
      </c>
      <c r="N2103">
        <v>2.2200000000000002</v>
      </c>
      <c r="O2103">
        <v>2.2200000000000002</v>
      </c>
      <c r="P2103" t="s">
        <v>71</v>
      </c>
      <c r="Q2103" s="2">
        <v>0.7</v>
      </c>
      <c r="R2103">
        <v>1.55</v>
      </c>
      <c r="S2103" t="s">
        <v>29</v>
      </c>
      <c r="T2103" s="1">
        <v>2238</v>
      </c>
      <c r="U2103" s="3">
        <v>1443.44129</v>
      </c>
      <c r="V2103" t="str">
        <f>VLOOKUP(H2103,'[1]팀별 출판사'!A:B,2,0)</f>
        <v>소설1팀</v>
      </c>
      <c r="W2103" s="6">
        <f t="shared" si="64"/>
        <v>671.4</v>
      </c>
      <c r="X2103" s="6">
        <f t="shared" si="65"/>
        <v>1566.6</v>
      </c>
    </row>
    <row r="2104" spans="1:24" x14ac:dyDescent="0.3">
      <c r="A2104" t="s">
        <v>3195</v>
      </c>
      <c r="B2104" t="s">
        <v>3237</v>
      </c>
      <c r="C2104" t="s">
        <v>23</v>
      </c>
      <c r="D2104" t="s">
        <v>24</v>
      </c>
      <c r="E2104" t="s">
        <v>25</v>
      </c>
      <c r="F2104">
        <v>1</v>
      </c>
      <c r="G2104">
        <v>9791133186501</v>
      </c>
      <c r="H2104" t="s">
        <v>26</v>
      </c>
      <c r="I2104" t="s">
        <v>64</v>
      </c>
      <c r="J2104" t="s">
        <v>65</v>
      </c>
      <c r="K2104" t="s">
        <v>29</v>
      </c>
      <c r="L2104">
        <v>0</v>
      </c>
      <c r="M2104" t="s">
        <v>29</v>
      </c>
      <c r="N2104">
        <v>0</v>
      </c>
      <c r="O2104">
        <v>0</v>
      </c>
      <c r="P2104" t="s">
        <v>30</v>
      </c>
      <c r="Q2104" s="2">
        <v>0.7</v>
      </c>
      <c r="R2104">
        <v>0</v>
      </c>
      <c r="V2104" t="str">
        <f>VLOOKUP(H2104,'[1]팀별 출판사'!A:B,2,0)</f>
        <v>소설1팀</v>
      </c>
      <c r="W2104" s="6">
        <f t="shared" si="64"/>
        <v>0</v>
      </c>
      <c r="X2104" s="6">
        <f t="shared" si="65"/>
        <v>0</v>
      </c>
    </row>
    <row r="2105" spans="1:24" x14ac:dyDescent="0.3">
      <c r="A2105" t="s">
        <v>3195</v>
      </c>
      <c r="B2105" t="s">
        <v>3238</v>
      </c>
      <c r="C2105" t="s">
        <v>23</v>
      </c>
      <c r="D2105" t="s">
        <v>24</v>
      </c>
      <c r="E2105" t="s">
        <v>25</v>
      </c>
      <c r="F2105">
        <v>1</v>
      </c>
      <c r="G2105">
        <v>9791170100126</v>
      </c>
      <c r="H2105" t="s">
        <v>67</v>
      </c>
      <c r="I2105" t="s">
        <v>1061</v>
      </c>
      <c r="J2105" t="s">
        <v>347</v>
      </c>
      <c r="K2105" t="s">
        <v>29</v>
      </c>
      <c r="L2105">
        <v>0</v>
      </c>
      <c r="M2105" t="s">
        <v>29</v>
      </c>
      <c r="N2105">
        <v>0</v>
      </c>
      <c r="O2105">
        <v>0</v>
      </c>
      <c r="P2105" t="s">
        <v>30</v>
      </c>
      <c r="Q2105" s="2">
        <v>0.7</v>
      </c>
      <c r="R2105">
        <v>0</v>
      </c>
      <c r="V2105" t="str">
        <f>VLOOKUP(H2105,'[1]팀별 출판사'!A:B,2,0)</f>
        <v>소설1팀</v>
      </c>
      <c r="W2105" s="6">
        <f t="shared" si="64"/>
        <v>0</v>
      </c>
      <c r="X2105" s="6">
        <f t="shared" si="65"/>
        <v>0</v>
      </c>
    </row>
    <row r="2106" spans="1:24" x14ac:dyDescent="0.3">
      <c r="A2106" t="s">
        <v>3195</v>
      </c>
      <c r="B2106" t="s">
        <v>3239</v>
      </c>
      <c r="C2106" t="s">
        <v>23</v>
      </c>
      <c r="D2106" t="s">
        <v>24</v>
      </c>
      <c r="E2106" t="s">
        <v>25</v>
      </c>
      <c r="F2106">
        <v>1</v>
      </c>
      <c r="G2106">
        <v>9791133177042</v>
      </c>
      <c r="H2106" t="s">
        <v>32</v>
      </c>
      <c r="I2106" t="s">
        <v>3240</v>
      </c>
      <c r="J2106" t="s">
        <v>43</v>
      </c>
      <c r="K2106" t="s">
        <v>29</v>
      </c>
      <c r="L2106">
        <v>0</v>
      </c>
      <c r="M2106" t="s">
        <v>29</v>
      </c>
      <c r="N2106">
        <v>0</v>
      </c>
      <c r="O2106">
        <v>0</v>
      </c>
      <c r="P2106" t="s">
        <v>30</v>
      </c>
      <c r="Q2106" s="2">
        <v>0.7</v>
      </c>
      <c r="R2106">
        <v>0</v>
      </c>
      <c r="V2106" t="str">
        <f>VLOOKUP(H2106,'[1]팀별 출판사'!A:B,2,0)</f>
        <v>소설1팀</v>
      </c>
      <c r="W2106" s="6">
        <f t="shared" si="64"/>
        <v>0</v>
      </c>
      <c r="X2106" s="6">
        <f t="shared" si="65"/>
        <v>0</v>
      </c>
    </row>
    <row r="2107" spans="1:24" x14ac:dyDescent="0.3">
      <c r="A2107" t="s">
        <v>3195</v>
      </c>
      <c r="B2107" t="s">
        <v>3241</v>
      </c>
      <c r="C2107" t="s">
        <v>23</v>
      </c>
      <c r="D2107" t="s">
        <v>24</v>
      </c>
      <c r="E2107" t="s">
        <v>25</v>
      </c>
      <c r="F2107">
        <v>1</v>
      </c>
      <c r="G2107">
        <v>9791133196296</v>
      </c>
      <c r="H2107" t="s">
        <v>26</v>
      </c>
      <c r="I2107" t="s">
        <v>3242</v>
      </c>
      <c r="J2107" t="s">
        <v>3243</v>
      </c>
      <c r="K2107" t="s">
        <v>29</v>
      </c>
      <c r="L2107">
        <v>0</v>
      </c>
      <c r="M2107" t="s">
        <v>29</v>
      </c>
      <c r="N2107">
        <v>0</v>
      </c>
      <c r="O2107">
        <v>0</v>
      </c>
      <c r="P2107" t="s">
        <v>30</v>
      </c>
      <c r="Q2107" s="2">
        <v>0.7</v>
      </c>
      <c r="R2107">
        <v>0</v>
      </c>
      <c r="V2107" t="str">
        <f>VLOOKUP(H2107,'[1]팀별 출판사'!A:B,2,0)</f>
        <v>소설1팀</v>
      </c>
      <c r="W2107" s="6">
        <f t="shared" si="64"/>
        <v>0</v>
      </c>
      <c r="X2107" s="6">
        <f t="shared" si="65"/>
        <v>0</v>
      </c>
    </row>
    <row r="2108" spans="1:24" x14ac:dyDescent="0.3">
      <c r="A2108" t="s">
        <v>3195</v>
      </c>
      <c r="B2108" t="s">
        <v>3244</v>
      </c>
      <c r="C2108" t="s">
        <v>23</v>
      </c>
      <c r="D2108" t="s">
        <v>24</v>
      </c>
      <c r="E2108" t="s">
        <v>25</v>
      </c>
      <c r="F2108">
        <v>1</v>
      </c>
      <c r="G2108">
        <v>9791136999702</v>
      </c>
      <c r="H2108" t="s">
        <v>26</v>
      </c>
      <c r="I2108" t="s">
        <v>3245</v>
      </c>
      <c r="J2108" t="s">
        <v>937</v>
      </c>
      <c r="K2108" t="s">
        <v>29</v>
      </c>
      <c r="L2108" s="1">
        <v>3200</v>
      </c>
      <c r="M2108" t="s">
        <v>29</v>
      </c>
      <c r="N2108" s="1">
        <v>3200</v>
      </c>
      <c r="O2108" s="1">
        <v>3200</v>
      </c>
      <c r="P2108" t="s">
        <v>30</v>
      </c>
      <c r="Q2108" s="2">
        <v>0.7</v>
      </c>
      <c r="R2108" s="1">
        <v>2240</v>
      </c>
      <c r="S2108" t="s">
        <v>29</v>
      </c>
      <c r="T2108" s="1">
        <v>2240</v>
      </c>
      <c r="V2108" t="str">
        <f>VLOOKUP(H2108,'[1]팀별 출판사'!A:B,2,0)</f>
        <v>소설1팀</v>
      </c>
      <c r="W2108" s="6">
        <f t="shared" si="64"/>
        <v>0</v>
      </c>
      <c r="X2108" s="6">
        <f t="shared" si="65"/>
        <v>2240</v>
      </c>
    </row>
    <row r="2109" spans="1:24" x14ac:dyDescent="0.3">
      <c r="A2109" t="s">
        <v>3195</v>
      </c>
      <c r="B2109" t="s">
        <v>3246</v>
      </c>
      <c r="C2109" t="s">
        <v>23</v>
      </c>
      <c r="D2109" t="s">
        <v>24</v>
      </c>
      <c r="E2109" t="s">
        <v>25</v>
      </c>
      <c r="F2109">
        <v>1</v>
      </c>
      <c r="G2109">
        <v>9791170100850</v>
      </c>
      <c r="H2109" t="s">
        <v>67</v>
      </c>
      <c r="I2109" t="s">
        <v>401</v>
      </c>
      <c r="J2109" t="s">
        <v>402</v>
      </c>
      <c r="K2109" t="s">
        <v>29</v>
      </c>
      <c r="L2109">
        <v>0</v>
      </c>
      <c r="M2109" t="s">
        <v>29</v>
      </c>
      <c r="N2109">
        <v>0</v>
      </c>
      <c r="O2109">
        <v>0</v>
      </c>
      <c r="P2109" t="s">
        <v>30</v>
      </c>
      <c r="Q2109" s="2">
        <v>0.7</v>
      </c>
      <c r="R2109">
        <v>0</v>
      </c>
      <c r="V2109" t="str">
        <f>VLOOKUP(H2109,'[1]팀별 출판사'!A:B,2,0)</f>
        <v>소설1팀</v>
      </c>
      <c r="W2109" s="6">
        <f t="shared" si="64"/>
        <v>0</v>
      </c>
      <c r="X2109" s="6">
        <f t="shared" si="65"/>
        <v>0</v>
      </c>
    </row>
    <row r="2110" spans="1:24" x14ac:dyDescent="0.3">
      <c r="A2110" t="s">
        <v>3195</v>
      </c>
      <c r="B2110" t="s">
        <v>3247</v>
      </c>
      <c r="C2110" t="s">
        <v>23</v>
      </c>
      <c r="D2110" t="s">
        <v>24</v>
      </c>
      <c r="E2110" t="s">
        <v>25</v>
      </c>
      <c r="F2110">
        <v>1</v>
      </c>
      <c r="G2110">
        <v>9791136926845</v>
      </c>
      <c r="H2110" t="s">
        <v>26</v>
      </c>
      <c r="I2110" t="s">
        <v>3248</v>
      </c>
      <c r="J2110" t="s">
        <v>62</v>
      </c>
      <c r="K2110" t="s">
        <v>29</v>
      </c>
      <c r="L2110" s="1">
        <v>3200</v>
      </c>
      <c r="M2110" t="s">
        <v>29</v>
      </c>
      <c r="N2110" s="1">
        <v>3200</v>
      </c>
      <c r="O2110" s="1">
        <v>3200</v>
      </c>
      <c r="P2110" t="s">
        <v>30</v>
      </c>
      <c r="Q2110" s="2">
        <v>0.7</v>
      </c>
      <c r="R2110" s="1">
        <v>2240</v>
      </c>
      <c r="S2110" t="s">
        <v>29</v>
      </c>
      <c r="T2110" s="1">
        <v>2240</v>
      </c>
      <c r="V2110" t="str">
        <f>VLOOKUP(H2110,'[1]팀별 출판사'!A:B,2,0)</f>
        <v>소설1팀</v>
      </c>
      <c r="W2110" s="6">
        <f t="shared" si="64"/>
        <v>0</v>
      </c>
      <c r="X2110" s="6">
        <f t="shared" si="65"/>
        <v>2240</v>
      </c>
    </row>
    <row r="2111" spans="1:24" x14ac:dyDescent="0.3">
      <c r="A2111" t="s">
        <v>3195</v>
      </c>
      <c r="B2111" t="s">
        <v>3249</v>
      </c>
      <c r="C2111" t="s">
        <v>23</v>
      </c>
      <c r="D2111" t="s">
        <v>24</v>
      </c>
      <c r="E2111" t="s">
        <v>25</v>
      </c>
      <c r="F2111">
        <v>1</v>
      </c>
      <c r="G2111">
        <v>9791136944160</v>
      </c>
      <c r="H2111" t="s">
        <v>26</v>
      </c>
      <c r="I2111" t="s">
        <v>3127</v>
      </c>
      <c r="J2111" t="s">
        <v>1692</v>
      </c>
      <c r="K2111" t="s">
        <v>29</v>
      </c>
      <c r="L2111">
        <v>0</v>
      </c>
      <c r="M2111" t="s">
        <v>29</v>
      </c>
      <c r="N2111">
        <v>0</v>
      </c>
      <c r="O2111">
        <v>0</v>
      </c>
      <c r="P2111" t="s">
        <v>30</v>
      </c>
      <c r="Q2111" s="2">
        <v>0.7</v>
      </c>
      <c r="R2111">
        <v>0</v>
      </c>
      <c r="V2111" t="str">
        <f>VLOOKUP(H2111,'[1]팀별 출판사'!A:B,2,0)</f>
        <v>소설1팀</v>
      </c>
      <c r="W2111" s="6">
        <f t="shared" si="64"/>
        <v>0</v>
      </c>
      <c r="X2111" s="6">
        <f t="shared" si="65"/>
        <v>0</v>
      </c>
    </row>
    <row r="2112" spans="1:24" x14ac:dyDescent="0.3">
      <c r="A2112" t="s">
        <v>3195</v>
      </c>
      <c r="B2112" t="s">
        <v>3250</v>
      </c>
      <c r="C2112" t="s">
        <v>23</v>
      </c>
      <c r="D2112" t="s">
        <v>24</v>
      </c>
      <c r="E2112" t="s">
        <v>25</v>
      </c>
      <c r="F2112">
        <v>1</v>
      </c>
      <c r="G2112">
        <v>9791173788895</v>
      </c>
      <c r="H2112" t="s">
        <v>26</v>
      </c>
      <c r="I2112" t="s">
        <v>3251</v>
      </c>
      <c r="J2112" t="s">
        <v>256</v>
      </c>
      <c r="K2112" t="s">
        <v>29</v>
      </c>
      <c r="L2112" s="1">
        <v>3200</v>
      </c>
      <c r="M2112" t="s">
        <v>29</v>
      </c>
      <c r="N2112" s="1">
        <v>3200</v>
      </c>
      <c r="O2112" s="1">
        <v>3200</v>
      </c>
      <c r="P2112" t="s">
        <v>30</v>
      </c>
      <c r="Q2112" s="2">
        <v>0.7</v>
      </c>
      <c r="R2112" s="1">
        <v>2240</v>
      </c>
      <c r="S2112" t="s">
        <v>29</v>
      </c>
      <c r="T2112" s="1">
        <v>2240</v>
      </c>
      <c r="V2112" t="str">
        <f>VLOOKUP(H2112,'[1]팀별 출판사'!A:B,2,0)</f>
        <v>소설1팀</v>
      </c>
      <c r="W2112" s="6">
        <f t="shared" si="64"/>
        <v>0</v>
      </c>
      <c r="X2112" s="6">
        <f t="shared" si="65"/>
        <v>2240</v>
      </c>
    </row>
    <row r="2113" spans="1:24" x14ac:dyDescent="0.3">
      <c r="A2113" t="s">
        <v>3195</v>
      </c>
      <c r="B2113" t="s">
        <v>3252</v>
      </c>
      <c r="C2113" t="s">
        <v>23</v>
      </c>
      <c r="D2113" t="s">
        <v>24</v>
      </c>
      <c r="E2113" t="s">
        <v>25</v>
      </c>
      <c r="F2113">
        <v>1</v>
      </c>
      <c r="G2113">
        <v>9791133150298</v>
      </c>
      <c r="H2113" t="s">
        <v>32</v>
      </c>
      <c r="I2113" t="s">
        <v>1079</v>
      </c>
      <c r="J2113" t="s">
        <v>178</v>
      </c>
      <c r="K2113" t="s">
        <v>29</v>
      </c>
      <c r="L2113">
        <v>0</v>
      </c>
      <c r="M2113" t="s">
        <v>29</v>
      </c>
      <c r="N2113">
        <v>0</v>
      </c>
      <c r="O2113">
        <v>0</v>
      </c>
      <c r="P2113" t="s">
        <v>30</v>
      </c>
      <c r="Q2113" s="2">
        <v>0.7</v>
      </c>
      <c r="R2113">
        <v>0</v>
      </c>
      <c r="V2113" t="str">
        <f>VLOOKUP(H2113,'[1]팀별 출판사'!A:B,2,0)</f>
        <v>소설1팀</v>
      </c>
      <c r="W2113" s="6">
        <f t="shared" si="64"/>
        <v>0</v>
      </c>
      <c r="X2113" s="6">
        <f t="shared" si="65"/>
        <v>0</v>
      </c>
    </row>
    <row r="2114" spans="1:24" x14ac:dyDescent="0.3">
      <c r="A2114" t="s">
        <v>3195</v>
      </c>
      <c r="B2114" t="s">
        <v>3253</v>
      </c>
      <c r="C2114" t="s">
        <v>23</v>
      </c>
      <c r="D2114" t="s">
        <v>24</v>
      </c>
      <c r="E2114" t="s">
        <v>25</v>
      </c>
      <c r="F2114">
        <v>1</v>
      </c>
      <c r="G2114">
        <v>9791173785993</v>
      </c>
      <c r="H2114" t="s">
        <v>26</v>
      </c>
      <c r="I2114" t="s">
        <v>769</v>
      </c>
      <c r="J2114" t="s">
        <v>81</v>
      </c>
      <c r="K2114" t="s">
        <v>29</v>
      </c>
      <c r="L2114">
        <v>0</v>
      </c>
      <c r="M2114" t="s">
        <v>29</v>
      </c>
      <c r="N2114">
        <v>0</v>
      </c>
      <c r="O2114">
        <v>0</v>
      </c>
      <c r="P2114" t="s">
        <v>30</v>
      </c>
      <c r="Q2114" s="2">
        <v>0.7</v>
      </c>
      <c r="R2114">
        <v>0</v>
      </c>
      <c r="V2114" t="str">
        <f>VLOOKUP(H2114,'[1]팀별 출판사'!A:B,2,0)</f>
        <v>소설1팀</v>
      </c>
      <c r="W2114" s="6">
        <f t="shared" ref="W2114:W2177" si="66">IF(P2114="US", T2114*30%, 0)</f>
        <v>0</v>
      </c>
      <c r="X2114" s="6">
        <f t="shared" ref="X2114:X2177" si="67">T2114-W2114</f>
        <v>0</v>
      </c>
    </row>
    <row r="2115" spans="1:24" x14ac:dyDescent="0.3">
      <c r="A2115" t="s">
        <v>3195</v>
      </c>
      <c r="B2115" t="s">
        <v>3254</v>
      </c>
      <c r="C2115" t="s">
        <v>23</v>
      </c>
      <c r="D2115" t="s">
        <v>24</v>
      </c>
      <c r="E2115" t="s">
        <v>25</v>
      </c>
      <c r="F2115">
        <v>1</v>
      </c>
      <c r="G2115">
        <v>9791170101284</v>
      </c>
      <c r="H2115" t="s">
        <v>67</v>
      </c>
      <c r="I2115" t="s">
        <v>1187</v>
      </c>
      <c r="J2115" t="s">
        <v>414</v>
      </c>
      <c r="K2115" t="s">
        <v>29</v>
      </c>
      <c r="L2115">
        <v>0</v>
      </c>
      <c r="M2115" t="s">
        <v>29</v>
      </c>
      <c r="N2115">
        <v>0</v>
      </c>
      <c r="O2115">
        <v>0</v>
      </c>
      <c r="P2115" t="s">
        <v>30</v>
      </c>
      <c r="Q2115" s="2">
        <v>0.7</v>
      </c>
      <c r="R2115">
        <v>0</v>
      </c>
      <c r="V2115" t="str">
        <f>VLOOKUP(H2115,'[1]팀별 출판사'!A:B,2,0)</f>
        <v>소설1팀</v>
      </c>
      <c r="W2115" s="6">
        <f t="shared" si="66"/>
        <v>0</v>
      </c>
      <c r="X2115" s="6">
        <f t="shared" si="67"/>
        <v>0</v>
      </c>
    </row>
    <row r="2116" spans="1:24" x14ac:dyDescent="0.3">
      <c r="A2116" t="s">
        <v>3195</v>
      </c>
      <c r="B2116" t="s">
        <v>3255</v>
      </c>
      <c r="C2116" t="s">
        <v>23</v>
      </c>
      <c r="D2116" t="s">
        <v>24</v>
      </c>
      <c r="E2116" t="s">
        <v>25</v>
      </c>
      <c r="F2116">
        <v>1</v>
      </c>
      <c r="G2116" t="s">
        <v>1886</v>
      </c>
      <c r="H2116" t="s">
        <v>32</v>
      </c>
      <c r="I2116" t="s">
        <v>1887</v>
      </c>
      <c r="J2116" t="s">
        <v>166</v>
      </c>
      <c r="K2116" t="s">
        <v>29</v>
      </c>
      <c r="L2116">
        <v>0</v>
      </c>
      <c r="M2116" t="s">
        <v>29</v>
      </c>
      <c r="N2116">
        <v>0</v>
      </c>
      <c r="O2116">
        <v>0</v>
      </c>
      <c r="P2116" t="s">
        <v>30</v>
      </c>
      <c r="Q2116" s="2">
        <v>0.7</v>
      </c>
      <c r="R2116">
        <v>0</v>
      </c>
      <c r="V2116" t="str">
        <f>VLOOKUP(H2116,'[1]팀별 출판사'!A:B,2,0)</f>
        <v>소설1팀</v>
      </c>
      <c r="W2116" s="6">
        <f t="shared" si="66"/>
        <v>0</v>
      </c>
      <c r="X2116" s="6">
        <f t="shared" si="67"/>
        <v>0</v>
      </c>
    </row>
    <row r="2117" spans="1:24" x14ac:dyDescent="0.3">
      <c r="A2117" t="s">
        <v>3195</v>
      </c>
      <c r="B2117" t="s">
        <v>3256</v>
      </c>
      <c r="C2117" t="s">
        <v>23</v>
      </c>
      <c r="D2117" t="s">
        <v>24</v>
      </c>
      <c r="E2117" t="s">
        <v>25</v>
      </c>
      <c r="F2117">
        <v>1</v>
      </c>
      <c r="G2117">
        <v>9791170107064</v>
      </c>
      <c r="H2117" t="s">
        <v>67</v>
      </c>
      <c r="I2117" t="s">
        <v>901</v>
      </c>
      <c r="J2117" t="s">
        <v>902</v>
      </c>
      <c r="K2117" t="s">
        <v>29</v>
      </c>
      <c r="L2117">
        <v>0</v>
      </c>
      <c r="M2117" t="s">
        <v>29</v>
      </c>
      <c r="N2117">
        <v>0</v>
      </c>
      <c r="O2117">
        <v>0</v>
      </c>
      <c r="P2117" t="s">
        <v>30</v>
      </c>
      <c r="Q2117" s="2">
        <v>0.7</v>
      </c>
      <c r="R2117">
        <v>0</v>
      </c>
      <c r="V2117" t="str">
        <f>VLOOKUP(H2117,'[1]팀별 출판사'!A:B,2,0)</f>
        <v>소설1팀</v>
      </c>
      <c r="W2117" s="6">
        <f t="shared" si="66"/>
        <v>0</v>
      </c>
      <c r="X2117" s="6">
        <f t="shared" si="67"/>
        <v>0</v>
      </c>
    </row>
    <row r="2118" spans="1:24" x14ac:dyDescent="0.3">
      <c r="A2118" t="s">
        <v>3195</v>
      </c>
      <c r="B2118" t="s">
        <v>3257</v>
      </c>
      <c r="C2118" t="s">
        <v>23</v>
      </c>
      <c r="D2118" t="s">
        <v>24</v>
      </c>
      <c r="E2118" t="s">
        <v>25</v>
      </c>
      <c r="F2118">
        <v>1</v>
      </c>
      <c r="G2118">
        <v>9791136931375</v>
      </c>
      <c r="H2118" t="s">
        <v>32</v>
      </c>
      <c r="I2118" t="s">
        <v>189</v>
      </c>
      <c r="J2118" t="s">
        <v>46</v>
      </c>
      <c r="K2118" t="s">
        <v>29</v>
      </c>
      <c r="L2118">
        <v>0</v>
      </c>
      <c r="M2118" t="s">
        <v>152</v>
      </c>
      <c r="N2118">
        <v>0</v>
      </c>
      <c r="O2118">
        <v>0</v>
      </c>
      <c r="P2118" t="s">
        <v>153</v>
      </c>
      <c r="Q2118" s="2">
        <v>0.7</v>
      </c>
      <c r="R2118">
        <v>0</v>
      </c>
      <c r="V2118" t="str">
        <f>VLOOKUP(H2118,'[1]팀별 출판사'!A:B,2,0)</f>
        <v>소설1팀</v>
      </c>
      <c r="W2118" s="6">
        <f t="shared" si="66"/>
        <v>0</v>
      </c>
      <c r="X2118" s="6">
        <f t="shared" si="67"/>
        <v>0</v>
      </c>
    </row>
    <row r="2119" spans="1:24" x14ac:dyDescent="0.3">
      <c r="A2119" t="s">
        <v>3195</v>
      </c>
      <c r="B2119" t="s">
        <v>3258</v>
      </c>
      <c r="C2119" t="s">
        <v>23</v>
      </c>
      <c r="D2119" t="s">
        <v>24</v>
      </c>
      <c r="E2119" t="s">
        <v>25</v>
      </c>
      <c r="F2119">
        <v>1</v>
      </c>
      <c r="G2119">
        <v>9791136923615</v>
      </c>
      <c r="H2119" t="s">
        <v>26</v>
      </c>
      <c r="I2119" t="s">
        <v>3259</v>
      </c>
      <c r="J2119" t="s">
        <v>1376</v>
      </c>
      <c r="K2119" t="s">
        <v>29</v>
      </c>
      <c r="L2119" s="1">
        <v>3200</v>
      </c>
      <c r="M2119" t="s">
        <v>29</v>
      </c>
      <c r="N2119" s="1">
        <v>3200</v>
      </c>
      <c r="O2119" s="1">
        <v>3200</v>
      </c>
      <c r="P2119" t="s">
        <v>30</v>
      </c>
      <c r="Q2119" s="2">
        <v>0.7</v>
      </c>
      <c r="R2119" s="1">
        <v>2240</v>
      </c>
      <c r="S2119" t="s">
        <v>29</v>
      </c>
      <c r="T2119" s="1">
        <v>2240</v>
      </c>
      <c r="V2119" t="str">
        <f>VLOOKUP(H2119,'[1]팀별 출판사'!A:B,2,0)</f>
        <v>소설1팀</v>
      </c>
      <c r="W2119" s="6">
        <f t="shared" si="66"/>
        <v>0</v>
      </c>
      <c r="X2119" s="6">
        <f t="shared" si="67"/>
        <v>2240</v>
      </c>
    </row>
    <row r="2120" spans="1:24" x14ac:dyDescent="0.3">
      <c r="A2120" t="s">
        <v>3195</v>
      </c>
      <c r="B2120" t="s">
        <v>3260</v>
      </c>
      <c r="C2120" t="s">
        <v>23</v>
      </c>
      <c r="D2120" t="s">
        <v>24</v>
      </c>
      <c r="E2120" t="s">
        <v>25</v>
      </c>
      <c r="F2120">
        <v>1</v>
      </c>
      <c r="G2120" t="s">
        <v>3261</v>
      </c>
      <c r="H2120" t="s">
        <v>1311</v>
      </c>
      <c r="I2120" t="s">
        <v>3262</v>
      </c>
      <c r="J2120" t="s">
        <v>2606</v>
      </c>
      <c r="K2120" t="s">
        <v>29</v>
      </c>
      <c r="L2120" s="1">
        <v>4000</v>
      </c>
      <c r="M2120" t="s">
        <v>29</v>
      </c>
      <c r="N2120" s="1">
        <v>4000</v>
      </c>
      <c r="O2120" s="1">
        <v>4000</v>
      </c>
      <c r="P2120" t="s">
        <v>30</v>
      </c>
      <c r="Q2120" s="2">
        <v>0.7</v>
      </c>
      <c r="R2120" s="1">
        <v>2800</v>
      </c>
      <c r="S2120" t="s">
        <v>29</v>
      </c>
      <c r="T2120" s="1">
        <v>2800</v>
      </c>
      <c r="V2120" t="str">
        <f>VLOOKUP(H2120,'[1]팀별 출판사'!A:B,2,0)</f>
        <v>소설2팀</v>
      </c>
      <c r="W2120" s="6">
        <f t="shared" si="66"/>
        <v>0</v>
      </c>
      <c r="X2120" s="6">
        <f t="shared" si="67"/>
        <v>2800</v>
      </c>
    </row>
    <row r="2121" spans="1:24" x14ac:dyDescent="0.3">
      <c r="A2121" t="s">
        <v>3195</v>
      </c>
      <c r="B2121" t="s">
        <v>3263</v>
      </c>
      <c r="C2121" t="s">
        <v>23</v>
      </c>
      <c r="D2121" t="s">
        <v>24</v>
      </c>
      <c r="E2121" t="s">
        <v>25</v>
      </c>
      <c r="F2121">
        <v>1</v>
      </c>
      <c r="G2121">
        <v>9791170108788</v>
      </c>
      <c r="H2121" t="s">
        <v>67</v>
      </c>
      <c r="I2121" t="s">
        <v>1522</v>
      </c>
      <c r="J2121" t="s">
        <v>1523</v>
      </c>
      <c r="K2121" t="s">
        <v>29</v>
      </c>
      <c r="L2121">
        <v>0</v>
      </c>
      <c r="M2121" t="s">
        <v>948</v>
      </c>
      <c r="N2121">
        <v>0</v>
      </c>
      <c r="O2121">
        <v>0</v>
      </c>
      <c r="P2121" t="s">
        <v>949</v>
      </c>
      <c r="Q2121" s="2">
        <v>0.7</v>
      </c>
      <c r="R2121">
        <v>0</v>
      </c>
      <c r="V2121" t="str">
        <f>VLOOKUP(H2121,'[1]팀별 출판사'!A:B,2,0)</f>
        <v>소설1팀</v>
      </c>
      <c r="W2121" s="6">
        <f t="shared" si="66"/>
        <v>0</v>
      </c>
      <c r="X2121" s="6">
        <f t="shared" si="67"/>
        <v>0</v>
      </c>
    </row>
    <row r="2122" spans="1:24" x14ac:dyDescent="0.3">
      <c r="A2122" t="s">
        <v>3195</v>
      </c>
      <c r="B2122" t="s">
        <v>3264</v>
      </c>
      <c r="C2122" t="s">
        <v>23</v>
      </c>
      <c r="D2122" t="s">
        <v>24</v>
      </c>
      <c r="E2122" t="s">
        <v>25</v>
      </c>
      <c r="F2122">
        <v>1</v>
      </c>
      <c r="G2122">
        <v>9791170105176</v>
      </c>
      <c r="H2122" t="s">
        <v>67</v>
      </c>
      <c r="I2122" t="s">
        <v>3265</v>
      </c>
      <c r="J2122" t="s">
        <v>3266</v>
      </c>
      <c r="K2122" t="s">
        <v>29</v>
      </c>
      <c r="L2122">
        <v>0</v>
      </c>
      <c r="M2122" t="s">
        <v>948</v>
      </c>
      <c r="N2122">
        <v>0</v>
      </c>
      <c r="O2122">
        <v>0</v>
      </c>
      <c r="P2122" t="s">
        <v>949</v>
      </c>
      <c r="Q2122" s="2">
        <v>0.7</v>
      </c>
      <c r="R2122">
        <v>0</v>
      </c>
      <c r="V2122" t="str">
        <f>VLOOKUP(H2122,'[1]팀별 출판사'!A:B,2,0)</f>
        <v>소설1팀</v>
      </c>
      <c r="W2122" s="6">
        <f t="shared" si="66"/>
        <v>0</v>
      </c>
      <c r="X2122" s="6">
        <f t="shared" si="67"/>
        <v>0</v>
      </c>
    </row>
    <row r="2123" spans="1:24" x14ac:dyDescent="0.3">
      <c r="A2123" t="s">
        <v>3195</v>
      </c>
      <c r="B2123" t="s">
        <v>3267</v>
      </c>
      <c r="C2123" t="s">
        <v>23</v>
      </c>
      <c r="D2123" t="s">
        <v>24</v>
      </c>
      <c r="E2123" t="s">
        <v>25</v>
      </c>
      <c r="F2123">
        <v>1</v>
      </c>
      <c r="G2123">
        <v>9791170100737</v>
      </c>
      <c r="H2123" t="s">
        <v>67</v>
      </c>
      <c r="I2123" t="s">
        <v>410</v>
      </c>
      <c r="J2123" t="s">
        <v>411</v>
      </c>
      <c r="K2123" t="s">
        <v>29</v>
      </c>
      <c r="L2123">
        <v>0</v>
      </c>
      <c r="M2123" t="s">
        <v>948</v>
      </c>
      <c r="N2123">
        <v>0</v>
      </c>
      <c r="O2123">
        <v>0</v>
      </c>
      <c r="P2123" t="s">
        <v>949</v>
      </c>
      <c r="Q2123" s="2">
        <v>0.7</v>
      </c>
      <c r="R2123">
        <v>0</v>
      </c>
      <c r="V2123" t="str">
        <f>VLOOKUP(H2123,'[1]팀별 출판사'!A:B,2,0)</f>
        <v>소설1팀</v>
      </c>
      <c r="W2123" s="6">
        <f t="shared" si="66"/>
        <v>0</v>
      </c>
      <c r="X2123" s="6">
        <f t="shared" si="67"/>
        <v>0</v>
      </c>
    </row>
    <row r="2124" spans="1:24" x14ac:dyDescent="0.3">
      <c r="A2124" t="s">
        <v>3195</v>
      </c>
      <c r="B2124" t="s">
        <v>3268</v>
      </c>
      <c r="C2124" t="s">
        <v>23</v>
      </c>
      <c r="D2124" t="s">
        <v>24</v>
      </c>
      <c r="E2124" t="s">
        <v>25</v>
      </c>
      <c r="F2124">
        <v>1</v>
      </c>
      <c r="G2124">
        <v>9791170101956</v>
      </c>
      <c r="H2124" t="s">
        <v>67</v>
      </c>
      <c r="I2124" t="s">
        <v>3269</v>
      </c>
      <c r="J2124" t="s">
        <v>3270</v>
      </c>
      <c r="K2124" t="s">
        <v>29</v>
      </c>
      <c r="L2124">
        <v>0</v>
      </c>
      <c r="M2124" t="s">
        <v>948</v>
      </c>
      <c r="N2124">
        <v>0</v>
      </c>
      <c r="O2124">
        <v>0</v>
      </c>
      <c r="P2124" t="s">
        <v>949</v>
      </c>
      <c r="Q2124" s="2">
        <v>0.7</v>
      </c>
      <c r="R2124">
        <v>0</v>
      </c>
      <c r="V2124" t="str">
        <f>VLOOKUP(H2124,'[1]팀별 출판사'!A:B,2,0)</f>
        <v>소설1팀</v>
      </c>
      <c r="W2124" s="6">
        <f t="shared" si="66"/>
        <v>0</v>
      </c>
      <c r="X2124" s="6">
        <f t="shared" si="67"/>
        <v>0</v>
      </c>
    </row>
    <row r="2125" spans="1:24" x14ac:dyDescent="0.3">
      <c r="A2125" t="s">
        <v>3195</v>
      </c>
      <c r="B2125" t="s">
        <v>3271</v>
      </c>
      <c r="C2125" t="s">
        <v>23</v>
      </c>
      <c r="D2125" t="s">
        <v>24</v>
      </c>
      <c r="E2125" t="s">
        <v>25</v>
      </c>
      <c r="F2125">
        <v>1</v>
      </c>
      <c r="G2125">
        <v>9791170102021</v>
      </c>
      <c r="H2125" t="s">
        <v>67</v>
      </c>
      <c r="I2125" t="s">
        <v>3272</v>
      </c>
      <c r="J2125" t="s">
        <v>3270</v>
      </c>
      <c r="K2125" t="s">
        <v>29</v>
      </c>
      <c r="L2125">
        <v>0</v>
      </c>
      <c r="M2125" t="s">
        <v>948</v>
      </c>
      <c r="N2125">
        <v>0</v>
      </c>
      <c r="O2125">
        <v>0</v>
      </c>
      <c r="P2125" t="s">
        <v>949</v>
      </c>
      <c r="Q2125" s="2">
        <v>0.7</v>
      </c>
      <c r="R2125">
        <v>0</v>
      </c>
      <c r="V2125" t="str">
        <f>VLOOKUP(H2125,'[1]팀별 출판사'!A:B,2,0)</f>
        <v>소설1팀</v>
      </c>
      <c r="W2125" s="6">
        <f t="shared" si="66"/>
        <v>0</v>
      </c>
      <c r="X2125" s="6">
        <f t="shared" si="67"/>
        <v>0</v>
      </c>
    </row>
    <row r="2126" spans="1:24" x14ac:dyDescent="0.3">
      <c r="A2126" t="s">
        <v>3195</v>
      </c>
      <c r="B2126" t="s">
        <v>3273</v>
      </c>
      <c r="C2126" t="s">
        <v>23</v>
      </c>
      <c r="D2126" t="s">
        <v>24</v>
      </c>
      <c r="E2126" t="s">
        <v>25</v>
      </c>
      <c r="F2126">
        <v>1</v>
      </c>
      <c r="G2126">
        <v>9791133101863</v>
      </c>
      <c r="H2126" t="s">
        <v>32</v>
      </c>
      <c r="I2126" t="s">
        <v>159</v>
      </c>
      <c r="J2126" t="s">
        <v>160</v>
      </c>
      <c r="K2126" t="s">
        <v>29</v>
      </c>
      <c r="L2126">
        <v>0</v>
      </c>
      <c r="M2126" t="s">
        <v>29</v>
      </c>
      <c r="N2126">
        <v>0</v>
      </c>
      <c r="O2126">
        <v>0</v>
      </c>
      <c r="P2126" t="s">
        <v>30</v>
      </c>
      <c r="Q2126" s="2">
        <v>0.7</v>
      </c>
      <c r="R2126">
        <v>0</v>
      </c>
      <c r="V2126" t="str">
        <f>VLOOKUP(H2126,'[1]팀별 출판사'!A:B,2,0)</f>
        <v>소설1팀</v>
      </c>
      <c r="W2126" s="6">
        <f t="shared" si="66"/>
        <v>0</v>
      </c>
      <c r="X2126" s="6">
        <f t="shared" si="67"/>
        <v>0</v>
      </c>
    </row>
    <row r="2127" spans="1:24" x14ac:dyDescent="0.3">
      <c r="A2127" t="s">
        <v>3195</v>
      </c>
      <c r="B2127" t="s">
        <v>3274</v>
      </c>
      <c r="C2127" t="s">
        <v>23</v>
      </c>
      <c r="D2127" t="s">
        <v>24</v>
      </c>
      <c r="E2127" t="s">
        <v>25</v>
      </c>
      <c r="F2127">
        <v>1</v>
      </c>
      <c r="G2127">
        <v>9791136935496</v>
      </c>
      <c r="H2127" t="s">
        <v>32</v>
      </c>
      <c r="I2127" t="s">
        <v>441</v>
      </c>
      <c r="J2127" t="s">
        <v>442</v>
      </c>
      <c r="K2127" t="s">
        <v>29</v>
      </c>
      <c r="L2127">
        <v>0</v>
      </c>
      <c r="M2127" t="s">
        <v>29</v>
      </c>
      <c r="N2127">
        <v>0</v>
      </c>
      <c r="O2127">
        <v>0</v>
      </c>
      <c r="P2127" t="s">
        <v>30</v>
      </c>
      <c r="Q2127" s="2">
        <v>0.7</v>
      </c>
      <c r="R2127">
        <v>0</v>
      </c>
      <c r="V2127" t="str">
        <f>VLOOKUP(H2127,'[1]팀별 출판사'!A:B,2,0)</f>
        <v>소설1팀</v>
      </c>
      <c r="W2127" s="6">
        <f t="shared" si="66"/>
        <v>0</v>
      </c>
      <c r="X2127" s="6">
        <f t="shared" si="67"/>
        <v>0</v>
      </c>
    </row>
    <row r="2128" spans="1:24" x14ac:dyDescent="0.3">
      <c r="A2128" t="s">
        <v>3195</v>
      </c>
      <c r="B2128" t="s">
        <v>3275</v>
      </c>
      <c r="C2128" t="s">
        <v>23</v>
      </c>
      <c r="D2128" t="s">
        <v>24</v>
      </c>
      <c r="E2128" t="s">
        <v>25</v>
      </c>
      <c r="F2128">
        <v>1</v>
      </c>
      <c r="G2128">
        <v>9791136931375</v>
      </c>
      <c r="H2128" t="s">
        <v>32</v>
      </c>
      <c r="I2128" t="s">
        <v>189</v>
      </c>
      <c r="J2128" t="s">
        <v>46</v>
      </c>
      <c r="K2128" t="s">
        <v>29</v>
      </c>
      <c r="L2128">
        <v>0</v>
      </c>
      <c r="M2128" t="s">
        <v>152</v>
      </c>
      <c r="N2128">
        <v>0</v>
      </c>
      <c r="O2128">
        <v>0</v>
      </c>
      <c r="P2128" t="s">
        <v>153</v>
      </c>
      <c r="Q2128" s="2">
        <v>0.7</v>
      </c>
      <c r="R2128">
        <v>0</v>
      </c>
      <c r="V2128" t="str">
        <f>VLOOKUP(H2128,'[1]팀별 출판사'!A:B,2,0)</f>
        <v>소설1팀</v>
      </c>
      <c r="W2128" s="6">
        <f t="shared" si="66"/>
        <v>0</v>
      </c>
      <c r="X2128" s="6">
        <f t="shared" si="67"/>
        <v>0</v>
      </c>
    </row>
    <row r="2129" spans="1:24" x14ac:dyDescent="0.3">
      <c r="A2129" t="s">
        <v>3195</v>
      </c>
      <c r="B2129" t="s">
        <v>3276</v>
      </c>
      <c r="C2129" t="s">
        <v>23</v>
      </c>
      <c r="D2129" t="s">
        <v>24</v>
      </c>
      <c r="E2129" t="s">
        <v>25</v>
      </c>
      <c r="F2129">
        <v>1</v>
      </c>
      <c r="G2129">
        <v>9791133189014</v>
      </c>
      <c r="H2129" t="s">
        <v>26</v>
      </c>
      <c r="I2129" t="s">
        <v>3277</v>
      </c>
      <c r="J2129" t="s">
        <v>908</v>
      </c>
      <c r="K2129" t="s">
        <v>29</v>
      </c>
      <c r="L2129" s="1">
        <v>3200</v>
      </c>
      <c r="M2129" t="s">
        <v>29</v>
      </c>
      <c r="N2129" s="1">
        <v>3200</v>
      </c>
      <c r="O2129" s="1">
        <v>3200</v>
      </c>
      <c r="P2129" t="s">
        <v>30</v>
      </c>
      <c r="Q2129" s="2">
        <v>0.7</v>
      </c>
      <c r="R2129" s="1">
        <v>2240</v>
      </c>
      <c r="S2129" t="s">
        <v>29</v>
      </c>
      <c r="T2129" s="1">
        <v>2240</v>
      </c>
      <c r="V2129" t="str">
        <f>VLOOKUP(H2129,'[1]팀별 출판사'!A:B,2,0)</f>
        <v>소설1팀</v>
      </c>
      <c r="W2129" s="6">
        <f t="shared" si="66"/>
        <v>0</v>
      </c>
      <c r="X2129" s="6">
        <f t="shared" si="67"/>
        <v>2240</v>
      </c>
    </row>
    <row r="2130" spans="1:24" x14ac:dyDescent="0.3">
      <c r="A2130" t="s">
        <v>3195</v>
      </c>
      <c r="B2130" t="s">
        <v>3278</v>
      </c>
      <c r="C2130" t="s">
        <v>23</v>
      </c>
      <c r="D2130" t="s">
        <v>24</v>
      </c>
      <c r="E2130" t="s">
        <v>25</v>
      </c>
      <c r="F2130">
        <v>1</v>
      </c>
      <c r="G2130">
        <v>9791170100546</v>
      </c>
      <c r="H2130" t="s">
        <v>67</v>
      </c>
      <c r="I2130" t="s">
        <v>428</v>
      </c>
      <c r="J2130" t="s">
        <v>429</v>
      </c>
      <c r="K2130" t="s">
        <v>29</v>
      </c>
      <c r="L2130">
        <v>0</v>
      </c>
      <c r="M2130" t="s">
        <v>29</v>
      </c>
      <c r="N2130">
        <v>0</v>
      </c>
      <c r="O2130">
        <v>0</v>
      </c>
      <c r="P2130" t="s">
        <v>30</v>
      </c>
      <c r="Q2130" s="2">
        <v>0.7</v>
      </c>
      <c r="R2130">
        <v>0</v>
      </c>
      <c r="V2130" t="str">
        <f>VLOOKUP(H2130,'[1]팀별 출판사'!A:B,2,0)</f>
        <v>소설1팀</v>
      </c>
      <c r="W2130" s="6">
        <f t="shared" si="66"/>
        <v>0</v>
      </c>
      <c r="X2130" s="6">
        <f t="shared" si="67"/>
        <v>0</v>
      </c>
    </row>
    <row r="2131" spans="1:24" x14ac:dyDescent="0.3">
      <c r="A2131" t="s">
        <v>3195</v>
      </c>
      <c r="B2131" t="s">
        <v>3279</v>
      </c>
      <c r="C2131" t="s">
        <v>23</v>
      </c>
      <c r="D2131" t="s">
        <v>24</v>
      </c>
      <c r="E2131" t="s">
        <v>25</v>
      </c>
      <c r="F2131">
        <v>1</v>
      </c>
      <c r="G2131">
        <v>9791170103387</v>
      </c>
      <c r="H2131" t="s">
        <v>67</v>
      </c>
      <c r="I2131" t="s">
        <v>307</v>
      </c>
      <c r="J2131" t="s">
        <v>308</v>
      </c>
      <c r="K2131" t="s">
        <v>29</v>
      </c>
      <c r="L2131">
        <v>0</v>
      </c>
      <c r="M2131" t="s">
        <v>29</v>
      </c>
      <c r="N2131">
        <v>0</v>
      </c>
      <c r="O2131">
        <v>0</v>
      </c>
      <c r="P2131" t="s">
        <v>30</v>
      </c>
      <c r="Q2131" s="2">
        <v>0.7</v>
      </c>
      <c r="R2131">
        <v>0</v>
      </c>
      <c r="V2131" t="str">
        <f>VLOOKUP(H2131,'[1]팀별 출판사'!A:B,2,0)</f>
        <v>소설1팀</v>
      </c>
      <c r="W2131" s="6">
        <f t="shared" si="66"/>
        <v>0</v>
      </c>
      <c r="X2131" s="6">
        <f t="shared" si="67"/>
        <v>0</v>
      </c>
    </row>
    <row r="2132" spans="1:24" x14ac:dyDescent="0.3">
      <c r="A2132" t="s">
        <v>3195</v>
      </c>
      <c r="B2132" t="s">
        <v>3280</v>
      </c>
      <c r="C2132" t="s">
        <v>23</v>
      </c>
      <c r="D2132" t="s">
        <v>24</v>
      </c>
      <c r="E2132" t="s">
        <v>25</v>
      </c>
      <c r="F2132">
        <v>1</v>
      </c>
      <c r="G2132">
        <v>9791170100959</v>
      </c>
      <c r="H2132" t="s">
        <v>67</v>
      </c>
      <c r="I2132" t="s">
        <v>423</v>
      </c>
      <c r="J2132" t="s">
        <v>424</v>
      </c>
      <c r="K2132" t="s">
        <v>29</v>
      </c>
      <c r="L2132">
        <v>0</v>
      </c>
      <c r="M2132" t="s">
        <v>29</v>
      </c>
      <c r="N2132">
        <v>0</v>
      </c>
      <c r="O2132">
        <v>0</v>
      </c>
      <c r="P2132" t="s">
        <v>30</v>
      </c>
      <c r="Q2132" s="2">
        <v>0.7</v>
      </c>
      <c r="R2132">
        <v>0</v>
      </c>
      <c r="V2132" t="str">
        <f>VLOOKUP(H2132,'[1]팀별 출판사'!A:B,2,0)</f>
        <v>소설1팀</v>
      </c>
      <c r="W2132" s="6">
        <f t="shared" si="66"/>
        <v>0</v>
      </c>
      <c r="X2132" s="6">
        <f t="shared" si="67"/>
        <v>0</v>
      </c>
    </row>
    <row r="2133" spans="1:24" x14ac:dyDescent="0.3">
      <c r="A2133" t="s">
        <v>3195</v>
      </c>
      <c r="B2133" t="s">
        <v>3281</v>
      </c>
      <c r="C2133" t="s">
        <v>23</v>
      </c>
      <c r="D2133" t="s">
        <v>24</v>
      </c>
      <c r="E2133" t="s">
        <v>25</v>
      </c>
      <c r="F2133">
        <v>1</v>
      </c>
      <c r="G2133">
        <v>9791170101284</v>
      </c>
      <c r="H2133" t="s">
        <v>67</v>
      </c>
      <c r="I2133" t="s">
        <v>1187</v>
      </c>
      <c r="J2133" t="s">
        <v>414</v>
      </c>
      <c r="K2133" t="s">
        <v>29</v>
      </c>
      <c r="L2133">
        <v>0</v>
      </c>
      <c r="M2133" t="s">
        <v>29</v>
      </c>
      <c r="N2133">
        <v>0</v>
      </c>
      <c r="O2133">
        <v>0</v>
      </c>
      <c r="P2133" t="s">
        <v>30</v>
      </c>
      <c r="Q2133" s="2">
        <v>0.7</v>
      </c>
      <c r="R2133">
        <v>0</v>
      </c>
      <c r="V2133" t="str">
        <f>VLOOKUP(H2133,'[1]팀별 출판사'!A:B,2,0)</f>
        <v>소설1팀</v>
      </c>
      <c r="W2133" s="6">
        <f t="shared" si="66"/>
        <v>0</v>
      </c>
      <c r="X2133" s="6">
        <f t="shared" si="67"/>
        <v>0</v>
      </c>
    </row>
    <row r="2134" spans="1:24" x14ac:dyDescent="0.3">
      <c r="A2134" t="s">
        <v>3195</v>
      </c>
      <c r="B2134" t="s">
        <v>3282</v>
      </c>
      <c r="C2134" t="s">
        <v>23</v>
      </c>
      <c r="D2134" t="s">
        <v>24</v>
      </c>
      <c r="E2134" t="s">
        <v>25</v>
      </c>
      <c r="F2134">
        <v>1</v>
      </c>
      <c r="G2134">
        <v>9791170101321</v>
      </c>
      <c r="H2134" t="s">
        <v>67</v>
      </c>
      <c r="I2134" t="s">
        <v>848</v>
      </c>
      <c r="J2134" t="s">
        <v>414</v>
      </c>
      <c r="K2134" t="s">
        <v>29</v>
      </c>
      <c r="L2134">
        <v>0</v>
      </c>
      <c r="M2134" t="s">
        <v>29</v>
      </c>
      <c r="N2134">
        <v>0</v>
      </c>
      <c r="O2134">
        <v>0</v>
      </c>
      <c r="P2134" t="s">
        <v>30</v>
      </c>
      <c r="Q2134" s="2">
        <v>0.7</v>
      </c>
      <c r="R2134">
        <v>0</v>
      </c>
      <c r="V2134" t="str">
        <f>VLOOKUP(H2134,'[1]팀별 출판사'!A:B,2,0)</f>
        <v>소설1팀</v>
      </c>
      <c r="W2134" s="6">
        <f t="shared" si="66"/>
        <v>0</v>
      </c>
      <c r="X2134" s="6">
        <f t="shared" si="67"/>
        <v>0</v>
      </c>
    </row>
    <row r="2135" spans="1:24" x14ac:dyDescent="0.3">
      <c r="A2135" t="s">
        <v>3195</v>
      </c>
      <c r="B2135" t="s">
        <v>3283</v>
      </c>
      <c r="C2135" t="s">
        <v>23</v>
      </c>
      <c r="D2135" t="s">
        <v>24</v>
      </c>
      <c r="E2135" t="s">
        <v>25</v>
      </c>
      <c r="F2135">
        <v>1</v>
      </c>
      <c r="G2135">
        <v>9791136905642</v>
      </c>
      <c r="H2135" t="s">
        <v>26</v>
      </c>
      <c r="I2135" t="s">
        <v>374</v>
      </c>
      <c r="J2135" t="s">
        <v>311</v>
      </c>
      <c r="K2135" t="s">
        <v>29</v>
      </c>
      <c r="L2135">
        <v>0</v>
      </c>
      <c r="M2135" t="s">
        <v>29</v>
      </c>
      <c r="N2135">
        <v>0</v>
      </c>
      <c r="O2135">
        <v>0</v>
      </c>
      <c r="P2135" t="s">
        <v>30</v>
      </c>
      <c r="Q2135" s="2">
        <v>0.7</v>
      </c>
      <c r="R2135">
        <v>0</v>
      </c>
      <c r="V2135" t="str">
        <f>VLOOKUP(H2135,'[1]팀별 출판사'!A:B,2,0)</f>
        <v>소설1팀</v>
      </c>
      <c r="W2135" s="6">
        <f t="shared" si="66"/>
        <v>0</v>
      </c>
      <c r="X2135" s="6">
        <f t="shared" si="67"/>
        <v>0</v>
      </c>
    </row>
    <row r="2136" spans="1:24" x14ac:dyDescent="0.3">
      <c r="A2136" t="s">
        <v>3195</v>
      </c>
      <c r="B2136" t="s">
        <v>3284</v>
      </c>
      <c r="C2136" t="s">
        <v>23</v>
      </c>
      <c r="D2136" t="s">
        <v>24</v>
      </c>
      <c r="E2136" t="s">
        <v>25</v>
      </c>
      <c r="F2136">
        <v>1</v>
      </c>
      <c r="G2136">
        <v>9791136944702</v>
      </c>
      <c r="H2136" t="s">
        <v>26</v>
      </c>
      <c r="I2136" t="s">
        <v>913</v>
      </c>
      <c r="J2136" t="s">
        <v>284</v>
      </c>
      <c r="K2136" t="s">
        <v>29</v>
      </c>
      <c r="L2136">
        <v>0</v>
      </c>
      <c r="M2136" t="s">
        <v>29</v>
      </c>
      <c r="N2136">
        <v>0</v>
      </c>
      <c r="O2136">
        <v>0</v>
      </c>
      <c r="P2136" t="s">
        <v>30</v>
      </c>
      <c r="Q2136" s="2">
        <v>0.7</v>
      </c>
      <c r="R2136">
        <v>0</v>
      </c>
      <c r="V2136" t="str">
        <f>VLOOKUP(H2136,'[1]팀별 출판사'!A:B,2,0)</f>
        <v>소설1팀</v>
      </c>
      <c r="W2136" s="6">
        <f t="shared" si="66"/>
        <v>0</v>
      </c>
      <c r="X2136" s="6">
        <f t="shared" si="67"/>
        <v>0</v>
      </c>
    </row>
    <row r="2137" spans="1:24" x14ac:dyDescent="0.3">
      <c r="A2137" t="s">
        <v>3195</v>
      </c>
      <c r="B2137" t="s">
        <v>3285</v>
      </c>
      <c r="C2137" t="s">
        <v>23</v>
      </c>
      <c r="D2137" t="s">
        <v>24</v>
      </c>
      <c r="E2137" t="s">
        <v>25</v>
      </c>
      <c r="F2137">
        <v>1</v>
      </c>
      <c r="G2137">
        <v>9791136942142</v>
      </c>
      <c r="H2137" t="s">
        <v>26</v>
      </c>
      <c r="I2137" t="s">
        <v>180</v>
      </c>
      <c r="J2137" t="s">
        <v>46</v>
      </c>
      <c r="K2137" t="s">
        <v>29</v>
      </c>
      <c r="L2137">
        <v>0</v>
      </c>
      <c r="M2137" t="s">
        <v>152</v>
      </c>
      <c r="N2137">
        <v>0</v>
      </c>
      <c r="O2137">
        <v>0</v>
      </c>
      <c r="P2137" t="s">
        <v>153</v>
      </c>
      <c r="Q2137" s="2">
        <v>0.7</v>
      </c>
      <c r="R2137">
        <v>0</v>
      </c>
      <c r="V2137" t="str">
        <f>VLOOKUP(H2137,'[1]팀별 출판사'!A:B,2,0)</f>
        <v>소설1팀</v>
      </c>
      <c r="W2137" s="6">
        <f t="shared" si="66"/>
        <v>0</v>
      </c>
      <c r="X2137" s="6">
        <f t="shared" si="67"/>
        <v>0</v>
      </c>
    </row>
    <row r="2138" spans="1:24" x14ac:dyDescent="0.3">
      <c r="A2138" t="s">
        <v>3195</v>
      </c>
      <c r="B2138" t="s">
        <v>3286</v>
      </c>
      <c r="C2138" t="s">
        <v>23</v>
      </c>
      <c r="D2138" t="s">
        <v>24</v>
      </c>
      <c r="E2138" t="s">
        <v>25</v>
      </c>
      <c r="F2138">
        <v>1</v>
      </c>
      <c r="G2138">
        <v>9791136911001</v>
      </c>
      <c r="H2138" t="s">
        <v>32</v>
      </c>
      <c r="I2138" t="s">
        <v>3287</v>
      </c>
      <c r="J2138" t="s">
        <v>160</v>
      </c>
      <c r="K2138" t="s">
        <v>29</v>
      </c>
      <c r="L2138" s="1">
        <v>3200</v>
      </c>
      <c r="M2138" t="s">
        <v>29</v>
      </c>
      <c r="N2138" s="1">
        <v>3200</v>
      </c>
      <c r="O2138" s="1">
        <v>3200</v>
      </c>
      <c r="P2138" t="s">
        <v>30</v>
      </c>
      <c r="Q2138" s="2">
        <v>0.7</v>
      </c>
      <c r="R2138" s="1">
        <v>2240</v>
      </c>
      <c r="S2138" t="s">
        <v>29</v>
      </c>
      <c r="T2138" s="1">
        <v>2240</v>
      </c>
      <c r="V2138" t="str">
        <f>VLOOKUP(H2138,'[1]팀별 출판사'!A:B,2,0)</f>
        <v>소설1팀</v>
      </c>
      <c r="W2138" s="6">
        <f t="shared" si="66"/>
        <v>0</v>
      </c>
      <c r="X2138" s="6">
        <f t="shared" si="67"/>
        <v>2240</v>
      </c>
    </row>
    <row r="2139" spans="1:24" x14ac:dyDescent="0.3">
      <c r="A2139" t="s">
        <v>3195</v>
      </c>
      <c r="B2139" t="s">
        <v>3288</v>
      </c>
      <c r="C2139" t="s">
        <v>23</v>
      </c>
      <c r="D2139" t="s">
        <v>24</v>
      </c>
      <c r="E2139" t="s">
        <v>25</v>
      </c>
      <c r="F2139">
        <v>1</v>
      </c>
      <c r="G2139">
        <v>9791136945013</v>
      </c>
      <c r="H2139" t="s">
        <v>26</v>
      </c>
      <c r="I2139" t="s">
        <v>125</v>
      </c>
      <c r="J2139" t="s">
        <v>126</v>
      </c>
      <c r="K2139" t="s">
        <v>29</v>
      </c>
      <c r="L2139">
        <v>0</v>
      </c>
      <c r="M2139" t="s">
        <v>152</v>
      </c>
      <c r="N2139">
        <v>0</v>
      </c>
      <c r="O2139">
        <v>0</v>
      </c>
      <c r="P2139" t="s">
        <v>153</v>
      </c>
      <c r="Q2139" s="2">
        <v>0.7</v>
      </c>
      <c r="R2139">
        <v>0</v>
      </c>
      <c r="V2139" t="str">
        <f>VLOOKUP(H2139,'[1]팀별 출판사'!A:B,2,0)</f>
        <v>소설1팀</v>
      </c>
      <c r="W2139" s="6">
        <f t="shared" si="66"/>
        <v>0</v>
      </c>
      <c r="X2139" s="6">
        <f t="shared" si="67"/>
        <v>0</v>
      </c>
    </row>
    <row r="2140" spans="1:24" x14ac:dyDescent="0.3">
      <c r="A2140" t="s">
        <v>3195</v>
      </c>
      <c r="B2140" t="s">
        <v>3289</v>
      </c>
      <c r="C2140" t="s">
        <v>23</v>
      </c>
      <c r="D2140" t="s">
        <v>24</v>
      </c>
      <c r="E2140" t="s">
        <v>25</v>
      </c>
      <c r="F2140">
        <v>1</v>
      </c>
      <c r="G2140">
        <v>9791136911476</v>
      </c>
      <c r="H2140" t="s">
        <v>26</v>
      </c>
      <c r="I2140" t="s">
        <v>1028</v>
      </c>
      <c r="J2140" t="s">
        <v>1029</v>
      </c>
      <c r="K2140" t="s">
        <v>29</v>
      </c>
      <c r="L2140">
        <v>0</v>
      </c>
      <c r="M2140" t="s">
        <v>29</v>
      </c>
      <c r="N2140">
        <v>0</v>
      </c>
      <c r="O2140">
        <v>0</v>
      </c>
      <c r="P2140" t="s">
        <v>30</v>
      </c>
      <c r="Q2140" s="2">
        <v>0.7</v>
      </c>
      <c r="R2140">
        <v>0</v>
      </c>
      <c r="V2140" t="str">
        <f>VLOOKUP(H2140,'[1]팀별 출판사'!A:B,2,0)</f>
        <v>소설1팀</v>
      </c>
      <c r="W2140" s="6">
        <f t="shared" si="66"/>
        <v>0</v>
      </c>
      <c r="X2140" s="6">
        <f t="shared" si="67"/>
        <v>0</v>
      </c>
    </row>
    <row r="2141" spans="1:24" x14ac:dyDescent="0.3">
      <c r="A2141" t="s">
        <v>3195</v>
      </c>
      <c r="B2141" t="s">
        <v>3290</v>
      </c>
      <c r="C2141" t="s">
        <v>23</v>
      </c>
      <c r="D2141" t="s">
        <v>24</v>
      </c>
      <c r="E2141" t="s">
        <v>25</v>
      </c>
      <c r="F2141">
        <v>1</v>
      </c>
      <c r="G2141" t="s">
        <v>1607</v>
      </c>
      <c r="H2141" t="s">
        <v>32</v>
      </c>
      <c r="I2141" t="s">
        <v>1608</v>
      </c>
      <c r="J2141" t="s">
        <v>166</v>
      </c>
      <c r="K2141" t="s">
        <v>29</v>
      </c>
      <c r="L2141">
        <v>0</v>
      </c>
      <c r="M2141" t="s">
        <v>29</v>
      </c>
      <c r="N2141">
        <v>0</v>
      </c>
      <c r="O2141">
        <v>0</v>
      </c>
      <c r="P2141" t="s">
        <v>30</v>
      </c>
      <c r="Q2141" s="2">
        <v>0.7</v>
      </c>
      <c r="R2141">
        <v>0</v>
      </c>
      <c r="V2141" t="str">
        <f>VLOOKUP(H2141,'[1]팀별 출판사'!A:B,2,0)</f>
        <v>소설1팀</v>
      </c>
      <c r="W2141" s="6">
        <f t="shared" si="66"/>
        <v>0</v>
      </c>
      <c r="X2141" s="6">
        <f t="shared" si="67"/>
        <v>0</v>
      </c>
    </row>
    <row r="2142" spans="1:24" x14ac:dyDescent="0.3">
      <c r="A2142" t="s">
        <v>3195</v>
      </c>
      <c r="B2142" t="s">
        <v>3291</v>
      </c>
      <c r="C2142" t="s">
        <v>23</v>
      </c>
      <c r="D2142" t="s">
        <v>24</v>
      </c>
      <c r="E2142" t="s">
        <v>25</v>
      </c>
      <c r="F2142">
        <v>1</v>
      </c>
      <c r="G2142">
        <v>9791170100164</v>
      </c>
      <c r="H2142" t="s">
        <v>67</v>
      </c>
      <c r="I2142" t="s">
        <v>106</v>
      </c>
      <c r="J2142" t="s">
        <v>107</v>
      </c>
      <c r="K2142" t="s">
        <v>29</v>
      </c>
      <c r="L2142">
        <v>0</v>
      </c>
      <c r="M2142" t="s">
        <v>29</v>
      </c>
      <c r="N2142">
        <v>0</v>
      </c>
      <c r="O2142">
        <v>0</v>
      </c>
      <c r="P2142" t="s">
        <v>30</v>
      </c>
      <c r="Q2142" s="2">
        <v>0.7</v>
      </c>
      <c r="R2142">
        <v>0</v>
      </c>
      <c r="V2142" t="str">
        <f>VLOOKUP(H2142,'[1]팀별 출판사'!A:B,2,0)</f>
        <v>소설1팀</v>
      </c>
      <c r="W2142" s="6">
        <f t="shared" si="66"/>
        <v>0</v>
      </c>
      <c r="X2142" s="6">
        <f t="shared" si="67"/>
        <v>0</v>
      </c>
    </row>
    <row r="2143" spans="1:24" x14ac:dyDescent="0.3">
      <c r="A2143" t="s">
        <v>3195</v>
      </c>
      <c r="B2143" t="s">
        <v>3292</v>
      </c>
      <c r="C2143" t="s">
        <v>23</v>
      </c>
      <c r="D2143" t="s">
        <v>24</v>
      </c>
      <c r="E2143" t="s">
        <v>25</v>
      </c>
      <c r="F2143">
        <v>1</v>
      </c>
      <c r="G2143" t="s">
        <v>3293</v>
      </c>
      <c r="H2143" t="s">
        <v>32</v>
      </c>
      <c r="I2143" t="s">
        <v>3294</v>
      </c>
      <c r="J2143" t="s">
        <v>88</v>
      </c>
      <c r="K2143" t="s">
        <v>29</v>
      </c>
      <c r="L2143">
        <v>0</v>
      </c>
      <c r="M2143" t="s">
        <v>29</v>
      </c>
      <c r="N2143">
        <v>0</v>
      </c>
      <c r="O2143">
        <v>0</v>
      </c>
      <c r="P2143" t="s">
        <v>30</v>
      </c>
      <c r="Q2143" s="2">
        <v>0.7</v>
      </c>
      <c r="R2143">
        <v>0</v>
      </c>
      <c r="V2143" t="str">
        <f>VLOOKUP(H2143,'[1]팀별 출판사'!A:B,2,0)</f>
        <v>소설1팀</v>
      </c>
      <c r="W2143" s="6">
        <f t="shared" si="66"/>
        <v>0</v>
      </c>
      <c r="X2143" s="6">
        <f t="shared" si="67"/>
        <v>0</v>
      </c>
    </row>
    <row r="2144" spans="1:24" x14ac:dyDescent="0.3">
      <c r="A2144" t="s">
        <v>3195</v>
      </c>
      <c r="B2144" t="s">
        <v>3295</v>
      </c>
      <c r="C2144" t="s">
        <v>23</v>
      </c>
      <c r="D2144" t="s">
        <v>24</v>
      </c>
      <c r="E2144" t="s">
        <v>25</v>
      </c>
      <c r="F2144">
        <v>1</v>
      </c>
      <c r="G2144">
        <v>9791133133512</v>
      </c>
      <c r="H2144" t="s">
        <v>32</v>
      </c>
      <c r="I2144" t="s">
        <v>2497</v>
      </c>
      <c r="J2144" t="s">
        <v>813</v>
      </c>
      <c r="K2144" t="s">
        <v>29</v>
      </c>
      <c r="L2144">
        <v>0</v>
      </c>
      <c r="M2144" t="s">
        <v>29</v>
      </c>
      <c r="N2144">
        <v>0</v>
      </c>
      <c r="O2144">
        <v>0</v>
      </c>
      <c r="P2144" t="s">
        <v>30</v>
      </c>
      <c r="Q2144" s="2">
        <v>0.7</v>
      </c>
      <c r="R2144">
        <v>0</v>
      </c>
      <c r="V2144" t="str">
        <f>VLOOKUP(H2144,'[1]팀별 출판사'!A:B,2,0)</f>
        <v>소설1팀</v>
      </c>
      <c r="W2144" s="6">
        <f t="shared" si="66"/>
        <v>0</v>
      </c>
      <c r="X2144" s="6">
        <f t="shared" si="67"/>
        <v>0</v>
      </c>
    </row>
    <row r="2145" spans="1:24" x14ac:dyDescent="0.3">
      <c r="A2145" t="s">
        <v>3195</v>
      </c>
      <c r="B2145" t="s">
        <v>3296</v>
      </c>
      <c r="C2145" t="s">
        <v>23</v>
      </c>
      <c r="D2145" t="s">
        <v>24</v>
      </c>
      <c r="E2145" t="s">
        <v>25</v>
      </c>
      <c r="F2145">
        <v>1</v>
      </c>
      <c r="G2145">
        <v>9791157538034</v>
      </c>
      <c r="H2145" t="s">
        <v>32</v>
      </c>
      <c r="I2145" t="s">
        <v>3297</v>
      </c>
      <c r="J2145" t="s">
        <v>166</v>
      </c>
      <c r="K2145" t="s">
        <v>29</v>
      </c>
      <c r="L2145">
        <v>0</v>
      </c>
      <c r="M2145" t="s">
        <v>29</v>
      </c>
      <c r="N2145">
        <v>0</v>
      </c>
      <c r="O2145">
        <v>0</v>
      </c>
      <c r="P2145" t="s">
        <v>30</v>
      </c>
      <c r="Q2145" s="2">
        <v>0.7</v>
      </c>
      <c r="R2145">
        <v>0</v>
      </c>
      <c r="V2145" t="str">
        <f>VLOOKUP(H2145,'[1]팀별 출판사'!A:B,2,0)</f>
        <v>소설1팀</v>
      </c>
      <c r="W2145" s="6">
        <f t="shared" si="66"/>
        <v>0</v>
      </c>
      <c r="X2145" s="6">
        <f t="shared" si="67"/>
        <v>0</v>
      </c>
    </row>
    <row r="2146" spans="1:24" x14ac:dyDescent="0.3">
      <c r="A2146" t="s">
        <v>3195</v>
      </c>
      <c r="B2146" t="s">
        <v>3298</v>
      </c>
      <c r="C2146" t="s">
        <v>23</v>
      </c>
      <c r="D2146" t="s">
        <v>24</v>
      </c>
      <c r="E2146" t="s">
        <v>25</v>
      </c>
      <c r="F2146">
        <v>1</v>
      </c>
      <c r="G2146">
        <v>9791173787027</v>
      </c>
      <c r="H2146" t="s">
        <v>26</v>
      </c>
      <c r="I2146" t="s">
        <v>255</v>
      </c>
      <c r="J2146" t="s">
        <v>256</v>
      </c>
      <c r="K2146" t="s">
        <v>29</v>
      </c>
      <c r="L2146">
        <v>0</v>
      </c>
      <c r="M2146" t="s">
        <v>70</v>
      </c>
      <c r="N2146">
        <v>0</v>
      </c>
      <c r="O2146">
        <v>0</v>
      </c>
      <c r="P2146" t="s">
        <v>71</v>
      </c>
      <c r="Q2146" s="2">
        <v>0.7</v>
      </c>
      <c r="R2146">
        <v>0</v>
      </c>
      <c r="V2146" t="str">
        <f>VLOOKUP(H2146,'[1]팀별 출판사'!A:B,2,0)</f>
        <v>소설1팀</v>
      </c>
      <c r="W2146" s="6">
        <f t="shared" si="66"/>
        <v>0</v>
      </c>
      <c r="X2146" s="6">
        <f t="shared" si="67"/>
        <v>0</v>
      </c>
    </row>
    <row r="2147" spans="1:24" x14ac:dyDescent="0.3">
      <c r="A2147" t="s">
        <v>3195</v>
      </c>
      <c r="B2147" t="s">
        <v>3299</v>
      </c>
      <c r="C2147" t="s">
        <v>23</v>
      </c>
      <c r="D2147" t="s">
        <v>24</v>
      </c>
      <c r="E2147" t="s">
        <v>25</v>
      </c>
      <c r="F2147">
        <v>1</v>
      </c>
      <c r="G2147">
        <v>9791136943446</v>
      </c>
      <c r="H2147" t="s">
        <v>26</v>
      </c>
      <c r="I2147" t="s">
        <v>1651</v>
      </c>
      <c r="J2147" t="s">
        <v>284</v>
      </c>
      <c r="K2147" t="s">
        <v>29</v>
      </c>
      <c r="L2147">
        <v>0</v>
      </c>
      <c r="M2147" t="s">
        <v>29</v>
      </c>
      <c r="N2147">
        <v>0</v>
      </c>
      <c r="O2147">
        <v>0</v>
      </c>
      <c r="P2147" t="s">
        <v>30</v>
      </c>
      <c r="Q2147" s="2">
        <v>0.7</v>
      </c>
      <c r="R2147">
        <v>0</v>
      </c>
      <c r="V2147" t="str">
        <f>VLOOKUP(H2147,'[1]팀별 출판사'!A:B,2,0)</f>
        <v>소설1팀</v>
      </c>
      <c r="W2147" s="6">
        <f t="shared" si="66"/>
        <v>0</v>
      </c>
      <c r="X2147" s="6">
        <f t="shared" si="67"/>
        <v>0</v>
      </c>
    </row>
    <row r="2148" spans="1:24" x14ac:dyDescent="0.3">
      <c r="A2148" t="s">
        <v>3195</v>
      </c>
      <c r="B2148" t="s">
        <v>3300</v>
      </c>
      <c r="C2148" t="s">
        <v>23</v>
      </c>
      <c r="D2148" t="s">
        <v>24</v>
      </c>
      <c r="E2148" t="s">
        <v>25</v>
      </c>
      <c r="F2148">
        <v>1</v>
      </c>
      <c r="G2148">
        <v>9791136916471</v>
      </c>
      <c r="H2148" t="s">
        <v>26</v>
      </c>
      <c r="I2148" t="s">
        <v>3301</v>
      </c>
      <c r="J2148" t="s">
        <v>62</v>
      </c>
      <c r="K2148" t="s">
        <v>29</v>
      </c>
      <c r="L2148" s="1">
        <v>3200</v>
      </c>
      <c r="M2148" t="s">
        <v>29</v>
      </c>
      <c r="N2148" s="1">
        <v>3200</v>
      </c>
      <c r="O2148" s="1">
        <v>3200</v>
      </c>
      <c r="P2148" t="s">
        <v>30</v>
      </c>
      <c r="Q2148" s="2">
        <v>0.7</v>
      </c>
      <c r="R2148" s="1">
        <v>2240</v>
      </c>
      <c r="S2148" t="s">
        <v>29</v>
      </c>
      <c r="T2148" s="1">
        <v>2240</v>
      </c>
      <c r="V2148" t="str">
        <f>VLOOKUP(H2148,'[1]팀별 출판사'!A:B,2,0)</f>
        <v>소설1팀</v>
      </c>
      <c r="W2148" s="6">
        <f t="shared" si="66"/>
        <v>0</v>
      </c>
      <c r="X2148" s="6">
        <f t="shared" si="67"/>
        <v>2240</v>
      </c>
    </row>
    <row r="2149" spans="1:24" x14ac:dyDescent="0.3">
      <c r="A2149" t="s">
        <v>3195</v>
      </c>
      <c r="B2149" t="s">
        <v>3302</v>
      </c>
      <c r="C2149" t="s">
        <v>23</v>
      </c>
      <c r="D2149" t="s">
        <v>24</v>
      </c>
      <c r="E2149" t="s">
        <v>25</v>
      </c>
      <c r="F2149">
        <v>1</v>
      </c>
      <c r="G2149">
        <v>9791136911230</v>
      </c>
      <c r="H2149" t="s">
        <v>32</v>
      </c>
      <c r="I2149" t="s">
        <v>3303</v>
      </c>
      <c r="J2149" t="s">
        <v>160</v>
      </c>
      <c r="K2149" t="s">
        <v>29</v>
      </c>
      <c r="L2149" s="1">
        <v>3200</v>
      </c>
      <c r="M2149" t="s">
        <v>29</v>
      </c>
      <c r="N2149" s="1">
        <v>3200</v>
      </c>
      <c r="O2149" s="1">
        <v>3200</v>
      </c>
      <c r="P2149" t="s">
        <v>30</v>
      </c>
      <c r="Q2149" s="2">
        <v>0.7</v>
      </c>
      <c r="R2149" s="1">
        <v>2240</v>
      </c>
      <c r="S2149" t="s">
        <v>29</v>
      </c>
      <c r="T2149" s="1">
        <v>2240</v>
      </c>
      <c r="V2149" t="str">
        <f>VLOOKUP(H2149,'[1]팀별 출판사'!A:B,2,0)</f>
        <v>소설1팀</v>
      </c>
      <c r="W2149" s="6">
        <f t="shared" si="66"/>
        <v>0</v>
      </c>
      <c r="X2149" s="6">
        <f t="shared" si="67"/>
        <v>2240</v>
      </c>
    </row>
    <row r="2150" spans="1:24" x14ac:dyDescent="0.3">
      <c r="A2150" t="s">
        <v>3195</v>
      </c>
      <c r="B2150" t="s">
        <v>3304</v>
      </c>
      <c r="C2150" t="s">
        <v>23</v>
      </c>
      <c r="D2150" t="s">
        <v>24</v>
      </c>
      <c r="E2150" t="s">
        <v>25</v>
      </c>
      <c r="F2150">
        <v>1</v>
      </c>
      <c r="G2150">
        <v>9791136923189</v>
      </c>
      <c r="H2150" t="s">
        <v>26</v>
      </c>
      <c r="I2150" t="s">
        <v>3305</v>
      </c>
      <c r="J2150" t="s">
        <v>3306</v>
      </c>
      <c r="K2150" t="s">
        <v>29</v>
      </c>
      <c r="L2150">
        <v>0</v>
      </c>
      <c r="M2150" t="s">
        <v>29</v>
      </c>
      <c r="N2150">
        <v>0</v>
      </c>
      <c r="O2150">
        <v>0</v>
      </c>
      <c r="P2150" t="s">
        <v>30</v>
      </c>
      <c r="Q2150" s="2">
        <v>0.7</v>
      </c>
      <c r="R2150">
        <v>0</v>
      </c>
      <c r="V2150" t="str">
        <f>VLOOKUP(H2150,'[1]팀별 출판사'!A:B,2,0)</f>
        <v>소설1팀</v>
      </c>
      <c r="W2150" s="6">
        <f t="shared" si="66"/>
        <v>0</v>
      </c>
      <c r="X2150" s="6">
        <f t="shared" si="67"/>
        <v>0</v>
      </c>
    </row>
    <row r="2151" spans="1:24" x14ac:dyDescent="0.3">
      <c r="A2151" t="s">
        <v>3195</v>
      </c>
      <c r="B2151" t="s">
        <v>3307</v>
      </c>
      <c r="C2151" t="s">
        <v>23</v>
      </c>
      <c r="D2151" t="s">
        <v>24</v>
      </c>
      <c r="E2151" t="s">
        <v>25</v>
      </c>
      <c r="F2151">
        <v>1</v>
      </c>
      <c r="G2151">
        <v>9791157532360</v>
      </c>
      <c r="H2151" t="s">
        <v>32</v>
      </c>
      <c r="I2151" t="s">
        <v>3308</v>
      </c>
      <c r="J2151" t="s">
        <v>112</v>
      </c>
      <c r="K2151" t="s">
        <v>29</v>
      </c>
      <c r="L2151" s="1">
        <v>3200</v>
      </c>
      <c r="M2151" t="s">
        <v>29</v>
      </c>
      <c r="N2151" s="1">
        <v>3200</v>
      </c>
      <c r="O2151" s="1">
        <v>3200</v>
      </c>
      <c r="P2151" t="s">
        <v>30</v>
      </c>
      <c r="Q2151" s="2">
        <v>0.7</v>
      </c>
      <c r="R2151" s="1">
        <v>2240</v>
      </c>
      <c r="S2151" t="s">
        <v>29</v>
      </c>
      <c r="T2151" s="1">
        <v>2240</v>
      </c>
      <c r="V2151" t="str">
        <f>VLOOKUP(H2151,'[1]팀별 출판사'!A:B,2,0)</f>
        <v>소설1팀</v>
      </c>
      <c r="W2151" s="6">
        <f t="shared" si="66"/>
        <v>0</v>
      </c>
      <c r="X2151" s="6">
        <f t="shared" si="67"/>
        <v>2240</v>
      </c>
    </row>
    <row r="2152" spans="1:24" x14ac:dyDescent="0.3">
      <c r="A2152" t="s">
        <v>3195</v>
      </c>
      <c r="B2152" t="s">
        <v>3309</v>
      </c>
      <c r="C2152" t="s">
        <v>23</v>
      </c>
      <c r="D2152" t="s">
        <v>24</v>
      </c>
      <c r="E2152" t="s">
        <v>25</v>
      </c>
      <c r="F2152">
        <v>1</v>
      </c>
      <c r="G2152">
        <v>9791172921033</v>
      </c>
      <c r="H2152" t="s">
        <v>79</v>
      </c>
      <c r="I2152" t="s">
        <v>738</v>
      </c>
      <c r="J2152" t="s">
        <v>46</v>
      </c>
      <c r="K2152" t="s">
        <v>29</v>
      </c>
      <c r="L2152">
        <v>0</v>
      </c>
      <c r="M2152" t="s">
        <v>47</v>
      </c>
      <c r="N2152">
        <v>0</v>
      </c>
      <c r="O2152">
        <v>0</v>
      </c>
      <c r="P2152" t="s">
        <v>48</v>
      </c>
      <c r="Q2152" s="2">
        <v>0.7</v>
      </c>
      <c r="R2152">
        <v>0</v>
      </c>
      <c r="V2152" t="str">
        <f>VLOOKUP(H2152,'[1]팀별 출판사'!A:B,2,0)</f>
        <v>소설1팀</v>
      </c>
      <c r="W2152" s="6">
        <f t="shared" si="66"/>
        <v>0</v>
      </c>
      <c r="X2152" s="6">
        <f t="shared" si="67"/>
        <v>0</v>
      </c>
    </row>
    <row r="2153" spans="1:24" x14ac:dyDescent="0.3">
      <c r="A2153" t="s">
        <v>3195</v>
      </c>
      <c r="B2153" t="s">
        <v>3310</v>
      </c>
      <c r="C2153" t="s">
        <v>23</v>
      </c>
      <c r="D2153" t="s">
        <v>24</v>
      </c>
      <c r="E2153" t="s">
        <v>25</v>
      </c>
      <c r="F2153">
        <v>1</v>
      </c>
      <c r="G2153">
        <v>9791136930552</v>
      </c>
      <c r="H2153" t="s">
        <v>26</v>
      </c>
      <c r="I2153" t="s">
        <v>45</v>
      </c>
      <c r="J2153" t="s">
        <v>46</v>
      </c>
      <c r="K2153" t="s">
        <v>29</v>
      </c>
      <c r="L2153">
        <v>0</v>
      </c>
      <c r="M2153" t="s">
        <v>47</v>
      </c>
      <c r="N2153">
        <v>0</v>
      </c>
      <c r="O2153">
        <v>0</v>
      </c>
      <c r="P2153" t="s">
        <v>48</v>
      </c>
      <c r="Q2153" s="2">
        <v>0.7</v>
      </c>
      <c r="R2153">
        <v>0</v>
      </c>
      <c r="V2153" t="str">
        <f>VLOOKUP(H2153,'[1]팀별 출판사'!A:B,2,0)</f>
        <v>소설1팀</v>
      </c>
      <c r="W2153" s="6">
        <f t="shared" si="66"/>
        <v>0</v>
      </c>
      <c r="X2153" s="6">
        <f t="shared" si="67"/>
        <v>0</v>
      </c>
    </row>
    <row r="2154" spans="1:24" x14ac:dyDescent="0.3">
      <c r="A2154" t="s">
        <v>3195</v>
      </c>
      <c r="B2154" t="s">
        <v>3311</v>
      </c>
      <c r="C2154" t="s">
        <v>23</v>
      </c>
      <c r="D2154" t="s">
        <v>24</v>
      </c>
      <c r="E2154" t="s">
        <v>25</v>
      </c>
      <c r="F2154">
        <v>1</v>
      </c>
      <c r="G2154">
        <v>9791136928900</v>
      </c>
      <c r="H2154" t="s">
        <v>26</v>
      </c>
      <c r="I2154" t="s">
        <v>3312</v>
      </c>
      <c r="J2154" t="s">
        <v>62</v>
      </c>
      <c r="K2154" t="s">
        <v>29</v>
      </c>
      <c r="L2154" s="1">
        <v>3200</v>
      </c>
      <c r="M2154" t="s">
        <v>70</v>
      </c>
      <c r="N2154">
        <v>2.2200000000000002</v>
      </c>
      <c r="O2154">
        <v>2.2200000000000002</v>
      </c>
      <c r="P2154" t="s">
        <v>71</v>
      </c>
      <c r="Q2154" s="2">
        <v>0.7</v>
      </c>
      <c r="R2154">
        <v>1.55</v>
      </c>
      <c r="S2154" t="s">
        <v>29</v>
      </c>
      <c r="T2154" s="1">
        <v>2238</v>
      </c>
      <c r="U2154" s="3">
        <v>1443.44129</v>
      </c>
      <c r="V2154" t="str">
        <f>VLOOKUP(H2154,'[1]팀별 출판사'!A:B,2,0)</f>
        <v>소설1팀</v>
      </c>
      <c r="W2154" s="6">
        <f t="shared" si="66"/>
        <v>671.4</v>
      </c>
      <c r="X2154" s="6">
        <f t="shared" si="67"/>
        <v>1566.6</v>
      </c>
    </row>
    <row r="2155" spans="1:24" x14ac:dyDescent="0.3">
      <c r="A2155" t="s">
        <v>3195</v>
      </c>
      <c r="B2155" t="s">
        <v>3311</v>
      </c>
      <c r="C2155" t="s">
        <v>23</v>
      </c>
      <c r="D2155" t="s">
        <v>24</v>
      </c>
      <c r="E2155" t="s">
        <v>25</v>
      </c>
      <c r="F2155">
        <v>1</v>
      </c>
      <c r="G2155">
        <v>9791136928917</v>
      </c>
      <c r="H2155" t="s">
        <v>26</v>
      </c>
      <c r="I2155" t="s">
        <v>3313</v>
      </c>
      <c r="J2155" t="s">
        <v>62</v>
      </c>
      <c r="K2155" t="s">
        <v>29</v>
      </c>
      <c r="L2155" s="1">
        <v>3200</v>
      </c>
      <c r="M2155" t="s">
        <v>70</v>
      </c>
      <c r="N2155">
        <v>2.2200000000000002</v>
      </c>
      <c r="O2155">
        <v>2.2200000000000002</v>
      </c>
      <c r="P2155" t="s">
        <v>71</v>
      </c>
      <c r="Q2155" s="2">
        <v>0.7</v>
      </c>
      <c r="R2155">
        <v>1.55</v>
      </c>
      <c r="S2155" t="s">
        <v>29</v>
      </c>
      <c r="T2155" s="1">
        <v>2238</v>
      </c>
      <c r="U2155" s="3">
        <v>1443.44129</v>
      </c>
      <c r="V2155" t="str">
        <f>VLOOKUP(H2155,'[1]팀별 출판사'!A:B,2,0)</f>
        <v>소설1팀</v>
      </c>
      <c r="W2155" s="6">
        <f t="shared" si="66"/>
        <v>671.4</v>
      </c>
      <c r="X2155" s="6">
        <f t="shared" si="67"/>
        <v>1566.6</v>
      </c>
    </row>
    <row r="2156" spans="1:24" x14ac:dyDescent="0.3">
      <c r="A2156" t="s">
        <v>3195</v>
      </c>
      <c r="B2156" t="s">
        <v>3311</v>
      </c>
      <c r="C2156" t="s">
        <v>23</v>
      </c>
      <c r="D2156" t="s">
        <v>24</v>
      </c>
      <c r="E2156" t="s">
        <v>25</v>
      </c>
      <c r="F2156">
        <v>1</v>
      </c>
      <c r="G2156">
        <v>9791136928924</v>
      </c>
      <c r="H2156" t="s">
        <v>26</v>
      </c>
      <c r="I2156" t="s">
        <v>3314</v>
      </c>
      <c r="J2156" t="s">
        <v>62</v>
      </c>
      <c r="K2156" t="s">
        <v>29</v>
      </c>
      <c r="L2156" s="1">
        <v>3200</v>
      </c>
      <c r="M2156" t="s">
        <v>70</v>
      </c>
      <c r="N2156">
        <v>2.2200000000000002</v>
      </c>
      <c r="O2156">
        <v>2.2200000000000002</v>
      </c>
      <c r="P2156" t="s">
        <v>71</v>
      </c>
      <c r="Q2156" s="2">
        <v>0.7</v>
      </c>
      <c r="R2156">
        <v>1.55</v>
      </c>
      <c r="S2156" t="s">
        <v>29</v>
      </c>
      <c r="T2156" s="1">
        <v>2238</v>
      </c>
      <c r="U2156" s="3">
        <v>1443.44129</v>
      </c>
      <c r="V2156" t="str">
        <f>VLOOKUP(H2156,'[1]팀별 출판사'!A:B,2,0)</f>
        <v>소설1팀</v>
      </c>
      <c r="W2156" s="6">
        <f t="shared" si="66"/>
        <v>671.4</v>
      </c>
      <c r="X2156" s="6">
        <f t="shared" si="67"/>
        <v>1566.6</v>
      </c>
    </row>
    <row r="2157" spans="1:24" x14ac:dyDescent="0.3">
      <c r="A2157" t="s">
        <v>3195</v>
      </c>
      <c r="B2157" t="s">
        <v>3315</v>
      </c>
      <c r="C2157" t="s">
        <v>23</v>
      </c>
      <c r="D2157" t="s">
        <v>24</v>
      </c>
      <c r="E2157" t="s">
        <v>25</v>
      </c>
      <c r="F2157">
        <v>1</v>
      </c>
      <c r="G2157">
        <v>9791133171408</v>
      </c>
      <c r="H2157" t="s">
        <v>26</v>
      </c>
      <c r="I2157" t="s">
        <v>1979</v>
      </c>
      <c r="J2157" t="s">
        <v>287</v>
      </c>
      <c r="K2157" t="s">
        <v>29</v>
      </c>
      <c r="L2157">
        <v>0</v>
      </c>
      <c r="M2157" t="s">
        <v>29</v>
      </c>
      <c r="N2157">
        <v>0</v>
      </c>
      <c r="O2157">
        <v>0</v>
      </c>
      <c r="P2157" t="s">
        <v>30</v>
      </c>
      <c r="Q2157" s="2">
        <v>0.7</v>
      </c>
      <c r="R2157">
        <v>0</v>
      </c>
      <c r="V2157" t="str">
        <f>VLOOKUP(H2157,'[1]팀별 출판사'!A:B,2,0)</f>
        <v>소설1팀</v>
      </c>
      <c r="W2157" s="6">
        <f t="shared" si="66"/>
        <v>0</v>
      </c>
      <c r="X2157" s="6">
        <f t="shared" si="67"/>
        <v>0</v>
      </c>
    </row>
    <row r="2158" spans="1:24" x14ac:dyDescent="0.3">
      <c r="A2158" t="s">
        <v>3195</v>
      </c>
      <c r="B2158" t="s">
        <v>3316</v>
      </c>
      <c r="C2158" t="s">
        <v>23</v>
      </c>
      <c r="D2158" t="s">
        <v>24</v>
      </c>
      <c r="E2158" t="s">
        <v>25</v>
      </c>
      <c r="F2158">
        <v>1</v>
      </c>
      <c r="G2158">
        <v>9791133144914</v>
      </c>
      <c r="H2158" t="s">
        <v>32</v>
      </c>
      <c r="I2158" t="s">
        <v>1822</v>
      </c>
      <c r="J2158" t="s">
        <v>1192</v>
      </c>
      <c r="K2158" t="s">
        <v>29</v>
      </c>
      <c r="L2158">
        <v>0</v>
      </c>
      <c r="M2158" t="s">
        <v>29</v>
      </c>
      <c r="N2158">
        <v>0</v>
      </c>
      <c r="O2158">
        <v>0</v>
      </c>
      <c r="P2158" t="s">
        <v>30</v>
      </c>
      <c r="Q2158" s="2">
        <v>0.7</v>
      </c>
      <c r="R2158">
        <v>0</v>
      </c>
      <c r="V2158" t="str">
        <f>VLOOKUP(H2158,'[1]팀별 출판사'!A:B,2,0)</f>
        <v>소설1팀</v>
      </c>
      <c r="W2158" s="6">
        <f t="shared" si="66"/>
        <v>0</v>
      </c>
      <c r="X2158" s="6">
        <f t="shared" si="67"/>
        <v>0</v>
      </c>
    </row>
    <row r="2159" spans="1:24" x14ac:dyDescent="0.3">
      <c r="A2159" t="s">
        <v>3195</v>
      </c>
      <c r="B2159" t="s">
        <v>3317</v>
      </c>
      <c r="C2159" t="s">
        <v>23</v>
      </c>
      <c r="D2159" t="s">
        <v>24</v>
      </c>
      <c r="E2159" t="s">
        <v>25</v>
      </c>
      <c r="F2159">
        <v>1</v>
      </c>
      <c r="G2159">
        <v>9791136930613</v>
      </c>
      <c r="H2159" t="s">
        <v>32</v>
      </c>
      <c r="I2159" t="s">
        <v>57</v>
      </c>
      <c r="J2159" t="s">
        <v>34</v>
      </c>
      <c r="K2159" t="s">
        <v>29</v>
      </c>
      <c r="L2159">
        <v>0</v>
      </c>
      <c r="M2159" t="s">
        <v>47</v>
      </c>
      <c r="N2159">
        <v>0</v>
      </c>
      <c r="O2159">
        <v>0</v>
      </c>
      <c r="P2159" t="s">
        <v>48</v>
      </c>
      <c r="Q2159" s="2">
        <v>0.7</v>
      </c>
      <c r="R2159">
        <v>0</v>
      </c>
      <c r="V2159" t="str">
        <f>VLOOKUP(H2159,'[1]팀별 출판사'!A:B,2,0)</f>
        <v>소설1팀</v>
      </c>
      <c r="W2159" s="6">
        <f t="shared" si="66"/>
        <v>0</v>
      </c>
      <c r="X2159" s="6">
        <f t="shared" si="67"/>
        <v>0</v>
      </c>
    </row>
    <row r="2160" spans="1:24" x14ac:dyDescent="0.3">
      <c r="A2160" t="s">
        <v>3195</v>
      </c>
      <c r="B2160" t="s">
        <v>3318</v>
      </c>
      <c r="C2160" t="s">
        <v>23</v>
      </c>
      <c r="D2160" t="s">
        <v>24</v>
      </c>
      <c r="E2160" t="s">
        <v>25</v>
      </c>
      <c r="F2160">
        <v>1</v>
      </c>
      <c r="G2160">
        <v>9791136926852</v>
      </c>
      <c r="H2160" t="s">
        <v>26</v>
      </c>
      <c r="I2160" t="s">
        <v>3319</v>
      </c>
      <c r="J2160" t="s">
        <v>62</v>
      </c>
      <c r="K2160" t="s">
        <v>29</v>
      </c>
      <c r="L2160" s="1">
        <v>3200</v>
      </c>
      <c r="M2160" t="s">
        <v>29</v>
      </c>
      <c r="N2160" s="1">
        <v>3200</v>
      </c>
      <c r="O2160" s="1">
        <v>3200</v>
      </c>
      <c r="P2160" t="s">
        <v>30</v>
      </c>
      <c r="Q2160" s="2">
        <v>0.7</v>
      </c>
      <c r="R2160" s="1">
        <v>2240</v>
      </c>
      <c r="S2160" t="s">
        <v>29</v>
      </c>
      <c r="T2160" s="1">
        <v>2240</v>
      </c>
      <c r="V2160" t="str">
        <f>VLOOKUP(H2160,'[1]팀별 출판사'!A:B,2,0)</f>
        <v>소설1팀</v>
      </c>
      <c r="W2160" s="6">
        <f t="shared" si="66"/>
        <v>0</v>
      </c>
      <c r="X2160" s="6">
        <f t="shared" si="67"/>
        <v>2240</v>
      </c>
    </row>
    <row r="2161" spans="1:24" x14ac:dyDescent="0.3">
      <c r="A2161" t="s">
        <v>3195</v>
      </c>
      <c r="B2161" t="s">
        <v>3320</v>
      </c>
      <c r="C2161" t="s">
        <v>23</v>
      </c>
      <c r="D2161" t="s">
        <v>24</v>
      </c>
      <c r="E2161" t="s">
        <v>25</v>
      </c>
      <c r="F2161">
        <v>1</v>
      </c>
      <c r="G2161" t="s">
        <v>1163</v>
      </c>
      <c r="H2161" t="s">
        <v>32</v>
      </c>
      <c r="I2161" t="s">
        <v>1164</v>
      </c>
      <c r="J2161" t="s">
        <v>166</v>
      </c>
      <c r="K2161" t="s">
        <v>29</v>
      </c>
      <c r="L2161">
        <v>0</v>
      </c>
      <c r="M2161" t="s">
        <v>29</v>
      </c>
      <c r="N2161">
        <v>0</v>
      </c>
      <c r="O2161">
        <v>0</v>
      </c>
      <c r="P2161" t="s">
        <v>30</v>
      </c>
      <c r="Q2161" s="2">
        <v>0.7</v>
      </c>
      <c r="R2161">
        <v>0</v>
      </c>
      <c r="V2161" t="str">
        <f>VLOOKUP(H2161,'[1]팀별 출판사'!A:B,2,0)</f>
        <v>소설1팀</v>
      </c>
      <c r="W2161" s="6">
        <f t="shared" si="66"/>
        <v>0</v>
      </c>
      <c r="X2161" s="6">
        <f t="shared" si="67"/>
        <v>0</v>
      </c>
    </row>
    <row r="2162" spans="1:24" x14ac:dyDescent="0.3">
      <c r="A2162" t="s">
        <v>3195</v>
      </c>
      <c r="B2162" t="s">
        <v>3321</v>
      </c>
      <c r="C2162" t="s">
        <v>23</v>
      </c>
      <c r="D2162" t="s">
        <v>24</v>
      </c>
      <c r="E2162" t="s">
        <v>25</v>
      </c>
      <c r="F2162">
        <v>1</v>
      </c>
      <c r="G2162">
        <v>9791136941886</v>
      </c>
      <c r="H2162" t="s">
        <v>26</v>
      </c>
      <c r="I2162" t="s">
        <v>3322</v>
      </c>
      <c r="J2162" t="s">
        <v>81</v>
      </c>
      <c r="K2162" t="s">
        <v>29</v>
      </c>
      <c r="L2162" s="1">
        <v>3200</v>
      </c>
      <c r="M2162" t="s">
        <v>70</v>
      </c>
      <c r="N2162">
        <v>2.2200000000000002</v>
      </c>
      <c r="O2162">
        <v>2.2200000000000002</v>
      </c>
      <c r="P2162" t="s">
        <v>71</v>
      </c>
      <c r="Q2162" s="2">
        <v>0.7</v>
      </c>
      <c r="R2162">
        <v>1.55</v>
      </c>
      <c r="S2162" t="s">
        <v>29</v>
      </c>
      <c r="T2162" s="1">
        <v>2238</v>
      </c>
      <c r="U2162" s="3">
        <v>1443.44129</v>
      </c>
      <c r="V2162" t="str">
        <f>VLOOKUP(H2162,'[1]팀별 출판사'!A:B,2,0)</f>
        <v>소설1팀</v>
      </c>
      <c r="W2162" s="6">
        <f t="shared" si="66"/>
        <v>671.4</v>
      </c>
      <c r="X2162" s="6">
        <f t="shared" si="67"/>
        <v>1566.6</v>
      </c>
    </row>
    <row r="2163" spans="1:24" x14ac:dyDescent="0.3">
      <c r="A2163" t="s">
        <v>3195</v>
      </c>
      <c r="B2163" t="s">
        <v>3323</v>
      </c>
      <c r="C2163" t="s">
        <v>23</v>
      </c>
      <c r="D2163" t="s">
        <v>24</v>
      </c>
      <c r="E2163" t="s">
        <v>25</v>
      </c>
      <c r="F2163">
        <v>1</v>
      </c>
      <c r="G2163">
        <v>9791136941893</v>
      </c>
      <c r="H2163" t="s">
        <v>26</v>
      </c>
      <c r="I2163" t="s">
        <v>3324</v>
      </c>
      <c r="J2163" t="s">
        <v>81</v>
      </c>
      <c r="K2163" t="s">
        <v>29</v>
      </c>
      <c r="L2163" s="1">
        <v>3200</v>
      </c>
      <c r="M2163" t="s">
        <v>70</v>
      </c>
      <c r="N2163">
        <v>2.2200000000000002</v>
      </c>
      <c r="O2163">
        <v>2.2200000000000002</v>
      </c>
      <c r="P2163" t="s">
        <v>71</v>
      </c>
      <c r="Q2163" s="2">
        <v>0.7</v>
      </c>
      <c r="R2163">
        <v>1.55</v>
      </c>
      <c r="S2163" t="s">
        <v>29</v>
      </c>
      <c r="T2163" s="1">
        <v>2238</v>
      </c>
      <c r="U2163" s="3">
        <v>1443.44129</v>
      </c>
      <c r="V2163" t="str">
        <f>VLOOKUP(H2163,'[1]팀별 출판사'!A:B,2,0)</f>
        <v>소설1팀</v>
      </c>
      <c r="W2163" s="6">
        <f t="shared" si="66"/>
        <v>671.4</v>
      </c>
      <c r="X2163" s="6">
        <f t="shared" si="67"/>
        <v>1566.6</v>
      </c>
    </row>
    <row r="2164" spans="1:24" x14ac:dyDescent="0.3">
      <c r="A2164" t="s">
        <v>3195</v>
      </c>
      <c r="B2164" t="s">
        <v>3325</v>
      </c>
      <c r="C2164" t="s">
        <v>23</v>
      </c>
      <c r="D2164" t="s">
        <v>24</v>
      </c>
      <c r="E2164" t="s">
        <v>25</v>
      </c>
      <c r="F2164">
        <v>1</v>
      </c>
      <c r="G2164">
        <v>9791136999719</v>
      </c>
      <c r="H2164" t="s">
        <v>26</v>
      </c>
      <c r="I2164" t="s">
        <v>3326</v>
      </c>
      <c r="J2164" t="s">
        <v>937</v>
      </c>
      <c r="K2164" t="s">
        <v>29</v>
      </c>
      <c r="L2164" s="1">
        <v>3200</v>
      </c>
      <c r="M2164" t="s">
        <v>29</v>
      </c>
      <c r="N2164" s="1">
        <v>3200</v>
      </c>
      <c r="O2164" s="1">
        <v>3200</v>
      </c>
      <c r="P2164" t="s">
        <v>30</v>
      </c>
      <c r="Q2164" s="2">
        <v>0.7</v>
      </c>
      <c r="R2164" s="1">
        <v>2240</v>
      </c>
      <c r="S2164" t="s">
        <v>29</v>
      </c>
      <c r="T2164" s="1">
        <v>2240</v>
      </c>
      <c r="V2164" t="str">
        <f>VLOOKUP(H2164,'[1]팀별 출판사'!A:B,2,0)</f>
        <v>소설1팀</v>
      </c>
      <c r="W2164" s="6">
        <f t="shared" si="66"/>
        <v>0</v>
      </c>
      <c r="X2164" s="6">
        <f t="shared" si="67"/>
        <v>2240</v>
      </c>
    </row>
    <row r="2165" spans="1:24" x14ac:dyDescent="0.3">
      <c r="A2165" t="s">
        <v>3195</v>
      </c>
      <c r="B2165" t="s">
        <v>3327</v>
      </c>
      <c r="C2165" t="s">
        <v>23</v>
      </c>
      <c r="D2165" t="s">
        <v>24</v>
      </c>
      <c r="E2165" t="s">
        <v>25</v>
      </c>
      <c r="F2165">
        <v>1</v>
      </c>
      <c r="G2165">
        <v>9791136931375</v>
      </c>
      <c r="H2165" t="s">
        <v>32</v>
      </c>
      <c r="I2165" t="s">
        <v>189</v>
      </c>
      <c r="J2165" t="s">
        <v>46</v>
      </c>
      <c r="K2165" t="s">
        <v>29</v>
      </c>
      <c r="L2165">
        <v>0</v>
      </c>
      <c r="M2165" t="s">
        <v>152</v>
      </c>
      <c r="N2165">
        <v>0</v>
      </c>
      <c r="O2165">
        <v>0</v>
      </c>
      <c r="P2165" t="s">
        <v>153</v>
      </c>
      <c r="Q2165" s="2">
        <v>0.7</v>
      </c>
      <c r="R2165">
        <v>0</v>
      </c>
      <c r="V2165" t="str">
        <f>VLOOKUP(H2165,'[1]팀별 출판사'!A:B,2,0)</f>
        <v>소설1팀</v>
      </c>
      <c r="W2165" s="6">
        <f t="shared" si="66"/>
        <v>0</v>
      </c>
      <c r="X2165" s="6">
        <f t="shared" si="67"/>
        <v>0</v>
      </c>
    </row>
    <row r="2166" spans="1:24" x14ac:dyDescent="0.3">
      <c r="A2166" t="s">
        <v>3195</v>
      </c>
      <c r="B2166" t="s">
        <v>3328</v>
      </c>
      <c r="C2166" t="s">
        <v>23</v>
      </c>
      <c r="D2166" t="s">
        <v>24</v>
      </c>
      <c r="E2166" t="s">
        <v>25</v>
      </c>
      <c r="F2166">
        <v>1</v>
      </c>
      <c r="G2166">
        <v>9791136903754</v>
      </c>
      <c r="H2166" t="s">
        <v>26</v>
      </c>
      <c r="I2166" t="s">
        <v>361</v>
      </c>
      <c r="J2166" t="s">
        <v>256</v>
      </c>
      <c r="K2166" t="s">
        <v>29</v>
      </c>
      <c r="L2166">
        <v>0</v>
      </c>
      <c r="M2166" t="s">
        <v>29</v>
      </c>
      <c r="N2166">
        <v>0</v>
      </c>
      <c r="O2166">
        <v>0</v>
      </c>
      <c r="P2166" t="s">
        <v>30</v>
      </c>
      <c r="Q2166" s="2">
        <v>0.7</v>
      </c>
      <c r="R2166">
        <v>0</v>
      </c>
      <c r="V2166" t="str">
        <f>VLOOKUP(H2166,'[1]팀별 출판사'!A:B,2,0)</f>
        <v>소설1팀</v>
      </c>
      <c r="W2166" s="6">
        <f t="shared" si="66"/>
        <v>0</v>
      </c>
      <c r="X2166" s="6">
        <f t="shared" si="67"/>
        <v>0</v>
      </c>
    </row>
    <row r="2167" spans="1:24" x14ac:dyDescent="0.3">
      <c r="A2167" t="s">
        <v>3195</v>
      </c>
      <c r="B2167" t="s">
        <v>3329</v>
      </c>
      <c r="C2167" t="s">
        <v>23</v>
      </c>
      <c r="D2167" t="s">
        <v>24</v>
      </c>
      <c r="E2167" t="s">
        <v>25</v>
      </c>
      <c r="F2167">
        <v>1</v>
      </c>
      <c r="G2167" t="s">
        <v>638</v>
      </c>
      <c r="H2167" t="s">
        <v>32</v>
      </c>
      <c r="I2167" t="s">
        <v>639</v>
      </c>
      <c r="J2167" t="s">
        <v>166</v>
      </c>
      <c r="K2167" t="s">
        <v>29</v>
      </c>
      <c r="L2167">
        <v>0</v>
      </c>
      <c r="M2167" t="s">
        <v>70</v>
      </c>
      <c r="N2167">
        <v>0</v>
      </c>
      <c r="O2167">
        <v>0</v>
      </c>
      <c r="P2167" t="s">
        <v>71</v>
      </c>
      <c r="Q2167" s="2">
        <v>0.7</v>
      </c>
      <c r="R2167">
        <v>0</v>
      </c>
      <c r="V2167" t="str">
        <f>VLOOKUP(H2167,'[1]팀별 출판사'!A:B,2,0)</f>
        <v>소설1팀</v>
      </c>
      <c r="W2167" s="6">
        <f t="shared" si="66"/>
        <v>0</v>
      </c>
      <c r="X2167" s="6">
        <f t="shared" si="67"/>
        <v>0</v>
      </c>
    </row>
    <row r="2168" spans="1:24" x14ac:dyDescent="0.3">
      <c r="A2168" t="s">
        <v>3195</v>
      </c>
      <c r="B2168" t="s">
        <v>3330</v>
      </c>
      <c r="C2168" t="s">
        <v>23</v>
      </c>
      <c r="D2168" t="s">
        <v>24</v>
      </c>
      <c r="E2168" t="s">
        <v>25</v>
      </c>
      <c r="F2168">
        <v>1</v>
      </c>
      <c r="G2168">
        <v>9791136946775</v>
      </c>
      <c r="H2168" t="s">
        <v>26</v>
      </c>
      <c r="I2168" t="s">
        <v>238</v>
      </c>
      <c r="J2168" t="s">
        <v>28</v>
      </c>
      <c r="K2168" t="s">
        <v>29</v>
      </c>
      <c r="L2168">
        <v>0</v>
      </c>
      <c r="M2168" t="s">
        <v>29</v>
      </c>
      <c r="N2168">
        <v>0</v>
      </c>
      <c r="O2168">
        <v>0</v>
      </c>
      <c r="P2168" t="s">
        <v>30</v>
      </c>
      <c r="Q2168" s="2">
        <v>0.7</v>
      </c>
      <c r="R2168">
        <v>0</v>
      </c>
      <c r="V2168" t="str">
        <f>VLOOKUP(H2168,'[1]팀별 출판사'!A:B,2,0)</f>
        <v>소설1팀</v>
      </c>
      <c r="W2168" s="6">
        <f t="shared" si="66"/>
        <v>0</v>
      </c>
      <c r="X2168" s="6">
        <f t="shared" si="67"/>
        <v>0</v>
      </c>
    </row>
    <row r="2169" spans="1:24" x14ac:dyDescent="0.3">
      <c r="A2169" t="s">
        <v>3195</v>
      </c>
      <c r="B2169" t="s">
        <v>3331</v>
      </c>
      <c r="C2169" t="s">
        <v>23</v>
      </c>
      <c r="D2169" t="s">
        <v>24</v>
      </c>
      <c r="E2169" t="s">
        <v>25</v>
      </c>
      <c r="F2169">
        <v>1</v>
      </c>
      <c r="G2169">
        <v>9791170101307</v>
      </c>
      <c r="H2169" t="s">
        <v>67</v>
      </c>
      <c r="I2169" t="s">
        <v>413</v>
      </c>
      <c r="J2169" t="s">
        <v>414</v>
      </c>
      <c r="K2169" t="s">
        <v>29</v>
      </c>
      <c r="L2169">
        <v>0</v>
      </c>
      <c r="M2169" t="s">
        <v>29</v>
      </c>
      <c r="N2169">
        <v>0</v>
      </c>
      <c r="O2169">
        <v>0</v>
      </c>
      <c r="P2169" t="s">
        <v>30</v>
      </c>
      <c r="Q2169" s="2">
        <v>0.7</v>
      </c>
      <c r="R2169">
        <v>0</v>
      </c>
      <c r="V2169" t="str">
        <f>VLOOKUP(H2169,'[1]팀별 출판사'!A:B,2,0)</f>
        <v>소설1팀</v>
      </c>
      <c r="W2169" s="6">
        <f t="shared" si="66"/>
        <v>0</v>
      </c>
      <c r="X2169" s="6">
        <f t="shared" si="67"/>
        <v>0</v>
      </c>
    </row>
    <row r="2170" spans="1:24" x14ac:dyDescent="0.3">
      <c r="A2170" t="s">
        <v>3195</v>
      </c>
      <c r="B2170" t="s">
        <v>3332</v>
      </c>
      <c r="C2170" t="s">
        <v>23</v>
      </c>
      <c r="D2170" t="s">
        <v>24</v>
      </c>
      <c r="E2170" t="s">
        <v>25</v>
      </c>
      <c r="F2170">
        <v>1</v>
      </c>
      <c r="G2170">
        <v>9791170107323</v>
      </c>
      <c r="H2170" t="s">
        <v>67</v>
      </c>
      <c r="I2170" t="s">
        <v>3333</v>
      </c>
      <c r="J2170" t="s">
        <v>3334</v>
      </c>
      <c r="K2170" t="s">
        <v>29</v>
      </c>
      <c r="L2170" s="1">
        <v>2500</v>
      </c>
      <c r="M2170" t="s">
        <v>29</v>
      </c>
      <c r="N2170" s="1">
        <v>2500</v>
      </c>
      <c r="O2170" s="1">
        <v>2500</v>
      </c>
      <c r="P2170" t="s">
        <v>30</v>
      </c>
      <c r="Q2170" s="2">
        <v>0.7</v>
      </c>
      <c r="R2170" s="1">
        <v>1750</v>
      </c>
      <c r="S2170" t="s">
        <v>29</v>
      </c>
      <c r="T2170" s="1">
        <v>1750</v>
      </c>
      <c r="V2170" t="str">
        <f>VLOOKUP(H2170,'[1]팀별 출판사'!A:B,2,0)</f>
        <v>소설1팀</v>
      </c>
      <c r="W2170" s="6">
        <f t="shared" si="66"/>
        <v>0</v>
      </c>
      <c r="X2170" s="6">
        <f t="shared" si="67"/>
        <v>1750</v>
      </c>
    </row>
    <row r="2171" spans="1:24" x14ac:dyDescent="0.3">
      <c r="A2171" t="s">
        <v>3195</v>
      </c>
      <c r="B2171" t="s">
        <v>3335</v>
      </c>
      <c r="C2171" t="s">
        <v>23</v>
      </c>
      <c r="D2171" t="s">
        <v>24</v>
      </c>
      <c r="E2171" t="s">
        <v>25</v>
      </c>
      <c r="F2171">
        <v>1</v>
      </c>
      <c r="G2171">
        <v>9791170101321</v>
      </c>
      <c r="H2171" t="s">
        <v>67</v>
      </c>
      <c r="I2171" t="s">
        <v>848</v>
      </c>
      <c r="J2171" t="s">
        <v>414</v>
      </c>
      <c r="K2171" t="s">
        <v>29</v>
      </c>
      <c r="L2171">
        <v>0</v>
      </c>
      <c r="M2171" t="s">
        <v>29</v>
      </c>
      <c r="N2171">
        <v>0</v>
      </c>
      <c r="O2171">
        <v>0</v>
      </c>
      <c r="P2171" t="s">
        <v>30</v>
      </c>
      <c r="Q2171" s="2">
        <v>0.7</v>
      </c>
      <c r="R2171">
        <v>0</v>
      </c>
      <c r="V2171" t="str">
        <f>VLOOKUP(H2171,'[1]팀별 출판사'!A:B,2,0)</f>
        <v>소설1팀</v>
      </c>
      <c r="W2171" s="6">
        <f t="shared" si="66"/>
        <v>0</v>
      </c>
      <c r="X2171" s="6">
        <f t="shared" si="67"/>
        <v>0</v>
      </c>
    </row>
    <row r="2172" spans="1:24" x14ac:dyDescent="0.3">
      <c r="A2172" t="s">
        <v>3195</v>
      </c>
      <c r="B2172" t="s">
        <v>3336</v>
      </c>
      <c r="C2172" t="s">
        <v>23</v>
      </c>
      <c r="D2172" t="s">
        <v>24</v>
      </c>
      <c r="E2172" t="s">
        <v>25</v>
      </c>
      <c r="F2172">
        <v>1</v>
      </c>
      <c r="G2172">
        <v>9791136943415</v>
      </c>
      <c r="H2172" t="s">
        <v>26</v>
      </c>
      <c r="I2172" t="s">
        <v>3337</v>
      </c>
      <c r="J2172" t="s">
        <v>284</v>
      </c>
      <c r="K2172" t="s">
        <v>29</v>
      </c>
      <c r="L2172" s="1">
        <v>3200</v>
      </c>
      <c r="M2172" t="s">
        <v>29</v>
      </c>
      <c r="N2172" s="1">
        <v>3200</v>
      </c>
      <c r="O2172" s="1">
        <v>3200</v>
      </c>
      <c r="P2172" t="s">
        <v>30</v>
      </c>
      <c r="Q2172" s="2">
        <v>0.7</v>
      </c>
      <c r="R2172" s="1">
        <v>2240</v>
      </c>
      <c r="S2172" t="s">
        <v>29</v>
      </c>
      <c r="T2172" s="1">
        <v>2240</v>
      </c>
      <c r="V2172" t="str">
        <f>VLOOKUP(H2172,'[1]팀별 출판사'!A:B,2,0)</f>
        <v>소설1팀</v>
      </c>
      <c r="W2172" s="6">
        <f t="shared" si="66"/>
        <v>0</v>
      </c>
      <c r="X2172" s="6">
        <f t="shared" si="67"/>
        <v>2240</v>
      </c>
    </row>
    <row r="2173" spans="1:24" x14ac:dyDescent="0.3">
      <c r="A2173" t="s">
        <v>3195</v>
      </c>
      <c r="B2173" t="s">
        <v>3338</v>
      </c>
      <c r="C2173" t="s">
        <v>23</v>
      </c>
      <c r="D2173" t="s">
        <v>24</v>
      </c>
      <c r="E2173" t="s">
        <v>25</v>
      </c>
      <c r="F2173">
        <v>1</v>
      </c>
      <c r="G2173">
        <v>9791136907172</v>
      </c>
      <c r="H2173" t="s">
        <v>26</v>
      </c>
      <c r="I2173" t="s">
        <v>3339</v>
      </c>
      <c r="J2173" t="s">
        <v>1348</v>
      </c>
      <c r="K2173" t="s">
        <v>29</v>
      </c>
      <c r="L2173" s="1">
        <v>3200</v>
      </c>
      <c r="M2173" t="s">
        <v>29</v>
      </c>
      <c r="N2173" s="1">
        <v>3200</v>
      </c>
      <c r="O2173" s="1">
        <v>3200</v>
      </c>
      <c r="P2173" t="s">
        <v>30</v>
      </c>
      <c r="Q2173" s="2">
        <v>0.7</v>
      </c>
      <c r="R2173" s="1">
        <v>2240</v>
      </c>
      <c r="S2173" t="s">
        <v>29</v>
      </c>
      <c r="T2173" s="1">
        <v>2240</v>
      </c>
      <c r="V2173" t="str">
        <f>VLOOKUP(H2173,'[1]팀별 출판사'!A:B,2,0)</f>
        <v>소설1팀</v>
      </c>
      <c r="W2173" s="6">
        <f t="shared" si="66"/>
        <v>0</v>
      </c>
      <c r="X2173" s="6">
        <f t="shared" si="67"/>
        <v>2240</v>
      </c>
    </row>
    <row r="2174" spans="1:24" x14ac:dyDescent="0.3">
      <c r="A2174" t="s">
        <v>3195</v>
      </c>
      <c r="B2174" t="s">
        <v>3340</v>
      </c>
      <c r="C2174" t="s">
        <v>23</v>
      </c>
      <c r="D2174" t="s">
        <v>24</v>
      </c>
      <c r="E2174" t="s">
        <v>25</v>
      </c>
      <c r="F2174">
        <v>1</v>
      </c>
      <c r="G2174">
        <v>9791172924850</v>
      </c>
      <c r="H2174" t="s">
        <v>26</v>
      </c>
      <c r="I2174" t="s">
        <v>61</v>
      </c>
      <c r="J2174" t="s">
        <v>62</v>
      </c>
      <c r="K2174" t="s">
        <v>29</v>
      </c>
      <c r="L2174">
        <v>0</v>
      </c>
      <c r="M2174" t="s">
        <v>29</v>
      </c>
      <c r="N2174">
        <v>0</v>
      </c>
      <c r="O2174">
        <v>0</v>
      </c>
      <c r="P2174" t="s">
        <v>30</v>
      </c>
      <c r="Q2174" s="2">
        <v>0.7</v>
      </c>
      <c r="R2174">
        <v>0</v>
      </c>
      <c r="V2174" t="str">
        <f>VLOOKUP(H2174,'[1]팀별 출판사'!A:B,2,0)</f>
        <v>소설1팀</v>
      </c>
      <c r="W2174" s="6">
        <f t="shared" si="66"/>
        <v>0</v>
      </c>
      <c r="X2174" s="6">
        <f t="shared" si="67"/>
        <v>0</v>
      </c>
    </row>
    <row r="2175" spans="1:24" x14ac:dyDescent="0.3">
      <c r="A2175" t="s">
        <v>3195</v>
      </c>
      <c r="B2175" t="s">
        <v>3341</v>
      </c>
      <c r="C2175" t="s">
        <v>23</v>
      </c>
      <c r="D2175" t="s">
        <v>24</v>
      </c>
      <c r="E2175" t="s">
        <v>25</v>
      </c>
      <c r="F2175">
        <v>1</v>
      </c>
      <c r="G2175">
        <v>9791136988157</v>
      </c>
      <c r="H2175" t="s">
        <v>26</v>
      </c>
      <c r="I2175" t="s">
        <v>2545</v>
      </c>
      <c r="J2175" t="s">
        <v>28</v>
      </c>
      <c r="K2175" t="s">
        <v>29</v>
      </c>
      <c r="L2175" s="1">
        <v>3200</v>
      </c>
      <c r="M2175" t="s">
        <v>29</v>
      </c>
      <c r="N2175" s="1">
        <v>3200</v>
      </c>
      <c r="O2175" s="1">
        <v>3200</v>
      </c>
      <c r="P2175" t="s">
        <v>30</v>
      </c>
      <c r="Q2175" s="2">
        <v>0.7</v>
      </c>
      <c r="R2175" s="1">
        <v>2240</v>
      </c>
      <c r="S2175" t="s">
        <v>29</v>
      </c>
      <c r="T2175" s="1">
        <v>2240</v>
      </c>
      <c r="V2175" t="str">
        <f>VLOOKUP(H2175,'[1]팀별 출판사'!A:B,2,0)</f>
        <v>소설1팀</v>
      </c>
      <c r="W2175" s="6">
        <f t="shared" si="66"/>
        <v>0</v>
      </c>
      <c r="X2175" s="6">
        <f t="shared" si="67"/>
        <v>2240</v>
      </c>
    </row>
    <row r="2176" spans="1:24" x14ac:dyDescent="0.3">
      <c r="A2176" t="s">
        <v>3195</v>
      </c>
      <c r="B2176" t="s">
        <v>3342</v>
      </c>
      <c r="C2176" t="s">
        <v>23</v>
      </c>
      <c r="D2176" t="s">
        <v>24</v>
      </c>
      <c r="E2176" t="s">
        <v>25</v>
      </c>
      <c r="F2176">
        <v>1</v>
      </c>
      <c r="G2176">
        <v>9791136930552</v>
      </c>
      <c r="H2176" t="s">
        <v>26</v>
      </c>
      <c r="I2176" t="s">
        <v>45</v>
      </c>
      <c r="J2176" t="s">
        <v>46</v>
      </c>
      <c r="K2176" t="s">
        <v>29</v>
      </c>
      <c r="L2176">
        <v>0</v>
      </c>
      <c r="M2176" t="s">
        <v>29</v>
      </c>
      <c r="N2176">
        <v>0</v>
      </c>
      <c r="O2176">
        <v>0</v>
      </c>
      <c r="P2176" t="s">
        <v>30</v>
      </c>
      <c r="Q2176" s="2">
        <v>0.7</v>
      </c>
      <c r="R2176">
        <v>0</v>
      </c>
      <c r="V2176" t="str">
        <f>VLOOKUP(H2176,'[1]팀별 출판사'!A:B,2,0)</f>
        <v>소설1팀</v>
      </c>
      <c r="W2176" s="6">
        <f t="shared" si="66"/>
        <v>0</v>
      </c>
      <c r="X2176" s="6">
        <f t="shared" si="67"/>
        <v>0</v>
      </c>
    </row>
    <row r="2177" spans="1:24" x14ac:dyDescent="0.3">
      <c r="A2177" t="s">
        <v>3195</v>
      </c>
      <c r="B2177" t="s">
        <v>3343</v>
      </c>
      <c r="C2177" t="s">
        <v>23</v>
      </c>
      <c r="D2177" t="s">
        <v>24</v>
      </c>
      <c r="E2177" t="s">
        <v>25</v>
      </c>
      <c r="F2177">
        <v>1</v>
      </c>
      <c r="G2177">
        <v>9791133180066</v>
      </c>
      <c r="H2177" t="s">
        <v>26</v>
      </c>
      <c r="I2177" t="s">
        <v>320</v>
      </c>
      <c r="J2177" t="s">
        <v>321</v>
      </c>
      <c r="K2177" t="s">
        <v>29</v>
      </c>
      <c r="L2177">
        <v>0</v>
      </c>
      <c r="M2177" t="s">
        <v>29</v>
      </c>
      <c r="N2177">
        <v>0</v>
      </c>
      <c r="O2177">
        <v>0</v>
      </c>
      <c r="P2177" t="s">
        <v>30</v>
      </c>
      <c r="Q2177" s="2">
        <v>0.7</v>
      </c>
      <c r="R2177">
        <v>0</v>
      </c>
      <c r="V2177" t="str">
        <f>VLOOKUP(H2177,'[1]팀별 출판사'!A:B,2,0)</f>
        <v>소설1팀</v>
      </c>
      <c r="W2177" s="6">
        <f t="shared" si="66"/>
        <v>0</v>
      </c>
      <c r="X2177" s="6">
        <f t="shared" si="67"/>
        <v>0</v>
      </c>
    </row>
    <row r="2178" spans="1:24" x14ac:dyDescent="0.3">
      <c r="A2178" t="s">
        <v>3195</v>
      </c>
      <c r="B2178" t="s">
        <v>3344</v>
      </c>
      <c r="C2178" t="s">
        <v>23</v>
      </c>
      <c r="D2178" t="s">
        <v>24</v>
      </c>
      <c r="E2178" t="s">
        <v>25</v>
      </c>
      <c r="F2178">
        <v>1</v>
      </c>
      <c r="G2178">
        <v>9791157532629</v>
      </c>
      <c r="H2178" t="s">
        <v>32</v>
      </c>
      <c r="I2178" t="s">
        <v>1170</v>
      </c>
      <c r="J2178" t="s">
        <v>187</v>
      </c>
      <c r="K2178" t="s">
        <v>29</v>
      </c>
      <c r="L2178">
        <v>0</v>
      </c>
      <c r="M2178" t="s">
        <v>29</v>
      </c>
      <c r="N2178">
        <v>0</v>
      </c>
      <c r="O2178">
        <v>0</v>
      </c>
      <c r="P2178" t="s">
        <v>30</v>
      </c>
      <c r="Q2178" s="2">
        <v>0.7</v>
      </c>
      <c r="R2178">
        <v>0</v>
      </c>
      <c r="V2178" t="str">
        <f>VLOOKUP(H2178,'[1]팀별 출판사'!A:B,2,0)</f>
        <v>소설1팀</v>
      </c>
      <c r="W2178" s="6">
        <f t="shared" ref="W2178:W2241" si="68">IF(P2178="US", T2178*30%, 0)</f>
        <v>0</v>
      </c>
      <c r="X2178" s="6">
        <f t="shared" ref="X2178:X2241" si="69">T2178-W2178</f>
        <v>0</v>
      </c>
    </row>
    <row r="2179" spans="1:24" x14ac:dyDescent="0.3">
      <c r="A2179" t="s">
        <v>3195</v>
      </c>
      <c r="B2179" t="s">
        <v>3345</v>
      </c>
      <c r="C2179" t="s">
        <v>23</v>
      </c>
      <c r="D2179" t="s">
        <v>24</v>
      </c>
      <c r="E2179" t="s">
        <v>25</v>
      </c>
      <c r="F2179">
        <v>1</v>
      </c>
      <c r="G2179" t="s">
        <v>3346</v>
      </c>
      <c r="H2179" t="s">
        <v>32</v>
      </c>
      <c r="I2179" t="s">
        <v>3347</v>
      </c>
      <c r="J2179" t="s">
        <v>3348</v>
      </c>
      <c r="K2179" t="s">
        <v>29</v>
      </c>
      <c r="L2179">
        <v>0</v>
      </c>
      <c r="M2179" t="s">
        <v>29</v>
      </c>
      <c r="N2179">
        <v>0</v>
      </c>
      <c r="O2179">
        <v>0</v>
      </c>
      <c r="P2179" t="s">
        <v>30</v>
      </c>
      <c r="Q2179" s="2">
        <v>0.7</v>
      </c>
      <c r="R2179">
        <v>0</v>
      </c>
      <c r="V2179" t="str">
        <f>VLOOKUP(H2179,'[1]팀별 출판사'!A:B,2,0)</f>
        <v>소설1팀</v>
      </c>
      <c r="W2179" s="6">
        <f t="shared" si="68"/>
        <v>0</v>
      </c>
      <c r="X2179" s="6">
        <f t="shared" si="69"/>
        <v>0</v>
      </c>
    </row>
    <row r="2180" spans="1:24" x14ac:dyDescent="0.3">
      <c r="A2180" t="s">
        <v>3195</v>
      </c>
      <c r="B2180" t="s">
        <v>3349</v>
      </c>
      <c r="C2180" t="s">
        <v>23</v>
      </c>
      <c r="D2180" t="s">
        <v>24</v>
      </c>
      <c r="E2180" t="s">
        <v>25</v>
      </c>
      <c r="F2180">
        <v>1</v>
      </c>
      <c r="G2180">
        <v>9791133102716</v>
      </c>
      <c r="H2180" t="s">
        <v>32</v>
      </c>
      <c r="I2180" t="s">
        <v>673</v>
      </c>
      <c r="J2180" t="s">
        <v>51</v>
      </c>
      <c r="K2180" t="s">
        <v>29</v>
      </c>
      <c r="L2180">
        <v>0</v>
      </c>
      <c r="M2180" t="s">
        <v>29</v>
      </c>
      <c r="N2180">
        <v>0</v>
      </c>
      <c r="O2180">
        <v>0</v>
      </c>
      <c r="P2180" t="s">
        <v>30</v>
      </c>
      <c r="Q2180" s="2">
        <v>0.7</v>
      </c>
      <c r="R2180">
        <v>0</v>
      </c>
      <c r="V2180" t="str">
        <f>VLOOKUP(H2180,'[1]팀별 출판사'!A:B,2,0)</f>
        <v>소설1팀</v>
      </c>
      <c r="W2180" s="6">
        <f t="shared" si="68"/>
        <v>0</v>
      </c>
      <c r="X2180" s="6">
        <f t="shared" si="69"/>
        <v>0</v>
      </c>
    </row>
    <row r="2181" spans="1:24" x14ac:dyDescent="0.3">
      <c r="A2181" t="s">
        <v>3195</v>
      </c>
      <c r="B2181" t="s">
        <v>3350</v>
      </c>
      <c r="C2181" t="s">
        <v>23</v>
      </c>
      <c r="D2181" t="s">
        <v>24</v>
      </c>
      <c r="E2181" t="s">
        <v>25</v>
      </c>
      <c r="F2181">
        <v>1</v>
      </c>
      <c r="G2181">
        <v>9791136946782</v>
      </c>
      <c r="H2181" t="s">
        <v>26</v>
      </c>
      <c r="I2181" t="s">
        <v>291</v>
      </c>
      <c r="J2181" t="s">
        <v>28</v>
      </c>
      <c r="K2181" t="s">
        <v>29</v>
      </c>
      <c r="L2181">
        <v>0</v>
      </c>
      <c r="M2181" t="s">
        <v>29</v>
      </c>
      <c r="N2181">
        <v>0</v>
      </c>
      <c r="O2181">
        <v>0</v>
      </c>
      <c r="P2181" t="s">
        <v>30</v>
      </c>
      <c r="Q2181" s="2">
        <v>0.7</v>
      </c>
      <c r="R2181">
        <v>0</v>
      </c>
      <c r="V2181" t="str">
        <f>VLOOKUP(H2181,'[1]팀별 출판사'!A:B,2,0)</f>
        <v>소설1팀</v>
      </c>
      <c r="W2181" s="6">
        <f t="shared" si="68"/>
        <v>0</v>
      </c>
      <c r="X2181" s="6">
        <f t="shared" si="69"/>
        <v>0</v>
      </c>
    </row>
    <row r="2182" spans="1:24" x14ac:dyDescent="0.3">
      <c r="A2182" t="s">
        <v>3195</v>
      </c>
      <c r="B2182" t="s">
        <v>3351</v>
      </c>
      <c r="C2182" t="s">
        <v>23</v>
      </c>
      <c r="D2182" t="s">
        <v>24</v>
      </c>
      <c r="E2182" t="s">
        <v>25</v>
      </c>
      <c r="F2182">
        <v>1</v>
      </c>
      <c r="G2182">
        <v>9791170106500</v>
      </c>
      <c r="H2182" t="s">
        <v>67</v>
      </c>
      <c r="I2182" t="s">
        <v>931</v>
      </c>
      <c r="J2182" t="s">
        <v>932</v>
      </c>
      <c r="K2182" t="s">
        <v>29</v>
      </c>
      <c r="L2182">
        <v>0</v>
      </c>
      <c r="M2182" t="s">
        <v>193</v>
      </c>
      <c r="N2182">
        <v>0</v>
      </c>
      <c r="O2182">
        <v>0</v>
      </c>
      <c r="P2182" t="s">
        <v>194</v>
      </c>
      <c r="Q2182" s="2">
        <v>0.7</v>
      </c>
      <c r="R2182">
        <v>0</v>
      </c>
      <c r="V2182" t="str">
        <f>VLOOKUP(H2182,'[1]팀별 출판사'!A:B,2,0)</f>
        <v>소설1팀</v>
      </c>
      <c r="W2182" s="6">
        <f t="shared" si="68"/>
        <v>0</v>
      </c>
      <c r="X2182" s="6">
        <f t="shared" si="69"/>
        <v>0</v>
      </c>
    </row>
    <row r="2183" spans="1:24" x14ac:dyDescent="0.3">
      <c r="A2183" t="s">
        <v>3195</v>
      </c>
      <c r="B2183" t="s">
        <v>3352</v>
      </c>
      <c r="C2183" t="s">
        <v>23</v>
      </c>
      <c r="D2183" t="s">
        <v>24</v>
      </c>
      <c r="E2183" t="s">
        <v>25</v>
      </c>
      <c r="F2183">
        <v>1</v>
      </c>
      <c r="G2183">
        <v>9791136988256</v>
      </c>
      <c r="H2183" t="s">
        <v>26</v>
      </c>
      <c r="I2183" t="s">
        <v>2353</v>
      </c>
      <c r="J2183" t="s">
        <v>28</v>
      </c>
      <c r="K2183" t="s">
        <v>29</v>
      </c>
      <c r="L2183" s="1">
        <v>3200</v>
      </c>
      <c r="M2183" t="s">
        <v>29</v>
      </c>
      <c r="N2183" s="1">
        <v>3200</v>
      </c>
      <c r="O2183" s="1">
        <v>3200</v>
      </c>
      <c r="P2183" t="s">
        <v>30</v>
      </c>
      <c r="Q2183" s="2">
        <v>0.7</v>
      </c>
      <c r="R2183" s="1">
        <v>2240</v>
      </c>
      <c r="S2183" t="s">
        <v>29</v>
      </c>
      <c r="T2183" s="1">
        <v>2240</v>
      </c>
      <c r="V2183" t="str">
        <f>VLOOKUP(H2183,'[1]팀별 출판사'!A:B,2,0)</f>
        <v>소설1팀</v>
      </c>
      <c r="W2183" s="6">
        <f t="shared" si="68"/>
        <v>0</v>
      </c>
      <c r="X2183" s="6">
        <f t="shared" si="69"/>
        <v>2240</v>
      </c>
    </row>
    <row r="2184" spans="1:24" x14ac:dyDescent="0.3">
      <c r="A2184" t="s">
        <v>3195</v>
      </c>
      <c r="B2184" t="s">
        <v>3353</v>
      </c>
      <c r="C2184" t="s">
        <v>23</v>
      </c>
      <c r="D2184" t="s">
        <v>24</v>
      </c>
      <c r="E2184" t="s">
        <v>25</v>
      </c>
      <c r="F2184">
        <v>1</v>
      </c>
      <c r="G2184">
        <v>9791133171521</v>
      </c>
      <c r="H2184" t="s">
        <v>26</v>
      </c>
      <c r="I2184" t="s">
        <v>3354</v>
      </c>
      <c r="J2184" t="s">
        <v>51</v>
      </c>
      <c r="K2184" t="s">
        <v>29</v>
      </c>
      <c r="L2184" s="1">
        <v>2500</v>
      </c>
      <c r="M2184" t="s">
        <v>29</v>
      </c>
      <c r="N2184" s="1">
        <v>2500</v>
      </c>
      <c r="O2184" s="1">
        <v>2500</v>
      </c>
      <c r="P2184" t="s">
        <v>30</v>
      </c>
      <c r="Q2184" s="2">
        <v>0.7</v>
      </c>
      <c r="R2184" s="1">
        <v>1750</v>
      </c>
      <c r="S2184" t="s">
        <v>29</v>
      </c>
      <c r="T2184" s="1">
        <v>1750</v>
      </c>
      <c r="V2184" t="str">
        <f>VLOOKUP(H2184,'[1]팀별 출판사'!A:B,2,0)</f>
        <v>소설1팀</v>
      </c>
      <c r="W2184" s="6">
        <f t="shared" si="68"/>
        <v>0</v>
      </c>
      <c r="X2184" s="6">
        <f t="shared" si="69"/>
        <v>1750</v>
      </c>
    </row>
    <row r="2185" spans="1:24" x14ac:dyDescent="0.3">
      <c r="A2185" t="s">
        <v>3195</v>
      </c>
      <c r="B2185" t="s">
        <v>3355</v>
      </c>
      <c r="C2185" t="s">
        <v>23</v>
      </c>
      <c r="D2185" t="s">
        <v>24</v>
      </c>
      <c r="E2185" t="s">
        <v>25</v>
      </c>
      <c r="F2185">
        <v>1</v>
      </c>
      <c r="G2185">
        <v>9791136910974</v>
      </c>
      <c r="H2185" t="s">
        <v>26</v>
      </c>
      <c r="I2185" t="s">
        <v>568</v>
      </c>
      <c r="J2185" t="s">
        <v>160</v>
      </c>
      <c r="K2185" t="s">
        <v>29</v>
      </c>
      <c r="L2185">
        <v>0</v>
      </c>
      <c r="M2185" t="s">
        <v>29</v>
      </c>
      <c r="N2185">
        <v>0</v>
      </c>
      <c r="O2185">
        <v>0</v>
      </c>
      <c r="P2185" t="s">
        <v>30</v>
      </c>
      <c r="Q2185" s="2">
        <v>0.7</v>
      </c>
      <c r="R2185">
        <v>0</v>
      </c>
      <c r="V2185" t="str">
        <f>VLOOKUP(H2185,'[1]팀별 출판사'!A:B,2,0)</f>
        <v>소설1팀</v>
      </c>
      <c r="W2185" s="6">
        <f t="shared" si="68"/>
        <v>0</v>
      </c>
      <c r="X2185" s="6">
        <f t="shared" si="69"/>
        <v>0</v>
      </c>
    </row>
    <row r="2186" spans="1:24" x14ac:dyDescent="0.3">
      <c r="A2186" t="s">
        <v>3195</v>
      </c>
      <c r="B2186" t="s">
        <v>3356</v>
      </c>
      <c r="C2186" t="s">
        <v>23</v>
      </c>
      <c r="D2186" t="s">
        <v>24</v>
      </c>
      <c r="E2186" t="s">
        <v>25</v>
      </c>
      <c r="F2186">
        <v>1</v>
      </c>
      <c r="G2186">
        <v>9791157539697</v>
      </c>
      <c r="H2186" t="s">
        <v>32</v>
      </c>
      <c r="I2186" t="s">
        <v>3357</v>
      </c>
      <c r="J2186" t="s">
        <v>88</v>
      </c>
      <c r="K2186" t="s">
        <v>29</v>
      </c>
      <c r="L2186" s="1">
        <v>3200</v>
      </c>
      <c r="M2186" t="s">
        <v>29</v>
      </c>
      <c r="N2186" s="1">
        <v>3200</v>
      </c>
      <c r="O2186" s="1">
        <v>3200</v>
      </c>
      <c r="P2186" t="s">
        <v>30</v>
      </c>
      <c r="Q2186" s="2">
        <v>0.7</v>
      </c>
      <c r="R2186" s="1">
        <v>2240</v>
      </c>
      <c r="S2186" t="s">
        <v>29</v>
      </c>
      <c r="T2186" s="1">
        <v>2240</v>
      </c>
      <c r="V2186" t="str">
        <f>VLOOKUP(H2186,'[1]팀별 출판사'!A:B,2,0)</f>
        <v>소설1팀</v>
      </c>
      <c r="W2186" s="6">
        <f t="shared" si="68"/>
        <v>0</v>
      </c>
      <c r="X2186" s="6">
        <f t="shared" si="69"/>
        <v>2240</v>
      </c>
    </row>
    <row r="2187" spans="1:24" x14ac:dyDescent="0.3">
      <c r="A2187" t="s">
        <v>3195</v>
      </c>
      <c r="B2187" t="s">
        <v>3358</v>
      </c>
      <c r="C2187" t="s">
        <v>23</v>
      </c>
      <c r="D2187" t="s">
        <v>24</v>
      </c>
      <c r="E2187" t="s">
        <v>25</v>
      </c>
      <c r="F2187">
        <v>1</v>
      </c>
      <c r="G2187">
        <v>9791133101788</v>
      </c>
      <c r="H2187" t="s">
        <v>32</v>
      </c>
      <c r="I2187" t="s">
        <v>870</v>
      </c>
      <c r="J2187" t="s">
        <v>160</v>
      </c>
      <c r="K2187" t="s">
        <v>29</v>
      </c>
      <c r="L2187">
        <v>0</v>
      </c>
      <c r="M2187" t="s">
        <v>29</v>
      </c>
      <c r="N2187">
        <v>0</v>
      </c>
      <c r="O2187">
        <v>0</v>
      </c>
      <c r="P2187" t="s">
        <v>30</v>
      </c>
      <c r="Q2187" s="2">
        <v>0.7</v>
      </c>
      <c r="R2187">
        <v>0</v>
      </c>
      <c r="V2187" t="str">
        <f>VLOOKUP(H2187,'[1]팀별 출판사'!A:B,2,0)</f>
        <v>소설1팀</v>
      </c>
      <c r="W2187" s="6">
        <f t="shared" si="68"/>
        <v>0</v>
      </c>
      <c r="X2187" s="6">
        <f t="shared" si="69"/>
        <v>0</v>
      </c>
    </row>
    <row r="2188" spans="1:24" x14ac:dyDescent="0.3">
      <c r="A2188" t="s">
        <v>3195</v>
      </c>
      <c r="B2188" t="s">
        <v>3359</v>
      </c>
      <c r="C2188" t="s">
        <v>23</v>
      </c>
      <c r="D2188" t="s">
        <v>24</v>
      </c>
      <c r="E2188" t="s">
        <v>25</v>
      </c>
      <c r="F2188">
        <v>1</v>
      </c>
      <c r="G2188">
        <v>9791136958662</v>
      </c>
      <c r="H2188" t="s">
        <v>79</v>
      </c>
      <c r="I2188" t="s">
        <v>396</v>
      </c>
      <c r="J2188" t="s">
        <v>81</v>
      </c>
      <c r="K2188" t="s">
        <v>29</v>
      </c>
      <c r="L2188">
        <v>0</v>
      </c>
      <c r="M2188" t="s">
        <v>29</v>
      </c>
      <c r="N2188">
        <v>0</v>
      </c>
      <c r="O2188">
        <v>0</v>
      </c>
      <c r="P2188" t="s">
        <v>30</v>
      </c>
      <c r="Q2188" s="2">
        <v>0.7</v>
      </c>
      <c r="R2188">
        <v>0</v>
      </c>
      <c r="V2188" t="str">
        <f>VLOOKUP(H2188,'[1]팀별 출판사'!A:B,2,0)</f>
        <v>소설1팀</v>
      </c>
      <c r="W2188" s="6">
        <f t="shared" si="68"/>
        <v>0</v>
      </c>
      <c r="X2188" s="6">
        <f t="shared" si="69"/>
        <v>0</v>
      </c>
    </row>
    <row r="2189" spans="1:24" x14ac:dyDescent="0.3">
      <c r="A2189" t="s">
        <v>3195</v>
      </c>
      <c r="B2189" t="s">
        <v>3360</v>
      </c>
      <c r="C2189" t="s">
        <v>23</v>
      </c>
      <c r="D2189" t="s">
        <v>24</v>
      </c>
      <c r="E2189" t="s">
        <v>25</v>
      </c>
      <c r="F2189">
        <v>1</v>
      </c>
      <c r="G2189">
        <v>9791136930552</v>
      </c>
      <c r="H2189" t="s">
        <v>26</v>
      </c>
      <c r="I2189" t="s">
        <v>45</v>
      </c>
      <c r="J2189" t="s">
        <v>46</v>
      </c>
      <c r="K2189" t="s">
        <v>29</v>
      </c>
      <c r="L2189">
        <v>0</v>
      </c>
      <c r="M2189" t="s">
        <v>47</v>
      </c>
      <c r="N2189">
        <v>0</v>
      </c>
      <c r="O2189">
        <v>0</v>
      </c>
      <c r="P2189" t="s">
        <v>48</v>
      </c>
      <c r="Q2189" s="2">
        <v>0.7</v>
      </c>
      <c r="R2189">
        <v>0</v>
      </c>
      <c r="V2189" t="str">
        <f>VLOOKUP(H2189,'[1]팀별 출판사'!A:B,2,0)</f>
        <v>소설1팀</v>
      </c>
      <c r="W2189" s="6">
        <f t="shared" si="68"/>
        <v>0</v>
      </c>
      <c r="X2189" s="6">
        <f t="shared" si="69"/>
        <v>0</v>
      </c>
    </row>
    <row r="2190" spans="1:24" x14ac:dyDescent="0.3">
      <c r="A2190" t="s">
        <v>3195</v>
      </c>
      <c r="B2190" t="s">
        <v>3361</v>
      </c>
      <c r="C2190" t="s">
        <v>23</v>
      </c>
      <c r="D2190" t="s">
        <v>24</v>
      </c>
      <c r="E2190" t="s">
        <v>25</v>
      </c>
      <c r="F2190">
        <v>1</v>
      </c>
      <c r="G2190">
        <v>9791136931375</v>
      </c>
      <c r="H2190" t="s">
        <v>32</v>
      </c>
      <c r="I2190" t="s">
        <v>189</v>
      </c>
      <c r="J2190" t="s">
        <v>46</v>
      </c>
      <c r="K2190" t="s">
        <v>29</v>
      </c>
      <c r="L2190">
        <v>0</v>
      </c>
      <c r="M2190" t="s">
        <v>47</v>
      </c>
      <c r="N2190">
        <v>0</v>
      </c>
      <c r="O2190">
        <v>0</v>
      </c>
      <c r="P2190" t="s">
        <v>48</v>
      </c>
      <c r="Q2190" s="2">
        <v>0.7</v>
      </c>
      <c r="R2190">
        <v>0</v>
      </c>
      <c r="V2190" t="str">
        <f>VLOOKUP(H2190,'[1]팀별 출판사'!A:B,2,0)</f>
        <v>소설1팀</v>
      </c>
      <c r="W2190" s="6">
        <f t="shared" si="68"/>
        <v>0</v>
      </c>
      <c r="X2190" s="6">
        <f t="shared" si="69"/>
        <v>0</v>
      </c>
    </row>
    <row r="2191" spans="1:24" x14ac:dyDescent="0.3">
      <c r="A2191" t="s">
        <v>3195</v>
      </c>
      <c r="B2191" t="s">
        <v>3362</v>
      </c>
      <c r="C2191" t="s">
        <v>23</v>
      </c>
      <c r="D2191" t="s">
        <v>24</v>
      </c>
      <c r="E2191" t="s">
        <v>25</v>
      </c>
      <c r="F2191">
        <v>1</v>
      </c>
      <c r="G2191">
        <v>9791136965455</v>
      </c>
      <c r="H2191" t="s">
        <v>26</v>
      </c>
      <c r="I2191" t="s">
        <v>472</v>
      </c>
      <c r="J2191" t="s">
        <v>157</v>
      </c>
      <c r="K2191" t="s">
        <v>29</v>
      </c>
      <c r="L2191">
        <v>0</v>
      </c>
      <c r="M2191" t="s">
        <v>47</v>
      </c>
      <c r="N2191">
        <v>0</v>
      </c>
      <c r="O2191">
        <v>0</v>
      </c>
      <c r="P2191" t="s">
        <v>48</v>
      </c>
      <c r="Q2191" s="2">
        <v>0.7</v>
      </c>
      <c r="R2191">
        <v>0</v>
      </c>
      <c r="V2191" t="str">
        <f>VLOOKUP(H2191,'[1]팀별 출판사'!A:B,2,0)</f>
        <v>소설1팀</v>
      </c>
      <c r="W2191" s="6">
        <f t="shared" si="68"/>
        <v>0</v>
      </c>
      <c r="X2191" s="6">
        <f t="shared" si="69"/>
        <v>0</v>
      </c>
    </row>
    <row r="2192" spans="1:24" x14ac:dyDescent="0.3">
      <c r="A2192" t="s">
        <v>3195</v>
      </c>
      <c r="B2192" t="s">
        <v>3363</v>
      </c>
      <c r="C2192" t="s">
        <v>23</v>
      </c>
      <c r="D2192" t="s">
        <v>24</v>
      </c>
      <c r="E2192" t="s">
        <v>25</v>
      </c>
      <c r="F2192">
        <v>1</v>
      </c>
      <c r="G2192">
        <v>9791170105695</v>
      </c>
      <c r="H2192" t="s">
        <v>67</v>
      </c>
      <c r="I2192" t="s">
        <v>578</v>
      </c>
      <c r="J2192" t="s">
        <v>579</v>
      </c>
      <c r="K2192" t="s">
        <v>29</v>
      </c>
      <c r="L2192">
        <v>0</v>
      </c>
      <c r="M2192" t="s">
        <v>1482</v>
      </c>
      <c r="N2192">
        <v>0</v>
      </c>
      <c r="O2192">
        <v>0</v>
      </c>
      <c r="P2192" t="s">
        <v>1483</v>
      </c>
      <c r="Q2192" s="2">
        <v>0.7</v>
      </c>
      <c r="R2192">
        <v>0</v>
      </c>
      <c r="V2192" t="str">
        <f>VLOOKUP(H2192,'[1]팀별 출판사'!A:B,2,0)</f>
        <v>소설1팀</v>
      </c>
      <c r="W2192" s="6">
        <f t="shared" si="68"/>
        <v>0</v>
      </c>
      <c r="X2192" s="6">
        <f t="shared" si="69"/>
        <v>0</v>
      </c>
    </row>
    <row r="2193" spans="1:24" x14ac:dyDescent="0.3">
      <c r="A2193" t="s">
        <v>3195</v>
      </c>
      <c r="B2193" t="s">
        <v>3364</v>
      </c>
      <c r="C2193" t="s">
        <v>23</v>
      </c>
      <c r="D2193" t="s">
        <v>24</v>
      </c>
      <c r="E2193" t="s">
        <v>25</v>
      </c>
      <c r="F2193">
        <v>1</v>
      </c>
      <c r="G2193">
        <v>9791136941862</v>
      </c>
      <c r="H2193" t="s">
        <v>26</v>
      </c>
      <c r="I2193" t="s">
        <v>894</v>
      </c>
      <c r="J2193" t="s">
        <v>81</v>
      </c>
      <c r="K2193" t="s">
        <v>29</v>
      </c>
      <c r="L2193">
        <v>0</v>
      </c>
      <c r="M2193" t="s">
        <v>29</v>
      </c>
      <c r="N2193">
        <v>0</v>
      </c>
      <c r="O2193">
        <v>0</v>
      </c>
      <c r="P2193" t="s">
        <v>30</v>
      </c>
      <c r="Q2193" s="2">
        <v>0.7</v>
      </c>
      <c r="R2193">
        <v>0</v>
      </c>
      <c r="V2193" t="str">
        <f>VLOOKUP(H2193,'[1]팀별 출판사'!A:B,2,0)</f>
        <v>소설1팀</v>
      </c>
      <c r="W2193" s="6">
        <f t="shared" si="68"/>
        <v>0</v>
      </c>
      <c r="X2193" s="6">
        <f t="shared" si="69"/>
        <v>0</v>
      </c>
    </row>
    <row r="2194" spans="1:24" x14ac:dyDescent="0.3">
      <c r="A2194" t="s">
        <v>3195</v>
      </c>
      <c r="B2194" t="s">
        <v>3365</v>
      </c>
      <c r="C2194" t="s">
        <v>23</v>
      </c>
      <c r="D2194" t="s">
        <v>24</v>
      </c>
      <c r="E2194" t="s">
        <v>25</v>
      </c>
      <c r="F2194">
        <v>1</v>
      </c>
      <c r="G2194">
        <v>9791136958662</v>
      </c>
      <c r="H2194" t="s">
        <v>79</v>
      </c>
      <c r="I2194" t="s">
        <v>396</v>
      </c>
      <c r="J2194" t="s">
        <v>81</v>
      </c>
      <c r="K2194" t="s">
        <v>29</v>
      </c>
      <c r="L2194">
        <v>0</v>
      </c>
      <c r="M2194" t="s">
        <v>29</v>
      </c>
      <c r="N2194">
        <v>0</v>
      </c>
      <c r="O2194">
        <v>0</v>
      </c>
      <c r="P2194" t="s">
        <v>30</v>
      </c>
      <c r="Q2194" s="2">
        <v>0.7</v>
      </c>
      <c r="R2194">
        <v>0</v>
      </c>
      <c r="V2194" t="str">
        <f>VLOOKUP(H2194,'[1]팀별 출판사'!A:B,2,0)</f>
        <v>소설1팀</v>
      </c>
      <c r="W2194" s="6">
        <f t="shared" si="68"/>
        <v>0</v>
      </c>
      <c r="X2194" s="6">
        <f t="shared" si="69"/>
        <v>0</v>
      </c>
    </row>
    <row r="2195" spans="1:24" x14ac:dyDescent="0.3">
      <c r="A2195" t="s">
        <v>3195</v>
      </c>
      <c r="B2195" t="s">
        <v>3366</v>
      </c>
      <c r="C2195" t="s">
        <v>23</v>
      </c>
      <c r="D2195" t="s">
        <v>24</v>
      </c>
      <c r="E2195" t="s">
        <v>25</v>
      </c>
      <c r="F2195">
        <v>1</v>
      </c>
      <c r="G2195">
        <v>9791173782923</v>
      </c>
      <c r="H2195" t="s">
        <v>26</v>
      </c>
      <c r="I2195" t="s">
        <v>3367</v>
      </c>
      <c r="J2195" t="s">
        <v>284</v>
      </c>
      <c r="K2195" t="s">
        <v>29</v>
      </c>
      <c r="L2195" s="1">
        <v>3200</v>
      </c>
      <c r="M2195" t="s">
        <v>29</v>
      </c>
      <c r="N2195" s="1">
        <v>3200</v>
      </c>
      <c r="O2195" s="1">
        <v>3200</v>
      </c>
      <c r="P2195" t="s">
        <v>30</v>
      </c>
      <c r="Q2195" s="2">
        <v>0.7</v>
      </c>
      <c r="R2195" s="1">
        <v>2240</v>
      </c>
      <c r="S2195" t="s">
        <v>29</v>
      </c>
      <c r="T2195" s="1">
        <v>2240</v>
      </c>
      <c r="V2195" t="str">
        <f>VLOOKUP(H2195,'[1]팀별 출판사'!A:B,2,0)</f>
        <v>소설1팀</v>
      </c>
      <c r="W2195" s="6">
        <f t="shared" si="68"/>
        <v>0</v>
      </c>
      <c r="X2195" s="6">
        <f t="shared" si="69"/>
        <v>2240</v>
      </c>
    </row>
    <row r="2196" spans="1:24" x14ac:dyDescent="0.3">
      <c r="A2196" t="s">
        <v>3195</v>
      </c>
      <c r="B2196" t="s">
        <v>3368</v>
      </c>
      <c r="C2196" t="s">
        <v>23</v>
      </c>
      <c r="D2196" t="s">
        <v>24</v>
      </c>
      <c r="E2196" t="s">
        <v>25</v>
      </c>
      <c r="F2196">
        <v>1</v>
      </c>
      <c r="G2196">
        <v>9791170103158</v>
      </c>
      <c r="H2196" t="s">
        <v>67</v>
      </c>
      <c r="I2196" t="s">
        <v>1750</v>
      </c>
      <c r="J2196" t="s">
        <v>1200</v>
      </c>
      <c r="K2196" t="s">
        <v>29</v>
      </c>
      <c r="L2196">
        <v>0</v>
      </c>
      <c r="M2196" t="s">
        <v>29</v>
      </c>
      <c r="N2196">
        <v>0</v>
      </c>
      <c r="O2196">
        <v>0</v>
      </c>
      <c r="P2196" t="s">
        <v>30</v>
      </c>
      <c r="Q2196" s="2">
        <v>0.7</v>
      </c>
      <c r="R2196">
        <v>0</v>
      </c>
      <c r="V2196" t="str">
        <f>VLOOKUP(H2196,'[1]팀별 출판사'!A:B,2,0)</f>
        <v>소설1팀</v>
      </c>
      <c r="W2196" s="6">
        <f t="shared" si="68"/>
        <v>0</v>
      </c>
      <c r="X2196" s="6">
        <f t="shared" si="69"/>
        <v>0</v>
      </c>
    </row>
    <row r="2197" spans="1:24" x14ac:dyDescent="0.3">
      <c r="A2197" t="s">
        <v>3195</v>
      </c>
      <c r="B2197" t="s">
        <v>3369</v>
      </c>
      <c r="C2197" t="s">
        <v>23</v>
      </c>
      <c r="D2197" t="s">
        <v>24</v>
      </c>
      <c r="E2197" t="s">
        <v>25</v>
      </c>
      <c r="F2197">
        <v>1</v>
      </c>
      <c r="G2197">
        <v>9791194664369</v>
      </c>
      <c r="H2197" t="s">
        <v>79</v>
      </c>
      <c r="I2197" t="s">
        <v>156</v>
      </c>
      <c r="J2197" t="s">
        <v>157</v>
      </c>
      <c r="K2197" t="s">
        <v>29</v>
      </c>
      <c r="L2197">
        <v>0</v>
      </c>
      <c r="M2197" t="s">
        <v>47</v>
      </c>
      <c r="N2197">
        <v>0</v>
      </c>
      <c r="O2197">
        <v>0</v>
      </c>
      <c r="P2197" t="s">
        <v>48</v>
      </c>
      <c r="Q2197" s="2">
        <v>0.7</v>
      </c>
      <c r="R2197">
        <v>0</v>
      </c>
      <c r="V2197" t="str">
        <f>VLOOKUP(H2197,'[1]팀별 출판사'!A:B,2,0)</f>
        <v>소설1팀</v>
      </c>
      <c r="W2197" s="6">
        <f t="shared" si="68"/>
        <v>0</v>
      </c>
      <c r="X2197" s="6">
        <f t="shared" si="69"/>
        <v>0</v>
      </c>
    </row>
    <row r="2198" spans="1:24" x14ac:dyDescent="0.3">
      <c r="A2198" t="s">
        <v>3195</v>
      </c>
      <c r="B2198" t="s">
        <v>3370</v>
      </c>
      <c r="C2198" t="s">
        <v>23</v>
      </c>
      <c r="D2198" t="s">
        <v>24</v>
      </c>
      <c r="E2198" t="s">
        <v>25</v>
      </c>
      <c r="F2198">
        <v>1</v>
      </c>
      <c r="G2198">
        <v>9791136931382</v>
      </c>
      <c r="H2198" t="s">
        <v>32</v>
      </c>
      <c r="I2198" t="s">
        <v>523</v>
      </c>
      <c r="J2198" t="s">
        <v>46</v>
      </c>
      <c r="K2198" t="s">
        <v>29</v>
      </c>
      <c r="L2198">
        <v>0</v>
      </c>
      <c r="M2198" t="s">
        <v>29</v>
      </c>
      <c r="N2198">
        <v>0</v>
      </c>
      <c r="O2198">
        <v>0</v>
      </c>
      <c r="P2198" t="s">
        <v>30</v>
      </c>
      <c r="Q2198" s="2">
        <v>0.7</v>
      </c>
      <c r="R2198">
        <v>0</v>
      </c>
      <c r="V2198" t="str">
        <f>VLOOKUP(H2198,'[1]팀별 출판사'!A:B,2,0)</f>
        <v>소설1팀</v>
      </c>
      <c r="W2198" s="6">
        <f t="shared" si="68"/>
        <v>0</v>
      </c>
      <c r="X2198" s="6">
        <f t="shared" si="69"/>
        <v>0</v>
      </c>
    </row>
    <row r="2199" spans="1:24" x14ac:dyDescent="0.3">
      <c r="A2199" t="s">
        <v>3195</v>
      </c>
      <c r="B2199" t="s">
        <v>3371</v>
      </c>
      <c r="C2199" t="s">
        <v>23</v>
      </c>
      <c r="D2199" t="s">
        <v>24</v>
      </c>
      <c r="E2199" t="s">
        <v>25</v>
      </c>
      <c r="F2199">
        <v>1</v>
      </c>
      <c r="G2199">
        <v>9791172921033</v>
      </c>
      <c r="H2199" t="s">
        <v>79</v>
      </c>
      <c r="I2199" t="s">
        <v>738</v>
      </c>
      <c r="J2199" t="s">
        <v>46</v>
      </c>
      <c r="K2199" t="s">
        <v>29</v>
      </c>
      <c r="L2199">
        <v>0</v>
      </c>
      <c r="M2199" t="s">
        <v>29</v>
      </c>
      <c r="N2199">
        <v>0</v>
      </c>
      <c r="O2199">
        <v>0</v>
      </c>
      <c r="P2199" t="s">
        <v>30</v>
      </c>
      <c r="Q2199" s="2">
        <v>0.7</v>
      </c>
      <c r="R2199">
        <v>0</v>
      </c>
      <c r="V2199" t="str">
        <f>VLOOKUP(H2199,'[1]팀별 출판사'!A:B,2,0)</f>
        <v>소설1팀</v>
      </c>
      <c r="W2199" s="6">
        <f t="shared" si="68"/>
        <v>0</v>
      </c>
      <c r="X2199" s="6">
        <f t="shared" si="69"/>
        <v>0</v>
      </c>
    </row>
    <row r="2200" spans="1:24" x14ac:dyDescent="0.3">
      <c r="A2200" t="s">
        <v>3195</v>
      </c>
      <c r="B2200" t="s">
        <v>3372</v>
      </c>
      <c r="C2200" t="s">
        <v>23</v>
      </c>
      <c r="D2200" t="s">
        <v>24</v>
      </c>
      <c r="E2200" t="s">
        <v>25</v>
      </c>
      <c r="F2200">
        <v>1</v>
      </c>
      <c r="G2200">
        <v>9791136911483</v>
      </c>
      <c r="H2200" t="s">
        <v>26</v>
      </c>
      <c r="I2200" t="s">
        <v>3373</v>
      </c>
      <c r="J2200" t="s">
        <v>1029</v>
      </c>
      <c r="K2200" t="s">
        <v>29</v>
      </c>
      <c r="L2200" s="1">
        <v>3200</v>
      </c>
      <c r="M2200" t="s">
        <v>29</v>
      </c>
      <c r="N2200" s="1">
        <v>3200</v>
      </c>
      <c r="O2200" s="1">
        <v>3200</v>
      </c>
      <c r="P2200" t="s">
        <v>30</v>
      </c>
      <c r="Q2200" s="2">
        <v>0.7</v>
      </c>
      <c r="R2200" s="1">
        <v>2240</v>
      </c>
      <c r="S2200" t="s">
        <v>29</v>
      </c>
      <c r="T2200" s="1">
        <v>2240</v>
      </c>
      <c r="V2200" t="str">
        <f>VLOOKUP(H2200,'[1]팀별 출판사'!A:B,2,0)</f>
        <v>소설1팀</v>
      </c>
      <c r="W2200" s="6">
        <f t="shared" si="68"/>
        <v>0</v>
      </c>
      <c r="X2200" s="6">
        <f t="shared" si="69"/>
        <v>2240</v>
      </c>
    </row>
    <row r="2201" spans="1:24" x14ac:dyDescent="0.3">
      <c r="A2201" t="s">
        <v>3195</v>
      </c>
      <c r="B2201" t="s">
        <v>3374</v>
      </c>
      <c r="C2201" t="s">
        <v>23</v>
      </c>
      <c r="D2201" t="s">
        <v>24</v>
      </c>
      <c r="E2201" t="s">
        <v>25</v>
      </c>
      <c r="F2201">
        <v>1</v>
      </c>
      <c r="G2201">
        <v>9791136931405</v>
      </c>
      <c r="H2201" t="s">
        <v>32</v>
      </c>
      <c r="I2201" t="s">
        <v>631</v>
      </c>
      <c r="J2201" t="s">
        <v>46</v>
      </c>
      <c r="K2201" t="s">
        <v>29</v>
      </c>
      <c r="L2201">
        <v>0</v>
      </c>
      <c r="M2201" t="s">
        <v>29</v>
      </c>
      <c r="N2201">
        <v>0</v>
      </c>
      <c r="O2201">
        <v>0</v>
      </c>
      <c r="P2201" t="s">
        <v>30</v>
      </c>
      <c r="Q2201" s="2">
        <v>0.7</v>
      </c>
      <c r="R2201">
        <v>0</v>
      </c>
      <c r="V2201" t="str">
        <f>VLOOKUP(H2201,'[1]팀별 출판사'!A:B,2,0)</f>
        <v>소설1팀</v>
      </c>
      <c r="W2201" s="6">
        <f t="shared" si="68"/>
        <v>0</v>
      </c>
      <c r="X2201" s="6">
        <f t="shared" si="69"/>
        <v>0</v>
      </c>
    </row>
    <row r="2202" spans="1:24" x14ac:dyDescent="0.3">
      <c r="A2202" t="s">
        <v>3195</v>
      </c>
      <c r="B2202" t="s">
        <v>3375</v>
      </c>
      <c r="C2202" t="s">
        <v>23</v>
      </c>
      <c r="D2202" t="s">
        <v>24</v>
      </c>
      <c r="E2202" t="s">
        <v>25</v>
      </c>
      <c r="F2202">
        <v>1</v>
      </c>
      <c r="G2202">
        <v>9791136930491</v>
      </c>
      <c r="H2202" t="s">
        <v>26</v>
      </c>
      <c r="I2202" t="s">
        <v>151</v>
      </c>
      <c r="J2202" t="s">
        <v>46</v>
      </c>
      <c r="K2202" t="s">
        <v>29</v>
      </c>
      <c r="L2202">
        <v>0</v>
      </c>
      <c r="M2202" t="s">
        <v>29</v>
      </c>
      <c r="N2202">
        <v>0</v>
      </c>
      <c r="O2202">
        <v>0</v>
      </c>
      <c r="P2202" t="s">
        <v>30</v>
      </c>
      <c r="Q2202" s="2">
        <v>0.7</v>
      </c>
      <c r="R2202">
        <v>0</v>
      </c>
      <c r="V2202" t="str">
        <f>VLOOKUP(H2202,'[1]팀별 출판사'!A:B,2,0)</f>
        <v>소설1팀</v>
      </c>
      <c r="W2202" s="6">
        <f t="shared" si="68"/>
        <v>0</v>
      </c>
      <c r="X2202" s="6">
        <f t="shared" si="69"/>
        <v>0</v>
      </c>
    </row>
    <row r="2203" spans="1:24" x14ac:dyDescent="0.3">
      <c r="A2203" t="s">
        <v>3195</v>
      </c>
      <c r="B2203" t="s">
        <v>3376</v>
      </c>
      <c r="C2203" t="s">
        <v>23</v>
      </c>
      <c r="D2203" t="s">
        <v>24</v>
      </c>
      <c r="E2203" t="s">
        <v>25</v>
      </c>
      <c r="F2203">
        <v>1</v>
      </c>
      <c r="G2203">
        <v>9791136930491</v>
      </c>
      <c r="H2203" t="s">
        <v>26</v>
      </c>
      <c r="I2203" t="s">
        <v>151</v>
      </c>
      <c r="J2203" t="s">
        <v>46</v>
      </c>
      <c r="K2203" t="s">
        <v>29</v>
      </c>
      <c r="L2203">
        <v>0</v>
      </c>
      <c r="M2203" t="s">
        <v>47</v>
      </c>
      <c r="N2203">
        <v>0</v>
      </c>
      <c r="O2203">
        <v>0</v>
      </c>
      <c r="P2203" t="s">
        <v>48</v>
      </c>
      <c r="Q2203" s="2">
        <v>0.7</v>
      </c>
      <c r="R2203">
        <v>0</v>
      </c>
      <c r="V2203" t="str">
        <f>VLOOKUP(H2203,'[1]팀별 출판사'!A:B,2,0)</f>
        <v>소설1팀</v>
      </c>
      <c r="W2203" s="6">
        <f t="shared" si="68"/>
        <v>0</v>
      </c>
      <c r="X2203" s="6">
        <f t="shared" si="69"/>
        <v>0</v>
      </c>
    </row>
    <row r="2204" spans="1:24" x14ac:dyDescent="0.3">
      <c r="A2204" t="s">
        <v>3195</v>
      </c>
      <c r="B2204" t="s">
        <v>3377</v>
      </c>
      <c r="C2204" t="s">
        <v>23</v>
      </c>
      <c r="D2204" t="s">
        <v>24</v>
      </c>
      <c r="E2204" t="s">
        <v>25</v>
      </c>
      <c r="F2204">
        <v>1</v>
      </c>
      <c r="G2204">
        <v>9791136930224</v>
      </c>
      <c r="H2204" t="s">
        <v>32</v>
      </c>
      <c r="I2204" t="s">
        <v>172</v>
      </c>
      <c r="J2204" t="s">
        <v>46</v>
      </c>
      <c r="K2204" t="s">
        <v>29</v>
      </c>
      <c r="L2204">
        <v>0</v>
      </c>
      <c r="M2204" t="s">
        <v>29</v>
      </c>
      <c r="N2204">
        <v>0</v>
      </c>
      <c r="O2204">
        <v>0</v>
      </c>
      <c r="P2204" t="s">
        <v>30</v>
      </c>
      <c r="Q2204" s="2">
        <v>0.7</v>
      </c>
      <c r="R2204">
        <v>0</v>
      </c>
      <c r="V2204" t="str">
        <f>VLOOKUP(H2204,'[1]팀별 출판사'!A:B,2,0)</f>
        <v>소설1팀</v>
      </c>
      <c r="W2204" s="6">
        <f t="shared" si="68"/>
        <v>0</v>
      </c>
      <c r="X2204" s="6">
        <f t="shared" si="69"/>
        <v>0</v>
      </c>
    </row>
    <row r="2205" spans="1:24" x14ac:dyDescent="0.3">
      <c r="A2205" t="s">
        <v>3195</v>
      </c>
      <c r="B2205" t="s">
        <v>3378</v>
      </c>
      <c r="C2205" t="s">
        <v>23</v>
      </c>
      <c r="D2205" t="s">
        <v>24</v>
      </c>
      <c r="E2205" t="s">
        <v>25</v>
      </c>
      <c r="F2205">
        <v>1</v>
      </c>
      <c r="G2205">
        <v>9791133185702</v>
      </c>
      <c r="H2205" t="s">
        <v>26</v>
      </c>
      <c r="I2205" t="s">
        <v>2777</v>
      </c>
      <c r="J2205" t="s">
        <v>62</v>
      </c>
      <c r="K2205" t="s">
        <v>29</v>
      </c>
      <c r="L2205">
        <v>0</v>
      </c>
      <c r="M2205" t="s">
        <v>29</v>
      </c>
      <c r="N2205">
        <v>0</v>
      </c>
      <c r="O2205">
        <v>0</v>
      </c>
      <c r="P2205" t="s">
        <v>30</v>
      </c>
      <c r="Q2205" s="2">
        <v>0.7</v>
      </c>
      <c r="R2205">
        <v>0</v>
      </c>
      <c r="V2205" t="str">
        <f>VLOOKUP(H2205,'[1]팀별 출판사'!A:B,2,0)</f>
        <v>소설1팀</v>
      </c>
      <c r="W2205" s="6">
        <f t="shared" si="68"/>
        <v>0</v>
      </c>
      <c r="X2205" s="6">
        <f t="shared" si="69"/>
        <v>0</v>
      </c>
    </row>
    <row r="2206" spans="1:24" x14ac:dyDescent="0.3">
      <c r="A2206" t="s">
        <v>3195</v>
      </c>
      <c r="B2206" t="s">
        <v>3379</v>
      </c>
      <c r="C2206" t="s">
        <v>23</v>
      </c>
      <c r="D2206" t="s">
        <v>24</v>
      </c>
      <c r="E2206" t="s">
        <v>25</v>
      </c>
      <c r="F2206">
        <v>1</v>
      </c>
      <c r="G2206">
        <v>9791136905116</v>
      </c>
      <c r="H2206" t="s">
        <v>26</v>
      </c>
      <c r="I2206" t="s">
        <v>3380</v>
      </c>
      <c r="J2206" t="s">
        <v>3381</v>
      </c>
      <c r="K2206" t="s">
        <v>29</v>
      </c>
      <c r="L2206">
        <v>0</v>
      </c>
      <c r="M2206" t="s">
        <v>29</v>
      </c>
      <c r="N2206">
        <v>0</v>
      </c>
      <c r="O2206">
        <v>0</v>
      </c>
      <c r="P2206" t="s">
        <v>30</v>
      </c>
      <c r="Q2206" s="2">
        <v>0.7</v>
      </c>
      <c r="R2206">
        <v>0</v>
      </c>
      <c r="V2206" t="str">
        <f>VLOOKUP(H2206,'[1]팀별 출판사'!A:B,2,0)</f>
        <v>소설1팀</v>
      </c>
      <c r="W2206" s="6">
        <f t="shared" si="68"/>
        <v>0</v>
      </c>
      <c r="X2206" s="6">
        <f t="shared" si="69"/>
        <v>0</v>
      </c>
    </row>
    <row r="2207" spans="1:24" x14ac:dyDescent="0.3">
      <c r="A2207" t="s">
        <v>3195</v>
      </c>
      <c r="B2207" t="s">
        <v>3382</v>
      </c>
      <c r="C2207" t="s">
        <v>23</v>
      </c>
      <c r="D2207" t="s">
        <v>24</v>
      </c>
      <c r="E2207" t="s">
        <v>25</v>
      </c>
      <c r="F2207">
        <v>1</v>
      </c>
      <c r="G2207" t="s">
        <v>3383</v>
      </c>
      <c r="H2207" t="s">
        <v>1311</v>
      </c>
      <c r="I2207" t="s">
        <v>3384</v>
      </c>
      <c r="J2207" t="s">
        <v>2606</v>
      </c>
      <c r="K2207" t="s">
        <v>29</v>
      </c>
      <c r="L2207" s="1">
        <v>4000</v>
      </c>
      <c r="M2207" t="s">
        <v>29</v>
      </c>
      <c r="N2207" s="1">
        <v>4000</v>
      </c>
      <c r="O2207" s="1">
        <v>4000</v>
      </c>
      <c r="P2207" t="s">
        <v>30</v>
      </c>
      <c r="Q2207" s="2">
        <v>0.7</v>
      </c>
      <c r="R2207" s="1">
        <v>2800</v>
      </c>
      <c r="S2207" t="s">
        <v>29</v>
      </c>
      <c r="T2207" s="1">
        <v>2800</v>
      </c>
      <c r="V2207" t="str">
        <f>VLOOKUP(H2207,'[1]팀별 출판사'!A:B,2,0)</f>
        <v>소설2팀</v>
      </c>
      <c r="W2207" s="6">
        <f t="shared" si="68"/>
        <v>0</v>
      </c>
      <c r="X2207" s="6">
        <f t="shared" si="69"/>
        <v>2800</v>
      </c>
    </row>
    <row r="2208" spans="1:24" x14ac:dyDescent="0.3">
      <c r="A2208" t="s">
        <v>3195</v>
      </c>
      <c r="B2208" t="s">
        <v>3385</v>
      </c>
      <c r="C2208" t="s">
        <v>23</v>
      </c>
      <c r="D2208" t="s">
        <v>24</v>
      </c>
      <c r="E2208" t="s">
        <v>25</v>
      </c>
      <c r="F2208">
        <v>1</v>
      </c>
      <c r="G2208">
        <v>9791172921064</v>
      </c>
      <c r="H2208" t="s">
        <v>79</v>
      </c>
      <c r="I2208" t="s">
        <v>3386</v>
      </c>
      <c r="J2208" t="s">
        <v>46</v>
      </c>
      <c r="K2208" t="s">
        <v>29</v>
      </c>
      <c r="L2208" s="1">
        <v>3200</v>
      </c>
      <c r="M2208" t="s">
        <v>29</v>
      </c>
      <c r="N2208" s="1">
        <v>3200</v>
      </c>
      <c r="O2208" s="1">
        <v>3200</v>
      </c>
      <c r="P2208" t="s">
        <v>30</v>
      </c>
      <c r="Q2208" s="2">
        <v>0.7</v>
      </c>
      <c r="R2208" s="1">
        <v>2240</v>
      </c>
      <c r="S2208" t="s">
        <v>29</v>
      </c>
      <c r="T2208" s="1">
        <v>2240</v>
      </c>
      <c r="V2208" t="str">
        <f>VLOOKUP(H2208,'[1]팀별 출판사'!A:B,2,0)</f>
        <v>소설1팀</v>
      </c>
      <c r="W2208" s="6">
        <f t="shared" si="68"/>
        <v>0</v>
      </c>
      <c r="X2208" s="6">
        <f t="shared" si="69"/>
        <v>2240</v>
      </c>
    </row>
    <row r="2209" spans="1:24" x14ac:dyDescent="0.3">
      <c r="A2209" t="s">
        <v>3195</v>
      </c>
      <c r="B2209" t="s">
        <v>3387</v>
      </c>
      <c r="C2209" t="s">
        <v>23</v>
      </c>
      <c r="D2209" t="s">
        <v>24</v>
      </c>
      <c r="E2209" t="s">
        <v>25</v>
      </c>
      <c r="F2209">
        <v>1</v>
      </c>
      <c r="G2209">
        <v>9791173782930</v>
      </c>
      <c r="H2209" t="s">
        <v>26</v>
      </c>
      <c r="I2209" t="s">
        <v>3388</v>
      </c>
      <c r="J2209" t="s">
        <v>284</v>
      </c>
      <c r="K2209" t="s">
        <v>29</v>
      </c>
      <c r="L2209" s="1">
        <v>3200</v>
      </c>
      <c r="M2209" t="s">
        <v>29</v>
      </c>
      <c r="N2209" s="1">
        <v>3200</v>
      </c>
      <c r="O2209" s="1">
        <v>3200</v>
      </c>
      <c r="P2209" t="s">
        <v>30</v>
      </c>
      <c r="Q2209" s="2">
        <v>0.7</v>
      </c>
      <c r="R2209" s="1">
        <v>2240</v>
      </c>
      <c r="S2209" t="s">
        <v>29</v>
      </c>
      <c r="T2209" s="1">
        <v>2240</v>
      </c>
      <c r="V2209" t="str">
        <f>VLOOKUP(H2209,'[1]팀별 출판사'!A:B,2,0)</f>
        <v>소설1팀</v>
      </c>
      <c r="W2209" s="6">
        <f t="shared" si="68"/>
        <v>0</v>
      </c>
      <c r="X2209" s="6">
        <f t="shared" si="69"/>
        <v>2240</v>
      </c>
    </row>
    <row r="2210" spans="1:24" x14ac:dyDescent="0.3">
      <c r="A2210" t="s">
        <v>3195</v>
      </c>
      <c r="B2210" t="s">
        <v>3389</v>
      </c>
      <c r="C2210" t="s">
        <v>23</v>
      </c>
      <c r="D2210" t="s">
        <v>24</v>
      </c>
      <c r="E2210" t="s">
        <v>25</v>
      </c>
      <c r="F2210">
        <v>1</v>
      </c>
      <c r="G2210">
        <v>9791136930552</v>
      </c>
      <c r="H2210" t="s">
        <v>26</v>
      </c>
      <c r="I2210" t="s">
        <v>45</v>
      </c>
      <c r="J2210" t="s">
        <v>46</v>
      </c>
      <c r="K2210" t="s">
        <v>29</v>
      </c>
      <c r="L2210">
        <v>0</v>
      </c>
      <c r="M2210" t="s">
        <v>29</v>
      </c>
      <c r="N2210">
        <v>0</v>
      </c>
      <c r="O2210">
        <v>0</v>
      </c>
      <c r="P2210" t="s">
        <v>30</v>
      </c>
      <c r="Q2210" s="2">
        <v>0.7</v>
      </c>
      <c r="R2210">
        <v>0</v>
      </c>
      <c r="V2210" t="str">
        <f>VLOOKUP(H2210,'[1]팀별 출판사'!A:B,2,0)</f>
        <v>소설1팀</v>
      </c>
      <c r="W2210" s="6">
        <f t="shared" si="68"/>
        <v>0</v>
      </c>
      <c r="X2210" s="6">
        <f t="shared" si="69"/>
        <v>0</v>
      </c>
    </row>
    <row r="2211" spans="1:24" x14ac:dyDescent="0.3">
      <c r="A2211" t="s">
        <v>3390</v>
      </c>
      <c r="B2211" t="s">
        <v>3391</v>
      </c>
      <c r="C2211" t="s">
        <v>23</v>
      </c>
      <c r="D2211" t="s">
        <v>24</v>
      </c>
      <c r="E2211" t="s">
        <v>25</v>
      </c>
      <c r="F2211">
        <v>1</v>
      </c>
      <c r="G2211">
        <v>9791136926869</v>
      </c>
      <c r="H2211" t="s">
        <v>26</v>
      </c>
      <c r="I2211" t="s">
        <v>3392</v>
      </c>
      <c r="J2211" t="s">
        <v>62</v>
      </c>
      <c r="K2211" t="s">
        <v>29</v>
      </c>
      <c r="L2211" s="1">
        <v>3200</v>
      </c>
      <c r="M2211" t="s">
        <v>29</v>
      </c>
      <c r="N2211" s="1">
        <v>3200</v>
      </c>
      <c r="O2211" s="1">
        <v>3200</v>
      </c>
      <c r="P2211" t="s">
        <v>30</v>
      </c>
      <c r="Q2211" s="2">
        <v>0.7</v>
      </c>
      <c r="R2211" s="1">
        <v>2240</v>
      </c>
      <c r="S2211" t="s">
        <v>29</v>
      </c>
      <c r="T2211" s="1">
        <v>2240</v>
      </c>
      <c r="V2211" t="str">
        <f>VLOOKUP(H2211,'[1]팀별 출판사'!A:B,2,0)</f>
        <v>소설1팀</v>
      </c>
      <c r="W2211" s="6">
        <f t="shared" si="68"/>
        <v>0</v>
      </c>
      <c r="X2211" s="6">
        <f t="shared" si="69"/>
        <v>2240</v>
      </c>
    </row>
    <row r="2212" spans="1:24" x14ac:dyDescent="0.3">
      <c r="A2212" t="s">
        <v>3390</v>
      </c>
      <c r="B2212" t="s">
        <v>3393</v>
      </c>
      <c r="C2212" t="s">
        <v>23</v>
      </c>
      <c r="D2212" t="s">
        <v>24</v>
      </c>
      <c r="E2212" t="s">
        <v>25</v>
      </c>
      <c r="F2212">
        <v>1</v>
      </c>
      <c r="G2212">
        <v>9791136946775</v>
      </c>
      <c r="H2212" t="s">
        <v>26</v>
      </c>
      <c r="I2212" t="s">
        <v>238</v>
      </c>
      <c r="J2212" t="s">
        <v>28</v>
      </c>
      <c r="K2212" t="s">
        <v>29</v>
      </c>
      <c r="L2212">
        <v>0</v>
      </c>
      <c r="M2212" t="s">
        <v>29</v>
      </c>
      <c r="N2212">
        <v>0</v>
      </c>
      <c r="O2212">
        <v>0</v>
      </c>
      <c r="P2212" t="s">
        <v>30</v>
      </c>
      <c r="Q2212" s="2">
        <v>0.7</v>
      </c>
      <c r="R2212">
        <v>0</v>
      </c>
      <c r="V2212" t="str">
        <f>VLOOKUP(H2212,'[1]팀별 출판사'!A:B,2,0)</f>
        <v>소설1팀</v>
      </c>
      <c r="W2212" s="6">
        <f t="shared" si="68"/>
        <v>0</v>
      </c>
      <c r="X2212" s="6">
        <f t="shared" si="69"/>
        <v>0</v>
      </c>
    </row>
    <row r="2213" spans="1:24" x14ac:dyDescent="0.3">
      <c r="A2213" t="s">
        <v>3390</v>
      </c>
      <c r="B2213" t="s">
        <v>3394</v>
      </c>
      <c r="C2213" t="s">
        <v>23</v>
      </c>
      <c r="D2213" t="s">
        <v>24</v>
      </c>
      <c r="E2213" t="s">
        <v>25</v>
      </c>
      <c r="F2213">
        <v>1</v>
      </c>
      <c r="G2213">
        <v>9791133171422</v>
      </c>
      <c r="H2213" t="s">
        <v>26</v>
      </c>
      <c r="I2213" t="s">
        <v>2992</v>
      </c>
      <c r="J2213" t="s">
        <v>287</v>
      </c>
      <c r="K2213" t="s">
        <v>29</v>
      </c>
      <c r="L2213">
        <v>0</v>
      </c>
      <c r="M2213" t="s">
        <v>29</v>
      </c>
      <c r="N2213">
        <v>0</v>
      </c>
      <c r="O2213">
        <v>0</v>
      </c>
      <c r="P2213" t="s">
        <v>30</v>
      </c>
      <c r="Q2213" s="2">
        <v>0.7</v>
      </c>
      <c r="R2213">
        <v>0</v>
      </c>
      <c r="V2213" t="str">
        <f>VLOOKUP(H2213,'[1]팀별 출판사'!A:B,2,0)</f>
        <v>소설1팀</v>
      </c>
      <c r="W2213" s="6">
        <f t="shared" si="68"/>
        <v>0</v>
      </c>
      <c r="X2213" s="6">
        <f t="shared" si="69"/>
        <v>0</v>
      </c>
    </row>
    <row r="2214" spans="1:24" x14ac:dyDescent="0.3">
      <c r="A2214" t="s">
        <v>3390</v>
      </c>
      <c r="B2214" t="s">
        <v>3395</v>
      </c>
      <c r="C2214" t="s">
        <v>23</v>
      </c>
      <c r="D2214" t="s">
        <v>24</v>
      </c>
      <c r="E2214" t="s">
        <v>25</v>
      </c>
      <c r="F2214">
        <v>1</v>
      </c>
      <c r="G2214">
        <v>9791136927248</v>
      </c>
      <c r="H2214" t="s">
        <v>36</v>
      </c>
      <c r="I2214" t="s">
        <v>2320</v>
      </c>
      <c r="J2214" t="s">
        <v>38</v>
      </c>
      <c r="K2214" t="s">
        <v>29</v>
      </c>
      <c r="L2214" s="1">
        <v>3300</v>
      </c>
      <c r="M2214" t="s">
        <v>3396</v>
      </c>
      <c r="N2214" s="3">
        <v>1344.39</v>
      </c>
      <c r="O2214" s="3">
        <v>1158.96</v>
      </c>
      <c r="P2214" t="s">
        <v>3397</v>
      </c>
      <c r="Q2214" s="2">
        <v>0.7</v>
      </c>
      <c r="R2214">
        <v>811.27</v>
      </c>
      <c r="S2214" t="s">
        <v>29</v>
      </c>
      <c r="T2214" s="1">
        <v>2376</v>
      </c>
      <c r="U2214">
        <v>2.9370599999999998</v>
      </c>
      <c r="V2214" t="str">
        <f>VLOOKUP(H2214,'[1]팀별 출판사'!A:B,2,0)</f>
        <v>소설2팀</v>
      </c>
      <c r="W2214" s="6">
        <f t="shared" si="68"/>
        <v>0</v>
      </c>
      <c r="X2214" s="6">
        <f t="shared" si="69"/>
        <v>2376</v>
      </c>
    </row>
    <row r="2215" spans="1:24" x14ac:dyDescent="0.3">
      <c r="A2215" t="s">
        <v>3390</v>
      </c>
      <c r="B2215" t="s">
        <v>3398</v>
      </c>
      <c r="C2215" t="s">
        <v>23</v>
      </c>
      <c r="D2215" t="s">
        <v>24</v>
      </c>
      <c r="E2215" t="s">
        <v>25</v>
      </c>
      <c r="F2215">
        <v>1</v>
      </c>
      <c r="G2215">
        <v>9791136942821</v>
      </c>
      <c r="H2215" t="s">
        <v>26</v>
      </c>
      <c r="I2215" t="s">
        <v>2311</v>
      </c>
      <c r="J2215" t="s">
        <v>284</v>
      </c>
      <c r="K2215" t="s">
        <v>29</v>
      </c>
      <c r="L2215">
        <v>0</v>
      </c>
      <c r="M2215" t="s">
        <v>29</v>
      </c>
      <c r="N2215">
        <v>0</v>
      </c>
      <c r="O2215">
        <v>0</v>
      </c>
      <c r="P2215" t="s">
        <v>30</v>
      </c>
      <c r="Q2215" s="2">
        <v>0.7</v>
      </c>
      <c r="R2215">
        <v>0</v>
      </c>
      <c r="V2215" t="str">
        <f>VLOOKUP(H2215,'[1]팀별 출판사'!A:B,2,0)</f>
        <v>소설1팀</v>
      </c>
      <c r="W2215" s="6">
        <f t="shared" si="68"/>
        <v>0</v>
      </c>
      <c r="X2215" s="6">
        <f t="shared" si="69"/>
        <v>0</v>
      </c>
    </row>
    <row r="2216" spans="1:24" x14ac:dyDescent="0.3">
      <c r="A2216" t="s">
        <v>3390</v>
      </c>
      <c r="B2216" t="s">
        <v>3399</v>
      </c>
      <c r="C2216" t="s">
        <v>23</v>
      </c>
      <c r="D2216" t="s">
        <v>24</v>
      </c>
      <c r="E2216" t="s">
        <v>25</v>
      </c>
      <c r="F2216">
        <v>1</v>
      </c>
      <c r="G2216">
        <v>9791133152360</v>
      </c>
      <c r="H2216" t="s">
        <v>32</v>
      </c>
      <c r="I2216" t="s">
        <v>2961</v>
      </c>
      <c r="J2216" t="s">
        <v>1153</v>
      </c>
      <c r="K2216" t="s">
        <v>29</v>
      </c>
      <c r="L2216">
        <v>0</v>
      </c>
      <c r="M2216" t="s">
        <v>29</v>
      </c>
      <c r="N2216">
        <v>0</v>
      </c>
      <c r="O2216">
        <v>0</v>
      </c>
      <c r="P2216" t="s">
        <v>30</v>
      </c>
      <c r="Q2216" s="2">
        <v>0.7</v>
      </c>
      <c r="R2216">
        <v>0</v>
      </c>
      <c r="V2216" t="str">
        <f>VLOOKUP(H2216,'[1]팀별 출판사'!A:B,2,0)</f>
        <v>소설1팀</v>
      </c>
      <c r="W2216" s="6">
        <f t="shared" si="68"/>
        <v>0</v>
      </c>
      <c r="X2216" s="6">
        <f t="shared" si="69"/>
        <v>0</v>
      </c>
    </row>
    <row r="2217" spans="1:24" x14ac:dyDescent="0.3">
      <c r="A2217" t="s">
        <v>3390</v>
      </c>
      <c r="B2217" t="s">
        <v>3400</v>
      </c>
      <c r="C2217" t="s">
        <v>23</v>
      </c>
      <c r="D2217" t="s">
        <v>24</v>
      </c>
      <c r="E2217" t="s">
        <v>25</v>
      </c>
      <c r="F2217">
        <v>1</v>
      </c>
      <c r="G2217" t="s">
        <v>581</v>
      </c>
      <c r="H2217" t="s">
        <v>32</v>
      </c>
      <c r="I2217" t="s">
        <v>582</v>
      </c>
      <c r="J2217" t="s">
        <v>583</v>
      </c>
      <c r="K2217" t="s">
        <v>29</v>
      </c>
      <c r="L2217">
        <v>0</v>
      </c>
      <c r="M2217" t="s">
        <v>29</v>
      </c>
      <c r="N2217">
        <v>0</v>
      </c>
      <c r="O2217">
        <v>0</v>
      </c>
      <c r="P2217" t="s">
        <v>30</v>
      </c>
      <c r="Q2217" s="2">
        <v>0.7</v>
      </c>
      <c r="R2217">
        <v>0</v>
      </c>
      <c r="V2217" t="str">
        <f>VLOOKUP(H2217,'[1]팀별 출판사'!A:B,2,0)</f>
        <v>소설1팀</v>
      </c>
      <c r="W2217" s="6">
        <f t="shared" si="68"/>
        <v>0</v>
      </c>
      <c r="X2217" s="6">
        <f t="shared" si="69"/>
        <v>0</v>
      </c>
    </row>
    <row r="2218" spans="1:24" x14ac:dyDescent="0.3">
      <c r="A2218" t="s">
        <v>3390</v>
      </c>
      <c r="B2218" t="s">
        <v>3401</v>
      </c>
      <c r="C2218" t="s">
        <v>23</v>
      </c>
      <c r="D2218" t="s">
        <v>24</v>
      </c>
      <c r="E2218" t="s">
        <v>25</v>
      </c>
      <c r="F2218">
        <v>1</v>
      </c>
      <c r="G2218">
        <v>9791172924836</v>
      </c>
      <c r="H2218" t="s">
        <v>26</v>
      </c>
      <c r="I2218" t="s">
        <v>3402</v>
      </c>
      <c r="J2218" t="s">
        <v>300</v>
      </c>
      <c r="K2218" t="s">
        <v>29</v>
      </c>
      <c r="L2218">
        <v>0</v>
      </c>
      <c r="M2218" t="s">
        <v>29</v>
      </c>
      <c r="N2218">
        <v>0</v>
      </c>
      <c r="O2218">
        <v>0</v>
      </c>
      <c r="P2218" t="s">
        <v>30</v>
      </c>
      <c r="Q2218" s="2">
        <v>0.7</v>
      </c>
      <c r="R2218">
        <v>0</v>
      </c>
      <c r="V2218" t="str">
        <f>VLOOKUP(H2218,'[1]팀별 출판사'!A:B,2,0)</f>
        <v>소설1팀</v>
      </c>
      <c r="W2218" s="6">
        <f t="shared" si="68"/>
        <v>0</v>
      </c>
      <c r="X2218" s="6">
        <f t="shared" si="69"/>
        <v>0</v>
      </c>
    </row>
    <row r="2219" spans="1:24" x14ac:dyDescent="0.3">
      <c r="A2219" t="s">
        <v>3390</v>
      </c>
      <c r="B2219" t="s">
        <v>3403</v>
      </c>
      <c r="C2219" t="s">
        <v>23</v>
      </c>
      <c r="D2219" t="s">
        <v>24</v>
      </c>
      <c r="E2219" t="s">
        <v>25</v>
      </c>
      <c r="F2219">
        <v>1</v>
      </c>
      <c r="G2219">
        <v>9791136919403</v>
      </c>
      <c r="H2219" t="s">
        <v>26</v>
      </c>
      <c r="I2219" t="s">
        <v>1276</v>
      </c>
      <c r="J2219" t="s">
        <v>300</v>
      </c>
      <c r="K2219" t="s">
        <v>29</v>
      </c>
      <c r="L2219">
        <v>0</v>
      </c>
      <c r="M2219" t="s">
        <v>29</v>
      </c>
      <c r="N2219">
        <v>0</v>
      </c>
      <c r="O2219">
        <v>0</v>
      </c>
      <c r="P2219" t="s">
        <v>30</v>
      </c>
      <c r="Q2219" s="2">
        <v>0.7</v>
      </c>
      <c r="R2219">
        <v>0</v>
      </c>
      <c r="V2219" t="str">
        <f>VLOOKUP(H2219,'[1]팀별 출판사'!A:B,2,0)</f>
        <v>소설1팀</v>
      </c>
      <c r="W2219" s="6">
        <f t="shared" si="68"/>
        <v>0</v>
      </c>
      <c r="X2219" s="6">
        <f t="shared" si="69"/>
        <v>0</v>
      </c>
    </row>
    <row r="2220" spans="1:24" x14ac:dyDescent="0.3">
      <c r="A2220" t="s">
        <v>3390</v>
      </c>
      <c r="B2220" t="s">
        <v>3404</v>
      </c>
      <c r="C2220" t="s">
        <v>23</v>
      </c>
      <c r="D2220" t="s">
        <v>24</v>
      </c>
      <c r="E2220" t="s">
        <v>25</v>
      </c>
      <c r="F2220">
        <v>1</v>
      </c>
      <c r="G2220">
        <v>9791133149117</v>
      </c>
      <c r="H2220" t="s">
        <v>32</v>
      </c>
      <c r="I2220" t="s">
        <v>3405</v>
      </c>
      <c r="J2220" t="s">
        <v>284</v>
      </c>
      <c r="K2220" t="s">
        <v>29</v>
      </c>
      <c r="L2220">
        <v>0</v>
      </c>
      <c r="M2220" t="s">
        <v>29</v>
      </c>
      <c r="N2220">
        <v>0</v>
      </c>
      <c r="O2220">
        <v>0</v>
      </c>
      <c r="P2220" t="s">
        <v>30</v>
      </c>
      <c r="Q2220" s="2">
        <v>0.7</v>
      </c>
      <c r="R2220">
        <v>0</v>
      </c>
      <c r="V2220" t="str">
        <f>VLOOKUP(H2220,'[1]팀별 출판사'!A:B,2,0)</f>
        <v>소설1팀</v>
      </c>
      <c r="W2220" s="6">
        <f t="shared" si="68"/>
        <v>0</v>
      </c>
      <c r="X2220" s="6">
        <f t="shared" si="69"/>
        <v>0</v>
      </c>
    </row>
    <row r="2221" spans="1:24" x14ac:dyDescent="0.3">
      <c r="A2221" t="s">
        <v>3390</v>
      </c>
      <c r="B2221" t="s">
        <v>3406</v>
      </c>
      <c r="C2221" t="s">
        <v>23</v>
      </c>
      <c r="D2221" t="s">
        <v>24</v>
      </c>
      <c r="E2221" t="s">
        <v>25</v>
      </c>
      <c r="F2221">
        <v>1</v>
      </c>
      <c r="G2221">
        <v>9791133183609</v>
      </c>
      <c r="H2221" t="s">
        <v>26</v>
      </c>
      <c r="I2221" t="s">
        <v>1672</v>
      </c>
      <c r="J2221" t="s">
        <v>1245</v>
      </c>
      <c r="K2221" t="s">
        <v>29</v>
      </c>
      <c r="L2221">
        <v>0</v>
      </c>
      <c r="M2221" t="s">
        <v>29</v>
      </c>
      <c r="N2221">
        <v>0</v>
      </c>
      <c r="O2221">
        <v>0</v>
      </c>
      <c r="P2221" t="s">
        <v>30</v>
      </c>
      <c r="Q2221" s="2">
        <v>0.7</v>
      </c>
      <c r="R2221">
        <v>0</v>
      </c>
      <c r="V2221" t="str">
        <f>VLOOKUP(H2221,'[1]팀별 출판사'!A:B,2,0)</f>
        <v>소설1팀</v>
      </c>
      <c r="W2221" s="6">
        <f t="shared" si="68"/>
        <v>0</v>
      </c>
      <c r="X2221" s="6">
        <f t="shared" si="69"/>
        <v>0</v>
      </c>
    </row>
    <row r="2222" spans="1:24" x14ac:dyDescent="0.3">
      <c r="A2222" t="s">
        <v>3390</v>
      </c>
      <c r="B2222" t="s">
        <v>3407</v>
      </c>
      <c r="C2222" t="s">
        <v>23</v>
      </c>
      <c r="D2222" t="s">
        <v>24</v>
      </c>
      <c r="E2222" t="s">
        <v>25</v>
      </c>
      <c r="F2222">
        <v>1</v>
      </c>
      <c r="G2222">
        <v>9791136930491</v>
      </c>
      <c r="H2222" t="s">
        <v>26</v>
      </c>
      <c r="I2222" t="s">
        <v>151</v>
      </c>
      <c r="J2222" t="s">
        <v>46</v>
      </c>
      <c r="K2222" t="s">
        <v>29</v>
      </c>
      <c r="L2222">
        <v>0</v>
      </c>
      <c r="M2222" t="s">
        <v>152</v>
      </c>
      <c r="N2222">
        <v>0</v>
      </c>
      <c r="O2222">
        <v>0</v>
      </c>
      <c r="P2222" t="s">
        <v>153</v>
      </c>
      <c r="Q2222" s="2">
        <v>0.7</v>
      </c>
      <c r="R2222">
        <v>0</v>
      </c>
      <c r="V2222" t="str">
        <f>VLOOKUP(H2222,'[1]팀별 출판사'!A:B,2,0)</f>
        <v>소설1팀</v>
      </c>
      <c r="W2222" s="6">
        <f t="shared" si="68"/>
        <v>0</v>
      </c>
      <c r="X2222" s="6">
        <f t="shared" si="69"/>
        <v>0</v>
      </c>
    </row>
    <row r="2223" spans="1:24" x14ac:dyDescent="0.3">
      <c r="A2223" t="s">
        <v>3390</v>
      </c>
      <c r="B2223" t="s">
        <v>3408</v>
      </c>
      <c r="C2223" t="s">
        <v>23</v>
      </c>
      <c r="D2223" t="s">
        <v>24</v>
      </c>
      <c r="E2223" t="s">
        <v>25</v>
      </c>
      <c r="F2223">
        <v>1</v>
      </c>
      <c r="G2223">
        <v>9791136925961</v>
      </c>
      <c r="H2223" t="s">
        <v>26</v>
      </c>
      <c r="I2223" t="s">
        <v>2502</v>
      </c>
      <c r="J2223" t="s">
        <v>965</v>
      </c>
      <c r="K2223" t="s">
        <v>29</v>
      </c>
      <c r="L2223">
        <v>0</v>
      </c>
      <c r="M2223" t="s">
        <v>29</v>
      </c>
      <c r="N2223">
        <v>0</v>
      </c>
      <c r="O2223">
        <v>0</v>
      </c>
      <c r="P2223" t="s">
        <v>30</v>
      </c>
      <c r="Q2223" s="2">
        <v>0.7</v>
      </c>
      <c r="R2223">
        <v>0</v>
      </c>
      <c r="V2223" t="str">
        <f>VLOOKUP(H2223,'[1]팀별 출판사'!A:B,2,0)</f>
        <v>소설1팀</v>
      </c>
      <c r="W2223" s="6">
        <f t="shared" si="68"/>
        <v>0</v>
      </c>
      <c r="X2223" s="6">
        <f t="shared" si="69"/>
        <v>0</v>
      </c>
    </row>
    <row r="2224" spans="1:24" x14ac:dyDescent="0.3">
      <c r="A2224" t="s">
        <v>3390</v>
      </c>
      <c r="B2224" t="s">
        <v>3409</v>
      </c>
      <c r="C2224" t="s">
        <v>23</v>
      </c>
      <c r="D2224" t="s">
        <v>24</v>
      </c>
      <c r="E2224" t="s">
        <v>25</v>
      </c>
      <c r="F2224">
        <v>1</v>
      </c>
      <c r="G2224">
        <v>9791133144792</v>
      </c>
      <c r="H2224" t="s">
        <v>32</v>
      </c>
      <c r="I2224" t="s">
        <v>223</v>
      </c>
      <c r="J2224" t="s">
        <v>88</v>
      </c>
      <c r="K2224" t="s">
        <v>29</v>
      </c>
      <c r="L2224">
        <v>0</v>
      </c>
      <c r="M2224" t="s">
        <v>29</v>
      </c>
      <c r="N2224">
        <v>0</v>
      </c>
      <c r="O2224">
        <v>0</v>
      </c>
      <c r="P2224" t="s">
        <v>30</v>
      </c>
      <c r="Q2224" s="2">
        <v>0.7</v>
      </c>
      <c r="R2224">
        <v>0</v>
      </c>
      <c r="V2224" t="str">
        <f>VLOOKUP(H2224,'[1]팀별 출판사'!A:B,2,0)</f>
        <v>소설1팀</v>
      </c>
      <c r="W2224" s="6">
        <f t="shared" si="68"/>
        <v>0</v>
      </c>
      <c r="X2224" s="6">
        <f t="shared" si="69"/>
        <v>0</v>
      </c>
    </row>
    <row r="2225" spans="1:24" x14ac:dyDescent="0.3">
      <c r="A2225" t="s">
        <v>3390</v>
      </c>
      <c r="B2225" t="s">
        <v>3410</v>
      </c>
      <c r="C2225" t="s">
        <v>23</v>
      </c>
      <c r="D2225" t="s">
        <v>24</v>
      </c>
      <c r="E2225" t="s">
        <v>25</v>
      </c>
      <c r="F2225">
        <v>1</v>
      </c>
      <c r="G2225">
        <v>9791136946782</v>
      </c>
      <c r="H2225" t="s">
        <v>26</v>
      </c>
      <c r="I2225" t="s">
        <v>291</v>
      </c>
      <c r="J2225" t="s">
        <v>28</v>
      </c>
      <c r="K2225" t="s">
        <v>29</v>
      </c>
      <c r="L2225">
        <v>0</v>
      </c>
      <c r="M2225" t="s">
        <v>29</v>
      </c>
      <c r="N2225">
        <v>0</v>
      </c>
      <c r="O2225">
        <v>0</v>
      </c>
      <c r="P2225" t="s">
        <v>30</v>
      </c>
      <c r="Q2225" s="2">
        <v>0.7</v>
      </c>
      <c r="R2225">
        <v>0</v>
      </c>
      <c r="V2225" t="str">
        <f>VLOOKUP(H2225,'[1]팀별 출판사'!A:B,2,0)</f>
        <v>소설1팀</v>
      </c>
      <c r="W2225" s="6">
        <f t="shared" si="68"/>
        <v>0</v>
      </c>
      <c r="X2225" s="6">
        <f t="shared" si="69"/>
        <v>0</v>
      </c>
    </row>
    <row r="2226" spans="1:24" x14ac:dyDescent="0.3">
      <c r="A2226" t="s">
        <v>3390</v>
      </c>
      <c r="B2226" t="s">
        <v>3411</v>
      </c>
      <c r="C2226" t="s">
        <v>23</v>
      </c>
      <c r="D2226" t="s">
        <v>24</v>
      </c>
      <c r="E2226" t="s">
        <v>25</v>
      </c>
      <c r="F2226">
        <v>1</v>
      </c>
      <c r="G2226">
        <v>9791136946782</v>
      </c>
      <c r="H2226" t="s">
        <v>26</v>
      </c>
      <c r="I2226" t="s">
        <v>291</v>
      </c>
      <c r="J2226" t="s">
        <v>28</v>
      </c>
      <c r="K2226" t="s">
        <v>29</v>
      </c>
      <c r="L2226">
        <v>0</v>
      </c>
      <c r="M2226" t="s">
        <v>29</v>
      </c>
      <c r="N2226">
        <v>0</v>
      </c>
      <c r="O2226">
        <v>0</v>
      </c>
      <c r="P2226" t="s">
        <v>30</v>
      </c>
      <c r="Q2226" s="2">
        <v>0.7</v>
      </c>
      <c r="R2226">
        <v>0</v>
      </c>
      <c r="V2226" t="str">
        <f>VLOOKUP(H2226,'[1]팀별 출판사'!A:B,2,0)</f>
        <v>소설1팀</v>
      </c>
      <c r="W2226" s="6">
        <f t="shared" si="68"/>
        <v>0</v>
      </c>
      <c r="X2226" s="6">
        <f t="shared" si="69"/>
        <v>0</v>
      </c>
    </row>
    <row r="2227" spans="1:24" x14ac:dyDescent="0.3">
      <c r="A2227" t="s">
        <v>3390</v>
      </c>
      <c r="B2227" t="s">
        <v>3412</v>
      </c>
      <c r="C2227" t="s">
        <v>23</v>
      </c>
      <c r="D2227" t="s">
        <v>24</v>
      </c>
      <c r="E2227" t="s">
        <v>25</v>
      </c>
      <c r="F2227">
        <v>1</v>
      </c>
      <c r="G2227">
        <v>9791133186501</v>
      </c>
      <c r="H2227" t="s">
        <v>26</v>
      </c>
      <c r="I2227" t="s">
        <v>64</v>
      </c>
      <c r="J2227" t="s">
        <v>65</v>
      </c>
      <c r="K2227" t="s">
        <v>29</v>
      </c>
      <c r="L2227">
        <v>0</v>
      </c>
      <c r="M2227" t="s">
        <v>29</v>
      </c>
      <c r="N2227">
        <v>0</v>
      </c>
      <c r="O2227">
        <v>0</v>
      </c>
      <c r="P2227" t="s">
        <v>30</v>
      </c>
      <c r="Q2227" s="2">
        <v>0.7</v>
      </c>
      <c r="R2227">
        <v>0</v>
      </c>
      <c r="V2227" t="str">
        <f>VLOOKUP(H2227,'[1]팀별 출판사'!A:B,2,0)</f>
        <v>소설1팀</v>
      </c>
      <c r="W2227" s="6">
        <f t="shared" si="68"/>
        <v>0</v>
      </c>
      <c r="X2227" s="6">
        <f t="shared" si="69"/>
        <v>0</v>
      </c>
    </row>
    <row r="2228" spans="1:24" x14ac:dyDescent="0.3">
      <c r="A2228" t="s">
        <v>3390</v>
      </c>
      <c r="B2228" t="s">
        <v>3413</v>
      </c>
      <c r="C2228" t="s">
        <v>23</v>
      </c>
      <c r="D2228" t="s">
        <v>24</v>
      </c>
      <c r="E2228" t="s">
        <v>25</v>
      </c>
      <c r="F2228">
        <v>1</v>
      </c>
      <c r="G2228">
        <v>9791136905642</v>
      </c>
      <c r="H2228" t="s">
        <v>26</v>
      </c>
      <c r="I2228" t="s">
        <v>374</v>
      </c>
      <c r="J2228" t="s">
        <v>311</v>
      </c>
      <c r="K2228" t="s">
        <v>29</v>
      </c>
      <c r="L2228">
        <v>0</v>
      </c>
      <c r="M2228" t="s">
        <v>29</v>
      </c>
      <c r="N2228">
        <v>0</v>
      </c>
      <c r="O2228">
        <v>0</v>
      </c>
      <c r="P2228" t="s">
        <v>30</v>
      </c>
      <c r="Q2228" s="2">
        <v>0.7</v>
      </c>
      <c r="R2228">
        <v>0</v>
      </c>
      <c r="V2228" t="str">
        <f>VLOOKUP(H2228,'[1]팀별 출판사'!A:B,2,0)</f>
        <v>소설1팀</v>
      </c>
      <c r="W2228" s="6">
        <f t="shared" si="68"/>
        <v>0</v>
      </c>
      <c r="X2228" s="6">
        <f t="shared" si="69"/>
        <v>0</v>
      </c>
    </row>
    <row r="2229" spans="1:24" x14ac:dyDescent="0.3">
      <c r="A2229" t="s">
        <v>3390</v>
      </c>
      <c r="B2229" t="s">
        <v>3414</v>
      </c>
      <c r="C2229" t="s">
        <v>23</v>
      </c>
      <c r="D2229" t="s">
        <v>24</v>
      </c>
      <c r="E2229" t="s">
        <v>25</v>
      </c>
      <c r="F2229">
        <v>1</v>
      </c>
      <c r="G2229">
        <v>9791157532377</v>
      </c>
      <c r="H2229" t="s">
        <v>32</v>
      </c>
      <c r="I2229" t="s">
        <v>3415</v>
      </c>
      <c r="J2229" t="s">
        <v>112</v>
      </c>
      <c r="K2229" t="s">
        <v>29</v>
      </c>
      <c r="L2229" s="1">
        <v>3200</v>
      </c>
      <c r="M2229" t="s">
        <v>29</v>
      </c>
      <c r="N2229" s="1">
        <v>3200</v>
      </c>
      <c r="O2229" s="1">
        <v>3200</v>
      </c>
      <c r="P2229" t="s">
        <v>30</v>
      </c>
      <c r="Q2229" s="2">
        <v>0.7</v>
      </c>
      <c r="R2229" s="1">
        <v>2240</v>
      </c>
      <c r="S2229" t="s">
        <v>29</v>
      </c>
      <c r="T2229" s="1">
        <v>2240</v>
      </c>
      <c r="V2229" t="str">
        <f>VLOOKUP(H2229,'[1]팀별 출판사'!A:B,2,0)</f>
        <v>소설1팀</v>
      </c>
      <c r="W2229" s="6">
        <f t="shared" si="68"/>
        <v>0</v>
      </c>
      <c r="X2229" s="6">
        <f t="shared" si="69"/>
        <v>2240</v>
      </c>
    </row>
    <row r="2230" spans="1:24" x14ac:dyDescent="0.3">
      <c r="A2230" t="s">
        <v>3390</v>
      </c>
      <c r="B2230" t="s">
        <v>3416</v>
      </c>
      <c r="C2230" t="s">
        <v>23</v>
      </c>
      <c r="D2230" t="s">
        <v>24</v>
      </c>
      <c r="E2230" t="s">
        <v>25</v>
      </c>
      <c r="F2230">
        <v>1</v>
      </c>
      <c r="G2230" t="s">
        <v>2842</v>
      </c>
      <c r="H2230" t="s">
        <v>32</v>
      </c>
      <c r="I2230" t="s">
        <v>2843</v>
      </c>
      <c r="J2230" t="s">
        <v>166</v>
      </c>
      <c r="K2230" t="s">
        <v>29</v>
      </c>
      <c r="L2230">
        <v>0</v>
      </c>
      <c r="M2230" t="s">
        <v>29</v>
      </c>
      <c r="N2230">
        <v>0</v>
      </c>
      <c r="O2230">
        <v>0</v>
      </c>
      <c r="P2230" t="s">
        <v>30</v>
      </c>
      <c r="Q2230" s="2">
        <v>0.7</v>
      </c>
      <c r="R2230">
        <v>0</v>
      </c>
      <c r="V2230" t="str">
        <f>VLOOKUP(H2230,'[1]팀별 출판사'!A:B,2,0)</f>
        <v>소설1팀</v>
      </c>
      <c r="W2230" s="6">
        <f t="shared" si="68"/>
        <v>0</v>
      </c>
      <c r="X2230" s="6">
        <f t="shared" si="69"/>
        <v>0</v>
      </c>
    </row>
    <row r="2231" spans="1:24" x14ac:dyDescent="0.3">
      <c r="A2231" t="s">
        <v>3390</v>
      </c>
      <c r="B2231" t="s">
        <v>3417</v>
      </c>
      <c r="C2231" t="s">
        <v>23</v>
      </c>
      <c r="D2231" t="s">
        <v>24</v>
      </c>
      <c r="E2231" t="s">
        <v>25</v>
      </c>
      <c r="F2231">
        <v>1</v>
      </c>
      <c r="G2231">
        <v>9791170107064</v>
      </c>
      <c r="H2231" t="s">
        <v>67</v>
      </c>
      <c r="I2231" t="s">
        <v>901</v>
      </c>
      <c r="J2231" t="s">
        <v>902</v>
      </c>
      <c r="K2231" t="s">
        <v>29</v>
      </c>
      <c r="L2231">
        <v>0</v>
      </c>
      <c r="M2231" t="s">
        <v>193</v>
      </c>
      <c r="N2231">
        <v>0</v>
      </c>
      <c r="O2231">
        <v>0</v>
      </c>
      <c r="P2231" t="s">
        <v>194</v>
      </c>
      <c r="Q2231" s="2">
        <v>0.7</v>
      </c>
      <c r="R2231">
        <v>0</v>
      </c>
      <c r="V2231" t="str">
        <f>VLOOKUP(H2231,'[1]팀별 출판사'!A:B,2,0)</f>
        <v>소설1팀</v>
      </c>
      <c r="W2231" s="6">
        <f t="shared" si="68"/>
        <v>0</v>
      </c>
      <c r="X2231" s="6">
        <f t="shared" si="69"/>
        <v>0</v>
      </c>
    </row>
    <row r="2232" spans="1:24" x14ac:dyDescent="0.3">
      <c r="A2232" t="s">
        <v>3390</v>
      </c>
      <c r="B2232" t="s">
        <v>3418</v>
      </c>
      <c r="C2232" t="s">
        <v>23</v>
      </c>
      <c r="D2232" t="s">
        <v>24</v>
      </c>
      <c r="E2232" t="s">
        <v>25</v>
      </c>
      <c r="F2232">
        <v>1</v>
      </c>
      <c r="G2232">
        <v>9791136988133</v>
      </c>
      <c r="H2232" t="s">
        <v>26</v>
      </c>
      <c r="I2232" t="s">
        <v>614</v>
      </c>
      <c r="J2232" t="s">
        <v>28</v>
      </c>
      <c r="K2232" t="s">
        <v>29</v>
      </c>
      <c r="L2232">
        <v>0</v>
      </c>
      <c r="M2232" t="s">
        <v>29</v>
      </c>
      <c r="N2232">
        <v>0</v>
      </c>
      <c r="O2232">
        <v>0</v>
      </c>
      <c r="P2232" t="s">
        <v>30</v>
      </c>
      <c r="Q2232" s="2">
        <v>0.7</v>
      </c>
      <c r="R2232">
        <v>0</v>
      </c>
      <c r="V2232" t="str">
        <f>VLOOKUP(H2232,'[1]팀별 출판사'!A:B,2,0)</f>
        <v>소설1팀</v>
      </c>
      <c r="W2232" s="6">
        <f t="shared" si="68"/>
        <v>0</v>
      </c>
      <c r="X2232" s="6">
        <f t="shared" si="69"/>
        <v>0</v>
      </c>
    </row>
    <row r="2233" spans="1:24" x14ac:dyDescent="0.3">
      <c r="A2233" t="s">
        <v>3390</v>
      </c>
      <c r="B2233" t="s">
        <v>3419</v>
      </c>
      <c r="C2233" t="s">
        <v>23</v>
      </c>
      <c r="D2233" t="s">
        <v>24</v>
      </c>
      <c r="E2233" t="s">
        <v>25</v>
      </c>
      <c r="F2233">
        <v>1</v>
      </c>
      <c r="G2233" t="s">
        <v>1458</v>
      </c>
      <c r="H2233" t="s">
        <v>32</v>
      </c>
      <c r="I2233" t="s">
        <v>3420</v>
      </c>
      <c r="J2233" t="s">
        <v>166</v>
      </c>
      <c r="K2233" t="s">
        <v>29</v>
      </c>
      <c r="L2233">
        <v>0</v>
      </c>
      <c r="M2233" t="s">
        <v>1181</v>
      </c>
      <c r="N2233">
        <v>0</v>
      </c>
      <c r="O2233">
        <v>0</v>
      </c>
      <c r="P2233" t="s">
        <v>1182</v>
      </c>
      <c r="Q2233" s="2">
        <v>0.7</v>
      </c>
      <c r="R2233">
        <v>0</v>
      </c>
      <c r="V2233" t="str">
        <f>VLOOKUP(H2233,'[1]팀별 출판사'!A:B,2,0)</f>
        <v>소설1팀</v>
      </c>
      <c r="W2233" s="6">
        <f t="shared" si="68"/>
        <v>0</v>
      </c>
      <c r="X2233" s="6">
        <f t="shared" si="69"/>
        <v>0</v>
      </c>
    </row>
    <row r="2234" spans="1:24" x14ac:dyDescent="0.3">
      <c r="A2234" t="s">
        <v>3390</v>
      </c>
      <c r="B2234" t="s">
        <v>3421</v>
      </c>
      <c r="C2234" t="s">
        <v>23</v>
      </c>
      <c r="D2234" t="s">
        <v>24</v>
      </c>
      <c r="E2234" t="s">
        <v>25</v>
      </c>
      <c r="F2234">
        <v>1</v>
      </c>
      <c r="G2234">
        <v>9791136934925</v>
      </c>
      <c r="H2234" t="s">
        <v>32</v>
      </c>
      <c r="I2234" t="s">
        <v>385</v>
      </c>
      <c r="J2234" t="s">
        <v>126</v>
      </c>
      <c r="K2234" t="s">
        <v>29</v>
      </c>
      <c r="L2234">
        <v>0</v>
      </c>
      <c r="M2234" t="s">
        <v>47</v>
      </c>
      <c r="N2234">
        <v>0</v>
      </c>
      <c r="O2234">
        <v>0</v>
      </c>
      <c r="P2234" t="s">
        <v>48</v>
      </c>
      <c r="Q2234" s="2">
        <v>0.7</v>
      </c>
      <c r="R2234">
        <v>0</v>
      </c>
      <c r="V2234" t="str">
        <f>VLOOKUP(H2234,'[1]팀별 출판사'!A:B,2,0)</f>
        <v>소설1팀</v>
      </c>
      <c r="W2234" s="6">
        <f t="shared" si="68"/>
        <v>0</v>
      </c>
      <c r="X2234" s="6">
        <f t="shared" si="69"/>
        <v>0</v>
      </c>
    </row>
    <row r="2235" spans="1:24" x14ac:dyDescent="0.3">
      <c r="A2235" t="s">
        <v>3390</v>
      </c>
      <c r="B2235" t="s">
        <v>3422</v>
      </c>
      <c r="C2235" t="s">
        <v>23</v>
      </c>
      <c r="D2235" t="s">
        <v>24</v>
      </c>
      <c r="E2235" t="s">
        <v>25</v>
      </c>
      <c r="F2235">
        <v>1</v>
      </c>
      <c r="G2235">
        <v>9791136930224</v>
      </c>
      <c r="H2235" t="s">
        <v>32</v>
      </c>
      <c r="I2235" t="s">
        <v>172</v>
      </c>
      <c r="J2235" t="s">
        <v>46</v>
      </c>
      <c r="K2235" t="s">
        <v>29</v>
      </c>
      <c r="L2235">
        <v>0</v>
      </c>
      <c r="M2235" t="s">
        <v>29</v>
      </c>
      <c r="N2235">
        <v>0</v>
      </c>
      <c r="O2235">
        <v>0</v>
      </c>
      <c r="P2235" t="s">
        <v>30</v>
      </c>
      <c r="Q2235" s="2">
        <v>0.7</v>
      </c>
      <c r="R2235">
        <v>0</v>
      </c>
      <c r="V2235" t="str">
        <f>VLOOKUP(H2235,'[1]팀별 출판사'!A:B,2,0)</f>
        <v>소설1팀</v>
      </c>
      <c r="W2235" s="6">
        <f t="shared" si="68"/>
        <v>0</v>
      </c>
      <c r="X2235" s="6">
        <f t="shared" si="69"/>
        <v>0</v>
      </c>
    </row>
    <row r="2236" spans="1:24" x14ac:dyDescent="0.3">
      <c r="A2236" t="s">
        <v>3390</v>
      </c>
      <c r="B2236" t="s">
        <v>3423</v>
      </c>
      <c r="C2236" t="s">
        <v>23</v>
      </c>
      <c r="D2236" t="s">
        <v>24</v>
      </c>
      <c r="E2236" t="s">
        <v>25</v>
      </c>
      <c r="F2236">
        <v>1</v>
      </c>
      <c r="G2236">
        <v>9791172929800</v>
      </c>
      <c r="H2236" t="s">
        <v>79</v>
      </c>
      <c r="I2236" t="s">
        <v>3424</v>
      </c>
      <c r="J2236" t="s">
        <v>3425</v>
      </c>
      <c r="K2236" t="s">
        <v>29</v>
      </c>
      <c r="L2236">
        <v>0</v>
      </c>
      <c r="M2236" t="s">
        <v>3426</v>
      </c>
      <c r="N2236">
        <v>0</v>
      </c>
      <c r="O2236">
        <v>0</v>
      </c>
      <c r="P2236" t="s">
        <v>3427</v>
      </c>
      <c r="Q2236" s="2">
        <v>0.7</v>
      </c>
      <c r="R2236">
        <v>0</v>
      </c>
      <c r="V2236" t="str">
        <f>VLOOKUP(H2236,'[1]팀별 출판사'!A:B,2,0)</f>
        <v>소설1팀</v>
      </c>
      <c r="W2236" s="6">
        <f t="shared" si="68"/>
        <v>0</v>
      </c>
      <c r="X2236" s="6">
        <f t="shared" si="69"/>
        <v>0</v>
      </c>
    </row>
    <row r="2237" spans="1:24" x14ac:dyDescent="0.3">
      <c r="A2237" t="s">
        <v>3390</v>
      </c>
      <c r="B2237" t="s">
        <v>3428</v>
      </c>
      <c r="C2237" t="s">
        <v>23</v>
      </c>
      <c r="D2237" t="s">
        <v>24</v>
      </c>
      <c r="E2237" t="s">
        <v>25</v>
      </c>
      <c r="F2237">
        <v>1</v>
      </c>
      <c r="G2237" t="s">
        <v>3429</v>
      </c>
      <c r="H2237" t="s">
        <v>32</v>
      </c>
      <c r="I2237" t="s">
        <v>3430</v>
      </c>
      <c r="J2237" t="s">
        <v>3431</v>
      </c>
      <c r="K2237" t="s">
        <v>29</v>
      </c>
      <c r="L2237">
        <v>0</v>
      </c>
      <c r="M2237" t="s">
        <v>29</v>
      </c>
      <c r="N2237">
        <v>0</v>
      </c>
      <c r="O2237">
        <v>0</v>
      </c>
      <c r="P2237" t="s">
        <v>30</v>
      </c>
      <c r="Q2237" s="2">
        <v>0.7</v>
      </c>
      <c r="R2237">
        <v>0</v>
      </c>
      <c r="V2237" t="str">
        <f>VLOOKUP(H2237,'[1]팀별 출판사'!A:B,2,0)</f>
        <v>소설1팀</v>
      </c>
      <c r="W2237" s="6">
        <f t="shared" si="68"/>
        <v>0</v>
      </c>
      <c r="X2237" s="6">
        <f t="shared" si="69"/>
        <v>0</v>
      </c>
    </row>
    <row r="2238" spans="1:24" x14ac:dyDescent="0.3">
      <c r="A2238" t="s">
        <v>3390</v>
      </c>
      <c r="B2238" t="s">
        <v>3432</v>
      </c>
      <c r="C2238" t="s">
        <v>23</v>
      </c>
      <c r="D2238" t="s">
        <v>24</v>
      </c>
      <c r="E2238" t="s">
        <v>25</v>
      </c>
      <c r="F2238">
        <v>1</v>
      </c>
      <c r="G2238">
        <v>9791133186501</v>
      </c>
      <c r="H2238" t="s">
        <v>26</v>
      </c>
      <c r="I2238" t="s">
        <v>64</v>
      </c>
      <c r="J2238" t="s">
        <v>65</v>
      </c>
      <c r="K2238" t="s">
        <v>29</v>
      </c>
      <c r="L2238">
        <v>0</v>
      </c>
      <c r="M2238" t="s">
        <v>29</v>
      </c>
      <c r="N2238">
        <v>0</v>
      </c>
      <c r="O2238">
        <v>0</v>
      </c>
      <c r="P2238" t="s">
        <v>30</v>
      </c>
      <c r="Q2238" s="2">
        <v>0.7</v>
      </c>
      <c r="R2238">
        <v>0</v>
      </c>
      <c r="V2238" t="str">
        <f>VLOOKUP(H2238,'[1]팀별 출판사'!A:B,2,0)</f>
        <v>소설1팀</v>
      </c>
      <c r="W2238" s="6">
        <f t="shared" si="68"/>
        <v>0</v>
      </c>
      <c r="X2238" s="6">
        <f t="shared" si="69"/>
        <v>0</v>
      </c>
    </row>
    <row r="2239" spans="1:24" x14ac:dyDescent="0.3">
      <c r="A2239" t="s">
        <v>3390</v>
      </c>
      <c r="B2239" t="s">
        <v>3433</v>
      </c>
      <c r="C2239" t="s">
        <v>23</v>
      </c>
      <c r="D2239" t="s">
        <v>24</v>
      </c>
      <c r="E2239" t="s">
        <v>25</v>
      </c>
      <c r="F2239">
        <v>1</v>
      </c>
      <c r="G2239">
        <v>9791133106134</v>
      </c>
      <c r="H2239" t="s">
        <v>32</v>
      </c>
      <c r="I2239" t="s">
        <v>3434</v>
      </c>
      <c r="J2239" t="s">
        <v>160</v>
      </c>
      <c r="K2239" t="s">
        <v>29</v>
      </c>
      <c r="L2239" s="1">
        <v>3200</v>
      </c>
      <c r="M2239" t="s">
        <v>29</v>
      </c>
      <c r="N2239" s="1">
        <v>3200</v>
      </c>
      <c r="O2239" s="1">
        <v>3200</v>
      </c>
      <c r="P2239" t="s">
        <v>30</v>
      </c>
      <c r="Q2239" s="2">
        <v>0.7</v>
      </c>
      <c r="R2239" s="1">
        <v>2240</v>
      </c>
      <c r="S2239" t="s">
        <v>29</v>
      </c>
      <c r="T2239" s="1">
        <v>2240</v>
      </c>
      <c r="V2239" t="str">
        <f>VLOOKUP(H2239,'[1]팀별 출판사'!A:B,2,0)</f>
        <v>소설1팀</v>
      </c>
      <c r="W2239" s="6">
        <f t="shared" si="68"/>
        <v>0</v>
      </c>
      <c r="X2239" s="6">
        <f t="shared" si="69"/>
        <v>2240</v>
      </c>
    </row>
    <row r="2240" spans="1:24" x14ac:dyDescent="0.3">
      <c r="A2240" t="s">
        <v>3390</v>
      </c>
      <c r="B2240" t="s">
        <v>3435</v>
      </c>
      <c r="C2240" t="s">
        <v>23</v>
      </c>
      <c r="D2240" t="s">
        <v>24</v>
      </c>
      <c r="E2240" t="s">
        <v>25</v>
      </c>
      <c r="F2240">
        <v>1</v>
      </c>
      <c r="G2240">
        <v>9791136930552</v>
      </c>
      <c r="H2240" t="s">
        <v>26</v>
      </c>
      <c r="I2240" t="s">
        <v>45</v>
      </c>
      <c r="J2240" t="s">
        <v>46</v>
      </c>
      <c r="K2240" t="s">
        <v>29</v>
      </c>
      <c r="L2240">
        <v>0</v>
      </c>
      <c r="M2240" t="s">
        <v>47</v>
      </c>
      <c r="N2240">
        <v>0</v>
      </c>
      <c r="O2240">
        <v>0</v>
      </c>
      <c r="P2240" t="s">
        <v>48</v>
      </c>
      <c r="Q2240" s="2">
        <v>0.7</v>
      </c>
      <c r="R2240">
        <v>0</v>
      </c>
      <c r="V2240" t="str">
        <f>VLOOKUP(H2240,'[1]팀별 출판사'!A:B,2,0)</f>
        <v>소설1팀</v>
      </c>
      <c r="W2240" s="6">
        <f t="shared" si="68"/>
        <v>0</v>
      </c>
      <c r="X2240" s="6">
        <f t="shared" si="69"/>
        <v>0</v>
      </c>
    </row>
    <row r="2241" spans="1:24" x14ac:dyDescent="0.3">
      <c r="A2241" t="s">
        <v>3390</v>
      </c>
      <c r="B2241" t="s">
        <v>3436</v>
      </c>
      <c r="C2241" t="s">
        <v>23</v>
      </c>
      <c r="D2241" t="s">
        <v>24</v>
      </c>
      <c r="E2241" t="s">
        <v>25</v>
      </c>
      <c r="F2241">
        <v>1</v>
      </c>
      <c r="G2241">
        <v>9791136931382</v>
      </c>
      <c r="H2241" t="s">
        <v>32</v>
      </c>
      <c r="I2241" t="s">
        <v>523</v>
      </c>
      <c r="J2241" t="s">
        <v>46</v>
      </c>
      <c r="K2241" t="s">
        <v>29</v>
      </c>
      <c r="L2241">
        <v>0</v>
      </c>
      <c r="M2241" t="s">
        <v>47</v>
      </c>
      <c r="N2241">
        <v>0</v>
      </c>
      <c r="O2241">
        <v>0</v>
      </c>
      <c r="P2241" t="s">
        <v>48</v>
      </c>
      <c r="Q2241" s="2">
        <v>0.7</v>
      </c>
      <c r="R2241">
        <v>0</v>
      </c>
      <c r="V2241" t="str">
        <f>VLOOKUP(H2241,'[1]팀별 출판사'!A:B,2,0)</f>
        <v>소설1팀</v>
      </c>
      <c r="W2241" s="6">
        <f t="shared" si="68"/>
        <v>0</v>
      </c>
      <c r="X2241" s="6">
        <f t="shared" si="69"/>
        <v>0</v>
      </c>
    </row>
    <row r="2242" spans="1:24" x14ac:dyDescent="0.3">
      <c r="A2242" t="s">
        <v>3390</v>
      </c>
      <c r="B2242" t="s">
        <v>3437</v>
      </c>
      <c r="C2242" t="s">
        <v>23</v>
      </c>
      <c r="D2242" t="s">
        <v>24</v>
      </c>
      <c r="E2242" t="s">
        <v>25</v>
      </c>
      <c r="F2242">
        <v>1</v>
      </c>
      <c r="G2242">
        <v>9791136911490</v>
      </c>
      <c r="H2242" t="s">
        <v>26</v>
      </c>
      <c r="I2242" t="s">
        <v>3438</v>
      </c>
      <c r="J2242" t="s">
        <v>1029</v>
      </c>
      <c r="K2242" t="s">
        <v>29</v>
      </c>
      <c r="L2242" s="1">
        <v>3200</v>
      </c>
      <c r="M2242" t="s">
        <v>29</v>
      </c>
      <c r="N2242" s="1">
        <v>3200</v>
      </c>
      <c r="O2242" s="1">
        <v>3200</v>
      </c>
      <c r="P2242" t="s">
        <v>30</v>
      </c>
      <c r="Q2242" s="2">
        <v>0.7</v>
      </c>
      <c r="R2242" s="1">
        <v>2240</v>
      </c>
      <c r="S2242" t="s">
        <v>29</v>
      </c>
      <c r="T2242" s="1">
        <v>2240</v>
      </c>
      <c r="V2242" t="str">
        <f>VLOOKUP(H2242,'[1]팀별 출판사'!A:B,2,0)</f>
        <v>소설1팀</v>
      </c>
      <c r="W2242" s="6">
        <f t="shared" ref="W2242:W2305" si="70">IF(P2242="US", T2242*30%, 0)</f>
        <v>0</v>
      </c>
      <c r="X2242" s="6">
        <f t="shared" ref="X2242:X2305" si="71">T2242-W2242</f>
        <v>2240</v>
      </c>
    </row>
    <row r="2243" spans="1:24" x14ac:dyDescent="0.3">
      <c r="A2243" t="s">
        <v>3390</v>
      </c>
      <c r="B2243" t="s">
        <v>3439</v>
      </c>
      <c r="C2243" t="s">
        <v>23</v>
      </c>
      <c r="D2243" t="s">
        <v>24</v>
      </c>
      <c r="E2243" t="s">
        <v>25</v>
      </c>
      <c r="F2243">
        <v>1</v>
      </c>
      <c r="G2243">
        <v>9791136988324</v>
      </c>
      <c r="H2243" t="s">
        <v>26</v>
      </c>
      <c r="I2243" t="s">
        <v>2611</v>
      </c>
      <c r="J2243" t="s">
        <v>28</v>
      </c>
      <c r="K2243" t="s">
        <v>29</v>
      </c>
      <c r="L2243" s="1">
        <v>3200</v>
      </c>
      <c r="M2243" t="s">
        <v>29</v>
      </c>
      <c r="N2243" s="1">
        <v>3200</v>
      </c>
      <c r="O2243" s="1">
        <v>3200</v>
      </c>
      <c r="P2243" t="s">
        <v>30</v>
      </c>
      <c r="Q2243" s="2">
        <v>0.7</v>
      </c>
      <c r="R2243" s="1">
        <v>2240</v>
      </c>
      <c r="S2243" t="s">
        <v>29</v>
      </c>
      <c r="T2243" s="1">
        <v>2240</v>
      </c>
      <c r="V2243" t="str">
        <f>VLOOKUP(H2243,'[1]팀별 출판사'!A:B,2,0)</f>
        <v>소설1팀</v>
      </c>
      <c r="W2243" s="6">
        <f t="shared" si="70"/>
        <v>0</v>
      </c>
      <c r="X2243" s="6">
        <f t="shared" si="71"/>
        <v>2240</v>
      </c>
    </row>
    <row r="2244" spans="1:24" x14ac:dyDescent="0.3">
      <c r="A2244" t="s">
        <v>3390</v>
      </c>
      <c r="B2244" t="s">
        <v>3440</v>
      </c>
      <c r="C2244" t="s">
        <v>23</v>
      </c>
      <c r="D2244" t="s">
        <v>24</v>
      </c>
      <c r="E2244" t="s">
        <v>25</v>
      </c>
      <c r="F2244">
        <v>1</v>
      </c>
      <c r="G2244">
        <v>9791133181810</v>
      </c>
      <c r="H2244" t="s">
        <v>32</v>
      </c>
      <c r="I2244" t="s">
        <v>317</v>
      </c>
      <c r="J2244" t="s">
        <v>318</v>
      </c>
      <c r="K2244" t="s">
        <v>29</v>
      </c>
      <c r="L2244">
        <v>0</v>
      </c>
      <c r="M2244" t="s">
        <v>29</v>
      </c>
      <c r="N2244">
        <v>0</v>
      </c>
      <c r="O2244">
        <v>0</v>
      </c>
      <c r="P2244" t="s">
        <v>30</v>
      </c>
      <c r="Q2244" s="2">
        <v>0.7</v>
      </c>
      <c r="R2244">
        <v>0</v>
      </c>
      <c r="V2244" t="str">
        <f>VLOOKUP(H2244,'[1]팀별 출판사'!A:B,2,0)</f>
        <v>소설1팀</v>
      </c>
      <c r="W2244" s="6">
        <f t="shared" si="70"/>
        <v>0</v>
      </c>
      <c r="X2244" s="6">
        <f t="shared" si="71"/>
        <v>0</v>
      </c>
    </row>
    <row r="2245" spans="1:24" x14ac:dyDescent="0.3">
      <c r="A2245" t="s">
        <v>3390</v>
      </c>
      <c r="B2245" t="s">
        <v>3441</v>
      </c>
      <c r="C2245" t="s">
        <v>23</v>
      </c>
      <c r="D2245" t="s">
        <v>24</v>
      </c>
      <c r="E2245" t="s">
        <v>25</v>
      </c>
      <c r="F2245">
        <v>1</v>
      </c>
      <c r="G2245">
        <v>9791136943729</v>
      </c>
      <c r="H2245" t="s">
        <v>26</v>
      </c>
      <c r="I2245" t="s">
        <v>1301</v>
      </c>
      <c r="J2245" t="s">
        <v>1302</v>
      </c>
      <c r="K2245" t="s">
        <v>29</v>
      </c>
      <c r="L2245">
        <v>0</v>
      </c>
      <c r="M2245" t="s">
        <v>29</v>
      </c>
      <c r="N2245">
        <v>0</v>
      </c>
      <c r="O2245">
        <v>0</v>
      </c>
      <c r="P2245" t="s">
        <v>30</v>
      </c>
      <c r="Q2245" s="2">
        <v>0.7</v>
      </c>
      <c r="R2245">
        <v>0</v>
      </c>
      <c r="V2245" t="str">
        <f>VLOOKUP(H2245,'[1]팀별 출판사'!A:B,2,0)</f>
        <v>소설1팀</v>
      </c>
      <c r="W2245" s="6">
        <f t="shared" si="70"/>
        <v>0</v>
      </c>
      <c r="X2245" s="6">
        <f t="shared" si="71"/>
        <v>0</v>
      </c>
    </row>
    <row r="2246" spans="1:24" x14ac:dyDescent="0.3">
      <c r="A2246" t="s">
        <v>3390</v>
      </c>
      <c r="B2246" t="s">
        <v>3442</v>
      </c>
      <c r="C2246" t="s">
        <v>23</v>
      </c>
      <c r="D2246" t="s">
        <v>24</v>
      </c>
      <c r="E2246" t="s">
        <v>25</v>
      </c>
      <c r="F2246">
        <v>1</v>
      </c>
      <c r="G2246">
        <v>9791175300651</v>
      </c>
      <c r="H2246" t="s">
        <v>26</v>
      </c>
      <c r="I2246" t="s">
        <v>1090</v>
      </c>
      <c r="J2246" t="s">
        <v>256</v>
      </c>
      <c r="K2246" t="s">
        <v>29</v>
      </c>
      <c r="L2246">
        <v>0</v>
      </c>
      <c r="M2246" t="s">
        <v>29</v>
      </c>
      <c r="N2246">
        <v>0</v>
      </c>
      <c r="O2246">
        <v>0</v>
      </c>
      <c r="P2246" t="s">
        <v>30</v>
      </c>
      <c r="Q2246" s="2">
        <v>0.7</v>
      </c>
      <c r="R2246">
        <v>0</v>
      </c>
      <c r="V2246" t="str">
        <f>VLOOKUP(H2246,'[1]팀별 출판사'!A:B,2,0)</f>
        <v>소설1팀</v>
      </c>
      <c r="W2246" s="6">
        <f t="shared" si="70"/>
        <v>0</v>
      </c>
      <c r="X2246" s="6">
        <f t="shared" si="71"/>
        <v>0</v>
      </c>
    </row>
    <row r="2247" spans="1:24" x14ac:dyDescent="0.3">
      <c r="A2247" t="s">
        <v>3390</v>
      </c>
      <c r="B2247" t="s">
        <v>3443</v>
      </c>
      <c r="C2247" t="s">
        <v>23</v>
      </c>
      <c r="D2247" t="s">
        <v>24</v>
      </c>
      <c r="E2247" t="s">
        <v>25</v>
      </c>
      <c r="F2247">
        <v>1</v>
      </c>
      <c r="G2247">
        <v>9791133169290</v>
      </c>
      <c r="H2247" t="s">
        <v>32</v>
      </c>
      <c r="I2247" t="s">
        <v>671</v>
      </c>
      <c r="J2247" t="s">
        <v>160</v>
      </c>
      <c r="K2247" t="s">
        <v>29</v>
      </c>
      <c r="L2247">
        <v>0</v>
      </c>
      <c r="M2247" t="s">
        <v>29</v>
      </c>
      <c r="N2247">
        <v>0</v>
      </c>
      <c r="O2247">
        <v>0</v>
      </c>
      <c r="P2247" t="s">
        <v>30</v>
      </c>
      <c r="Q2247" s="2">
        <v>0.7</v>
      </c>
      <c r="R2247">
        <v>0</v>
      </c>
      <c r="V2247" t="str">
        <f>VLOOKUP(H2247,'[1]팀별 출판사'!A:B,2,0)</f>
        <v>소설1팀</v>
      </c>
      <c r="W2247" s="6">
        <f t="shared" si="70"/>
        <v>0</v>
      </c>
      <c r="X2247" s="6">
        <f t="shared" si="71"/>
        <v>0</v>
      </c>
    </row>
    <row r="2248" spans="1:24" x14ac:dyDescent="0.3">
      <c r="A2248" t="s">
        <v>3390</v>
      </c>
      <c r="B2248" t="s">
        <v>3444</v>
      </c>
      <c r="C2248" t="s">
        <v>23</v>
      </c>
      <c r="D2248" t="s">
        <v>24</v>
      </c>
      <c r="E2248" t="s">
        <v>25</v>
      </c>
      <c r="F2248">
        <v>1</v>
      </c>
      <c r="G2248">
        <v>9791136930361</v>
      </c>
      <c r="H2248" t="s">
        <v>32</v>
      </c>
      <c r="I2248" t="s">
        <v>33</v>
      </c>
      <c r="J2248" t="s">
        <v>34</v>
      </c>
      <c r="K2248" t="s">
        <v>29</v>
      </c>
      <c r="L2248">
        <v>0</v>
      </c>
      <c r="M2248" t="s">
        <v>29</v>
      </c>
      <c r="N2248">
        <v>0</v>
      </c>
      <c r="O2248">
        <v>0</v>
      </c>
      <c r="P2248" t="s">
        <v>30</v>
      </c>
      <c r="Q2248" s="2">
        <v>0.7</v>
      </c>
      <c r="R2248">
        <v>0</v>
      </c>
      <c r="V2248" t="str">
        <f>VLOOKUP(H2248,'[1]팀별 출판사'!A:B,2,0)</f>
        <v>소설1팀</v>
      </c>
      <c r="W2248" s="6">
        <f t="shared" si="70"/>
        <v>0</v>
      </c>
      <c r="X2248" s="6">
        <f t="shared" si="71"/>
        <v>0</v>
      </c>
    </row>
    <row r="2249" spans="1:24" x14ac:dyDescent="0.3">
      <c r="A2249" t="s">
        <v>3390</v>
      </c>
      <c r="B2249" t="s">
        <v>3445</v>
      </c>
      <c r="C2249" t="s">
        <v>23</v>
      </c>
      <c r="D2249" t="s">
        <v>24</v>
      </c>
      <c r="E2249" t="s">
        <v>25</v>
      </c>
      <c r="F2249">
        <v>1</v>
      </c>
      <c r="G2249">
        <v>9791157532384</v>
      </c>
      <c r="H2249" t="s">
        <v>32</v>
      </c>
      <c r="I2249" t="s">
        <v>3446</v>
      </c>
      <c r="J2249" t="s">
        <v>112</v>
      </c>
      <c r="K2249" t="s">
        <v>29</v>
      </c>
      <c r="L2249" s="1">
        <v>3200</v>
      </c>
      <c r="M2249" t="s">
        <v>29</v>
      </c>
      <c r="N2249" s="1">
        <v>3200</v>
      </c>
      <c r="O2249" s="1">
        <v>3200</v>
      </c>
      <c r="P2249" t="s">
        <v>30</v>
      </c>
      <c r="Q2249" s="2">
        <v>0.7</v>
      </c>
      <c r="R2249" s="1">
        <v>2240</v>
      </c>
      <c r="S2249" t="s">
        <v>29</v>
      </c>
      <c r="T2249" s="1">
        <v>2240</v>
      </c>
      <c r="V2249" t="str">
        <f>VLOOKUP(H2249,'[1]팀별 출판사'!A:B,2,0)</f>
        <v>소설1팀</v>
      </c>
      <c r="W2249" s="6">
        <f t="shared" si="70"/>
        <v>0</v>
      </c>
      <c r="X2249" s="6">
        <f t="shared" si="71"/>
        <v>2240</v>
      </c>
    </row>
    <row r="2250" spans="1:24" x14ac:dyDescent="0.3">
      <c r="A2250" t="s">
        <v>3390</v>
      </c>
      <c r="B2250" t="s">
        <v>3447</v>
      </c>
      <c r="C2250" t="s">
        <v>23</v>
      </c>
      <c r="D2250" t="s">
        <v>24</v>
      </c>
      <c r="E2250" t="s">
        <v>25</v>
      </c>
      <c r="F2250">
        <v>1</v>
      </c>
      <c r="G2250">
        <v>9791136958716</v>
      </c>
      <c r="H2250" t="s">
        <v>79</v>
      </c>
      <c r="I2250" t="s">
        <v>2276</v>
      </c>
      <c r="J2250" t="s">
        <v>81</v>
      </c>
      <c r="K2250" t="s">
        <v>29</v>
      </c>
      <c r="L2250" s="1">
        <v>3200</v>
      </c>
      <c r="M2250" t="s">
        <v>29</v>
      </c>
      <c r="N2250" s="1">
        <v>3200</v>
      </c>
      <c r="O2250" s="1">
        <v>3200</v>
      </c>
      <c r="P2250" t="s">
        <v>30</v>
      </c>
      <c r="Q2250" s="2">
        <v>0.7</v>
      </c>
      <c r="R2250" s="1">
        <v>2240</v>
      </c>
      <c r="S2250" t="s">
        <v>29</v>
      </c>
      <c r="T2250" s="1">
        <v>2240</v>
      </c>
      <c r="V2250" t="str">
        <f>VLOOKUP(H2250,'[1]팀별 출판사'!A:B,2,0)</f>
        <v>소설1팀</v>
      </c>
      <c r="W2250" s="6">
        <f t="shared" si="70"/>
        <v>0</v>
      </c>
      <c r="X2250" s="6">
        <f t="shared" si="71"/>
        <v>2240</v>
      </c>
    </row>
    <row r="2251" spans="1:24" x14ac:dyDescent="0.3">
      <c r="A2251" t="s">
        <v>3390</v>
      </c>
      <c r="B2251" t="s">
        <v>3448</v>
      </c>
      <c r="C2251" t="s">
        <v>23</v>
      </c>
      <c r="D2251" t="s">
        <v>24</v>
      </c>
      <c r="E2251" t="s">
        <v>25</v>
      </c>
      <c r="F2251">
        <v>1</v>
      </c>
      <c r="G2251">
        <v>9791136910981</v>
      </c>
      <c r="H2251" t="s">
        <v>32</v>
      </c>
      <c r="I2251" t="s">
        <v>752</v>
      </c>
      <c r="J2251" t="s">
        <v>160</v>
      </c>
      <c r="K2251" t="s">
        <v>29</v>
      </c>
      <c r="L2251">
        <v>0</v>
      </c>
      <c r="M2251" t="s">
        <v>29</v>
      </c>
      <c r="N2251">
        <v>0</v>
      </c>
      <c r="O2251">
        <v>0</v>
      </c>
      <c r="P2251" t="s">
        <v>30</v>
      </c>
      <c r="Q2251" s="2">
        <v>0.7</v>
      </c>
      <c r="R2251">
        <v>0</v>
      </c>
      <c r="V2251" t="str">
        <f>VLOOKUP(H2251,'[1]팀별 출판사'!A:B,2,0)</f>
        <v>소설1팀</v>
      </c>
      <c r="W2251" s="6">
        <f t="shared" si="70"/>
        <v>0</v>
      </c>
      <c r="X2251" s="6">
        <f t="shared" si="71"/>
        <v>0</v>
      </c>
    </row>
    <row r="2252" spans="1:24" x14ac:dyDescent="0.3">
      <c r="A2252" t="s">
        <v>3390</v>
      </c>
      <c r="B2252" t="s">
        <v>3449</v>
      </c>
      <c r="C2252" t="s">
        <v>23</v>
      </c>
      <c r="D2252" t="s">
        <v>24</v>
      </c>
      <c r="E2252" t="s">
        <v>25</v>
      </c>
      <c r="F2252">
        <v>1</v>
      </c>
      <c r="G2252">
        <v>9791136931405</v>
      </c>
      <c r="H2252" t="s">
        <v>32</v>
      </c>
      <c r="I2252" t="s">
        <v>631</v>
      </c>
      <c r="J2252" t="s">
        <v>46</v>
      </c>
      <c r="K2252" t="s">
        <v>29</v>
      </c>
      <c r="L2252">
        <v>0</v>
      </c>
      <c r="M2252" t="s">
        <v>29</v>
      </c>
      <c r="N2252">
        <v>0</v>
      </c>
      <c r="O2252">
        <v>0</v>
      </c>
      <c r="P2252" t="s">
        <v>30</v>
      </c>
      <c r="Q2252" s="2">
        <v>0.7</v>
      </c>
      <c r="R2252">
        <v>0</v>
      </c>
      <c r="V2252" t="str">
        <f>VLOOKUP(H2252,'[1]팀별 출판사'!A:B,2,0)</f>
        <v>소설1팀</v>
      </c>
      <c r="W2252" s="6">
        <f t="shared" si="70"/>
        <v>0</v>
      </c>
      <c r="X2252" s="6">
        <f t="shared" si="71"/>
        <v>0</v>
      </c>
    </row>
    <row r="2253" spans="1:24" x14ac:dyDescent="0.3">
      <c r="A2253" t="s">
        <v>3390</v>
      </c>
      <c r="B2253" t="s">
        <v>3450</v>
      </c>
      <c r="C2253" t="s">
        <v>23</v>
      </c>
      <c r="D2253" t="s">
        <v>24</v>
      </c>
      <c r="E2253" t="s">
        <v>25</v>
      </c>
      <c r="F2253">
        <v>1</v>
      </c>
      <c r="G2253">
        <v>9791136934925</v>
      </c>
      <c r="H2253" t="s">
        <v>32</v>
      </c>
      <c r="I2253" t="s">
        <v>385</v>
      </c>
      <c r="J2253" t="s">
        <v>126</v>
      </c>
      <c r="K2253" t="s">
        <v>29</v>
      </c>
      <c r="L2253">
        <v>0</v>
      </c>
      <c r="M2253" t="s">
        <v>127</v>
      </c>
      <c r="N2253">
        <v>0</v>
      </c>
      <c r="O2253">
        <v>0</v>
      </c>
      <c r="P2253" t="s">
        <v>128</v>
      </c>
      <c r="Q2253" s="2">
        <v>0.7</v>
      </c>
      <c r="R2253">
        <v>0</v>
      </c>
      <c r="V2253" t="str">
        <f>VLOOKUP(H2253,'[1]팀별 출판사'!A:B,2,0)</f>
        <v>소설1팀</v>
      </c>
      <c r="W2253" s="6">
        <f t="shared" si="70"/>
        <v>0</v>
      </c>
      <c r="X2253" s="6">
        <f t="shared" si="71"/>
        <v>0</v>
      </c>
    </row>
    <row r="2254" spans="1:24" x14ac:dyDescent="0.3">
      <c r="A2254" t="s">
        <v>3390</v>
      </c>
      <c r="B2254" t="s">
        <v>3451</v>
      </c>
      <c r="C2254" t="s">
        <v>23</v>
      </c>
      <c r="D2254" t="s">
        <v>24</v>
      </c>
      <c r="E2254" t="s">
        <v>25</v>
      </c>
      <c r="F2254">
        <v>1</v>
      </c>
      <c r="G2254">
        <v>9791136942418</v>
      </c>
      <c r="H2254" t="s">
        <v>26</v>
      </c>
      <c r="I2254" t="s">
        <v>2055</v>
      </c>
      <c r="J2254" t="s">
        <v>284</v>
      </c>
      <c r="K2254" t="s">
        <v>29</v>
      </c>
      <c r="L2254">
        <v>0</v>
      </c>
      <c r="M2254" t="s">
        <v>29</v>
      </c>
      <c r="N2254">
        <v>0</v>
      </c>
      <c r="O2254">
        <v>0</v>
      </c>
      <c r="P2254" t="s">
        <v>30</v>
      </c>
      <c r="Q2254" s="2">
        <v>0.7</v>
      </c>
      <c r="R2254">
        <v>0</v>
      </c>
      <c r="V2254" t="str">
        <f>VLOOKUP(H2254,'[1]팀별 출판사'!A:B,2,0)</f>
        <v>소설1팀</v>
      </c>
      <c r="W2254" s="6">
        <f t="shared" si="70"/>
        <v>0</v>
      </c>
      <c r="X2254" s="6">
        <f t="shared" si="71"/>
        <v>0</v>
      </c>
    </row>
    <row r="2255" spans="1:24" x14ac:dyDescent="0.3">
      <c r="A2255" t="s">
        <v>3390</v>
      </c>
      <c r="B2255" t="s">
        <v>3452</v>
      </c>
      <c r="C2255" t="s">
        <v>23</v>
      </c>
      <c r="D2255" t="s">
        <v>24</v>
      </c>
      <c r="E2255" t="s">
        <v>25</v>
      </c>
      <c r="F2255">
        <v>1</v>
      </c>
      <c r="G2255">
        <v>9791133189021</v>
      </c>
      <c r="H2255" t="s">
        <v>26</v>
      </c>
      <c r="I2255" t="s">
        <v>3453</v>
      </c>
      <c r="J2255" t="s">
        <v>908</v>
      </c>
      <c r="K2255" t="s">
        <v>29</v>
      </c>
      <c r="L2255" s="1">
        <v>3200</v>
      </c>
      <c r="M2255" t="s">
        <v>29</v>
      </c>
      <c r="N2255" s="1">
        <v>3200</v>
      </c>
      <c r="O2255" s="1">
        <v>3200</v>
      </c>
      <c r="P2255" t="s">
        <v>30</v>
      </c>
      <c r="Q2255" s="2">
        <v>0.7</v>
      </c>
      <c r="R2255" s="1">
        <v>2240</v>
      </c>
      <c r="S2255" t="s">
        <v>29</v>
      </c>
      <c r="T2255" s="1">
        <v>2240</v>
      </c>
      <c r="V2255" t="str">
        <f>VLOOKUP(H2255,'[1]팀별 출판사'!A:B,2,0)</f>
        <v>소설1팀</v>
      </c>
      <c r="W2255" s="6">
        <f t="shared" si="70"/>
        <v>0</v>
      </c>
      <c r="X2255" s="6">
        <f t="shared" si="71"/>
        <v>2240</v>
      </c>
    </row>
    <row r="2256" spans="1:24" x14ac:dyDescent="0.3">
      <c r="A2256" t="s">
        <v>3390</v>
      </c>
      <c r="B2256" t="s">
        <v>3454</v>
      </c>
      <c r="C2256" t="s">
        <v>23</v>
      </c>
      <c r="D2256" t="s">
        <v>24</v>
      </c>
      <c r="E2256" t="s">
        <v>25</v>
      </c>
      <c r="F2256">
        <v>1</v>
      </c>
      <c r="G2256">
        <v>9791136967114</v>
      </c>
      <c r="H2256" t="s">
        <v>26</v>
      </c>
      <c r="I2256" t="s">
        <v>3455</v>
      </c>
      <c r="J2256" t="s">
        <v>300</v>
      </c>
      <c r="K2256" t="s">
        <v>29</v>
      </c>
      <c r="L2256">
        <v>0</v>
      </c>
      <c r="M2256" t="s">
        <v>29</v>
      </c>
      <c r="N2256">
        <v>0</v>
      </c>
      <c r="O2256">
        <v>0</v>
      </c>
      <c r="P2256" t="s">
        <v>30</v>
      </c>
      <c r="Q2256" s="2">
        <v>0.7</v>
      </c>
      <c r="R2256">
        <v>0</v>
      </c>
      <c r="V2256" t="str">
        <f>VLOOKUP(H2256,'[1]팀별 출판사'!A:B,2,0)</f>
        <v>소설1팀</v>
      </c>
      <c r="W2256" s="6">
        <f t="shared" si="70"/>
        <v>0</v>
      </c>
      <c r="X2256" s="6">
        <f t="shared" si="71"/>
        <v>0</v>
      </c>
    </row>
    <row r="2257" spans="1:24" x14ac:dyDescent="0.3">
      <c r="A2257" t="s">
        <v>3390</v>
      </c>
      <c r="B2257" t="s">
        <v>3456</v>
      </c>
      <c r="C2257" t="s">
        <v>23</v>
      </c>
      <c r="D2257" t="s">
        <v>24</v>
      </c>
      <c r="E2257" t="s">
        <v>25</v>
      </c>
      <c r="F2257">
        <v>1</v>
      </c>
      <c r="G2257">
        <v>9791136928931</v>
      </c>
      <c r="H2257" t="s">
        <v>26</v>
      </c>
      <c r="I2257" t="s">
        <v>3457</v>
      </c>
      <c r="J2257" t="s">
        <v>62</v>
      </c>
      <c r="K2257" t="s">
        <v>29</v>
      </c>
      <c r="L2257" s="1">
        <v>3200</v>
      </c>
      <c r="M2257" t="s">
        <v>70</v>
      </c>
      <c r="N2257">
        <v>2.2200000000000002</v>
      </c>
      <c r="O2257">
        <v>2.2200000000000002</v>
      </c>
      <c r="P2257" t="s">
        <v>71</v>
      </c>
      <c r="Q2257" s="2">
        <v>0.7</v>
      </c>
      <c r="R2257">
        <v>1.55</v>
      </c>
      <c r="S2257" t="s">
        <v>29</v>
      </c>
      <c r="T2257" s="1">
        <v>2240</v>
      </c>
      <c r="U2257" s="3">
        <v>1443.4159099999999</v>
      </c>
      <c r="V2257" t="str">
        <f>VLOOKUP(H2257,'[1]팀별 출판사'!A:B,2,0)</f>
        <v>소설1팀</v>
      </c>
      <c r="W2257" s="6">
        <f t="shared" si="70"/>
        <v>672</v>
      </c>
      <c r="X2257" s="6">
        <f t="shared" si="71"/>
        <v>1568</v>
      </c>
    </row>
    <row r="2258" spans="1:24" x14ac:dyDescent="0.3">
      <c r="A2258" t="s">
        <v>3390</v>
      </c>
      <c r="B2258" t="s">
        <v>3456</v>
      </c>
      <c r="C2258" t="s">
        <v>23</v>
      </c>
      <c r="D2258" t="s">
        <v>24</v>
      </c>
      <c r="E2258" t="s">
        <v>25</v>
      </c>
      <c r="F2258">
        <v>1</v>
      </c>
      <c r="G2258">
        <v>9791136928948</v>
      </c>
      <c r="H2258" t="s">
        <v>26</v>
      </c>
      <c r="I2258" t="s">
        <v>3458</v>
      </c>
      <c r="J2258" t="s">
        <v>62</v>
      </c>
      <c r="K2258" t="s">
        <v>29</v>
      </c>
      <c r="L2258" s="1">
        <v>3200</v>
      </c>
      <c r="M2258" t="s">
        <v>70</v>
      </c>
      <c r="N2258">
        <v>2.2200000000000002</v>
      </c>
      <c r="O2258">
        <v>2.2200000000000002</v>
      </c>
      <c r="P2258" t="s">
        <v>71</v>
      </c>
      <c r="Q2258" s="2">
        <v>0.7</v>
      </c>
      <c r="R2258">
        <v>1.55</v>
      </c>
      <c r="S2258" t="s">
        <v>29</v>
      </c>
      <c r="T2258" s="1">
        <v>2240</v>
      </c>
      <c r="U2258" s="3">
        <v>1443.4159099999999</v>
      </c>
      <c r="V2258" t="str">
        <f>VLOOKUP(H2258,'[1]팀별 출판사'!A:B,2,0)</f>
        <v>소설1팀</v>
      </c>
      <c r="W2258" s="6">
        <f t="shared" si="70"/>
        <v>672</v>
      </c>
      <c r="X2258" s="6">
        <f t="shared" si="71"/>
        <v>1568</v>
      </c>
    </row>
    <row r="2259" spans="1:24" x14ac:dyDescent="0.3">
      <c r="A2259" t="s">
        <v>3390</v>
      </c>
      <c r="B2259" t="s">
        <v>3456</v>
      </c>
      <c r="C2259" t="s">
        <v>23</v>
      </c>
      <c r="D2259" t="s">
        <v>24</v>
      </c>
      <c r="E2259" t="s">
        <v>25</v>
      </c>
      <c r="F2259">
        <v>1</v>
      </c>
      <c r="G2259">
        <v>9791136928955</v>
      </c>
      <c r="H2259" t="s">
        <v>26</v>
      </c>
      <c r="I2259" t="s">
        <v>3459</v>
      </c>
      <c r="J2259" t="s">
        <v>62</v>
      </c>
      <c r="K2259" t="s">
        <v>29</v>
      </c>
      <c r="L2259" s="1">
        <v>3200</v>
      </c>
      <c r="M2259" t="s">
        <v>70</v>
      </c>
      <c r="N2259">
        <v>2.2200000000000002</v>
      </c>
      <c r="O2259">
        <v>2.2200000000000002</v>
      </c>
      <c r="P2259" t="s">
        <v>71</v>
      </c>
      <c r="Q2259" s="2">
        <v>0.7</v>
      </c>
      <c r="R2259">
        <v>1.55</v>
      </c>
      <c r="S2259" t="s">
        <v>29</v>
      </c>
      <c r="T2259" s="1">
        <v>2240</v>
      </c>
      <c r="U2259" s="3">
        <v>1443.4159099999999</v>
      </c>
      <c r="V2259" t="str">
        <f>VLOOKUP(H2259,'[1]팀별 출판사'!A:B,2,0)</f>
        <v>소설1팀</v>
      </c>
      <c r="W2259" s="6">
        <f t="shared" si="70"/>
        <v>672</v>
      </c>
      <c r="X2259" s="6">
        <f t="shared" si="71"/>
        <v>1568</v>
      </c>
    </row>
    <row r="2260" spans="1:24" x14ac:dyDescent="0.3">
      <c r="A2260" t="s">
        <v>3390</v>
      </c>
      <c r="B2260" t="s">
        <v>3460</v>
      </c>
      <c r="C2260" t="s">
        <v>23</v>
      </c>
      <c r="D2260" t="s">
        <v>24</v>
      </c>
      <c r="E2260" t="s">
        <v>25</v>
      </c>
      <c r="F2260">
        <v>1</v>
      </c>
      <c r="G2260" t="s">
        <v>3461</v>
      </c>
      <c r="H2260" t="s">
        <v>32</v>
      </c>
      <c r="I2260" t="s">
        <v>3462</v>
      </c>
      <c r="J2260" t="s">
        <v>311</v>
      </c>
      <c r="K2260" t="s">
        <v>29</v>
      </c>
      <c r="L2260">
        <v>0</v>
      </c>
      <c r="M2260" t="s">
        <v>29</v>
      </c>
      <c r="N2260">
        <v>0</v>
      </c>
      <c r="O2260">
        <v>0</v>
      </c>
      <c r="P2260" t="s">
        <v>30</v>
      </c>
      <c r="Q2260" s="2">
        <v>0.7</v>
      </c>
      <c r="R2260">
        <v>0</v>
      </c>
      <c r="V2260" t="str">
        <f>VLOOKUP(H2260,'[1]팀별 출판사'!A:B,2,0)</f>
        <v>소설1팀</v>
      </c>
      <c r="W2260" s="6">
        <f t="shared" si="70"/>
        <v>0</v>
      </c>
      <c r="X2260" s="6">
        <f t="shared" si="71"/>
        <v>0</v>
      </c>
    </row>
    <row r="2261" spans="1:24" x14ac:dyDescent="0.3">
      <c r="A2261" t="s">
        <v>3390</v>
      </c>
      <c r="B2261" t="s">
        <v>3463</v>
      </c>
      <c r="C2261" t="s">
        <v>23</v>
      </c>
      <c r="D2261" t="s">
        <v>24</v>
      </c>
      <c r="E2261" t="s">
        <v>25</v>
      </c>
      <c r="F2261">
        <v>1</v>
      </c>
      <c r="G2261">
        <v>9791136940704</v>
      </c>
      <c r="H2261" t="s">
        <v>36</v>
      </c>
      <c r="I2261" t="s">
        <v>2260</v>
      </c>
      <c r="J2261" t="s">
        <v>38</v>
      </c>
      <c r="K2261" t="s">
        <v>29</v>
      </c>
      <c r="L2261" s="1">
        <v>3300</v>
      </c>
      <c r="M2261" t="s">
        <v>70</v>
      </c>
      <c r="N2261">
        <v>2.2799999999999998</v>
      </c>
      <c r="O2261">
        <v>2.2799999999999998</v>
      </c>
      <c r="P2261" t="s">
        <v>3082</v>
      </c>
      <c r="Q2261" s="2">
        <v>0.7</v>
      </c>
      <c r="R2261">
        <v>1.6</v>
      </c>
      <c r="S2261" t="s">
        <v>29</v>
      </c>
      <c r="T2261" s="1">
        <v>2312</v>
      </c>
      <c r="U2261" s="3">
        <v>1443.4159099999999</v>
      </c>
      <c r="V2261" t="str">
        <f>VLOOKUP(H2261,'[1]팀별 출판사'!A:B,2,0)</f>
        <v>소설2팀</v>
      </c>
      <c r="W2261" s="6">
        <f t="shared" si="70"/>
        <v>0</v>
      </c>
      <c r="X2261" s="6">
        <f t="shared" si="71"/>
        <v>2312</v>
      </c>
    </row>
    <row r="2262" spans="1:24" x14ac:dyDescent="0.3">
      <c r="A2262" t="s">
        <v>3390</v>
      </c>
      <c r="B2262" t="s">
        <v>3464</v>
      </c>
      <c r="C2262" t="s">
        <v>23</v>
      </c>
      <c r="D2262" t="s">
        <v>24</v>
      </c>
      <c r="E2262" t="s">
        <v>25</v>
      </c>
      <c r="F2262">
        <v>1</v>
      </c>
      <c r="G2262">
        <v>9791173788413</v>
      </c>
      <c r="H2262" t="s">
        <v>79</v>
      </c>
      <c r="I2262" t="s">
        <v>3465</v>
      </c>
      <c r="J2262" t="s">
        <v>3425</v>
      </c>
      <c r="K2262" t="s">
        <v>29</v>
      </c>
      <c r="L2262">
        <v>0</v>
      </c>
      <c r="M2262" t="s">
        <v>3426</v>
      </c>
      <c r="N2262">
        <v>0</v>
      </c>
      <c r="O2262">
        <v>0</v>
      </c>
      <c r="P2262" t="s">
        <v>3427</v>
      </c>
      <c r="Q2262" s="2">
        <v>0.7</v>
      </c>
      <c r="R2262">
        <v>0</v>
      </c>
      <c r="V2262" t="str">
        <f>VLOOKUP(H2262,'[1]팀별 출판사'!A:B,2,0)</f>
        <v>소설1팀</v>
      </c>
      <c r="W2262" s="6">
        <f t="shared" si="70"/>
        <v>0</v>
      </c>
      <c r="X2262" s="6">
        <f t="shared" si="71"/>
        <v>0</v>
      </c>
    </row>
    <row r="2263" spans="1:24" x14ac:dyDescent="0.3">
      <c r="A2263" t="s">
        <v>3390</v>
      </c>
      <c r="B2263" t="s">
        <v>3466</v>
      </c>
      <c r="C2263" t="s">
        <v>23</v>
      </c>
      <c r="D2263" t="s">
        <v>24</v>
      </c>
      <c r="E2263" t="s">
        <v>25</v>
      </c>
      <c r="F2263">
        <v>1</v>
      </c>
      <c r="G2263">
        <v>9791173784644</v>
      </c>
      <c r="H2263" t="s">
        <v>36</v>
      </c>
      <c r="I2263" t="s">
        <v>3467</v>
      </c>
      <c r="J2263" t="s">
        <v>3468</v>
      </c>
      <c r="K2263" t="s">
        <v>29</v>
      </c>
      <c r="L2263" s="1">
        <v>3300</v>
      </c>
      <c r="M2263" t="s">
        <v>1482</v>
      </c>
      <c r="N2263" s="1">
        <v>66022</v>
      </c>
      <c r="O2263" s="1">
        <v>60020</v>
      </c>
      <c r="P2263" t="s">
        <v>1483</v>
      </c>
      <c r="Q2263" s="2">
        <v>0.7</v>
      </c>
      <c r="R2263" s="1">
        <v>42014</v>
      </c>
      <c r="S2263" t="s">
        <v>29</v>
      </c>
      <c r="T2263" s="1">
        <v>2336</v>
      </c>
      <c r="U2263">
        <v>5.5579999999999997E-2</v>
      </c>
      <c r="V2263" t="str">
        <f>VLOOKUP(H2263,'[1]팀별 출판사'!A:B,2,0)</f>
        <v>소설2팀</v>
      </c>
      <c r="W2263" s="6">
        <f t="shared" si="70"/>
        <v>0</v>
      </c>
      <c r="X2263" s="6">
        <f t="shared" si="71"/>
        <v>2336</v>
      </c>
    </row>
    <row r="2264" spans="1:24" x14ac:dyDescent="0.3">
      <c r="A2264" t="s">
        <v>3390</v>
      </c>
      <c r="B2264" t="s">
        <v>3469</v>
      </c>
      <c r="C2264" t="s">
        <v>23</v>
      </c>
      <c r="D2264" t="s">
        <v>24</v>
      </c>
      <c r="E2264" t="s">
        <v>25</v>
      </c>
      <c r="F2264">
        <v>1</v>
      </c>
      <c r="G2264">
        <v>9791172921033</v>
      </c>
      <c r="H2264" t="s">
        <v>79</v>
      </c>
      <c r="I2264" t="s">
        <v>738</v>
      </c>
      <c r="J2264" t="s">
        <v>46</v>
      </c>
      <c r="K2264" t="s">
        <v>29</v>
      </c>
      <c r="L2264">
        <v>0</v>
      </c>
      <c r="M2264" t="s">
        <v>1147</v>
      </c>
      <c r="N2264">
        <v>0</v>
      </c>
      <c r="O2264">
        <v>0</v>
      </c>
      <c r="P2264" t="s">
        <v>1148</v>
      </c>
      <c r="Q2264" s="2">
        <v>0.7</v>
      </c>
      <c r="R2264">
        <v>0</v>
      </c>
      <c r="V2264" t="str">
        <f>VLOOKUP(H2264,'[1]팀별 출판사'!A:B,2,0)</f>
        <v>소설1팀</v>
      </c>
      <c r="W2264" s="6">
        <f t="shared" si="70"/>
        <v>0</v>
      </c>
      <c r="X2264" s="6">
        <f t="shared" si="71"/>
        <v>0</v>
      </c>
    </row>
    <row r="2265" spans="1:24" x14ac:dyDescent="0.3">
      <c r="A2265" t="s">
        <v>3390</v>
      </c>
      <c r="B2265" t="s">
        <v>3470</v>
      </c>
      <c r="C2265" t="s">
        <v>23</v>
      </c>
      <c r="D2265" t="s">
        <v>24</v>
      </c>
      <c r="E2265" t="s">
        <v>25</v>
      </c>
      <c r="F2265">
        <v>1</v>
      </c>
      <c r="G2265">
        <v>9791136932648</v>
      </c>
      <c r="H2265" t="s">
        <v>32</v>
      </c>
      <c r="I2265" t="s">
        <v>832</v>
      </c>
      <c r="J2265" t="s">
        <v>34</v>
      </c>
      <c r="K2265" t="s">
        <v>29</v>
      </c>
      <c r="L2265">
        <v>0</v>
      </c>
      <c r="M2265" t="s">
        <v>1147</v>
      </c>
      <c r="N2265">
        <v>0</v>
      </c>
      <c r="O2265">
        <v>0</v>
      </c>
      <c r="P2265" t="s">
        <v>1148</v>
      </c>
      <c r="Q2265" s="2">
        <v>0.7</v>
      </c>
      <c r="R2265">
        <v>0</v>
      </c>
      <c r="V2265" t="str">
        <f>VLOOKUP(H2265,'[1]팀별 출판사'!A:B,2,0)</f>
        <v>소설1팀</v>
      </c>
      <c r="W2265" s="6">
        <f t="shared" si="70"/>
        <v>0</v>
      </c>
      <c r="X2265" s="6">
        <f t="shared" si="71"/>
        <v>0</v>
      </c>
    </row>
    <row r="2266" spans="1:24" x14ac:dyDescent="0.3">
      <c r="A2266" t="s">
        <v>3390</v>
      </c>
      <c r="B2266" t="s">
        <v>3471</v>
      </c>
      <c r="C2266" t="s">
        <v>23</v>
      </c>
      <c r="D2266" t="s">
        <v>24</v>
      </c>
      <c r="E2266" t="s">
        <v>25</v>
      </c>
      <c r="F2266">
        <v>1</v>
      </c>
      <c r="G2266">
        <v>9791136930156</v>
      </c>
      <c r="H2266" t="s">
        <v>32</v>
      </c>
      <c r="I2266" t="s">
        <v>702</v>
      </c>
      <c r="J2266" t="s">
        <v>34</v>
      </c>
      <c r="K2266" t="s">
        <v>29</v>
      </c>
      <c r="L2266">
        <v>0</v>
      </c>
      <c r="M2266" t="s">
        <v>1147</v>
      </c>
      <c r="N2266">
        <v>0</v>
      </c>
      <c r="O2266">
        <v>0</v>
      </c>
      <c r="P2266" t="s">
        <v>1148</v>
      </c>
      <c r="Q2266" s="2">
        <v>0.7</v>
      </c>
      <c r="R2266">
        <v>0</v>
      </c>
      <c r="V2266" t="str">
        <f>VLOOKUP(H2266,'[1]팀별 출판사'!A:B,2,0)</f>
        <v>소설1팀</v>
      </c>
      <c r="W2266" s="6">
        <f t="shared" si="70"/>
        <v>0</v>
      </c>
      <c r="X2266" s="6">
        <f t="shared" si="71"/>
        <v>0</v>
      </c>
    </row>
    <row r="2267" spans="1:24" x14ac:dyDescent="0.3">
      <c r="A2267" t="s">
        <v>3390</v>
      </c>
      <c r="B2267" t="s">
        <v>3472</v>
      </c>
      <c r="C2267" t="s">
        <v>23</v>
      </c>
      <c r="D2267" t="s">
        <v>24</v>
      </c>
      <c r="E2267" t="s">
        <v>25</v>
      </c>
      <c r="F2267">
        <v>1</v>
      </c>
      <c r="G2267">
        <v>9791136965455</v>
      </c>
      <c r="H2267" t="s">
        <v>26</v>
      </c>
      <c r="I2267" t="s">
        <v>472</v>
      </c>
      <c r="J2267" t="s">
        <v>157</v>
      </c>
      <c r="K2267" t="s">
        <v>29</v>
      </c>
      <c r="L2267">
        <v>0</v>
      </c>
      <c r="M2267" t="s">
        <v>152</v>
      </c>
      <c r="N2267">
        <v>0</v>
      </c>
      <c r="O2267">
        <v>0</v>
      </c>
      <c r="P2267" t="s">
        <v>153</v>
      </c>
      <c r="Q2267" s="2">
        <v>0.7</v>
      </c>
      <c r="R2267">
        <v>0</v>
      </c>
      <c r="V2267" t="str">
        <f>VLOOKUP(H2267,'[1]팀별 출판사'!A:B,2,0)</f>
        <v>소설1팀</v>
      </c>
      <c r="W2267" s="6">
        <f t="shared" si="70"/>
        <v>0</v>
      </c>
      <c r="X2267" s="6">
        <f t="shared" si="71"/>
        <v>0</v>
      </c>
    </row>
    <row r="2268" spans="1:24" x14ac:dyDescent="0.3">
      <c r="A2268" t="s">
        <v>3390</v>
      </c>
      <c r="B2268" t="s">
        <v>3473</v>
      </c>
      <c r="C2268" t="s">
        <v>23</v>
      </c>
      <c r="D2268" t="s">
        <v>24</v>
      </c>
      <c r="E2268" t="s">
        <v>25</v>
      </c>
      <c r="F2268">
        <v>1</v>
      </c>
      <c r="G2268">
        <v>9791136935496</v>
      </c>
      <c r="H2268" t="s">
        <v>32</v>
      </c>
      <c r="I2268" t="s">
        <v>441</v>
      </c>
      <c r="J2268" t="s">
        <v>442</v>
      </c>
      <c r="K2268" t="s">
        <v>29</v>
      </c>
      <c r="L2268">
        <v>0</v>
      </c>
      <c r="M2268" t="s">
        <v>1147</v>
      </c>
      <c r="N2268">
        <v>0</v>
      </c>
      <c r="O2268">
        <v>0</v>
      </c>
      <c r="P2268" t="s">
        <v>1148</v>
      </c>
      <c r="Q2268" s="2">
        <v>0.7</v>
      </c>
      <c r="R2268">
        <v>0</v>
      </c>
      <c r="V2268" t="str">
        <f>VLOOKUP(H2268,'[1]팀별 출판사'!A:B,2,0)</f>
        <v>소설1팀</v>
      </c>
      <c r="W2268" s="6">
        <f t="shared" si="70"/>
        <v>0</v>
      </c>
      <c r="X2268" s="6">
        <f t="shared" si="71"/>
        <v>0</v>
      </c>
    </row>
    <row r="2269" spans="1:24" x14ac:dyDescent="0.3">
      <c r="A2269" t="s">
        <v>3390</v>
      </c>
      <c r="B2269" t="s">
        <v>3474</v>
      </c>
      <c r="C2269" t="s">
        <v>23</v>
      </c>
      <c r="D2269" t="s">
        <v>24</v>
      </c>
      <c r="E2269" t="s">
        <v>25</v>
      </c>
      <c r="F2269">
        <v>1</v>
      </c>
      <c r="G2269">
        <v>9791136926784</v>
      </c>
      <c r="H2269" t="s">
        <v>26</v>
      </c>
      <c r="I2269" t="s">
        <v>1421</v>
      </c>
      <c r="J2269" t="s">
        <v>62</v>
      </c>
      <c r="K2269" t="s">
        <v>29</v>
      </c>
      <c r="L2269">
        <v>0</v>
      </c>
      <c r="M2269" t="s">
        <v>29</v>
      </c>
      <c r="N2269">
        <v>0</v>
      </c>
      <c r="O2269">
        <v>0</v>
      </c>
      <c r="P2269" t="s">
        <v>30</v>
      </c>
      <c r="Q2269" s="2">
        <v>0.7</v>
      </c>
      <c r="R2269">
        <v>0</v>
      </c>
      <c r="V2269" t="str">
        <f>VLOOKUP(H2269,'[1]팀별 출판사'!A:B,2,0)</f>
        <v>소설1팀</v>
      </c>
      <c r="W2269" s="6">
        <f t="shared" si="70"/>
        <v>0</v>
      </c>
      <c r="X2269" s="6">
        <f t="shared" si="71"/>
        <v>0</v>
      </c>
    </row>
    <row r="2270" spans="1:24" x14ac:dyDescent="0.3">
      <c r="A2270" t="s">
        <v>3390</v>
      </c>
      <c r="B2270" t="s">
        <v>3475</v>
      </c>
      <c r="C2270" t="s">
        <v>23</v>
      </c>
      <c r="D2270" t="s">
        <v>24</v>
      </c>
      <c r="E2270" t="s">
        <v>25</v>
      </c>
      <c r="F2270">
        <v>1</v>
      </c>
      <c r="G2270">
        <v>9791194664369</v>
      </c>
      <c r="H2270" t="s">
        <v>79</v>
      </c>
      <c r="I2270" t="s">
        <v>156</v>
      </c>
      <c r="J2270" t="s">
        <v>157</v>
      </c>
      <c r="K2270" t="s">
        <v>29</v>
      </c>
      <c r="L2270">
        <v>0</v>
      </c>
      <c r="M2270" t="s">
        <v>152</v>
      </c>
      <c r="N2270">
        <v>0</v>
      </c>
      <c r="O2270">
        <v>0</v>
      </c>
      <c r="P2270" t="s">
        <v>153</v>
      </c>
      <c r="Q2270" s="2">
        <v>0.7</v>
      </c>
      <c r="R2270">
        <v>0</v>
      </c>
      <c r="V2270" t="str">
        <f>VLOOKUP(H2270,'[1]팀별 출판사'!A:B,2,0)</f>
        <v>소설1팀</v>
      </c>
      <c r="W2270" s="6">
        <f t="shared" si="70"/>
        <v>0</v>
      </c>
      <c r="X2270" s="6">
        <f t="shared" si="71"/>
        <v>0</v>
      </c>
    </row>
    <row r="2271" spans="1:24" x14ac:dyDescent="0.3">
      <c r="A2271" t="s">
        <v>3390</v>
      </c>
      <c r="B2271" t="s">
        <v>3476</v>
      </c>
      <c r="C2271" t="s">
        <v>23</v>
      </c>
      <c r="D2271" t="s">
        <v>24</v>
      </c>
      <c r="E2271" t="s">
        <v>25</v>
      </c>
      <c r="F2271">
        <v>1</v>
      </c>
      <c r="G2271">
        <v>9791136930286</v>
      </c>
      <c r="H2271" t="s">
        <v>32</v>
      </c>
      <c r="I2271" t="s">
        <v>818</v>
      </c>
      <c r="J2271" t="s">
        <v>157</v>
      </c>
      <c r="K2271" t="s">
        <v>29</v>
      </c>
      <c r="L2271">
        <v>0</v>
      </c>
      <c r="M2271" t="s">
        <v>29</v>
      </c>
      <c r="N2271">
        <v>0</v>
      </c>
      <c r="O2271">
        <v>0</v>
      </c>
      <c r="P2271" t="s">
        <v>30</v>
      </c>
      <c r="Q2271" s="2">
        <v>0.7</v>
      </c>
      <c r="R2271">
        <v>0</v>
      </c>
      <c r="V2271" t="str">
        <f>VLOOKUP(H2271,'[1]팀별 출판사'!A:B,2,0)</f>
        <v>소설1팀</v>
      </c>
      <c r="W2271" s="6">
        <f t="shared" si="70"/>
        <v>0</v>
      </c>
      <c r="X2271" s="6">
        <f t="shared" si="71"/>
        <v>0</v>
      </c>
    </row>
    <row r="2272" spans="1:24" x14ac:dyDescent="0.3">
      <c r="A2272" t="s">
        <v>3390</v>
      </c>
      <c r="B2272" t="s">
        <v>3477</v>
      </c>
      <c r="C2272" t="s">
        <v>23</v>
      </c>
      <c r="D2272" t="s">
        <v>24</v>
      </c>
      <c r="E2272" t="s">
        <v>25</v>
      </c>
      <c r="F2272">
        <v>1</v>
      </c>
      <c r="G2272">
        <v>9791133180066</v>
      </c>
      <c r="H2272" t="s">
        <v>26</v>
      </c>
      <c r="I2272" t="s">
        <v>320</v>
      </c>
      <c r="J2272" t="s">
        <v>321</v>
      </c>
      <c r="K2272" t="s">
        <v>29</v>
      </c>
      <c r="L2272">
        <v>0</v>
      </c>
      <c r="M2272" t="s">
        <v>29</v>
      </c>
      <c r="N2272">
        <v>0</v>
      </c>
      <c r="O2272">
        <v>0</v>
      </c>
      <c r="P2272" t="s">
        <v>30</v>
      </c>
      <c r="Q2272" s="2">
        <v>0.7</v>
      </c>
      <c r="R2272">
        <v>0</v>
      </c>
      <c r="V2272" t="str">
        <f>VLOOKUP(H2272,'[1]팀별 출판사'!A:B,2,0)</f>
        <v>소설1팀</v>
      </c>
      <c r="W2272" s="6">
        <f t="shared" si="70"/>
        <v>0</v>
      </c>
      <c r="X2272" s="6">
        <f t="shared" si="71"/>
        <v>0</v>
      </c>
    </row>
    <row r="2273" spans="1:24" x14ac:dyDescent="0.3">
      <c r="A2273" t="s">
        <v>3390</v>
      </c>
      <c r="B2273" t="s">
        <v>3478</v>
      </c>
      <c r="C2273" t="s">
        <v>23</v>
      </c>
      <c r="D2273" t="s">
        <v>24</v>
      </c>
      <c r="E2273" t="s">
        <v>25</v>
      </c>
      <c r="F2273">
        <v>1</v>
      </c>
      <c r="G2273">
        <v>9791136930491</v>
      </c>
      <c r="H2273" t="s">
        <v>26</v>
      </c>
      <c r="I2273" t="s">
        <v>151</v>
      </c>
      <c r="J2273" t="s">
        <v>46</v>
      </c>
      <c r="K2273" t="s">
        <v>29</v>
      </c>
      <c r="L2273">
        <v>0</v>
      </c>
      <c r="M2273" t="s">
        <v>152</v>
      </c>
      <c r="N2273">
        <v>0</v>
      </c>
      <c r="O2273">
        <v>0</v>
      </c>
      <c r="P2273" t="s">
        <v>153</v>
      </c>
      <c r="Q2273" s="2">
        <v>0.7</v>
      </c>
      <c r="R2273">
        <v>0</v>
      </c>
      <c r="V2273" t="str">
        <f>VLOOKUP(H2273,'[1]팀별 출판사'!A:B,2,0)</f>
        <v>소설1팀</v>
      </c>
      <c r="W2273" s="6">
        <f t="shared" si="70"/>
        <v>0</v>
      </c>
      <c r="X2273" s="6">
        <f t="shared" si="71"/>
        <v>0</v>
      </c>
    </row>
    <row r="2274" spans="1:24" x14ac:dyDescent="0.3">
      <c r="A2274" t="s">
        <v>3390</v>
      </c>
      <c r="B2274" t="s">
        <v>3479</v>
      </c>
      <c r="C2274" t="s">
        <v>23</v>
      </c>
      <c r="D2274" t="s">
        <v>24</v>
      </c>
      <c r="E2274" t="s">
        <v>25</v>
      </c>
      <c r="F2274">
        <v>1</v>
      </c>
      <c r="G2274">
        <v>9791136931375</v>
      </c>
      <c r="H2274" t="s">
        <v>32</v>
      </c>
      <c r="I2274" t="s">
        <v>189</v>
      </c>
      <c r="J2274" t="s">
        <v>46</v>
      </c>
      <c r="K2274" t="s">
        <v>29</v>
      </c>
      <c r="L2274">
        <v>0</v>
      </c>
      <c r="M2274" t="s">
        <v>152</v>
      </c>
      <c r="N2274">
        <v>0</v>
      </c>
      <c r="O2274">
        <v>0</v>
      </c>
      <c r="P2274" t="s">
        <v>153</v>
      </c>
      <c r="Q2274" s="2">
        <v>0.7</v>
      </c>
      <c r="R2274">
        <v>0</v>
      </c>
      <c r="V2274" t="str">
        <f>VLOOKUP(H2274,'[1]팀별 출판사'!A:B,2,0)</f>
        <v>소설1팀</v>
      </c>
      <c r="W2274" s="6">
        <f t="shared" si="70"/>
        <v>0</v>
      </c>
      <c r="X2274" s="6">
        <f t="shared" si="71"/>
        <v>0</v>
      </c>
    </row>
    <row r="2275" spans="1:24" x14ac:dyDescent="0.3">
      <c r="A2275" t="s">
        <v>3390</v>
      </c>
      <c r="B2275" t="s">
        <v>3480</v>
      </c>
      <c r="C2275" t="s">
        <v>23</v>
      </c>
      <c r="D2275" t="s">
        <v>24</v>
      </c>
      <c r="E2275" t="s">
        <v>25</v>
      </c>
      <c r="F2275">
        <v>1</v>
      </c>
      <c r="G2275">
        <v>9791136930491</v>
      </c>
      <c r="H2275" t="s">
        <v>26</v>
      </c>
      <c r="I2275" t="s">
        <v>151</v>
      </c>
      <c r="J2275" t="s">
        <v>46</v>
      </c>
      <c r="K2275" t="s">
        <v>29</v>
      </c>
      <c r="L2275">
        <v>0</v>
      </c>
      <c r="M2275" t="s">
        <v>152</v>
      </c>
      <c r="N2275">
        <v>0</v>
      </c>
      <c r="O2275">
        <v>0</v>
      </c>
      <c r="P2275" t="s">
        <v>153</v>
      </c>
      <c r="Q2275" s="2">
        <v>0.7</v>
      </c>
      <c r="R2275">
        <v>0</v>
      </c>
      <c r="V2275" t="str">
        <f>VLOOKUP(H2275,'[1]팀별 출판사'!A:B,2,0)</f>
        <v>소설1팀</v>
      </c>
      <c r="W2275" s="6">
        <f t="shared" si="70"/>
        <v>0</v>
      </c>
      <c r="X2275" s="6">
        <f t="shared" si="71"/>
        <v>0</v>
      </c>
    </row>
    <row r="2276" spans="1:24" x14ac:dyDescent="0.3">
      <c r="A2276" t="s">
        <v>3390</v>
      </c>
      <c r="B2276" t="s">
        <v>3481</v>
      </c>
      <c r="C2276" t="s">
        <v>23</v>
      </c>
      <c r="D2276" t="s">
        <v>24</v>
      </c>
      <c r="E2276" t="s">
        <v>25</v>
      </c>
      <c r="F2276">
        <v>1</v>
      </c>
      <c r="G2276">
        <v>9791136942142</v>
      </c>
      <c r="H2276" t="s">
        <v>26</v>
      </c>
      <c r="I2276" t="s">
        <v>180</v>
      </c>
      <c r="J2276" t="s">
        <v>46</v>
      </c>
      <c r="K2276" t="s">
        <v>29</v>
      </c>
      <c r="L2276">
        <v>0</v>
      </c>
      <c r="M2276" t="s">
        <v>152</v>
      </c>
      <c r="N2276">
        <v>0</v>
      </c>
      <c r="O2276">
        <v>0</v>
      </c>
      <c r="P2276" t="s">
        <v>153</v>
      </c>
      <c r="Q2276" s="2">
        <v>0.7</v>
      </c>
      <c r="R2276">
        <v>0</v>
      </c>
      <c r="V2276" t="str">
        <f>VLOOKUP(H2276,'[1]팀별 출판사'!A:B,2,0)</f>
        <v>소설1팀</v>
      </c>
      <c r="W2276" s="6">
        <f t="shared" si="70"/>
        <v>0</v>
      </c>
      <c r="X2276" s="6">
        <f t="shared" si="71"/>
        <v>0</v>
      </c>
    </row>
    <row r="2277" spans="1:24" x14ac:dyDescent="0.3">
      <c r="A2277" t="s">
        <v>3390</v>
      </c>
      <c r="B2277" t="s">
        <v>3482</v>
      </c>
      <c r="C2277" t="s">
        <v>23</v>
      </c>
      <c r="D2277" t="s">
        <v>24</v>
      </c>
      <c r="E2277" t="s">
        <v>25</v>
      </c>
      <c r="F2277">
        <v>1</v>
      </c>
      <c r="G2277">
        <v>9791136934925</v>
      </c>
      <c r="H2277" t="s">
        <v>32</v>
      </c>
      <c r="I2277" t="s">
        <v>385</v>
      </c>
      <c r="J2277" t="s">
        <v>126</v>
      </c>
      <c r="K2277" t="s">
        <v>29</v>
      </c>
      <c r="L2277">
        <v>0</v>
      </c>
      <c r="M2277" t="s">
        <v>152</v>
      </c>
      <c r="N2277">
        <v>0</v>
      </c>
      <c r="O2277">
        <v>0</v>
      </c>
      <c r="P2277" t="s">
        <v>153</v>
      </c>
      <c r="Q2277" s="2">
        <v>0.7</v>
      </c>
      <c r="R2277">
        <v>0</v>
      </c>
      <c r="V2277" t="str">
        <f>VLOOKUP(H2277,'[1]팀별 출판사'!A:B,2,0)</f>
        <v>소설1팀</v>
      </c>
      <c r="W2277" s="6">
        <f t="shared" si="70"/>
        <v>0</v>
      </c>
      <c r="X2277" s="6">
        <f t="shared" si="71"/>
        <v>0</v>
      </c>
    </row>
    <row r="2278" spans="1:24" x14ac:dyDescent="0.3">
      <c r="A2278" t="s">
        <v>3390</v>
      </c>
      <c r="B2278" t="s">
        <v>3483</v>
      </c>
      <c r="C2278" t="s">
        <v>23</v>
      </c>
      <c r="D2278" t="s">
        <v>24</v>
      </c>
      <c r="E2278" t="s">
        <v>25</v>
      </c>
      <c r="F2278">
        <v>1</v>
      </c>
      <c r="G2278">
        <v>9791170106289</v>
      </c>
      <c r="H2278" t="s">
        <v>67</v>
      </c>
      <c r="I2278" t="s">
        <v>2299</v>
      </c>
      <c r="J2278" t="s">
        <v>2300</v>
      </c>
      <c r="K2278" t="s">
        <v>29</v>
      </c>
      <c r="L2278">
        <v>0</v>
      </c>
      <c r="M2278" t="s">
        <v>2923</v>
      </c>
      <c r="N2278">
        <v>0</v>
      </c>
      <c r="O2278">
        <v>0</v>
      </c>
      <c r="P2278" t="s">
        <v>2924</v>
      </c>
      <c r="Q2278" s="2">
        <v>0.7</v>
      </c>
      <c r="R2278">
        <v>0</v>
      </c>
      <c r="V2278" t="str">
        <f>VLOOKUP(H2278,'[1]팀별 출판사'!A:B,2,0)</f>
        <v>소설1팀</v>
      </c>
      <c r="W2278" s="6">
        <f t="shared" si="70"/>
        <v>0</v>
      </c>
      <c r="X2278" s="6">
        <f t="shared" si="71"/>
        <v>0</v>
      </c>
    </row>
    <row r="2279" spans="1:24" x14ac:dyDescent="0.3">
      <c r="A2279" t="s">
        <v>3390</v>
      </c>
      <c r="B2279" t="s">
        <v>3484</v>
      </c>
      <c r="C2279" t="s">
        <v>23</v>
      </c>
      <c r="D2279" t="s">
        <v>24</v>
      </c>
      <c r="E2279" t="s">
        <v>25</v>
      </c>
      <c r="F2279">
        <v>1</v>
      </c>
      <c r="G2279">
        <v>9791136930491</v>
      </c>
      <c r="H2279" t="s">
        <v>26</v>
      </c>
      <c r="I2279" t="s">
        <v>151</v>
      </c>
      <c r="J2279" t="s">
        <v>46</v>
      </c>
      <c r="K2279" t="s">
        <v>29</v>
      </c>
      <c r="L2279">
        <v>0</v>
      </c>
      <c r="M2279" t="s">
        <v>47</v>
      </c>
      <c r="N2279">
        <v>0</v>
      </c>
      <c r="O2279">
        <v>0</v>
      </c>
      <c r="P2279" t="s">
        <v>48</v>
      </c>
      <c r="Q2279" s="2">
        <v>0.7</v>
      </c>
      <c r="R2279">
        <v>0</v>
      </c>
      <c r="V2279" t="str">
        <f>VLOOKUP(H2279,'[1]팀별 출판사'!A:B,2,0)</f>
        <v>소설1팀</v>
      </c>
      <c r="W2279" s="6">
        <f t="shared" si="70"/>
        <v>0</v>
      </c>
      <c r="X2279" s="6">
        <f t="shared" si="71"/>
        <v>0</v>
      </c>
    </row>
    <row r="2280" spans="1:24" x14ac:dyDescent="0.3">
      <c r="A2280" t="s">
        <v>3390</v>
      </c>
      <c r="B2280" t="s">
        <v>3485</v>
      </c>
      <c r="C2280" t="s">
        <v>23</v>
      </c>
      <c r="D2280" t="s">
        <v>24</v>
      </c>
      <c r="E2280" t="s">
        <v>25</v>
      </c>
      <c r="F2280">
        <v>1</v>
      </c>
      <c r="G2280" t="s">
        <v>2523</v>
      </c>
      <c r="H2280" t="s">
        <v>32</v>
      </c>
      <c r="I2280" t="s">
        <v>2524</v>
      </c>
      <c r="J2280" t="s">
        <v>220</v>
      </c>
      <c r="K2280" t="s">
        <v>29</v>
      </c>
      <c r="L2280">
        <v>0</v>
      </c>
      <c r="M2280" t="s">
        <v>29</v>
      </c>
      <c r="N2280">
        <v>0</v>
      </c>
      <c r="O2280">
        <v>0</v>
      </c>
      <c r="P2280" t="s">
        <v>30</v>
      </c>
      <c r="Q2280" s="2">
        <v>0.7</v>
      </c>
      <c r="R2280">
        <v>0</v>
      </c>
      <c r="V2280" t="str">
        <f>VLOOKUP(H2280,'[1]팀별 출판사'!A:B,2,0)</f>
        <v>소설1팀</v>
      </c>
      <c r="W2280" s="6">
        <f t="shared" si="70"/>
        <v>0</v>
      </c>
      <c r="X2280" s="6">
        <f t="shared" si="71"/>
        <v>0</v>
      </c>
    </row>
    <row r="2281" spans="1:24" x14ac:dyDescent="0.3">
      <c r="A2281" t="s">
        <v>3390</v>
      </c>
      <c r="B2281" t="s">
        <v>3486</v>
      </c>
      <c r="C2281" t="s">
        <v>23</v>
      </c>
      <c r="D2281" t="s">
        <v>24</v>
      </c>
      <c r="E2281" t="s">
        <v>25</v>
      </c>
      <c r="F2281">
        <v>1</v>
      </c>
      <c r="G2281">
        <v>9791133152360</v>
      </c>
      <c r="H2281" t="s">
        <v>32</v>
      </c>
      <c r="I2281" t="s">
        <v>2961</v>
      </c>
      <c r="J2281" t="s">
        <v>1153</v>
      </c>
      <c r="K2281" t="s">
        <v>29</v>
      </c>
      <c r="L2281">
        <v>0</v>
      </c>
      <c r="M2281" t="s">
        <v>29</v>
      </c>
      <c r="N2281">
        <v>0</v>
      </c>
      <c r="O2281">
        <v>0</v>
      </c>
      <c r="P2281" t="s">
        <v>30</v>
      </c>
      <c r="Q2281" s="2">
        <v>0.7</v>
      </c>
      <c r="R2281">
        <v>0</v>
      </c>
      <c r="V2281" t="str">
        <f>VLOOKUP(H2281,'[1]팀별 출판사'!A:B,2,0)</f>
        <v>소설1팀</v>
      </c>
      <c r="W2281" s="6">
        <f t="shared" si="70"/>
        <v>0</v>
      </c>
      <c r="X2281" s="6">
        <f t="shared" si="71"/>
        <v>0</v>
      </c>
    </row>
    <row r="2282" spans="1:24" x14ac:dyDescent="0.3">
      <c r="A2282" t="s">
        <v>3390</v>
      </c>
      <c r="B2282" t="s">
        <v>3487</v>
      </c>
      <c r="C2282" t="s">
        <v>23</v>
      </c>
      <c r="D2282" t="s">
        <v>24</v>
      </c>
      <c r="E2282" t="s">
        <v>25</v>
      </c>
      <c r="F2282">
        <v>1</v>
      </c>
      <c r="G2282">
        <v>9791136911582</v>
      </c>
      <c r="H2282" t="s">
        <v>26</v>
      </c>
      <c r="I2282" t="s">
        <v>3488</v>
      </c>
      <c r="J2282" t="s">
        <v>1029</v>
      </c>
      <c r="K2282" t="s">
        <v>29</v>
      </c>
      <c r="L2282" s="1">
        <v>3200</v>
      </c>
      <c r="M2282" t="s">
        <v>29</v>
      </c>
      <c r="N2282" s="1">
        <v>3200</v>
      </c>
      <c r="O2282" s="1">
        <v>3200</v>
      </c>
      <c r="P2282" t="s">
        <v>30</v>
      </c>
      <c r="Q2282" s="2">
        <v>0.7</v>
      </c>
      <c r="R2282" s="1">
        <v>2240</v>
      </c>
      <c r="S2282" t="s">
        <v>29</v>
      </c>
      <c r="T2282" s="1">
        <v>2240</v>
      </c>
      <c r="V2282" t="str">
        <f>VLOOKUP(H2282,'[1]팀별 출판사'!A:B,2,0)</f>
        <v>소설1팀</v>
      </c>
      <c r="W2282" s="6">
        <f t="shared" si="70"/>
        <v>0</v>
      </c>
      <c r="X2282" s="6">
        <f t="shared" si="71"/>
        <v>2240</v>
      </c>
    </row>
    <row r="2283" spans="1:24" x14ac:dyDescent="0.3">
      <c r="A2283" t="s">
        <v>3390</v>
      </c>
      <c r="B2283" t="s">
        <v>3489</v>
      </c>
      <c r="C2283" t="s">
        <v>23</v>
      </c>
      <c r="D2283" t="s">
        <v>24</v>
      </c>
      <c r="E2283" t="s">
        <v>25</v>
      </c>
      <c r="F2283">
        <v>1</v>
      </c>
      <c r="G2283">
        <v>9791136988157</v>
      </c>
      <c r="H2283" t="s">
        <v>26</v>
      </c>
      <c r="I2283" t="s">
        <v>2545</v>
      </c>
      <c r="J2283" t="s">
        <v>28</v>
      </c>
      <c r="K2283" t="s">
        <v>29</v>
      </c>
      <c r="L2283" s="1">
        <v>3200</v>
      </c>
      <c r="M2283" t="s">
        <v>29</v>
      </c>
      <c r="N2283" s="1">
        <v>3200</v>
      </c>
      <c r="O2283" s="1">
        <v>3200</v>
      </c>
      <c r="P2283" t="s">
        <v>30</v>
      </c>
      <c r="Q2283" s="2">
        <v>0.7</v>
      </c>
      <c r="R2283" s="1">
        <v>2240</v>
      </c>
      <c r="S2283" t="s">
        <v>29</v>
      </c>
      <c r="T2283" s="1">
        <v>2240</v>
      </c>
      <c r="V2283" t="str">
        <f>VLOOKUP(H2283,'[1]팀별 출판사'!A:B,2,0)</f>
        <v>소설1팀</v>
      </c>
      <c r="W2283" s="6">
        <f t="shared" si="70"/>
        <v>0</v>
      </c>
      <c r="X2283" s="6">
        <f t="shared" si="71"/>
        <v>2240</v>
      </c>
    </row>
    <row r="2284" spans="1:24" x14ac:dyDescent="0.3">
      <c r="A2284" t="s">
        <v>3390</v>
      </c>
      <c r="B2284" t="s">
        <v>3490</v>
      </c>
      <c r="C2284" t="s">
        <v>23</v>
      </c>
      <c r="D2284" t="s">
        <v>24</v>
      </c>
      <c r="E2284" t="s">
        <v>25</v>
      </c>
      <c r="F2284">
        <v>1</v>
      </c>
      <c r="G2284">
        <v>9791133189038</v>
      </c>
      <c r="H2284" t="s">
        <v>26</v>
      </c>
      <c r="I2284" t="s">
        <v>3491</v>
      </c>
      <c r="J2284" t="s">
        <v>908</v>
      </c>
      <c r="K2284" t="s">
        <v>29</v>
      </c>
      <c r="L2284" s="1">
        <v>3200</v>
      </c>
      <c r="M2284" t="s">
        <v>29</v>
      </c>
      <c r="N2284" s="1">
        <v>3200</v>
      </c>
      <c r="O2284" s="1">
        <v>3200</v>
      </c>
      <c r="P2284" t="s">
        <v>30</v>
      </c>
      <c r="Q2284" s="2">
        <v>0.7</v>
      </c>
      <c r="R2284" s="1">
        <v>2240</v>
      </c>
      <c r="S2284" t="s">
        <v>29</v>
      </c>
      <c r="T2284" s="1">
        <v>2240</v>
      </c>
      <c r="V2284" t="str">
        <f>VLOOKUP(H2284,'[1]팀별 출판사'!A:B,2,0)</f>
        <v>소설1팀</v>
      </c>
      <c r="W2284" s="6">
        <f t="shared" si="70"/>
        <v>0</v>
      </c>
      <c r="X2284" s="6">
        <f t="shared" si="71"/>
        <v>2240</v>
      </c>
    </row>
    <row r="2285" spans="1:24" x14ac:dyDescent="0.3">
      <c r="A2285" t="s">
        <v>3390</v>
      </c>
      <c r="B2285" t="s">
        <v>3492</v>
      </c>
      <c r="C2285" t="s">
        <v>23</v>
      </c>
      <c r="D2285" t="s">
        <v>24</v>
      </c>
      <c r="E2285" t="s">
        <v>25</v>
      </c>
      <c r="F2285">
        <v>1</v>
      </c>
      <c r="G2285">
        <v>9791170106715</v>
      </c>
      <c r="H2285" t="s">
        <v>67</v>
      </c>
      <c r="I2285" t="s">
        <v>68</v>
      </c>
      <c r="J2285" t="s">
        <v>69</v>
      </c>
      <c r="K2285" t="s">
        <v>29</v>
      </c>
      <c r="L2285">
        <v>0</v>
      </c>
      <c r="M2285" t="s">
        <v>193</v>
      </c>
      <c r="N2285">
        <v>0</v>
      </c>
      <c r="O2285">
        <v>0</v>
      </c>
      <c r="P2285" t="s">
        <v>194</v>
      </c>
      <c r="Q2285" s="2">
        <v>0.7</v>
      </c>
      <c r="R2285">
        <v>0</v>
      </c>
      <c r="V2285" t="str">
        <f>VLOOKUP(H2285,'[1]팀별 출판사'!A:B,2,0)</f>
        <v>소설1팀</v>
      </c>
      <c r="W2285" s="6">
        <f t="shared" si="70"/>
        <v>0</v>
      </c>
      <c r="X2285" s="6">
        <f t="shared" si="71"/>
        <v>0</v>
      </c>
    </row>
    <row r="2286" spans="1:24" x14ac:dyDescent="0.3">
      <c r="A2286" t="s">
        <v>3390</v>
      </c>
      <c r="B2286" t="s">
        <v>3493</v>
      </c>
      <c r="C2286" t="s">
        <v>23</v>
      </c>
      <c r="D2286" t="s">
        <v>24</v>
      </c>
      <c r="E2286" t="s">
        <v>25</v>
      </c>
      <c r="F2286">
        <v>1</v>
      </c>
      <c r="G2286">
        <v>9791170100850</v>
      </c>
      <c r="H2286" t="s">
        <v>67</v>
      </c>
      <c r="I2286" t="s">
        <v>401</v>
      </c>
      <c r="J2286" t="s">
        <v>402</v>
      </c>
      <c r="K2286" t="s">
        <v>29</v>
      </c>
      <c r="L2286">
        <v>0</v>
      </c>
      <c r="M2286" t="s">
        <v>29</v>
      </c>
      <c r="N2286">
        <v>0</v>
      </c>
      <c r="O2286">
        <v>0</v>
      </c>
      <c r="P2286" t="s">
        <v>30</v>
      </c>
      <c r="Q2286" s="2">
        <v>0.7</v>
      </c>
      <c r="R2286">
        <v>0</v>
      </c>
      <c r="V2286" t="str">
        <f>VLOOKUP(H2286,'[1]팀별 출판사'!A:B,2,0)</f>
        <v>소설1팀</v>
      </c>
      <c r="W2286" s="6">
        <f t="shared" si="70"/>
        <v>0</v>
      </c>
      <c r="X2286" s="6">
        <f t="shared" si="71"/>
        <v>0</v>
      </c>
    </row>
    <row r="2287" spans="1:24" x14ac:dyDescent="0.3">
      <c r="A2287" t="s">
        <v>3390</v>
      </c>
      <c r="B2287" t="s">
        <v>3494</v>
      </c>
      <c r="C2287" t="s">
        <v>23</v>
      </c>
      <c r="D2287" t="s">
        <v>24</v>
      </c>
      <c r="E2287" t="s">
        <v>25</v>
      </c>
      <c r="F2287">
        <v>1</v>
      </c>
      <c r="G2287">
        <v>9791173785092</v>
      </c>
      <c r="H2287" t="s">
        <v>26</v>
      </c>
      <c r="I2287" t="s">
        <v>327</v>
      </c>
      <c r="J2287" t="s">
        <v>62</v>
      </c>
      <c r="K2287" t="s">
        <v>29</v>
      </c>
      <c r="L2287">
        <v>0</v>
      </c>
      <c r="M2287" t="s">
        <v>29</v>
      </c>
      <c r="N2287">
        <v>0</v>
      </c>
      <c r="O2287">
        <v>0</v>
      </c>
      <c r="P2287" t="s">
        <v>30</v>
      </c>
      <c r="Q2287" s="2">
        <v>0.7</v>
      </c>
      <c r="R2287">
        <v>0</v>
      </c>
      <c r="V2287" t="str">
        <f>VLOOKUP(H2287,'[1]팀별 출판사'!A:B,2,0)</f>
        <v>소설1팀</v>
      </c>
      <c r="W2287" s="6">
        <f t="shared" si="70"/>
        <v>0</v>
      </c>
      <c r="X2287" s="6">
        <f t="shared" si="71"/>
        <v>0</v>
      </c>
    </row>
    <row r="2288" spans="1:24" x14ac:dyDescent="0.3">
      <c r="A2288" t="s">
        <v>3390</v>
      </c>
      <c r="B2288" t="s">
        <v>3495</v>
      </c>
      <c r="C2288" t="s">
        <v>23</v>
      </c>
      <c r="D2288" t="s">
        <v>24</v>
      </c>
      <c r="E2288" t="s">
        <v>25</v>
      </c>
      <c r="F2288">
        <v>1</v>
      </c>
      <c r="G2288">
        <v>9791136930491</v>
      </c>
      <c r="H2288" t="s">
        <v>26</v>
      </c>
      <c r="I2288" t="s">
        <v>151</v>
      </c>
      <c r="J2288" t="s">
        <v>46</v>
      </c>
      <c r="K2288" t="s">
        <v>29</v>
      </c>
      <c r="L2288">
        <v>0</v>
      </c>
      <c r="M2288" t="s">
        <v>47</v>
      </c>
      <c r="N2288">
        <v>0</v>
      </c>
      <c r="O2288">
        <v>0</v>
      </c>
      <c r="P2288" t="s">
        <v>48</v>
      </c>
      <c r="Q2288" s="2">
        <v>0.7</v>
      </c>
      <c r="R2288">
        <v>0</v>
      </c>
      <c r="V2288" t="str">
        <f>VLOOKUP(H2288,'[1]팀별 출판사'!A:B,2,0)</f>
        <v>소설1팀</v>
      </c>
      <c r="W2288" s="6">
        <f t="shared" si="70"/>
        <v>0</v>
      </c>
      <c r="X2288" s="6">
        <f t="shared" si="71"/>
        <v>0</v>
      </c>
    </row>
    <row r="2289" spans="1:24" x14ac:dyDescent="0.3">
      <c r="A2289" t="s">
        <v>3390</v>
      </c>
      <c r="B2289" t="s">
        <v>3496</v>
      </c>
      <c r="C2289" t="s">
        <v>23</v>
      </c>
      <c r="D2289" t="s">
        <v>24</v>
      </c>
      <c r="E2289" t="s">
        <v>25</v>
      </c>
      <c r="F2289">
        <v>1</v>
      </c>
      <c r="G2289">
        <v>9791136945464</v>
      </c>
      <c r="H2289" t="s">
        <v>263</v>
      </c>
      <c r="I2289" t="s">
        <v>3497</v>
      </c>
      <c r="J2289" t="s">
        <v>3498</v>
      </c>
      <c r="K2289" t="s">
        <v>29</v>
      </c>
      <c r="L2289" s="1">
        <v>2000</v>
      </c>
      <c r="M2289" t="s">
        <v>70</v>
      </c>
      <c r="N2289">
        <v>1.38</v>
      </c>
      <c r="O2289">
        <v>1.38</v>
      </c>
      <c r="P2289" t="s">
        <v>71</v>
      </c>
      <c r="Q2289" s="2">
        <v>0.7</v>
      </c>
      <c r="R2289">
        <v>0.97</v>
      </c>
      <c r="S2289" t="s">
        <v>29</v>
      </c>
      <c r="T2289" s="1">
        <v>1401</v>
      </c>
      <c r="U2289" s="3">
        <v>1443.4159099999999</v>
      </c>
      <c r="V2289" t="str">
        <f>VLOOKUP(H2289,'[1]팀별 출판사'!A:B,2,0)</f>
        <v>소설2팀</v>
      </c>
      <c r="W2289" s="6">
        <f t="shared" si="70"/>
        <v>420.3</v>
      </c>
      <c r="X2289" s="6">
        <f t="shared" si="71"/>
        <v>980.7</v>
      </c>
    </row>
    <row r="2290" spans="1:24" x14ac:dyDescent="0.3">
      <c r="A2290" t="s">
        <v>3390</v>
      </c>
      <c r="B2290" t="s">
        <v>3499</v>
      </c>
      <c r="C2290" t="s">
        <v>23</v>
      </c>
      <c r="D2290" t="s">
        <v>24</v>
      </c>
      <c r="E2290" t="s">
        <v>25</v>
      </c>
      <c r="F2290">
        <v>1</v>
      </c>
      <c r="G2290">
        <v>9791172920142</v>
      </c>
      <c r="H2290" t="s">
        <v>26</v>
      </c>
      <c r="I2290" t="s">
        <v>2061</v>
      </c>
      <c r="J2290" t="s">
        <v>276</v>
      </c>
      <c r="K2290" t="s">
        <v>29</v>
      </c>
      <c r="L2290" s="1">
        <v>3200</v>
      </c>
      <c r="M2290" t="s">
        <v>29</v>
      </c>
      <c r="N2290" s="1">
        <v>3200</v>
      </c>
      <c r="O2290" s="1">
        <v>3200</v>
      </c>
      <c r="P2290" t="s">
        <v>30</v>
      </c>
      <c r="Q2290" s="2">
        <v>0.7</v>
      </c>
      <c r="R2290" s="1">
        <v>2240</v>
      </c>
      <c r="S2290" t="s">
        <v>29</v>
      </c>
      <c r="T2290" s="1">
        <v>2240</v>
      </c>
      <c r="V2290" t="str">
        <f>VLOOKUP(H2290,'[1]팀별 출판사'!A:B,2,0)</f>
        <v>소설1팀</v>
      </c>
      <c r="W2290" s="6">
        <f t="shared" si="70"/>
        <v>0</v>
      </c>
      <c r="X2290" s="6">
        <f t="shared" si="71"/>
        <v>2240</v>
      </c>
    </row>
    <row r="2291" spans="1:24" x14ac:dyDescent="0.3">
      <c r="A2291" t="s">
        <v>3390</v>
      </c>
      <c r="B2291" t="s">
        <v>3500</v>
      </c>
      <c r="C2291" t="s">
        <v>23</v>
      </c>
      <c r="D2291" t="s">
        <v>24</v>
      </c>
      <c r="E2291" t="s">
        <v>25</v>
      </c>
      <c r="F2291">
        <v>1</v>
      </c>
      <c r="G2291">
        <v>9791136932822</v>
      </c>
      <c r="H2291" t="s">
        <v>32</v>
      </c>
      <c r="I2291" t="s">
        <v>3501</v>
      </c>
      <c r="J2291" t="s">
        <v>157</v>
      </c>
      <c r="K2291" t="s">
        <v>29</v>
      </c>
      <c r="L2291" s="1">
        <v>3200</v>
      </c>
      <c r="M2291" t="s">
        <v>29</v>
      </c>
      <c r="N2291" s="1">
        <v>3200</v>
      </c>
      <c r="O2291" s="1">
        <v>3200</v>
      </c>
      <c r="P2291" t="s">
        <v>30</v>
      </c>
      <c r="Q2291" s="2">
        <v>0.7</v>
      </c>
      <c r="R2291" s="1">
        <v>2240</v>
      </c>
      <c r="S2291" t="s">
        <v>29</v>
      </c>
      <c r="T2291" s="1">
        <v>2240</v>
      </c>
      <c r="V2291" t="str">
        <f>VLOOKUP(H2291,'[1]팀별 출판사'!A:B,2,0)</f>
        <v>소설1팀</v>
      </c>
      <c r="W2291" s="6">
        <f t="shared" si="70"/>
        <v>0</v>
      </c>
      <c r="X2291" s="6">
        <f t="shared" si="71"/>
        <v>2240</v>
      </c>
    </row>
    <row r="2292" spans="1:24" x14ac:dyDescent="0.3">
      <c r="A2292" t="s">
        <v>3390</v>
      </c>
      <c r="B2292" t="s">
        <v>3502</v>
      </c>
      <c r="C2292" t="s">
        <v>23</v>
      </c>
      <c r="D2292" t="s">
        <v>24</v>
      </c>
      <c r="E2292" t="s">
        <v>25</v>
      </c>
      <c r="F2292">
        <v>1</v>
      </c>
      <c r="G2292">
        <v>9791136944702</v>
      </c>
      <c r="H2292" t="s">
        <v>26</v>
      </c>
      <c r="I2292" t="s">
        <v>913</v>
      </c>
      <c r="J2292" t="s">
        <v>284</v>
      </c>
      <c r="K2292" t="s">
        <v>29</v>
      </c>
      <c r="L2292">
        <v>0</v>
      </c>
      <c r="M2292" t="s">
        <v>29</v>
      </c>
      <c r="N2292">
        <v>0</v>
      </c>
      <c r="O2292">
        <v>0</v>
      </c>
      <c r="P2292" t="s">
        <v>30</v>
      </c>
      <c r="Q2292" s="2">
        <v>0.7</v>
      </c>
      <c r="R2292">
        <v>0</v>
      </c>
      <c r="V2292" t="str">
        <f>VLOOKUP(H2292,'[1]팀별 출판사'!A:B,2,0)</f>
        <v>소설1팀</v>
      </c>
      <c r="W2292" s="6">
        <f t="shared" si="70"/>
        <v>0</v>
      </c>
      <c r="X2292" s="6">
        <f t="shared" si="71"/>
        <v>0</v>
      </c>
    </row>
    <row r="2293" spans="1:24" x14ac:dyDescent="0.3">
      <c r="A2293" t="s">
        <v>3390</v>
      </c>
      <c r="B2293" t="s">
        <v>3503</v>
      </c>
      <c r="C2293" t="s">
        <v>23</v>
      </c>
      <c r="D2293" t="s">
        <v>24</v>
      </c>
      <c r="E2293" t="s">
        <v>25</v>
      </c>
      <c r="F2293">
        <v>1</v>
      </c>
      <c r="G2293">
        <v>9791133105441</v>
      </c>
      <c r="H2293" t="s">
        <v>32</v>
      </c>
      <c r="I2293" t="s">
        <v>116</v>
      </c>
      <c r="J2293" t="s">
        <v>88</v>
      </c>
      <c r="K2293" t="s">
        <v>29</v>
      </c>
      <c r="L2293">
        <v>0</v>
      </c>
      <c r="M2293" t="s">
        <v>29</v>
      </c>
      <c r="N2293">
        <v>0</v>
      </c>
      <c r="O2293">
        <v>0</v>
      </c>
      <c r="P2293" t="s">
        <v>30</v>
      </c>
      <c r="Q2293" s="2">
        <v>0.7</v>
      </c>
      <c r="R2293">
        <v>0</v>
      </c>
      <c r="V2293" t="str">
        <f>VLOOKUP(H2293,'[1]팀별 출판사'!A:B,2,0)</f>
        <v>소설1팀</v>
      </c>
      <c r="W2293" s="6">
        <f t="shared" si="70"/>
        <v>0</v>
      </c>
      <c r="X2293" s="6">
        <f t="shared" si="71"/>
        <v>0</v>
      </c>
    </row>
    <row r="2294" spans="1:24" x14ac:dyDescent="0.3">
      <c r="A2294" t="s">
        <v>3390</v>
      </c>
      <c r="B2294" t="s">
        <v>3504</v>
      </c>
      <c r="C2294" t="s">
        <v>23</v>
      </c>
      <c r="D2294" t="s">
        <v>24</v>
      </c>
      <c r="E2294" t="s">
        <v>25</v>
      </c>
      <c r="F2294">
        <v>1</v>
      </c>
      <c r="G2294">
        <v>9791133186501</v>
      </c>
      <c r="H2294" t="s">
        <v>26</v>
      </c>
      <c r="I2294" t="s">
        <v>64</v>
      </c>
      <c r="J2294" t="s">
        <v>65</v>
      </c>
      <c r="K2294" t="s">
        <v>29</v>
      </c>
      <c r="L2294">
        <v>0</v>
      </c>
      <c r="M2294" t="s">
        <v>29</v>
      </c>
      <c r="N2294">
        <v>0</v>
      </c>
      <c r="O2294">
        <v>0</v>
      </c>
      <c r="P2294" t="s">
        <v>30</v>
      </c>
      <c r="Q2294" s="2">
        <v>0.7</v>
      </c>
      <c r="R2294">
        <v>0</v>
      </c>
      <c r="V2294" t="str">
        <f>VLOOKUP(H2294,'[1]팀별 출판사'!A:B,2,0)</f>
        <v>소설1팀</v>
      </c>
      <c r="W2294" s="6">
        <f t="shared" si="70"/>
        <v>0</v>
      </c>
      <c r="X2294" s="6">
        <f t="shared" si="71"/>
        <v>0</v>
      </c>
    </row>
    <row r="2295" spans="1:24" x14ac:dyDescent="0.3">
      <c r="A2295" t="s">
        <v>3390</v>
      </c>
      <c r="B2295" t="s">
        <v>3505</v>
      </c>
      <c r="C2295" t="s">
        <v>23</v>
      </c>
      <c r="D2295" t="s">
        <v>24</v>
      </c>
      <c r="E2295" t="s">
        <v>25</v>
      </c>
      <c r="F2295">
        <v>1</v>
      </c>
      <c r="G2295">
        <v>9791136988157</v>
      </c>
      <c r="H2295" t="s">
        <v>26</v>
      </c>
      <c r="I2295" t="s">
        <v>2545</v>
      </c>
      <c r="J2295" t="s">
        <v>28</v>
      </c>
      <c r="K2295" t="s">
        <v>29</v>
      </c>
      <c r="L2295" s="1">
        <v>3200</v>
      </c>
      <c r="M2295" t="s">
        <v>29</v>
      </c>
      <c r="N2295" s="1">
        <v>3200</v>
      </c>
      <c r="O2295" s="1">
        <v>3200</v>
      </c>
      <c r="P2295" t="s">
        <v>30</v>
      </c>
      <c r="Q2295" s="2">
        <v>0.7</v>
      </c>
      <c r="R2295" s="1">
        <v>2240</v>
      </c>
      <c r="S2295" t="s">
        <v>29</v>
      </c>
      <c r="T2295" s="1">
        <v>2240</v>
      </c>
      <c r="V2295" t="str">
        <f>VLOOKUP(H2295,'[1]팀별 출판사'!A:B,2,0)</f>
        <v>소설1팀</v>
      </c>
      <c r="W2295" s="6">
        <f t="shared" si="70"/>
        <v>0</v>
      </c>
      <c r="X2295" s="6">
        <f t="shared" si="71"/>
        <v>2240</v>
      </c>
    </row>
    <row r="2296" spans="1:24" x14ac:dyDescent="0.3">
      <c r="A2296" t="s">
        <v>3390</v>
      </c>
      <c r="B2296" t="s">
        <v>3506</v>
      </c>
      <c r="C2296" t="s">
        <v>23</v>
      </c>
      <c r="D2296" t="s">
        <v>24</v>
      </c>
      <c r="E2296" t="s">
        <v>25</v>
      </c>
      <c r="F2296">
        <v>1</v>
      </c>
      <c r="G2296">
        <v>9791157538034</v>
      </c>
      <c r="H2296" t="s">
        <v>32</v>
      </c>
      <c r="I2296" t="s">
        <v>3297</v>
      </c>
      <c r="J2296" t="s">
        <v>166</v>
      </c>
      <c r="K2296" t="s">
        <v>29</v>
      </c>
      <c r="L2296">
        <v>0</v>
      </c>
      <c r="M2296" t="s">
        <v>29</v>
      </c>
      <c r="N2296">
        <v>0</v>
      </c>
      <c r="O2296">
        <v>0</v>
      </c>
      <c r="P2296" t="s">
        <v>30</v>
      </c>
      <c r="Q2296" s="2">
        <v>0.7</v>
      </c>
      <c r="R2296">
        <v>0</v>
      </c>
      <c r="V2296" t="str">
        <f>VLOOKUP(H2296,'[1]팀별 출판사'!A:B,2,0)</f>
        <v>소설1팀</v>
      </c>
      <c r="W2296" s="6">
        <f t="shared" si="70"/>
        <v>0</v>
      </c>
      <c r="X2296" s="6">
        <f t="shared" si="71"/>
        <v>0</v>
      </c>
    </row>
    <row r="2297" spans="1:24" x14ac:dyDescent="0.3">
      <c r="A2297" t="s">
        <v>3390</v>
      </c>
      <c r="B2297" t="s">
        <v>3507</v>
      </c>
      <c r="C2297" t="s">
        <v>23</v>
      </c>
      <c r="D2297" t="s">
        <v>24</v>
      </c>
      <c r="E2297" t="s">
        <v>25</v>
      </c>
      <c r="F2297">
        <v>1</v>
      </c>
      <c r="G2297">
        <v>9791136907264</v>
      </c>
      <c r="H2297" t="s">
        <v>26</v>
      </c>
      <c r="I2297" t="s">
        <v>3508</v>
      </c>
      <c r="J2297" t="s">
        <v>1348</v>
      </c>
      <c r="K2297" t="s">
        <v>29</v>
      </c>
      <c r="L2297" s="1">
        <v>3200</v>
      </c>
      <c r="M2297" t="s">
        <v>29</v>
      </c>
      <c r="N2297" s="1">
        <v>3200</v>
      </c>
      <c r="O2297" s="1">
        <v>3200</v>
      </c>
      <c r="P2297" t="s">
        <v>30</v>
      </c>
      <c r="Q2297" s="2">
        <v>0.7</v>
      </c>
      <c r="R2297" s="1">
        <v>2240</v>
      </c>
      <c r="S2297" t="s">
        <v>29</v>
      </c>
      <c r="T2297" s="1">
        <v>2240</v>
      </c>
      <c r="V2297" t="str">
        <f>VLOOKUP(H2297,'[1]팀별 출판사'!A:B,2,0)</f>
        <v>소설1팀</v>
      </c>
      <c r="W2297" s="6">
        <f t="shared" si="70"/>
        <v>0</v>
      </c>
      <c r="X2297" s="6">
        <f t="shared" si="71"/>
        <v>2240</v>
      </c>
    </row>
    <row r="2298" spans="1:24" x14ac:dyDescent="0.3">
      <c r="A2298" t="s">
        <v>3390</v>
      </c>
      <c r="B2298" t="s">
        <v>3509</v>
      </c>
      <c r="C2298" t="s">
        <v>23</v>
      </c>
      <c r="D2298" t="s">
        <v>24</v>
      </c>
      <c r="E2298" t="s">
        <v>25</v>
      </c>
      <c r="F2298">
        <v>1</v>
      </c>
      <c r="G2298">
        <v>9791175306660</v>
      </c>
      <c r="H2298" t="s">
        <v>79</v>
      </c>
      <c r="I2298" t="s">
        <v>3510</v>
      </c>
      <c r="J2298" t="s">
        <v>3511</v>
      </c>
      <c r="K2298" t="s">
        <v>29</v>
      </c>
      <c r="L2298">
        <v>0</v>
      </c>
      <c r="M2298" t="s">
        <v>29</v>
      </c>
      <c r="N2298">
        <v>0</v>
      </c>
      <c r="O2298">
        <v>0</v>
      </c>
      <c r="P2298" t="s">
        <v>30</v>
      </c>
      <c r="Q2298" s="2">
        <v>0.7</v>
      </c>
      <c r="R2298">
        <v>0</v>
      </c>
      <c r="V2298" t="str">
        <f>VLOOKUP(H2298,'[1]팀별 출판사'!A:B,2,0)</f>
        <v>소설1팀</v>
      </c>
      <c r="W2298" s="6">
        <f t="shared" si="70"/>
        <v>0</v>
      </c>
      <c r="X2298" s="6">
        <f t="shared" si="71"/>
        <v>0</v>
      </c>
    </row>
    <row r="2299" spans="1:24" x14ac:dyDescent="0.3">
      <c r="A2299" t="s">
        <v>3390</v>
      </c>
      <c r="B2299" t="s">
        <v>3512</v>
      </c>
      <c r="C2299" t="s">
        <v>23</v>
      </c>
      <c r="D2299" t="s">
        <v>24</v>
      </c>
      <c r="E2299" t="s">
        <v>25</v>
      </c>
      <c r="F2299">
        <v>1</v>
      </c>
      <c r="G2299">
        <v>9791136927248</v>
      </c>
      <c r="H2299" t="s">
        <v>36</v>
      </c>
      <c r="I2299" t="s">
        <v>2320</v>
      </c>
      <c r="J2299" t="s">
        <v>38</v>
      </c>
      <c r="K2299" t="s">
        <v>29</v>
      </c>
      <c r="L2299" s="1">
        <v>3300</v>
      </c>
      <c r="M2299" t="s">
        <v>193</v>
      </c>
      <c r="N2299">
        <v>12.55</v>
      </c>
      <c r="O2299">
        <v>12.55</v>
      </c>
      <c r="P2299" t="s">
        <v>194</v>
      </c>
      <c r="Q2299" s="2">
        <v>0.7</v>
      </c>
      <c r="R2299">
        <v>8.7799999999999994</v>
      </c>
      <c r="S2299" t="s">
        <v>29</v>
      </c>
      <c r="T2299" s="1">
        <v>2427</v>
      </c>
      <c r="U2299">
        <v>276.35234000000003</v>
      </c>
      <c r="V2299" t="str">
        <f>VLOOKUP(H2299,'[1]팀별 출판사'!A:B,2,0)</f>
        <v>소설2팀</v>
      </c>
      <c r="W2299" s="6">
        <f t="shared" si="70"/>
        <v>0</v>
      </c>
      <c r="X2299" s="6">
        <f t="shared" si="71"/>
        <v>2427</v>
      </c>
    </row>
    <row r="2300" spans="1:24" x14ac:dyDescent="0.3">
      <c r="A2300" t="s">
        <v>3390</v>
      </c>
      <c r="B2300" t="s">
        <v>3513</v>
      </c>
      <c r="C2300" t="s">
        <v>23</v>
      </c>
      <c r="D2300" t="s">
        <v>24</v>
      </c>
      <c r="E2300" t="s">
        <v>25</v>
      </c>
      <c r="F2300">
        <v>1</v>
      </c>
      <c r="G2300">
        <v>9791173788659</v>
      </c>
      <c r="H2300" t="s">
        <v>79</v>
      </c>
      <c r="I2300" t="s">
        <v>3514</v>
      </c>
      <c r="J2300" t="s">
        <v>3425</v>
      </c>
      <c r="K2300" t="s">
        <v>29</v>
      </c>
      <c r="L2300" s="1">
        <v>3200</v>
      </c>
      <c r="M2300" t="s">
        <v>3426</v>
      </c>
      <c r="N2300">
        <v>1.8</v>
      </c>
      <c r="O2300">
        <v>1.75</v>
      </c>
      <c r="P2300" t="s">
        <v>3427</v>
      </c>
      <c r="Q2300" s="2">
        <v>0.7</v>
      </c>
      <c r="R2300">
        <v>1.22</v>
      </c>
      <c r="S2300" t="s">
        <v>29</v>
      </c>
      <c r="T2300" s="1">
        <v>2290</v>
      </c>
      <c r="U2300" s="3">
        <v>1875.73803</v>
      </c>
      <c r="V2300" t="str">
        <f>VLOOKUP(H2300,'[1]팀별 출판사'!A:B,2,0)</f>
        <v>소설1팀</v>
      </c>
      <c r="W2300" s="6">
        <f t="shared" si="70"/>
        <v>0</v>
      </c>
      <c r="X2300" s="6">
        <f t="shared" si="71"/>
        <v>2290</v>
      </c>
    </row>
    <row r="2301" spans="1:24" x14ac:dyDescent="0.3">
      <c r="A2301" t="s">
        <v>3390</v>
      </c>
      <c r="B2301" t="s">
        <v>3515</v>
      </c>
      <c r="C2301" t="s">
        <v>23</v>
      </c>
      <c r="D2301" t="s">
        <v>24</v>
      </c>
      <c r="E2301" t="s">
        <v>25</v>
      </c>
      <c r="F2301">
        <v>1</v>
      </c>
      <c r="G2301">
        <v>9791136926791</v>
      </c>
      <c r="H2301" t="s">
        <v>26</v>
      </c>
      <c r="I2301" t="s">
        <v>2379</v>
      </c>
      <c r="J2301" t="s">
        <v>62</v>
      </c>
      <c r="K2301" t="s">
        <v>29</v>
      </c>
      <c r="L2301" s="1">
        <v>3200</v>
      </c>
      <c r="M2301" t="s">
        <v>29</v>
      </c>
      <c r="N2301" s="1">
        <v>3200</v>
      </c>
      <c r="O2301" s="1">
        <v>3200</v>
      </c>
      <c r="P2301" t="s">
        <v>30</v>
      </c>
      <c r="Q2301" s="2">
        <v>0.7</v>
      </c>
      <c r="R2301" s="1">
        <v>2240</v>
      </c>
      <c r="S2301" t="s">
        <v>29</v>
      </c>
      <c r="T2301" s="1">
        <v>2240</v>
      </c>
      <c r="V2301" t="str">
        <f>VLOOKUP(H2301,'[1]팀별 출판사'!A:B,2,0)</f>
        <v>소설1팀</v>
      </c>
      <c r="W2301" s="6">
        <f t="shared" si="70"/>
        <v>0</v>
      </c>
      <c r="X2301" s="6">
        <f t="shared" si="71"/>
        <v>2240</v>
      </c>
    </row>
    <row r="2302" spans="1:24" x14ac:dyDescent="0.3">
      <c r="A2302" t="s">
        <v>3390</v>
      </c>
      <c r="B2302" t="s">
        <v>3516</v>
      </c>
      <c r="C2302" t="s">
        <v>23</v>
      </c>
      <c r="D2302" t="s">
        <v>24</v>
      </c>
      <c r="E2302" t="s">
        <v>25</v>
      </c>
      <c r="F2302">
        <v>1</v>
      </c>
      <c r="G2302">
        <v>9791136941862</v>
      </c>
      <c r="H2302" t="s">
        <v>26</v>
      </c>
      <c r="I2302" t="s">
        <v>894</v>
      </c>
      <c r="J2302" t="s">
        <v>81</v>
      </c>
      <c r="K2302" t="s">
        <v>29</v>
      </c>
      <c r="L2302">
        <v>0</v>
      </c>
      <c r="M2302" t="s">
        <v>29</v>
      </c>
      <c r="N2302">
        <v>0</v>
      </c>
      <c r="O2302">
        <v>0</v>
      </c>
      <c r="P2302" t="s">
        <v>30</v>
      </c>
      <c r="Q2302" s="2">
        <v>0.7</v>
      </c>
      <c r="R2302">
        <v>0</v>
      </c>
      <c r="V2302" t="str">
        <f>VLOOKUP(H2302,'[1]팀별 출판사'!A:B,2,0)</f>
        <v>소설1팀</v>
      </c>
      <c r="W2302" s="6">
        <f t="shared" si="70"/>
        <v>0</v>
      </c>
      <c r="X2302" s="6">
        <f t="shared" si="71"/>
        <v>0</v>
      </c>
    </row>
    <row r="2303" spans="1:24" x14ac:dyDescent="0.3">
      <c r="A2303" t="s">
        <v>3390</v>
      </c>
      <c r="B2303" t="s">
        <v>3517</v>
      </c>
      <c r="C2303" t="s">
        <v>23</v>
      </c>
      <c r="D2303" t="s">
        <v>24</v>
      </c>
      <c r="E2303" t="s">
        <v>25</v>
      </c>
      <c r="F2303">
        <v>1</v>
      </c>
      <c r="G2303">
        <v>9791133186501</v>
      </c>
      <c r="H2303" t="s">
        <v>26</v>
      </c>
      <c r="I2303" t="s">
        <v>64</v>
      </c>
      <c r="J2303" t="s">
        <v>65</v>
      </c>
      <c r="K2303" t="s">
        <v>29</v>
      </c>
      <c r="L2303">
        <v>0</v>
      </c>
      <c r="M2303" t="s">
        <v>29</v>
      </c>
      <c r="N2303">
        <v>0</v>
      </c>
      <c r="O2303">
        <v>0</v>
      </c>
      <c r="P2303" t="s">
        <v>30</v>
      </c>
      <c r="Q2303" s="2">
        <v>0.7</v>
      </c>
      <c r="R2303">
        <v>0</v>
      </c>
      <c r="V2303" t="str">
        <f>VLOOKUP(H2303,'[1]팀별 출판사'!A:B,2,0)</f>
        <v>소설1팀</v>
      </c>
      <c r="W2303" s="6">
        <f t="shared" si="70"/>
        <v>0</v>
      </c>
      <c r="X2303" s="6">
        <f t="shared" si="71"/>
        <v>0</v>
      </c>
    </row>
    <row r="2304" spans="1:24" x14ac:dyDescent="0.3">
      <c r="A2304" t="s">
        <v>3390</v>
      </c>
      <c r="B2304" t="s">
        <v>3518</v>
      </c>
      <c r="C2304" t="s">
        <v>23</v>
      </c>
      <c r="D2304" t="s">
        <v>24</v>
      </c>
      <c r="E2304" t="s">
        <v>25</v>
      </c>
      <c r="F2304">
        <v>1</v>
      </c>
      <c r="G2304">
        <v>9791133186501</v>
      </c>
      <c r="H2304" t="s">
        <v>26</v>
      </c>
      <c r="I2304" t="s">
        <v>64</v>
      </c>
      <c r="J2304" t="s">
        <v>65</v>
      </c>
      <c r="K2304" t="s">
        <v>29</v>
      </c>
      <c r="L2304">
        <v>0</v>
      </c>
      <c r="M2304" t="s">
        <v>29</v>
      </c>
      <c r="N2304">
        <v>0</v>
      </c>
      <c r="O2304">
        <v>0</v>
      </c>
      <c r="P2304" t="s">
        <v>30</v>
      </c>
      <c r="Q2304" s="2">
        <v>0.7</v>
      </c>
      <c r="R2304">
        <v>0</v>
      </c>
      <c r="V2304" t="str">
        <f>VLOOKUP(H2304,'[1]팀별 출판사'!A:B,2,0)</f>
        <v>소설1팀</v>
      </c>
      <c r="W2304" s="6">
        <f t="shared" si="70"/>
        <v>0</v>
      </c>
      <c r="X2304" s="6">
        <f t="shared" si="71"/>
        <v>0</v>
      </c>
    </row>
    <row r="2305" spans="1:24" x14ac:dyDescent="0.3">
      <c r="A2305" t="s">
        <v>3390</v>
      </c>
      <c r="B2305" t="s">
        <v>3519</v>
      </c>
      <c r="C2305" t="s">
        <v>23</v>
      </c>
      <c r="D2305" t="s">
        <v>24</v>
      </c>
      <c r="E2305" t="s">
        <v>25</v>
      </c>
      <c r="F2305">
        <v>1</v>
      </c>
      <c r="G2305">
        <v>9791133147762</v>
      </c>
      <c r="H2305" t="s">
        <v>32</v>
      </c>
      <c r="I2305" t="s">
        <v>1293</v>
      </c>
      <c r="J2305" t="s">
        <v>284</v>
      </c>
      <c r="K2305" t="s">
        <v>29</v>
      </c>
      <c r="L2305">
        <v>0</v>
      </c>
      <c r="M2305" t="s">
        <v>29</v>
      </c>
      <c r="N2305">
        <v>0</v>
      </c>
      <c r="O2305">
        <v>0</v>
      </c>
      <c r="P2305" t="s">
        <v>30</v>
      </c>
      <c r="Q2305" s="2">
        <v>0.7</v>
      </c>
      <c r="R2305">
        <v>0</v>
      </c>
      <c r="V2305" t="str">
        <f>VLOOKUP(H2305,'[1]팀별 출판사'!A:B,2,0)</f>
        <v>소설1팀</v>
      </c>
      <c r="W2305" s="6">
        <f t="shared" si="70"/>
        <v>0</v>
      </c>
      <c r="X2305" s="6">
        <f t="shared" si="71"/>
        <v>0</v>
      </c>
    </row>
    <row r="2306" spans="1:24" x14ac:dyDescent="0.3">
      <c r="A2306" t="s">
        <v>3390</v>
      </c>
      <c r="B2306" t="s">
        <v>3520</v>
      </c>
      <c r="C2306" t="s">
        <v>23</v>
      </c>
      <c r="D2306" t="s">
        <v>24</v>
      </c>
      <c r="E2306" t="s">
        <v>25</v>
      </c>
      <c r="F2306">
        <v>1</v>
      </c>
      <c r="G2306">
        <v>9791136930361</v>
      </c>
      <c r="H2306" t="s">
        <v>32</v>
      </c>
      <c r="I2306" t="s">
        <v>33</v>
      </c>
      <c r="J2306" t="s">
        <v>34</v>
      </c>
      <c r="K2306" t="s">
        <v>29</v>
      </c>
      <c r="L2306">
        <v>0</v>
      </c>
      <c r="M2306" t="s">
        <v>29</v>
      </c>
      <c r="N2306">
        <v>0</v>
      </c>
      <c r="O2306">
        <v>0</v>
      </c>
      <c r="P2306" t="s">
        <v>30</v>
      </c>
      <c r="Q2306" s="2">
        <v>0.7</v>
      </c>
      <c r="R2306">
        <v>0</v>
      </c>
      <c r="V2306" t="str">
        <f>VLOOKUP(H2306,'[1]팀별 출판사'!A:B,2,0)</f>
        <v>소설1팀</v>
      </c>
      <c r="W2306" s="6">
        <f t="shared" ref="W2306:W2369" si="72">IF(P2306="US", T2306*30%, 0)</f>
        <v>0</v>
      </c>
      <c r="X2306" s="6">
        <f t="shared" ref="X2306:X2369" si="73">T2306-W2306</f>
        <v>0</v>
      </c>
    </row>
    <row r="2307" spans="1:24" x14ac:dyDescent="0.3">
      <c r="A2307" t="s">
        <v>3390</v>
      </c>
      <c r="B2307" t="s">
        <v>3521</v>
      </c>
      <c r="C2307" t="s">
        <v>23</v>
      </c>
      <c r="D2307" t="s">
        <v>24</v>
      </c>
      <c r="E2307" t="s">
        <v>25</v>
      </c>
      <c r="F2307">
        <v>1</v>
      </c>
      <c r="G2307">
        <v>9791136926807</v>
      </c>
      <c r="H2307" t="s">
        <v>26</v>
      </c>
      <c r="I2307" t="s">
        <v>1947</v>
      </c>
      <c r="J2307" t="s">
        <v>62</v>
      </c>
      <c r="K2307" t="s">
        <v>29</v>
      </c>
      <c r="L2307" s="1">
        <v>3200</v>
      </c>
      <c r="M2307" t="s">
        <v>29</v>
      </c>
      <c r="N2307" s="1">
        <v>3200</v>
      </c>
      <c r="O2307" s="1">
        <v>3200</v>
      </c>
      <c r="P2307" t="s">
        <v>30</v>
      </c>
      <c r="Q2307" s="2">
        <v>0.7</v>
      </c>
      <c r="R2307" s="1">
        <v>2240</v>
      </c>
      <c r="S2307" t="s">
        <v>29</v>
      </c>
      <c r="T2307" s="1">
        <v>2240</v>
      </c>
      <c r="V2307" t="str">
        <f>VLOOKUP(H2307,'[1]팀별 출판사'!A:B,2,0)</f>
        <v>소설1팀</v>
      </c>
      <c r="W2307" s="6">
        <f t="shared" si="72"/>
        <v>0</v>
      </c>
      <c r="X2307" s="6">
        <f t="shared" si="73"/>
        <v>2240</v>
      </c>
    </row>
    <row r="2308" spans="1:24" x14ac:dyDescent="0.3">
      <c r="A2308" t="s">
        <v>3390</v>
      </c>
      <c r="B2308" t="s">
        <v>3522</v>
      </c>
      <c r="C2308" t="s">
        <v>23</v>
      </c>
      <c r="D2308" t="s">
        <v>24</v>
      </c>
      <c r="E2308" t="s">
        <v>25</v>
      </c>
      <c r="F2308">
        <v>1</v>
      </c>
      <c r="G2308">
        <v>9791136903754</v>
      </c>
      <c r="H2308" t="s">
        <v>26</v>
      </c>
      <c r="I2308" t="s">
        <v>361</v>
      </c>
      <c r="J2308" t="s">
        <v>256</v>
      </c>
      <c r="K2308" t="s">
        <v>29</v>
      </c>
      <c r="L2308">
        <v>0</v>
      </c>
      <c r="M2308" t="s">
        <v>29</v>
      </c>
      <c r="N2308">
        <v>0</v>
      </c>
      <c r="O2308">
        <v>0</v>
      </c>
      <c r="P2308" t="s">
        <v>30</v>
      </c>
      <c r="Q2308" s="2">
        <v>0.7</v>
      </c>
      <c r="R2308">
        <v>0</v>
      </c>
      <c r="V2308" t="str">
        <f>VLOOKUP(H2308,'[1]팀별 출판사'!A:B,2,0)</f>
        <v>소설1팀</v>
      </c>
      <c r="W2308" s="6">
        <f t="shared" si="72"/>
        <v>0</v>
      </c>
      <c r="X2308" s="6">
        <f t="shared" si="73"/>
        <v>0</v>
      </c>
    </row>
    <row r="2309" spans="1:24" x14ac:dyDescent="0.3">
      <c r="A2309" t="s">
        <v>3390</v>
      </c>
      <c r="B2309" t="s">
        <v>3523</v>
      </c>
      <c r="C2309" t="s">
        <v>23</v>
      </c>
      <c r="D2309" t="s">
        <v>24</v>
      </c>
      <c r="E2309" t="s">
        <v>25</v>
      </c>
      <c r="F2309">
        <v>1</v>
      </c>
      <c r="G2309">
        <v>9791133106158</v>
      </c>
      <c r="H2309" t="s">
        <v>32</v>
      </c>
      <c r="I2309" t="s">
        <v>3524</v>
      </c>
      <c r="J2309" t="s">
        <v>160</v>
      </c>
      <c r="K2309" t="s">
        <v>29</v>
      </c>
      <c r="L2309" s="1">
        <v>6400</v>
      </c>
      <c r="M2309" t="s">
        <v>29</v>
      </c>
      <c r="N2309" s="1">
        <v>6400</v>
      </c>
      <c r="O2309" s="1">
        <v>6400</v>
      </c>
      <c r="P2309" t="s">
        <v>30</v>
      </c>
      <c r="Q2309" s="2">
        <v>0.7</v>
      </c>
      <c r="R2309" s="1">
        <v>4480</v>
      </c>
      <c r="S2309" t="s">
        <v>29</v>
      </c>
      <c r="T2309" s="1">
        <v>4480</v>
      </c>
      <c r="V2309" t="str">
        <f>VLOOKUP(H2309,'[1]팀별 출판사'!A:B,2,0)</f>
        <v>소설1팀</v>
      </c>
      <c r="W2309" s="6">
        <f t="shared" si="72"/>
        <v>0</v>
      </c>
      <c r="X2309" s="6">
        <f t="shared" si="73"/>
        <v>4480</v>
      </c>
    </row>
    <row r="2310" spans="1:24" x14ac:dyDescent="0.3">
      <c r="A2310" t="s">
        <v>3390</v>
      </c>
      <c r="B2310" t="s">
        <v>3525</v>
      </c>
      <c r="C2310" t="s">
        <v>23</v>
      </c>
      <c r="D2310" t="s">
        <v>24</v>
      </c>
      <c r="E2310" t="s">
        <v>25</v>
      </c>
      <c r="F2310">
        <v>1</v>
      </c>
      <c r="G2310" t="s">
        <v>638</v>
      </c>
      <c r="H2310" t="s">
        <v>32</v>
      </c>
      <c r="I2310" t="s">
        <v>639</v>
      </c>
      <c r="J2310" t="s">
        <v>166</v>
      </c>
      <c r="K2310" t="s">
        <v>29</v>
      </c>
      <c r="L2310">
        <v>0</v>
      </c>
      <c r="M2310" t="s">
        <v>29</v>
      </c>
      <c r="N2310">
        <v>0</v>
      </c>
      <c r="O2310">
        <v>0</v>
      </c>
      <c r="P2310" t="s">
        <v>30</v>
      </c>
      <c r="Q2310" s="2">
        <v>0.7</v>
      </c>
      <c r="R2310">
        <v>0</v>
      </c>
      <c r="V2310" t="str">
        <f>VLOOKUP(H2310,'[1]팀별 출판사'!A:B,2,0)</f>
        <v>소설1팀</v>
      </c>
      <c r="W2310" s="6">
        <f t="shared" si="72"/>
        <v>0</v>
      </c>
      <c r="X2310" s="6">
        <f t="shared" si="73"/>
        <v>0</v>
      </c>
    </row>
    <row r="2311" spans="1:24" x14ac:dyDescent="0.3">
      <c r="A2311" t="s">
        <v>3390</v>
      </c>
      <c r="B2311" t="s">
        <v>3526</v>
      </c>
      <c r="C2311" t="s">
        <v>23</v>
      </c>
      <c r="D2311" t="s">
        <v>24</v>
      </c>
      <c r="E2311" t="s">
        <v>25</v>
      </c>
      <c r="F2311">
        <v>1</v>
      </c>
      <c r="G2311">
        <v>9791136926807</v>
      </c>
      <c r="H2311" t="s">
        <v>26</v>
      </c>
      <c r="I2311" t="s">
        <v>1947</v>
      </c>
      <c r="J2311" t="s">
        <v>62</v>
      </c>
      <c r="K2311" t="s">
        <v>29</v>
      </c>
      <c r="L2311" s="1">
        <v>3200</v>
      </c>
      <c r="M2311" t="s">
        <v>29</v>
      </c>
      <c r="N2311" s="1">
        <v>3200</v>
      </c>
      <c r="O2311" s="1">
        <v>3200</v>
      </c>
      <c r="P2311" t="s">
        <v>30</v>
      </c>
      <c r="Q2311" s="2">
        <v>0.7</v>
      </c>
      <c r="R2311" s="1">
        <v>2240</v>
      </c>
      <c r="S2311" t="s">
        <v>29</v>
      </c>
      <c r="T2311" s="1">
        <v>2240</v>
      </c>
      <c r="V2311" t="str">
        <f>VLOOKUP(H2311,'[1]팀별 출판사'!A:B,2,0)</f>
        <v>소설1팀</v>
      </c>
      <c r="W2311" s="6">
        <f t="shared" si="72"/>
        <v>0</v>
      </c>
      <c r="X2311" s="6">
        <f t="shared" si="73"/>
        <v>2240</v>
      </c>
    </row>
    <row r="2312" spans="1:24" x14ac:dyDescent="0.3">
      <c r="A2312" t="s">
        <v>3390</v>
      </c>
      <c r="B2312" t="s">
        <v>3527</v>
      </c>
      <c r="C2312" t="s">
        <v>23</v>
      </c>
      <c r="D2312" t="s">
        <v>24</v>
      </c>
      <c r="E2312" t="s">
        <v>25</v>
      </c>
      <c r="F2312">
        <v>1</v>
      </c>
      <c r="G2312">
        <v>9791172927165</v>
      </c>
      <c r="H2312" t="s">
        <v>79</v>
      </c>
      <c r="I2312" t="s">
        <v>1841</v>
      </c>
      <c r="J2312" t="s">
        <v>571</v>
      </c>
      <c r="K2312" t="s">
        <v>29</v>
      </c>
      <c r="L2312">
        <v>0</v>
      </c>
      <c r="M2312" t="s">
        <v>29</v>
      </c>
      <c r="N2312">
        <v>0</v>
      </c>
      <c r="O2312">
        <v>0</v>
      </c>
      <c r="P2312" t="s">
        <v>30</v>
      </c>
      <c r="Q2312" s="2">
        <v>0.7</v>
      </c>
      <c r="R2312">
        <v>0</v>
      </c>
      <c r="V2312" t="str">
        <f>VLOOKUP(H2312,'[1]팀별 출판사'!A:B,2,0)</f>
        <v>소설1팀</v>
      </c>
      <c r="W2312" s="6">
        <f t="shared" si="72"/>
        <v>0</v>
      </c>
      <c r="X2312" s="6">
        <f t="shared" si="73"/>
        <v>0</v>
      </c>
    </row>
    <row r="2313" spans="1:24" x14ac:dyDescent="0.3">
      <c r="A2313" t="s">
        <v>3390</v>
      </c>
      <c r="B2313" t="s">
        <v>3528</v>
      </c>
      <c r="C2313" t="s">
        <v>23</v>
      </c>
      <c r="D2313" t="s">
        <v>24</v>
      </c>
      <c r="E2313" t="s">
        <v>25</v>
      </c>
      <c r="F2313">
        <v>1</v>
      </c>
      <c r="G2313">
        <v>9791133144792</v>
      </c>
      <c r="H2313" t="s">
        <v>32</v>
      </c>
      <c r="I2313" t="s">
        <v>223</v>
      </c>
      <c r="J2313" t="s">
        <v>88</v>
      </c>
      <c r="K2313" t="s">
        <v>29</v>
      </c>
      <c r="L2313">
        <v>0</v>
      </c>
      <c r="M2313" t="s">
        <v>29</v>
      </c>
      <c r="N2313">
        <v>0</v>
      </c>
      <c r="O2313">
        <v>0</v>
      </c>
      <c r="P2313" t="s">
        <v>30</v>
      </c>
      <c r="Q2313" s="2">
        <v>0.7</v>
      </c>
      <c r="R2313">
        <v>0</v>
      </c>
      <c r="V2313" t="str">
        <f>VLOOKUP(H2313,'[1]팀별 출판사'!A:B,2,0)</f>
        <v>소설1팀</v>
      </c>
      <c r="W2313" s="6">
        <f t="shared" si="72"/>
        <v>0</v>
      </c>
      <c r="X2313" s="6">
        <f t="shared" si="73"/>
        <v>0</v>
      </c>
    </row>
    <row r="2314" spans="1:24" x14ac:dyDescent="0.3">
      <c r="A2314" t="s">
        <v>3390</v>
      </c>
      <c r="B2314" t="s">
        <v>3529</v>
      </c>
      <c r="C2314" t="s">
        <v>23</v>
      </c>
      <c r="D2314" t="s">
        <v>24</v>
      </c>
      <c r="E2314" t="s">
        <v>25</v>
      </c>
      <c r="F2314">
        <v>1</v>
      </c>
      <c r="G2314">
        <v>9791133180066</v>
      </c>
      <c r="H2314" t="s">
        <v>26</v>
      </c>
      <c r="I2314" t="s">
        <v>320</v>
      </c>
      <c r="J2314" t="s">
        <v>321</v>
      </c>
      <c r="K2314" t="s">
        <v>29</v>
      </c>
      <c r="L2314">
        <v>0</v>
      </c>
      <c r="M2314" t="s">
        <v>29</v>
      </c>
      <c r="N2314">
        <v>0</v>
      </c>
      <c r="O2314">
        <v>0</v>
      </c>
      <c r="P2314" t="s">
        <v>30</v>
      </c>
      <c r="Q2314" s="2">
        <v>0.7</v>
      </c>
      <c r="R2314">
        <v>0</v>
      </c>
      <c r="V2314" t="str">
        <f>VLOOKUP(H2314,'[1]팀별 출판사'!A:B,2,0)</f>
        <v>소설1팀</v>
      </c>
      <c r="W2314" s="6">
        <f t="shared" si="72"/>
        <v>0</v>
      </c>
      <c r="X2314" s="6">
        <f t="shared" si="73"/>
        <v>0</v>
      </c>
    </row>
    <row r="2315" spans="1:24" x14ac:dyDescent="0.3">
      <c r="A2315" t="s">
        <v>3390</v>
      </c>
      <c r="B2315" t="s">
        <v>3530</v>
      </c>
      <c r="C2315" t="s">
        <v>23</v>
      </c>
      <c r="D2315" t="s">
        <v>24</v>
      </c>
      <c r="E2315" t="s">
        <v>25</v>
      </c>
      <c r="F2315">
        <v>1</v>
      </c>
      <c r="G2315">
        <v>9791136944160</v>
      </c>
      <c r="H2315" t="s">
        <v>26</v>
      </c>
      <c r="I2315" t="s">
        <v>3127</v>
      </c>
      <c r="J2315" t="s">
        <v>1692</v>
      </c>
      <c r="K2315" t="s">
        <v>29</v>
      </c>
      <c r="L2315">
        <v>0</v>
      </c>
      <c r="M2315" t="s">
        <v>29</v>
      </c>
      <c r="N2315">
        <v>0</v>
      </c>
      <c r="O2315">
        <v>0</v>
      </c>
      <c r="P2315" t="s">
        <v>30</v>
      </c>
      <c r="Q2315" s="2">
        <v>0.7</v>
      </c>
      <c r="R2315">
        <v>0</v>
      </c>
      <c r="V2315" t="str">
        <f>VLOOKUP(H2315,'[1]팀별 출판사'!A:B,2,0)</f>
        <v>소설1팀</v>
      </c>
      <c r="W2315" s="6">
        <f t="shared" si="72"/>
        <v>0</v>
      </c>
      <c r="X2315" s="6">
        <f t="shared" si="73"/>
        <v>0</v>
      </c>
    </row>
    <row r="2316" spans="1:24" x14ac:dyDescent="0.3">
      <c r="A2316" t="s">
        <v>3390</v>
      </c>
      <c r="B2316" t="s">
        <v>3531</v>
      </c>
      <c r="C2316" t="s">
        <v>23</v>
      </c>
      <c r="D2316" t="s">
        <v>24</v>
      </c>
      <c r="E2316" t="s">
        <v>25</v>
      </c>
      <c r="F2316">
        <v>1</v>
      </c>
      <c r="G2316">
        <v>9791172927004</v>
      </c>
      <c r="H2316" t="s">
        <v>26</v>
      </c>
      <c r="I2316" t="s">
        <v>3532</v>
      </c>
      <c r="J2316" t="s">
        <v>28</v>
      </c>
      <c r="K2316" t="s">
        <v>29</v>
      </c>
      <c r="L2316" s="1">
        <v>3200</v>
      </c>
      <c r="M2316" t="s">
        <v>29</v>
      </c>
      <c r="N2316" s="1">
        <v>3200</v>
      </c>
      <c r="O2316" s="1">
        <v>3200</v>
      </c>
      <c r="P2316" t="s">
        <v>30</v>
      </c>
      <c r="Q2316" s="2">
        <v>0.7</v>
      </c>
      <c r="R2316" s="1">
        <v>2240</v>
      </c>
      <c r="S2316" t="s">
        <v>29</v>
      </c>
      <c r="T2316" s="1">
        <v>2240</v>
      </c>
      <c r="V2316" t="str">
        <f>VLOOKUP(H2316,'[1]팀별 출판사'!A:B,2,0)</f>
        <v>소설1팀</v>
      </c>
      <c r="W2316" s="6">
        <f t="shared" si="72"/>
        <v>0</v>
      </c>
      <c r="X2316" s="6">
        <f t="shared" si="73"/>
        <v>2240</v>
      </c>
    </row>
    <row r="2317" spans="1:24" x14ac:dyDescent="0.3">
      <c r="A2317" t="s">
        <v>3390</v>
      </c>
      <c r="B2317" t="s">
        <v>3533</v>
      </c>
      <c r="C2317" t="s">
        <v>23</v>
      </c>
      <c r="D2317" t="s">
        <v>24</v>
      </c>
      <c r="E2317" t="s">
        <v>25</v>
      </c>
      <c r="F2317">
        <v>1</v>
      </c>
      <c r="G2317">
        <v>9791136912220</v>
      </c>
      <c r="H2317" t="s">
        <v>26</v>
      </c>
      <c r="I2317" t="s">
        <v>529</v>
      </c>
      <c r="J2317" t="s">
        <v>459</v>
      </c>
      <c r="K2317" t="s">
        <v>29</v>
      </c>
      <c r="L2317">
        <v>0</v>
      </c>
      <c r="M2317" t="s">
        <v>29</v>
      </c>
      <c r="N2317">
        <v>0</v>
      </c>
      <c r="O2317">
        <v>0</v>
      </c>
      <c r="P2317" t="s">
        <v>30</v>
      </c>
      <c r="Q2317" s="2">
        <v>0.7</v>
      </c>
      <c r="R2317">
        <v>0</v>
      </c>
      <c r="V2317" t="str">
        <f>VLOOKUP(H2317,'[1]팀별 출판사'!A:B,2,0)</f>
        <v>소설1팀</v>
      </c>
      <c r="W2317" s="6">
        <f t="shared" si="72"/>
        <v>0</v>
      </c>
      <c r="X2317" s="6">
        <f t="shared" si="73"/>
        <v>0</v>
      </c>
    </row>
    <row r="2318" spans="1:24" x14ac:dyDescent="0.3">
      <c r="A2318" t="s">
        <v>3390</v>
      </c>
      <c r="B2318" t="s">
        <v>3534</v>
      </c>
      <c r="C2318" t="s">
        <v>23</v>
      </c>
      <c r="D2318" t="s">
        <v>24</v>
      </c>
      <c r="E2318" t="s">
        <v>25</v>
      </c>
      <c r="F2318">
        <v>1</v>
      </c>
      <c r="G2318">
        <v>9791157539703</v>
      </c>
      <c r="H2318" t="s">
        <v>32</v>
      </c>
      <c r="I2318" t="s">
        <v>3535</v>
      </c>
      <c r="J2318" t="s">
        <v>88</v>
      </c>
      <c r="K2318" t="s">
        <v>29</v>
      </c>
      <c r="L2318" s="1">
        <v>3200</v>
      </c>
      <c r="M2318" t="s">
        <v>29</v>
      </c>
      <c r="N2318" s="1">
        <v>3200</v>
      </c>
      <c r="O2318" s="1">
        <v>3200</v>
      </c>
      <c r="P2318" t="s">
        <v>30</v>
      </c>
      <c r="Q2318" s="2">
        <v>0.7</v>
      </c>
      <c r="R2318" s="1">
        <v>2240</v>
      </c>
      <c r="S2318" t="s">
        <v>29</v>
      </c>
      <c r="T2318" s="1">
        <v>2240</v>
      </c>
      <c r="V2318" t="str">
        <f>VLOOKUP(H2318,'[1]팀별 출판사'!A:B,2,0)</f>
        <v>소설1팀</v>
      </c>
      <c r="W2318" s="6">
        <f t="shared" si="72"/>
        <v>0</v>
      </c>
      <c r="X2318" s="6">
        <f t="shared" si="73"/>
        <v>2240</v>
      </c>
    </row>
    <row r="2319" spans="1:24" x14ac:dyDescent="0.3">
      <c r="A2319" t="s">
        <v>3390</v>
      </c>
      <c r="B2319" t="s">
        <v>3536</v>
      </c>
      <c r="C2319" t="s">
        <v>23</v>
      </c>
      <c r="D2319" t="s">
        <v>24</v>
      </c>
      <c r="E2319" t="s">
        <v>25</v>
      </c>
      <c r="F2319">
        <v>1</v>
      </c>
      <c r="G2319">
        <v>9791157532391</v>
      </c>
      <c r="H2319" t="s">
        <v>32</v>
      </c>
      <c r="I2319" t="s">
        <v>3537</v>
      </c>
      <c r="J2319" t="s">
        <v>112</v>
      </c>
      <c r="K2319" t="s">
        <v>29</v>
      </c>
      <c r="L2319" s="1">
        <v>3200</v>
      </c>
      <c r="M2319" t="s">
        <v>29</v>
      </c>
      <c r="N2319" s="1">
        <v>3200</v>
      </c>
      <c r="O2319" s="1">
        <v>3200</v>
      </c>
      <c r="P2319" t="s">
        <v>30</v>
      </c>
      <c r="Q2319" s="2">
        <v>0.7</v>
      </c>
      <c r="R2319" s="1">
        <v>2240</v>
      </c>
      <c r="S2319" t="s">
        <v>29</v>
      </c>
      <c r="T2319" s="1">
        <v>2240</v>
      </c>
      <c r="V2319" t="str">
        <f>VLOOKUP(H2319,'[1]팀별 출판사'!A:B,2,0)</f>
        <v>소설1팀</v>
      </c>
      <c r="W2319" s="6">
        <f t="shared" si="72"/>
        <v>0</v>
      </c>
      <c r="X2319" s="6">
        <f t="shared" si="73"/>
        <v>2240</v>
      </c>
    </row>
    <row r="2320" spans="1:24" x14ac:dyDescent="0.3">
      <c r="A2320" t="s">
        <v>3390</v>
      </c>
      <c r="B2320" t="s">
        <v>3538</v>
      </c>
      <c r="C2320" t="s">
        <v>23</v>
      </c>
      <c r="D2320" t="s">
        <v>24</v>
      </c>
      <c r="E2320" t="s">
        <v>25</v>
      </c>
      <c r="F2320">
        <v>1</v>
      </c>
      <c r="G2320">
        <v>9791170104483</v>
      </c>
      <c r="H2320" t="s">
        <v>67</v>
      </c>
      <c r="I2320" t="s">
        <v>1058</v>
      </c>
      <c r="J2320" t="s">
        <v>1007</v>
      </c>
      <c r="K2320" t="s">
        <v>29</v>
      </c>
      <c r="L2320">
        <v>0</v>
      </c>
      <c r="M2320" t="s">
        <v>29</v>
      </c>
      <c r="N2320">
        <v>0</v>
      </c>
      <c r="O2320">
        <v>0</v>
      </c>
      <c r="P2320" t="s">
        <v>30</v>
      </c>
      <c r="Q2320" s="2">
        <v>0.7</v>
      </c>
      <c r="R2320">
        <v>0</v>
      </c>
      <c r="V2320" t="str">
        <f>VLOOKUP(H2320,'[1]팀별 출판사'!A:B,2,0)</f>
        <v>소설1팀</v>
      </c>
      <c r="W2320" s="6">
        <f t="shared" si="72"/>
        <v>0</v>
      </c>
      <c r="X2320" s="6">
        <f t="shared" si="73"/>
        <v>0</v>
      </c>
    </row>
    <row r="2321" spans="1:24" x14ac:dyDescent="0.3">
      <c r="A2321" t="s">
        <v>3390</v>
      </c>
      <c r="B2321" t="s">
        <v>3539</v>
      </c>
      <c r="C2321" t="s">
        <v>23</v>
      </c>
      <c r="D2321" t="s">
        <v>24</v>
      </c>
      <c r="E2321" t="s">
        <v>25</v>
      </c>
      <c r="F2321">
        <v>1</v>
      </c>
      <c r="G2321">
        <v>9791136943422</v>
      </c>
      <c r="H2321" t="s">
        <v>26</v>
      </c>
      <c r="I2321" t="s">
        <v>3540</v>
      </c>
      <c r="J2321" t="s">
        <v>284</v>
      </c>
      <c r="K2321" t="s">
        <v>29</v>
      </c>
      <c r="L2321" s="1">
        <v>3200</v>
      </c>
      <c r="M2321" t="s">
        <v>29</v>
      </c>
      <c r="N2321" s="1">
        <v>3200</v>
      </c>
      <c r="O2321" s="1">
        <v>3200</v>
      </c>
      <c r="P2321" t="s">
        <v>30</v>
      </c>
      <c r="Q2321" s="2">
        <v>0.7</v>
      </c>
      <c r="R2321" s="1">
        <v>2240</v>
      </c>
      <c r="S2321" t="s">
        <v>29</v>
      </c>
      <c r="T2321" s="1">
        <v>2240</v>
      </c>
      <c r="V2321" t="str">
        <f>VLOOKUP(H2321,'[1]팀별 출판사'!A:B,2,0)</f>
        <v>소설1팀</v>
      </c>
      <c r="W2321" s="6">
        <f t="shared" si="72"/>
        <v>0</v>
      </c>
      <c r="X2321" s="6">
        <f t="shared" si="73"/>
        <v>2240</v>
      </c>
    </row>
    <row r="2322" spans="1:24" x14ac:dyDescent="0.3">
      <c r="A2322" t="s">
        <v>3390</v>
      </c>
      <c r="B2322" t="s">
        <v>3541</v>
      </c>
      <c r="C2322" t="s">
        <v>23</v>
      </c>
      <c r="D2322" t="s">
        <v>24</v>
      </c>
      <c r="E2322" t="s">
        <v>25</v>
      </c>
      <c r="F2322">
        <v>1</v>
      </c>
      <c r="G2322">
        <v>9791133186501</v>
      </c>
      <c r="H2322" t="s">
        <v>26</v>
      </c>
      <c r="I2322" t="s">
        <v>64</v>
      </c>
      <c r="J2322" t="s">
        <v>65</v>
      </c>
      <c r="K2322" t="s">
        <v>29</v>
      </c>
      <c r="L2322">
        <v>0</v>
      </c>
      <c r="M2322" t="s">
        <v>29</v>
      </c>
      <c r="N2322">
        <v>0</v>
      </c>
      <c r="O2322">
        <v>0</v>
      </c>
      <c r="P2322" t="s">
        <v>30</v>
      </c>
      <c r="Q2322" s="2">
        <v>0.7</v>
      </c>
      <c r="R2322">
        <v>0</v>
      </c>
      <c r="V2322" t="str">
        <f>VLOOKUP(H2322,'[1]팀별 출판사'!A:B,2,0)</f>
        <v>소설1팀</v>
      </c>
      <c r="W2322" s="6">
        <f t="shared" si="72"/>
        <v>0</v>
      </c>
      <c r="X2322" s="6">
        <f t="shared" si="73"/>
        <v>0</v>
      </c>
    </row>
    <row r="2323" spans="1:24" x14ac:dyDescent="0.3">
      <c r="A2323" t="s">
        <v>3390</v>
      </c>
      <c r="B2323" t="s">
        <v>3542</v>
      </c>
      <c r="C2323" t="s">
        <v>23</v>
      </c>
      <c r="D2323" t="s">
        <v>24</v>
      </c>
      <c r="E2323" t="s">
        <v>25</v>
      </c>
      <c r="F2323">
        <v>1</v>
      </c>
      <c r="G2323" t="s">
        <v>638</v>
      </c>
      <c r="H2323" t="s">
        <v>32</v>
      </c>
      <c r="I2323" t="s">
        <v>639</v>
      </c>
      <c r="J2323" t="s">
        <v>166</v>
      </c>
      <c r="K2323" t="s">
        <v>29</v>
      </c>
      <c r="L2323">
        <v>0</v>
      </c>
      <c r="M2323" t="s">
        <v>29</v>
      </c>
      <c r="N2323">
        <v>0</v>
      </c>
      <c r="O2323">
        <v>0</v>
      </c>
      <c r="P2323" t="s">
        <v>30</v>
      </c>
      <c r="Q2323" s="2">
        <v>0.7</v>
      </c>
      <c r="R2323">
        <v>0</v>
      </c>
      <c r="V2323" t="str">
        <f>VLOOKUP(H2323,'[1]팀별 출판사'!A:B,2,0)</f>
        <v>소설1팀</v>
      </c>
      <c r="W2323" s="6">
        <f t="shared" si="72"/>
        <v>0</v>
      </c>
      <c r="X2323" s="6">
        <f t="shared" si="73"/>
        <v>0</v>
      </c>
    </row>
    <row r="2324" spans="1:24" x14ac:dyDescent="0.3">
      <c r="A2324" t="s">
        <v>3390</v>
      </c>
      <c r="B2324" t="s">
        <v>3543</v>
      </c>
      <c r="C2324" t="s">
        <v>23</v>
      </c>
      <c r="D2324" t="s">
        <v>24</v>
      </c>
      <c r="E2324" t="s">
        <v>25</v>
      </c>
      <c r="F2324">
        <v>1</v>
      </c>
      <c r="G2324">
        <v>9791170101321</v>
      </c>
      <c r="H2324" t="s">
        <v>67</v>
      </c>
      <c r="I2324" t="s">
        <v>848</v>
      </c>
      <c r="J2324" t="s">
        <v>414</v>
      </c>
      <c r="K2324" t="s">
        <v>29</v>
      </c>
      <c r="L2324">
        <v>0</v>
      </c>
      <c r="M2324" t="s">
        <v>29</v>
      </c>
      <c r="N2324">
        <v>0</v>
      </c>
      <c r="O2324">
        <v>0</v>
      </c>
      <c r="P2324" t="s">
        <v>30</v>
      </c>
      <c r="Q2324" s="2">
        <v>0.7</v>
      </c>
      <c r="R2324">
        <v>0</v>
      </c>
      <c r="V2324" t="str">
        <f>VLOOKUP(H2324,'[1]팀별 출판사'!A:B,2,0)</f>
        <v>소설1팀</v>
      </c>
      <c r="W2324" s="6">
        <f t="shared" si="72"/>
        <v>0</v>
      </c>
      <c r="X2324" s="6">
        <f t="shared" si="73"/>
        <v>0</v>
      </c>
    </row>
    <row r="2325" spans="1:24" x14ac:dyDescent="0.3">
      <c r="A2325" t="s">
        <v>3390</v>
      </c>
      <c r="B2325" t="s">
        <v>3544</v>
      </c>
      <c r="C2325" t="s">
        <v>23</v>
      </c>
      <c r="D2325" t="s">
        <v>24</v>
      </c>
      <c r="E2325" t="s">
        <v>25</v>
      </c>
      <c r="F2325">
        <v>1</v>
      </c>
      <c r="G2325">
        <v>9791173788901</v>
      </c>
      <c r="H2325" t="s">
        <v>26</v>
      </c>
      <c r="I2325" t="s">
        <v>3545</v>
      </c>
      <c r="J2325" t="s">
        <v>256</v>
      </c>
      <c r="K2325" t="s">
        <v>29</v>
      </c>
      <c r="L2325" s="1">
        <v>3200</v>
      </c>
      <c r="M2325" t="s">
        <v>29</v>
      </c>
      <c r="N2325" s="1">
        <v>3200</v>
      </c>
      <c r="O2325" s="1">
        <v>3200</v>
      </c>
      <c r="P2325" t="s">
        <v>30</v>
      </c>
      <c r="Q2325" s="2">
        <v>0.7</v>
      </c>
      <c r="R2325" s="1">
        <v>2240</v>
      </c>
      <c r="S2325" t="s">
        <v>29</v>
      </c>
      <c r="T2325" s="1">
        <v>2240</v>
      </c>
      <c r="V2325" t="str">
        <f>VLOOKUP(H2325,'[1]팀별 출판사'!A:B,2,0)</f>
        <v>소설1팀</v>
      </c>
      <c r="W2325" s="6">
        <f t="shared" si="72"/>
        <v>0</v>
      </c>
      <c r="X2325" s="6">
        <f t="shared" si="73"/>
        <v>2240</v>
      </c>
    </row>
    <row r="2326" spans="1:24" x14ac:dyDescent="0.3">
      <c r="A2326" t="s">
        <v>3390</v>
      </c>
      <c r="B2326" t="s">
        <v>3546</v>
      </c>
      <c r="C2326" t="s">
        <v>23</v>
      </c>
      <c r="D2326" t="s">
        <v>24</v>
      </c>
      <c r="E2326" t="s">
        <v>25</v>
      </c>
      <c r="F2326">
        <v>1</v>
      </c>
      <c r="G2326">
        <v>9791133186501</v>
      </c>
      <c r="H2326" t="s">
        <v>26</v>
      </c>
      <c r="I2326" t="s">
        <v>64</v>
      </c>
      <c r="J2326" t="s">
        <v>65</v>
      </c>
      <c r="K2326" t="s">
        <v>29</v>
      </c>
      <c r="L2326">
        <v>0</v>
      </c>
      <c r="M2326" t="s">
        <v>29</v>
      </c>
      <c r="N2326">
        <v>0</v>
      </c>
      <c r="O2326">
        <v>0</v>
      </c>
      <c r="P2326" t="s">
        <v>30</v>
      </c>
      <c r="Q2326" s="2">
        <v>0.7</v>
      </c>
      <c r="R2326">
        <v>0</v>
      </c>
      <c r="V2326" t="str">
        <f>VLOOKUP(H2326,'[1]팀별 출판사'!A:B,2,0)</f>
        <v>소설1팀</v>
      </c>
      <c r="W2326" s="6">
        <f t="shared" si="72"/>
        <v>0</v>
      </c>
      <c r="X2326" s="6">
        <f t="shared" si="73"/>
        <v>0</v>
      </c>
    </row>
    <row r="2327" spans="1:24" x14ac:dyDescent="0.3">
      <c r="A2327" t="s">
        <v>3390</v>
      </c>
      <c r="B2327" t="s">
        <v>3547</v>
      </c>
      <c r="C2327" t="s">
        <v>23</v>
      </c>
      <c r="D2327" t="s">
        <v>24</v>
      </c>
      <c r="E2327" t="s">
        <v>25</v>
      </c>
      <c r="F2327">
        <v>1</v>
      </c>
      <c r="G2327">
        <v>9791170106715</v>
      </c>
      <c r="H2327" t="s">
        <v>67</v>
      </c>
      <c r="I2327" t="s">
        <v>68</v>
      </c>
      <c r="J2327" t="s">
        <v>69</v>
      </c>
      <c r="K2327" t="s">
        <v>29</v>
      </c>
      <c r="L2327">
        <v>0</v>
      </c>
      <c r="M2327" t="s">
        <v>1379</v>
      </c>
      <c r="N2327">
        <v>0</v>
      </c>
      <c r="O2327">
        <v>0</v>
      </c>
      <c r="P2327" t="s">
        <v>1380</v>
      </c>
      <c r="Q2327" s="2">
        <v>0.7</v>
      </c>
      <c r="R2327">
        <v>0</v>
      </c>
      <c r="V2327" t="str">
        <f>VLOOKUP(H2327,'[1]팀별 출판사'!A:B,2,0)</f>
        <v>소설1팀</v>
      </c>
      <c r="W2327" s="6">
        <f t="shared" si="72"/>
        <v>0</v>
      </c>
      <c r="X2327" s="6">
        <f t="shared" si="73"/>
        <v>0</v>
      </c>
    </row>
    <row r="2328" spans="1:24" x14ac:dyDescent="0.3">
      <c r="A2328" t="s">
        <v>3390</v>
      </c>
      <c r="B2328" t="s">
        <v>3548</v>
      </c>
      <c r="C2328" t="s">
        <v>23</v>
      </c>
      <c r="D2328" t="s">
        <v>24</v>
      </c>
      <c r="E2328" t="s">
        <v>25</v>
      </c>
      <c r="F2328">
        <v>1</v>
      </c>
      <c r="G2328">
        <v>9791133171446</v>
      </c>
      <c r="H2328" t="s">
        <v>26</v>
      </c>
      <c r="I2328" t="s">
        <v>729</v>
      </c>
      <c r="J2328" t="s">
        <v>287</v>
      </c>
      <c r="K2328" t="s">
        <v>29</v>
      </c>
      <c r="L2328">
        <v>0</v>
      </c>
      <c r="M2328" t="s">
        <v>29</v>
      </c>
      <c r="N2328">
        <v>0</v>
      </c>
      <c r="O2328">
        <v>0</v>
      </c>
      <c r="P2328" t="s">
        <v>30</v>
      </c>
      <c r="Q2328" s="2">
        <v>0.7</v>
      </c>
      <c r="R2328">
        <v>0</v>
      </c>
      <c r="V2328" t="str">
        <f>VLOOKUP(H2328,'[1]팀별 출판사'!A:B,2,0)</f>
        <v>소설1팀</v>
      </c>
      <c r="W2328" s="6">
        <f t="shared" si="72"/>
        <v>0</v>
      </c>
      <c r="X2328" s="6">
        <f t="shared" si="73"/>
        <v>0</v>
      </c>
    </row>
    <row r="2329" spans="1:24" x14ac:dyDescent="0.3">
      <c r="A2329" t="s">
        <v>3390</v>
      </c>
      <c r="B2329" t="s">
        <v>3549</v>
      </c>
      <c r="C2329" t="s">
        <v>23</v>
      </c>
      <c r="D2329" t="s">
        <v>24</v>
      </c>
      <c r="E2329" t="s">
        <v>25</v>
      </c>
      <c r="F2329">
        <v>1</v>
      </c>
      <c r="G2329">
        <v>9791133171453</v>
      </c>
      <c r="H2329" t="s">
        <v>26</v>
      </c>
      <c r="I2329" t="s">
        <v>573</v>
      </c>
      <c r="J2329" t="s">
        <v>287</v>
      </c>
      <c r="K2329" t="s">
        <v>29</v>
      </c>
      <c r="L2329">
        <v>0</v>
      </c>
      <c r="M2329" t="s">
        <v>29</v>
      </c>
      <c r="N2329">
        <v>0</v>
      </c>
      <c r="O2329">
        <v>0</v>
      </c>
      <c r="P2329" t="s">
        <v>30</v>
      </c>
      <c r="Q2329" s="2">
        <v>0.7</v>
      </c>
      <c r="R2329">
        <v>0</v>
      </c>
      <c r="V2329" t="str">
        <f>VLOOKUP(H2329,'[1]팀별 출판사'!A:B,2,0)</f>
        <v>소설1팀</v>
      </c>
      <c r="W2329" s="6">
        <f t="shared" si="72"/>
        <v>0</v>
      </c>
      <c r="X2329" s="6">
        <f t="shared" si="73"/>
        <v>0</v>
      </c>
    </row>
    <row r="2330" spans="1:24" x14ac:dyDescent="0.3">
      <c r="A2330" t="s">
        <v>3390</v>
      </c>
      <c r="B2330" t="s">
        <v>3550</v>
      </c>
      <c r="C2330" t="s">
        <v>23</v>
      </c>
      <c r="D2330" t="s">
        <v>24</v>
      </c>
      <c r="E2330" t="s">
        <v>25</v>
      </c>
      <c r="F2330">
        <v>1</v>
      </c>
      <c r="G2330">
        <v>9791136988164</v>
      </c>
      <c r="H2330" t="s">
        <v>26</v>
      </c>
      <c r="I2330" t="s">
        <v>2110</v>
      </c>
      <c r="J2330" t="s">
        <v>28</v>
      </c>
      <c r="K2330" t="s">
        <v>29</v>
      </c>
      <c r="L2330" s="1">
        <v>3200</v>
      </c>
      <c r="M2330" t="s">
        <v>29</v>
      </c>
      <c r="N2330" s="1">
        <v>3200</v>
      </c>
      <c r="O2330" s="1">
        <v>3200</v>
      </c>
      <c r="P2330" t="s">
        <v>30</v>
      </c>
      <c r="Q2330" s="2">
        <v>0.7</v>
      </c>
      <c r="R2330" s="1">
        <v>2240</v>
      </c>
      <c r="S2330" t="s">
        <v>29</v>
      </c>
      <c r="T2330" s="1">
        <v>2240</v>
      </c>
      <c r="V2330" t="str">
        <f>VLOOKUP(H2330,'[1]팀별 출판사'!A:B,2,0)</f>
        <v>소설1팀</v>
      </c>
      <c r="W2330" s="6">
        <f t="shared" si="72"/>
        <v>0</v>
      </c>
      <c r="X2330" s="6">
        <f t="shared" si="73"/>
        <v>2240</v>
      </c>
    </row>
    <row r="2331" spans="1:24" x14ac:dyDescent="0.3">
      <c r="A2331" t="s">
        <v>3390</v>
      </c>
      <c r="B2331" t="s">
        <v>3551</v>
      </c>
      <c r="C2331" t="s">
        <v>23</v>
      </c>
      <c r="D2331" t="s">
        <v>24</v>
      </c>
      <c r="E2331" t="s">
        <v>25</v>
      </c>
      <c r="F2331">
        <v>1</v>
      </c>
      <c r="G2331">
        <v>9791136926814</v>
      </c>
      <c r="H2331" t="s">
        <v>26</v>
      </c>
      <c r="I2331" t="s">
        <v>2095</v>
      </c>
      <c r="J2331" t="s">
        <v>62</v>
      </c>
      <c r="K2331" t="s">
        <v>29</v>
      </c>
      <c r="L2331" s="1">
        <v>3200</v>
      </c>
      <c r="M2331" t="s">
        <v>29</v>
      </c>
      <c r="N2331" s="1">
        <v>3200</v>
      </c>
      <c r="O2331" s="1">
        <v>3200</v>
      </c>
      <c r="P2331" t="s">
        <v>30</v>
      </c>
      <c r="Q2331" s="2">
        <v>0.7</v>
      </c>
      <c r="R2331" s="1">
        <v>2240</v>
      </c>
      <c r="S2331" t="s">
        <v>29</v>
      </c>
      <c r="T2331" s="1">
        <v>2240</v>
      </c>
      <c r="V2331" t="str">
        <f>VLOOKUP(H2331,'[1]팀별 출판사'!A:B,2,0)</f>
        <v>소설1팀</v>
      </c>
      <c r="W2331" s="6">
        <f t="shared" si="72"/>
        <v>0</v>
      </c>
      <c r="X2331" s="6">
        <f t="shared" si="73"/>
        <v>2240</v>
      </c>
    </row>
    <row r="2332" spans="1:24" x14ac:dyDescent="0.3">
      <c r="A2332" t="s">
        <v>3390</v>
      </c>
      <c r="B2332" t="s">
        <v>3552</v>
      </c>
      <c r="C2332" t="s">
        <v>23</v>
      </c>
      <c r="D2332" t="s">
        <v>24</v>
      </c>
      <c r="E2332" t="s">
        <v>25</v>
      </c>
      <c r="F2332">
        <v>1</v>
      </c>
      <c r="G2332">
        <v>9791136911063</v>
      </c>
      <c r="H2332" t="s">
        <v>32</v>
      </c>
      <c r="I2332" t="s">
        <v>3553</v>
      </c>
      <c r="J2332" t="s">
        <v>160</v>
      </c>
      <c r="K2332" t="s">
        <v>29</v>
      </c>
      <c r="L2332" s="1">
        <v>3200</v>
      </c>
      <c r="M2332" t="s">
        <v>29</v>
      </c>
      <c r="N2332" s="1">
        <v>3200</v>
      </c>
      <c r="O2332" s="1">
        <v>3200</v>
      </c>
      <c r="P2332" t="s">
        <v>30</v>
      </c>
      <c r="Q2332" s="2">
        <v>0.7</v>
      </c>
      <c r="R2332" s="1">
        <v>2240</v>
      </c>
      <c r="S2332" t="s">
        <v>29</v>
      </c>
      <c r="T2332" s="1">
        <v>2240</v>
      </c>
      <c r="V2332" t="str">
        <f>VLOOKUP(H2332,'[1]팀별 출판사'!A:B,2,0)</f>
        <v>소설1팀</v>
      </c>
      <c r="W2332" s="6">
        <f t="shared" si="72"/>
        <v>0</v>
      </c>
      <c r="X2332" s="6">
        <f t="shared" si="73"/>
        <v>2240</v>
      </c>
    </row>
    <row r="2333" spans="1:24" x14ac:dyDescent="0.3">
      <c r="A2333" t="s">
        <v>3390</v>
      </c>
      <c r="B2333" t="s">
        <v>3554</v>
      </c>
      <c r="C2333" t="s">
        <v>23</v>
      </c>
      <c r="D2333" t="s">
        <v>24</v>
      </c>
      <c r="E2333" t="s">
        <v>25</v>
      </c>
      <c r="F2333">
        <v>1</v>
      </c>
      <c r="G2333">
        <v>9791136930224</v>
      </c>
      <c r="H2333" t="s">
        <v>32</v>
      </c>
      <c r="I2333" t="s">
        <v>172</v>
      </c>
      <c r="J2333" t="s">
        <v>46</v>
      </c>
      <c r="K2333" t="s">
        <v>29</v>
      </c>
      <c r="L2333">
        <v>0</v>
      </c>
      <c r="M2333" t="s">
        <v>47</v>
      </c>
      <c r="N2333">
        <v>0</v>
      </c>
      <c r="O2333">
        <v>0</v>
      </c>
      <c r="P2333" t="s">
        <v>48</v>
      </c>
      <c r="Q2333" s="2">
        <v>0.7</v>
      </c>
      <c r="R2333">
        <v>0</v>
      </c>
      <c r="V2333" t="str">
        <f>VLOOKUP(H2333,'[1]팀별 출판사'!A:B,2,0)</f>
        <v>소설1팀</v>
      </c>
      <c r="W2333" s="6">
        <f t="shared" si="72"/>
        <v>0</v>
      </c>
      <c r="X2333" s="6">
        <f t="shared" si="73"/>
        <v>0</v>
      </c>
    </row>
    <row r="2334" spans="1:24" x14ac:dyDescent="0.3">
      <c r="A2334" t="s">
        <v>3390</v>
      </c>
      <c r="B2334" t="s">
        <v>3555</v>
      </c>
      <c r="C2334" t="s">
        <v>23</v>
      </c>
      <c r="D2334" t="s">
        <v>24</v>
      </c>
      <c r="E2334" t="s">
        <v>25</v>
      </c>
      <c r="F2334">
        <v>1</v>
      </c>
      <c r="G2334">
        <v>9791173786006</v>
      </c>
      <c r="H2334" t="s">
        <v>26</v>
      </c>
      <c r="I2334" t="s">
        <v>3556</v>
      </c>
      <c r="J2334" t="s">
        <v>81</v>
      </c>
      <c r="K2334" t="s">
        <v>29</v>
      </c>
      <c r="L2334" s="1">
        <v>3200</v>
      </c>
      <c r="M2334" t="s">
        <v>29</v>
      </c>
      <c r="N2334" s="1">
        <v>3200</v>
      </c>
      <c r="O2334" s="1">
        <v>3200</v>
      </c>
      <c r="P2334" t="s">
        <v>30</v>
      </c>
      <c r="Q2334" s="2">
        <v>0.7</v>
      </c>
      <c r="R2334" s="1">
        <v>2240</v>
      </c>
      <c r="S2334" t="s">
        <v>29</v>
      </c>
      <c r="T2334" s="1">
        <v>2240</v>
      </c>
      <c r="V2334" t="str">
        <f>VLOOKUP(H2334,'[1]팀별 출판사'!A:B,2,0)</f>
        <v>소설1팀</v>
      </c>
      <c r="W2334" s="6">
        <f t="shared" si="72"/>
        <v>0</v>
      </c>
      <c r="X2334" s="6">
        <f t="shared" si="73"/>
        <v>2240</v>
      </c>
    </row>
    <row r="2335" spans="1:24" x14ac:dyDescent="0.3">
      <c r="A2335" t="s">
        <v>3390</v>
      </c>
      <c r="B2335" t="s">
        <v>3557</v>
      </c>
      <c r="C2335" t="s">
        <v>23</v>
      </c>
      <c r="D2335" t="s">
        <v>24</v>
      </c>
      <c r="E2335" t="s">
        <v>25</v>
      </c>
      <c r="F2335">
        <v>1</v>
      </c>
      <c r="G2335">
        <v>9791136988331</v>
      </c>
      <c r="H2335" t="s">
        <v>26</v>
      </c>
      <c r="I2335" t="s">
        <v>2820</v>
      </c>
      <c r="J2335" t="s">
        <v>28</v>
      </c>
      <c r="K2335" t="s">
        <v>29</v>
      </c>
      <c r="L2335" s="1">
        <v>3200</v>
      </c>
      <c r="M2335" t="s">
        <v>29</v>
      </c>
      <c r="N2335" s="1">
        <v>3200</v>
      </c>
      <c r="O2335" s="1">
        <v>3200</v>
      </c>
      <c r="P2335" t="s">
        <v>30</v>
      </c>
      <c r="Q2335" s="2">
        <v>0.7</v>
      </c>
      <c r="R2335" s="1">
        <v>2240</v>
      </c>
      <c r="S2335" t="s">
        <v>29</v>
      </c>
      <c r="T2335" s="1">
        <v>2240</v>
      </c>
      <c r="V2335" t="str">
        <f>VLOOKUP(H2335,'[1]팀별 출판사'!A:B,2,0)</f>
        <v>소설1팀</v>
      </c>
      <c r="W2335" s="6">
        <f t="shared" si="72"/>
        <v>0</v>
      </c>
      <c r="X2335" s="6">
        <f t="shared" si="73"/>
        <v>2240</v>
      </c>
    </row>
    <row r="2336" spans="1:24" x14ac:dyDescent="0.3">
      <c r="A2336" t="s">
        <v>3390</v>
      </c>
      <c r="B2336" t="s">
        <v>3558</v>
      </c>
      <c r="C2336" t="s">
        <v>23</v>
      </c>
      <c r="D2336" t="s">
        <v>24</v>
      </c>
      <c r="E2336" t="s">
        <v>25</v>
      </c>
      <c r="F2336">
        <v>1</v>
      </c>
      <c r="G2336">
        <v>9791136911506</v>
      </c>
      <c r="H2336" t="s">
        <v>26</v>
      </c>
      <c r="I2336" t="s">
        <v>3559</v>
      </c>
      <c r="J2336" t="s">
        <v>1029</v>
      </c>
      <c r="K2336" t="s">
        <v>29</v>
      </c>
      <c r="L2336" s="1">
        <v>3200</v>
      </c>
      <c r="M2336" t="s">
        <v>29</v>
      </c>
      <c r="N2336" s="1">
        <v>3200</v>
      </c>
      <c r="O2336" s="1">
        <v>3200</v>
      </c>
      <c r="P2336" t="s">
        <v>30</v>
      </c>
      <c r="Q2336" s="2">
        <v>0.7</v>
      </c>
      <c r="R2336" s="1">
        <v>2240</v>
      </c>
      <c r="S2336" t="s">
        <v>29</v>
      </c>
      <c r="T2336" s="1">
        <v>2240</v>
      </c>
      <c r="V2336" t="str">
        <f>VLOOKUP(H2336,'[1]팀별 출판사'!A:B,2,0)</f>
        <v>소설1팀</v>
      </c>
      <c r="W2336" s="6">
        <f t="shared" si="72"/>
        <v>0</v>
      </c>
      <c r="X2336" s="6">
        <f t="shared" si="73"/>
        <v>2240</v>
      </c>
    </row>
    <row r="2337" spans="1:24" x14ac:dyDescent="0.3">
      <c r="A2337" t="s">
        <v>3390</v>
      </c>
      <c r="B2337" t="s">
        <v>3558</v>
      </c>
      <c r="C2337" t="s">
        <v>23</v>
      </c>
      <c r="D2337" t="s">
        <v>24</v>
      </c>
      <c r="E2337" t="s">
        <v>25</v>
      </c>
      <c r="F2337">
        <v>1</v>
      </c>
      <c r="G2337">
        <v>9791136911513</v>
      </c>
      <c r="H2337" t="s">
        <v>26</v>
      </c>
      <c r="I2337" t="s">
        <v>3560</v>
      </c>
      <c r="J2337" t="s">
        <v>1029</v>
      </c>
      <c r="K2337" t="s">
        <v>29</v>
      </c>
      <c r="L2337" s="1">
        <v>3200</v>
      </c>
      <c r="M2337" t="s">
        <v>29</v>
      </c>
      <c r="N2337" s="1">
        <v>3200</v>
      </c>
      <c r="O2337" s="1">
        <v>3200</v>
      </c>
      <c r="P2337" t="s">
        <v>30</v>
      </c>
      <c r="Q2337" s="2">
        <v>0.7</v>
      </c>
      <c r="R2337" s="1">
        <v>2240</v>
      </c>
      <c r="S2337" t="s">
        <v>29</v>
      </c>
      <c r="T2337" s="1">
        <v>2240</v>
      </c>
      <c r="V2337" t="str">
        <f>VLOOKUP(H2337,'[1]팀별 출판사'!A:B,2,0)</f>
        <v>소설1팀</v>
      </c>
      <c r="W2337" s="6">
        <f t="shared" si="72"/>
        <v>0</v>
      </c>
      <c r="X2337" s="6">
        <f t="shared" si="73"/>
        <v>2240</v>
      </c>
    </row>
    <row r="2338" spans="1:24" x14ac:dyDescent="0.3">
      <c r="A2338" t="s">
        <v>3390</v>
      </c>
      <c r="B2338" t="s">
        <v>3558</v>
      </c>
      <c r="C2338" t="s">
        <v>23</v>
      </c>
      <c r="D2338" t="s">
        <v>24</v>
      </c>
      <c r="E2338" t="s">
        <v>25</v>
      </c>
      <c r="F2338">
        <v>1</v>
      </c>
      <c r="G2338">
        <v>9791136911520</v>
      </c>
      <c r="H2338" t="s">
        <v>26</v>
      </c>
      <c r="I2338" t="s">
        <v>3561</v>
      </c>
      <c r="J2338" t="s">
        <v>1029</v>
      </c>
      <c r="K2338" t="s">
        <v>29</v>
      </c>
      <c r="L2338" s="1">
        <v>3200</v>
      </c>
      <c r="M2338" t="s">
        <v>29</v>
      </c>
      <c r="N2338" s="1">
        <v>3200</v>
      </c>
      <c r="O2338" s="1">
        <v>3200</v>
      </c>
      <c r="P2338" t="s">
        <v>30</v>
      </c>
      <c r="Q2338" s="2">
        <v>0.7</v>
      </c>
      <c r="R2338" s="1">
        <v>2240</v>
      </c>
      <c r="S2338" t="s">
        <v>29</v>
      </c>
      <c r="T2338" s="1">
        <v>2240</v>
      </c>
      <c r="V2338" t="str">
        <f>VLOOKUP(H2338,'[1]팀별 출판사'!A:B,2,0)</f>
        <v>소설1팀</v>
      </c>
      <c r="W2338" s="6">
        <f t="shared" si="72"/>
        <v>0</v>
      </c>
      <c r="X2338" s="6">
        <f t="shared" si="73"/>
        <v>2240</v>
      </c>
    </row>
    <row r="2339" spans="1:24" x14ac:dyDescent="0.3">
      <c r="A2339" t="s">
        <v>3390</v>
      </c>
      <c r="B2339" t="s">
        <v>3562</v>
      </c>
      <c r="C2339" t="s">
        <v>23</v>
      </c>
      <c r="D2339" t="s">
        <v>24</v>
      </c>
      <c r="E2339" t="s">
        <v>25</v>
      </c>
      <c r="F2339">
        <v>1</v>
      </c>
      <c r="G2339">
        <v>9791133157297</v>
      </c>
      <c r="H2339" t="s">
        <v>32</v>
      </c>
      <c r="I2339" t="s">
        <v>3563</v>
      </c>
      <c r="J2339" t="s">
        <v>51</v>
      </c>
      <c r="K2339" t="s">
        <v>29</v>
      </c>
      <c r="L2339" s="1">
        <v>3000</v>
      </c>
      <c r="M2339" t="s">
        <v>29</v>
      </c>
      <c r="N2339" s="1">
        <v>3000</v>
      </c>
      <c r="O2339" s="1">
        <v>3000</v>
      </c>
      <c r="P2339" t="s">
        <v>30</v>
      </c>
      <c r="Q2339" s="2">
        <v>0.7</v>
      </c>
      <c r="R2339" s="1">
        <v>2100</v>
      </c>
      <c r="S2339" t="s">
        <v>29</v>
      </c>
      <c r="T2339" s="1">
        <v>2100</v>
      </c>
      <c r="V2339" t="str">
        <f>VLOOKUP(H2339,'[1]팀별 출판사'!A:B,2,0)</f>
        <v>소설1팀</v>
      </c>
      <c r="W2339" s="6">
        <f t="shared" si="72"/>
        <v>0</v>
      </c>
      <c r="X2339" s="6">
        <f t="shared" si="73"/>
        <v>2100</v>
      </c>
    </row>
    <row r="2340" spans="1:24" x14ac:dyDescent="0.3">
      <c r="A2340" t="s">
        <v>3390</v>
      </c>
      <c r="B2340" t="s">
        <v>3564</v>
      </c>
      <c r="C2340" t="s">
        <v>23</v>
      </c>
      <c r="D2340" t="s">
        <v>24</v>
      </c>
      <c r="E2340" t="s">
        <v>25</v>
      </c>
      <c r="F2340">
        <v>1</v>
      </c>
      <c r="G2340">
        <v>9791133173020</v>
      </c>
      <c r="H2340" t="s">
        <v>26</v>
      </c>
      <c r="I2340" t="s">
        <v>3565</v>
      </c>
      <c r="J2340" t="s">
        <v>287</v>
      </c>
      <c r="K2340" t="s">
        <v>29</v>
      </c>
      <c r="L2340" s="1">
        <v>2500</v>
      </c>
      <c r="M2340" t="s">
        <v>29</v>
      </c>
      <c r="N2340" s="1">
        <v>2500</v>
      </c>
      <c r="O2340" s="1">
        <v>2500</v>
      </c>
      <c r="P2340" t="s">
        <v>30</v>
      </c>
      <c r="Q2340" s="2">
        <v>0.7</v>
      </c>
      <c r="R2340" s="1">
        <v>1750</v>
      </c>
      <c r="S2340" t="s">
        <v>29</v>
      </c>
      <c r="T2340" s="1">
        <v>1750</v>
      </c>
      <c r="V2340" t="str">
        <f>VLOOKUP(H2340,'[1]팀별 출판사'!A:B,2,0)</f>
        <v>소설1팀</v>
      </c>
      <c r="W2340" s="6">
        <f t="shared" si="72"/>
        <v>0</v>
      </c>
      <c r="X2340" s="6">
        <f t="shared" si="73"/>
        <v>1750</v>
      </c>
    </row>
    <row r="2341" spans="1:24" x14ac:dyDescent="0.3">
      <c r="A2341" t="s">
        <v>3390</v>
      </c>
      <c r="B2341" t="s">
        <v>3566</v>
      </c>
      <c r="C2341" t="s">
        <v>23</v>
      </c>
      <c r="D2341" t="s">
        <v>24</v>
      </c>
      <c r="E2341" t="s">
        <v>25</v>
      </c>
      <c r="F2341">
        <v>1</v>
      </c>
      <c r="G2341">
        <v>9791170100959</v>
      </c>
      <c r="H2341" t="s">
        <v>67</v>
      </c>
      <c r="I2341" t="s">
        <v>423</v>
      </c>
      <c r="J2341" t="s">
        <v>424</v>
      </c>
      <c r="K2341" t="s">
        <v>29</v>
      </c>
      <c r="L2341">
        <v>0</v>
      </c>
      <c r="M2341" t="s">
        <v>29</v>
      </c>
      <c r="N2341">
        <v>0</v>
      </c>
      <c r="O2341">
        <v>0</v>
      </c>
      <c r="P2341" t="s">
        <v>30</v>
      </c>
      <c r="Q2341" s="2">
        <v>0.7</v>
      </c>
      <c r="R2341">
        <v>0</v>
      </c>
      <c r="V2341" t="str">
        <f>VLOOKUP(H2341,'[1]팀별 출판사'!A:B,2,0)</f>
        <v>소설1팀</v>
      </c>
      <c r="W2341" s="6">
        <f t="shared" si="72"/>
        <v>0</v>
      </c>
      <c r="X2341" s="6">
        <f t="shared" si="73"/>
        <v>0</v>
      </c>
    </row>
    <row r="2342" spans="1:24" x14ac:dyDescent="0.3">
      <c r="A2342" t="s">
        <v>3390</v>
      </c>
      <c r="B2342" t="s">
        <v>3567</v>
      </c>
      <c r="C2342" t="s">
        <v>23</v>
      </c>
      <c r="D2342" t="s">
        <v>24</v>
      </c>
      <c r="E2342" t="s">
        <v>25</v>
      </c>
      <c r="F2342">
        <v>1</v>
      </c>
      <c r="G2342">
        <v>9791136926821</v>
      </c>
      <c r="H2342" t="s">
        <v>26</v>
      </c>
      <c r="I2342" t="s">
        <v>3051</v>
      </c>
      <c r="J2342" t="s">
        <v>62</v>
      </c>
      <c r="K2342" t="s">
        <v>29</v>
      </c>
      <c r="L2342" s="1">
        <v>3200</v>
      </c>
      <c r="M2342" t="s">
        <v>29</v>
      </c>
      <c r="N2342" s="1">
        <v>3200</v>
      </c>
      <c r="O2342" s="1">
        <v>3200</v>
      </c>
      <c r="P2342" t="s">
        <v>30</v>
      </c>
      <c r="Q2342" s="2">
        <v>0.7</v>
      </c>
      <c r="R2342" s="1">
        <v>2240</v>
      </c>
      <c r="S2342" t="s">
        <v>29</v>
      </c>
      <c r="T2342" s="1">
        <v>2240</v>
      </c>
      <c r="V2342" t="str">
        <f>VLOOKUP(H2342,'[1]팀별 출판사'!A:B,2,0)</f>
        <v>소설1팀</v>
      </c>
      <c r="W2342" s="6">
        <f t="shared" si="72"/>
        <v>0</v>
      </c>
      <c r="X2342" s="6">
        <f t="shared" si="73"/>
        <v>2240</v>
      </c>
    </row>
    <row r="2343" spans="1:24" x14ac:dyDescent="0.3">
      <c r="A2343" t="s">
        <v>3390</v>
      </c>
      <c r="B2343" t="s">
        <v>3568</v>
      </c>
      <c r="C2343" t="s">
        <v>23</v>
      </c>
      <c r="D2343" t="s">
        <v>24</v>
      </c>
      <c r="E2343" t="s">
        <v>25</v>
      </c>
      <c r="F2343">
        <v>1</v>
      </c>
      <c r="G2343">
        <v>9791172920036</v>
      </c>
      <c r="H2343" t="s">
        <v>26</v>
      </c>
      <c r="I2343" t="s">
        <v>3569</v>
      </c>
      <c r="J2343" t="s">
        <v>276</v>
      </c>
      <c r="K2343" t="s">
        <v>29</v>
      </c>
      <c r="L2343" s="1">
        <v>3200</v>
      </c>
      <c r="M2343" t="s">
        <v>29</v>
      </c>
      <c r="N2343" s="1">
        <v>3200</v>
      </c>
      <c r="O2343" s="1">
        <v>3200</v>
      </c>
      <c r="P2343" t="s">
        <v>30</v>
      </c>
      <c r="Q2343" s="2">
        <v>0.7</v>
      </c>
      <c r="R2343" s="1">
        <v>2240</v>
      </c>
      <c r="S2343" t="s">
        <v>29</v>
      </c>
      <c r="T2343" s="1">
        <v>2240</v>
      </c>
      <c r="V2343" t="str">
        <f>VLOOKUP(H2343,'[1]팀별 출판사'!A:B,2,0)</f>
        <v>소설1팀</v>
      </c>
      <c r="W2343" s="6">
        <f t="shared" si="72"/>
        <v>0</v>
      </c>
      <c r="X2343" s="6">
        <f t="shared" si="73"/>
        <v>2240</v>
      </c>
    </row>
    <row r="2344" spans="1:24" x14ac:dyDescent="0.3">
      <c r="A2344" t="s">
        <v>3390</v>
      </c>
      <c r="B2344" t="s">
        <v>3570</v>
      </c>
      <c r="C2344" t="s">
        <v>23</v>
      </c>
      <c r="D2344" t="s">
        <v>24</v>
      </c>
      <c r="E2344" t="s">
        <v>25</v>
      </c>
      <c r="F2344">
        <v>1</v>
      </c>
      <c r="G2344">
        <v>9791136928030</v>
      </c>
      <c r="H2344" t="s">
        <v>26</v>
      </c>
      <c r="I2344" t="s">
        <v>366</v>
      </c>
      <c r="J2344" t="s">
        <v>367</v>
      </c>
      <c r="K2344" t="s">
        <v>29</v>
      </c>
      <c r="L2344">
        <v>0</v>
      </c>
      <c r="M2344" t="s">
        <v>29</v>
      </c>
      <c r="N2344">
        <v>0</v>
      </c>
      <c r="O2344">
        <v>0</v>
      </c>
      <c r="P2344" t="s">
        <v>30</v>
      </c>
      <c r="Q2344" s="2">
        <v>0.7</v>
      </c>
      <c r="R2344">
        <v>0</v>
      </c>
      <c r="V2344" t="str">
        <f>VLOOKUP(H2344,'[1]팀별 출판사'!A:B,2,0)</f>
        <v>소설1팀</v>
      </c>
      <c r="W2344" s="6">
        <f t="shared" si="72"/>
        <v>0</v>
      </c>
      <c r="X2344" s="6">
        <f t="shared" si="73"/>
        <v>0</v>
      </c>
    </row>
    <row r="2345" spans="1:24" x14ac:dyDescent="0.3">
      <c r="A2345" t="s">
        <v>3390</v>
      </c>
      <c r="B2345" t="s">
        <v>3571</v>
      </c>
      <c r="C2345" t="s">
        <v>23</v>
      </c>
      <c r="D2345" t="s">
        <v>24</v>
      </c>
      <c r="E2345" t="s">
        <v>25</v>
      </c>
      <c r="F2345">
        <v>1</v>
      </c>
      <c r="G2345">
        <v>9791173789113</v>
      </c>
      <c r="H2345" t="s">
        <v>79</v>
      </c>
      <c r="I2345" t="s">
        <v>3572</v>
      </c>
      <c r="J2345" t="s">
        <v>3425</v>
      </c>
      <c r="K2345" t="s">
        <v>29</v>
      </c>
      <c r="L2345" s="1">
        <v>3200</v>
      </c>
      <c r="M2345" t="s">
        <v>3426</v>
      </c>
      <c r="N2345">
        <v>1.8</v>
      </c>
      <c r="O2345">
        <v>1.75</v>
      </c>
      <c r="P2345" t="s">
        <v>3427</v>
      </c>
      <c r="Q2345" s="2">
        <v>0.7</v>
      </c>
      <c r="R2345">
        <v>1.22</v>
      </c>
      <c r="S2345" t="s">
        <v>29</v>
      </c>
      <c r="T2345" s="1">
        <v>2294</v>
      </c>
      <c r="U2345" s="3">
        <v>1875.73803</v>
      </c>
      <c r="V2345" t="str">
        <f>VLOOKUP(H2345,'[1]팀별 출판사'!A:B,2,0)</f>
        <v>소설1팀</v>
      </c>
      <c r="W2345" s="6">
        <f t="shared" si="72"/>
        <v>0</v>
      </c>
      <c r="X2345" s="6">
        <f t="shared" si="73"/>
        <v>2294</v>
      </c>
    </row>
    <row r="2346" spans="1:24" x14ac:dyDescent="0.3">
      <c r="A2346" t="s">
        <v>3390</v>
      </c>
      <c r="B2346" t="s">
        <v>3573</v>
      </c>
      <c r="C2346" t="s">
        <v>23</v>
      </c>
      <c r="D2346" t="s">
        <v>24</v>
      </c>
      <c r="E2346" t="s">
        <v>25</v>
      </c>
      <c r="F2346">
        <v>1</v>
      </c>
      <c r="G2346">
        <v>9791172925789</v>
      </c>
      <c r="H2346" t="s">
        <v>26</v>
      </c>
      <c r="I2346" t="s">
        <v>3032</v>
      </c>
      <c r="J2346" t="s">
        <v>937</v>
      </c>
      <c r="K2346" t="s">
        <v>29</v>
      </c>
      <c r="L2346">
        <v>0</v>
      </c>
      <c r="M2346" t="s">
        <v>29</v>
      </c>
      <c r="N2346">
        <v>0</v>
      </c>
      <c r="O2346">
        <v>0</v>
      </c>
      <c r="P2346" t="s">
        <v>30</v>
      </c>
      <c r="Q2346" s="2">
        <v>0.7</v>
      </c>
      <c r="R2346">
        <v>0</v>
      </c>
      <c r="V2346" t="str">
        <f>VLOOKUP(H2346,'[1]팀별 출판사'!A:B,2,0)</f>
        <v>소설1팀</v>
      </c>
      <c r="W2346" s="6">
        <f t="shared" si="72"/>
        <v>0</v>
      </c>
      <c r="X2346" s="6">
        <f t="shared" si="73"/>
        <v>0</v>
      </c>
    </row>
    <row r="2347" spans="1:24" x14ac:dyDescent="0.3">
      <c r="A2347" t="s">
        <v>3574</v>
      </c>
      <c r="B2347" t="s">
        <v>3575</v>
      </c>
      <c r="C2347" t="s">
        <v>23</v>
      </c>
      <c r="D2347" t="s">
        <v>24</v>
      </c>
      <c r="E2347" t="s">
        <v>25</v>
      </c>
      <c r="F2347">
        <v>1</v>
      </c>
      <c r="G2347">
        <v>9791136967114</v>
      </c>
      <c r="H2347" t="s">
        <v>26</v>
      </c>
      <c r="I2347" t="s">
        <v>3455</v>
      </c>
      <c r="J2347" t="s">
        <v>300</v>
      </c>
      <c r="K2347" t="s">
        <v>29</v>
      </c>
      <c r="L2347">
        <v>0</v>
      </c>
      <c r="M2347" t="s">
        <v>29</v>
      </c>
      <c r="N2347">
        <v>0</v>
      </c>
      <c r="O2347">
        <v>0</v>
      </c>
      <c r="P2347" t="s">
        <v>30</v>
      </c>
      <c r="Q2347" s="2">
        <v>0.7</v>
      </c>
      <c r="R2347">
        <v>0</v>
      </c>
      <c r="V2347" t="str">
        <f>VLOOKUP(H2347,'[1]팀별 출판사'!A:B,2,0)</f>
        <v>소설1팀</v>
      </c>
      <c r="W2347" s="6">
        <f t="shared" si="72"/>
        <v>0</v>
      </c>
      <c r="X2347" s="6">
        <f t="shared" si="73"/>
        <v>0</v>
      </c>
    </row>
    <row r="2348" spans="1:24" x14ac:dyDescent="0.3">
      <c r="A2348" t="s">
        <v>3574</v>
      </c>
      <c r="B2348" t="s">
        <v>3576</v>
      </c>
      <c r="C2348" t="s">
        <v>23</v>
      </c>
      <c r="D2348" t="s">
        <v>24</v>
      </c>
      <c r="E2348" t="s">
        <v>25</v>
      </c>
      <c r="F2348">
        <v>1</v>
      </c>
      <c r="G2348">
        <v>9791136988164</v>
      </c>
      <c r="H2348" t="s">
        <v>26</v>
      </c>
      <c r="I2348" t="s">
        <v>2110</v>
      </c>
      <c r="J2348" t="s">
        <v>28</v>
      </c>
      <c r="K2348" t="s">
        <v>29</v>
      </c>
      <c r="L2348" s="1">
        <v>3200</v>
      </c>
      <c r="M2348" t="s">
        <v>29</v>
      </c>
      <c r="N2348" s="1">
        <v>3200</v>
      </c>
      <c r="O2348" s="1">
        <v>3200</v>
      </c>
      <c r="P2348" t="s">
        <v>30</v>
      </c>
      <c r="Q2348" s="2">
        <v>0.7</v>
      </c>
      <c r="R2348" s="1">
        <v>2240</v>
      </c>
      <c r="S2348" t="s">
        <v>29</v>
      </c>
      <c r="T2348" s="1">
        <v>2240</v>
      </c>
      <c r="V2348" t="str">
        <f>VLOOKUP(H2348,'[1]팀별 출판사'!A:B,2,0)</f>
        <v>소설1팀</v>
      </c>
      <c r="W2348" s="6">
        <f t="shared" si="72"/>
        <v>0</v>
      </c>
      <c r="X2348" s="6">
        <f t="shared" si="73"/>
        <v>2240</v>
      </c>
    </row>
    <row r="2349" spans="1:24" x14ac:dyDescent="0.3">
      <c r="A2349" t="s">
        <v>3574</v>
      </c>
      <c r="B2349" t="s">
        <v>3577</v>
      </c>
      <c r="C2349" t="s">
        <v>23</v>
      </c>
      <c r="D2349" t="s">
        <v>24</v>
      </c>
      <c r="E2349" t="s">
        <v>25</v>
      </c>
      <c r="F2349">
        <v>1</v>
      </c>
      <c r="G2349">
        <v>9791157531912</v>
      </c>
      <c r="H2349" t="s">
        <v>32</v>
      </c>
      <c r="I2349" t="s">
        <v>1449</v>
      </c>
      <c r="J2349" t="s">
        <v>88</v>
      </c>
      <c r="K2349" t="s">
        <v>29</v>
      </c>
      <c r="L2349">
        <v>0</v>
      </c>
      <c r="M2349" t="s">
        <v>29</v>
      </c>
      <c r="N2349">
        <v>0</v>
      </c>
      <c r="O2349">
        <v>0</v>
      </c>
      <c r="P2349" t="s">
        <v>30</v>
      </c>
      <c r="Q2349" s="2">
        <v>0.7</v>
      </c>
      <c r="R2349">
        <v>0</v>
      </c>
      <c r="V2349" t="str">
        <f>VLOOKUP(H2349,'[1]팀별 출판사'!A:B,2,0)</f>
        <v>소설1팀</v>
      </c>
      <c r="W2349" s="6">
        <f t="shared" si="72"/>
        <v>0</v>
      </c>
      <c r="X2349" s="6">
        <f t="shared" si="73"/>
        <v>0</v>
      </c>
    </row>
    <row r="2350" spans="1:24" x14ac:dyDescent="0.3">
      <c r="A2350" t="s">
        <v>3574</v>
      </c>
      <c r="B2350" t="s">
        <v>3578</v>
      </c>
      <c r="C2350" t="s">
        <v>23</v>
      </c>
      <c r="D2350" t="s">
        <v>24</v>
      </c>
      <c r="E2350" t="s">
        <v>25</v>
      </c>
      <c r="F2350">
        <v>1</v>
      </c>
      <c r="G2350">
        <v>9791170101079</v>
      </c>
      <c r="H2350" t="s">
        <v>67</v>
      </c>
      <c r="I2350" t="s">
        <v>3579</v>
      </c>
      <c r="J2350" t="s">
        <v>3580</v>
      </c>
      <c r="K2350" t="s">
        <v>29</v>
      </c>
      <c r="L2350">
        <v>0</v>
      </c>
      <c r="M2350" t="s">
        <v>29</v>
      </c>
      <c r="N2350">
        <v>0</v>
      </c>
      <c r="O2350">
        <v>0</v>
      </c>
      <c r="P2350" t="s">
        <v>30</v>
      </c>
      <c r="Q2350" s="2">
        <v>0.7</v>
      </c>
      <c r="R2350">
        <v>0</v>
      </c>
      <c r="V2350" t="str">
        <f>VLOOKUP(H2350,'[1]팀별 출판사'!A:B,2,0)</f>
        <v>소설1팀</v>
      </c>
      <c r="W2350" s="6">
        <f t="shared" si="72"/>
        <v>0</v>
      </c>
      <c r="X2350" s="6">
        <f t="shared" si="73"/>
        <v>0</v>
      </c>
    </row>
    <row r="2351" spans="1:24" x14ac:dyDescent="0.3">
      <c r="A2351" t="s">
        <v>3574</v>
      </c>
      <c r="B2351" t="s">
        <v>3581</v>
      </c>
      <c r="C2351" t="s">
        <v>23</v>
      </c>
      <c r="D2351" t="s">
        <v>24</v>
      </c>
      <c r="E2351" t="s">
        <v>25</v>
      </c>
      <c r="F2351">
        <v>1</v>
      </c>
      <c r="G2351">
        <v>9791136941862</v>
      </c>
      <c r="H2351" t="s">
        <v>26</v>
      </c>
      <c r="I2351" t="s">
        <v>894</v>
      </c>
      <c r="J2351" t="s">
        <v>81</v>
      </c>
      <c r="K2351" t="s">
        <v>29</v>
      </c>
      <c r="L2351">
        <v>0</v>
      </c>
      <c r="M2351" t="s">
        <v>127</v>
      </c>
      <c r="N2351">
        <v>0</v>
      </c>
      <c r="O2351">
        <v>0</v>
      </c>
      <c r="P2351" t="s">
        <v>128</v>
      </c>
      <c r="Q2351" s="2">
        <v>0.7</v>
      </c>
      <c r="R2351">
        <v>0</v>
      </c>
      <c r="V2351" t="str">
        <f>VLOOKUP(H2351,'[1]팀별 출판사'!A:B,2,0)</f>
        <v>소설1팀</v>
      </c>
      <c r="W2351" s="6">
        <f t="shared" si="72"/>
        <v>0</v>
      </c>
      <c r="X2351" s="6">
        <f t="shared" si="73"/>
        <v>0</v>
      </c>
    </row>
    <row r="2352" spans="1:24" x14ac:dyDescent="0.3">
      <c r="A2352" t="s">
        <v>3574</v>
      </c>
      <c r="B2352" t="s">
        <v>3582</v>
      </c>
      <c r="C2352" t="s">
        <v>23</v>
      </c>
      <c r="D2352" t="s">
        <v>24</v>
      </c>
      <c r="E2352" t="s">
        <v>25</v>
      </c>
      <c r="F2352">
        <v>1</v>
      </c>
      <c r="G2352">
        <v>9791136926838</v>
      </c>
      <c r="H2352" t="s">
        <v>26</v>
      </c>
      <c r="I2352" t="s">
        <v>3220</v>
      </c>
      <c r="J2352" t="s">
        <v>62</v>
      </c>
      <c r="K2352" t="s">
        <v>29</v>
      </c>
      <c r="L2352" s="1">
        <v>3200</v>
      </c>
      <c r="M2352" t="s">
        <v>29</v>
      </c>
      <c r="N2352" s="1">
        <v>3200</v>
      </c>
      <c r="O2352" s="1">
        <v>3200</v>
      </c>
      <c r="P2352" t="s">
        <v>30</v>
      </c>
      <c r="Q2352" s="2">
        <v>0.7</v>
      </c>
      <c r="R2352" s="1">
        <v>2240</v>
      </c>
      <c r="S2352" t="s">
        <v>29</v>
      </c>
      <c r="T2352" s="1">
        <v>2240</v>
      </c>
      <c r="V2352" t="str">
        <f>VLOOKUP(H2352,'[1]팀별 출판사'!A:B,2,0)</f>
        <v>소설1팀</v>
      </c>
      <c r="W2352" s="6">
        <f t="shared" si="72"/>
        <v>0</v>
      </c>
      <c r="X2352" s="6">
        <f t="shared" si="73"/>
        <v>2240</v>
      </c>
    </row>
    <row r="2353" spans="1:24" x14ac:dyDescent="0.3">
      <c r="A2353" t="s">
        <v>3574</v>
      </c>
      <c r="B2353" t="s">
        <v>3583</v>
      </c>
      <c r="C2353" t="s">
        <v>23</v>
      </c>
      <c r="D2353" t="s">
        <v>24</v>
      </c>
      <c r="E2353" t="s">
        <v>25</v>
      </c>
      <c r="F2353">
        <v>1</v>
      </c>
      <c r="G2353">
        <v>9791133171415</v>
      </c>
      <c r="H2353" t="s">
        <v>26</v>
      </c>
      <c r="I2353" t="s">
        <v>3584</v>
      </c>
      <c r="J2353" t="s">
        <v>287</v>
      </c>
      <c r="K2353" t="s">
        <v>29</v>
      </c>
      <c r="L2353">
        <v>0</v>
      </c>
      <c r="M2353" t="s">
        <v>948</v>
      </c>
      <c r="N2353">
        <v>0</v>
      </c>
      <c r="O2353">
        <v>0</v>
      </c>
      <c r="P2353" t="s">
        <v>949</v>
      </c>
      <c r="Q2353" s="2">
        <v>0.7</v>
      </c>
      <c r="R2353">
        <v>0</v>
      </c>
      <c r="V2353" t="str">
        <f>VLOOKUP(H2353,'[1]팀별 출판사'!A:B,2,0)</f>
        <v>소설1팀</v>
      </c>
      <c r="W2353" s="6">
        <f t="shared" si="72"/>
        <v>0</v>
      </c>
      <c r="X2353" s="6">
        <f t="shared" si="73"/>
        <v>0</v>
      </c>
    </row>
    <row r="2354" spans="1:24" x14ac:dyDescent="0.3">
      <c r="A2354" t="s">
        <v>3574</v>
      </c>
      <c r="B2354" t="s">
        <v>3585</v>
      </c>
      <c r="C2354" t="s">
        <v>23</v>
      </c>
      <c r="D2354" t="s">
        <v>24</v>
      </c>
      <c r="E2354" t="s">
        <v>25</v>
      </c>
      <c r="F2354">
        <v>1</v>
      </c>
      <c r="G2354">
        <v>9791157534258</v>
      </c>
      <c r="H2354" t="s">
        <v>32</v>
      </c>
      <c r="I2354" t="s">
        <v>3586</v>
      </c>
      <c r="J2354" t="s">
        <v>112</v>
      </c>
      <c r="K2354" t="s">
        <v>29</v>
      </c>
      <c r="L2354" s="1">
        <v>3200</v>
      </c>
      <c r="M2354" t="s">
        <v>29</v>
      </c>
      <c r="N2354" s="1">
        <v>3200</v>
      </c>
      <c r="O2354" s="1">
        <v>3200</v>
      </c>
      <c r="P2354" t="s">
        <v>30</v>
      </c>
      <c r="Q2354" s="2">
        <v>0.7</v>
      </c>
      <c r="R2354" s="1">
        <v>2240</v>
      </c>
      <c r="S2354" t="s">
        <v>29</v>
      </c>
      <c r="T2354" s="1">
        <v>2240</v>
      </c>
      <c r="V2354" t="str">
        <f>VLOOKUP(H2354,'[1]팀별 출판사'!A:B,2,0)</f>
        <v>소설1팀</v>
      </c>
      <c r="W2354" s="6">
        <f t="shared" si="72"/>
        <v>0</v>
      </c>
      <c r="X2354" s="6">
        <f t="shared" si="73"/>
        <v>2240</v>
      </c>
    </row>
    <row r="2355" spans="1:24" x14ac:dyDescent="0.3">
      <c r="A2355" t="s">
        <v>3574</v>
      </c>
      <c r="B2355" t="s">
        <v>3587</v>
      </c>
      <c r="C2355" t="s">
        <v>23</v>
      </c>
      <c r="D2355" t="s">
        <v>24</v>
      </c>
      <c r="E2355" t="s">
        <v>25</v>
      </c>
      <c r="F2355">
        <v>1</v>
      </c>
      <c r="G2355">
        <v>9791173783647</v>
      </c>
      <c r="H2355" t="s">
        <v>1617</v>
      </c>
      <c r="I2355" t="s">
        <v>3588</v>
      </c>
      <c r="J2355" t="s">
        <v>3589</v>
      </c>
      <c r="K2355" t="s">
        <v>29</v>
      </c>
      <c r="L2355" s="1">
        <v>3600</v>
      </c>
      <c r="M2355" t="s">
        <v>70</v>
      </c>
      <c r="N2355">
        <v>2.4900000000000002</v>
      </c>
      <c r="O2355">
        <v>2.4900000000000002</v>
      </c>
      <c r="P2355" t="s">
        <v>71</v>
      </c>
      <c r="Q2355" s="2">
        <v>0.7</v>
      </c>
      <c r="R2355">
        <v>1.74</v>
      </c>
      <c r="S2355" t="s">
        <v>29</v>
      </c>
      <c r="T2355" s="1">
        <v>2510</v>
      </c>
      <c r="U2355" s="3">
        <v>1444.59356</v>
      </c>
      <c r="V2355" t="str">
        <f>VLOOKUP(H2355,'[1]팀별 출판사'!A:B,2,0)</f>
        <v>소설2팀</v>
      </c>
      <c r="W2355" s="6">
        <f t="shared" si="72"/>
        <v>753</v>
      </c>
      <c r="X2355" s="6">
        <f t="shared" si="73"/>
        <v>1757</v>
      </c>
    </row>
    <row r="2356" spans="1:24" x14ac:dyDescent="0.3">
      <c r="A2356" t="s">
        <v>3574</v>
      </c>
      <c r="B2356" t="s">
        <v>3590</v>
      </c>
      <c r="C2356" t="s">
        <v>23</v>
      </c>
      <c r="D2356" t="s">
        <v>24</v>
      </c>
      <c r="E2356" t="s">
        <v>25</v>
      </c>
      <c r="F2356">
        <v>1</v>
      </c>
      <c r="G2356" t="s">
        <v>3591</v>
      </c>
      <c r="H2356" t="s">
        <v>32</v>
      </c>
      <c r="I2356" t="s">
        <v>3592</v>
      </c>
      <c r="J2356" t="s">
        <v>311</v>
      </c>
      <c r="K2356" t="s">
        <v>29</v>
      </c>
      <c r="L2356">
        <v>0</v>
      </c>
      <c r="M2356" t="s">
        <v>948</v>
      </c>
      <c r="N2356">
        <v>0</v>
      </c>
      <c r="O2356">
        <v>0</v>
      </c>
      <c r="P2356" t="s">
        <v>949</v>
      </c>
      <c r="Q2356" s="2">
        <v>0.7</v>
      </c>
      <c r="R2356">
        <v>0</v>
      </c>
      <c r="V2356" t="str">
        <f>VLOOKUP(H2356,'[1]팀별 출판사'!A:B,2,0)</f>
        <v>소설1팀</v>
      </c>
      <c r="W2356" s="6">
        <f t="shared" si="72"/>
        <v>0</v>
      </c>
      <c r="X2356" s="6">
        <f t="shared" si="73"/>
        <v>0</v>
      </c>
    </row>
    <row r="2357" spans="1:24" x14ac:dyDescent="0.3">
      <c r="A2357" t="s">
        <v>3574</v>
      </c>
      <c r="B2357" t="s">
        <v>3593</v>
      </c>
      <c r="C2357" t="s">
        <v>23</v>
      </c>
      <c r="D2357" t="s">
        <v>24</v>
      </c>
      <c r="E2357" t="s">
        <v>25</v>
      </c>
      <c r="F2357">
        <v>1</v>
      </c>
      <c r="G2357">
        <v>9791136988256</v>
      </c>
      <c r="H2357" t="s">
        <v>26</v>
      </c>
      <c r="I2357" t="s">
        <v>2353</v>
      </c>
      <c r="J2357" t="s">
        <v>28</v>
      </c>
      <c r="K2357" t="s">
        <v>29</v>
      </c>
      <c r="L2357" s="1">
        <v>3200</v>
      </c>
      <c r="M2357" t="s">
        <v>29</v>
      </c>
      <c r="N2357" s="1">
        <v>3200</v>
      </c>
      <c r="O2357" s="1">
        <v>3200</v>
      </c>
      <c r="P2357" t="s">
        <v>30</v>
      </c>
      <c r="Q2357" s="2">
        <v>0.7</v>
      </c>
      <c r="R2357" s="1">
        <v>2240</v>
      </c>
      <c r="S2357" t="s">
        <v>29</v>
      </c>
      <c r="T2357" s="1">
        <v>2240</v>
      </c>
      <c r="V2357" t="str">
        <f>VLOOKUP(H2357,'[1]팀별 출판사'!A:B,2,0)</f>
        <v>소설1팀</v>
      </c>
      <c r="W2357" s="6">
        <f t="shared" si="72"/>
        <v>0</v>
      </c>
      <c r="X2357" s="6">
        <f t="shared" si="73"/>
        <v>2240</v>
      </c>
    </row>
    <row r="2358" spans="1:24" x14ac:dyDescent="0.3">
      <c r="A2358" t="s">
        <v>3574</v>
      </c>
      <c r="B2358" t="s">
        <v>3594</v>
      </c>
      <c r="C2358" t="s">
        <v>23</v>
      </c>
      <c r="D2358" t="s">
        <v>24</v>
      </c>
      <c r="E2358" t="s">
        <v>25</v>
      </c>
      <c r="F2358">
        <v>1</v>
      </c>
      <c r="G2358">
        <v>9791133167227</v>
      </c>
      <c r="H2358" t="s">
        <v>32</v>
      </c>
      <c r="I2358" t="s">
        <v>313</v>
      </c>
      <c r="J2358" t="s">
        <v>160</v>
      </c>
      <c r="K2358" t="s">
        <v>29</v>
      </c>
      <c r="L2358">
        <v>0</v>
      </c>
      <c r="M2358" t="s">
        <v>29</v>
      </c>
      <c r="N2358">
        <v>0</v>
      </c>
      <c r="O2358">
        <v>0</v>
      </c>
      <c r="P2358" t="s">
        <v>30</v>
      </c>
      <c r="Q2358" s="2">
        <v>0.7</v>
      </c>
      <c r="R2358">
        <v>0</v>
      </c>
      <c r="V2358" t="str">
        <f>VLOOKUP(H2358,'[1]팀별 출판사'!A:B,2,0)</f>
        <v>소설1팀</v>
      </c>
      <c r="W2358" s="6">
        <f t="shared" si="72"/>
        <v>0</v>
      </c>
      <c r="X2358" s="6">
        <f t="shared" si="73"/>
        <v>0</v>
      </c>
    </row>
    <row r="2359" spans="1:24" x14ac:dyDescent="0.3">
      <c r="A2359" t="s">
        <v>3574</v>
      </c>
      <c r="B2359" t="s">
        <v>3595</v>
      </c>
      <c r="C2359" t="s">
        <v>23</v>
      </c>
      <c r="D2359" t="s">
        <v>24</v>
      </c>
      <c r="E2359" t="s">
        <v>25</v>
      </c>
      <c r="F2359">
        <v>1</v>
      </c>
      <c r="G2359">
        <v>9791136903754</v>
      </c>
      <c r="H2359" t="s">
        <v>26</v>
      </c>
      <c r="I2359" t="s">
        <v>361</v>
      </c>
      <c r="J2359" t="s">
        <v>256</v>
      </c>
      <c r="K2359" t="s">
        <v>29</v>
      </c>
      <c r="L2359">
        <v>0</v>
      </c>
      <c r="M2359" t="s">
        <v>29</v>
      </c>
      <c r="N2359">
        <v>0</v>
      </c>
      <c r="O2359">
        <v>0</v>
      </c>
      <c r="P2359" t="s">
        <v>30</v>
      </c>
      <c r="Q2359" s="2">
        <v>0.7</v>
      </c>
      <c r="R2359">
        <v>0</v>
      </c>
      <c r="V2359" t="str">
        <f>VLOOKUP(H2359,'[1]팀별 출판사'!A:B,2,0)</f>
        <v>소설1팀</v>
      </c>
      <c r="W2359" s="6">
        <f t="shared" si="72"/>
        <v>0</v>
      </c>
      <c r="X2359" s="6">
        <f t="shared" si="73"/>
        <v>0</v>
      </c>
    </row>
    <row r="2360" spans="1:24" x14ac:dyDescent="0.3">
      <c r="A2360" t="s">
        <v>3574</v>
      </c>
      <c r="B2360" t="s">
        <v>3596</v>
      </c>
      <c r="C2360" t="s">
        <v>23</v>
      </c>
      <c r="D2360" t="s">
        <v>24</v>
      </c>
      <c r="E2360" t="s">
        <v>25</v>
      </c>
      <c r="F2360">
        <v>1</v>
      </c>
      <c r="G2360">
        <v>9791136919403</v>
      </c>
      <c r="H2360" t="s">
        <v>26</v>
      </c>
      <c r="I2360" t="s">
        <v>1276</v>
      </c>
      <c r="J2360" t="s">
        <v>300</v>
      </c>
      <c r="K2360" t="s">
        <v>29</v>
      </c>
      <c r="L2360">
        <v>0</v>
      </c>
      <c r="M2360" t="s">
        <v>29</v>
      </c>
      <c r="N2360">
        <v>0</v>
      </c>
      <c r="O2360">
        <v>0</v>
      </c>
      <c r="P2360" t="s">
        <v>30</v>
      </c>
      <c r="Q2360" s="2">
        <v>0.7</v>
      </c>
      <c r="R2360">
        <v>0</v>
      </c>
      <c r="V2360" t="str">
        <f>VLOOKUP(H2360,'[1]팀별 출판사'!A:B,2,0)</f>
        <v>소설1팀</v>
      </c>
      <c r="W2360" s="6">
        <f t="shared" si="72"/>
        <v>0</v>
      </c>
      <c r="X2360" s="6">
        <f t="shared" si="73"/>
        <v>0</v>
      </c>
    </row>
    <row r="2361" spans="1:24" x14ac:dyDescent="0.3">
      <c r="A2361" t="s">
        <v>3574</v>
      </c>
      <c r="B2361" t="s">
        <v>3597</v>
      </c>
      <c r="C2361" t="s">
        <v>23</v>
      </c>
      <c r="D2361" t="s">
        <v>24</v>
      </c>
      <c r="E2361" t="s">
        <v>25</v>
      </c>
      <c r="F2361">
        <v>1</v>
      </c>
      <c r="G2361">
        <v>9791172924850</v>
      </c>
      <c r="H2361" t="s">
        <v>26</v>
      </c>
      <c r="I2361" t="s">
        <v>61</v>
      </c>
      <c r="J2361" t="s">
        <v>62</v>
      </c>
      <c r="K2361" t="s">
        <v>29</v>
      </c>
      <c r="L2361">
        <v>0</v>
      </c>
      <c r="M2361" t="s">
        <v>29</v>
      </c>
      <c r="N2361">
        <v>0</v>
      </c>
      <c r="O2361">
        <v>0</v>
      </c>
      <c r="P2361" t="s">
        <v>30</v>
      </c>
      <c r="Q2361" s="2">
        <v>0.7</v>
      </c>
      <c r="R2361">
        <v>0</v>
      </c>
      <c r="V2361" t="str">
        <f>VLOOKUP(H2361,'[1]팀별 출판사'!A:B,2,0)</f>
        <v>소설1팀</v>
      </c>
      <c r="W2361" s="6">
        <f t="shared" si="72"/>
        <v>0</v>
      </c>
      <c r="X2361" s="6">
        <f t="shared" si="73"/>
        <v>0</v>
      </c>
    </row>
    <row r="2362" spans="1:24" x14ac:dyDescent="0.3">
      <c r="A2362" t="s">
        <v>3574</v>
      </c>
      <c r="B2362" t="s">
        <v>3598</v>
      </c>
      <c r="C2362" t="s">
        <v>23</v>
      </c>
      <c r="D2362" t="s">
        <v>24</v>
      </c>
      <c r="E2362" t="s">
        <v>25</v>
      </c>
      <c r="F2362">
        <v>1</v>
      </c>
      <c r="G2362">
        <v>9791173784477</v>
      </c>
      <c r="H2362" t="s">
        <v>26</v>
      </c>
      <c r="I2362" t="s">
        <v>378</v>
      </c>
      <c r="J2362" t="s">
        <v>284</v>
      </c>
      <c r="K2362" t="s">
        <v>29</v>
      </c>
      <c r="L2362">
        <v>0</v>
      </c>
      <c r="M2362" t="s">
        <v>29</v>
      </c>
      <c r="N2362">
        <v>0</v>
      </c>
      <c r="O2362">
        <v>0</v>
      </c>
      <c r="P2362" t="s">
        <v>30</v>
      </c>
      <c r="Q2362" s="2">
        <v>0.7</v>
      </c>
      <c r="R2362">
        <v>0</v>
      </c>
      <c r="V2362" t="str">
        <f>VLOOKUP(H2362,'[1]팀별 출판사'!A:B,2,0)</f>
        <v>소설1팀</v>
      </c>
      <c r="W2362" s="6">
        <f t="shared" si="72"/>
        <v>0</v>
      </c>
      <c r="X2362" s="6">
        <f t="shared" si="73"/>
        <v>0</v>
      </c>
    </row>
    <row r="2363" spans="1:24" x14ac:dyDescent="0.3">
      <c r="A2363" t="s">
        <v>3574</v>
      </c>
      <c r="B2363" t="s">
        <v>3599</v>
      </c>
      <c r="C2363" t="s">
        <v>23</v>
      </c>
      <c r="D2363" t="s">
        <v>24</v>
      </c>
      <c r="E2363" t="s">
        <v>25</v>
      </c>
      <c r="F2363">
        <v>1</v>
      </c>
      <c r="G2363">
        <v>9791136914286</v>
      </c>
      <c r="H2363" t="s">
        <v>26</v>
      </c>
      <c r="I2363" t="s">
        <v>299</v>
      </c>
      <c r="J2363" t="s">
        <v>300</v>
      </c>
      <c r="K2363" t="s">
        <v>29</v>
      </c>
      <c r="L2363">
        <v>0</v>
      </c>
      <c r="M2363" t="s">
        <v>29</v>
      </c>
      <c r="N2363">
        <v>0</v>
      </c>
      <c r="O2363">
        <v>0</v>
      </c>
      <c r="P2363" t="s">
        <v>30</v>
      </c>
      <c r="Q2363" s="2">
        <v>0.7</v>
      </c>
      <c r="R2363">
        <v>0</v>
      </c>
      <c r="V2363" t="str">
        <f>VLOOKUP(H2363,'[1]팀별 출판사'!A:B,2,0)</f>
        <v>소설1팀</v>
      </c>
      <c r="W2363" s="6">
        <f t="shared" si="72"/>
        <v>0</v>
      </c>
      <c r="X2363" s="6">
        <f t="shared" si="73"/>
        <v>0</v>
      </c>
    </row>
    <row r="2364" spans="1:24" x14ac:dyDescent="0.3">
      <c r="A2364" t="s">
        <v>3574</v>
      </c>
      <c r="B2364" t="s">
        <v>3600</v>
      </c>
      <c r="C2364" t="s">
        <v>23</v>
      </c>
      <c r="D2364" t="s">
        <v>24</v>
      </c>
      <c r="E2364" t="s">
        <v>25</v>
      </c>
      <c r="F2364">
        <v>1</v>
      </c>
      <c r="G2364">
        <v>9791136929464</v>
      </c>
      <c r="H2364" t="s">
        <v>26</v>
      </c>
      <c r="I2364" t="s">
        <v>3601</v>
      </c>
      <c r="J2364" t="s">
        <v>300</v>
      </c>
      <c r="K2364" t="s">
        <v>29</v>
      </c>
      <c r="L2364">
        <v>0</v>
      </c>
      <c r="M2364" t="s">
        <v>29</v>
      </c>
      <c r="N2364">
        <v>0</v>
      </c>
      <c r="O2364">
        <v>0</v>
      </c>
      <c r="P2364" t="s">
        <v>30</v>
      </c>
      <c r="Q2364" s="2">
        <v>0.7</v>
      </c>
      <c r="R2364">
        <v>0</v>
      </c>
      <c r="V2364" t="str">
        <f>VLOOKUP(H2364,'[1]팀별 출판사'!A:B,2,0)</f>
        <v>소설1팀</v>
      </c>
      <c r="W2364" s="6">
        <f t="shared" si="72"/>
        <v>0</v>
      </c>
      <c r="X2364" s="6">
        <f t="shared" si="73"/>
        <v>0</v>
      </c>
    </row>
    <row r="2365" spans="1:24" x14ac:dyDescent="0.3">
      <c r="A2365" t="s">
        <v>3574</v>
      </c>
      <c r="B2365" t="s">
        <v>3602</v>
      </c>
      <c r="C2365" t="s">
        <v>23</v>
      </c>
      <c r="D2365" t="s">
        <v>24</v>
      </c>
      <c r="E2365" t="s">
        <v>25</v>
      </c>
      <c r="F2365">
        <v>1</v>
      </c>
      <c r="G2365">
        <v>9791173789120</v>
      </c>
      <c r="H2365" t="s">
        <v>79</v>
      </c>
      <c r="I2365" t="s">
        <v>3603</v>
      </c>
      <c r="J2365" t="s">
        <v>3425</v>
      </c>
      <c r="K2365" t="s">
        <v>29</v>
      </c>
      <c r="L2365" s="1">
        <v>3200</v>
      </c>
      <c r="M2365" t="s">
        <v>3426</v>
      </c>
      <c r="N2365">
        <v>1.8</v>
      </c>
      <c r="O2365">
        <v>1.75</v>
      </c>
      <c r="P2365" t="s">
        <v>3427</v>
      </c>
      <c r="Q2365" s="2">
        <v>0.7</v>
      </c>
      <c r="R2365">
        <v>1.22</v>
      </c>
      <c r="S2365" t="s">
        <v>29</v>
      </c>
      <c r="T2365" s="1">
        <v>2287</v>
      </c>
      <c r="U2365" s="3">
        <v>1874.41228</v>
      </c>
      <c r="V2365" t="str">
        <f>VLOOKUP(H2365,'[1]팀별 출판사'!A:B,2,0)</f>
        <v>소설1팀</v>
      </c>
      <c r="W2365" s="6">
        <f t="shared" si="72"/>
        <v>0</v>
      </c>
      <c r="X2365" s="6">
        <f t="shared" si="73"/>
        <v>2287</v>
      </c>
    </row>
    <row r="2366" spans="1:24" x14ac:dyDescent="0.3">
      <c r="A2366" t="s">
        <v>3574</v>
      </c>
      <c r="B2366" t="s">
        <v>3604</v>
      </c>
      <c r="C2366" t="s">
        <v>23</v>
      </c>
      <c r="D2366" t="s">
        <v>24</v>
      </c>
      <c r="E2366" t="s">
        <v>25</v>
      </c>
      <c r="F2366">
        <v>1</v>
      </c>
      <c r="G2366">
        <v>9791157539710</v>
      </c>
      <c r="H2366" t="s">
        <v>32</v>
      </c>
      <c r="I2366" t="s">
        <v>3605</v>
      </c>
      <c r="J2366" t="s">
        <v>88</v>
      </c>
      <c r="K2366" t="s">
        <v>29</v>
      </c>
      <c r="L2366" s="1">
        <v>3200</v>
      </c>
      <c r="M2366" t="s">
        <v>29</v>
      </c>
      <c r="N2366" s="1">
        <v>3200</v>
      </c>
      <c r="O2366" s="1">
        <v>3200</v>
      </c>
      <c r="P2366" t="s">
        <v>30</v>
      </c>
      <c r="Q2366" s="2">
        <v>0.7</v>
      </c>
      <c r="R2366" s="1">
        <v>2240</v>
      </c>
      <c r="S2366" t="s">
        <v>29</v>
      </c>
      <c r="T2366" s="1">
        <v>2240</v>
      </c>
      <c r="V2366" t="str">
        <f>VLOOKUP(H2366,'[1]팀별 출판사'!A:B,2,0)</f>
        <v>소설1팀</v>
      </c>
      <c r="W2366" s="6">
        <f t="shared" si="72"/>
        <v>0</v>
      </c>
      <c r="X2366" s="6">
        <f t="shared" si="73"/>
        <v>2240</v>
      </c>
    </row>
    <row r="2367" spans="1:24" x14ac:dyDescent="0.3">
      <c r="A2367" t="s">
        <v>3574</v>
      </c>
      <c r="B2367" t="s">
        <v>3606</v>
      </c>
      <c r="C2367" t="s">
        <v>23</v>
      </c>
      <c r="D2367" t="s">
        <v>24</v>
      </c>
      <c r="E2367" t="s">
        <v>25</v>
      </c>
      <c r="F2367">
        <v>1</v>
      </c>
      <c r="G2367">
        <v>9791133183975</v>
      </c>
      <c r="H2367" t="s">
        <v>26</v>
      </c>
      <c r="I2367" t="s">
        <v>1715</v>
      </c>
      <c r="J2367" t="s">
        <v>1716</v>
      </c>
      <c r="K2367" t="s">
        <v>29</v>
      </c>
      <c r="L2367">
        <v>0</v>
      </c>
      <c r="M2367" t="s">
        <v>29</v>
      </c>
      <c r="N2367">
        <v>0</v>
      </c>
      <c r="O2367">
        <v>0</v>
      </c>
      <c r="P2367" t="s">
        <v>30</v>
      </c>
      <c r="Q2367" s="2">
        <v>0.7</v>
      </c>
      <c r="R2367">
        <v>0</v>
      </c>
      <c r="V2367" t="str">
        <f>VLOOKUP(H2367,'[1]팀별 출판사'!A:B,2,0)</f>
        <v>소설1팀</v>
      </c>
      <c r="W2367" s="6">
        <f t="shared" si="72"/>
        <v>0</v>
      </c>
      <c r="X2367" s="6">
        <f t="shared" si="73"/>
        <v>0</v>
      </c>
    </row>
    <row r="2368" spans="1:24" x14ac:dyDescent="0.3">
      <c r="A2368" t="s">
        <v>3574</v>
      </c>
      <c r="B2368" t="s">
        <v>3607</v>
      </c>
      <c r="C2368" t="s">
        <v>23</v>
      </c>
      <c r="D2368" t="s">
        <v>24</v>
      </c>
      <c r="E2368" t="s">
        <v>25</v>
      </c>
      <c r="F2368">
        <v>1</v>
      </c>
      <c r="G2368">
        <v>9791136936769</v>
      </c>
      <c r="H2368" t="s">
        <v>32</v>
      </c>
      <c r="I2368" t="s">
        <v>792</v>
      </c>
      <c r="J2368" t="s">
        <v>793</v>
      </c>
      <c r="K2368" t="s">
        <v>29</v>
      </c>
      <c r="L2368">
        <v>0</v>
      </c>
      <c r="M2368" t="s">
        <v>29</v>
      </c>
      <c r="N2368">
        <v>0</v>
      </c>
      <c r="O2368">
        <v>0</v>
      </c>
      <c r="P2368" t="s">
        <v>30</v>
      </c>
      <c r="Q2368" s="2">
        <v>0.7</v>
      </c>
      <c r="R2368">
        <v>0</v>
      </c>
      <c r="V2368" t="str">
        <f>VLOOKUP(H2368,'[1]팀별 출판사'!A:B,2,0)</f>
        <v>소설1팀</v>
      </c>
      <c r="W2368" s="6">
        <f t="shared" si="72"/>
        <v>0</v>
      </c>
      <c r="X2368" s="6">
        <f t="shared" si="73"/>
        <v>0</v>
      </c>
    </row>
    <row r="2369" spans="1:24" x14ac:dyDescent="0.3">
      <c r="A2369" t="s">
        <v>3574</v>
      </c>
      <c r="B2369" t="s">
        <v>3608</v>
      </c>
      <c r="C2369" t="s">
        <v>23</v>
      </c>
      <c r="D2369" t="s">
        <v>24</v>
      </c>
      <c r="E2369" t="s">
        <v>25</v>
      </c>
      <c r="F2369">
        <v>1</v>
      </c>
      <c r="G2369">
        <v>9791136988386</v>
      </c>
      <c r="H2369" t="s">
        <v>26</v>
      </c>
      <c r="I2369" t="s">
        <v>3609</v>
      </c>
      <c r="J2369" t="s">
        <v>28</v>
      </c>
      <c r="K2369" t="s">
        <v>29</v>
      </c>
      <c r="L2369" s="1">
        <v>3200</v>
      </c>
      <c r="M2369" t="s">
        <v>29</v>
      </c>
      <c r="N2369" s="1">
        <v>3200</v>
      </c>
      <c r="O2369" s="1">
        <v>3200</v>
      </c>
      <c r="P2369" t="s">
        <v>30</v>
      </c>
      <c r="Q2369" s="2">
        <v>0.7</v>
      </c>
      <c r="R2369" s="1">
        <v>2240</v>
      </c>
      <c r="S2369" t="s">
        <v>29</v>
      </c>
      <c r="T2369" s="1">
        <v>2240</v>
      </c>
      <c r="V2369" t="str">
        <f>VLOOKUP(H2369,'[1]팀별 출판사'!A:B,2,0)</f>
        <v>소설1팀</v>
      </c>
      <c r="W2369" s="6">
        <f t="shared" si="72"/>
        <v>0</v>
      </c>
      <c r="X2369" s="6">
        <f t="shared" si="73"/>
        <v>2240</v>
      </c>
    </row>
    <row r="2370" spans="1:24" x14ac:dyDescent="0.3">
      <c r="A2370" t="s">
        <v>3574</v>
      </c>
      <c r="B2370" t="s">
        <v>3610</v>
      </c>
      <c r="C2370" t="s">
        <v>23</v>
      </c>
      <c r="D2370" t="s">
        <v>24</v>
      </c>
      <c r="E2370" t="s">
        <v>25</v>
      </c>
      <c r="F2370">
        <v>1</v>
      </c>
      <c r="G2370">
        <v>9791175303966</v>
      </c>
      <c r="H2370" t="s">
        <v>79</v>
      </c>
      <c r="I2370" t="s">
        <v>570</v>
      </c>
      <c r="J2370" t="s">
        <v>571</v>
      </c>
      <c r="K2370" t="s">
        <v>29</v>
      </c>
      <c r="L2370">
        <v>0</v>
      </c>
      <c r="M2370" t="s">
        <v>29</v>
      </c>
      <c r="N2370">
        <v>0</v>
      </c>
      <c r="O2370">
        <v>0</v>
      </c>
      <c r="P2370" t="s">
        <v>30</v>
      </c>
      <c r="Q2370" s="2">
        <v>0.7</v>
      </c>
      <c r="R2370">
        <v>0</v>
      </c>
      <c r="V2370" t="str">
        <f>VLOOKUP(H2370,'[1]팀별 출판사'!A:B,2,0)</f>
        <v>소설1팀</v>
      </c>
      <c r="W2370" s="6">
        <f t="shared" ref="W2370:W2433" si="74">IF(P2370="US", T2370*30%, 0)</f>
        <v>0</v>
      </c>
      <c r="X2370" s="6">
        <f t="shared" ref="X2370:X2433" si="75">T2370-W2370</f>
        <v>0</v>
      </c>
    </row>
    <row r="2371" spans="1:24" x14ac:dyDescent="0.3">
      <c r="A2371" t="s">
        <v>3574</v>
      </c>
      <c r="B2371" t="s">
        <v>3611</v>
      </c>
      <c r="C2371" t="s">
        <v>23</v>
      </c>
      <c r="D2371" t="s">
        <v>24</v>
      </c>
      <c r="E2371" t="s">
        <v>25</v>
      </c>
      <c r="F2371">
        <v>1</v>
      </c>
      <c r="G2371">
        <v>9791133173044</v>
      </c>
      <c r="H2371" t="s">
        <v>26</v>
      </c>
      <c r="I2371" t="s">
        <v>3612</v>
      </c>
      <c r="J2371" t="s">
        <v>287</v>
      </c>
      <c r="K2371" t="s">
        <v>29</v>
      </c>
      <c r="L2371" s="1">
        <v>2500</v>
      </c>
      <c r="M2371" t="s">
        <v>29</v>
      </c>
      <c r="N2371" s="1">
        <v>2500</v>
      </c>
      <c r="O2371" s="1">
        <v>2500</v>
      </c>
      <c r="P2371" t="s">
        <v>30</v>
      </c>
      <c r="Q2371" s="2">
        <v>0.7</v>
      </c>
      <c r="R2371" s="1">
        <v>1750</v>
      </c>
      <c r="S2371" t="s">
        <v>29</v>
      </c>
      <c r="T2371" s="1">
        <v>1750</v>
      </c>
      <c r="V2371" t="str">
        <f>VLOOKUP(H2371,'[1]팀별 출판사'!A:B,2,0)</f>
        <v>소설1팀</v>
      </c>
      <c r="W2371" s="6">
        <f t="shared" si="74"/>
        <v>0</v>
      </c>
      <c r="X2371" s="6">
        <f t="shared" si="75"/>
        <v>1750</v>
      </c>
    </row>
    <row r="2372" spans="1:24" x14ac:dyDescent="0.3">
      <c r="A2372" t="s">
        <v>3574</v>
      </c>
      <c r="B2372" t="s">
        <v>3613</v>
      </c>
      <c r="C2372" t="s">
        <v>23</v>
      </c>
      <c r="D2372" t="s">
        <v>24</v>
      </c>
      <c r="E2372" t="s">
        <v>25</v>
      </c>
      <c r="F2372">
        <v>1</v>
      </c>
      <c r="G2372">
        <v>9791173783623</v>
      </c>
      <c r="H2372" t="s">
        <v>36</v>
      </c>
      <c r="I2372" t="s">
        <v>3614</v>
      </c>
      <c r="J2372" t="s">
        <v>3615</v>
      </c>
      <c r="K2372" t="s">
        <v>29</v>
      </c>
      <c r="L2372" s="1">
        <v>1200</v>
      </c>
      <c r="M2372" t="s">
        <v>362</v>
      </c>
      <c r="N2372">
        <v>54.78</v>
      </c>
      <c r="O2372">
        <v>48.91</v>
      </c>
      <c r="P2372" t="s">
        <v>363</v>
      </c>
      <c r="Q2372" s="2">
        <v>0.7</v>
      </c>
      <c r="R2372">
        <v>34.24</v>
      </c>
      <c r="S2372" t="s">
        <v>29</v>
      </c>
      <c r="T2372">
        <v>851</v>
      </c>
      <c r="U2372">
        <v>24.92408</v>
      </c>
      <c r="V2372" t="str">
        <f>VLOOKUP(H2372,'[1]팀별 출판사'!A:B,2,0)</f>
        <v>소설2팀</v>
      </c>
      <c r="W2372" s="6">
        <f t="shared" si="74"/>
        <v>0</v>
      </c>
      <c r="X2372" s="6">
        <f t="shared" si="75"/>
        <v>851</v>
      </c>
    </row>
    <row r="2373" spans="1:24" x14ac:dyDescent="0.3">
      <c r="A2373" t="s">
        <v>3574</v>
      </c>
      <c r="B2373" t="s">
        <v>3616</v>
      </c>
      <c r="C2373" t="s">
        <v>23</v>
      </c>
      <c r="D2373" t="s">
        <v>24</v>
      </c>
      <c r="E2373" t="s">
        <v>25</v>
      </c>
      <c r="F2373">
        <v>1</v>
      </c>
      <c r="G2373" t="s">
        <v>543</v>
      </c>
      <c r="H2373" t="s">
        <v>32</v>
      </c>
      <c r="I2373" t="s">
        <v>544</v>
      </c>
      <c r="J2373" t="s">
        <v>311</v>
      </c>
      <c r="K2373" t="s">
        <v>29</v>
      </c>
      <c r="L2373">
        <v>0</v>
      </c>
      <c r="M2373" t="s">
        <v>29</v>
      </c>
      <c r="N2373">
        <v>0</v>
      </c>
      <c r="O2373">
        <v>0</v>
      </c>
      <c r="P2373" t="s">
        <v>30</v>
      </c>
      <c r="Q2373" s="2">
        <v>0.7</v>
      </c>
      <c r="R2373">
        <v>0</v>
      </c>
      <c r="V2373" t="str">
        <f>VLOOKUP(H2373,'[1]팀별 출판사'!A:B,2,0)</f>
        <v>소설1팀</v>
      </c>
      <c r="W2373" s="6">
        <f t="shared" si="74"/>
        <v>0</v>
      </c>
      <c r="X2373" s="6">
        <f t="shared" si="75"/>
        <v>0</v>
      </c>
    </row>
    <row r="2374" spans="1:24" x14ac:dyDescent="0.3">
      <c r="A2374" t="s">
        <v>3574</v>
      </c>
      <c r="B2374" t="s">
        <v>3617</v>
      </c>
      <c r="C2374" t="s">
        <v>23</v>
      </c>
      <c r="D2374" t="s">
        <v>24</v>
      </c>
      <c r="E2374" t="s">
        <v>25</v>
      </c>
      <c r="F2374">
        <v>1</v>
      </c>
      <c r="G2374" t="s">
        <v>245</v>
      </c>
      <c r="H2374" t="s">
        <v>32</v>
      </c>
      <c r="I2374" t="s">
        <v>246</v>
      </c>
      <c r="J2374" t="s">
        <v>166</v>
      </c>
      <c r="K2374" t="s">
        <v>29</v>
      </c>
      <c r="L2374">
        <v>0</v>
      </c>
      <c r="M2374" t="s">
        <v>29</v>
      </c>
      <c r="N2374">
        <v>0</v>
      </c>
      <c r="O2374">
        <v>0</v>
      </c>
      <c r="P2374" t="s">
        <v>30</v>
      </c>
      <c r="Q2374" s="2">
        <v>0.7</v>
      </c>
      <c r="R2374">
        <v>0</v>
      </c>
      <c r="V2374" t="str">
        <f>VLOOKUP(H2374,'[1]팀별 출판사'!A:B,2,0)</f>
        <v>소설1팀</v>
      </c>
      <c r="W2374" s="6">
        <f t="shared" si="74"/>
        <v>0</v>
      </c>
      <c r="X2374" s="6">
        <f t="shared" si="75"/>
        <v>0</v>
      </c>
    </row>
    <row r="2375" spans="1:24" x14ac:dyDescent="0.3">
      <c r="A2375" t="s">
        <v>3574</v>
      </c>
      <c r="B2375" t="s">
        <v>3618</v>
      </c>
      <c r="C2375" t="s">
        <v>23</v>
      </c>
      <c r="D2375" t="s">
        <v>24</v>
      </c>
      <c r="E2375" t="s">
        <v>25</v>
      </c>
      <c r="F2375">
        <v>1</v>
      </c>
      <c r="G2375">
        <v>9791173788864</v>
      </c>
      <c r="H2375" t="s">
        <v>26</v>
      </c>
      <c r="I2375" t="s">
        <v>1930</v>
      </c>
      <c r="J2375" t="s">
        <v>256</v>
      </c>
      <c r="K2375" t="s">
        <v>29</v>
      </c>
      <c r="L2375">
        <v>0</v>
      </c>
      <c r="M2375" t="s">
        <v>29</v>
      </c>
      <c r="N2375">
        <v>0</v>
      </c>
      <c r="O2375">
        <v>0</v>
      </c>
      <c r="P2375" t="s">
        <v>30</v>
      </c>
      <c r="Q2375" s="2">
        <v>0.7</v>
      </c>
      <c r="R2375">
        <v>0</v>
      </c>
      <c r="V2375" t="str">
        <f>VLOOKUP(H2375,'[1]팀별 출판사'!A:B,2,0)</f>
        <v>소설1팀</v>
      </c>
      <c r="W2375" s="6">
        <f t="shared" si="74"/>
        <v>0</v>
      </c>
      <c r="X2375" s="6">
        <f t="shared" si="75"/>
        <v>0</v>
      </c>
    </row>
    <row r="2376" spans="1:24" x14ac:dyDescent="0.3">
      <c r="A2376" t="s">
        <v>3574</v>
      </c>
      <c r="B2376" t="s">
        <v>3619</v>
      </c>
      <c r="C2376" t="s">
        <v>23</v>
      </c>
      <c r="D2376" t="s">
        <v>24</v>
      </c>
      <c r="E2376" t="s">
        <v>25</v>
      </c>
      <c r="F2376">
        <v>1</v>
      </c>
      <c r="G2376">
        <v>9791170100973</v>
      </c>
      <c r="H2376" t="s">
        <v>67</v>
      </c>
      <c r="I2376" t="s">
        <v>2589</v>
      </c>
      <c r="J2376" t="s">
        <v>424</v>
      </c>
      <c r="K2376" t="s">
        <v>29</v>
      </c>
      <c r="L2376">
        <v>0</v>
      </c>
      <c r="M2376" t="s">
        <v>29</v>
      </c>
      <c r="N2376">
        <v>0</v>
      </c>
      <c r="O2376">
        <v>0</v>
      </c>
      <c r="P2376" t="s">
        <v>30</v>
      </c>
      <c r="Q2376" s="2">
        <v>0.7</v>
      </c>
      <c r="R2376">
        <v>0</v>
      </c>
      <c r="V2376" t="str">
        <f>VLOOKUP(H2376,'[1]팀별 출판사'!A:B,2,0)</f>
        <v>소설1팀</v>
      </c>
      <c r="W2376" s="6">
        <f t="shared" si="74"/>
        <v>0</v>
      </c>
      <c r="X2376" s="6">
        <f t="shared" si="75"/>
        <v>0</v>
      </c>
    </row>
    <row r="2377" spans="1:24" x14ac:dyDescent="0.3">
      <c r="A2377" t="s">
        <v>3574</v>
      </c>
      <c r="B2377" t="s">
        <v>3620</v>
      </c>
      <c r="C2377" t="s">
        <v>23</v>
      </c>
      <c r="D2377" t="s">
        <v>24</v>
      </c>
      <c r="E2377" t="s">
        <v>25</v>
      </c>
      <c r="F2377">
        <v>1</v>
      </c>
      <c r="G2377" t="s">
        <v>3621</v>
      </c>
      <c r="H2377" t="s">
        <v>32</v>
      </c>
      <c r="I2377" t="s">
        <v>3622</v>
      </c>
      <c r="J2377" t="s">
        <v>43</v>
      </c>
      <c r="K2377" t="s">
        <v>29</v>
      </c>
      <c r="L2377">
        <v>0</v>
      </c>
      <c r="M2377" t="s">
        <v>47</v>
      </c>
      <c r="N2377">
        <v>0</v>
      </c>
      <c r="O2377">
        <v>0</v>
      </c>
      <c r="P2377" t="s">
        <v>48</v>
      </c>
      <c r="Q2377" s="2">
        <v>0.7</v>
      </c>
      <c r="R2377">
        <v>0</v>
      </c>
      <c r="V2377" t="str">
        <f>VLOOKUP(H2377,'[1]팀별 출판사'!A:B,2,0)</f>
        <v>소설1팀</v>
      </c>
      <c r="W2377" s="6">
        <f t="shared" si="74"/>
        <v>0</v>
      </c>
      <c r="X2377" s="6">
        <f t="shared" si="75"/>
        <v>0</v>
      </c>
    </row>
    <row r="2378" spans="1:24" x14ac:dyDescent="0.3">
      <c r="A2378" t="s">
        <v>3574</v>
      </c>
      <c r="B2378" t="s">
        <v>3623</v>
      </c>
      <c r="C2378" t="s">
        <v>23</v>
      </c>
      <c r="D2378" t="s">
        <v>24</v>
      </c>
      <c r="E2378" t="s">
        <v>25</v>
      </c>
      <c r="F2378">
        <v>1</v>
      </c>
      <c r="G2378">
        <v>9791136911087</v>
      </c>
      <c r="H2378" t="s">
        <v>32</v>
      </c>
      <c r="I2378" t="s">
        <v>3624</v>
      </c>
      <c r="J2378" t="s">
        <v>160</v>
      </c>
      <c r="K2378" t="s">
        <v>29</v>
      </c>
      <c r="L2378" s="1">
        <v>3200</v>
      </c>
      <c r="M2378" t="s">
        <v>29</v>
      </c>
      <c r="N2378" s="1">
        <v>3200</v>
      </c>
      <c r="O2378" s="1">
        <v>3200</v>
      </c>
      <c r="P2378" t="s">
        <v>30</v>
      </c>
      <c r="Q2378" s="2">
        <v>0.7</v>
      </c>
      <c r="R2378" s="1">
        <v>2240</v>
      </c>
      <c r="S2378" t="s">
        <v>29</v>
      </c>
      <c r="T2378" s="1">
        <v>2240</v>
      </c>
      <c r="V2378" t="str">
        <f>VLOOKUP(H2378,'[1]팀별 출판사'!A:B,2,0)</f>
        <v>소설1팀</v>
      </c>
      <c r="W2378" s="6">
        <f t="shared" si="74"/>
        <v>0</v>
      </c>
      <c r="X2378" s="6">
        <f t="shared" si="75"/>
        <v>2240</v>
      </c>
    </row>
    <row r="2379" spans="1:24" x14ac:dyDescent="0.3">
      <c r="A2379" t="s">
        <v>3574</v>
      </c>
      <c r="B2379" t="s">
        <v>3625</v>
      </c>
      <c r="C2379" t="s">
        <v>23</v>
      </c>
      <c r="D2379" t="s">
        <v>24</v>
      </c>
      <c r="E2379" t="s">
        <v>25</v>
      </c>
      <c r="F2379">
        <v>1</v>
      </c>
      <c r="G2379">
        <v>9791136946263</v>
      </c>
      <c r="H2379" t="s">
        <v>26</v>
      </c>
      <c r="I2379" t="s">
        <v>781</v>
      </c>
      <c r="J2379" t="s">
        <v>421</v>
      </c>
      <c r="K2379" t="s">
        <v>29</v>
      </c>
      <c r="L2379">
        <v>0</v>
      </c>
      <c r="M2379" t="s">
        <v>29</v>
      </c>
      <c r="N2379">
        <v>0</v>
      </c>
      <c r="O2379">
        <v>0</v>
      </c>
      <c r="P2379" t="s">
        <v>30</v>
      </c>
      <c r="Q2379" s="2">
        <v>0.7</v>
      </c>
      <c r="R2379">
        <v>0</v>
      </c>
      <c r="V2379" t="str">
        <f>VLOOKUP(H2379,'[1]팀별 출판사'!A:B,2,0)</f>
        <v>소설1팀</v>
      </c>
      <c r="W2379" s="6">
        <f t="shared" si="74"/>
        <v>0</v>
      </c>
      <c r="X2379" s="6">
        <f t="shared" si="75"/>
        <v>0</v>
      </c>
    </row>
    <row r="2380" spans="1:24" x14ac:dyDescent="0.3">
      <c r="A2380" t="s">
        <v>3574</v>
      </c>
      <c r="B2380" t="s">
        <v>3626</v>
      </c>
      <c r="C2380" t="s">
        <v>23</v>
      </c>
      <c r="D2380" t="s">
        <v>24</v>
      </c>
      <c r="E2380" t="s">
        <v>25</v>
      </c>
      <c r="F2380">
        <v>1</v>
      </c>
      <c r="G2380">
        <v>9791172925789</v>
      </c>
      <c r="H2380" t="s">
        <v>26</v>
      </c>
      <c r="I2380" t="s">
        <v>3032</v>
      </c>
      <c r="J2380" t="s">
        <v>937</v>
      </c>
      <c r="K2380" t="s">
        <v>29</v>
      </c>
      <c r="L2380">
        <v>0</v>
      </c>
      <c r="M2380" t="s">
        <v>29</v>
      </c>
      <c r="N2380">
        <v>0</v>
      </c>
      <c r="O2380">
        <v>0</v>
      </c>
      <c r="P2380" t="s">
        <v>30</v>
      </c>
      <c r="Q2380" s="2">
        <v>0.7</v>
      </c>
      <c r="R2380">
        <v>0</v>
      </c>
      <c r="V2380" t="str">
        <f>VLOOKUP(H2380,'[1]팀별 출판사'!A:B,2,0)</f>
        <v>소설1팀</v>
      </c>
      <c r="W2380" s="6">
        <f t="shared" si="74"/>
        <v>0</v>
      </c>
      <c r="X2380" s="6">
        <f t="shared" si="75"/>
        <v>0</v>
      </c>
    </row>
    <row r="2381" spans="1:24" x14ac:dyDescent="0.3">
      <c r="A2381" t="s">
        <v>3574</v>
      </c>
      <c r="B2381" t="s">
        <v>3627</v>
      </c>
      <c r="C2381" t="s">
        <v>23</v>
      </c>
      <c r="D2381" t="s">
        <v>24</v>
      </c>
      <c r="E2381" t="s">
        <v>25</v>
      </c>
      <c r="F2381">
        <v>1</v>
      </c>
      <c r="G2381">
        <v>9791136930361</v>
      </c>
      <c r="H2381" t="s">
        <v>32</v>
      </c>
      <c r="I2381" t="s">
        <v>33</v>
      </c>
      <c r="J2381" t="s">
        <v>34</v>
      </c>
      <c r="K2381" t="s">
        <v>29</v>
      </c>
      <c r="L2381">
        <v>0</v>
      </c>
      <c r="M2381" t="s">
        <v>29</v>
      </c>
      <c r="N2381">
        <v>0</v>
      </c>
      <c r="O2381">
        <v>0</v>
      </c>
      <c r="P2381" t="s">
        <v>30</v>
      </c>
      <c r="Q2381" s="2">
        <v>0.7</v>
      </c>
      <c r="R2381">
        <v>0</v>
      </c>
      <c r="V2381" t="str">
        <f>VLOOKUP(H2381,'[1]팀별 출판사'!A:B,2,0)</f>
        <v>소설1팀</v>
      </c>
      <c r="W2381" s="6">
        <f t="shared" si="74"/>
        <v>0</v>
      </c>
      <c r="X2381" s="6">
        <f t="shared" si="75"/>
        <v>0</v>
      </c>
    </row>
    <row r="2382" spans="1:24" x14ac:dyDescent="0.3">
      <c r="A2382" t="s">
        <v>3574</v>
      </c>
      <c r="B2382" t="s">
        <v>3628</v>
      </c>
      <c r="C2382" t="s">
        <v>23</v>
      </c>
      <c r="D2382" t="s">
        <v>24</v>
      </c>
      <c r="E2382" t="s">
        <v>25</v>
      </c>
      <c r="F2382">
        <v>1</v>
      </c>
      <c r="G2382">
        <v>9791136934925</v>
      </c>
      <c r="H2382" t="s">
        <v>32</v>
      </c>
      <c r="I2382" t="s">
        <v>385</v>
      </c>
      <c r="J2382" t="s">
        <v>126</v>
      </c>
      <c r="K2382" t="s">
        <v>29</v>
      </c>
      <c r="L2382">
        <v>0</v>
      </c>
      <c r="M2382" t="s">
        <v>29</v>
      </c>
      <c r="N2382">
        <v>0</v>
      </c>
      <c r="O2382">
        <v>0</v>
      </c>
      <c r="P2382" t="s">
        <v>30</v>
      </c>
      <c r="Q2382" s="2">
        <v>0.7</v>
      </c>
      <c r="R2382">
        <v>0</v>
      </c>
      <c r="V2382" t="str">
        <f>VLOOKUP(H2382,'[1]팀별 출판사'!A:B,2,0)</f>
        <v>소설1팀</v>
      </c>
      <c r="W2382" s="6">
        <f t="shared" si="74"/>
        <v>0</v>
      </c>
      <c r="X2382" s="6">
        <f t="shared" si="75"/>
        <v>0</v>
      </c>
    </row>
    <row r="2383" spans="1:24" x14ac:dyDescent="0.3">
      <c r="A2383" t="s">
        <v>3574</v>
      </c>
      <c r="B2383" t="s">
        <v>3629</v>
      </c>
      <c r="C2383" t="s">
        <v>23</v>
      </c>
      <c r="D2383" t="s">
        <v>24</v>
      </c>
      <c r="E2383" t="s">
        <v>25</v>
      </c>
      <c r="F2383">
        <v>1</v>
      </c>
      <c r="G2383" t="s">
        <v>2146</v>
      </c>
      <c r="H2383" t="s">
        <v>32</v>
      </c>
      <c r="I2383" t="s">
        <v>2147</v>
      </c>
      <c r="J2383" t="s">
        <v>311</v>
      </c>
      <c r="K2383" t="s">
        <v>29</v>
      </c>
      <c r="L2383" s="1">
        <v>3200</v>
      </c>
      <c r="M2383" t="s">
        <v>29</v>
      </c>
      <c r="N2383" s="1">
        <v>3200</v>
      </c>
      <c r="O2383" s="1">
        <v>3200</v>
      </c>
      <c r="P2383" t="s">
        <v>30</v>
      </c>
      <c r="Q2383" s="2">
        <v>0.7</v>
      </c>
      <c r="R2383" s="1">
        <v>2240</v>
      </c>
      <c r="S2383" t="s">
        <v>29</v>
      </c>
      <c r="T2383" s="1">
        <v>2240</v>
      </c>
      <c r="V2383" t="str">
        <f>VLOOKUP(H2383,'[1]팀별 출판사'!A:B,2,0)</f>
        <v>소설1팀</v>
      </c>
      <c r="W2383" s="6">
        <f t="shared" si="74"/>
        <v>0</v>
      </c>
      <c r="X2383" s="6">
        <f t="shared" si="75"/>
        <v>2240</v>
      </c>
    </row>
    <row r="2384" spans="1:24" x14ac:dyDescent="0.3">
      <c r="A2384" t="s">
        <v>3574</v>
      </c>
      <c r="B2384" t="s">
        <v>3630</v>
      </c>
      <c r="C2384" t="s">
        <v>23</v>
      </c>
      <c r="D2384" t="s">
        <v>24</v>
      </c>
      <c r="E2384" t="s">
        <v>25</v>
      </c>
      <c r="F2384">
        <v>1</v>
      </c>
      <c r="G2384">
        <v>9791136926845</v>
      </c>
      <c r="H2384" t="s">
        <v>26</v>
      </c>
      <c r="I2384" t="s">
        <v>3248</v>
      </c>
      <c r="J2384" t="s">
        <v>62</v>
      </c>
      <c r="K2384" t="s">
        <v>29</v>
      </c>
      <c r="L2384" s="1">
        <v>3200</v>
      </c>
      <c r="M2384" t="s">
        <v>29</v>
      </c>
      <c r="N2384" s="1">
        <v>3200</v>
      </c>
      <c r="O2384" s="1">
        <v>3200</v>
      </c>
      <c r="P2384" t="s">
        <v>30</v>
      </c>
      <c r="Q2384" s="2">
        <v>0.7</v>
      </c>
      <c r="R2384" s="1">
        <v>2240</v>
      </c>
      <c r="S2384" t="s">
        <v>29</v>
      </c>
      <c r="T2384" s="1">
        <v>2240</v>
      </c>
      <c r="V2384" t="str">
        <f>VLOOKUP(H2384,'[1]팀별 출판사'!A:B,2,0)</f>
        <v>소설1팀</v>
      </c>
      <c r="W2384" s="6">
        <f t="shared" si="74"/>
        <v>0</v>
      </c>
      <c r="X2384" s="6">
        <f t="shared" si="75"/>
        <v>2240</v>
      </c>
    </row>
    <row r="2385" spans="1:24" x14ac:dyDescent="0.3">
      <c r="A2385" t="s">
        <v>3574</v>
      </c>
      <c r="B2385" t="s">
        <v>3631</v>
      </c>
      <c r="C2385" t="s">
        <v>23</v>
      </c>
      <c r="D2385" t="s">
        <v>24</v>
      </c>
      <c r="E2385" t="s">
        <v>25</v>
      </c>
      <c r="F2385">
        <v>1</v>
      </c>
      <c r="G2385">
        <v>9791136931375</v>
      </c>
      <c r="H2385" t="s">
        <v>32</v>
      </c>
      <c r="I2385" t="s">
        <v>189</v>
      </c>
      <c r="J2385" t="s">
        <v>46</v>
      </c>
      <c r="K2385" t="s">
        <v>29</v>
      </c>
      <c r="L2385">
        <v>0</v>
      </c>
      <c r="M2385" t="s">
        <v>152</v>
      </c>
      <c r="N2385">
        <v>0</v>
      </c>
      <c r="O2385">
        <v>0</v>
      </c>
      <c r="P2385" t="s">
        <v>153</v>
      </c>
      <c r="Q2385" s="2">
        <v>0.7</v>
      </c>
      <c r="R2385">
        <v>0</v>
      </c>
      <c r="V2385" t="str">
        <f>VLOOKUP(H2385,'[1]팀별 출판사'!A:B,2,0)</f>
        <v>소설1팀</v>
      </c>
      <c r="W2385" s="6">
        <f t="shared" si="74"/>
        <v>0</v>
      </c>
      <c r="X2385" s="6">
        <f t="shared" si="75"/>
        <v>0</v>
      </c>
    </row>
    <row r="2386" spans="1:24" x14ac:dyDescent="0.3">
      <c r="A2386" t="s">
        <v>3574</v>
      </c>
      <c r="B2386" t="s">
        <v>3632</v>
      </c>
      <c r="C2386" t="s">
        <v>23</v>
      </c>
      <c r="D2386" t="s">
        <v>24</v>
      </c>
      <c r="E2386" t="s">
        <v>25</v>
      </c>
      <c r="F2386">
        <v>1</v>
      </c>
      <c r="G2386">
        <v>9791136916969</v>
      </c>
      <c r="H2386" t="s">
        <v>26</v>
      </c>
      <c r="I2386" t="s">
        <v>1228</v>
      </c>
      <c r="J2386" t="s">
        <v>436</v>
      </c>
      <c r="K2386" t="s">
        <v>29</v>
      </c>
      <c r="L2386">
        <v>0</v>
      </c>
      <c r="M2386" t="s">
        <v>29</v>
      </c>
      <c r="N2386">
        <v>0</v>
      </c>
      <c r="O2386">
        <v>0</v>
      </c>
      <c r="P2386" t="s">
        <v>30</v>
      </c>
      <c r="Q2386" s="2">
        <v>0.7</v>
      </c>
      <c r="R2386">
        <v>0</v>
      </c>
      <c r="V2386" t="str">
        <f>VLOOKUP(H2386,'[1]팀별 출판사'!A:B,2,0)</f>
        <v>소설1팀</v>
      </c>
      <c r="W2386" s="6">
        <f t="shared" si="74"/>
        <v>0</v>
      </c>
      <c r="X2386" s="6">
        <f t="shared" si="75"/>
        <v>0</v>
      </c>
    </row>
    <row r="2387" spans="1:24" x14ac:dyDescent="0.3">
      <c r="A2387" t="s">
        <v>3574</v>
      </c>
      <c r="B2387" t="s">
        <v>3633</v>
      </c>
      <c r="C2387" t="s">
        <v>23</v>
      </c>
      <c r="D2387" t="s">
        <v>24</v>
      </c>
      <c r="E2387" t="s">
        <v>25</v>
      </c>
      <c r="F2387">
        <v>1</v>
      </c>
      <c r="G2387" t="s">
        <v>3634</v>
      </c>
      <c r="H2387" t="s">
        <v>32</v>
      </c>
      <c r="I2387" t="s">
        <v>3635</v>
      </c>
      <c r="J2387" t="s">
        <v>311</v>
      </c>
      <c r="K2387" t="s">
        <v>29</v>
      </c>
      <c r="L2387">
        <v>0</v>
      </c>
      <c r="M2387" t="s">
        <v>29</v>
      </c>
      <c r="N2387">
        <v>0</v>
      </c>
      <c r="O2387">
        <v>0</v>
      </c>
      <c r="P2387" t="s">
        <v>30</v>
      </c>
      <c r="Q2387" s="2">
        <v>0.7</v>
      </c>
      <c r="R2387">
        <v>0</v>
      </c>
      <c r="V2387" t="str">
        <f>VLOOKUP(H2387,'[1]팀별 출판사'!A:B,2,0)</f>
        <v>소설1팀</v>
      </c>
      <c r="W2387" s="6">
        <f t="shared" si="74"/>
        <v>0</v>
      </c>
      <c r="X2387" s="6">
        <f t="shared" si="75"/>
        <v>0</v>
      </c>
    </row>
    <row r="2388" spans="1:24" x14ac:dyDescent="0.3">
      <c r="A2388" t="s">
        <v>3574</v>
      </c>
      <c r="B2388" t="s">
        <v>3636</v>
      </c>
      <c r="C2388" t="s">
        <v>23</v>
      </c>
      <c r="D2388" t="s">
        <v>24</v>
      </c>
      <c r="E2388" t="s">
        <v>25</v>
      </c>
      <c r="F2388">
        <v>1</v>
      </c>
      <c r="G2388">
        <v>9791136920485</v>
      </c>
      <c r="H2388" t="s">
        <v>26</v>
      </c>
      <c r="I2388" t="s">
        <v>3002</v>
      </c>
      <c r="J2388" t="s">
        <v>3003</v>
      </c>
      <c r="K2388" t="s">
        <v>29</v>
      </c>
      <c r="L2388">
        <v>0</v>
      </c>
      <c r="M2388" t="s">
        <v>362</v>
      </c>
      <c r="N2388">
        <v>0</v>
      </c>
      <c r="O2388">
        <v>0</v>
      </c>
      <c r="P2388" t="s">
        <v>363</v>
      </c>
      <c r="Q2388" s="2">
        <v>0.7</v>
      </c>
      <c r="R2388">
        <v>0</v>
      </c>
      <c r="V2388" t="str">
        <f>VLOOKUP(H2388,'[1]팀별 출판사'!A:B,2,0)</f>
        <v>소설1팀</v>
      </c>
      <c r="W2388" s="6">
        <f t="shared" si="74"/>
        <v>0</v>
      </c>
      <c r="X2388" s="6">
        <f t="shared" si="75"/>
        <v>0</v>
      </c>
    </row>
    <row r="2389" spans="1:24" x14ac:dyDescent="0.3">
      <c r="A2389" t="s">
        <v>3574</v>
      </c>
      <c r="B2389" t="s">
        <v>3637</v>
      </c>
      <c r="C2389" t="s">
        <v>23</v>
      </c>
      <c r="D2389" t="s">
        <v>24</v>
      </c>
      <c r="E2389" t="s">
        <v>25</v>
      </c>
      <c r="F2389">
        <v>1</v>
      </c>
      <c r="G2389">
        <v>9791136942142</v>
      </c>
      <c r="H2389" t="s">
        <v>26</v>
      </c>
      <c r="I2389" t="s">
        <v>180</v>
      </c>
      <c r="J2389" t="s">
        <v>46</v>
      </c>
      <c r="K2389" t="s">
        <v>29</v>
      </c>
      <c r="L2389">
        <v>0</v>
      </c>
      <c r="M2389" t="s">
        <v>47</v>
      </c>
      <c r="N2389">
        <v>0</v>
      </c>
      <c r="O2389">
        <v>0</v>
      </c>
      <c r="P2389" t="s">
        <v>48</v>
      </c>
      <c r="Q2389" s="2">
        <v>0.7</v>
      </c>
      <c r="R2389">
        <v>0</v>
      </c>
      <c r="V2389" t="str">
        <f>VLOOKUP(H2389,'[1]팀별 출판사'!A:B,2,0)</f>
        <v>소설1팀</v>
      </c>
      <c r="W2389" s="6">
        <f t="shared" si="74"/>
        <v>0</v>
      </c>
      <c r="X2389" s="6">
        <f t="shared" si="75"/>
        <v>0</v>
      </c>
    </row>
    <row r="2390" spans="1:24" x14ac:dyDescent="0.3">
      <c r="A2390" t="s">
        <v>3574</v>
      </c>
      <c r="B2390" t="s">
        <v>3638</v>
      </c>
      <c r="C2390" t="s">
        <v>23</v>
      </c>
      <c r="D2390" t="s">
        <v>24</v>
      </c>
      <c r="E2390" t="s">
        <v>25</v>
      </c>
      <c r="F2390">
        <v>1</v>
      </c>
      <c r="G2390">
        <v>9791173786013</v>
      </c>
      <c r="H2390" t="s">
        <v>26</v>
      </c>
      <c r="I2390" t="s">
        <v>3639</v>
      </c>
      <c r="J2390" t="s">
        <v>81</v>
      </c>
      <c r="K2390" t="s">
        <v>29</v>
      </c>
      <c r="L2390" s="1">
        <v>3200</v>
      </c>
      <c r="M2390" t="s">
        <v>29</v>
      </c>
      <c r="N2390" s="1">
        <v>3200</v>
      </c>
      <c r="O2390" s="1">
        <v>3200</v>
      </c>
      <c r="P2390" t="s">
        <v>30</v>
      </c>
      <c r="Q2390" s="2">
        <v>0.7</v>
      </c>
      <c r="R2390" s="1">
        <v>2240</v>
      </c>
      <c r="S2390" t="s">
        <v>29</v>
      </c>
      <c r="T2390" s="1">
        <v>2240</v>
      </c>
      <c r="V2390" t="str">
        <f>VLOOKUP(H2390,'[1]팀별 출판사'!A:B,2,0)</f>
        <v>소설1팀</v>
      </c>
      <c r="W2390" s="6">
        <f t="shared" si="74"/>
        <v>0</v>
      </c>
      <c r="X2390" s="6">
        <f t="shared" si="75"/>
        <v>2240</v>
      </c>
    </row>
    <row r="2391" spans="1:24" x14ac:dyDescent="0.3">
      <c r="A2391" t="s">
        <v>3574</v>
      </c>
      <c r="B2391" t="s">
        <v>3640</v>
      </c>
      <c r="C2391" t="s">
        <v>23</v>
      </c>
      <c r="D2391" t="s">
        <v>24</v>
      </c>
      <c r="E2391" t="s">
        <v>25</v>
      </c>
      <c r="F2391">
        <v>1</v>
      </c>
      <c r="G2391">
        <v>9791133169290</v>
      </c>
      <c r="H2391" t="s">
        <v>32</v>
      </c>
      <c r="I2391" t="s">
        <v>671</v>
      </c>
      <c r="J2391" t="s">
        <v>160</v>
      </c>
      <c r="K2391" t="s">
        <v>29</v>
      </c>
      <c r="L2391">
        <v>0</v>
      </c>
      <c r="M2391" t="s">
        <v>29</v>
      </c>
      <c r="N2391">
        <v>0</v>
      </c>
      <c r="O2391">
        <v>0</v>
      </c>
      <c r="P2391" t="s">
        <v>30</v>
      </c>
      <c r="Q2391" s="2">
        <v>0.7</v>
      </c>
      <c r="R2391">
        <v>0</v>
      </c>
      <c r="V2391" t="str">
        <f>VLOOKUP(H2391,'[1]팀별 출판사'!A:B,2,0)</f>
        <v>소설1팀</v>
      </c>
      <c r="W2391" s="6">
        <f t="shared" si="74"/>
        <v>0</v>
      </c>
      <c r="X2391" s="6">
        <f t="shared" si="75"/>
        <v>0</v>
      </c>
    </row>
    <row r="2392" spans="1:24" x14ac:dyDescent="0.3">
      <c r="A2392" t="s">
        <v>3574</v>
      </c>
      <c r="B2392" t="s">
        <v>3641</v>
      </c>
      <c r="C2392" t="s">
        <v>23</v>
      </c>
      <c r="D2392" t="s">
        <v>24</v>
      </c>
      <c r="E2392" t="s">
        <v>25</v>
      </c>
      <c r="F2392">
        <v>1</v>
      </c>
      <c r="G2392">
        <v>9791136935175</v>
      </c>
      <c r="H2392" t="s">
        <v>32</v>
      </c>
      <c r="I2392" t="s">
        <v>3642</v>
      </c>
      <c r="J2392" t="s">
        <v>3643</v>
      </c>
      <c r="K2392" t="s">
        <v>29</v>
      </c>
      <c r="L2392">
        <v>0</v>
      </c>
      <c r="M2392" t="s">
        <v>29</v>
      </c>
      <c r="N2392">
        <v>0</v>
      </c>
      <c r="O2392">
        <v>0</v>
      </c>
      <c r="P2392" t="s">
        <v>30</v>
      </c>
      <c r="Q2392" s="2">
        <v>0.7</v>
      </c>
      <c r="R2392">
        <v>0</v>
      </c>
      <c r="V2392" t="str">
        <f>VLOOKUP(H2392,'[1]팀별 출판사'!A:B,2,0)</f>
        <v>소설1팀</v>
      </c>
      <c r="W2392" s="6">
        <f t="shared" si="74"/>
        <v>0</v>
      </c>
      <c r="X2392" s="6">
        <f t="shared" si="75"/>
        <v>0</v>
      </c>
    </row>
    <row r="2393" spans="1:24" x14ac:dyDescent="0.3">
      <c r="A2393" t="s">
        <v>3574</v>
      </c>
      <c r="B2393" t="s">
        <v>3644</v>
      </c>
      <c r="C2393" t="s">
        <v>23</v>
      </c>
      <c r="D2393" t="s">
        <v>24</v>
      </c>
      <c r="E2393" t="s">
        <v>25</v>
      </c>
      <c r="F2393">
        <v>1</v>
      </c>
      <c r="G2393">
        <v>9791173789137</v>
      </c>
      <c r="H2393" t="s">
        <v>79</v>
      </c>
      <c r="I2393" t="s">
        <v>3645</v>
      </c>
      <c r="J2393" t="s">
        <v>3425</v>
      </c>
      <c r="K2393" t="s">
        <v>29</v>
      </c>
      <c r="L2393" s="1">
        <v>3200</v>
      </c>
      <c r="M2393" t="s">
        <v>3426</v>
      </c>
      <c r="N2393">
        <v>1.8</v>
      </c>
      <c r="O2393">
        <v>1.75</v>
      </c>
      <c r="P2393" t="s">
        <v>3427</v>
      </c>
      <c r="Q2393" s="2">
        <v>0.7</v>
      </c>
      <c r="R2393">
        <v>1.22</v>
      </c>
      <c r="S2393" t="s">
        <v>29</v>
      </c>
      <c r="T2393" s="1">
        <v>2286</v>
      </c>
      <c r="U2393" s="3">
        <v>1874.41228</v>
      </c>
      <c r="V2393" t="str">
        <f>VLOOKUP(H2393,'[1]팀별 출판사'!A:B,2,0)</f>
        <v>소설1팀</v>
      </c>
      <c r="W2393" s="6">
        <f t="shared" si="74"/>
        <v>0</v>
      </c>
      <c r="X2393" s="6">
        <f t="shared" si="75"/>
        <v>2286</v>
      </c>
    </row>
    <row r="2394" spans="1:24" x14ac:dyDescent="0.3">
      <c r="A2394" t="s">
        <v>3574</v>
      </c>
      <c r="B2394" t="s">
        <v>3646</v>
      </c>
      <c r="C2394" t="s">
        <v>23</v>
      </c>
      <c r="D2394" t="s">
        <v>24</v>
      </c>
      <c r="E2394" t="s">
        <v>25</v>
      </c>
      <c r="F2394">
        <v>1</v>
      </c>
      <c r="G2394">
        <v>9791136930224</v>
      </c>
      <c r="H2394" t="s">
        <v>32</v>
      </c>
      <c r="I2394" t="s">
        <v>172</v>
      </c>
      <c r="J2394" t="s">
        <v>46</v>
      </c>
      <c r="K2394" t="s">
        <v>29</v>
      </c>
      <c r="L2394">
        <v>0</v>
      </c>
      <c r="M2394" t="s">
        <v>29</v>
      </c>
      <c r="N2394">
        <v>0</v>
      </c>
      <c r="O2394">
        <v>0</v>
      </c>
      <c r="P2394" t="s">
        <v>30</v>
      </c>
      <c r="Q2394" s="2">
        <v>0.7</v>
      </c>
      <c r="R2394">
        <v>0</v>
      </c>
      <c r="V2394" t="str">
        <f>VLOOKUP(H2394,'[1]팀별 출판사'!A:B,2,0)</f>
        <v>소설1팀</v>
      </c>
      <c r="W2394" s="6">
        <f t="shared" si="74"/>
        <v>0</v>
      </c>
      <c r="X2394" s="6">
        <f t="shared" si="75"/>
        <v>0</v>
      </c>
    </row>
    <row r="2395" spans="1:24" x14ac:dyDescent="0.3">
      <c r="A2395" t="s">
        <v>3574</v>
      </c>
      <c r="B2395" t="s">
        <v>3647</v>
      </c>
      <c r="C2395" t="s">
        <v>23</v>
      </c>
      <c r="D2395" t="s">
        <v>24</v>
      </c>
      <c r="E2395" t="s">
        <v>25</v>
      </c>
      <c r="F2395">
        <v>1</v>
      </c>
      <c r="G2395">
        <v>9791136988416</v>
      </c>
      <c r="H2395" t="s">
        <v>26</v>
      </c>
      <c r="I2395" t="s">
        <v>3648</v>
      </c>
      <c r="J2395" t="s">
        <v>28</v>
      </c>
      <c r="K2395" t="s">
        <v>29</v>
      </c>
      <c r="L2395" s="1">
        <v>3200</v>
      </c>
      <c r="M2395" t="s">
        <v>29</v>
      </c>
      <c r="N2395" s="1">
        <v>3200</v>
      </c>
      <c r="O2395" s="1">
        <v>3200</v>
      </c>
      <c r="P2395" t="s">
        <v>30</v>
      </c>
      <c r="Q2395" s="2">
        <v>0.7</v>
      </c>
      <c r="R2395" s="1">
        <v>2240</v>
      </c>
      <c r="S2395" t="s">
        <v>29</v>
      </c>
      <c r="T2395" s="1">
        <v>2240</v>
      </c>
      <c r="V2395" t="str">
        <f>VLOOKUP(H2395,'[1]팀별 출판사'!A:B,2,0)</f>
        <v>소설1팀</v>
      </c>
      <c r="W2395" s="6">
        <f t="shared" si="74"/>
        <v>0</v>
      </c>
      <c r="X2395" s="6">
        <f t="shared" si="75"/>
        <v>2240</v>
      </c>
    </row>
    <row r="2396" spans="1:24" x14ac:dyDescent="0.3">
      <c r="A2396" t="s">
        <v>3574</v>
      </c>
      <c r="B2396" t="s">
        <v>3649</v>
      </c>
      <c r="C2396" t="s">
        <v>23</v>
      </c>
      <c r="D2396" t="s">
        <v>24</v>
      </c>
      <c r="E2396" t="s">
        <v>25</v>
      </c>
      <c r="F2396">
        <v>1</v>
      </c>
      <c r="G2396">
        <v>9791170106357</v>
      </c>
      <c r="H2396" t="s">
        <v>67</v>
      </c>
      <c r="I2396" t="s">
        <v>2416</v>
      </c>
      <c r="J2396" t="s">
        <v>2417</v>
      </c>
      <c r="K2396" t="s">
        <v>29</v>
      </c>
      <c r="L2396">
        <v>0</v>
      </c>
      <c r="M2396" t="s">
        <v>29</v>
      </c>
      <c r="N2396">
        <v>0</v>
      </c>
      <c r="O2396">
        <v>0</v>
      </c>
      <c r="P2396" t="s">
        <v>30</v>
      </c>
      <c r="Q2396" s="2">
        <v>0.7</v>
      </c>
      <c r="R2396">
        <v>0</v>
      </c>
      <c r="V2396" t="str">
        <f>VLOOKUP(H2396,'[1]팀별 출판사'!A:B,2,0)</f>
        <v>소설1팀</v>
      </c>
      <c r="W2396" s="6">
        <f t="shared" si="74"/>
        <v>0</v>
      </c>
      <c r="X2396" s="6">
        <f t="shared" si="75"/>
        <v>0</v>
      </c>
    </row>
    <row r="2397" spans="1:24" x14ac:dyDescent="0.3">
      <c r="A2397" t="s">
        <v>3574</v>
      </c>
      <c r="B2397" t="s">
        <v>3650</v>
      </c>
      <c r="C2397" t="s">
        <v>23</v>
      </c>
      <c r="D2397" t="s">
        <v>24</v>
      </c>
      <c r="E2397" t="s">
        <v>25</v>
      </c>
      <c r="F2397">
        <v>1</v>
      </c>
      <c r="G2397">
        <v>9791136931375</v>
      </c>
      <c r="H2397" t="s">
        <v>32</v>
      </c>
      <c r="I2397" t="s">
        <v>189</v>
      </c>
      <c r="J2397" t="s">
        <v>46</v>
      </c>
      <c r="K2397" t="s">
        <v>29</v>
      </c>
      <c r="L2397">
        <v>0</v>
      </c>
      <c r="M2397" t="s">
        <v>152</v>
      </c>
      <c r="N2397">
        <v>0</v>
      </c>
      <c r="O2397">
        <v>0</v>
      </c>
      <c r="P2397" t="s">
        <v>153</v>
      </c>
      <c r="Q2397" s="2">
        <v>0.7</v>
      </c>
      <c r="R2397">
        <v>0</v>
      </c>
      <c r="V2397" t="str">
        <f>VLOOKUP(H2397,'[1]팀별 출판사'!A:B,2,0)</f>
        <v>소설1팀</v>
      </c>
      <c r="W2397" s="6">
        <f t="shared" si="74"/>
        <v>0</v>
      </c>
      <c r="X2397" s="6">
        <f t="shared" si="75"/>
        <v>0</v>
      </c>
    </row>
    <row r="2398" spans="1:24" x14ac:dyDescent="0.3">
      <c r="A2398" t="s">
        <v>3574</v>
      </c>
      <c r="B2398" t="s">
        <v>3651</v>
      </c>
      <c r="C2398" t="s">
        <v>23</v>
      </c>
      <c r="D2398" t="s">
        <v>24</v>
      </c>
      <c r="E2398" t="s">
        <v>25</v>
      </c>
      <c r="F2398">
        <v>1</v>
      </c>
      <c r="G2398">
        <v>9791170107835</v>
      </c>
      <c r="H2398" t="s">
        <v>67</v>
      </c>
      <c r="I2398" t="s">
        <v>2427</v>
      </c>
      <c r="J2398" t="s">
        <v>2428</v>
      </c>
      <c r="K2398" t="s">
        <v>29</v>
      </c>
      <c r="L2398">
        <v>0</v>
      </c>
      <c r="M2398" t="s">
        <v>29</v>
      </c>
      <c r="N2398">
        <v>0</v>
      </c>
      <c r="O2398">
        <v>0</v>
      </c>
      <c r="P2398" t="s">
        <v>30</v>
      </c>
      <c r="Q2398" s="2">
        <v>0.7</v>
      </c>
      <c r="R2398">
        <v>0</v>
      </c>
      <c r="V2398" t="str">
        <f>VLOOKUP(H2398,'[1]팀별 출판사'!A:B,2,0)</f>
        <v>소설1팀</v>
      </c>
      <c r="W2398" s="6">
        <f t="shared" si="74"/>
        <v>0</v>
      </c>
      <c r="X2398" s="6">
        <f t="shared" si="75"/>
        <v>0</v>
      </c>
    </row>
    <row r="2399" spans="1:24" x14ac:dyDescent="0.3">
      <c r="A2399" t="s">
        <v>3574</v>
      </c>
      <c r="B2399" t="s">
        <v>3652</v>
      </c>
      <c r="C2399" t="s">
        <v>23</v>
      </c>
      <c r="D2399" t="s">
        <v>24</v>
      </c>
      <c r="E2399" t="s">
        <v>25</v>
      </c>
      <c r="F2399">
        <v>1</v>
      </c>
      <c r="G2399">
        <v>9791175302594</v>
      </c>
      <c r="H2399" t="s">
        <v>26</v>
      </c>
      <c r="I2399" t="s">
        <v>101</v>
      </c>
      <c r="J2399" t="s">
        <v>102</v>
      </c>
      <c r="K2399" t="s">
        <v>29</v>
      </c>
      <c r="L2399">
        <v>0</v>
      </c>
      <c r="M2399" t="s">
        <v>29</v>
      </c>
      <c r="N2399">
        <v>0</v>
      </c>
      <c r="O2399">
        <v>0</v>
      </c>
      <c r="P2399" t="s">
        <v>30</v>
      </c>
      <c r="Q2399" s="2">
        <v>0.7</v>
      </c>
      <c r="R2399">
        <v>0</v>
      </c>
      <c r="V2399" t="str">
        <f>VLOOKUP(H2399,'[1]팀별 출판사'!A:B,2,0)</f>
        <v>소설1팀</v>
      </c>
      <c r="W2399" s="6">
        <f t="shared" si="74"/>
        <v>0</v>
      </c>
      <c r="X2399" s="6">
        <f t="shared" si="75"/>
        <v>0</v>
      </c>
    </row>
    <row r="2400" spans="1:24" x14ac:dyDescent="0.3">
      <c r="A2400" t="s">
        <v>3574</v>
      </c>
      <c r="B2400" t="s">
        <v>3653</v>
      </c>
      <c r="C2400" t="s">
        <v>23</v>
      </c>
      <c r="D2400" t="s">
        <v>24</v>
      </c>
      <c r="E2400" t="s">
        <v>25</v>
      </c>
      <c r="F2400">
        <v>1</v>
      </c>
      <c r="G2400">
        <v>9791173788918</v>
      </c>
      <c r="H2400" t="s">
        <v>26</v>
      </c>
      <c r="I2400" t="s">
        <v>3654</v>
      </c>
      <c r="J2400" t="s">
        <v>256</v>
      </c>
      <c r="K2400" t="s">
        <v>29</v>
      </c>
      <c r="L2400" s="1">
        <v>3200</v>
      </c>
      <c r="M2400" t="s">
        <v>29</v>
      </c>
      <c r="N2400" s="1">
        <v>3200</v>
      </c>
      <c r="O2400" s="1">
        <v>3200</v>
      </c>
      <c r="P2400" t="s">
        <v>30</v>
      </c>
      <c r="Q2400" s="2">
        <v>0.7</v>
      </c>
      <c r="R2400" s="1">
        <v>2240</v>
      </c>
      <c r="S2400" t="s">
        <v>29</v>
      </c>
      <c r="T2400" s="1">
        <v>2240</v>
      </c>
      <c r="V2400" t="str">
        <f>VLOOKUP(H2400,'[1]팀별 출판사'!A:B,2,0)</f>
        <v>소설1팀</v>
      </c>
      <c r="W2400" s="6">
        <f t="shared" si="74"/>
        <v>0</v>
      </c>
      <c r="X2400" s="6">
        <f t="shared" si="75"/>
        <v>2240</v>
      </c>
    </row>
    <row r="2401" spans="1:24" x14ac:dyDescent="0.3">
      <c r="A2401" t="s">
        <v>3574</v>
      </c>
      <c r="B2401" t="s">
        <v>3655</v>
      </c>
      <c r="C2401" t="s">
        <v>23</v>
      </c>
      <c r="D2401" t="s">
        <v>24</v>
      </c>
      <c r="E2401" t="s">
        <v>25</v>
      </c>
      <c r="F2401">
        <v>1</v>
      </c>
      <c r="G2401">
        <v>9791136958662</v>
      </c>
      <c r="H2401" t="s">
        <v>79</v>
      </c>
      <c r="I2401" t="s">
        <v>396</v>
      </c>
      <c r="J2401" t="s">
        <v>81</v>
      </c>
      <c r="K2401" t="s">
        <v>29</v>
      </c>
      <c r="L2401">
        <v>0</v>
      </c>
      <c r="M2401" t="s">
        <v>29</v>
      </c>
      <c r="N2401">
        <v>0</v>
      </c>
      <c r="O2401">
        <v>0</v>
      </c>
      <c r="P2401" t="s">
        <v>30</v>
      </c>
      <c r="Q2401" s="2">
        <v>0.7</v>
      </c>
      <c r="R2401">
        <v>0</v>
      </c>
      <c r="V2401" t="str">
        <f>VLOOKUP(H2401,'[1]팀별 출판사'!A:B,2,0)</f>
        <v>소설1팀</v>
      </c>
      <c r="W2401" s="6">
        <f t="shared" si="74"/>
        <v>0</v>
      </c>
      <c r="X2401" s="6">
        <f t="shared" si="75"/>
        <v>0</v>
      </c>
    </row>
    <row r="2402" spans="1:24" x14ac:dyDescent="0.3">
      <c r="A2402" t="s">
        <v>3574</v>
      </c>
      <c r="B2402" t="s">
        <v>3656</v>
      </c>
      <c r="C2402" t="s">
        <v>23</v>
      </c>
      <c r="D2402" t="s">
        <v>24</v>
      </c>
      <c r="E2402" t="s">
        <v>25</v>
      </c>
      <c r="F2402">
        <v>1</v>
      </c>
      <c r="G2402">
        <v>9791133102716</v>
      </c>
      <c r="H2402" t="s">
        <v>32</v>
      </c>
      <c r="I2402" t="s">
        <v>673</v>
      </c>
      <c r="J2402" t="s">
        <v>51</v>
      </c>
      <c r="K2402" t="s">
        <v>29</v>
      </c>
      <c r="L2402">
        <v>0</v>
      </c>
      <c r="M2402" t="s">
        <v>29</v>
      </c>
      <c r="N2402">
        <v>0</v>
      </c>
      <c r="O2402">
        <v>0</v>
      </c>
      <c r="P2402" t="s">
        <v>30</v>
      </c>
      <c r="Q2402" s="2">
        <v>0.7</v>
      </c>
      <c r="R2402">
        <v>0</v>
      </c>
      <c r="V2402" t="str">
        <f>VLOOKUP(H2402,'[1]팀별 출판사'!A:B,2,0)</f>
        <v>소설1팀</v>
      </c>
      <c r="W2402" s="6">
        <f t="shared" si="74"/>
        <v>0</v>
      </c>
      <c r="X2402" s="6">
        <f t="shared" si="75"/>
        <v>0</v>
      </c>
    </row>
    <row r="2403" spans="1:24" x14ac:dyDescent="0.3">
      <c r="A2403" t="s">
        <v>3574</v>
      </c>
      <c r="B2403" t="s">
        <v>3657</v>
      </c>
      <c r="C2403" t="s">
        <v>23</v>
      </c>
      <c r="D2403" t="s">
        <v>24</v>
      </c>
      <c r="E2403" t="s">
        <v>25</v>
      </c>
      <c r="F2403">
        <v>1</v>
      </c>
      <c r="G2403">
        <v>9791136910981</v>
      </c>
      <c r="H2403" t="s">
        <v>32</v>
      </c>
      <c r="I2403" t="s">
        <v>752</v>
      </c>
      <c r="J2403" t="s">
        <v>160</v>
      </c>
      <c r="K2403" t="s">
        <v>29</v>
      </c>
      <c r="L2403">
        <v>0</v>
      </c>
      <c r="M2403" t="s">
        <v>29</v>
      </c>
      <c r="N2403">
        <v>0</v>
      </c>
      <c r="O2403">
        <v>0</v>
      </c>
      <c r="P2403" t="s">
        <v>30</v>
      </c>
      <c r="Q2403" s="2">
        <v>0.7</v>
      </c>
      <c r="R2403">
        <v>0</v>
      </c>
      <c r="V2403" t="str">
        <f>VLOOKUP(H2403,'[1]팀별 출판사'!A:B,2,0)</f>
        <v>소설1팀</v>
      </c>
      <c r="W2403" s="6">
        <f t="shared" si="74"/>
        <v>0</v>
      </c>
      <c r="X2403" s="6">
        <f t="shared" si="75"/>
        <v>0</v>
      </c>
    </row>
    <row r="2404" spans="1:24" x14ac:dyDescent="0.3">
      <c r="A2404" t="s">
        <v>3574</v>
      </c>
      <c r="B2404" t="s">
        <v>3658</v>
      </c>
      <c r="C2404" t="s">
        <v>23</v>
      </c>
      <c r="D2404" t="s">
        <v>24</v>
      </c>
      <c r="E2404" t="s">
        <v>25</v>
      </c>
      <c r="F2404">
        <v>1</v>
      </c>
      <c r="G2404">
        <v>9791133154890</v>
      </c>
      <c r="H2404" t="s">
        <v>32</v>
      </c>
      <c r="I2404" t="s">
        <v>3659</v>
      </c>
      <c r="J2404" t="s">
        <v>160</v>
      </c>
      <c r="K2404" t="s">
        <v>29</v>
      </c>
      <c r="L2404" s="1">
        <v>3500</v>
      </c>
      <c r="M2404" t="s">
        <v>29</v>
      </c>
      <c r="N2404" s="1">
        <v>3500</v>
      </c>
      <c r="O2404" s="1">
        <v>3500</v>
      </c>
      <c r="P2404" t="s">
        <v>30</v>
      </c>
      <c r="Q2404" s="2">
        <v>0.7</v>
      </c>
      <c r="R2404" s="1">
        <v>2450</v>
      </c>
      <c r="S2404" t="s">
        <v>29</v>
      </c>
      <c r="T2404" s="1">
        <v>2450</v>
      </c>
      <c r="V2404" t="str">
        <f>VLOOKUP(H2404,'[1]팀별 출판사'!A:B,2,0)</f>
        <v>소설1팀</v>
      </c>
      <c r="W2404" s="6">
        <f t="shared" si="74"/>
        <v>0</v>
      </c>
      <c r="X2404" s="6">
        <f t="shared" si="75"/>
        <v>2450</v>
      </c>
    </row>
    <row r="2405" spans="1:24" x14ac:dyDescent="0.3">
      <c r="A2405" t="s">
        <v>3574</v>
      </c>
      <c r="B2405" t="s">
        <v>3660</v>
      </c>
      <c r="C2405" t="s">
        <v>23</v>
      </c>
      <c r="D2405" t="s">
        <v>24</v>
      </c>
      <c r="E2405" t="s">
        <v>25</v>
      </c>
      <c r="F2405">
        <v>1</v>
      </c>
      <c r="G2405" t="s">
        <v>3661</v>
      </c>
      <c r="H2405" t="s">
        <v>1311</v>
      </c>
      <c r="I2405" t="s">
        <v>3662</v>
      </c>
      <c r="J2405" t="s">
        <v>2606</v>
      </c>
      <c r="K2405" t="s">
        <v>29</v>
      </c>
      <c r="L2405" s="1">
        <v>4000</v>
      </c>
      <c r="M2405" t="s">
        <v>29</v>
      </c>
      <c r="N2405" s="1">
        <v>4000</v>
      </c>
      <c r="O2405" s="1">
        <v>4000</v>
      </c>
      <c r="P2405" t="s">
        <v>30</v>
      </c>
      <c r="Q2405" s="2">
        <v>0.7</v>
      </c>
      <c r="R2405" s="1">
        <v>2800</v>
      </c>
      <c r="S2405" t="s">
        <v>29</v>
      </c>
      <c r="T2405" s="1">
        <v>2800</v>
      </c>
      <c r="V2405" t="str">
        <f>VLOOKUP(H2405,'[1]팀별 출판사'!A:B,2,0)</f>
        <v>소설2팀</v>
      </c>
      <c r="W2405" s="6">
        <f t="shared" si="74"/>
        <v>0</v>
      </c>
      <c r="X2405" s="6">
        <f t="shared" si="75"/>
        <v>2800</v>
      </c>
    </row>
    <row r="2406" spans="1:24" x14ac:dyDescent="0.3">
      <c r="A2406" t="s">
        <v>3574</v>
      </c>
      <c r="B2406" t="s">
        <v>3663</v>
      </c>
      <c r="C2406" t="s">
        <v>23</v>
      </c>
      <c r="D2406" t="s">
        <v>24</v>
      </c>
      <c r="E2406" t="s">
        <v>25</v>
      </c>
      <c r="F2406">
        <v>1</v>
      </c>
      <c r="G2406">
        <v>9791136928962</v>
      </c>
      <c r="H2406" t="s">
        <v>26</v>
      </c>
      <c r="I2406" t="s">
        <v>3664</v>
      </c>
      <c r="J2406" t="s">
        <v>62</v>
      </c>
      <c r="K2406" t="s">
        <v>29</v>
      </c>
      <c r="L2406" s="1">
        <v>3200</v>
      </c>
      <c r="M2406" t="s">
        <v>70</v>
      </c>
      <c r="N2406">
        <v>2.2200000000000002</v>
      </c>
      <c r="O2406">
        <v>2.2200000000000002</v>
      </c>
      <c r="P2406" t="s">
        <v>71</v>
      </c>
      <c r="Q2406" s="2">
        <v>0.7</v>
      </c>
      <c r="R2406">
        <v>1.55</v>
      </c>
      <c r="S2406" t="s">
        <v>29</v>
      </c>
      <c r="T2406" s="1">
        <v>2245</v>
      </c>
      <c r="U2406" s="3">
        <v>1444.59356</v>
      </c>
      <c r="V2406" t="str">
        <f>VLOOKUP(H2406,'[1]팀별 출판사'!A:B,2,0)</f>
        <v>소설1팀</v>
      </c>
      <c r="W2406" s="6">
        <f t="shared" si="74"/>
        <v>673.5</v>
      </c>
      <c r="X2406" s="6">
        <f t="shared" si="75"/>
        <v>1571.5</v>
      </c>
    </row>
    <row r="2407" spans="1:24" x14ac:dyDescent="0.3">
      <c r="A2407" t="s">
        <v>3574</v>
      </c>
      <c r="B2407" t="s">
        <v>3663</v>
      </c>
      <c r="C2407" t="s">
        <v>23</v>
      </c>
      <c r="D2407" t="s">
        <v>24</v>
      </c>
      <c r="E2407" t="s">
        <v>25</v>
      </c>
      <c r="F2407">
        <v>1</v>
      </c>
      <c r="G2407">
        <v>9791136928979</v>
      </c>
      <c r="H2407" t="s">
        <v>26</v>
      </c>
      <c r="I2407" t="s">
        <v>3665</v>
      </c>
      <c r="J2407" t="s">
        <v>62</v>
      </c>
      <c r="K2407" t="s">
        <v>29</v>
      </c>
      <c r="L2407" s="1">
        <v>3200</v>
      </c>
      <c r="M2407" t="s">
        <v>70</v>
      </c>
      <c r="N2407">
        <v>2.2200000000000002</v>
      </c>
      <c r="O2407">
        <v>2.2200000000000002</v>
      </c>
      <c r="P2407" t="s">
        <v>71</v>
      </c>
      <c r="Q2407" s="2">
        <v>0.7</v>
      </c>
      <c r="R2407">
        <v>1.55</v>
      </c>
      <c r="S2407" t="s">
        <v>29</v>
      </c>
      <c r="T2407" s="1">
        <v>2245</v>
      </c>
      <c r="U2407" s="3">
        <v>1444.59356</v>
      </c>
      <c r="V2407" t="str">
        <f>VLOOKUP(H2407,'[1]팀별 출판사'!A:B,2,0)</f>
        <v>소설1팀</v>
      </c>
      <c r="W2407" s="6">
        <f t="shared" si="74"/>
        <v>673.5</v>
      </c>
      <c r="X2407" s="6">
        <f t="shared" si="75"/>
        <v>1571.5</v>
      </c>
    </row>
    <row r="2408" spans="1:24" x14ac:dyDescent="0.3">
      <c r="A2408" t="s">
        <v>3574</v>
      </c>
      <c r="B2408" t="s">
        <v>3663</v>
      </c>
      <c r="C2408" t="s">
        <v>23</v>
      </c>
      <c r="D2408" t="s">
        <v>24</v>
      </c>
      <c r="E2408" t="s">
        <v>25</v>
      </c>
      <c r="F2408">
        <v>1</v>
      </c>
      <c r="G2408">
        <v>9791136928986</v>
      </c>
      <c r="H2408" t="s">
        <v>26</v>
      </c>
      <c r="I2408" t="s">
        <v>3666</v>
      </c>
      <c r="J2408" t="s">
        <v>62</v>
      </c>
      <c r="K2408" t="s">
        <v>29</v>
      </c>
      <c r="L2408" s="1">
        <v>3200</v>
      </c>
      <c r="M2408" t="s">
        <v>70</v>
      </c>
      <c r="N2408">
        <v>2.2200000000000002</v>
      </c>
      <c r="O2408">
        <v>2.2200000000000002</v>
      </c>
      <c r="P2408" t="s">
        <v>71</v>
      </c>
      <c r="Q2408" s="2">
        <v>0.7</v>
      </c>
      <c r="R2408">
        <v>1.55</v>
      </c>
      <c r="S2408" t="s">
        <v>29</v>
      </c>
      <c r="T2408" s="1">
        <v>2245</v>
      </c>
      <c r="U2408" s="3">
        <v>1444.59356</v>
      </c>
      <c r="V2408" t="str">
        <f>VLOOKUP(H2408,'[1]팀별 출판사'!A:B,2,0)</f>
        <v>소설1팀</v>
      </c>
      <c r="W2408" s="6">
        <f t="shared" si="74"/>
        <v>673.5</v>
      </c>
      <c r="X2408" s="6">
        <f t="shared" si="75"/>
        <v>1571.5</v>
      </c>
    </row>
    <row r="2409" spans="1:24" x14ac:dyDescent="0.3">
      <c r="A2409" t="s">
        <v>3574</v>
      </c>
      <c r="B2409" t="s">
        <v>3667</v>
      </c>
      <c r="C2409" t="s">
        <v>23</v>
      </c>
      <c r="D2409" t="s">
        <v>24</v>
      </c>
      <c r="E2409" t="s">
        <v>25</v>
      </c>
      <c r="F2409">
        <v>1</v>
      </c>
      <c r="G2409">
        <v>9791133143801</v>
      </c>
      <c r="H2409" t="s">
        <v>32</v>
      </c>
      <c r="I2409" t="s">
        <v>1056</v>
      </c>
      <c r="J2409" t="s">
        <v>88</v>
      </c>
      <c r="K2409" t="s">
        <v>29</v>
      </c>
      <c r="L2409">
        <v>0</v>
      </c>
      <c r="M2409" t="s">
        <v>29</v>
      </c>
      <c r="N2409">
        <v>0</v>
      </c>
      <c r="O2409">
        <v>0</v>
      </c>
      <c r="P2409" t="s">
        <v>30</v>
      </c>
      <c r="Q2409" s="2">
        <v>0.7</v>
      </c>
      <c r="R2409">
        <v>0</v>
      </c>
      <c r="V2409" t="str">
        <f>VLOOKUP(H2409,'[1]팀별 출판사'!A:B,2,0)</f>
        <v>소설1팀</v>
      </c>
      <c r="W2409" s="6">
        <f t="shared" si="74"/>
        <v>0</v>
      </c>
      <c r="X2409" s="6">
        <f t="shared" si="75"/>
        <v>0</v>
      </c>
    </row>
    <row r="2410" spans="1:24" x14ac:dyDescent="0.3">
      <c r="A2410" t="s">
        <v>3574</v>
      </c>
      <c r="B2410" t="s">
        <v>3668</v>
      </c>
      <c r="C2410" t="s">
        <v>23</v>
      </c>
      <c r="D2410" t="s">
        <v>24</v>
      </c>
      <c r="E2410" t="s">
        <v>25</v>
      </c>
      <c r="F2410">
        <v>1</v>
      </c>
      <c r="G2410">
        <v>9791136958754</v>
      </c>
      <c r="H2410" t="s">
        <v>79</v>
      </c>
      <c r="I2410" t="s">
        <v>3669</v>
      </c>
      <c r="J2410" t="s">
        <v>81</v>
      </c>
      <c r="K2410" t="s">
        <v>29</v>
      </c>
      <c r="L2410" s="1">
        <v>3200</v>
      </c>
      <c r="M2410" t="s">
        <v>29</v>
      </c>
      <c r="N2410" s="1">
        <v>3200</v>
      </c>
      <c r="O2410" s="1">
        <v>3200</v>
      </c>
      <c r="P2410" t="s">
        <v>30</v>
      </c>
      <c r="Q2410" s="2">
        <v>0.7</v>
      </c>
      <c r="R2410" s="1">
        <v>2240</v>
      </c>
      <c r="S2410" t="s">
        <v>29</v>
      </c>
      <c r="T2410" s="1">
        <v>2240</v>
      </c>
      <c r="V2410" t="str">
        <f>VLOOKUP(H2410,'[1]팀별 출판사'!A:B,2,0)</f>
        <v>소설1팀</v>
      </c>
      <c r="W2410" s="6">
        <f t="shared" si="74"/>
        <v>0</v>
      </c>
      <c r="X2410" s="6">
        <f t="shared" si="75"/>
        <v>2240</v>
      </c>
    </row>
    <row r="2411" spans="1:24" x14ac:dyDescent="0.3">
      <c r="A2411" t="s">
        <v>3574</v>
      </c>
      <c r="B2411" t="s">
        <v>3670</v>
      </c>
      <c r="C2411" t="s">
        <v>23</v>
      </c>
      <c r="D2411" t="s">
        <v>24</v>
      </c>
      <c r="E2411" t="s">
        <v>25</v>
      </c>
      <c r="F2411">
        <v>1</v>
      </c>
      <c r="G2411">
        <v>9791133171361</v>
      </c>
      <c r="H2411" t="s">
        <v>26</v>
      </c>
      <c r="I2411" t="s">
        <v>2768</v>
      </c>
      <c r="J2411" t="s">
        <v>178</v>
      </c>
      <c r="K2411" t="s">
        <v>29</v>
      </c>
      <c r="L2411">
        <v>0</v>
      </c>
      <c r="M2411" t="s">
        <v>29</v>
      </c>
      <c r="N2411">
        <v>0</v>
      </c>
      <c r="O2411">
        <v>0</v>
      </c>
      <c r="P2411" t="s">
        <v>30</v>
      </c>
      <c r="Q2411" s="2">
        <v>0.7</v>
      </c>
      <c r="R2411">
        <v>0</v>
      </c>
      <c r="V2411" t="str">
        <f>VLOOKUP(H2411,'[1]팀별 출판사'!A:B,2,0)</f>
        <v>소설1팀</v>
      </c>
      <c r="W2411" s="6">
        <f t="shared" si="74"/>
        <v>0</v>
      </c>
      <c r="X2411" s="6">
        <f t="shared" si="75"/>
        <v>0</v>
      </c>
    </row>
    <row r="2412" spans="1:24" x14ac:dyDescent="0.3">
      <c r="A2412" t="s">
        <v>3574</v>
      </c>
      <c r="B2412" t="s">
        <v>3671</v>
      </c>
      <c r="C2412" t="s">
        <v>23</v>
      </c>
      <c r="D2412" t="s">
        <v>24</v>
      </c>
      <c r="E2412" t="s">
        <v>25</v>
      </c>
      <c r="F2412">
        <v>1</v>
      </c>
      <c r="G2412">
        <v>9791170106500</v>
      </c>
      <c r="H2412" t="s">
        <v>67</v>
      </c>
      <c r="I2412" t="s">
        <v>931</v>
      </c>
      <c r="J2412" t="s">
        <v>932</v>
      </c>
      <c r="K2412" t="s">
        <v>29</v>
      </c>
      <c r="L2412">
        <v>0</v>
      </c>
      <c r="M2412" t="s">
        <v>1379</v>
      </c>
      <c r="N2412">
        <v>0</v>
      </c>
      <c r="O2412">
        <v>0</v>
      </c>
      <c r="P2412" t="s">
        <v>1380</v>
      </c>
      <c r="Q2412" s="2">
        <v>0.7</v>
      </c>
      <c r="R2412">
        <v>0</v>
      </c>
      <c r="V2412" t="str">
        <f>VLOOKUP(H2412,'[1]팀별 출판사'!A:B,2,0)</f>
        <v>소설1팀</v>
      </c>
      <c r="W2412" s="6">
        <f t="shared" si="74"/>
        <v>0</v>
      </c>
      <c r="X2412" s="6">
        <f t="shared" si="75"/>
        <v>0</v>
      </c>
    </row>
    <row r="2413" spans="1:24" x14ac:dyDescent="0.3">
      <c r="A2413" t="s">
        <v>3574</v>
      </c>
      <c r="B2413" t="s">
        <v>3672</v>
      </c>
      <c r="C2413" t="s">
        <v>23</v>
      </c>
      <c r="D2413" t="s">
        <v>24</v>
      </c>
      <c r="E2413" t="s">
        <v>25</v>
      </c>
      <c r="F2413">
        <v>1</v>
      </c>
      <c r="G2413">
        <v>9791136927255</v>
      </c>
      <c r="H2413" t="s">
        <v>36</v>
      </c>
      <c r="I2413" t="s">
        <v>90</v>
      </c>
      <c r="J2413" t="s">
        <v>38</v>
      </c>
      <c r="K2413" t="s">
        <v>29</v>
      </c>
      <c r="L2413" s="1">
        <v>3300</v>
      </c>
      <c r="M2413" t="s">
        <v>193</v>
      </c>
      <c r="N2413">
        <v>12.55</v>
      </c>
      <c r="O2413">
        <v>12.55</v>
      </c>
      <c r="P2413" t="s">
        <v>194</v>
      </c>
      <c r="Q2413" s="2">
        <v>0.7</v>
      </c>
      <c r="R2413">
        <v>8.7799999999999994</v>
      </c>
      <c r="S2413" t="s">
        <v>29</v>
      </c>
      <c r="T2413" s="1">
        <v>2434</v>
      </c>
      <c r="U2413">
        <v>276.57781</v>
      </c>
      <c r="V2413" t="str">
        <f>VLOOKUP(H2413,'[1]팀별 출판사'!A:B,2,0)</f>
        <v>소설2팀</v>
      </c>
      <c r="W2413" s="6">
        <f t="shared" si="74"/>
        <v>0</v>
      </c>
      <c r="X2413" s="6">
        <f t="shared" si="75"/>
        <v>2434</v>
      </c>
    </row>
    <row r="2414" spans="1:24" x14ac:dyDescent="0.3">
      <c r="A2414" t="s">
        <v>3574</v>
      </c>
      <c r="B2414" t="s">
        <v>3673</v>
      </c>
      <c r="C2414" t="s">
        <v>23</v>
      </c>
      <c r="D2414" t="s">
        <v>24</v>
      </c>
      <c r="E2414" t="s">
        <v>25</v>
      </c>
      <c r="F2414">
        <v>1</v>
      </c>
      <c r="G2414">
        <v>9791133105557</v>
      </c>
      <c r="H2414" t="s">
        <v>32</v>
      </c>
      <c r="I2414" t="s">
        <v>3674</v>
      </c>
      <c r="J2414" t="s">
        <v>187</v>
      </c>
      <c r="K2414" t="s">
        <v>29</v>
      </c>
      <c r="L2414">
        <v>0</v>
      </c>
      <c r="M2414" t="s">
        <v>29</v>
      </c>
      <c r="N2414">
        <v>0</v>
      </c>
      <c r="O2414">
        <v>0</v>
      </c>
      <c r="P2414" t="s">
        <v>30</v>
      </c>
      <c r="Q2414" s="2">
        <v>0.7</v>
      </c>
      <c r="R2414">
        <v>0</v>
      </c>
      <c r="V2414" t="str">
        <f>VLOOKUP(H2414,'[1]팀별 출판사'!A:B,2,0)</f>
        <v>소설1팀</v>
      </c>
      <c r="W2414" s="6">
        <f t="shared" si="74"/>
        <v>0</v>
      </c>
      <c r="X2414" s="6">
        <f t="shared" si="75"/>
        <v>0</v>
      </c>
    </row>
    <row r="2415" spans="1:24" x14ac:dyDescent="0.3">
      <c r="A2415" t="s">
        <v>3574</v>
      </c>
      <c r="B2415" t="s">
        <v>3675</v>
      </c>
      <c r="C2415" t="s">
        <v>23</v>
      </c>
      <c r="D2415" t="s">
        <v>24</v>
      </c>
      <c r="E2415" t="s">
        <v>25</v>
      </c>
      <c r="F2415">
        <v>1</v>
      </c>
      <c r="G2415">
        <v>9791136927675</v>
      </c>
      <c r="H2415" t="s">
        <v>36</v>
      </c>
      <c r="I2415" t="s">
        <v>2259</v>
      </c>
      <c r="J2415" t="s">
        <v>38</v>
      </c>
      <c r="K2415" t="s">
        <v>29</v>
      </c>
      <c r="L2415" s="1">
        <v>3300</v>
      </c>
      <c r="M2415" t="s">
        <v>136</v>
      </c>
      <c r="N2415">
        <v>393</v>
      </c>
      <c r="O2415">
        <v>357</v>
      </c>
      <c r="P2415" t="s">
        <v>137</v>
      </c>
      <c r="Q2415" s="2">
        <v>0.7</v>
      </c>
      <c r="R2415">
        <v>250</v>
      </c>
      <c r="S2415" t="s">
        <v>29</v>
      </c>
      <c r="T2415" s="1">
        <v>2352</v>
      </c>
      <c r="U2415">
        <v>9.4239099999999993</v>
      </c>
      <c r="V2415" t="str">
        <f>VLOOKUP(H2415,'[1]팀별 출판사'!A:B,2,0)</f>
        <v>소설2팀</v>
      </c>
      <c r="W2415" s="6">
        <f t="shared" si="74"/>
        <v>0</v>
      </c>
      <c r="X2415" s="6">
        <f t="shared" si="75"/>
        <v>2352</v>
      </c>
    </row>
    <row r="2416" spans="1:24" x14ac:dyDescent="0.3">
      <c r="A2416" t="s">
        <v>3574</v>
      </c>
      <c r="B2416" t="s">
        <v>3676</v>
      </c>
      <c r="C2416" t="s">
        <v>23</v>
      </c>
      <c r="D2416" t="s">
        <v>24</v>
      </c>
      <c r="E2416" t="s">
        <v>25</v>
      </c>
      <c r="F2416">
        <v>1</v>
      </c>
      <c r="G2416">
        <v>9791172925796</v>
      </c>
      <c r="H2416" t="s">
        <v>26</v>
      </c>
      <c r="I2416" t="s">
        <v>3677</v>
      </c>
      <c r="J2416" t="s">
        <v>937</v>
      </c>
      <c r="K2416" t="s">
        <v>29</v>
      </c>
      <c r="L2416" s="1">
        <v>3200</v>
      </c>
      <c r="M2416" t="s">
        <v>29</v>
      </c>
      <c r="N2416" s="1">
        <v>3200</v>
      </c>
      <c r="O2416" s="1">
        <v>3200</v>
      </c>
      <c r="P2416" t="s">
        <v>30</v>
      </c>
      <c r="Q2416" s="2">
        <v>0.7</v>
      </c>
      <c r="R2416" s="1">
        <v>2240</v>
      </c>
      <c r="S2416" t="s">
        <v>29</v>
      </c>
      <c r="T2416" s="1">
        <v>2240</v>
      </c>
      <c r="V2416" t="str">
        <f>VLOOKUP(H2416,'[1]팀별 출판사'!A:B,2,0)</f>
        <v>소설1팀</v>
      </c>
      <c r="W2416" s="6">
        <f t="shared" si="74"/>
        <v>0</v>
      </c>
      <c r="X2416" s="6">
        <f t="shared" si="75"/>
        <v>2240</v>
      </c>
    </row>
    <row r="2417" spans="1:24" x14ac:dyDescent="0.3">
      <c r="A2417" t="s">
        <v>3574</v>
      </c>
      <c r="B2417" t="s">
        <v>3678</v>
      </c>
      <c r="C2417" t="s">
        <v>23</v>
      </c>
      <c r="D2417" t="s">
        <v>24</v>
      </c>
      <c r="E2417" t="s">
        <v>25</v>
      </c>
      <c r="F2417">
        <v>1</v>
      </c>
      <c r="G2417">
        <v>9791133167227</v>
      </c>
      <c r="H2417" t="s">
        <v>32</v>
      </c>
      <c r="I2417" t="s">
        <v>313</v>
      </c>
      <c r="J2417" t="s">
        <v>160</v>
      </c>
      <c r="K2417" t="s">
        <v>29</v>
      </c>
      <c r="L2417">
        <v>0</v>
      </c>
      <c r="M2417" t="s">
        <v>29</v>
      </c>
      <c r="N2417">
        <v>0</v>
      </c>
      <c r="O2417">
        <v>0</v>
      </c>
      <c r="P2417" t="s">
        <v>30</v>
      </c>
      <c r="Q2417" s="2">
        <v>0.7</v>
      </c>
      <c r="R2417">
        <v>0</v>
      </c>
      <c r="V2417" t="str">
        <f>VLOOKUP(H2417,'[1]팀별 출판사'!A:B,2,0)</f>
        <v>소설1팀</v>
      </c>
      <c r="W2417" s="6">
        <f t="shared" si="74"/>
        <v>0</v>
      </c>
      <c r="X2417" s="6">
        <f t="shared" si="75"/>
        <v>0</v>
      </c>
    </row>
    <row r="2418" spans="1:24" x14ac:dyDescent="0.3">
      <c r="A2418" t="s">
        <v>3574</v>
      </c>
      <c r="B2418" t="s">
        <v>3679</v>
      </c>
      <c r="C2418" t="s">
        <v>23</v>
      </c>
      <c r="D2418" t="s">
        <v>24</v>
      </c>
      <c r="E2418" t="s">
        <v>25</v>
      </c>
      <c r="F2418">
        <v>1</v>
      </c>
      <c r="G2418" t="s">
        <v>3680</v>
      </c>
      <c r="H2418" t="s">
        <v>32</v>
      </c>
      <c r="I2418" t="s">
        <v>3681</v>
      </c>
      <c r="J2418" t="s">
        <v>166</v>
      </c>
      <c r="K2418" t="s">
        <v>29</v>
      </c>
      <c r="L2418" s="1">
        <v>3200</v>
      </c>
      <c r="M2418" t="s">
        <v>29</v>
      </c>
      <c r="N2418" s="1">
        <v>3200</v>
      </c>
      <c r="O2418" s="1">
        <v>3200</v>
      </c>
      <c r="P2418" t="s">
        <v>30</v>
      </c>
      <c r="Q2418" s="2">
        <v>0.7</v>
      </c>
      <c r="R2418" s="1">
        <v>2240</v>
      </c>
      <c r="S2418" t="s">
        <v>29</v>
      </c>
      <c r="T2418" s="1">
        <v>2240</v>
      </c>
      <c r="V2418" t="str">
        <f>VLOOKUP(H2418,'[1]팀별 출판사'!A:B,2,0)</f>
        <v>소설1팀</v>
      </c>
      <c r="W2418" s="6">
        <f t="shared" si="74"/>
        <v>0</v>
      </c>
      <c r="X2418" s="6">
        <f t="shared" si="75"/>
        <v>2240</v>
      </c>
    </row>
    <row r="2419" spans="1:24" x14ac:dyDescent="0.3">
      <c r="A2419" t="s">
        <v>3574</v>
      </c>
      <c r="B2419" t="s">
        <v>3682</v>
      </c>
      <c r="C2419" t="s">
        <v>23</v>
      </c>
      <c r="D2419" t="s">
        <v>24</v>
      </c>
      <c r="E2419" t="s">
        <v>25</v>
      </c>
      <c r="F2419">
        <v>1</v>
      </c>
      <c r="G2419">
        <v>9791170102687</v>
      </c>
      <c r="H2419" t="s">
        <v>67</v>
      </c>
      <c r="I2419" t="s">
        <v>398</v>
      </c>
      <c r="J2419" t="s">
        <v>399</v>
      </c>
      <c r="K2419" t="s">
        <v>29</v>
      </c>
      <c r="L2419">
        <v>0</v>
      </c>
      <c r="M2419" t="s">
        <v>29</v>
      </c>
      <c r="N2419">
        <v>0</v>
      </c>
      <c r="O2419">
        <v>0</v>
      </c>
      <c r="P2419" t="s">
        <v>30</v>
      </c>
      <c r="Q2419" s="2">
        <v>0.7</v>
      </c>
      <c r="R2419">
        <v>0</v>
      </c>
      <c r="V2419" t="str">
        <f>VLOOKUP(H2419,'[1]팀별 출판사'!A:B,2,0)</f>
        <v>소설1팀</v>
      </c>
      <c r="W2419" s="6">
        <f t="shared" si="74"/>
        <v>0</v>
      </c>
      <c r="X2419" s="6">
        <f t="shared" si="75"/>
        <v>0</v>
      </c>
    </row>
    <row r="2420" spans="1:24" x14ac:dyDescent="0.3">
      <c r="A2420" t="s">
        <v>3574</v>
      </c>
      <c r="B2420" t="s">
        <v>3683</v>
      </c>
      <c r="C2420" t="s">
        <v>23</v>
      </c>
      <c r="D2420" t="s">
        <v>24</v>
      </c>
      <c r="E2420" t="s">
        <v>25</v>
      </c>
      <c r="F2420">
        <v>1</v>
      </c>
      <c r="G2420">
        <v>9791136930378</v>
      </c>
      <c r="H2420" t="s">
        <v>32</v>
      </c>
      <c r="I2420" t="s">
        <v>3684</v>
      </c>
      <c r="J2420" t="s">
        <v>34</v>
      </c>
      <c r="K2420" t="s">
        <v>29</v>
      </c>
      <c r="L2420" s="1">
        <v>3200</v>
      </c>
      <c r="M2420" t="s">
        <v>29</v>
      </c>
      <c r="N2420" s="1">
        <v>3200</v>
      </c>
      <c r="O2420" s="1">
        <v>3200</v>
      </c>
      <c r="P2420" t="s">
        <v>30</v>
      </c>
      <c r="Q2420" s="2">
        <v>0.7</v>
      </c>
      <c r="R2420" s="1">
        <v>2240</v>
      </c>
      <c r="S2420" t="s">
        <v>29</v>
      </c>
      <c r="T2420" s="1">
        <v>2240</v>
      </c>
      <c r="V2420" t="str">
        <f>VLOOKUP(H2420,'[1]팀별 출판사'!A:B,2,0)</f>
        <v>소설1팀</v>
      </c>
      <c r="W2420" s="6">
        <f t="shared" si="74"/>
        <v>0</v>
      </c>
      <c r="X2420" s="6">
        <f t="shared" si="75"/>
        <v>2240</v>
      </c>
    </row>
    <row r="2421" spans="1:24" x14ac:dyDescent="0.3">
      <c r="A2421" t="s">
        <v>3574</v>
      </c>
      <c r="B2421" t="s">
        <v>3685</v>
      </c>
      <c r="C2421" t="s">
        <v>23</v>
      </c>
      <c r="D2421" t="s">
        <v>24</v>
      </c>
      <c r="E2421" t="s">
        <v>25</v>
      </c>
      <c r="F2421">
        <v>1</v>
      </c>
      <c r="G2421">
        <v>9791136931375</v>
      </c>
      <c r="H2421" t="s">
        <v>32</v>
      </c>
      <c r="I2421" t="s">
        <v>189</v>
      </c>
      <c r="J2421" t="s">
        <v>46</v>
      </c>
      <c r="K2421" t="s">
        <v>29</v>
      </c>
      <c r="L2421">
        <v>0</v>
      </c>
      <c r="M2421" t="s">
        <v>47</v>
      </c>
      <c r="N2421">
        <v>0</v>
      </c>
      <c r="O2421">
        <v>0</v>
      </c>
      <c r="P2421" t="s">
        <v>48</v>
      </c>
      <c r="Q2421" s="2">
        <v>0.7</v>
      </c>
      <c r="R2421">
        <v>0</v>
      </c>
      <c r="V2421" t="str">
        <f>VLOOKUP(H2421,'[1]팀별 출판사'!A:B,2,0)</f>
        <v>소설1팀</v>
      </c>
      <c r="W2421" s="6">
        <f t="shared" si="74"/>
        <v>0</v>
      </c>
      <c r="X2421" s="6">
        <f t="shared" si="75"/>
        <v>0</v>
      </c>
    </row>
    <row r="2422" spans="1:24" x14ac:dyDescent="0.3">
      <c r="A2422" t="s">
        <v>3574</v>
      </c>
      <c r="B2422" t="s">
        <v>3686</v>
      </c>
      <c r="C2422" t="s">
        <v>23</v>
      </c>
      <c r="D2422" t="s">
        <v>24</v>
      </c>
      <c r="E2422" t="s">
        <v>25</v>
      </c>
      <c r="F2422">
        <v>1</v>
      </c>
      <c r="G2422">
        <v>9791170104896</v>
      </c>
      <c r="H2422" t="s">
        <v>67</v>
      </c>
      <c r="I2422" t="s">
        <v>3687</v>
      </c>
      <c r="J2422" t="s">
        <v>3688</v>
      </c>
      <c r="K2422" t="s">
        <v>29</v>
      </c>
      <c r="L2422">
        <v>0</v>
      </c>
      <c r="M2422" t="s">
        <v>29</v>
      </c>
      <c r="N2422">
        <v>0</v>
      </c>
      <c r="O2422">
        <v>0</v>
      </c>
      <c r="P2422" t="s">
        <v>30</v>
      </c>
      <c r="Q2422" s="2">
        <v>0.7</v>
      </c>
      <c r="R2422">
        <v>0</v>
      </c>
      <c r="V2422" t="str">
        <f>VLOOKUP(H2422,'[1]팀별 출판사'!A:B,2,0)</f>
        <v>소설1팀</v>
      </c>
      <c r="W2422" s="6">
        <f t="shared" si="74"/>
        <v>0</v>
      </c>
      <c r="X2422" s="6">
        <f t="shared" si="75"/>
        <v>0</v>
      </c>
    </row>
    <row r="2423" spans="1:24" x14ac:dyDescent="0.3">
      <c r="A2423" t="s">
        <v>3574</v>
      </c>
      <c r="B2423" t="s">
        <v>3689</v>
      </c>
      <c r="C2423" t="s">
        <v>23</v>
      </c>
      <c r="D2423" t="s">
        <v>24</v>
      </c>
      <c r="E2423" t="s">
        <v>25</v>
      </c>
      <c r="F2423">
        <v>1</v>
      </c>
      <c r="G2423">
        <v>9791133101863</v>
      </c>
      <c r="H2423" t="s">
        <v>32</v>
      </c>
      <c r="I2423" t="s">
        <v>159</v>
      </c>
      <c r="J2423" t="s">
        <v>160</v>
      </c>
      <c r="K2423" t="s">
        <v>29</v>
      </c>
      <c r="L2423">
        <v>0</v>
      </c>
      <c r="M2423" t="s">
        <v>29</v>
      </c>
      <c r="N2423">
        <v>0</v>
      </c>
      <c r="O2423">
        <v>0</v>
      </c>
      <c r="P2423" t="s">
        <v>30</v>
      </c>
      <c r="Q2423" s="2">
        <v>0.7</v>
      </c>
      <c r="R2423">
        <v>0</v>
      </c>
      <c r="V2423" t="str">
        <f>VLOOKUP(H2423,'[1]팀별 출판사'!A:B,2,0)</f>
        <v>소설1팀</v>
      </c>
      <c r="W2423" s="6">
        <f t="shared" si="74"/>
        <v>0</v>
      </c>
      <c r="X2423" s="6">
        <f t="shared" si="75"/>
        <v>0</v>
      </c>
    </row>
    <row r="2424" spans="1:24" x14ac:dyDescent="0.3">
      <c r="A2424" t="s">
        <v>3574</v>
      </c>
      <c r="B2424" t="s">
        <v>3690</v>
      </c>
      <c r="C2424" t="s">
        <v>23</v>
      </c>
      <c r="D2424" t="s">
        <v>24</v>
      </c>
      <c r="E2424" t="s">
        <v>25</v>
      </c>
      <c r="F2424">
        <v>1</v>
      </c>
      <c r="G2424">
        <v>9791136931375</v>
      </c>
      <c r="H2424" t="s">
        <v>32</v>
      </c>
      <c r="I2424" t="s">
        <v>189</v>
      </c>
      <c r="J2424" t="s">
        <v>46</v>
      </c>
      <c r="K2424" t="s">
        <v>29</v>
      </c>
      <c r="L2424">
        <v>0</v>
      </c>
      <c r="M2424" t="s">
        <v>47</v>
      </c>
      <c r="N2424">
        <v>0</v>
      </c>
      <c r="O2424">
        <v>0</v>
      </c>
      <c r="P2424" t="s">
        <v>48</v>
      </c>
      <c r="Q2424" s="2">
        <v>0.7</v>
      </c>
      <c r="R2424">
        <v>0</v>
      </c>
      <c r="V2424" t="str">
        <f>VLOOKUP(H2424,'[1]팀별 출판사'!A:B,2,0)</f>
        <v>소설1팀</v>
      </c>
      <c r="W2424" s="6">
        <f t="shared" si="74"/>
        <v>0</v>
      </c>
      <c r="X2424" s="6">
        <f t="shared" si="75"/>
        <v>0</v>
      </c>
    </row>
    <row r="2425" spans="1:24" x14ac:dyDescent="0.3">
      <c r="A2425" t="s">
        <v>3574</v>
      </c>
      <c r="B2425" t="s">
        <v>3691</v>
      </c>
      <c r="C2425" t="s">
        <v>23</v>
      </c>
      <c r="D2425" t="s">
        <v>24</v>
      </c>
      <c r="E2425" t="s">
        <v>25</v>
      </c>
      <c r="F2425">
        <v>1</v>
      </c>
      <c r="G2425">
        <v>9791173786136</v>
      </c>
      <c r="H2425" t="s">
        <v>79</v>
      </c>
      <c r="I2425" t="s">
        <v>1476</v>
      </c>
      <c r="J2425" t="s">
        <v>81</v>
      </c>
      <c r="K2425" t="s">
        <v>29</v>
      </c>
      <c r="L2425">
        <v>0</v>
      </c>
      <c r="M2425" t="s">
        <v>29</v>
      </c>
      <c r="N2425">
        <v>0</v>
      </c>
      <c r="O2425">
        <v>0</v>
      </c>
      <c r="P2425" t="s">
        <v>30</v>
      </c>
      <c r="Q2425" s="2">
        <v>0.7</v>
      </c>
      <c r="R2425">
        <v>0</v>
      </c>
      <c r="V2425" t="str">
        <f>VLOOKUP(H2425,'[1]팀별 출판사'!A:B,2,0)</f>
        <v>소설1팀</v>
      </c>
      <c r="W2425" s="6">
        <f t="shared" si="74"/>
        <v>0</v>
      </c>
      <c r="X2425" s="6">
        <f t="shared" si="75"/>
        <v>0</v>
      </c>
    </row>
    <row r="2426" spans="1:24" x14ac:dyDescent="0.3">
      <c r="A2426" t="s">
        <v>3574</v>
      </c>
      <c r="B2426" t="s">
        <v>3692</v>
      </c>
      <c r="C2426" t="s">
        <v>23</v>
      </c>
      <c r="D2426" t="s">
        <v>24</v>
      </c>
      <c r="E2426" t="s">
        <v>25</v>
      </c>
      <c r="F2426">
        <v>1</v>
      </c>
      <c r="G2426">
        <v>9791136930552</v>
      </c>
      <c r="H2426" t="s">
        <v>26</v>
      </c>
      <c r="I2426" t="s">
        <v>45</v>
      </c>
      <c r="J2426" t="s">
        <v>46</v>
      </c>
      <c r="K2426" t="s">
        <v>29</v>
      </c>
      <c r="L2426">
        <v>0</v>
      </c>
      <c r="M2426" t="s">
        <v>47</v>
      </c>
      <c r="N2426">
        <v>0</v>
      </c>
      <c r="O2426">
        <v>0</v>
      </c>
      <c r="P2426" t="s">
        <v>48</v>
      </c>
      <c r="Q2426" s="2">
        <v>0.7</v>
      </c>
      <c r="R2426">
        <v>0</v>
      </c>
      <c r="V2426" t="str">
        <f>VLOOKUP(H2426,'[1]팀별 출판사'!A:B,2,0)</f>
        <v>소설1팀</v>
      </c>
      <c r="W2426" s="6">
        <f t="shared" si="74"/>
        <v>0</v>
      </c>
      <c r="X2426" s="6">
        <f t="shared" si="75"/>
        <v>0</v>
      </c>
    </row>
    <row r="2427" spans="1:24" x14ac:dyDescent="0.3">
      <c r="A2427" t="s">
        <v>3574</v>
      </c>
      <c r="B2427" t="s">
        <v>3693</v>
      </c>
      <c r="C2427" t="s">
        <v>23</v>
      </c>
      <c r="D2427" t="s">
        <v>24</v>
      </c>
      <c r="E2427" t="s">
        <v>25</v>
      </c>
      <c r="F2427">
        <v>1</v>
      </c>
      <c r="G2427">
        <v>9791172927844</v>
      </c>
      <c r="H2427" t="s">
        <v>79</v>
      </c>
      <c r="I2427" t="s">
        <v>1168</v>
      </c>
      <c r="J2427" t="s">
        <v>81</v>
      </c>
      <c r="K2427" t="s">
        <v>29</v>
      </c>
      <c r="L2427">
        <v>0</v>
      </c>
      <c r="M2427" t="s">
        <v>29</v>
      </c>
      <c r="N2427">
        <v>0</v>
      </c>
      <c r="O2427">
        <v>0</v>
      </c>
      <c r="P2427" t="s">
        <v>30</v>
      </c>
      <c r="Q2427" s="2">
        <v>0.7</v>
      </c>
      <c r="R2427">
        <v>0</v>
      </c>
      <c r="V2427" t="str">
        <f>VLOOKUP(H2427,'[1]팀별 출판사'!A:B,2,0)</f>
        <v>소설1팀</v>
      </c>
      <c r="W2427" s="6">
        <f t="shared" si="74"/>
        <v>0</v>
      </c>
      <c r="X2427" s="6">
        <f t="shared" si="75"/>
        <v>0</v>
      </c>
    </row>
    <row r="2428" spans="1:24" x14ac:dyDescent="0.3">
      <c r="A2428" t="s">
        <v>3574</v>
      </c>
      <c r="B2428" t="s">
        <v>3694</v>
      </c>
      <c r="C2428" t="s">
        <v>23</v>
      </c>
      <c r="D2428" t="s">
        <v>24</v>
      </c>
      <c r="E2428" t="s">
        <v>25</v>
      </c>
      <c r="F2428">
        <v>1</v>
      </c>
      <c r="G2428">
        <v>9791172921033</v>
      </c>
      <c r="H2428" t="s">
        <v>79</v>
      </c>
      <c r="I2428" t="s">
        <v>738</v>
      </c>
      <c r="J2428" t="s">
        <v>46</v>
      </c>
      <c r="K2428" t="s">
        <v>29</v>
      </c>
      <c r="L2428">
        <v>0</v>
      </c>
      <c r="M2428" t="s">
        <v>47</v>
      </c>
      <c r="N2428">
        <v>0</v>
      </c>
      <c r="O2428">
        <v>0</v>
      </c>
      <c r="P2428" t="s">
        <v>48</v>
      </c>
      <c r="Q2428" s="2">
        <v>0.7</v>
      </c>
      <c r="R2428">
        <v>0</v>
      </c>
      <c r="V2428" t="str">
        <f>VLOOKUP(H2428,'[1]팀별 출판사'!A:B,2,0)</f>
        <v>소설1팀</v>
      </c>
      <c r="W2428" s="6">
        <f t="shared" si="74"/>
        <v>0</v>
      </c>
      <c r="X2428" s="6">
        <f t="shared" si="75"/>
        <v>0</v>
      </c>
    </row>
    <row r="2429" spans="1:24" x14ac:dyDescent="0.3">
      <c r="A2429" t="s">
        <v>3574</v>
      </c>
      <c r="B2429" t="s">
        <v>3695</v>
      </c>
      <c r="C2429" t="s">
        <v>23</v>
      </c>
      <c r="D2429" t="s">
        <v>24</v>
      </c>
      <c r="E2429" t="s">
        <v>25</v>
      </c>
      <c r="F2429">
        <v>1</v>
      </c>
      <c r="G2429">
        <v>9791170100164</v>
      </c>
      <c r="H2429" t="s">
        <v>67</v>
      </c>
      <c r="I2429" t="s">
        <v>106</v>
      </c>
      <c r="J2429" t="s">
        <v>107</v>
      </c>
      <c r="K2429" t="s">
        <v>29</v>
      </c>
      <c r="L2429">
        <v>0</v>
      </c>
      <c r="M2429" t="s">
        <v>70</v>
      </c>
      <c r="N2429">
        <v>0</v>
      </c>
      <c r="O2429">
        <v>0</v>
      </c>
      <c r="P2429" t="s">
        <v>71</v>
      </c>
      <c r="Q2429" s="2">
        <v>0.7</v>
      </c>
      <c r="R2429">
        <v>0</v>
      </c>
      <c r="V2429" t="str">
        <f>VLOOKUP(H2429,'[1]팀별 출판사'!A:B,2,0)</f>
        <v>소설1팀</v>
      </c>
      <c r="W2429" s="6">
        <f t="shared" si="74"/>
        <v>0</v>
      </c>
      <c r="X2429" s="6">
        <f t="shared" si="75"/>
        <v>0</v>
      </c>
    </row>
    <row r="2430" spans="1:24" x14ac:dyDescent="0.3">
      <c r="A2430" t="s">
        <v>3574</v>
      </c>
      <c r="B2430" t="s">
        <v>3696</v>
      </c>
      <c r="C2430" t="s">
        <v>23</v>
      </c>
      <c r="D2430" t="s">
        <v>24</v>
      </c>
      <c r="E2430" t="s">
        <v>25</v>
      </c>
      <c r="F2430">
        <v>1</v>
      </c>
      <c r="G2430">
        <v>9791133186501</v>
      </c>
      <c r="H2430" t="s">
        <v>26</v>
      </c>
      <c r="I2430" t="s">
        <v>64</v>
      </c>
      <c r="J2430" t="s">
        <v>65</v>
      </c>
      <c r="K2430" t="s">
        <v>29</v>
      </c>
      <c r="L2430">
        <v>0</v>
      </c>
      <c r="M2430" t="s">
        <v>29</v>
      </c>
      <c r="N2430">
        <v>0</v>
      </c>
      <c r="O2430">
        <v>0</v>
      </c>
      <c r="P2430" t="s">
        <v>30</v>
      </c>
      <c r="Q2430" s="2">
        <v>0.7</v>
      </c>
      <c r="R2430">
        <v>0</v>
      </c>
      <c r="V2430" t="str">
        <f>VLOOKUP(H2430,'[1]팀별 출판사'!A:B,2,0)</f>
        <v>소설1팀</v>
      </c>
      <c r="W2430" s="6">
        <f t="shared" si="74"/>
        <v>0</v>
      </c>
      <c r="X2430" s="6">
        <f t="shared" si="75"/>
        <v>0</v>
      </c>
    </row>
    <row r="2431" spans="1:24" x14ac:dyDescent="0.3">
      <c r="A2431" t="s">
        <v>3574</v>
      </c>
      <c r="B2431" t="s">
        <v>3697</v>
      </c>
      <c r="C2431" t="s">
        <v>23</v>
      </c>
      <c r="D2431" t="s">
        <v>24</v>
      </c>
      <c r="E2431" t="s">
        <v>25</v>
      </c>
      <c r="F2431">
        <v>1</v>
      </c>
      <c r="G2431">
        <v>9791136935496</v>
      </c>
      <c r="H2431" t="s">
        <v>32</v>
      </c>
      <c r="I2431" t="s">
        <v>441</v>
      </c>
      <c r="J2431" t="s">
        <v>442</v>
      </c>
      <c r="K2431" t="s">
        <v>29</v>
      </c>
      <c r="L2431">
        <v>0</v>
      </c>
      <c r="M2431" t="s">
        <v>127</v>
      </c>
      <c r="N2431">
        <v>0</v>
      </c>
      <c r="O2431">
        <v>0</v>
      </c>
      <c r="P2431" t="s">
        <v>128</v>
      </c>
      <c r="Q2431" s="2">
        <v>0.7</v>
      </c>
      <c r="R2431">
        <v>0</v>
      </c>
      <c r="V2431" t="str">
        <f>VLOOKUP(H2431,'[1]팀별 출판사'!A:B,2,0)</f>
        <v>소설1팀</v>
      </c>
      <c r="W2431" s="6">
        <f t="shared" si="74"/>
        <v>0</v>
      </c>
      <c r="X2431" s="6">
        <f t="shared" si="75"/>
        <v>0</v>
      </c>
    </row>
    <row r="2432" spans="1:24" x14ac:dyDescent="0.3">
      <c r="A2432" t="s">
        <v>3574</v>
      </c>
      <c r="B2432" t="s">
        <v>3698</v>
      </c>
      <c r="C2432" t="s">
        <v>23</v>
      </c>
      <c r="D2432" t="s">
        <v>24</v>
      </c>
      <c r="E2432" t="s">
        <v>25</v>
      </c>
      <c r="F2432">
        <v>1</v>
      </c>
      <c r="G2432">
        <v>9791136934925</v>
      </c>
      <c r="H2432" t="s">
        <v>32</v>
      </c>
      <c r="I2432" t="s">
        <v>385</v>
      </c>
      <c r="J2432" t="s">
        <v>126</v>
      </c>
      <c r="K2432" t="s">
        <v>29</v>
      </c>
      <c r="L2432">
        <v>0</v>
      </c>
      <c r="M2432" t="s">
        <v>127</v>
      </c>
      <c r="N2432">
        <v>0</v>
      </c>
      <c r="O2432">
        <v>0</v>
      </c>
      <c r="P2432" t="s">
        <v>128</v>
      </c>
      <c r="Q2432" s="2">
        <v>0.7</v>
      </c>
      <c r="R2432">
        <v>0</v>
      </c>
      <c r="V2432" t="str">
        <f>VLOOKUP(H2432,'[1]팀별 출판사'!A:B,2,0)</f>
        <v>소설1팀</v>
      </c>
      <c r="W2432" s="6">
        <f t="shared" si="74"/>
        <v>0</v>
      </c>
      <c r="X2432" s="6">
        <f t="shared" si="75"/>
        <v>0</v>
      </c>
    </row>
    <row r="2433" spans="1:24" x14ac:dyDescent="0.3">
      <c r="A2433" t="s">
        <v>3574</v>
      </c>
      <c r="B2433" t="s">
        <v>3699</v>
      </c>
      <c r="C2433" t="s">
        <v>23</v>
      </c>
      <c r="D2433" t="s">
        <v>24</v>
      </c>
      <c r="E2433" t="s">
        <v>25</v>
      </c>
      <c r="F2433">
        <v>1</v>
      </c>
      <c r="G2433">
        <v>9791136942142</v>
      </c>
      <c r="H2433" t="s">
        <v>26</v>
      </c>
      <c r="I2433" t="s">
        <v>180</v>
      </c>
      <c r="J2433" t="s">
        <v>46</v>
      </c>
      <c r="K2433" t="s">
        <v>29</v>
      </c>
      <c r="L2433">
        <v>0</v>
      </c>
      <c r="M2433" t="s">
        <v>127</v>
      </c>
      <c r="N2433">
        <v>0</v>
      </c>
      <c r="O2433">
        <v>0</v>
      </c>
      <c r="P2433" t="s">
        <v>128</v>
      </c>
      <c r="Q2433" s="2">
        <v>0.7</v>
      </c>
      <c r="R2433">
        <v>0</v>
      </c>
      <c r="V2433" t="str">
        <f>VLOOKUP(H2433,'[1]팀별 출판사'!A:B,2,0)</f>
        <v>소설1팀</v>
      </c>
      <c r="W2433" s="6">
        <f t="shared" si="74"/>
        <v>0</v>
      </c>
      <c r="X2433" s="6">
        <f t="shared" si="75"/>
        <v>0</v>
      </c>
    </row>
    <row r="2434" spans="1:24" x14ac:dyDescent="0.3">
      <c r="A2434" t="s">
        <v>3574</v>
      </c>
      <c r="B2434" t="s">
        <v>3700</v>
      </c>
      <c r="C2434" t="s">
        <v>23</v>
      </c>
      <c r="D2434" t="s">
        <v>24</v>
      </c>
      <c r="E2434" t="s">
        <v>25</v>
      </c>
      <c r="F2434">
        <v>1</v>
      </c>
      <c r="G2434">
        <v>9791136931375</v>
      </c>
      <c r="H2434" t="s">
        <v>32</v>
      </c>
      <c r="I2434" t="s">
        <v>189</v>
      </c>
      <c r="J2434" t="s">
        <v>46</v>
      </c>
      <c r="K2434" t="s">
        <v>29</v>
      </c>
      <c r="L2434">
        <v>0</v>
      </c>
      <c r="M2434" t="s">
        <v>152</v>
      </c>
      <c r="N2434">
        <v>0</v>
      </c>
      <c r="O2434">
        <v>0</v>
      </c>
      <c r="P2434" t="s">
        <v>153</v>
      </c>
      <c r="Q2434" s="2">
        <v>0.7</v>
      </c>
      <c r="R2434">
        <v>0</v>
      </c>
      <c r="V2434" t="str">
        <f>VLOOKUP(H2434,'[1]팀별 출판사'!A:B,2,0)</f>
        <v>소설1팀</v>
      </c>
      <c r="W2434" s="6">
        <f t="shared" ref="W2434:W2497" si="76">IF(P2434="US", T2434*30%, 0)</f>
        <v>0</v>
      </c>
      <c r="X2434" s="6">
        <f t="shared" ref="X2434:X2497" si="77">T2434-W2434</f>
        <v>0</v>
      </c>
    </row>
    <row r="2435" spans="1:24" x14ac:dyDescent="0.3">
      <c r="A2435" t="s">
        <v>3574</v>
      </c>
      <c r="B2435" t="s">
        <v>3701</v>
      </c>
      <c r="C2435" t="s">
        <v>23</v>
      </c>
      <c r="D2435" t="s">
        <v>24</v>
      </c>
      <c r="E2435" t="s">
        <v>25</v>
      </c>
      <c r="F2435">
        <v>1</v>
      </c>
      <c r="G2435">
        <v>9791133133512</v>
      </c>
      <c r="H2435" t="s">
        <v>32</v>
      </c>
      <c r="I2435" t="s">
        <v>2497</v>
      </c>
      <c r="J2435" t="s">
        <v>813</v>
      </c>
      <c r="K2435" t="s">
        <v>29</v>
      </c>
      <c r="L2435">
        <v>0</v>
      </c>
      <c r="M2435" t="s">
        <v>29</v>
      </c>
      <c r="N2435">
        <v>0</v>
      </c>
      <c r="O2435">
        <v>0</v>
      </c>
      <c r="P2435" t="s">
        <v>30</v>
      </c>
      <c r="Q2435" s="2">
        <v>0.7</v>
      </c>
      <c r="R2435">
        <v>0</v>
      </c>
      <c r="V2435" t="str">
        <f>VLOOKUP(H2435,'[1]팀별 출판사'!A:B,2,0)</f>
        <v>소설1팀</v>
      </c>
      <c r="W2435" s="6">
        <f t="shared" si="76"/>
        <v>0</v>
      </c>
      <c r="X2435" s="6">
        <f t="shared" si="77"/>
        <v>0</v>
      </c>
    </row>
    <row r="2436" spans="1:24" x14ac:dyDescent="0.3">
      <c r="A2436" t="s">
        <v>3574</v>
      </c>
      <c r="B2436" t="s">
        <v>3702</v>
      </c>
      <c r="C2436" t="s">
        <v>23</v>
      </c>
      <c r="D2436" t="s">
        <v>24</v>
      </c>
      <c r="E2436" t="s">
        <v>25</v>
      </c>
      <c r="F2436">
        <v>1</v>
      </c>
      <c r="G2436">
        <v>9791157532100</v>
      </c>
      <c r="H2436" t="s">
        <v>32</v>
      </c>
      <c r="I2436" t="s">
        <v>1432</v>
      </c>
      <c r="J2436" t="s">
        <v>112</v>
      </c>
      <c r="K2436" t="s">
        <v>29</v>
      </c>
      <c r="L2436">
        <v>0</v>
      </c>
      <c r="M2436" t="s">
        <v>29</v>
      </c>
      <c r="N2436">
        <v>0</v>
      </c>
      <c r="O2436">
        <v>0</v>
      </c>
      <c r="P2436" t="s">
        <v>30</v>
      </c>
      <c r="Q2436" s="2">
        <v>0.7</v>
      </c>
      <c r="R2436">
        <v>0</v>
      </c>
      <c r="V2436" t="str">
        <f>VLOOKUP(H2436,'[1]팀별 출판사'!A:B,2,0)</f>
        <v>소설1팀</v>
      </c>
      <c r="W2436" s="6">
        <f t="shared" si="76"/>
        <v>0</v>
      </c>
      <c r="X2436" s="6">
        <f t="shared" si="77"/>
        <v>0</v>
      </c>
    </row>
    <row r="2437" spans="1:24" x14ac:dyDescent="0.3">
      <c r="A2437" t="s">
        <v>3574</v>
      </c>
      <c r="B2437" t="s">
        <v>3703</v>
      </c>
      <c r="C2437" t="s">
        <v>23</v>
      </c>
      <c r="D2437" t="s">
        <v>24</v>
      </c>
      <c r="E2437" t="s">
        <v>25</v>
      </c>
      <c r="F2437">
        <v>1</v>
      </c>
      <c r="G2437" t="s">
        <v>500</v>
      </c>
      <c r="H2437" t="s">
        <v>32</v>
      </c>
      <c r="I2437" t="s">
        <v>501</v>
      </c>
      <c r="J2437" t="s">
        <v>88</v>
      </c>
      <c r="K2437" t="s">
        <v>29</v>
      </c>
      <c r="L2437">
        <v>0</v>
      </c>
      <c r="M2437" t="s">
        <v>29</v>
      </c>
      <c r="N2437">
        <v>0</v>
      </c>
      <c r="O2437">
        <v>0</v>
      </c>
      <c r="P2437" t="s">
        <v>30</v>
      </c>
      <c r="Q2437" s="2">
        <v>0.7</v>
      </c>
      <c r="R2437">
        <v>0</v>
      </c>
      <c r="V2437" t="str">
        <f>VLOOKUP(H2437,'[1]팀별 출판사'!A:B,2,0)</f>
        <v>소설1팀</v>
      </c>
      <c r="W2437" s="6">
        <f t="shared" si="76"/>
        <v>0</v>
      </c>
      <c r="X2437" s="6">
        <f t="shared" si="77"/>
        <v>0</v>
      </c>
    </row>
    <row r="2438" spans="1:24" x14ac:dyDescent="0.3">
      <c r="A2438" t="s">
        <v>3574</v>
      </c>
      <c r="B2438" t="s">
        <v>3704</v>
      </c>
      <c r="C2438" t="s">
        <v>23</v>
      </c>
      <c r="D2438" t="s">
        <v>24</v>
      </c>
      <c r="E2438" t="s">
        <v>25</v>
      </c>
      <c r="F2438">
        <v>1</v>
      </c>
      <c r="G2438">
        <v>9791136934925</v>
      </c>
      <c r="H2438" t="s">
        <v>32</v>
      </c>
      <c r="I2438" t="s">
        <v>385</v>
      </c>
      <c r="J2438" t="s">
        <v>126</v>
      </c>
      <c r="K2438" t="s">
        <v>29</v>
      </c>
      <c r="L2438">
        <v>0</v>
      </c>
      <c r="M2438" t="s">
        <v>152</v>
      </c>
      <c r="N2438">
        <v>0</v>
      </c>
      <c r="O2438">
        <v>0</v>
      </c>
      <c r="P2438" t="s">
        <v>153</v>
      </c>
      <c r="Q2438" s="2">
        <v>0.7</v>
      </c>
      <c r="R2438">
        <v>0</v>
      </c>
      <c r="V2438" t="str">
        <f>VLOOKUP(H2438,'[1]팀별 출판사'!A:B,2,0)</f>
        <v>소설1팀</v>
      </c>
      <c r="W2438" s="6">
        <f t="shared" si="76"/>
        <v>0</v>
      </c>
      <c r="X2438" s="6">
        <f t="shared" si="77"/>
        <v>0</v>
      </c>
    </row>
    <row r="2439" spans="1:24" x14ac:dyDescent="0.3">
      <c r="A2439" t="s">
        <v>3574</v>
      </c>
      <c r="B2439" t="s">
        <v>3705</v>
      </c>
      <c r="C2439" t="s">
        <v>23</v>
      </c>
      <c r="D2439" t="s">
        <v>24</v>
      </c>
      <c r="E2439" t="s">
        <v>25</v>
      </c>
      <c r="F2439">
        <v>1</v>
      </c>
      <c r="G2439" t="s">
        <v>2270</v>
      </c>
      <c r="H2439" t="s">
        <v>32</v>
      </c>
      <c r="I2439" t="s">
        <v>2271</v>
      </c>
      <c r="J2439" t="s">
        <v>311</v>
      </c>
      <c r="K2439" t="s">
        <v>29</v>
      </c>
      <c r="L2439" s="1">
        <v>3200</v>
      </c>
      <c r="M2439" t="s">
        <v>29</v>
      </c>
      <c r="N2439" s="1">
        <v>3200</v>
      </c>
      <c r="O2439" s="1">
        <v>3200</v>
      </c>
      <c r="P2439" t="s">
        <v>30</v>
      </c>
      <c r="Q2439" s="2">
        <v>0.7</v>
      </c>
      <c r="R2439" s="1">
        <v>2240</v>
      </c>
      <c r="S2439" t="s">
        <v>29</v>
      </c>
      <c r="T2439" s="1">
        <v>2240</v>
      </c>
      <c r="V2439" t="str">
        <f>VLOOKUP(H2439,'[1]팀별 출판사'!A:B,2,0)</f>
        <v>소설1팀</v>
      </c>
      <c r="W2439" s="6">
        <f t="shared" si="76"/>
        <v>0</v>
      </c>
      <c r="X2439" s="6">
        <f t="shared" si="77"/>
        <v>2240</v>
      </c>
    </row>
    <row r="2440" spans="1:24" x14ac:dyDescent="0.3">
      <c r="A2440" t="s">
        <v>3574</v>
      </c>
      <c r="B2440" t="s">
        <v>3706</v>
      </c>
      <c r="C2440" t="s">
        <v>23</v>
      </c>
      <c r="D2440" t="s">
        <v>24</v>
      </c>
      <c r="E2440" t="s">
        <v>25</v>
      </c>
      <c r="F2440">
        <v>1</v>
      </c>
      <c r="G2440">
        <v>9791173786136</v>
      </c>
      <c r="H2440" t="s">
        <v>79</v>
      </c>
      <c r="I2440" t="s">
        <v>1476</v>
      </c>
      <c r="J2440" t="s">
        <v>81</v>
      </c>
      <c r="K2440" t="s">
        <v>29</v>
      </c>
      <c r="L2440">
        <v>0</v>
      </c>
      <c r="M2440" t="s">
        <v>29</v>
      </c>
      <c r="N2440">
        <v>0</v>
      </c>
      <c r="O2440">
        <v>0</v>
      </c>
      <c r="P2440" t="s">
        <v>30</v>
      </c>
      <c r="Q2440" s="2">
        <v>0.7</v>
      </c>
      <c r="R2440">
        <v>0</v>
      </c>
      <c r="V2440" t="str">
        <f>VLOOKUP(H2440,'[1]팀별 출판사'!A:B,2,0)</f>
        <v>소설1팀</v>
      </c>
      <c r="W2440" s="6">
        <f t="shared" si="76"/>
        <v>0</v>
      </c>
      <c r="X2440" s="6">
        <f t="shared" si="77"/>
        <v>0</v>
      </c>
    </row>
    <row r="2441" spans="1:24" x14ac:dyDescent="0.3">
      <c r="A2441" t="s">
        <v>3574</v>
      </c>
      <c r="B2441" t="s">
        <v>3707</v>
      </c>
      <c r="C2441" t="s">
        <v>23</v>
      </c>
      <c r="D2441" t="s">
        <v>24</v>
      </c>
      <c r="E2441" t="s">
        <v>25</v>
      </c>
      <c r="F2441">
        <v>1</v>
      </c>
      <c r="G2441">
        <v>9791136926852</v>
      </c>
      <c r="H2441" t="s">
        <v>26</v>
      </c>
      <c r="I2441" t="s">
        <v>3319</v>
      </c>
      <c r="J2441" t="s">
        <v>62</v>
      </c>
      <c r="K2441" t="s">
        <v>29</v>
      </c>
      <c r="L2441" s="1">
        <v>3200</v>
      </c>
      <c r="M2441" t="s">
        <v>29</v>
      </c>
      <c r="N2441" s="1">
        <v>3200</v>
      </c>
      <c r="O2441" s="1">
        <v>3200</v>
      </c>
      <c r="P2441" t="s">
        <v>30</v>
      </c>
      <c r="Q2441" s="2">
        <v>0.7</v>
      </c>
      <c r="R2441" s="1">
        <v>2240</v>
      </c>
      <c r="S2441" t="s">
        <v>29</v>
      </c>
      <c r="T2441" s="1">
        <v>2240</v>
      </c>
      <c r="V2441" t="str">
        <f>VLOOKUP(H2441,'[1]팀별 출판사'!A:B,2,0)</f>
        <v>소설1팀</v>
      </c>
      <c r="W2441" s="6">
        <f t="shared" si="76"/>
        <v>0</v>
      </c>
      <c r="X2441" s="6">
        <f t="shared" si="77"/>
        <v>2240</v>
      </c>
    </row>
    <row r="2442" spans="1:24" x14ac:dyDescent="0.3">
      <c r="A2442" t="s">
        <v>3574</v>
      </c>
      <c r="B2442" t="s">
        <v>3708</v>
      </c>
      <c r="C2442" t="s">
        <v>23</v>
      </c>
      <c r="D2442" t="s">
        <v>24</v>
      </c>
      <c r="E2442" t="s">
        <v>25</v>
      </c>
      <c r="F2442">
        <v>1</v>
      </c>
      <c r="G2442">
        <v>9791133180080</v>
      </c>
      <c r="H2442" t="s">
        <v>26</v>
      </c>
      <c r="I2442" t="s">
        <v>3709</v>
      </c>
      <c r="J2442" t="s">
        <v>321</v>
      </c>
      <c r="K2442" t="s">
        <v>29</v>
      </c>
      <c r="L2442" s="1">
        <v>3200</v>
      </c>
      <c r="M2442" t="s">
        <v>29</v>
      </c>
      <c r="N2442" s="1">
        <v>3200</v>
      </c>
      <c r="O2442" s="1">
        <v>3200</v>
      </c>
      <c r="P2442" t="s">
        <v>30</v>
      </c>
      <c r="Q2442" s="2">
        <v>0.7</v>
      </c>
      <c r="R2442" s="1">
        <v>2240</v>
      </c>
      <c r="S2442" t="s">
        <v>29</v>
      </c>
      <c r="T2442" s="1">
        <v>2240</v>
      </c>
      <c r="V2442" t="str">
        <f>VLOOKUP(H2442,'[1]팀별 출판사'!A:B,2,0)</f>
        <v>소설1팀</v>
      </c>
      <c r="W2442" s="6">
        <f t="shared" si="76"/>
        <v>0</v>
      </c>
      <c r="X2442" s="6">
        <f t="shared" si="77"/>
        <v>2240</v>
      </c>
    </row>
    <row r="2443" spans="1:24" x14ac:dyDescent="0.3">
      <c r="A2443" t="s">
        <v>3574</v>
      </c>
      <c r="B2443" t="s">
        <v>3710</v>
      </c>
      <c r="C2443" t="s">
        <v>23</v>
      </c>
      <c r="D2443" t="s">
        <v>24</v>
      </c>
      <c r="E2443" t="s">
        <v>25</v>
      </c>
      <c r="F2443">
        <v>1</v>
      </c>
      <c r="G2443">
        <v>9791133186501</v>
      </c>
      <c r="H2443" t="s">
        <v>26</v>
      </c>
      <c r="I2443" t="s">
        <v>64</v>
      </c>
      <c r="J2443" t="s">
        <v>65</v>
      </c>
      <c r="K2443" t="s">
        <v>29</v>
      </c>
      <c r="L2443">
        <v>0</v>
      </c>
      <c r="M2443" t="s">
        <v>29</v>
      </c>
      <c r="N2443">
        <v>0</v>
      </c>
      <c r="O2443">
        <v>0</v>
      </c>
      <c r="P2443" t="s">
        <v>30</v>
      </c>
      <c r="Q2443" s="2">
        <v>0.7</v>
      </c>
      <c r="R2443">
        <v>0</v>
      </c>
      <c r="V2443" t="str">
        <f>VLOOKUP(H2443,'[1]팀별 출판사'!A:B,2,0)</f>
        <v>소설1팀</v>
      </c>
      <c r="W2443" s="6">
        <f t="shared" si="76"/>
        <v>0</v>
      </c>
      <c r="X2443" s="6">
        <f t="shared" si="77"/>
        <v>0</v>
      </c>
    </row>
    <row r="2444" spans="1:24" x14ac:dyDescent="0.3">
      <c r="A2444" t="s">
        <v>3574</v>
      </c>
      <c r="B2444" t="s">
        <v>3711</v>
      </c>
      <c r="C2444" t="s">
        <v>23</v>
      </c>
      <c r="D2444" t="s">
        <v>24</v>
      </c>
      <c r="E2444" t="s">
        <v>25</v>
      </c>
      <c r="F2444">
        <v>1</v>
      </c>
      <c r="G2444">
        <v>9791170107309</v>
      </c>
      <c r="H2444" t="s">
        <v>67</v>
      </c>
      <c r="I2444" t="s">
        <v>3712</v>
      </c>
      <c r="J2444" t="s">
        <v>3334</v>
      </c>
      <c r="K2444" t="s">
        <v>29</v>
      </c>
      <c r="L2444">
        <v>0</v>
      </c>
      <c r="M2444" t="s">
        <v>29</v>
      </c>
      <c r="N2444">
        <v>0</v>
      </c>
      <c r="O2444">
        <v>0</v>
      </c>
      <c r="P2444" t="s">
        <v>30</v>
      </c>
      <c r="Q2444" s="2">
        <v>0.7</v>
      </c>
      <c r="R2444">
        <v>0</v>
      </c>
      <c r="V2444" t="str">
        <f>VLOOKUP(H2444,'[1]팀별 출판사'!A:B,2,0)</f>
        <v>소설1팀</v>
      </c>
      <c r="W2444" s="6">
        <f t="shared" si="76"/>
        <v>0</v>
      </c>
      <c r="X2444" s="6">
        <f t="shared" si="77"/>
        <v>0</v>
      </c>
    </row>
    <row r="2445" spans="1:24" x14ac:dyDescent="0.3">
      <c r="A2445" t="s">
        <v>3574</v>
      </c>
      <c r="B2445" t="s">
        <v>3713</v>
      </c>
      <c r="C2445" t="s">
        <v>23</v>
      </c>
      <c r="D2445" t="s">
        <v>24</v>
      </c>
      <c r="E2445" t="s">
        <v>25</v>
      </c>
      <c r="F2445">
        <v>1</v>
      </c>
      <c r="G2445">
        <v>9791136914675</v>
      </c>
      <c r="H2445" t="s">
        <v>26</v>
      </c>
      <c r="I2445" t="s">
        <v>3110</v>
      </c>
      <c r="J2445" t="s">
        <v>300</v>
      </c>
      <c r="K2445" t="s">
        <v>29</v>
      </c>
      <c r="L2445">
        <v>0</v>
      </c>
      <c r="M2445" t="s">
        <v>29</v>
      </c>
      <c r="N2445">
        <v>0</v>
      </c>
      <c r="O2445">
        <v>0</v>
      </c>
      <c r="P2445" t="s">
        <v>30</v>
      </c>
      <c r="Q2445" s="2">
        <v>0.7</v>
      </c>
      <c r="R2445">
        <v>0</v>
      </c>
      <c r="V2445" t="str">
        <f>VLOOKUP(H2445,'[1]팀별 출판사'!A:B,2,0)</f>
        <v>소설1팀</v>
      </c>
      <c r="W2445" s="6">
        <f t="shared" si="76"/>
        <v>0</v>
      </c>
      <c r="X2445" s="6">
        <f t="shared" si="77"/>
        <v>0</v>
      </c>
    </row>
    <row r="2446" spans="1:24" x14ac:dyDescent="0.3">
      <c r="A2446" t="s">
        <v>3574</v>
      </c>
      <c r="B2446" t="s">
        <v>3714</v>
      </c>
      <c r="C2446" t="s">
        <v>23</v>
      </c>
      <c r="D2446" t="s">
        <v>24</v>
      </c>
      <c r="E2446" t="s">
        <v>25</v>
      </c>
      <c r="F2446">
        <v>1</v>
      </c>
      <c r="G2446">
        <v>9791136919403</v>
      </c>
      <c r="H2446" t="s">
        <v>26</v>
      </c>
      <c r="I2446" t="s">
        <v>1276</v>
      </c>
      <c r="J2446" t="s">
        <v>300</v>
      </c>
      <c r="K2446" t="s">
        <v>29</v>
      </c>
      <c r="L2446">
        <v>0</v>
      </c>
      <c r="M2446" t="s">
        <v>29</v>
      </c>
      <c r="N2446">
        <v>0</v>
      </c>
      <c r="O2446">
        <v>0</v>
      </c>
      <c r="P2446" t="s">
        <v>30</v>
      </c>
      <c r="Q2446" s="2">
        <v>0.7</v>
      </c>
      <c r="R2446">
        <v>0</v>
      </c>
      <c r="V2446" t="str">
        <f>VLOOKUP(H2446,'[1]팀별 출판사'!A:B,2,0)</f>
        <v>소설1팀</v>
      </c>
      <c r="W2446" s="6">
        <f t="shared" si="76"/>
        <v>0</v>
      </c>
      <c r="X2446" s="6">
        <f t="shared" si="77"/>
        <v>0</v>
      </c>
    </row>
    <row r="2447" spans="1:24" x14ac:dyDescent="0.3">
      <c r="A2447" t="s">
        <v>3574</v>
      </c>
      <c r="B2447" t="s">
        <v>3715</v>
      </c>
      <c r="C2447" t="s">
        <v>23</v>
      </c>
      <c r="D2447" t="s">
        <v>24</v>
      </c>
      <c r="E2447" t="s">
        <v>25</v>
      </c>
      <c r="F2447">
        <v>1</v>
      </c>
      <c r="G2447">
        <v>9791136943453</v>
      </c>
      <c r="H2447" t="s">
        <v>26</v>
      </c>
      <c r="I2447" t="s">
        <v>3716</v>
      </c>
      <c r="J2447" t="s">
        <v>284</v>
      </c>
      <c r="K2447" t="s">
        <v>29</v>
      </c>
      <c r="L2447" s="1">
        <v>3200</v>
      </c>
      <c r="M2447" t="s">
        <v>29</v>
      </c>
      <c r="N2447" s="1">
        <v>3200</v>
      </c>
      <c r="O2447" s="1">
        <v>3200</v>
      </c>
      <c r="P2447" t="s">
        <v>30</v>
      </c>
      <c r="Q2447" s="2">
        <v>0.7</v>
      </c>
      <c r="R2447" s="1">
        <v>2240</v>
      </c>
      <c r="S2447" t="s">
        <v>29</v>
      </c>
      <c r="T2447" s="1">
        <v>2240</v>
      </c>
      <c r="V2447" t="str">
        <f>VLOOKUP(H2447,'[1]팀별 출판사'!A:B,2,0)</f>
        <v>소설1팀</v>
      </c>
      <c r="W2447" s="6">
        <f t="shared" si="76"/>
        <v>0</v>
      </c>
      <c r="X2447" s="6">
        <f t="shared" si="77"/>
        <v>2240</v>
      </c>
    </row>
    <row r="2448" spans="1:24" x14ac:dyDescent="0.3">
      <c r="A2448" t="s">
        <v>3574</v>
      </c>
      <c r="B2448" t="s">
        <v>3717</v>
      </c>
      <c r="C2448" t="s">
        <v>23</v>
      </c>
      <c r="D2448" t="s">
        <v>24</v>
      </c>
      <c r="E2448" t="s">
        <v>25</v>
      </c>
      <c r="F2448">
        <v>1</v>
      </c>
      <c r="G2448">
        <v>9791133101801</v>
      </c>
      <c r="H2448" t="s">
        <v>32</v>
      </c>
      <c r="I2448" t="s">
        <v>1173</v>
      </c>
      <c r="J2448" t="s">
        <v>160</v>
      </c>
      <c r="K2448" t="s">
        <v>29</v>
      </c>
      <c r="L2448">
        <v>0</v>
      </c>
      <c r="M2448" t="s">
        <v>29</v>
      </c>
      <c r="N2448">
        <v>0</v>
      </c>
      <c r="O2448">
        <v>0</v>
      </c>
      <c r="P2448" t="s">
        <v>30</v>
      </c>
      <c r="Q2448" s="2">
        <v>0.7</v>
      </c>
      <c r="R2448">
        <v>0</v>
      </c>
      <c r="V2448" t="str">
        <f>VLOOKUP(H2448,'[1]팀별 출판사'!A:B,2,0)</f>
        <v>소설1팀</v>
      </c>
      <c r="W2448" s="6">
        <f t="shared" si="76"/>
        <v>0</v>
      </c>
      <c r="X2448" s="6">
        <f t="shared" si="77"/>
        <v>0</v>
      </c>
    </row>
    <row r="2449" spans="1:24" x14ac:dyDescent="0.3">
      <c r="A2449" t="s">
        <v>3574</v>
      </c>
      <c r="B2449" t="s">
        <v>3718</v>
      </c>
      <c r="C2449" t="s">
        <v>23</v>
      </c>
      <c r="D2449" t="s">
        <v>24</v>
      </c>
      <c r="E2449" t="s">
        <v>25</v>
      </c>
      <c r="F2449">
        <v>1</v>
      </c>
      <c r="G2449">
        <v>9791136931382</v>
      </c>
      <c r="H2449" t="s">
        <v>32</v>
      </c>
      <c r="I2449" t="s">
        <v>523</v>
      </c>
      <c r="J2449" t="s">
        <v>46</v>
      </c>
      <c r="K2449" t="s">
        <v>29</v>
      </c>
      <c r="L2449">
        <v>0</v>
      </c>
      <c r="M2449" t="s">
        <v>29</v>
      </c>
      <c r="N2449">
        <v>0</v>
      </c>
      <c r="O2449">
        <v>0</v>
      </c>
      <c r="P2449" t="s">
        <v>30</v>
      </c>
      <c r="Q2449" s="2">
        <v>0.7</v>
      </c>
      <c r="R2449">
        <v>0</v>
      </c>
      <c r="V2449" t="str">
        <f>VLOOKUP(H2449,'[1]팀별 출판사'!A:B,2,0)</f>
        <v>소설1팀</v>
      </c>
      <c r="W2449" s="6">
        <f t="shared" si="76"/>
        <v>0</v>
      </c>
      <c r="X2449" s="6">
        <f t="shared" si="77"/>
        <v>0</v>
      </c>
    </row>
    <row r="2450" spans="1:24" x14ac:dyDescent="0.3">
      <c r="A2450" t="s">
        <v>3574</v>
      </c>
      <c r="B2450" t="s">
        <v>3719</v>
      </c>
      <c r="C2450" t="s">
        <v>23</v>
      </c>
      <c r="D2450" t="s">
        <v>24</v>
      </c>
      <c r="E2450" t="s">
        <v>25</v>
      </c>
      <c r="F2450">
        <v>1</v>
      </c>
      <c r="G2450">
        <v>9791136916969</v>
      </c>
      <c r="H2450" t="s">
        <v>26</v>
      </c>
      <c r="I2450" t="s">
        <v>1228</v>
      </c>
      <c r="J2450" t="s">
        <v>436</v>
      </c>
      <c r="K2450" t="s">
        <v>29</v>
      </c>
      <c r="L2450">
        <v>0</v>
      </c>
      <c r="M2450" t="s">
        <v>29</v>
      </c>
      <c r="N2450">
        <v>0</v>
      </c>
      <c r="O2450">
        <v>0</v>
      </c>
      <c r="P2450" t="s">
        <v>30</v>
      </c>
      <c r="Q2450" s="2">
        <v>0.7</v>
      </c>
      <c r="R2450">
        <v>0</v>
      </c>
      <c r="V2450" t="str">
        <f>VLOOKUP(H2450,'[1]팀별 출판사'!A:B,2,0)</f>
        <v>소설1팀</v>
      </c>
      <c r="W2450" s="6">
        <f t="shared" si="76"/>
        <v>0</v>
      </c>
      <c r="X2450" s="6">
        <f t="shared" si="77"/>
        <v>0</v>
      </c>
    </row>
    <row r="2451" spans="1:24" x14ac:dyDescent="0.3">
      <c r="A2451" t="s">
        <v>3574</v>
      </c>
      <c r="B2451" t="s">
        <v>3720</v>
      </c>
      <c r="C2451" t="s">
        <v>23</v>
      </c>
      <c r="D2451" t="s">
        <v>24</v>
      </c>
      <c r="E2451" t="s">
        <v>25</v>
      </c>
      <c r="F2451">
        <v>1</v>
      </c>
      <c r="G2451">
        <v>9791136925664</v>
      </c>
      <c r="H2451" t="s">
        <v>26</v>
      </c>
      <c r="I2451" t="s">
        <v>453</v>
      </c>
      <c r="J2451" t="s">
        <v>62</v>
      </c>
      <c r="K2451" t="s">
        <v>29</v>
      </c>
      <c r="L2451">
        <v>0</v>
      </c>
      <c r="M2451" t="s">
        <v>29</v>
      </c>
      <c r="N2451">
        <v>0</v>
      </c>
      <c r="O2451">
        <v>0</v>
      </c>
      <c r="P2451" t="s">
        <v>30</v>
      </c>
      <c r="Q2451" s="2">
        <v>0.7</v>
      </c>
      <c r="R2451">
        <v>0</v>
      </c>
      <c r="V2451" t="str">
        <f>VLOOKUP(H2451,'[1]팀별 출판사'!A:B,2,0)</f>
        <v>소설1팀</v>
      </c>
      <c r="W2451" s="6">
        <f t="shared" si="76"/>
        <v>0</v>
      </c>
      <c r="X2451" s="6">
        <f t="shared" si="77"/>
        <v>0</v>
      </c>
    </row>
    <row r="2452" spans="1:24" x14ac:dyDescent="0.3">
      <c r="A2452" t="s">
        <v>3574</v>
      </c>
      <c r="B2452" t="s">
        <v>3721</v>
      </c>
      <c r="C2452" t="s">
        <v>23</v>
      </c>
      <c r="D2452" t="s">
        <v>24</v>
      </c>
      <c r="E2452" t="s">
        <v>25</v>
      </c>
      <c r="F2452">
        <v>1</v>
      </c>
      <c r="G2452">
        <v>9791133154906</v>
      </c>
      <c r="H2452" t="s">
        <v>32</v>
      </c>
      <c r="I2452" t="s">
        <v>3722</v>
      </c>
      <c r="J2452" t="s">
        <v>160</v>
      </c>
      <c r="K2452" t="s">
        <v>29</v>
      </c>
      <c r="L2452" s="1">
        <v>3500</v>
      </c>
      <c r="M2452" t="s">
        <v>29</v>
      </c>
      <c r="N2452" s="1">
        <v>3500</v>
      </c>
      <c r="O2452" s="1">
        <v>3500</v>
      </c>
      <c r="P2452" t="s">
        <v>30</v>
      </c>
      <c r="Q2452" s="2">
        <v>0.7</v>
      </c>
      <c r="R2452" s="1">
        <v>2450</v>
      </c>
      <c r="S2452" t="s">
        <v>29</v>
      </c>
      <c r="T2452" s="1">
        <v>2450</v>
      </c>
      <c r="V2452" t="str">
        <f>VLOOKUP(H2452,'[1]팀별 출판사'!A:B,2,0)</f>
        <v>소설1팀</v>
      </c>
      <c r="W2452" s="6">
        <f t="shared" si="76"/>
        <v>0</v>
      </c>
      <c r="X2452" s="6">
        <f t="shared" si="77"/>
        <v>2450</v>
      </c>
    </row>
    <row r="2453" spans="1:24" x14ac:dyDescent="0.3">
      <c r="A2453" t="s">
        <v>3574</v>
      </c>
      <c r="B2453" t="s">
        <v>3723</v>
      </c>
      <c r="C2453" t="s">
        <v>23</v>
      </c>
      <c r="D2453" t="s">
        <v>24</v>
      </c>
      <c r="E2453" t="s">
        <v>25</v>
      </c>
      <c r="F2453">
        <v>1</v>
      </c>
      <c r="G2453">
        <v>9791133173402</v>
      </c>
      <c r="H2453" t="s">
        <v>26</v>
      </c>
      <c r="I2453" t="s">
        <v>1039</v>
      </c>
      <c r="J2453" t="s">
        <v>287</v>
      </c>
      <c r="K2453" t="s">
        <v>29</v>
      </c>
      <c r="L2453">
        <v>0</v>
      </c>
      <c r="M2453" t="s">
        <v>29</v>
      </c>
      <c r="N2453">
        <v>0</v>
      </c>
      <c r="O2453">
        <v>0</v>
      </c>
      <c r="P2453" t="s">
        <v>30</v>
      </c>
      <c r="Q2453" s="2">
        <v>0.7</v>
      </c>
      <c r="R2453">
        <v>0</v>
      </c>
      <c r="V2453" t="str">
        <f>VLOOKUP(H2453,'[1]팀별 출판사'!A:B,2,0)</f>
        <v>소설1팀</v>
      </c>
      <c r="W2453" s="6">
        <f t="shared" si="76"/>
        <v>0</v>
      </c>
      <c r="X2453" s="6">
        <f t="shared" si="77"/>
        <v>0</v>
      </c>
    </row>
    <row r="2454" spans="1:24" x14ac:dyDescent="0.3">
      <c r="A2454" t="s">
        <v>3574</v>
      </c>
      <c r="B2454" t="s">
        <v>3724</v>
      </c>
      <c r="C2454" t="s">
        <v>23</v>
      </c>
      <c r="D2454" t="s">
        <v>24</v>
      </c>
      <c r="E2454" t="s">
        <v>25</v>
      </c>
      <c r="F2454">
        <v>1</v>
      </c>
      <c r="G2454">
        <v>9791133143856</v>
      </c>
      <c r="H2454" t="s">
        <v>32</v>
      </c>
      <c r="I2454" t="s">
        <v>3725</v>
      </c>
      <c r="J2454" t="s">
        <v>88</v>
      </c>
      <c r="K2454" t="s">
        <v>29</v>
      </c>
      <c r="L2454" s="1">
        <v>3200</v>
      </c>
      <c r="M2454" t="s">
        <v>29</v>
      </c>
      <c r="N2454" s="1">
        <v>3200</v>
      </c>
      <c r="O2454" s="1">
        <v>3200</v>
      </c>
      <c r="P2454" t="s">
        <v>30</v>
      </c>
      <c r="Q2454" s="2">
        <v>0.7</v>
      </c>
      <c r="R2454" s="1">
        <v>2240</v>
      </c>
      <c r="S2454" t="s">
        <v>29</v>
      </c>
      <c r="T2454" s="1">
        <v>2240</v>
      </c>
      <c r="V2454" t="str">
        <f>VLOOKUP(H2454,'[1]팀별 출판사'!A:B,2,0)</f>
        <v>소설1팀</v>
      </c>
      <c r="W2454" s="6">
        <f t="shared" si="76"/>
        <v>0</v>
      </c>
      <c r="X2454" s="6">
        <f t="shared" si="77"/>
        <v>2240</v>
      </c>
    </row>
    <row r="2455" spans="1:24" x14ac:dyDescent="0.3">
      <c r="A2455" t="s">
        <v>3574</v>
      </c>
      <c r="B2455" t="s">
        <v>3726</v>
      </c>
      <c r="C2455" t="s">
        <v>23</v>
      </c>
      <c r="D2455" t="s">
        <v>24</v>
      </c>
      <c r="E2455" t="s">
        <v>25</v>
      </c>
      <c r="F2455">
        <v>1</v>
      </c>
      <c r="G2455">
        <v>9791170104896</v>
      </c>
      <c r="H2455" t="s">
        <v>67</v>
      </c>
      <c r="I2455" t="s">
        <v>3687</v>
      </c>
      <c r="J2455" t="s">
        <v>3688</v>
      </c>
      <c r="K2455" t="s">
        <v>29</v>
      </c>
      <c r="L2455">
        <v>0</v>
      </c>
      <c r="M2455" t="s">
        <v>29</v>
      </c>
      <c r="N2455">
        <v>0</v>
      </c>
      <c r="O2455">
        <v>0</v>
      </c>
      <c r="P2455" t="s">
        <v>30</v>
      </c>
      <c r="Q2455" s="2">
        <v>0.7</v>
      </c>
      <c r="R2455">
        <v>0</v>
      </c>
      <c r="V2455" t="str">
        <f>VLOOKUP(H2455,'[1]팀별 출판사'!A:B,2,0)</f>
        <v>소설1팀</v>
      </c>
      <c r="W2455" s="6">
        <f t="shared" si="76"/>
        <v>0</v>
      </c>
      <c r="X2455" s="6">
        <f t="shared" si="77"/>
        <v>0</v>
      </c>
    </row>
    <row r="2456" spans="1:24" x14ac:dyDescent="0.3">
      <c r="A2456" t="s">
        <v>3574</v>
      </c>
      <c r="B2456" t="s">
        <v>3727</v>
      </c>
      <c r="C2456" t="s">
        <v>23</v>
      </c>
      <c r="D2456" t="s">
        <v>24</v>
      </c>
      <c r="E2456" t="s">
        <v>25</v>
      </c>
      <c r="F2456">
        <v>1</v>
      </c>
      <c r="G2456">
        <v>9791136946782</v>
      </c>
      <c r="H2456" t="s">
        <v>26</v>
      </c>
      <c r="I2456" t="s">
        <v>291</v>
      </c>
      <c r="J2456" t="s">
        <v>28</v>
      </c>
      <c r="K2456" t="s">
        <v>29</v>
      </c>
      <c r="L2456">
        <v>0</v>
      </c>
      <c r="M2456" t="s">
        <v>29</v>
      </c>
      <c r="N2456">
        <v>0</v>
      </c>
      <c r="O2456">
        <v>0</v>
      </c>
      <c r="P2456" t="s">
        <v>30</v>
      </c>
      <c r="Q2456" s="2">
        <v>0.7</v>
      </c>
      <c r="R2456">
        <v>0</v>
      </c>
      <c r="V2456" t="str">
        <f>VLOOKUP(H2456,'[1]팀별 출판사'!A:B,2,0)</f>
        <v>소설1팀</v>
      </c>
      <c r="W2456" s="6">
        <f t="shared" si="76"/>
        <v>0</v>
      </c>
      <c r="X2456" s="6">
        <f t="shared" si="77"/>
        <v>0</v>
      </c>
    </row>
    <row r="2457" spans="1:24" x14ac:dyDescent="0.3">
      <c r="A2457" t="s">
        <v>3574</v>
      </c>
      <c r="B2457" t="s">
        <v>3728</v>
      </c>
      <c r="C2457" t="s">
        <v>23</v>
      </c>
      <c r="D2457" t="s">
        <v>24</v>
      </c>
      <c r="E2457" t="s">
        <v>25</v>
      </c>
      <c r="F2457">
        <v>1</v>
      </c>
      <c r="G2457">
        <v>9791172927165</v>
      </c>
      <c r="H2457" t="s">
        <v>79</v>
      </c>
      <c r="I2457" t="s">
        <v>1841</v>
      </c>
      <c r="J2457" t="s">
        <v>571</v>
      </c>
      <c r="K2457" t="s">
        <v>29</v>
      </c>
      <c r="L2457">
        <v>0</v>
      </c>
      <c r="M2457" t="s">
        <v>29</v>
      </c>
      <c r="N2457">
        <v>0</v>
      </c>
      <c r="O2457">
        <v>0</v>
      </c>
      <c r="P2457" t="s">
        <v>30</v>
      </c>
      <c r="Q2457" s="2">
        <v>0.7</v>
      </c>
      <c r="R2457">
        <v>0</v>
      </c>
      <c r="V2457" t="str">
        <f>VLOOKUP(H2457,'[1]팀별 출판사'!A:B,2,0)</f>
        <v>소설1팀</v>
      </c>
      <c r="W2457" s="6">
        <f t="shared" si="76"/>
        <v>0</v>
      </c>
      <c r="X2457" s="6">
        <f t="shared" si="77"/>
        <v>0</v>
      </c>
    </row>
    <row r="2458" spans="1:24" x14ac:dyDescent="0.3">
      <c r="A2458" t="s">
        <v>3574</v>
      </c>
      <c r="B2458" t="s">
        <v>3729</v>
      </c>
      <c r="C2458" t="s">
        <v>23</v>
      </c>
      <c r="D2458" t="s">
        <v>24</v>
      </c>
      <c r="E2458" t="s">
        <v>25</v>
      </c>
      <c r="F2458">
        <v>1</v>
      </c>
      <c r="G2458">
        <v>9791133188994</v>
      </c>
      <c r="H2458" t="s">
        <v>26</v>
      </c>
      <c r="I2458" t="s">
        <v>2047</v>
      </c>
      <c r="J2458" t="s">
        <v>908</v>
      </c>
      <c r="K2458" t="s">
        <v>29</v>
      </c>
      <c r="L2458">
        <v>0</v>
      </c>
      <c r="M2458" t="s">
        <v>29</v>
      </c>
      <c r="N2458">
        <v>0</v>
      </c>
      <c r="O2458">
        <v>0</v>
      </c>
      <c r="P2458" t="s">
        <v>30</v>
      </c>
      <c r="Q2458" s="2">
        <v>0.7</v>
      </c>
      <c r="R2458">
        <v>0</v>
      </c>
      <c r="V2458" t="str">
        <f>VLOOKUP(H2458,'[1]팀별 출판사'!A:B,2,0)</f>
        <v>소설1팀</v>
      </c>
      <c r="W2458" s="6">
        <f t="shared" si="76"/>
        <v>0</v>
      </c>
      <c r="X2458" s="6">
        <f t="shared" si="77"/>
        <v>0</v>
      </c>
    </row>
    <row r="2459" spans="1:24" x14ac:dyDescent="0.3">
      <c r="A2459" t="s">
        <v>3574</v>
      </c>
      <c r="B2459" t="s">
        <v>3730</v>
      </c>
      <c r="C2459" t="s">
        <v>23</v>
      </c>
      <c r="D2459" t="s">
        <v>24</v>
      </c>
      <c r="E2459" t="s">
        <v>25</v>
      </c>
      <c r="F2459">
        <v>1</v>
      </c>
      <c r="G2459">
        <v>9791136927255</v>
      </c>
      <c r="H2459" t="s">
        <v>36</v>
      </c>
      <c r="I2459" t="s">
        <v>90</v>
      </c>
      <c r="J2459" t="s">
        <v>38</v>
      </c>
      <c r="K2459" t="s">
        <v>29</v>
      </c>
      <c r="L2459" s="1">
        <v>3300</v>
      </c>
      <c r="M2459" t="s">
        <v>1379</v>
      </c>
      <c r="N2459" s="1">
        <v>42311</v>
      </c>
      <c r="O2459" s="1">
        <v>38118</v>
      </c>
      <c r="P2459" t="s">
        <v>1380</v>
      </c>
      <c r="Q2459" s="2">
        <v>0.7</v>
      </c>
      <c r="R2459" s="1">
        <v>26683</v>
      </c>
      <c r="S2459" t="s">
        <v>29</v>
      </c>
      <c r="T2459" s="1">
        <v>2290</v>
      </c>
      <c r="U2459">
        <v>8.5769999999999999E-2</v>
      </c>
      <c r="V2459" t="str">
        <f>VLOOKUP(H2459,'[1]팀별 출판사'!A:B,2,0)</f>
        <v>소설2팀</v>
      </c>
      <c r="W2459" s="6">
        <f t="shared" si="76"/>
        <v>0</v>
      </c>
      <c r="X2459" s="6">
        <f t="shared" si="77"/>
        <v>2290</v>
      </c>
    </row>
    <row r="2460" spans="1:24" x14ac:dyDescent="0.3">
      <c r="A2460" t="s">
        <v>3574</v>
      </c>
      <c r="B2460" t="s">
        <v>3731</v>
      </c>
      <c r="C2460" t="s">
        <v>23</v>
      </c>
      <c r="D2460" t="s">
        <v>24</v>
      </c>
      <c r="E2460" t="s">
        <v>25</v>
      </c>
      <c r="F2460">
        <v>1</v>
      </c>
      <c r="G2460">
        <v>9791133106219</v>
      </c>
      <c r="H2460" t="s">
        <v>32</v>
      </c>
      <c r="I2460" t="s">
        <v>1118</v>
      </c>
      <c r="J2460" t="s">
        <v>51</v>
      </c>
      <c r="K2460" t="s">
        <v>29</v>
      </c>
      <c r="L2460">
        <v>0</v>
      </c>
      <c r="M2460" t="s">
        <v>29</v>
      </c>
      <c r="N2460">
        <v>0</v>
      </c>
      <c r="O2460">
        <v>0</v>
      </c>
      <c r="P2460" t="s">
        <v>30</v>
      </c>
      <c r="Q2460" s="2">
        <v>0.7</v>
      </c>
      <c r="R2460">
        <v>0</v>
      </c>
      <c r="V2460" t="str">
        <f>VLOOKUP(H2460,'[1]팀별 출판사'!A:B,2,0)</f>
        <v>소설1팀</v>
      </c>
      <c r="W2460" s="6">
        <f t="shared" si="76"/>
        <v>0</v>
      </c>
      <c r="X2460" s="6">
        <f t="shared" si="77"/>
        <v>0</v>
      </c>
    </row>
    <row r="2461" spans="1:24" x14ac:dyDescent="0.3">
      <c r="A2461" t="s">
        <v>3574</v>
      </c>
      <c r="B2461" t="s">
        <v>3732</v>
      </c>
      <c r="C2461" t="s">
        <v>23</v>
      </c>
      <c r="D2461" t="s">
        <v>24</v>
      </c>
      <c r="E2461" t="s">
        <v>25</v>
      </c>
      <c r="F2461">
        <v>1</v>
      </c>
      <c r="G2461">
        <v>9791133102846</v>
      </c>
      <c r="H2461" t="s">
        <v>32</v>
      </c>
      <c r="I2461" t="s">
        <v>50</v>
      </c>
      <c r="J2461" t="s">
        <v>51</v>
      </c>
      <c r="K2461" t="s">
        <v>29</v>
      </c>
      <c r="L2461">
        <v>0</v>
      </c>
      <c r="M2461" t="s">
        <v>29</v>
      </c>
      <c r="N2461">
        <v>0</v>
      </c>
      <c r="O2461">
        <v>0</v>
      </c>
      <c r="P2461" t="s">
        <v>30</v>
      </c>
      <c r="Q2461" s="2">
        <v>0.7</v>
      </c>
      <c r="R2461">
        <v>0</v>
      </c>
      <c r="V2461" t="str">
        <f>VLOOKUP(H2461,'[1]팀별 출판사'!A:B,2,0)</f>
        <v>소설1팀</v>
      </c>
      <c r="W2461" s="6">
        <f t="shared" si="76"/>
        <v>0</v>
      </c>
      <c r="X2461" s="6">
        <f t="shared" si="77"/>
        <v>0</v>
      </c>
    </row>
    <row r="2462" spans="1:24" x14ac:dyDescent="0.3">
      <c r="A2462" t="s">
        <v>3574</v>
      </c>
      <c r="B2462" t="s">
        <v>3733</v>
      </c>
      <c r="C2462" t="s">
        <v>23</v>
      </c>
      <c r="D2462" t="s">
        <v>24</v>
      </c>
      <c r="E2462" t="s">
        <v>25</v>
      </c>
      <c r="F2462">
        <v>1</v>
      </c>
      <c r="G2462">
        <v>9791170100973</v>
      </c>
      <c r="H2462" t="s">
        <v>67</v>
      </c>
      <c r="I2462" t="s">
        <v>2589</v>
      </c>
      <c r="J2462" t="s">
        <v>424</v>
      </c>
      <c r="K2462" t="s">
        <v>29</v>
      </c>
      <c r="L2462">
        <v>0</v>
      </c>
      <c r="M2462" t="s">
        <v>29</v>
      </c>
      <c r="N2462">
        <v>0</v>
      </c>
      <c r="O2462">
        <v>0</v>
      </c>
      <c r="P2462" t="s">
        <v>30</v>
      </c>
      <c r="Q2462" s="2">
        <v>0.7</v>
      </c>
      <c r="R2462">
        <v>0</v>
      </c>
      <c r="V2462" t="str">
        <f>VLOOKUP(H2462,'[1]팀별 출판사'!A:B,2,0)</f>
        <v>소설1팀</v>
      </c>
      <c r="W2462" s="6">
        <f t="shared" si="76"/>
        <v>0</v>
      </c>
      <c r="X2462" s="6">
        <f t="shared" si="77"/>
        <v>0</v>
      </c>
    </row>
    <row r="2463" spans="1:24" x14ac:dyDescent="0.3">
      <c r="A2463" t="s">
        <v>3574</v>
      </c>
      <c r="B2463" t="s">
        <v>3734</v>
      </c>
      <c r="C2463" t="s">
        <v>23</v>
      </c>
      <c r="D2463" t="s">
        <v>24</v>
      </c>
      <c r="E2463" t="s">
        <v>25</v>
      </c>
      <c r="F2463">
        <v>1</v>
      </c>
      <c r="G2463">
        <v>9791136931375</v>
      </c>
      <c r="H2463" t="s">
        <v>32</v>
      </c>
      <c r="I2463" t="s">
        <v>189</v>
      </c>
      <c r="J2463" t="s">
        <v>46</v>
      </c>
      <c r="K2463" t="s">
        <v>29</v>
      </c>
      <c r="L2463">
        <v>0</v>
      </c>
      <c r="M2463" t="s">
        <v>152</v>
      </c>
      <c r="N2463">
        <v>0</v>
      </c>
      <c r="O2463">
        <v>0</v>
      </c>
      <c r="P2463" t="s">
        <v>153</v>
      </c>
      <c r="Q2463" s="2">
        <v>0.7</v>
      </c>
      <c r="R2463">
        <v>0</v>
      </c>
      <c r="V2463" t="str">
        <f>VLOOKUP(H2463,'[1]팀별 출판사'!A:B,2,0)</f>
        <v>소설1팀</v>
      </c>
      <c r="W2463" s="6">
        <f t="shared" si="76"/>
        <v>0</v>
      </c>
      <c r="X2463" s="6">
        <f t="shared" si="77"/>
        <v>0</v>
      </c>
    </row>
    <row r="2464" spans="1:24" x14ac:dyDescent="0.3">
      <c r="A2464" t="s">
        <v>3574</v>
      </c>
      <c r="B2464" t="s">
        <v>3735</v>
      </c>
      <c r="C2464" t="s">
        <v>23</v>
      </c>
      <c r="D2464" t="s">
        <v>24</v>
      </c>
      <c r="E2464" t="s">
        <v>25</v>
      </c>
      <c r="F2464">
        <v>1</v>
      </c>
      <c r="G2464">
        <v>9791133186501</v>
      </c>
      <c r="H2464" t="s">
        <v>26</v>
      </c>
      <c r="I2464" t="s">
        <v>64</v>
      </c>
      <c r="J2464" t="s">
        <v>65</v>
      </c>
      <c r="K2464" t="s">
        <v>29</v>
      </c>
      <c r="L2464">
        <v>0</v>
      </c>
      <c r="M2464" t="s">
        <v>29</v>
      </c>
      <c r="N2464">
        <v>0</v>
      </c>
      <c r="O2464">
        <v>0</v>
      </c>
      <c r="P2464" t="s">
        <v>30</v>
      </c>
      <c r="Q2464" s="2">
        <v>0.7</v>
      </c>
      <c r="R2464">
        <v>0</v>
      </c>
      <c r="V2464" t="str">
        <f>VLOOKUP(H2464,'[1]팀별 출판사'!A:B,2,0)</f>
        <v>소설1팀</v>
      </c>
      <c r="W2464" s="6">
        <f t="shared" si="76"/>
        <v>0</v>
      </c>
      <c r="X2464" s="6">
        <f t="shared" si="77"/>
        <v>0</v>
      </c>
    </row>
    <row r="2465" spans="1:24" x14ac:dyDescent="0.3">
      <c r="A2465" t="s">
        <v>3574</v>
      </c>
      <c r="B2465" t="s">
        <v>3736</v>
      </c>
      <c r="C2465" t="s">
        <v>23</v>
      </c>
      <c r="D2465" t="s">
        <v>24</v>
      </c>
      <c r="E2465" t="s">
        <v>25</v>
      </c>
      <c r="F2465">
        <v>1</v>
      </c>
      <c r="G2465">
        <v>9791133107766</v>
      </c>
      <c r="H2465" t="s">
        <v>32</v>
      </c>
      <c r="I2465" t="s">
        <v>3737</v>
      </c>
      <c r="J2465" t="s">
        <v>51</v>
      </c>
      <c r="K2465" t="s">
        <v>29</v>
      </c>
      <c r="L2465">
        <v>0</v>
      </c>
      <c r="M2465" t="s">
        <v>29</v>
      </c>
      <c r="N2465">
        <v>0</v>
      </c>
      <c r="O2465">
        <v>0</v>
      </c>
      <c r="P2465" t="s">
        <v>30</v>
      </c>
      <c r="Q2465" s="2">
        <v>0.7</v>
      </c>
      <c r="R2465">
        <v>0</v>
      </c>
      <c r="V2465" t="str">
        <f>VLOOKUP(H2465,'[1]팀별 출판사'!A:B,2,0)</f>
        <v>소설1팀</v>
      </c>
      <c r="W2465" s="6">
        <f t="shared" si="76"/>
        <v>0</v>
      </c>
      <c r="X2465" s="6">
        <f t="shared" si="77"/>
        <v>0</v>
      </c>
    </row>
    <row r="2466" spans="1:24" x14ac:dyDescent="0.3">
      <c r="A2466" t="s">
        <v>3574</v>
      </c>
      <c r="B2466" t="s">
        <v>3738</v>
      </c>
      <c r="C2466" t="s">
        <v>23</v>
      </c>
      <c r="D2466" t="s">
        <v>24</v>
      </c>
      <c r="E2466" t="s">
        <v>25</v>
      </c>
      <c r="F2466">
        <v>1</v>
      </c>
      <c r="G2466">
        <v>9791170106715</v>
      </c>
      <c r="H2466" t="s">
        <v>67</v>
      </c>
      <c r="I2466" t="s">
        <v>68</v>
      </c>
      <c r="J2466" t="s">
        <v>69</v>
      </c>
      <c r="K2466" t="s">
        <v>29</v>
      </c>
      <c r="L2466">
        <v>0</v>
      </c>
      <c r="M2466" t="s">
        <v>193</v>
      </c>
      <c r="N2466">
        <v>0</v>
      </c>
      <c r="O2466">
        <v>0</v>
      </c>
      <c r="P2466" t="s">
        <v>194</v>
      </c>
      <c r="Q2466" s="2">
        <v>0.7</v>
      </c>
      <c r="R2466">
        <v>0</v>
      </c>
      <c r="V2466" t="str">
        <f>VLOOKUP(H2466,'[1]팀별 출판사'!A:B,2,0)</f>
        <v>소설1팀</v>
      </c>
      <c r="W2466" s="6">
        <f t="shared" si="76"/>
        <v>0</v>
      </c>
      <c r="X2466" s="6">
        <f t="shared" si="77"/>
        <v>0</v>
      </c>
    </row>
    <row r="2467" spans="1:24" x14ac:dyDescent="0.3">
      <c r="A2467" t="s">
        <v>3574</v>
      </c>
      <c r="B2467" t="s">
        <v>3739</v>
      </c>
      <c r="C2467" t="s">
        <v>23</v>
      </c>
      <c r="D2467" t="s">
        <v>24</v>
      </c>
      <c r="E2467" t="s">
        <v>25</v>
      </c>
      <c r="F2467">
        <v>1</v>
      </c>
      <c r="G2467">
        <v>9791133130184</v>
      </c>
      <c r="H2467" t="s">
        <v>32</v>
      </c>
      <c r="I2467" t="s">
        <v>669</v>
      </c>
      <c r="J2467" t="s">
        <v>160</v>
      </c>
      <c r="K2467" t="s">
        <v>29</v>
      </c>
      <c r="L2467">
        <v>0</v>
      </c>
      <c r="M2467" t="s">
        <v>29</v>
      </c>
      <c r="N2467">
        <v>0</v>
      </c>
      <c r="O2467">
        <v>0</v>
      </c>
      <c r="P2467" t="s">
        <v>30</v>
      </c>
      <c r="Q2467" s="2">
        <v>0.7</v>
      </c>
      <c r="R2467">
        <v>0</v>
      </c>
      <c r="V2467" t="str">
        <f>VLOOKUP(H2467,'[1]팀별 출판사'!A:B,2,0)</f>
        <v>소설1팀</v>
      </c>
      <c r="W2467" s="6">
        <f t="shared" si="76"/>
        <v>0</v>
      </c>
      <c r="X2467" s="6">
        <f t="shared" si="77"/>
        <v>0</v>
      </c>
    </row>
    <row r="2468" spans="1:24" x14ac:dyDescent="0.3">
      <c r="A2468" t="s">
        <v>3574</v>
      </c>
      <c r="B2468" t="s">
        <v>3740</v>
      </c>
      <c r="C2468" t="s">
        <v>23</v>
      </c>
      <c r="D2468" t="s">
        <v>24</v>
      </c>
      <c r="E2468" t="s">
        <v>25</v>
      </c>
      <c r="F2468">
        <v>1</v>
      </c>
      <c r="G2468">
        <v>9791133103348</v>
      </c>
      <c r="H2468" t="s">
        <v>32</v>
      </c>
      <c r="I2468" t="s">
        <v>773</v>
      </c>
      <c r="J2468" t="s">
        <v>160</v>
      </c>
      <c r="K2468" t="s">
        <v>29</v>
      </c>
      <c r="L2468" s="1">
        <v>2500</v>
      </c>
      <c r="M2468" t="s">
        <v>29</v>
      </c>
      <c r="N2468" s="1">
        <v>2500</v>
      </c>
      <c r="O2468" s="1">
        <v>2500</v>
      </c>
      <c r="P2468" t="s">
        <v>30</v>
      </c>
      <c r="Q2468" s="2">
        <v>0.7</v>
      </c>
      <c r="R2468" s="1">
        <v>1750</v>
      </c>
      <c r="S2468" t="s">
        <v>29</v>
      </c>
      <c r="T2468" s="1">
        <v>1750</v>
      </c>
      <c r="V2468" t="str">
        <f>VLOOKUP(H2468,'[1]팀별 출판사'!A:B,2,0)</f>
        <v>소설1팀</v>
      </c>
      <c r="W2468" s="6">
        <f t="shared" si="76"/>
        <v>0</v>
      </c>
      <c r="X2468" s="6">
        <f t="shared" si="77"/>
        <v>1750</v>
      </c>
    </row>
    <row r="2469" spans="1:24" x14ac:dyDescent="0.3">
      <c r="A2469" t="s">
        <v>3574</v>
      </c>
      <c r="B2469" t="s">
        <v>3741</v>
      </c>
      <c r="C2469" t="s">
        <v>23</v>
      </c>
      <c r="D2469" t="s">
        <v>24</v>
      </c>
      <c r="E2469" t="s">
        <v>25</v>
      </c>
      <c r="F2469">
        <v>1</v>
      </c>
      <c r="G2469" t="s">
        <v>1036</v>
      </c>
      <c r="H2469" t="s">
        <v>32</v>
      </c>
      <c r="I2469" t="s">
        <v>1037</v>
      </c>
      <c r="J2469" t="s">
        <v>311</v>
      </c>
      <c r="K2469" t="s">
        <v>29</v>
      </c>
      <c r="L2469">
        <v>0</v>
      </c>
      <c r="M2469" t="s">
        <v>29</v>
      </c>
      <c r="N2469">
        <v>0</v>
      </c>
      <c r="O2469">
        <v>0</v>
      </c>
      <c r="P2469" t="s">
        <v>30</v>
      </c>
      <c r="Q2469" s="2">
        <v>0.7</v>
      </c>
      <c r="R2469">
        <v>0</v>
      </c>
      <c r="V2469" t="str">
        <f>VLOOKUP(H2469,'[1]팀별 출판사'!A:B,2,0)</f>
        <v>소설1팀</v>
      </c>
      <c r="W2469" s="6">
        <f t="shared" si="76"/>
        <v>0</v>
      </c>
      <c r="X2469" s="6">
        <f t="shared" si="77"/>
        <v>0</v>
      </c>
    </row>
    <row r="2470" spans="1:24" x14ac:dyDescent="0.3">
      <c r="A2470" t="s">
        <v>3574</v>
      </c>
      <c r="B2470" t="s">
        <v>3742</v>
      </c>
      <c r="C2470" t="s">
        <v>23</v>
      </c>
      <c r="D2470" t="s">
        <v>24</v>
      </c>
      <c r="E2470" t="s">
        <v>25</v>
      </c>
      <c r="F2470">
        <v>1</v>
      </c>
      <c r="G2470">
        <v>9791136928993</v>
      </c>
      <c r="H2470" t="s">
        <v>26</v>
      </c>
      <c r="I2470" t="s">
        <v>3743</v>
      </c>
      <c r="J2470" t="s">
        <v>62</v>
      </c>
      <c r="K2470" t="s">
        <v>29</v>
      </c>
      <c r="L2470" s="1">
        <v>3200</v>
      </c>
      <c r="M2470" t="s">
        <v>70</v>
      </c>
      <c r="N2470">
        <v>2.2200000000000002</v>
      </c>
      <c r="O2470">
        <v>2.2200000000000002</v>
      </c>
      <c r="P2470" t="s">
        <v>71</v>
      </c>
      <c r="Q2470" s="2">
        <v>0.7</v>
      </c>
      <c r="R2470">
        <v>1.55</v>
      </c>
      <c r="S2470" t="s">
        <v>29</v>
      </c>
      <c r="T2470" s="1">
        <v>2240</v>
      </c>
      <c r="U2470" s="3">
        <v>1444.59356</v>
      </c>
      <c r="V2470" t="str">
        <f>VLOOKUP(H2470,'[1]팀별 출판사'!A:B,2,0)</f>
        <v>소설1팀</v>
      </c>
      <c r="W2470" s="6">
        <f t="shared" si="76"/>
        <v>672</v>
      </c>
      <c r="X2470" s="6">
        <f t="shared" si="77"/>
        <v>1568</v>
      </c>
    </row>
    <row r="2471" spans="1:24" x14ac:dyDescent="0.3">
      <c r="A2471" t="s">
        <v>3574</v>
      </c>
      <c r="B2471" t="s">
        <v>3742</v>
      </c>
      <c r="C2471" t="s">
        <v>23</v>
      </c>
      <c r="D2471" t="s">
        <v>24</v>
      </c>
      <c r="E2471" t="s">
        <v>25</v>
      </c>
      <c r="F2471">
        <v>1</v>
      </c>
      <c r="G2471">
        <v>9791136929006</v>
      </c>
      <c r="H2471" t="s">
        <v>26</v>
      </c>
      <c r="I2471" t="s">
        <v>3744</v>
      </c>
      <c r="J2471" t="s">
        <v>62</v>
      </c>
      <c r="K2471" t="s">
        <v>29</v>
      </c>
      <c r="L2471" s="1">
        <v>3200</v>
      </c>
      <c r="M2471" t="s">
        <v>70</v>
      </c>
      <c r="N2471">
        <v>2.2200000000000002</v>
      </c>
      <c r="O2471">
        <v>2.2200000000000002</v>
      </c>
      <c r="P2471" t="s">
        <v>71</v>
      </c>
      <c r="Q2471" s="2">
        <v>0.7</v>
      </c>
      <c r="R2471">
        <v>1.55</v>
      </c>
      <c r="S2471" t="s">
        <v>29</v>
      </c>
      <c r="T2471" s="1">
        <v>2240</v>
      </c>
      <c r="U2471" s="3">
        <v>1444.59356</v>
      </c>
      <c r="V2471" t="str">
        <f>VLOOKUP(H2471,'[1]팀별 출판사'!A:B,2,0)</f>
        <v>소설1팀</v>
      </c>
      <c r="W2471" s="6">
        <f t="shared" si="76"/>
        <v>672</v>
      </c>
      <c r="X2471" s="6">
        <f t="shared" si="77"/>
        <v>1568</v>
      </c>
    </row>
    <row r="2472" spans="1:24" x14ac:dyDescent="0.3">
      <c r="A2472" t="s">
        <v>3574</v>
      </c>
      <c r="B2472" t="s">
        <v>3742</v>
      </c>
      <c r="C2472" t="s">
        <v>23</v>
      </c>
      <c r="D2472" t="s">
        <v>24</v>
      </c>
      <c r="E2472" t="s">
        <v>25</v>
      </c>
      <c r="F2472">
        <v>1</v>
      </c>
      <c r="G2472">
        <v>9791136929013</v>
      </c>
      <c r="H2472" t="s">
        <v>26</v>
      </c>
      <c r="I2472" t="s">
        <v>3745</v>
      </c>
      <c r="J2472" t="s">
        <v>62</v>
      </c>
      <c r="K2472" t="s">
        <v>29</v>
      </c>
      <c r="L2472" s="1">
        <v>3200</v>
      </c>
      <c r="M2472" t="s">
        <v>70</v>
      </c>
      <c r="N2472">
        <v>2.2200000000000002</v>
      </c>
      <c r="O2472">
        <v>2.2200000000000002</v>
      </c>
      <c r="P2472" t="s">
        <v>71</v>
      </c>
      <c r="Q2472" s="2">
        <v>0.7</v>
      </c>
      <c r="R2472">
        <v>1.55</v>
      </c>
      <c r="S2472" t="s">
        <v>29</v>
      </c>
      <c r="T2472" s="1">
        <v>2240</v>
      </c>
      <c r="U2472" s="3">
        <v>1444.59356</v>
      </c>
      <c r="V2472" t="str">
        <f>VLOOKUP(H2472,'[1]팀별 출판사'!A:B,2,0)</f>
        <v>소설1팀</v>
      </c>
      <c r="W2472" s="6">
        <f t="shared" si="76"/>
        <v>672</v>
      </c>
      <c r="X2472" s="6">
        <f t="shared" si="77"/>
        <v>1568</v>
      </c>
    </row>
    <row r="2473" spans="1:24" x14ac:dyDescent="0.3">
      <c r="A2473" t="s">
        <v>3574</v>
      </c>
      <c r="B2473" t="s">
        <v>3742</v>
      </c>
      <c r="C2473" t="s">
        <v>23</v>
      </c>
      <c r="D2473" t="s">
        <v>24</v>
      </c>
      <c r="E2473" t="s">
        <v>25</v>
      </c>
      <c r="F2473">
        <v>1</v>
      </c>
      <c r="G2473">
        <v>9791136929020</v>
      </c>
      <c r="H2473" t="s">
        <v>26</v>
      </c>
      <c r="I2473" t="s">
        <v>3746</v>
      </c>
      <c r="J2473" t="s">
        <v>62</v>
      </c>
      <c r="K2473" t="s">
        <v>29</v>
      </c>
      <c r="L2473" s="1">
        <v>3200</v>
      </c>
      <c r="M2473" t="s">
        <v>70</v>
      </c>
      <c r="N2473">
        <v>2.2200000000000002</v>
      </c>
      <c r="O2473">
        <v>2.2200000000000002</v>
      </c>
      <c r="P2473" t="s">
        <v>71</v>
      </c>
      <c r="Q2473" s="2">
        <v>0.7</v>
      </c>
      <c r="R2473">
        <v>1.55</v>
      </c>
      <c r="S2473" t="s">
        <v>29</v>
      </c>
      <c r="T2473" s="1">
        <v>2240</v>
      </c>
      <c r="U2473" s="3">
        <v>1444.59356</v>
      </c>
      <c r="V2473" t="str">
        <f>VLOOKUP(H2473,'[1]팀별 출판사'!A:B,2,0)</f>
        <v>소설1팀</v>
      </c>
      <c r="W2473" s="6">
        <f t="shared" si="76"/>
        <v>672</v>
      </c>
      <c r="X2473" s="6">
        <f t="shared" si="77"/>
        <v>1568</v>
      </c>
    </row>
    <row r="2474" spans="1:24" x14ac:dyDescent="0.3">
      <c r="A2474" t="s">
        <v>3574</v>
      </c>
      <c r="B2474" t="s">
        <v>3742</v>
      </c>
      <c r="C2474" t="s">
        <v>23</v>
      </c>
      <c r="D2474" t="s">
        <v>24</v>
      </c>
      <c r="E2474" t="s">
        <v>25</v>
      </c>
      <c r="F2474">
        <v>1</v>
      </c>
      <c r="G2474">
        <v>9791136929037</v>
      </c>
      <c r="H2474" t="s">
        <v>26</v>
      </c>
      <c r="I2474" t="s">
        <v>3747</v>
      </c>
      <c r="J2474" t="s">
        <v>62</v>
      </c>
      <c r="K2474" t="s">
        <v>29</v>
      </c>
      <c r="L2474" s="1">
        <v>3200</v>
      </c>
      <c r="M2474" t="s">
        <v>70</v>
      </c>
      <c r="N2474">
        <v>2.2200000000000002</v>
      </c>
      <c r="O2474">
        <v>2.2200000000000002</v>
      </c>
      <c r="P2474" t="s">
        <v>71</v>
      </c>
      <c r="Q2474" s="2">
        <v>0.7</v>
      </c>
      <c r="R2474">
        <v>1.55</v>
      </c>
      <c r="S2474" t="s">
        <v>29</v>
      </c>
      <c r="T2474" s="1">
        <v>2240</v>
      </c>
      <c r="U2474" s="3">
        <v>1444.59356</v>
      </c>
      <c r="V2474" t="str">
        <f>VLOOKUP(H2474,'[1]팀별 출판사'!A:B,2,0)</f>
        <v>소설1팀</v>
      </c>
      <c r="W2474" s="6">
        <f t="shared" si="76"/>
        <v>672</v>
      </c>
      <c r="X2474" s="6">
        <f t="shared" si="77"/>
        <v>1568</v>
      </c>
    </row>
    <row r="2475" spans="1:24" x14ac:dyDescent="0.3">
      <c r="A2475" t="s">
        <v>3574</v>
      </c>
      <c r="B2475" t="s">
        <v>3748</v>
      </c>
      <c r="C2475" t="s">
        <v>23</v>
      </c>
      <c r="D2475" t="s">
        <v>24</v>
      </c>
      <c r="E2475" t="s">
        <v>25</v>
      </c>
      <c r="F2475">
        <v>1</v>
      </c>
      <c r="G2475">
        <v>9791136942142</v>
      </c>
      <c r="H2475" t="s">
        <v>26</v>
      </c>
      <c r="I2475" t="s">
        <v>180</v>
      </c>
      <c r="J2475" t="s">
        <v>46</v>
      </c>
      <c r="K2475" t="s">
        <v>29</v>
      </c>
      <c r="L2475">
        <v>0</v>
      </c>
      <c r="M2475" t="s">
        <v>152</v>
      </c>
      <c r="N2475">
        <v>0</v>
      </c>
      <c r="O2475">
        <v>0</v>
      </c>
      <c r="P2475" t="s">
        <v>153</v>
      </c>
      <c r="Q2475" s="2">
        <v>0.7</v>
      </c>
      <c r="R2475">
        <v>0</v>
      </c>
      <c r="V2475" t="str">
        <f>VLOOKUP(H2475,'[1]팀별 출판사'!A:B,2,0)</f>
        <v>소설1팀</v>
      </c>
      <c r="W2475" s="6">
        <f t="shared" si="76"/>
        <v>0</v>
      </c>
      <c r="X2475" s="6">
        <f t="shared" si="77"/>
        <v>0</v>
      </c>
    </row>
    <row r="2476" spans="1:24" x14ac:dyDescent="0.3">
      <c r="A2476" t="s">
        <v>3574</v>
      </c>
      <c r="B2476" t="s">
        <v>3749</v>
      </c>
      <c r="C2476" t="s">
        <v>23</v>
      </c>
      <c r="D2476" t="s">
        <v>24</v>
      </c>
      <c r="E2476" t="s">
        <v>25</v>
      </c>
      <c r="F2476">
        <v>1</v>
      </c>
      <c r="G2476">
        <v>9791136931375</v>
      </c>
      <c r="H2476" t="s">
        <v>32</v>
      </c>
      <c r="I2476" t="s">
        <v>189</v>
      </c>
      <c r="J2476" t="s">
        <v>46</v>
      </c>
      <c r="K2476" t="s">
        <v>29</v>
      </c>
      <c r="L2476">
        <v>0</v>
      </c>
      <c r="M2476" t="s">
        <v>152</v>
      </c>
      <c r="N2476">
        <v>0</v>
      </c>
      <c r="O2476">
        <v>0</v>
      </c>
      <c r="P2476" t="s">
        <v>153</v>
      </c>
      <c r="Q2476" s="2">
        <v>0.7</v>
      </c>
      <c r="R2476">
        <v>0</v>
      </c>
      <c r="V2476" t="str">
        <f>VLOOKUP(H2476,'[1]팀별 출판사'!A:B,2,0)</f>
        <v>소설1팀</v>
      </c>
      <c r="W2476" s="6">
        <f t="shared" si="76"/>
        <v>0</v>
      </c>
      <c r="X2476" s="6">
        <f t="shared" si="77"/>
        <v>0</v>
      </c>
    </row>
    <row r="2477" spans="1:24" x14ac:dyDescent="0.3">
      <c r="A2477" t="s">
        <v>3574</v>
      </c>
      <c r="B2477" t="s">
        <v>3750</v>
      </c>
      <c r="C2477" t="s">
        <v>23</v>
      </c>
      <c r="D2477" t="s">
        <v>24</v>
      </c>
      <c r="E2477" t="s">
        <v>25</v>
      </c>
      <c r="F2477">
        <v>1</v>
      </c>
      <c r="G2477">
        <v>9791136988324</v>
      </c>
      <c r="H2477" t="s">
        <v>26</v>
      </c>
      <c r="I2477" t="s">
        <v>2611</v>
      </c>
      <c r="J2477" t="s">
        <v>28</v>
      </c>
      <c r="K2477" t="s">
        <v>29</v>
      </c>
      <c r="L2477" s="1">
        <v>3200</v>
      </c>
      <c r="M2477" t="s">
        <v>29</v>
      </c>
      <c r="N2477" s="1">
        <v>3200</v>
      </c>
      <c r="O2477" s="1">
        <v>3200</v>
      </c>
      <c r="P2477" t="s">
        <v>30</v>
      </c>
      <c r="Q2477" s="2">
        <v>0.7</v>
      </c>
      <c r="R2477" s="1">
        <v>2240</v>
      </c>
      <c r="S2477" t="s">
        <v>29</v>
      </c>
      <c r="T2477" s="1">
        <v>2240</v>
      </c>
      <c r="V2477" t="str">
        <f>VLOOKUP(H2477,'[1]팀별 출판사'!A:B,2,0)</f>
        <v>소설1팀</v>
      </c>
      <c r="W2477" s="6">
        <f t="shared" si="76"/>
        <v>0</v>
      </c>
      <c r="X2477" s="6">
        <f t="shared" si="77"/>
        <v>2240</v>
      </c>
    </row>
    <row r="2478" spans="1:24" x14ac:dyDescent="0.3">
      <c r="A2478" t="s">
        <v>3574</v>
      </c>
      <c r="B2478" t="s">
        <v>3751</v>
      </c>
      <c r="C2478" t="s">
        <v>23</v>
      </c>
      <c r="D2478" t="s">
        <v>24</v>
      </c>
      <c r="E2478" t="s">
        <v>25</v>
      </c>
      <c r="F2478">
        <v>1</v>
      </c>
      <c r="G2478">
        <v>9791157539727</v>
      </c>
      <c r="H2478" t="s">
        <v>32</v>
      </c>
      <c r="I2478" t="s">
        <v>3752</v>
      </c>
      <c r="J2478" t="s">
        <v>88</v>
      </c>
      <c r="K2478" t="s">
        <v>29</v>
      </c>
      <c r="L2478" s="1">
        <v>3200</v>
      </c>
      <c r="M2478" t="s">
        <v>29</v>
      </c>
      <c r="N2478" s="1">
        <v>3200</v>
      </c>
      <c r="O2478" s="1">
        <v>3200</v>
      </c>
      <c r="P2478" t="s">
        <v>30</v>
      </c>
      <c r="Q2478" s="2">
        <v>0.7</v>
      </c>
      <c r="R2478" s="1">
        <v>2240</v>
      </c>
      <c r="S2478" t="s">
        <v>29</v>
      </c>
      <c r="T2478" s="1">
        <v>2240</v>
      </c>
      <c r="V2478" t="str">
        <f>VLOOKUP(H2478,'[1]팀별 출판사'!A:B,2,0)</f>
        <v>소설1팀</v>
      </c>
      <c r="W2478" s="6">
        <f t="shared" si="76"/>
        <v>0</v>
      </c>
      <c r="X2478" s="6">
        <f t="shared" si="77"/>
        <v>2240</v>
      </c>
    </row>
    <row r="2479" spans="1:24" x14ac:dyDescent="0.3">
      <c r="A2479" t="s">
        <v>3574</v>
      </c>
      <c r="B2479" t="s">
        <v>3753</v>
      </c>
      <c r="C2479" t="s">
        <v>23</v>
      </c>
      <c r="D2479" t="s">
        <v>24</v>
      </c>
      <c r="E2479" t="s">
        <v>25</v>
      </c>
      <c r="F2479">
        <v>1</v>
      </c>
      <c r="G2479">
        <v>9791136988256</v>
      </c>
      <c r="H2479" t="s">
        <v>26</v>
      </c>
      <c r="I2479" t="s">
        <v>2353</v>
      </c>
      <c r="J2479" t="s">
        <v>28</v>
      </c>
      <c r="K2479" t="s">
        <v>29</v>
      </c>
      <c r="L2479" s="1">
        <v>3200</v>
      </c>
      <c r="M2479" t="s">
        <v>29</v>
      </c>
      <c r="N2479" s="1">
        <v>3200</v>
      </c>
      <c r="O2479" s="1">
        <v>3200</v>
      </c>
      <c r="P2479" t="s">
        <v>30</v>
      </c>
      <c r="Q2479" s="2">
        <v>0.7</v>
      </c>
      <c r="R2479" s="1">
        <v>2240</v>
      </c>
      <c r="S2479" t="s">
        <v>29</v>
      </c>
      <c r="T2479" s="1">
        <v>2240</v>
      </c>
      <c r="V2479" t="str">
        <f>VLOOKUP(H2479,'[1]팀별 출판사'!A:B,2,0)</f>
        <v>소설1팀</v>
      </c>
      <c r="W2479" s="6">
        <f t="shared" si="76"/>
        <v>0</v>
      </c>
      <c r="X2479" s="6">
        <f t="shared" si="77"/>
        <v>2240</v>
      </c>
    </row>
    <row r="2480" spans="1:24" x14ac:dyDescent="0.3">
      <c r="A2480" t="s">
        <v>3574</v>
      </c>
      <c r="B2480" t="s">
        <v>3754</v>
      </c>
      <c r="C2480" t="s">
        <v>23</v>
      </c>
      <c r="D2480" t="s">
        <v>24</v>
      </c>
      <c r="E2480" t="s">
        <v>25</v>
      </c>
      <c r="F2480">
        <v>1</v>
      </c>
      <c r="G2480">
        <v>9791133186501</v>
      </c>
      <c r="H2480" t="s">
        <v>26</v>
      </c>
      <c r="I2480" t="s">
        <v>64</v>
      </c>
      <c r="J2480" t="s">
        <v>65</v>
      </c>
      <c r="K2480" t="s">
        <v>29</v>
      </c>
      <c r="L2480">
        <v>0</v>
      </c>
      <c r="M2480" t="s">
        <v>29</v>
      </c>
      <c r="N2480">
        <v>0</v>
      </c>
      <c r="O2480">
        <v>0</v>
      </c>
      <c r="P2480" t="s">
        <v>30</v>
      </c>
      <c r="Q2480" s="2">
        <v>0.7</v>
      </c>
      <c r="R2480">
        <v>0</v>
      </c>
      <c r="V2480" t="str">
        <f>VLOOKUP(H2480,'[1]팀별 출판사'!A:B,2,0)</f>
        <v>소설1팀</v>
      </c>
      <c r="W2480" s="6">
        <f t="shared" si="76"/>
        <v>0</v>
      </c>
      <c r="X2480" s="6">
        <f t="shared" si="77"/>
        <v>0</v>
      </c>
    </row>
    <row r="2481" spans="1:24" x14ac:dyDescent="0.3">
      <c r="A2481" t="s">
        <v>3574</v>
      </c>
      <c r="B2481" t="s">
        <v>3755</v>
      </c>
      <c r="C2481" t="s">
        <v>23</v>
      </c>
      <c r="D2481" t="s">
        <v>24</v>
      </c>
      <c r="E2481" t="s">
        <v>25</v>
      </c>
      <c r="F2481">
        <v>1</v>
      </c>
      <c r="G2481">
        <v>9791136988744</v>
      </c>
      <c r="H2481" t="s">
        <v>26</v>
      </c>
      <c r="I2481" t="s">
        <v>3756</v>
      </c>
      <c r="J2481" t="s">
        <v>28</v>
      </c>
      <c r="K2481" t="s">
        <v>29</v>
      </c>
      <c r="L2481" s="1">
        <v>3200</v>
      </c>
      <c r="M2481" t="s">
        <v>29</v>
      </c>
      <c r="N2481" s="1">
        <v>3200</v>
      </c>
      <c r="O2481" s="1">
        <v>3200</v>
      </c>
      <c r="P2481" t="s">
        <v>30</v>
      </c>
      <c r="Q2481" s="2">
        <v>0.7</v>
      </c>
      <c r="R2481" s="1">
        <v>2240</v>
      </c>
      <c r="S2481" t="s">
        <v>29</v>
      </c>
      <c r="T2481" s="1">
        <v>2240</v>
      </c>
      <c r="V2481" t="str">
        <f>VLOOKUP(H2481,'[1]팀별 출판사'!A:B,2,0)</f>
        <v>소설1팀</v>
      </c>
      <c r="W2481" s="6">
        <f t="shared" si="76"/>
        <v>0</v>
      </c>
      <c r="X2481" s="6">
        <f t="shared" si="77"/>
        <v>2240</v>
      </c>
    </row>
    <row r="2482" spans="1:24" x14ac:dyDescent="0.3">
      <c r="A2482" t="s">
        <v>3574</v>
      </c>
      <c r="B2482" t="s">
        <v>3755</v>
      </c>
      <c r="C2482" t="s">
        <v>23</v>
      </c>
      <c r="D2482" t="s">
        <v>24</v>
      </c>
      <c r="E2482" t="s">
        <v>25</v>
      </c>
      <c r="F2482">
        <v>1</v>
      </c>
      <c r="G2482">
        <v>9791136988751</v>
      </c>
      <c r="H2482" t="s">
        <v>26</v>
      </c>
      <c r="I2482" t="s">
        <v>3757</v>
      </c>
      <c r="J2482" t="s">
        <v>28</v>
      </c>
      <c r="K2482" t="s">
        <v>29</v>
      </c>
      <c r="L2482" s="1">
        <v>3200</v>
      </c>
      <c r="M2482" t="s">
        <v>29</v>
      </c>
      <c r="N2482" s="1">
        <v>3200</v>
      </c>
      <c r="O2482" s="1">
        <v>3200</v>
      </c>
      <c r="P2482" t="s">
        <v>30</v>
      </c>
      <c r="Q2482" s="2">
        <v>0.7</v>
      </c>
      <c r="R2482" s="1">
        <v>2240</v>
      </c>
      <c r="S2482" t="s">
        <v>29</v>
      </c>
      <c r="T2482" s="1">
        <v>2240</v>
      </c>
      <c r="V2482" t="str">
        <f>VLOOKUP(H2482,'[1]팀별 출판사'!A:B,2,0)</f>
        <v>소설1팀</v>
      </c>
      <c r="W2482" s="6">
        <f t="shared" si="76"/>
        <v>0</v>
      </c>
      <c r="X2482" s="6">
        <f t="shared" si="77"/>
        <v>2240</v>
      </c>
    </row>
    <row r="2483" spans="1:24" x14ac:dyDescent="0.3">
      <c r="A2483" t="s">
        <v>3574</v>
      </c>
      <c r="B2483" t="s">
        <v>3755</v>
      </c>
      <c r="C2483" t="s">
        <v>23</v>
      </c>
      <c r="D2483" t="s">
        <v>24</v>
      </c>
      <c r="E2483" t="s">
        <v>25</v>
      </c>
      <c r="F2483">
        <v>1</v>
      </c>
      <c r="G2483">
        <v>9791136988768</v>
      </c>
      <c r="H2483" t="s">
        <v>26</v>
      </c>
      <c r="I2483" t="s">
        <v>3758</v>
      </c>
      <c r="J2483" t="s">
        <v>28</v>
      </c>
      <c r="K2483" t="s">
        <v>29</v>
      </c>
      <c r="L2483" s="1">
        <v>3200</v>
      </c>
      <c r="M2483" t="s">
        <v>29</v>
      </c>
      <c r="N2483" s="1">
        <v>3200</v>
      </c>
      <c r="O2483" s="1">
        <v>3200</v>
      </c>
      <c r="P2483" t="s">
        <v>30</v>
      </c>
      <c r="Q2483" s="2">
        <v>0.7</v>
      </c>
      <c r="R2483" s="1">
        <v>2240</v>
      </c>
      <c r="S2483" t="s">
        <v>29</v>
      </c>
      <c r="T2483" s="1">
        <v>2240</v>
      </c>
      <c r="V2483" t="str">
        <f>VLOOKUP(H2483,'[1]팀별 출판사'!A:B,2,0)</f>
        <v>소설1팀</v>
      </c>
      <c r="W2483" s="6">
        <f t="shared" si="76"/>
        <v>0</v>
      </c>
      <c r="X2483" s="6">
        <f t="shared" si="77"/>
        <v>2240</v>
      </c>
    </row>
    <row r="2484" spans="1:24" x14ac:dyDescent="0.3">
      <c r="A2484" t="s">
        <v>3574</v>
      </c>
      <c r="B2484" t="s">
        <v>3755</v>
      </c>
      <c r="C2484" t="s">
        <v>23</v>
      </c>
      <c r="D2484" t="s">
        <v>24</v>
      </c>
      <c r="E2484" t="s">
        <v>25</v>
      </c>
      <c r="F2484">
        <v>1</v>
      </c>
      <c r="G2484">
        <v>9791136988799</v>
      </c>
      <c r="H2484" t="s">
        <v>26</v>
      </c>
      <c r="I2484" t="s">
        <v>3759</v>
      </c>
      <c r="J2484" t="s">
        <v>28</v>
      </c>
      <c r="K2484" t="s">
        <v>29</v>
      </c>
      <c r="L2484" s="1">
        <v>3200</v>
      </c>
      <c r="M2484" t="s">
        <v>29</v>
      </c>
      <c r="N2484" s="1">
        <v>3200</v>
      </c>
      <c r="O2484" s="1">
        <v>3200</v>
      </c>
      <c r="P2484" t="s">
        <v>30</v>
      </c>
      <c r="Q2484" s="2">
        <v>0.7</v>
      </c>
      <c r="R2484" s="1">
        <v>2240</v>
      </c>
      <c r="S2484" t="s">
        <v>29</v>
      </c>
      <c r="T2484" s="1">
        <v>2240</v>
      </c>
      <c r="V2484" t="str">
        <f>VLOOKUP(H2484,'[1]팀별 출판사'!A:B,2,0)</f>
        <v>소설1팀</v>
      </c>
      <c r="W2484" s="6">
        <f t="shared" si="76"/>
        <v>0</v>
      </c>
      <c r="X2484" s="6">
        <f t="shared" si="77"/>
        <v>2240</v>
      </c>
    </row>
    <row r="2485" spans="1:24" x14ac:dyDescent="0.3">
      <c r="A2485" t="s">
        <v>3574</v>
      </c>
      <c r="B2485" t="s">
        <v>3760</v>
      </c>
      <c r="C2485" t="s">
        <v>23</v>
      </c>
      <c r="D2485" t="s">
        <v>24</v>
      </c>
      <c r="E2485" t="s">
        <v>25</v>
      </c>
      <c r="F2485">
        <v>1</v>
      </c>
      <c r="G2485">
        <v>9791170106715</v>
      </c>
      <c r="H2485" t="s">
        <v>67</v>
      </c>
      <c r="I2485" t="s">
        <v>68</v>
      </c>
      <c r="J2485" t="s">
        <v>69</v>
      </c>
      <c r="K2485" t="s">
        <v>29</v>
      </c>
      <c r="L2485">
        <v>0</v>
      </c>
      <c r="M2485" t="s">
        <v>1482</v>
      </c>
      <c r="N2485">
        <v>0</v>
      </c>
      <c r="O2485">
        <v>0</v>
      </c>
      <c r="P2485" t="s">
        <v>1483</v>
      </c>
      <c r="Q2485" s="2">
        <v>0.7</v>
      </c>
      <c r="R2485">
        <v>0</v>
      </c>
      <c r="V2485" t="str">
        <f>VLOOKUP(H2485,'[1]팀별 출판사'!A:B,2,0)</f>
        <v>소설1팀</v>
      </c>
      <c r="W2485" s="6">
        <f t="shared" si="76"/>
        <v>0</v>
      </c>
      <c r="X2485" s="6">
        <f t="shared" si="77"/>
        <v>0</v>
      </c>
    </row>
    <row r="2486" spans="1:24" x14ac:dyDescent="0.3">
      <c r="A2486" t="s">
        <v>3574</v>
      </c>
      <c r="B2486" t="s">
        <v>3761</v>
      </c>
      <c r="C2486" t="s">
        <v>23</v>
      </c>
      <c r="D2486" t="s">
        <v>24</v>
      </c>
      <c r="E2486" t="s">
        <v>25</v>
      </c>
      <c r="F2486">
        <v>1</v>
      </c>
      <c r="G2486">
        <v>9791136930224</v>
      </c>
      <c r="H2486" t="s">
        <v>32</v>
      </c>
      <c r="I2486" t="s">
        <v>172</v>
      </c>
      <c r="J2486" t="s">
        <v>46</v>
      </c>
      <c r="K2486" t="s">
        <v>29</v>
      </c>
      <c r="L2486">
        <v>0</v>
      </c>
      <c r="M2486" t="s">
        <v>29</v>
      </c>
      <c r="N2486">
        <v>0</v>
      </c>
      <c r="O2486">
        <v>0</v>
      </c>
      <c r="P2486" t="s">
        <v>30</v>
      </c>
      <c r="Q2486" s="2">
        <v>0.7</v>
      </c>
      <c r="R2486">
        <v>0</v>
      </c>
      <c r="V2486" t="str">
        <f>VLOOKUP(H2486,'[1]팀별 출판사'!A:B,2,0)</f>
        <v>소설1팀</v>
      </c>
      <c r="W2486" s="6">
        <f t="shared" si="76"/>
        <v>0</v>
      </c>
      <c r="X2486" s="6">
        <f t="shared" si="77"/>
        <v>0</v>
      </c>
    </row>
    <row r="2487" spans="1:24" x14ac:dyDescent="0.3">
      <c r="A2487" t="s">
        <v>3574</v>
      </c>
      <c r="B2487" t="s">
        <v>3762</v>
      </c>
      <c r="C2487" t="s">
        <v>23</v>
      </c>
      <c r="D2487" t="s">
        <v>24</v>
      </c>
      <c r="E2487" t="s">
        <v>25</v>
      </c>
      <c r="F2487">
        <v>1</v>
      </c>
      <c r="G2487">
        <v>9791136999658</v>
      </c>
      <c r="H2487" t="s">
        <v>26</v>
      </c>
      <c r="I2487" t="s">
        <v>2170</v>
      </c>
      <c r="J2487" t="s">
        <v>937</v>
      </c>
      <c r="K2487" t="s">
        <v>29</v>
      </c>
      <c r="L2487">
        <v>0</v>
      </c>
      <c r="M2487" t="s">
        <v>29</v>
      </c>
      <c r="N2487">
        <v>0</v>
      </c>
      <c r="O2487">
        <v>0</v>
      </c>
      <c r="P2487" t="s">
        <v>30</v>
      </c>
      <c r="Q2487" s="2">
        <v>0.7</v>
      </c>
      <c r="R2487">
        <v>0</v>
      </c>
      <c r="V2487" t="str">
        <f>VLOOKUP(H2487,'[1]팀별 출판사'!A:B,2,0)</f>
        <v>소설1팀</v>
      </c>
      <c r="W2487" s="6">
        <f t="shared" si="76"/>
        <v>0</v>
      </c>
      <c r="X2487" s="6">
        <f t="shared" si="77"/>
        <v>0</v>
      </c>
    </row>
    <row r="2488" spans="1:24" x14ac:dyDescent="0.3">
      <c r="A2488" t="s">
        <v>3574</v>
      </c>
      <c r="B2488" t="s">
        <v>3763</v>
      </c>
      <c r="C2488" t="s">
        <v>23</v>
      </c>
      <c r="D2488" t="s">
        <v>24</v>
      </c>
      <c r="E2488" t="s">
        <v>25</v>
      </c>
      <c r="F2488">
        <v>1</v>
      </c>
      <c r="G2488" t="s">
        <v>3764</v>
      </c>
      <c r="H2488" t="s">
        <v>208</v>
      </c>
      <c r="I2488" t="s">
        <v>3765</v>
      </c>
      <c r="J2488" t="s">
        <v>210</v>
      </c>
      <c r="K2488" t="s">
        <v>29</v>
      </c>
      <c r="L2488" s="1">
        <v>2000</v>
      </c>
      <c r="M2488" t="s">
        <v>29</v>
      </c>
      <c r="N2488" s="1">
        <v>2000</v>
      </c>
      <c r="O2488" s="1">
        <v>2000</v>
      </c>
      <c r="P2488" t="s">
        <v>30</v>
      </c>
      <c r="Q2488" s="2">
        <v>0.7</v>
      </c>
      <c r="R2488" s="1">
        <v>1400</v>
      </c>
      <c r="S2488" t="s">
        <v>29</v>
      </c>
      <c r="T2488" s="1">
        <v>1400</v>
      </c>
      <c r="V2488" t="str">
        <f>VLOOKUP(H2488,'[1]팀별 출판사'!A:B,2,0)</f>
        <v>소설1팀</v>
      </c>
      <c r="W2488" s="6">
        <f t="shared" si="76"/>
        <v>0</v>
      </c>
      <c r="X2488" s="6">
        <f t="shared" si="77"/>
        <v>1400</v>
      </c>
    </row>
    <row r="2489" spans="1:24" x14ac:dyDescent="0.3">
      <c r="A2489" t="s">
        <v>3574</v>
      </c>
      <c r="B2489" t="s">
        <v>3763</v>
      </c>
      <c r="C2489" t="s">
        <v>23</v>
      </c>
      <c r="D2489" t="s">
        <v>24</v>
      </c>
      <c r="E2489" t="s">
        <v>25</v>
      </c>
      <c r="F2489">
        <v>1</v>
      </c>
      <c r="G2489" t="s">
        <v>3766</v>
      </c>
      <c r="H2489" t="s">
        <v>208</v>
      </c>
      <c r="I2489" t="s">
        <v>3767</v>
      </c>
      <c r="J2489" t="s">
        <v>210</v>
      </c>
      <c r="K2489" t="s">
        <v>29</v>
      </c>
      <c r="L2489" s="1">
        <v>2000</v>
      </c>
      <c r="M2489" t="s">
        <v>29</v>
      </c>
      <c r="N2489" s="1">
        <v>2000</v>
      </c>
      <c r="O2489" s="1">
        <v>2000</v>
      </c>
      <c r="P2489" t="s">
        <v>30</v>
      </c>
      <c r="Q2489" s="2">
        <v>0.7</v>
      </c>
      <c r="R2489" s="1">
        <v>1400</v>
      </c>
      <c r="S2489" t="s">
        <v>29</v>
      </c>
      <c r="T2489" s="1">
        <v>1400</v>
      </c>
      <c r="V2489" t="str">
        <f>VLOOKUP(H2489,'[1]팀별 출판사'!A:B,2,0)</f>
        <v>소설1팀</v>
      </c>
      <c r="W2489" s="6">
        <f t="shared" si="76"/>
        <v>0</v>
      </c>
      <c r="X2489" s="6">
        <f t="shared" si="77"/>
        <v>1400</v>
      </c>
    </row>
    <row r="2490" spans="1:24" x14ac:dyDescent="0.3">
      <c r="A2490" t="s">
        <v>3574</v>
      </c>
      <c r="B2490" t="s">
        <v>3763</v>
      </c>
      <c r="C2490" t="s">
        <v>23</v>
      </c>
      <c r="D2490" t="s">
        <v>24</v>
      </c>
      <c r="E2490" t="s">
        <v>25</v>
      </c>
      <c r="F2490">
        <v>1</v>
      </c>
      <c r="G2490" t="s">
        <v>3768</v>
      </c>
      <c r="H2490" t="s">
        <v>208</v>
      </c>
      <c r="I2490" t="s">
        <v>3769</v>
      </c>
      <c r="J2490" t="s">
        <v>210</v>
      </c>
      <c r="K2490" t="s">
        <v>29</v>
      </c>
      <c r="L2490" s="1">
        <v>2000</v>
      </c>
      <c r="M2490" t="s">
        <v>29</v>
      </c>
      <c r="N2490" s="1">
        <v>2000</v>
      </c>
      <c r="O2490" s="1">
        <v>2000</v>
      </c>
      <c r="P2490" t="s">
        <v>30</v>
      </c>
      <c r="Q2490" s="2">
        <v>0.7</v>
      </c>
      <c r="R2490" s="1">
        <v>1400</v>
      </c>
      <c r="S2490" t="s">
        <v>29</v>
      </c>
      <c r="T2490" s="1">
        <v>1400</v>
      </c>
      <c r="V2490" t="str">
        <f>VLOOKUP(H2490,'[1]팀별 출판사'!A:B,2,0)</f>
        <v>소설1팀</v>
      </c>
      <c r="W2490" s="6">
        <f t="shared" si="76"/>
        <v>0</v>
      </c>
      <c r="X2490" s="6">
        <f t="shared" si="77"/>
        <v>1400</v>
      </c>
    </row>
    <row r="2491" spans="1:24" x14ac:dyDescent="0.3">
      <c r="A2491" t="s">
        <v>3574</v>
      </c>
      <c r="B2491" t="s">
        <v>3770</v>
      </c>
      <c r="C2491" t="s">
        <v>23</v>
      </c>
      <c r="D2491" t="s">
        <v>24</v>
      </c>
      <c r="E2491" t="s">
        <v>25</v>
      </c>
      <c r="F2491">
        <v>1</v>
      </c>
      <c r="G2491">
        <v>9791136932594</v>
      </c>
      <c r="H2491" t="s">
        <v>32</v>
      </c>
      <c r="I2491" t="s">
        <v>2808</v>
      </c>
      <c r="J2491" t="s">
        <v>1082</v>
      </c>
      <c r="K2491" t="s">
        <v>29</v>
      </c>
      <c r="L2491">
        <v>0</v>
      </c>
      <c r="M2491" t="s">
        <v>29</v>
      </c>
      <c r="N2491">
        <v>0</v>
      </c>
      <c r="O2491">
        <v>0</v>
      </c>
      <c r="P2491" t="s">
        <v>30</v>
      </c>
      <c r="Q2491" s="2">
        <v>0.7</v>
      </c>
      <c r="R2491">
        <v>0</v>
      </c>
      <c r="V2491" t="str">
        <f>VLOOKUP(H2491,'[1]팀별 출판사'!A:B,2,0)</f>
        <v>소설1팀</v>
      </c>
      <c r="W2491" s="6">
        <f t="shared" si="76"/>
        <v>0</v>
      </c>
      <c r="X2491" s="6">
        <f t="shared" si="77"/>
        <v>0</v>
      </c>
    </row>
    <row r="2492" spans="1:24" x14ac:dyDescent="0.3">
      <c r="A2492" t="s">
        <v>3574</v>
      </c>
      <c r="B2492" t="s">
        <v>3770</v>
      </c>
      <c r="C2492" t="s">
        <v>23</v>
      </c>
      <c r="D2492" t="s">
        <v>24</v>
      </c>
      <c r="E2492" t="s">
        <v>25</v>
      </c>
      <c r="F2492">
        <v>1</v>
      </c>
      <c r="G2492">
        <v>9791136932600</v>
      </c>
      <c r="H2492" t="s">
        <v>32</v>
      </c>
      <c r="I2492" t="s">
        <v>3771</v>
      </c>
      <c r="J2492" t="s">
        <v>1082</v>
      </c>
      <c r="K2492" t="s">
        <v>29</v>
      </c>
      <c r="L2492" s="1">
        <v>3200</v>
      </c>
      <c r="M2492" t="s">
        <v>29</v>
      </c>
      <c r="N2492" s="1">
        <v>3200</v>
      </c>
      <c r="O2492" s="1">
        <v>3200</v>
      </c>
      <c r="P2492" t="s">
        <v>30</v>
      </c>
      <c r="Q2492" s="2">
        <v>0.7</v>
      </c>
      <c r="R2492" s="1">
        <v>2240</v>
      </c>
      <c r="S2492" t="s">
        <v>29</v>
      </c>
      <c r="T2492" s="1">
        <v>2240</v>
      </c>
      <c r="V2492" t="str">
        <f>VLOOKUP(H2492,'[1]팀별 출판사'!A:B,2,0)</f>
        <v>소설1팀</v>
      </c>
      <c r="W2492" s="6">
        <f t="shared" si="76"/>
        <v>0</v>
      </c>
      <c r="X2492" s="6">
        <f t="shared" si="77"/>
        <v>2240</v>
      </c>
    </row>
    <row r="2493" spans="1:24" x14ac:dyDescent="0.3">
      <c r="A2493" t="s">
        <v>3574</v>
      </c>
      <c r="B2493" t="s">
        <v>3770</v>
      </c>
      <c r="C2493" t="s">
        <v>23</v>
      </c>
      <c r="D2493" t="s">
        <v>24</v>
      </c>
      <c r="E2493" t="s">
        <v>25</v>
      </c>
      <c r="F2493">
        <v>1</v>
      </c>
      <c r="G2493">
        <v>9791136932617</v>
      </c>
      <c r="H2493" t="s">
        <v>32</v>
      </c>
      <c r="I2493" t="s">
        <v>3772</v>
      </c>
      <c r="J2493" t="s">
        <v>1082</v>
      </c>
      <c r="K2493" t="s">
        <v>29</v>
      </c>
      <c r="L2493" s="1">
        <v>3200</v>
      </c>
      <c r="M2493" t="s">
        <v>29</v>
      </c>
      <c r="N2493" s="1">
        <v>3200</v>
      </c>
      <c r="O2493" s="1">
        <v>3200</v>
      </c>
      <c r="P2493" t="s">
        <v>30</v>
      </c>
      <c r="Q2493" s="2">
        <v>0.7</v>
      </c>
      <c r="R2493" s="1">
        <v>2240</v>
      </c>
      <c r="S2493" t="s">
        <v>29</v>
      </c>
      <c r="T2493" s="1">
        <v>2240</v>
      </c>
      <c r="V2493" t="str">
        <f>VLOOKUP(H2493,'[1]팀별 출판사'!A:B,2,0)</f>
        <v>소설1팀</v>
      </c>
      <c r="W2493" s="6">
        <f t="shared" si="76"/>
        <v>0</v>
      </c>
      <c r="X2493" s="6">
        <f t="shared" si="77"/>
        <v>2240</v>
      </c>
    </row>
    <row r="2494" spans="1:24" x14ac:dyDescent="0.3">
      <c r="A2494" t="s">
        <v>3574</v>
      </c>
      <c r="B2494" t="s">
        <v>3770</v>
      </c>
      <c r="C2494" t="s">
        <v>23</v>
      </c>
      <c r="D2494" t="s">
        <v>24</v>
      </c>
      <c r="E2494" t="s">
        <v>25</v>
      </c>
      <c r="F2494">
        <v>1</v>
      </c>
      <c r="G2494">
        <v>9791136932624</v>
      </c>
      <c r="H2494" t="s">
        <v>32</v>
      </c>
      <c r="I2494" t="s">
        <v>3773</v>
      </c>
      <c r="J2494" t="s">
        <v>1082</v>
      </c>
      <c r="K2494" t="s">
        <v>29</v>
      </c>
      <c r="L2494" s="1">
        <v>3200</v>
      </c>
      <c r="M2494" t="s">
        <v>29</v>
      </c>
      <c r="N2494" s="1">
        <v>3200</v>
      </c>
      <c r="O2494" s="1">
        <v>3200</v>
      </c>
      <c r="P2494" t="s">
        <v>30</v>
      </c>
      <c r="Q2494" s="2">
        <v>0.7</v>
      </c>
      <c r="R2494" s="1">
        <v>2240</v>
      </c>
      <c r="S2494" t="s">
        <v>29</v>
      </c>
      <c r="T2494" s="1">
        <v>2240</v>
      </c>
      <c r="V2494" t="str">
        <f>VLOOKUP(H2494,'[1]팀별 출판사'!A:B,2,0)</f>
        <v>소설1팀</v>
      </c>
      <c r="W2494" s="6">
        <f t="shared" si="76"/>
        <v>0</v>
      </c>
      <c r="X2494" s="6">
        <f t="shared" si="77"/>
        <v>2240</v>
      </c>
    </row>
    <row r="2495" spans="1:24" x14ac:dyDescent="0.3">
      <c r="A2495" t="s">
        <v>3574</v>
      </c>
      <c r="B2495" t="s">
        <v>3770</v>
      </c>
      <c r="C2495" t="s">
        <v>23</v>
      </c>
      <c r="D2495" t="s">
        <v>24</v>
      </c>
      <c r="E2495" t="s">
        <v>25</v>
      </c>
      <c r="F2495">
        <v>1</v>
      </c>
      <c r="G2495">
        <v>9791136932631</v>
      </c>
      <c r="H2495" t="s">
        <v>32</v>
      </c>
      <c r="I2495" t="s">
        <v>3774</v>
      </c>
      <c r="J2495" t="s">
        <v>1082</v>
      </c>
      <c r="K2495" t="s">
        <v>29</v>
      </c>
      <c r="L2495" s="1">
        <v>3200</v>
      </c>
      <c r="M2495" t="s">
        <v>29</v>
      </c>
      <c r="N2495" s="1">
        <v>3200</v>
      </c>
      <c r="O2495" s="1">
        <v>3200</v>
      </c>
      <c r="P2495" t="s">
        <v>30</v>
      </c>
      <c r="Q2495" s="2">
        <v>0.7</v>
      </c>
      <c r="R2495" s="1">
        <v>2240</v>
      </c>
      <c r="S2495" t="s">
        <v>29</v>
      </c>
      <c r="T2495" s="1">
        <v>2240</v>
      </c>
      <c r="V2495" t="str">
        <f>VLOOKUP(H2495,'[1]팀별 출판사'!A:B,2,0)</f>
        <v>소설1팀</v>
      </c>
      <c r="W2495" s="6">
        <f t="shared" si="76"/>
        <v>0</v>
      </c>
      <c r="X2495" s="6">
        <f t="shared" si="77"/>
        <v>2240</v>
      </c>
    </row>
    <row r="2496" spans="1:24" x14ac:dyDescent="0.3">
      <c r="A2496" t="s">
        <v>3574</v>
      </c>
      <c r="B2496" t="s">
        <v>3770</v>
      </c>
      <c r="C2496" t="s">
        <v>23</v>
      </c>
      <c r="D2496" t="s">
        <v>24</v>
      </c>
      <c r="E2496" t="s">
        <v>25</v>
      </c>
      <c r="F2496">
        <v>1</v>
      </c>
      <c r="G2496">
        <v>9791136935625</v>
      </c>
      <c r="H2496" t="s">
        <v>32</v>
      </c>
      <c r="I2496" t="s">
        <v>3775</v>
      </c>
      <c r="J2496" t="s">
        <v>1082</v>
      </c>
      <c r="K2496" t="s">
        <v>29</v>
      </c>
      <c r="L2496" s="1">
        <v>3200</v>
      </c>
      <c r="M2496" t="s">
        <v>29</v>
      </c>
      <c r="N2496" s="1">
        <v>3200</v>
      </c>
      <c r="O2496" s="1">
        <v>3200</v>
      </c>
      <c r="P2496" t="s">
        <v>30</v>
      </c>
      <c r="Q2496" s="2">
        <v>0.7</v>
      </c>
      <c r="R2496" s="1">
        <v>2240</v>
      </c>
      <c r="S2496" t="s">
        <v>29</v>
      </c>
      <c r="T2496" s="1">
        <v>2240</v>
      </c>
      <c r="V2496" t="str">
        <f>VLOOKUP(H2496,'[1]팀별 출판사'!A:B,2,0)</f>
        <v>소설1팀</v>
      </c>
      <c r="W2496" s="6">
        <f t="shared" si="76"/>
        <v>0</v>
      </c>
      <c r="X2496" s="6">
        <f t="shared" si="77"/>
        <v>2240</v>
      </c>
    </row>
    <row r="2497" spans="1:24" x14ac:dyDescent="0.3">
      <c r="A2497" t="s">
        <v>3574</v>
      </c>
      <c r="B2497" t="s">
        <v>3770</v>
      </c>
      <c r="C2497" t="s">
        <v>23</v>
      </c>
      <c r="D2497" t="s">
        <v>24</v>
      </c>
      <c r="E2497" t="s">
        <v>25</v>
      </c>
      <c r="F2497">
        <v>1</v>
      </c>
      <c r="G2497">
        <v>9791136935632</v>
      </c>
      <c r="H2497" t="s">
        <v>32</v>
      </c>
      <c r="I2497" t="s">
        <v>3776</v>
      </c>
      <c r="J2497" t="s">
        <v>1082</v>
      </c>
      <c r="K2497" t="s">
        <v>29</v>
      </c>
      <c r="L2497" s="1">
        <v>3200</v>
      </c>
      <c r="M2497" t="s">
        <v>29</v>
      </c>
      <c r="N2497" s="1">
        <v>3200</v>
      </c>
      <c r="O2497" s="1">
        <v>3200</v>
      </c>
      <c r="P2497" t="s">
        <v>30</v>
      </c>
      <c r="Q2497" s="2">
        <v>0.7</v>
      </c>
      <c r="R2497" s="1">
        <v>2240</v>
      </c>
      <c r="S2497" t="s">
        <v>29</v>
      </c>
      <c r="T2497" s="1">
        <v>2240</v>
      </c>
      <c r="V2497" t="str">
        <f>VLOOKUP(H2497,'[1]팀별 출판사'!A:B,2,0)</f>
        <v>소설1팀</v>
      </c>
      <c r="W2497" s="6">
        <f t="shared" si="76"/>
        <v>0</v>
      </c>
      <c r="X2497" s="6">
        <f t="shared" si="77"/>
        <v>2240</v>
      </c>
    </row>
    <row r="2498" spans="1:24" x14ac:dyDescent="0.3">
      <c r="A2498" t="s">
        <v>3574</v>
      </c>
      <c r="B2498" t="s">
        <v>3770</v>
      </c>
      <c r="C2498" t="s">
        <v>23</v>
      </c>
      <c r="D2498" t="s">
        <v>24</v>
      </c>
      <c r="E2498" t="s">
        <v>25</v>
      </c>
      <c r="F2498">
        <v>1</v>
      </c>
      <c r="G2498">
        <v>9791136935649</v>
      </c>
      <c r="H2498" t="s">
        <v>32</v>
      </c>
      <c r="I2498" t="s">
        <v>3777</v>
      </c>
      <c r="J2498" t="s">
        <v>1082</v>
      </c>
      <c r="K2498" t="s">
        <v>29</v>
      </c>
      <c r="L2498" s="1">
        <v>3200</v>
      </c>
      <c r="M2498" t="s">
        <v>29</v>
      </c>
      <c r="N2498" s="1">
        <v>3200</v>
      </c>
      <c r="O2498" s="1">
        <v>3200</v>
      </c>
      <c r="P2498" t="s">
        <v>30</v>
      </c>
      <c r="Q2498" s="2">
        <v>0.7</v>
      </c>
      <c r="R2498" s="1">
        <v>2240</v>
      </c>
      <c r="S2498" t="s">
        <v>29</v>
      </c>
      <c r="T2498" s="1">
        <v>2240</v>
      </c>
      <c r="V2498" t="str">
        <f>VLOOKUP(H2498,'[1]팀별 출판사'!A:B,2,0)</f>
        <v>소설1팀</v>
      </c>
      <c r="W2498" s="6">
        <f t="shared" ref="W2498:W2561" si="78">IF(P2498="US", T2498*30%, 0)</f>
        <v>0</v>
      </c>
      <c r="X2498" s="6">
        <f t="shared" ref="X2498:X2561" si="79">T2498-W2498</f>
        <v>2240</v>
      </c>
    </row>
    <row r="2499" spans="1:24" x14ac:dyDescent="0.3">
      <c r="A2499" t="s">
        <v>3574</v>
      </c>
      <c r="B2499" t="s">
        <v>3770</v>
      </c>
      <c r="C2499" t="s">
        <v>23</v>
      </c>
      <c r="D2499" t="s">
        <v>1601</v>
      </c>
      <c r="E2499" t="s">
        <v>25</v>
      </c>
      <c r="F2499">
        <v>-1</v>
      </c>
      <c r="G2499">
        <v>9791136932594</v>
      </c>
      <c r="H2499" t="s">
        <v>32</v>
      </c>
      <c r="I2499" t="s">
        <v>2808</v>
      </c>
      <c r="J2499" t="s">
        <v>1082</v>
      </c>
      <c r="K2499" t="s">
        <v>29</v>
      </c>
      <c r="L2499">
        <v>0</v>
      </c>
      <c r="M2499" t="s">
        <v>29</v>
      </c>
      <c r="N2499">
        <v>0</v>
      </c>
      <c r="O2499">
        <v>0</v>
      </c>
      <c r="P2499" t="s">
        <v>30</v>
      </c>
      <c r="Q2499" s="2">
        <v>0.7</v>
      </c>
      <c r="R2499">
        <v>0</v>
      </c>
      <c r="V2499" t="str">
        <f>VLOOKUP(H2499,'[1]팀별 출판사'!A:B,2,0)</f>
        <v>소설1팀</v>
      </c>
      <c r="W2499" s="6">
        <f t="shared" si="78"/>
        <v>0</v>
      </c>
      <c r="X2499" s="6">
        <f t="shared" si="79"/>
        <v>0</v>
      </c>
    </row>
    <row r="2500" spans="1:24" x14ac:dyDescent="0.3">
      <c r="A2500" t="s">
        <v>3574</v>
      </c>
      <c r="B2500" t="s">
        <v>3770</v>
      </c>
      <c r="C2500" t="s">
        <v>23</v>
      </c>
      <c r="D2500" t="s">
        <v>1601</v>
      </c>
      <c r="E2500" t="s">
        <v>25</v>
      </c>
      <c r="F2500">
        <v>-1</v>
      </c>
      <c r="G2500">
        <v>9791136932600</v>
      </c>
      <c r="H2500" t="s">
        <v>32</v>
      </c>
      <c r="I2500" t="s">
        <v>3771</v>
      </c>
      <c r="J2500" t="s">
        <v>1082</v>
      </c>
      <c r="K2500" t="s">
        <v>29</v>
      </c>
      <c r="L2500" s="1">
        <v>3200</v>
      </c>
      <c r="M2500" t="s">
        <v>29</v>
      </c>
      <c r="N2500" s="1">
        <v>3200</v>
      </c>
      <c r="O2500" s="1">
        <v>3200</v>
      </c>
      <c r="P2500" t="s">
        <v>30</v>
      </c>
      <c r="Q2500" s="2">
        <v>0.7</v>
      </c>
      <c r="R2500" s="1">
        <v>-2240</v>
      </c>
      <c r="S2500" t="s">
        <v>29</v>
      </c>
      <c r="T2500" s="1">
        <v>-2240</v>
      </c>
      <c r="V2500" t="str">
        <f>VLOOKUP(H2500,'[1]팀별 출판사'!A:B,2,0)</f>
        <v>소설1팀</v>
      </c>
      <c r="W2500" s="6">
        <f t="shared" si="78"/>
        <v>0</v>
      </c>
      <c r="X2500" s="6">
        <f t="shared" si="79"/>
        <v>-2240</v>
      </c>
    </row>
    <row r="2501" spans="1:24" x14ac:dyDescent="0.3">
      <c r="A2501" t="s">
        <v>3574</v>
      </c>
      <c r="B2501" t="s">
        <v>3770</v>
      </c>
      <c r="C2501" t="s">
        <v>23</v>
      </c>
      <c r="D2501" t="s">
        <v>1601</v>
      </c>
      <c r="E2501" t="s">
        <v>25</v>
      </c>
      <c r="F2501">
        <v>-1</v>
      </c>
      <c r="G2501">
        <v>9791136932617</v>
      </c>
      <c r="H2501" t="s">
        <v>32</v>
      </c>
      <c r="I2501" t="s">
        <v>3772</v>
      </c>
      <c r="J2501" t="s">
        <v>1082</v>
      </c>
      <c r="K2501" t="s">
        <v>29</v>
      </c>
      <c r="L2501" s="1">
        <v>3200</v>
      </c>
      <c r="M2501" t="s">
        <v>29</v>
      </c>
      <c r="N2501" s="1">
        <v>3200</v>
      </c>
      <c r="O2501" s="1">
        <v>3200</v>
      </c>
      <c r="P2501" t="s">
        <v>30</v>
      </c>
      <c r="Q2501" s="2">
        <v>0.7</v>
      </c>
      <c r="R2501" s="1">
        <v>-2240</v>
      </c>
      <c r="S2501" t="s">
        <v>29</v>
      </c>
      <c r="T2501" s="1">
        <v>-2240</v>
      </c>
      <c r="V2501" t="str">
        <f>VLOOKUP(H2501,'[1]팀별 출판사'!A:B,2,0)</f>
        <v>소설1팀</v>
      </c>
      <c r="W2501" s="6">
        <f t="shared" si="78"/>
        <v>0</v>
      </c>
      <c r="X2501" s="6">
        <f t="shared" si="79"/>
        <v>-2240</v>
      </c>
    </row>
    <row r="2502" spans="1:24" x14ac:dyDescent="0.3">
      <c r="A2502" t="s">
        <v>3574</v>
      </c>
      <c r="B2502" t="s">
        <v>3770</v>
      </c>
      <c r="C2502" t="s">
        <v>23</v>
      </c>
      <c r="D2502" t="s">
        <v>1601</v>
      </c>
      <c r="E2502" t="s">
        <v>25</v>
      </c>
      <c r="F2502">
        <v>-1</v>
      </c>
      <c r="G2502">
        <v>9791136932624</v>
      </c>
      <c r="H2502" t="s">
        <v>32</v>
      </c>
      <c r="I2502" t="s">
        <v>3773</v>
      </c>
      <c r="J2502" t="s">
        <v>1082</v>
      </c>
      <c r="K2502" t="s">
        <v>29</v>
      </c>
      <c r="L2502" s="1">
        <v>3200</v>
      </c>
      <c r="M2502" t="s">
        <v>29</v>
      </c>
      <c r="N2502" s="1">
        <v>3200</v>
      </c>
      <c r="O2502" s="1">
        <v>3200</v>
      </c>
      <c r="P2502" t="s">
        <v>30</v>
      </c>
      <c r="Q2502" s="2">
        <v>0.7</v>
      </c>
      <c r="R2502" s="1">
        <v>-2240</v>
      </c>
      <c r="S2502" t="s">
        <v>29</v>
      </c>
      <c r="T2502" s="1">
        <v>-2240</v>
      </c>
      <c r="V2502" t="str">
        <f>VLOOKUP(H2502,'[1]팀별 출판사'!A:B,2,0)</f>
        <v>소설1팀</v>
      </c>
      <c r="W2502" s="6">
        <f t="shared" si="78"/>
        <v>0</v>
      </c>
      <c r="X2502" s="6">
        <f t="shared" si="79"/>
        <v>-2240</v>
      </c>
    </row>
    <row r="2503" spans="1:24" x14ac:dyDescent="0.3">
      <c r="A2503" t="s">
        <v>3574</v>
      </c>
      <c r="B2503" t="s">
        <v>3770</v>
      </c>
      <c r="C2503" t="s">
        <v>23</v>
      </c>
      <c r="D2503" t="s">
        <v>1601</v>
      </c>
      <c r="E2503" t="s">
        <v>25</v>
      </c>
      <c r="F2503">
        <v>-1</v>
      </c>
      <c r="G2503">
        <v>9791136932631</v>
      </c>
      <c r="H2503" t="s">
        <v>32</v>
      </c>
      <c r="I2503" t="s">
        <v>3774</v>
      </c>
      <c r="J2503" t="s">
        <v>1082</v>
      </c>
      <c r="K2503" t="s">
        <v>29</v>
      </c>
      <c r="L2503" s="1">
        <v>3200</v>
      </c>
      <c r="M2503" t="s">
        <v>29</v>
      </c>
      <c r="N2503" s="1">
        <v>3200</v>
      </c>
      <c r="O2503" s="1">
        <v>3200</v>
      </c>
      <c r="P2503" t="s">
        <v>30</v>
      </c>
      <c r="Q2503" s="2">
        <v>0.7</v>
      </c>
      <c r="R2503" s="1">
        <v>-2240</v>
      </c>
      <c r="S2503" t="s">
        <v>29</v>
      </c>
      <c r="T2503" s="1">
        <v>-2240</v>
      </c>
      <c r="V2503" t="str">
        <f>VLOOKUP(H2503,'[1]팀별 출판사'!A:B,2,0)</f>
        <v>소설1팀</v>
      </c>
      <c r="W2503" s="6">
        <f t="shared" si="78"/>
        <v>0</v>
      </c>
      <c r="X2503" s="6">
        <f t="shared" si="79"/>
        <v>-2240</v>
      </c>
    </row>
    <row r="2504" spans="1:24" x14ac:dyDescent="0.3">
      <c r="A2504" t="s">
        <v>3574</v>
      </c>
      <c r="B2504" t="s">
        <v>3770</v>
      </c>
      <c r="C2504" t="s">
        <v>23</v>
      </c>
      <c r="D2504" t="s">
        <v>1601</v>
      </c>
      <c r="E2504" t="s">
        <v>25</v>
      </c>
      <c r="F2504">
        <v>-1</v>
      </c>
      <c r="G2504">
        <v>9791136935625</v>
      </c>
      <c r="H2504" t="s">
        <v>32</v>
      </c>
      <c r="I2504" t="s">
        <v>3775</v>
      </c>
      <c r="J2504" t="s">
        <v>1082</v>
      </c>
      <c r="K2504" t="s">
        <v>29</v>
      </c>
      <c r="L2504" s="1">
        <v>3200</v>
      </c>
      <c r="M2504" t="s">
        <v>29</v>
      </c>
      <c r="N2504" s="1">
        <v>3200</v>
      </c>
      <c r="O2504" s="1">
        <v>3200</v>
      </c>
      <c r="P2504" t="s">
        <v>30</v>
      </c>
      <c r="Q2504" s="2">
        <v>0.7</v>
      </c>
      <c r="R2504" s="1">
        <v>-2240</v>
      </c>
      <c r="S2504" t="s">
        <v>29</v>
      </c>
      <c r="T2504" s="1">
        <v>-2240</v>
      </c>
      <c r="V2504" t="str">
        <f>VLOOKUP(H2504,'[1]팀별 출판사'!A:B,2,0)</f>
        <v>소설1팀</v>
      </c>
      <c r="W2504" s="6">
        <f t="shared" si="78"/>
        <v>0</v>
      </c>
      <c r="X2504" s="6">
        <f t="shared" si="79"/>
        <v>-2240</v>
      </c>
    </row>
    <row r="2505" spans="1:24" x14ac:dyDescent="0.3">
      <c r="A2505" t="s">
        <v>3574</v>
      </c>
      <c r="B2505" t="s">
        <v>3770</v>
      </c>
      <c r="C2505" t="s">
        <v>23</v>
      </c>
      <c r="D2505" t="s">
        <v>1601</v>
      </c>
      <c r="E2505" t="s">
        <v>25</v>
      </c>
      <c r="F2505">
        <v>-1</v>
      </c>
      <c r="G2505">
        <v>9791136935632</v>
      </c>
      <c r="H2505" t="s">
        <v>32</v>
      </c>
      <c r="I2505" t="s">
        <v>3776</v>
      </c>
      <c r="J2505" t="s">
        <v>1082</v>
      </c>
      <c r="K2505" t="s">
        <v>29</v>
      </c>
      <c r="L2505" s="1">
        <v>3200</v>
      </c>
      <c r="M2505" t="s">
        <v>29</v>
      </c>
      <c r="N2505" s="1">
        <v>3200</v>
      </c>
      <c r="O2505" s="1">
        <v>3200</v>
      </c>
      <c r="P2505" t="s">
        <v>30</v>
      </c>
      <c r="Q2505" s="2">
        <v>0.7</v>
      </c>
      <c r="R2505" s="1">
        <v>-2240</v>
      </c>
      <c r="S2505" t="s">
        <v>29</v>
      </c>
      <c r="T2505" s="1">
        <v>-2240</v>
      </c>
      <c r="V2505" t="str">
        <f>VLOOKUP(H2505,'[1]팀별 출판사'!A:B,2,0)</f>
        <v>소설1팀</v>
      </c>
      <c r="W2505" s="6">
        <f t="shared" si="78"/>
        <v>0</v>
      </c>
      <c r="X2505" s="6">
        <f t="shared" si="79"/>
        <v>-2240</v>
      </c>
    </row>
    <row r="2506" spans="1:24" x14ac:dyDescent="0.3">
      <c r="A2506" t="s">
        <v>3574</v>
      </c>
      <c r="B2506" t="s">
        <v>3770</v>
      </c>
      <c r="C2506" t="s">
        <v>23</v>
      </c>
      <c r="D2506" t="s">
        <v>1601</v>
      </c>
      <c r="E2506" t="s">
        <v>25</v>
      </c>
      <c r="F2506">
        <v>-1</v>
      </c>
      <c r="G2506">
        <v>9791136935649</v>
      </c>
      <c r="H2506" t="s">
        <v>32</v>
      </c>
      <c r="I2506" t="s">
        <v>3777</v>
      </c>
      <c r="J2506" t="s">
        <v>1082</v>
      </c>
      <c r="K2506" t="s">
        <v>29</v>
      </c>
      <c r="L2506" s="1">
        <v>3200</v>
      </c>
      <c r="M2506" t="s">
        <v>29</v>
      </c>
      <c r="N2506" s="1">
        <v>3200</v>
      </c>
      <c r="O2506" s="1">
        <v>3200</v>
      </c>
      <c r="P2506" t="s">
        <v>30</v>
      </c>
      <c r="Q2506" s="2">
        <v>0.7</v>
      </c>
      <c r="R2506" s="1">
        <v>-2240</v>
      </c>
      <c r="S2506" t="s">
        <v>29</v>
      </c>
      <c r="T2506" s="1">
        <v>-2240</v>
      </c>
      <c r="V2506" t="str">
        <f>VLOOKUP(H2506,'[1]팀별 출판사'!A:B,2,0)</f>
        <v>소설1팀</v>
      </c>
      <c r="W2506" s="6">
        <f t="shared" si="78"/>
        <v>0</v>
      </c>
      <c r="X2506" s="6">
        <f t="shared" si="79"/>
        <v>-2240</v>
      </c>
    </row>
    <row r="2507" spans="1:24" x14ac:dyDescent="0.3">
      <c r="A2507" t="s">
        <v>3574</v>
      </c>
      <c r="B2507" t="s">
        <v>3778</v>
      </c>
      <c r="C2507" t="s">
        <v>23</v>
      </c>
      <c r="D2507" t="s">
        <v>24</v>
      </c>
      <c r="E2507" t="s">
        <v>25</v>
      </c>
      <c r="F2507">
        <v>1</v>
      </c>
      <c r="G2507">
        <v>9791133173051</v>
      </c>
      <c r="H2507" t="s">
        <v>26</v>
      </c>
      <c r="I2507" t="s">
        <v>3779</v>
      </c>
      <c r="J2507" t="s">
        <v>287</v>
      </c>
      <c r="K2507" t="s">
        <v>29</v>
      </c>
      <c r="L2507" s="1">
        <v>2500</v>
      </c>
      <c r="M2507" t="s">
        <v>29</v>
      </c>
      <c r="N2507" s="1">
        <v>2500</v>
      </c>
      <c r="O2507" s="1">
        <v>2500</v>
      </c>
      <c r="P2507" t="s">
        <v>30</v>
      </c>
      <c r="Q2507" s="2">
        <v>0.7</v>
      </c>
      <c r="R2507" s="1">
        <v>1750</v>
      </c>
      <c r="S2507" t="s">
        <v>29</v>
      </c>
      <c r="T2507" s="1">
        <v>1750</v>
      </c>
      <c r="V2507" t="str">
        <f>VLOOKUP(H2507,'[1]팀별 출판사'!A:B,2,0)</f>
        <v>소설1팀</v>
      </c>
      <c r="W2507" s="6">
        <f t="shared" si="78"/>
        <v>0</v>
      </c>
      <c r="X2507" s="6">
        <f t="shared" si="79"/>
        <v>1750</v>
      </c>
    </row>
    <row r="2508" spans="1:24" x14ac:dyDescent="0.3">
      <c r="A2508" t="s">
        <v>3574</v>
      </c>
      <c r="B2508" t="s">
        <v>3780</v>
      </c>
      <c r="C2508" t="s">
        <v>23</v>
      </c>
      <c r="D2508" t="s">
        <v>24</v>
      </c>
      <c r="E2508" t="s">
        <v>25</v>
      </c>
      <c r="F2508">
        <v>1</v>
      </c>
      <c r="G2508">
        <v>9791136940490</v>
      </c>
      <c r="H2508" t="s">
        <v>26</v>
      </c>
      <c r="I2508" t="s">
        <v>1112</v>
      </c>
      <c r="J2508" t="s">
        <v>62</v>
      </c>
      <c r="K2508" t="s">
        <v>29</v>
      </c>
      <c r="L2508">
        <v>0</v>
      </c>
      <c r="M2508" t="s">
        <v>29</v>
      </c>
      <c r="N2508">
        <v>0</v>
      </c>
      <c r="O2508">
        <v>0</v>
      </c>
      <c r="P2508" t="s">
        <v>30</v>
      </c>
      <c r="Q2508" s="2">
        <v>0.7</v>
      </c>
      <c r="R2508">
        <v>0</v>
      </c>
      <c r="V2508" t="str">
        <f>VLOOKUP(H2508,'[1]팀별 출판사'!A:B,2,0)</f>
        <v>소설1팀</v>
      </c>
      <c r="W2508" s="6">
        <f t="shared" si="78"/>
        <v>0</v>
      </c>
      <c r="X2508" s="6">
        <f t="shared" si="79"/>
        <v>0</v>
      </c>
    </row>
    <row r="2509" spans="1:24" x14ac:dyDescent="0.3">
      <c r="A2509" t="s">
        <v>3574</v>
      </c>
      <c r="B2509" t="s">
        <v>3781</v>
      </c>
      <c r="C2509" t="s">
        <v>23</v>
      </c>
      <c r="D2509" t="s">
        <v>24</v>
      </c>
      <c r="E2509" t="s">
        <v>25</v>
      </c>
      <c r="F2509">
        <v>1</v>
      </c>
      <c r="G2509">
        <v>9791136925664</v>
      </c>
      <c r="H2509" t="s">
        <v>26</v>
      </c>
      <c r="I2509" t="s">
        <v>453</v>
      </c>
      <c r="J2509" t="s">
        <v>62</v>
      </c>
      <c r="K2509" t="s">
        <v>29</v>
      </c>
      <c r="L2509">
        <v>0</v>
      </c>
      <c r="M2509" t="s">
        <v>29</v>
      </c>
      <c r="N2509">
        <v>0</v>
      </c>
      <c r="O2509">
        <v>0</v>
      </c>
      <c r="P2509" t="s">
        <v>30</v>
      </c>
      <c r="Q2509" s="2">
        <v>0.7</v>
      </c>
      <c r="R2509">
        <v>0</v>
      </c>
      <c r="V2509" t="str">
        <f>VLOOKUP(H2509,'[1]팀별 출판사'!A:B,2,0)</f>
        <v>소설1팀</v>
      </c>
      <c r="W2509" s="6">
        <f t="shared" si="78"/>
        <v>0</v>
      </c>
      <c r="X2509" s="6">
        <f t="shared" si="79"/>
        <v>0</v>
      </c>
    </row>
    <row r="2510" spans="1:24" x14ac:dyDescent="0.3">
      <c r="A2510" t="s">
        <v>3574</v>
      </c>
      <c r="B2510" t="s">
        <v>3782</v>
      </c>
      <c r="C2510" t="s">
        <v>23</v>
      </c>
      <c r="D2510" t="s">
        <v>24</v>
      </c>
      <c r="E2510" t="s">
        <v>25</v>
      </c>
      <c r="F2510">
        <v>1</v>
      </c>
      <c r="G2510">
        <v>9791133102891</v>
      </c>
      <c r="H2510" t="s">
        <v>32</v>
      </c>
      <c r="I2510" t="s">
        <v>3008</v>
      </c>
      <c r="J2510" t="s">
        <v>51</v>
      </c>
      <c r="K2510" t="s">
        <v>29</v>
      </c>
      <c r="L2510">
        <v>0</v>
      </c>
      <c r="M2510" t="s">
        <v>29</v>
      </c>
      <c r="N2510">
        <v>0</v>
      </c>
      <c r="O2510">
        <v>0</v>
      </c>
      <c r="P2510" t="s">
        <v>30</v>
      </c>
      <c r="Q2510" s="2">
        <v>0.7</v>
      </c>
      <c r="R2510">
        <v>0</v>
      </c>
      <c r="V2510" t="str">
        <f>VLOOKUP(H2510,'[1]팀별 출판사'!A:B,2,0)</f>
        <v>소설1팀</v>
      </c>
      <c r="W2510" s="6">
        <f t="shared" si="78"/>
        <v>0</v>
      </c>
      <c r="X2510" s="6">
        <f t="shared" si="79"/>
        <v>0</v>
      </c>
    </row>
    <row r="2511" spans="1:24" x14ac:dyDescent="0.3">
      <c r="A2511" t="s">
        <v>3574</v>
      </c>
      <c r="B2511" t="s">
        <v>3783</v>
      </c>
      <c r="C2511" t="s">
        <v>23</v>
      </c>
      <c r="D2511" t="s">
        <v>24</v>
      </c>
      <c r="E2511" t="s">
        <v>25</v>
      </c>
      <c r="F2511">
        <v>1</v>
      </c>
      <c r="G2511">
        <v>9788928005826</v>
      </c>
      <c r="H2511" t="s">
        <v>32</v>
      </c>
      <c r="I2511" t="s">
        <v>310</v>
      </c>
      <c r="J2511" t="s">
        <v>311</v>
      </c>
      <c r="K2511" t="s">
        <v>29</v>
      </c>
      <c r="L2511">
        <v>0</v>
      </c>
      <c r="M2511" t="s">
        <v>29</v>
      </c>
      <c r="N2511">
        <v>0</v>
      </c>
      <c r="O2511">
        <v>0</v>
      </c>
      <c r="P2511" t="s">
        <v>30</v>
      </c>
      <c r="Q2511" s="2">
        <v>0.7</v>
      </c>
      <c r="R2511">
        <v>0</v>
      </c>
      <c r="V2511" t="str">
        <f>VLOOKUP(H2511,'[1]팀별 출판사'!A:B,2,0)</f>
        <v>소설1팀</v>
      </c>
      <c r="W2511" s="6">
        <f t="shared" si="78"/>
        <v>0</v>
      </c>
      <c r="X2511" s="6">
        <f t="shared" si="79"/>
        <v>0</v>
      </c>
    </row>
    <row r="2512" spans="1:24" x14ac:dyDescent="0.3">
      <c r="A2512" t="s">
        <v>3574</v>
      </c>
      <c r="B2512" t="s">
        <v>3784</v>
      </c>
      <c r="C2512" t="s">
        <v>23</v>
      </c>
      <c r="D2512" t="s">
        <v>24</v>
      </c>
      <c r="E2512" t="s">
        <v>25</v>
      </c>
      <c r="F2512">
        <v>1</v>
      </c>
      <c r="G2512">
        <v>9791136946775</v>
      </c>
      <c r="H2512" t="s">
        <v>26</v>
      </c>
      <c r="I2512" t="s">
        <v>238</v>
      </c>
      <c r="J2512" t="s">
        <v>28</v>
      </c>
      <c r="K2512" t="s">
        <v>29</v>
      </c>
      <c r="L2512">
        <v>0</v>
      </c>
      <c r="M2512" t="s">
        <v>29</v>
      </c>
      <c r="N2512">
        <v>0</v>
      </c>
      <c r="O2512">
        <v>0</v>
      </c>
      <c r="P2512" t="s">
        <v>30</v>
      </c>
      <c r="Q2512" s="2">
        <v>0.7</v>
      </c>
      <c r="R2512">
        <v>0</v>
      </c>
      <c r="V2512" t="str">
        <f>VLOOKUP(H2512,'[1]팀별 출판사'!A:B,2,0)</f>
        <v>소설1팀</v>
      </c>
      <c r="W2512" s="6">
        <f t="shared" si="78"/>
        <v>0</v>
      </c>
      <c r="X2512" s="6">
        <f t="shared" si="79"/>
        <v>0</v>
      </c>
    </row>
    <row r="2513" spans="1:24" x14ac:dyDescent="0.3">
      <c r="A2513" t="s">
        <v>3574</v>
      </c>
      <c r="B2513" t="s">
        <v>3785</v>
      </c>
      <c r="C2513" t="s">
        <v>23</v>
      </c>
      <c r="D2513" t="s">
        <v>24</v>
      </c>
      <c r="E2513" t="s">
        <v>25</v>
      </c>
      <c r="F2513">
        <v>1</v>
      </c>
      <c r="G2513">
        <v>9791136946782</v>
      </c>
      <c r="H2513" t="s">
        <v>26</v>
      </c>
      <c r="I2513" t="s">
        <v>291</v>
      </c>
      <c r="J2513" t="s">
        <v>28</v>
      </c>
      <c r="K2513" t="s">
        <v>29</v>
      </c>
      <c r="L2513">
        <v>0</v>
      </c>
      <c r="M2513" t="s">
        <v>29</v>
      </c>
      <c r="N2513">
        <v>0</v>
      </c>
      <c r="O2513">
        <v>0</v>
      </c>
      <c r="P2513" t="s">
        <v>30</v>
      </c>
      <c r="Q2513" s="2">
        <v>0.7</v>
      </c>
      <c r="R2513">
        <v>0</v>
      </c>
      <c r="V2513" t="str">
        <f>VLOOKUP(H2513,'[1]팀별 출판사'!A:B,2,0)</f>
        <v>소설1팀</v>
      </c>
      <c r="W2513" s="6">
        <f t="shared" si="78"/>
        <v>0</v>
      </c>
      <c r="X2513" s="6">
        <f t="shared" si="79"/>
        <v>0</v>
      </c>
    </row>
    <row r="2514" spans="1:24" x14ac:dyDescent="0.3">
      <c r="A2514" t="s">
        <v>3574</v>
      </c>
      <c r="B2514" t="s">
        <v>3786</v>
      </c>
      <c r="C2514" t="s">
        <v>23</v>
      </c>
      <c r="D2514" t="s">
        <v>24</v>
      </c>
      <c r="E2514" t="s">
        <v>25</v>
      </c>
      <c r="F2514">
        <v>1</v>
      </c>
      <c r="G2514" t="s">
        <v>3591</v>
      </c>
      <c r="H2514" t="s">
        <v>32</v>
      </c>
      <c r="I2514" t="s">
        <v>3592</v>
      </c>
      <c r="J2514" t="s">
        <v>311</v>
      </c>
      <c r="K2514" t="s">
        <v>29</v>
      </c>
      <c r="L2514">
        <v>0</v>
      </c>
      <c r="M2514" t="s">
        <v>29</v>
      </c>
      <c r="N2514">
        <v>0</v>
      </c>
      <c r="O2514">
        <v>0</v>
      </c>
      <c r="P2514" t="s">
        <v>30</v>
      </c>
      <c r="Q2514" s="2">
        <v>0.7</v>
      </c>
      <c r="R2514">
        <v>0</v>
      </c>
      <c r="V2514" t="str">
        <f>VLOOKUP(H2514,'[1]팀별 출판사'!A:B,2,0)</f>
        <v>소설1팀</v>
      </c>
      <c r="W2514" s="6">
        <f t="shared" si="78"/>
        <v>0</v>
      </c>
      <c r="X2514" s="6">
        <f t="shared" si="79"/>
        <v>0</v>
      </c>
    </row>
    <row r="2515" spans="1:24" x14ac:dyDescent="0.3">
      <c r="A2515" t="s">
        <v>3574</v>
      </c>
      <c r="B2515" t="s">
        <v>3787</v>
      </c>
      <c r="C2515" t="s">
        <v>23</v>
      </c>
      <c r="D2515" t="s">
        <v>24</v>
      </c>
      <c r="E2515" t="s">
        <v>25</v>
      </c>
      <c r="F2515">
        <v>1</v>
      </c>
      <c r="G2515">
        <v>9791133102891</v>
      </c>
      <c r="H2515" t="s">
        <v>32</v>
      </c>
      <c r="I2515" t="s">
        <v>3008</v>
      </c>
      <c r="J2515" t="s">
        <v>51</v>
      </c>
      <c r="K2515" t="s">
        <v>29</v>
      </c>
      <c r="L2515">
        <v>0</v>
      </c>
      <c r="M2515" t="s">
        <v>29</v>
      </c>
      <c r="N2515">
        <v>0</v>
      </c>
      <c r="O2515">
        <v>0</v>
      </c>
      <c r="P2515" t="s">
        <v>30</v>
      </c>
      <c r="Q2515" s="2">
        <v>0.7</v>
      </c>
      <c r="R2515">
        <v>0</v>
      </c>
      <c r="V2515" t="str">
        <f>VLOOKUP(H2515,'[1]팀별 출판사'!A:B,2,0)</f>
        <v>소설1팀</v>
      </c>
      <c r="W2515" s="6">
        <f t="shared" si="78"/>
        <v>0</v>
      </c>
      <c r="X2515" s="6">
        <f t="shared" si="79"/>
        <v>0</v>
      </c>
    </row>
    <row r="2516" spans="1:24" x14ac:dyDescent="0.3">
      <c r="A2516" t="s">
        <v>3574</v>
      </c>
      <c r="B2516" t="s">
        <v>3788</v>
      </c>
      <c r="C2516" t="s">
        <v>23</v>
      </c>
      <c r="D2516" t="s">
        <v>24</v>
      </c>
      <c r="E2516" t="s">
        <v>25</v>
      </c>
      <c r="F2516">
        <v>1</v>
      </c>
      <c r="G2516">
        <v>9791175301955</v>
      </c>
      <c r="H2516" t="s">
        <v>26</v>
      </c>
      <c r="I2516" t="s">
        <v>591</v>
      </c>
      <c r="J2516" t="s">
        <v>256</v>
      </c>
      <c r="K2516" t="s">
        <v>29</v>
      </c>
      <c r="L2516">
        <v>0</v>
      </c>
      <c r="M2516" t="s">
        <v>29</v>
      </c>
      <c r="N2516">
        <v>0</v>
      </c>
      <c r="O2516">
        <v>0</v>
      </c>
      <c r="P2516" t="s">
        <v>30</v>
      </c>
      <c r="Q2516" s="2">
        <v>0.7</v>
      </c>
      <c r="R2516">
        <v>0</v>
      </c>
      <c r="V2516" t="str">
        <f>VLOOKUP(H2516,'[1]팀별 출판사'!A:B,2,0)</f>
        <v>소설1팀</v>
      </c>
      <c r="W2516" s="6">
        <f t="shared" si="78"/>
        <v>0</v>
      </c>
      <c r="X2516" s="6">
        <f t="shared" si="79"/>
        <v>0</v>
      </c>
    </row>
    <row r="2517" spans="1:24" x14ac:dyDescent="0.3">
      <c r="A2517" t="s">
        <v>3574</v>
      </c>
      <c r="B2517" t="s">
        <v>3789</v>
      </c>
      <c r="C2517" t="s">
        <v>23</v>
      </c>
      <c r="D2517" t="s">
        <v>24</v>
      </c>
      <c r="E2517" t="s">
        <v>25</v>
      </c>
      <c r="F2517">
        <v>1</v>
      </c>
      <c r="G2517">
        <v>9791136926869</v>
      </c>
      <c r="H2517" t="s">
        <v>26</v>
      </c>
      <c r="I2517" t="s">
        <v>3392</v>
      </c>
      <c r="J2517" t="s">
        <v>62</v>
      </c>
      <c r="K2517" t="s">
        <v>29</v>
      </c>
      <c r="L2517" s="1">
        <v>3200</v>
      </c>
      <c r="M2517" t="s">
        <v>29</v>
      </c>
      <c r="N2517" s="1">
        <v>3200</v>
      </c>
      <c r="O2517" s="1">
        <v>3200</v>
      </c>
      <c r="P2517" t="s">
        <v>30</v>
      </c>
      <c r="Q2517" s="2">
        <v>0.7</v>
      </c>
      <c r="R2517" s="1">
        <v>2240</v>
      </c>
      <c r="S2517" t="s">
        <v>29</v>
      </c>
      <c r="T2517" s="1">
        <v>2240</v>
      </c>
      <c r="V2517" t="str">
        <f>VLOOKUP(H2517,'[1]팀별 출판사'!A:B,2,0)</f>
        <v>소설1팀</v>
      </c>
      <c r="W2517" s="6">
        <f t="shared" si="78"/>
        <v>0</v>
      </c>
      <c r="X2517" s="6">
        <f t="shared" si="79"/>
        <v>2240</v>
      </c>
    </row>
    <row r="2518" spans="1:24" x14ac:dyDescent="0.3">
      <c r="A2518" t="s">
        <v>3574</v>
      </c>
      <c r="B2518" t="s">
        <v>3790</v>
      </c>
      <c r="C2518" t="s">
        <v>23</v>
      </c>
      <c r="D2518" t="s">
        <v>24</v>
      </c>
      <c r="E2518" t="s">
        <v>25</v>
      </c>
      <c r="F2518">
        <v>1</v>
      </c>
      <c r="G2518">
        <v>9791133180097</v>
      </c>
      <c r="H2518" t="s">
        <v>26</v>
      </c>
      <c r="I2518" t="s">
        <v>3791</v>
      </c>
      <c r="J2518" t="s">
        <v>321</v>
      </c>
      <c r="K2518" t="s">
        <v>29</v>
      </c>
      <c r="L2518" s="1">
        <v>3200</v>
      </c>
      <c r="M2518" t="s">
        <v>29</v>
      </c>
      <c r="N2518" s="1">
        <v>3200</v>
      </c>
      <c r="O2518" s="1">
        <v>3200</v>
      </c>
      <c r="P2518" t="s">
        <v>30</v>
      </c>
      <c r="Q2518" s="2">
        <v>0.7</v>
      </c>
      <c r="R2518" s="1">
        <v>2240</v>
      </c>
      <c r="S2518" t="s">
        <v>29</v>
      </c>
      <c r="T2518" s="1">
        <v>2240</v>
      </c>
      <c r="V2518" t="str">
        <f>VLOOKUP(H2518,'[1]팀별 출판사'!A:B,2,0)</f>
        <v>소설1팀</v>
      </c>
      <c r="W2518" s="6">
        <f t="shared" si="78"/>
        <v>0</v>
      </c>
      <c r="X2518" s="6">
        <f t="shared" si="79"/>
        <v>2240</v>
      </c>
    </row>
    <row r="2519" spans="1:24" x14ac:dyDescent="0.3">
      <c r="A2519" t="s">
        <v>3574</v>
      </c>
      <c r="B2519" t="s">
        <v>3792</v>
      </c>
      <c r="C2519" t="s">
        <v>23</v>
      </c>
      <c r="D2519" t="s">
        <v>24</v>
      </c>
      <c r="E2519" t="s">
        <v>25</v>
      </c>
      <c r="F2519">
        <v>1</v>
      </c>
      <c r="G2519" t="s">
        <v>3793</v>
      </c>
      <c r="H2519" t="s">
        <v>32</v>
      </c>
      <c r="I2519" t="s">
        <v>3794</v>
      </c>
      <c r="J2519" t="s">
        <v>3795</v>
      </c>
      <c r="K2519" t="s">
        <v>29</v>
      </c>
      <c r="L2519">
        <v>0</v>
      </c>
      <c r="M2519" t="s">
        <v>29</v>
      </c>
      <c r="N2519">
        <v>0</v>
      </c>
      <c r="O2519">
        <v>0</v>
      </c>
      <c r="P2519" t="s">
        <v>30</v>
      </c>
      <c r="Q2519" s="2">
        <v>0.7</v>
      </c>
      <c r="R2519">
        <v>0</v>
      </c>
      <c r="V2519" t="str">
        <f>VLOOKUP(H2519,'[1]팀별 출판사'!A:B,2,0)</f>
        <v>소설1팀</v>
      </c>
      <c r="W2519" s="6">
        <f t="shared" si="78"/>
        <v>0</v>
      </c>
      <c r="X2519" s="6">
        <f t="shared" si="79"/>
        <v>0</v>
      </c>
    </row>
    <row r="2520" spans="1:24" x14ac:dyDescent="0.3">
      <c r="A2520" t="s">
        <v>3574</v>
      </c>
      <c r="B2520" t="s">
        <v>3796</v>
      </c>
      <c r="C2520" t="s">
        <v>23</v>
      </c>
      <c r="D2520" t="s">
        <v>24</v>
      </c>
      <c r="E2520" t="s">
        <v>25</v>
      </c>
      <c r="F2520">
        <v>1</v>
      </c>
      <c r="G2520">
        <v>9791194664369</v>
      </c>
      <c r="H2520" t="s">
        <v>79</v>
      </c>
      <c r="I2520" t="s">
        <v>156</v>
      </c>
      <c r="J2520" t="s">
        <v>157</v>
      </c>
      <c r="K2520" t="s">
        <v>29</v>
      </c>
      <c r="L2520">
        <v>0</v>
      </c>
      <c r="M2520" t="s">
        <v>29</v>
      </c>
      <c r="N2520">
        <v>0</v>
      </c>
      <c r="O2520">
        <v>0</v>
      </c>
      <c r="P2520" t="s">
        <v>30</v>
      </c>
      <c r="Q2520" s="2">
        <v>0.7</v>
      </c>
      <c r="R2520">
        <v>0</v>
      </c>
      <c r="V2520" t="str">
        <f>VLOOKUP(H2520,'[1]팀별 출판사'!A:B,2,0)</f>
        <v>소설1팀</v>
      </c>
      <c r="W2520" s="6">
        <f t="shared" si="78"/>
        <v>0</v>
      </c>
      <c r="X2520" s="6">
        <f t="shared" si="79"/>
        <v>0</v>
      </c>
    </row>
    <row r="2521" spans="1:24" x14ac:dyDescent="0.3">
      <c r="A2521" t="s">
        <v>3574</v>
      </c>
      <c r="B2521" t="s">
        <v>3797</v>
      </c>
      <c r="C2521" t="s">
        <v>23</v>
      </c>
      <c r="D2521" t="s">
        <v>24</v>
      </c>
      <c r="E2521" t="s">
        <v>25</v>
      </c>
      <c r="F2521">
        <v>1</v>
      </c>
      <c r="G2521" t="s">
        <v>3798</v>
      </c>
      <c r="H2521" t="s">
        <v>32</v>
      </c>
      <c r="I2521" t="s">
        <v>3799</v>
      </c>
      <c r="J2521" t="s">
        <v>43</v>
      </c>
      <c r="K2521" t="s">
        <v>29</v>
      </c>
      <c r="L2521">
        <v>0</v>
      </c>
      <c r="M2521" t="s">
        <v>29</v>
      </c>
      <c r="N2521">
        <v>0</v>
      </c>
      <c r="O2521">
        <v>0</v>
      </c>
      <c r="P2521" t="s">
        <v>30</v>
      </c>
      <c r="Q2521" s="2">
        <v>0.7</v>
      </c>
      <c r="R2521">
        <v>0</v>
      </c>
      <c r="V2521" t="str">
        <f>VLOOKUP(H2521,'[1]팀별 출판사'!A:B,2,0)</f>
        <v>소설1팀</v>
      </c>
      <c r="W2521" s="6">
        <f t="shared" si="78"/>
        <v>0</v>
      </c>
      <c r="X2521" s="6">
        <f t="shared" si="79"/>
        <v>0</v>
      </c>
    </row>
    <row r="2522" spans="1:24" x14ac:dyDescent="0.3">
      <c r="A2522" t="s">
        <v>3574</v>
      </c>
      <c r="B2522" t="s">
        <v>3800</v>
      </c>
      <c r="C2522" t="s">
        <v>23</v>
      </c>
      <c r="D2522" t="s">
        <v>24</v>
      </c>
      <c r="E2522" t="s">
        <v>25</v>
      </c>
      <c r="F2522">
        <v>1</v>
      </c>
      <c r="G2522">
        <v>9791136946782</v>
      </c>
      <c r="H2522" t="s">
        <v>26</v>
      </c>
      <c r="I2522" t="s">
        <v>291</v>
      </c>
      <c r="J2522" t="s">
        <v>28</v>
      </c>
      <c r="K2522" t="s">
        <v>29</v>
      </c>
      <c r="L2522">
        <v>0</v>
      </c>
      <c r="M2522" t="s">
        <v>29</v>
      </c>
      <c r="N2522">
        <v>0</v>
      </c>
      <c r="O2522">
        <v>0</v>
      </c>
      <c r="P2522" t="s">
        <v>30</v>
      </c>
      <c r="Q2522" s="2">
        <v>0.7</v>
      </c>
      <c r="R2522">
        <v>0</v>
      </c>
      <c r="V2522" t="str">
        <f>VLOOKUP(H2522,'[1]팀별 출판사'!A:B,2,0)</f>
        <v>소설1팀</v>
      </c>
      <c r="W2522" s="6">
        <f t="shared" si="78"/>
        <v>0</v>
      </c>
      <c r="X2522" s="6">
        <f t="shared" si="79"/>
        <v>0</v>
      </c>
    </row>
    <row r="2523" spans="1:24" x14ac:dyDescent="0.3">
      <c r="A2523" t="s">
        <v>3574</v>
      </c>
      <c r="B2523" t="s">
        <v>3801</v>
      </c>
      <c r="C2523" t="s">
        <v>23</v>
      </c>
      <c r="D2523" t="s">
        <v>24</v>
      </c>
      <c r="E2523" t="s">
        <v>25</v>
      </c>
      <c r="F2523">
        <v>1</v>
      </c>
      <c r="G2523">
        <v>9791194664444</v>
      </c>
      <c r="H2523" t="s">
        <v>26</v>
      </c>
      <c r="I2523" t="s">
        <v>2368</v>
      </c>
      <c r="J2523" t="s">
        <v>147</v>
      </c>
      <c r="K2523" t="s">
        <v>29</v>
      </c>
      <c r="L2523">
        <v>0</v>
      </c>
      <c r="M2523" t="s">
        <v>29</v>
      </c>
      <c r="N2523">
        <v>0</v>
      </c>
      <c r="O2523">
        <v>0</v>
      </c>
      <c r="P2523" t="s">
        <v>30</v>
      </c>
      <c r="Q2523" s="2">
        <v>0.7</v>
      </c>
      <c r="R2523">
        <v>0</v>
      </c>
      <c r="V2523" t="str">
        <f>VLOOKUP(H2523,'[1]팀별 출판사'!A:B,2,0)</f>
        <v>소설1팀</v>
      </c>
      <c r="W2523" s="6">
        <f t="shared" si="78"/>
        <v>0</v>
      </c>
      <c r="X2523" s="6">
        <f t="shared" si="79"/>
        <v>0</v>
      </c>
    </row>
    <row r="2524" spans="1:24" x14ac:dyDescent="0.3">
      <c r="A2524" t="s">
        <v>3574</v>
      </c>
      <c r="B2524" t="s">
        <v>3802</v>
      </c>
      <c r="C2524" t="s">
        <v>23</v>
      </c>
      <c r="D2524" t="s">
        <v>24</v>
      </c>
      <c r="E2524" t="s">
        <v>25</v>
      </c>
      <c r="F2524">
        <v>1</v>
      </c>
      <c r="G2524">
        <v>9791172925789</v>
      </c>
      <c r="H2524" t="s">
        <v>26</v>
      </c>
      <c r="I2524" t="s">
        <v>3032</v>
      </c>
      <c r="J2524" t="s">
        <v>937</v>
      </c>
      <c r="K2524" t="s">
        <v>29</v>
      </c>
      <c r="L2524">
        <v>0</v>
      </c>
      <c r="M2524" t="s">
        <v>29</v>
      </c>
      <c r="N2524">
        <v>0</v>
      </c>
      <c r="O2524">
        <v>0</v>
      </c>
      <c r="P2524" t="s">
        <v>30</v>
      </c>
      <c r="Q2524" s="2">
        <v>0.7</v>
      </c>
      <c r="R2524">
        <v>0</v>
      </c>
      <c r="V2524" t="str">
        <f>VLOOKUP(H2524,'[1]팀별 출판사'!A:B,2,0)</f>
        <v>소설1팀</v>
      </c>
      <c r="W2524" s="6">
        <f t="shared" si="78"/>
        <v>0</v>
      </c>
      <c r="X2524" s="6">
        <f t="shared" si="79"/>
        <v>0</v>
      </c>
    </row>
    <row r="2525" spans="1:24" x14ac:dyDescent="0.3">
      <c r="A2525" t="s">
        <v>3574</v>
      </c>
      <c r="B2525" t="s">
        <v>3803</v>
      </c>
      <c r="C2525" t="s">
        <v>23</v>
      </c>
      <c r="D2525" t="s">
        <v>24</v>
      </c>
      <c r="E2525" t="s">
        <v>25</v>
      </c>
      <c r="F2525">
        <v>1</v>
      </c>
      <c r="G2525">
        <v>9791136988331</v>
      </c>
      <c r="H2525" t="s">
        <v>26</v>
      </c>
      <c r="I2525" t="s">
        <v>2820</v>
      </c>
      <c r="J2525" t="s">
        <v>28</v>
      </c>
      <c r="K2525" t="s">
        <v>29</v>
      </c>
      <c r="L2525" s="1">
        <v>3200</v>
      </c>
      <c r="M2525" t="s">
        <v>29</v>
      </c>
      <c r="N2525" s="1">
        <v>3200</v>
      </c>
      <c r="O2525" s="1">
        <v>3200</v>
      </c>
      <c r="P2525" t="s">
        <v>30</v>
      </c>
      <c r="Q2525" s="2">
        <v>0.7</v>
      </c>
      <c r="R2525" s="1">
        <v>2240</v>
      </c>
      <c r="S2525" t="s">
        <v>29</v>
      </c>
      <c r="T2525" s="1">
        <v>2240</v>
      </c>
      <c r="V2525" t="str">
        <f>VLOOKUP(H2525,'[1]팀별 출판사'!A:B,2,0)</f>
        <v>소설1팀</v>
      </c>
      <c r="W2525" s="6">
        <f t="shared" si="78"/>
        <v>0</v>
      </c>
      <c r="X2525" s="6">
        <f t="shared" si="79"/>
        <v>2240</v>
      </c>
    </row>
    <row r="2526" spans="1:24" x14ac:dyDescent="0.3">
      <c r="A2526" t="s">
        <v>3574</v>
      </c>
      <c r="B2526" t="s">
        <v>3804</v>
      </c>
      <c r="C2526" t="s">
        <v>23</v>
      </c>
      <c r="D2526" t="s">
        <v>24</v>
      </c>
      <c r="E2526" t="s">
        <v>25</v>
      </c>
      <c r="F2526">
        <v>1</v>
      </c>
      <c r="G2526">
        <v>9791136934468</v>
      </c>
      <c r="H2526" t="s">
        <v>26</v>
      </c>
      <c r="I2526" t="s">
        <v>3805</v>
      </c>
      <c r="J2526" t="s">
        <v>1348</v>
      </c>
      <c r="K2526" t="s">
        <v>29</v>
      </c>
      <c r="L2526">
        <v>0</v>
      </c>
      <c r="M2526" t="s">
        <v>29</v>
      </c>
      <c r="N2526">
        <v>0</v>
      </c>
      <c r="O2526">
        <v>0</v>
      </c>
      <c r="P2526" t="s">
        <v>30</v>
      </c>
      <c r="Q2526" s="2">
        <v>0.7</v>
      </c>
      <c r="R2526">
        <v>0</v>
      </c>
      <c r="V2526" t="str">
        <f>VLOOKUP(H2526,'[1]팀별 출판사'!A:B,2,0)</f>
        <v>소설1팀</v>
      </c>
      <c r="W2526" s="6">
        <f t="shared" si="78"/>
        <v>0</v>
      </c>
      <c r="X2526" s="6">
        <f t="shared" si="79"/>
        <v>0</v>
      </c>
    </row>
    <row r="2527" spans="1:24" x14ac:dyDescent="0.3">
      <c r="A2527" t="s">
        <v>3574</v>
      </c>
      <c r="B2527" t="s">
        <v>3806</v>
      </c>
      <c r="C2527" t="s">
        <v>23</v>
      </c>
      <c r="D2527" t="s">
        <v>24</v>
      </c>
      <c r="E2527" t="s">
        <v>25</v>
      </c>
      <c r="F2527">
        <v>1</v>
      </c>
      <c r="G2527">
        <v>9791173787638</v>
      </c>
      <c r="H2527" t="s">
        <v>26</v>
      </c>
      <c r="I2527" t="s">
        <v>3807</v>
      </c>
      <c r="J2527" t="s">
        <v>3808</v>
      </c>
      <c r="K2527" t="s">
        <v>29</v>
      </c>
      <c r="L2527">
        <v>0</v>
      </c>
      <c r="M2527" t="s">
        <v>70</v>
      </c>
      <c r="N2527">
        <v>0</v>
      </c>
      <c r="O2527">
        <v>0</v>
      </c>
      <c r="P2527" t="s">
        <v>71</v>
      </c>
      <c r="Q2527" s="2">
        <v>0.7</v>
      </c>
      <c r="R2527">
        <v>0</v>
      </c>
      <c r="V2527" t="str">
        <f>VLOOKUP(H2527,'[1]팀별 출판사'!A:B,2,0)</f>
        <v>소설1팀</v>
      </c>
      <c r="W2527" s="6">
        <f t="shared" si="78"/>
        <v>0</v>
      </c>
      <c r="X2527" s="6">
        <f t="shared" si="79"/>
        <v>0</v>
      </c>
    </row>
    <row r="2528" spans="1:24" x14ac:dyDescent="0.3">
      <c r="A2528" t="s">
        <v>3574</v>
      </c>
      <c r="B2528" t="s">
        <v>3809</v>
      </c>
      <c r="C2528" t="s">
        <v>23</v>
      </c>
      <c r="D2528" t="s">
        <v>24</v>
      </c>
      <c r="E2528" t="s">
        <v>25</v>
      </c>
      <c r="F2528">
        <v>1</v>
      </c>
      <c r="G2528">
        <v>9791136911032</v>
      </c>
      <c r="H2528" t="s">
        <v>26</v>
      </c>
      <c r="I2528" t="s">
        <v>3810</v>
      </c>
      <c r="J2528" t="s">
        <v>160</v>
      </c>
      <c r="K2528" t="s">
        <v>29</v>
      </c>
      <c r="L2528" s="1">
        <v>3200</v>
      </c>
      <c r="M2528" t="s">
        <v>29</v>
      </c>
      <c r="N2528" s="1">
        <v>3200</v>
      </c>
      <c r="O2528" s="1">
        <v>3200</v>
      </c>
      <c r="P2528" t="s">
        <v>30</v>
      </c>
      <c r="Q2528" s="2">
        <v>0.7</v>
      </c>
      <c r="R2528" s="1">
        <v>2240</v>
      </c>
      <c r="S2528" t="s">
        <v>29</v>
      </c>
      <c r="T2528" s="1">
        <v>2240</v>
      </c>
      <c r="V2528" t="str">
        <f>VLOOKUP(H2528,'[1]팀별 출판사'!A:B,2,0)</f>
        <v>소설1팀</v>
      </c>
      <c r="W2528" s="6">
        <f t="shared" si="78"/>
        <v>0</v>
      </c>
      <c r="X2528" s="6">
        <f t="shared" si="79"/>
        <v>2240</v>
      </c>
    </row>
    <row r="2529" spans="1:24" x14ac:dyDescent="0.3">
      <c r="A2529" t="s">
        <v>3574</v>
      </c>
      <c r="B2529" t="s">
        <v>3811</v>
      </c>
      <c r="C2529" t="s">
        <v>23</v>
      </c>
      <c r="D2529" t="s">
        <v>24</v>
      </c>
      <c r="E2529" t="s">
        <v>25</v>
      </c>
      <c r="F2529">
        <v>1</v>
      </c>
      <c r="G2529">
        <v>9791170100126</v>
      </c>
      <c r="H2529" t="s">
        <v>67</v>
      </c>
      <c r="I2529" t="s">
        <v>1061</v>
      </c>
      <c r="J2529" t="s">
        <v>347</v>
      </c>
      <c r="K2529" t="s">
        <v>29</v>
      </c>
      <c r="L2529">
        <v>0</v>
      </c>
      <c r="M2529" t="s">
        <v>29</v>
      </c>
      <c r="N2529">
        <v>0</v>
      </c>
      <c r="O2529">
        <v>0</v>
      </c>
      <c r="P2529" t="s">
        <v>30</v>
      </c>
      <c r="Q2529" s="2">
        <v>0.7</v>
      </c>
      <c r="R2529">
        <v>0</v>
      </c>
      <c r="V2529" t="str">
        <f>VLOOKUP(H2529,'[1]팀별 출판사'!A:B,2,0)</f>
        <v>소설1팀</v>
      </c>
      <c r="W2529" s="6">
        <f t="shared" si="78"/>
        <v>0</v>
      </c>
      <c r="X2529" s="6">
        <f t="shared" si="79"/>
        <v>0</v>
      </c>
    </row>
    <row r="2530" spans="1:24" x14ac:dyDescent="0.3">
      <c r="A2530" t="s">
        <v>3574</v>
      </c>
      <c r="B2530" t="s">
        <v>3812</v>
      </c>
      <c r="C2530" t="s">
        <v>23</v>
      </c>
      <c r="D2530" t="s">
        <v>24</v>
      </c>
      <c r="E2530" t="s">
        <v>25</v>
      </c>
      <c r="F2530">
        <v>1</v>
      </c>
      <c r="G2530">
        <v>9791173782947</v>
      </c>
      <c r="H2530" t="s">
        <v>26</v>
      </c>
      <c r="I2530" t="s">
        <v>3813</v>
      </c>
      <c r="J2530" t="s">
        <v>284</v>
      </c>
      <c r="K2530" t="s">
        <v>29</v>
      </c>
      <c r="L2530" s="1">
        <v>3200</v>
      </c>
      <c r="M2530" t="s">
        <v>29</v>
      </c>
      <c r="N2530" s="1">
        <v>3200</v>
      </c>
      <c r="O2530" s="1">
        <v>3200</v>
      </c>
      <c r="P2530" t="s">
        <v>30</v>
      </c>
      <c r="Q2530" s="2">
        <v>0.7</v>
      </c>
      <c r="R2530" s="1">
        <v>2240</v>
      </c>
      <c r="S2530" t="s">
        <v>29</v>
      </c>
      <c r="T2530" s="1">
        <v>2240</v>
      </c>
      <c r="V2530" t="str">
        <f>VLOOKUP(H2530,'[1]팀별 출판사'!A:B,2,0)</f>
        <v>소설1팀</v>
      </c>
      <c r="W2530" s="6">
        <f t="shared" si="78"/>
        <v>0</v>
      </c>
      <c r="X2530" s="6">
        <f t="shared" si="79"/>
        <v>2240</v>
      </c>
    </row>
    <row r="2531" spans="1:24" x14ac:dyDescent="0.3">
      <c r="A2531" t="s">
        <v>3574</v>
      </c>
      <c r="B2531" t="s">
        <v>3814</v>
      </c>
      <c r="C2531" t="s">
        <v>23</v>
      </c>
      <c r="D2531" t="s">
        <v>24</v>
      </c>
      <c r="E2531" t="s">
        <v>25</v>
      </c>
      <c r="F2531">
        <v>1</v>
      </c>
      <c r="G2531">
        <v>9791136958747</v>
      </c>
      <c r="H2531" t="s">
        <v>79</v>
      </c>
      <c r="I2531" t="s">
        <v>3014</v>
      </c>
      <c r="J2531" t="s">
        <v>81</v>
      </c>
      <c r="K2531" t="s">
        <v>29</v>
      </c>
      <c r="L2531" s="1">
        <v>3200</v>
      </c>
      <c r="M2531" t="s">
        <v>29</v>
      </c>
      <c r="N2531" s="1">
        <v>3200</v>
      </c>
      <c r="O2531" s="1">
        <v>3200</v>
      </c>
      <c r="P2531" t="s">
        <v>30</v>
      </c>
      <c r="Q2531" s="2">
        <v>0.7</v>
      </c>
      <c r="R2531" s="1">
        <v>2240</v>
      </c>
      <c r="S2531" t="s">
        <v>29</v>
      </c>
      <c r="T2531" s="1">
        <v>2240</v>
      </c>
      <c r="V2531" t="str">
        <f>VLOOKUP(H2531,'[1]팀별 출판사'!A:B,2,0)</f>
        <v>소설1팀</v>
      </c>
      <c r="W2531" s="6">
        <f t="shared" si="78"/>
        <v>0</v>
      </c>
      <c r="X2531" s="6">
        <f t="shared" si="79"/>
        <v>2240</v>
      </c>
    </row>
    <row r="2532" spans="1:24" x14ac:dyDescent="0.3">
      <c r="A2532" t="s">
        <v>3574</v>
      </c>
      <c r="B2532" t="s">
        <v>3815</v>
      </c>
      <c r="C2532" t="s">
        <v>23</v>
      </c>
      <c r="D2532" t="s">
        <v>24</v>
      </c>
      <c r="E2532" t="s">
        <v>25</v>
      </c>
      <c r="F2532">
        <v>1</v>
      </c>
      <c r="G2532">
        <v>9791136958730</v>
      </c>
      <c r="H2532" t="s">
        <v>79</v>
      </c>
      <c r="I2532" t="s">
        <v>2775</v>
      </c>
      <c r="J2532" t="s">
        <v>81</v>
      </c>
      <c r="K2532" t="s">
        <v>29</v>
      </c>
      <c r="L2532" s="1">
        <v>3200</v>
      </c>
      <c r="M2532" t="s">
        <v>29</v>
      </c>
      <c r="N2532" s="1">
        <v>3200</v>
      </c>
      <c r="O2532" s="1">
        <v>3200</v>
      </c>
      <c r="P2532" t="s">
        <v>30</v>
      </c>
      <c r="Q2532" s="2">
        <v>0.7</v>
      </c>
      <c r="R2532" s="1">
        <v>2240</v>
      </c>
      <c r="S2532" t="s">
        <v>29</v>
      </c>
      <c r="T2532" s="1">
        <v>2240</v>
      </c>
      <c r="V2532" t="str">
        <f>VLOOKUP(H2532,'[1]팀별 출판사'!A:B,2,0)</f>
        <v>소설1팀</v>
      </c>
      <c r="W2532" s="6">
        <f t="shared" si="78"/>
        <v>0</v>
      </c>
      <c r="X2532" s="6">
        <f t="shared" si="79"/>
        <v>2240</v>
      </c>
    </row>
    <row r="2533" spans="1:24" x14ac:dyDescent="0.3">
      <c r="A2533" t="s">
        <v>3816</v>
      </c>
      <c r="B2533" t="s">
        <v>3817</v>
      </c>
      <c r="C2533" t="s">
        <v>23</v>
      </c>
      <c r="D2533" t="s">
        <v>24</v>
      </c>
      <c r="E2533" t="s">
        <v>25</v>
      </c>
      <c r="F2533">
        <v>1</v>
      </c>
      <c r="G2533">
        <v>9791133143818</v>
      </c>
      <c r="H2533" t="s">
        <v>32</v>
      </c>
      <c r="I2533" t="s">
        <v>3818</v>
      </c>
      <c r="J2533" t="s">
        <v>88</v>
      </c>
      <c r="K2533" t="s">
        <v>29</v>
      </c>
      <c r="L2533" s="1">
        <v>3200</v>
      </c>
      <c r="M2533" t="s">
        <v>29</v>
      </c>
      <c r="N2533" s="1">
        <v>3200</v>
      </c>
      <c r="O2533" s="1">
        <v>3200</v>
      </c>
      <c r="P2533" t="s">
        <v>30</v>
      </c>
      <c r="Q2533" s="2">
        <v>0.7</v>
      </c>
      <c r="R2533" s="1">
        <v>2240</v>
      </c>
      <c r="S2533" t="s">
        <v>29</v>
      </c>
      <c r="T2533" s="1">
        <v>2240</v>
      </c>
      <c r="V2533" t="str">
        <f>VLOOKUP(H2533,'[1]팀별 출판사'!A:B,2,0)</f>
        <v>소설1팀</v>
      </c>
      <c r="W2533" s="6">
        <f t="shared" si="78"/>
        <v>0</v>
      </c>
      <c r="X2533" s="6">
        <f t="shared" si="79"/>
        <v>2240</v>
      </c>
    </row>
    <row r="2534" spans="1:24" x14ac:dyDescent="0.3">
      <c r="A2534" t="s">
        <v>3816</v>
      </c>
      <c r="B2534" t="s">
        <v>3819</v>
      </c>
      <c r="C2534" t="s">
        <v>23</v>
      </c>
      <c r="D2534" t="s">
        <v>24</v>
      </c>
      <c r="E2534" t="s">
        <v>25</v>
      </c>
      <c r="F2534">
        <v>1</v>
      </c>
      <c r="G2534">
        <v>9791173782794</v>
      </c>
      <c r="H2534" t="s">
        <v>26</v>
      </c>
      <c r="I2534" t="s">
        <v>1209</v>
      </c>
      <c r="J2534" t="s">
        <v>284</v>
      </c>
      <c r="K2534" t="s">
        <v>29</v>
      </c>
      <c r="L2534">
        <v>0</v>
      </c>
      <c r="M2534" t="s">
        <v>29</v>
      </c>
      <c r="N2534">
        <v>0</v>
      </c>
      <c r="O2534">
        <v>0</v>
      </c>
      <c r="P2534" t="s">
        <v>30</v>
      </c>
      <c r="Q2534" s="2">
        <v>0.7</v>
      </c>
      <c r="R2534">
        <v>0</v>
      </c>
      <c r="V2534" t="str">
        <f>VLOOKUP(H2534,'[1]팀별 출판사'!A:B,2,0)</f>
        <v>소설1팀</v>
      </c>
      <c r="W2534" s="6">
        <f t="shared" si="78"/>
        <v>0</v>
      </c>
      <c r="X2534" s="6">
        <f t="shared" si="79"/>
        <v>0</v>
      </c>
    </row>
    <row r="2535" spans="1:24" x14ac:dyDescent="0.3">
      <c r="A2535" t="s">
        <v>3816</v>
      </c>
      <c r="B2535" t="s">
        <v>3820</v>
      </c>
      <c r="C2535" t="s">
        <v>23</v>
      </c>
      <c r="D2535" t="s">
        <v>24</v>
      </c>
      <c r="E2535" t="s">
        <v>25</v>
      </c>
      <c r="F2535">
        <v>1</v>
      </c>
      <c r="G2535">
        <v>9791136988133</v>
      </c>
      <c r="H2535" t="s">
        <v>26</v>
      </c>
      <c r="I2535" t="s">
        <v>614</v>
      </c>
      <c r="J2535" t="s">
        <v>28</v>
      </c>
      <c r="K2535" t="s">
        <v>29</v>
      </c>
      <c r="L2535">
        <v>0</v>
      </c>
      <c r="M2535" t="s">
        <v>29</v>
      </c>
      <c r="N2535">
        <v>0</v>
      </c>
      <c r="O2535">
        <v>0</v>
      </c>
      <c r="P2535" t="s">
        <v>30</v>
      </c>
      <c r="Q2535" s="2">
        <v>0.7</v>
      </c>
      <c r="R2535">
        <v>0</v>
      </c>
      <c r="V2535" t="str">
        <f>VLOOKUP(H2535,'[1]팀별 출판사'!A:B,2,0)</f>
        <v>소설1팀</v>
      </c>
      <c r="W2535" s="6">
        <f t="shared" si="78"/>
        <v>0</v>
      </c>
      <c r="X2535" s="6">
        <f t="shared" si="79"/>
        <v>0</v>
      </c>
    </row>
    <row r="2536" spans="1:24" x14ac:dyDescent="0.3">
      <c r="A2536" t="s">
        <v>3816</v>
      </c>
      <c r="B2536" t="s">
        <v>3821</v>
      </c>
      <c r="C2536" t="s">
        <v>23</v>
      </c>
      <c r="D2536" t="s">
        <v>24</v>
      </c>
      <c r="E2536" t="s">
        <v>25</v>
      </c>
      <c r="F2536">
        <v>1</v>
      </c>
      <c r="G2536">
        <v>9791136941862</v>
      </c>
      <c r="H2536" t="s">
        <v>26</v>
      </c>
      <c r="I2536" t="s">
        <v>894</v>
      </c>
      <c r="J2536" t="s">
        <v>81</v>
      </c>
      <c r="K2536" t="s">
        <v>29</v>
      </c>
      <c r="L2536">
        <v>0</v>
      </c>
      <c r="M2536" t="s">
        <v>70</v>
      </c>
      <c r="N2536">
        <v>0</v>
      </c>
      <c r="O2536">
        <v>0</v>
      </c>
      <c r="P2536" t="s">
        <v>71</v>
      </c>
      <c r="Q2536" s="2">
        <v>0.7</v>
      </c>
      <c r="R2536">
        <v>0</v>
      </c>
      <c r="V2536" t="str">
        <f>VLOOKUP(H2536,'[1]팀별 출판사'!A:B,2,0)</f>
        <v>소설1팀</v>
      </c>
      <c r="W2536" s="6">
        <f t="shared" si="78"/>
        <v>0</v>
      </c>
      <c r="X2536" s="6">
        <f t="shared" si="79"/>
        <v>0</v>
      </c>
    </row>
    <row r="2537" spans="1:24" x14ac:dyDescent="0.3">
      <c r="A2537" t="s">
        <v>3816</v>
      </c>
      <c r="B2537" t="s">
        <v>3822</v>
      </c>
      <c r="C2537" t="s">
        <v>23</v>
      </c>
      <c r="D2537" t="s">
        <v>24</v>
      </c>
      <c r="E2537" t="s">
        <v>25</v>
      </c>
      <c r="F2537">
        <v>1</v>
      </c>
      <c r="G2537">
        <v>9791172926991</v>
      </c>
      <c r="H2537" t="s">
        <v>26</v>
      </c>
      <c r="I2537" t="s">
        <v>330</v>
      </c>
      <c r="J2537" t="s">
        <v>28</v>
      </c>
      <c r="K2537" t="s">
        <v>29</v>
      </c>
      <c r="L2537">
        <v>0</v>
      </c>
      <c r="M2537" t="s">
        <v>29</v>
      </c>
      <c r="N2537">
        <v>0</v>
      </c>
      <c r="O2537">
        <v>0</v>
      </c>
      <c r="P2537" t="s">
        <v>30</v>
      </c>
      <c r="Q2537" s="2">
        <v>0.7</v>
      </c>
      <c r="R2537">
        <v>0</v>
      </c>
      <c r="V2537" t="str">
        <f>VLOOKUP(H2537,'[1]팀별 출판사'!A:B,2,0)</f>
        <v>소설1팀</v>
      </c>
      <c r="W2537" s="6">
        <f t="shared" si="78"/>
        <v>0</v>
      </c>
      <c r="X2537" s="6">
        <f t="shared" si="79"/>
        <v>0</v>
      </c>
    </row>
    <row r="2538" spans="1:24" x14ac:dyDescent="0.3">
      <c r="A2538" t="s">
        <v>3816</v>
      </c>
      <c r="B2538" t="s">
        <v>3823</v>
      </c>
      <c r="C2538" t="s">
        <v>23</v>
      </c>
      <c r="D2538" t="s">
        <v>24</v>
      </c>
      <c r="E2538" t="s">
        <v>25</v>
      </c>
      <c r="F2538">
        <v>1</v>
      </c>
      <c r="G2538">
        <v>9791133157303</v>
      </c>
      <c r="H2538" t="s">
        <v>32</v>
      </c>
      <c r="I2538" t="s">
        <v>3824</v>
      </c>
      <c r="J2538" t="s">
        <v>51</v>
      </c>
      <c r="K2538" t="s">
        <v>29</v>
      </c>
      <c r="L2538" s="1">
        <v>3000</v>
      </c>
      <c r="M2538" t="s">
        <v>29</v>
      </c>
      <c r="N2538" s="1">
        <v>3000</v>
      </c>
      <c r="O2538" s="1">
        <v>3000</v>
      </c>
      <c r="P2538" t="s">
        <v>30</v>
      </c>
      <c r="Q2538" s="2">
        <v>0.7</v>
      </c>
      <c r="R2538" s="1">
        <v>2100</v>
      </c>
      <c r="S2538" t="s">
        <v>29</v>
      </c>
      <c r="T2538" s="1">
        <v>2100</v>
      </c>
      <c r="V2538" t="str">
        <f>VLOOKUP(H2538,'[1]팀별 출판사'!A:B,2,0)</f>
        <v>소설1팀</v>
      </c>
      <c r="W2538" s="6">
        <f t="shared" si="78"/>
        <v>0</v>
      </c>
      <c r="X2538" s="6">
        <f t="shared" si="79"/>
        <v>2100</v>
      </c>
    </row>
    <row r="2539" spans="1:24" x14ac:dyDescent="0.3">
      <c r="A2539" t="s">
        <v>3816</v>
      </c>
      <c r="B2539" t="s">
        <v>3825</v>
      </c>
      <c r="C2539" t="s">
        <v>23</v>
      </c>
      <c r="D2539" t="s">
        <v>24</v>
      </c>
      <c r="E2539" t="s">
        <v>25</v>
      </c>
      <c r="F2539">
        <v>1</v>
      </c>
      <c r="G2539">
        <v>9791136936769</v>
      </c>
      <c r="H2539" t="s">
        <v>32</v>
      </c>
      <c r="I2539" t="s">
        <v>792</v>
      </c>
      <c r="J2539" t="s">
        <v>793</v>
      </c>
      <c r="K2539" t="s">
        <v>29</v>
      </c>
      <c r="L2539">
        <v>0</v>
      </c>
      <c r="M2539" t="s">
        <v>29</v>
      </c>
      <c r="N2539">
        <v>0</v>
      </c>
      <c r="O2539">
        <v>0</v>
      </c>
      <c r="P2539" t="s">
        <v>30</v>
      </c>
      <c r="Q2539" s="2">
        <v>0.7</v>
      </c>
      <c r="R2539">
        <v>0</v>
      </c>
      <c r="V2539" t="str">
        <f>VLOOKUP(H2539,'[1]팀별 출판사'!A:B,2,0)</f>
        <v>소설1팀</v>
      </c>
      <c r="W2539" s="6">
        <f t="shared" si="78"/>
        <v>0</v>
      </c>
      <c r="X2539" s="6">
        <f t="shared" si="79"/>
        <v>0</v>
      </c>
    </row>
    <row r="2540" spans="1:24" x14ac:dyDescent="0.3">
      <c r="A2540" t="s">
        <v>3816</v>
      </c>
      <c r="B2540" t="s">
        <v>3826</v>
      </c>
      <c r="C2540" t="s">
        <v>23</v>
      </c>
      <c r="D2540" t="s">
        <v>24</v>
      </c>
      <c r="E2540" t="s">
        <v>25</v>
      </c>
      <c r="F2540">
        <v>1</v>
      </c>
      <c r="G2540" t="s">
        <v>3827</v>
      </c>
      <c r="H2540" t="s">
        <v>1311</v>
      </c>
      <c r="I2540" t="s">
        <v>3828</v>
      </c>
      <c r="J2540" t="s">
        <v>2606</v>
      </c>
      <c r="K2540" t="s">
        <v>29</v>
      </c>
      <c r="L2540" s="1">
        <v>4000</v>
      </c>
      <c r="M2540" t="s">
        <v>29</v>
      </c>
      <c r="N2540" s="1">
        <v>4000</v>
      </c>
      <c r="O2540" s="1">
        <v>4000</v>
      </c>
      <c r="P2540" t="s">
        <v>30</v>
      </c>
      <c r="Q2540" s="2">
        <v>0.7</v>
      </c>
      <c r="R2540" s="1">
        <v>2800</v>
      </c>
      <c r="S2540" t="s">
        <v>29</v>
      </c>
      <c r="T2540" s="1">
        <v>2800</v>
      </c>
      <c r="V2540" t="str">
        <f>VLOOKUP(H2540,'[1]팀별 출판사'!A:B,2,0)</f>
        <v>소설2팀</v>
      </c>
      <c r="W2540" s="6">
        <f t="shared" si="78"/>
        <v>0</v>
      </c>
      <c r="X2540" s="6">
        <f t="shared" si="79"/>
        <v>2800</v>
      </c>
    </row>
    <row r="2541" spans="1:24" x14ac:dyDescent="0.3">
      <c r="A2541" t="s">
        <v>3816</v>
      </c>
      <c r="B2541" t="s">
        <v>3829</v>
      </c>
      <c r="C2541" t="s">
        <v>23</v>
      </c>
      <c r="D2541" t="s">
        <v>24</v>
      </c>
      <c r="E2541" t="s">
        <v>25</v>
      </c>
      <c r="F2541">
        <v>1</v>
      </c>
      <c r="G2541">
        <v>9791170106715</v>
      </c>
      <c r="H2541" t="s">
        <v>67</v>
      </c>
      <c r="I2541" t="s">
        <v>68</v>
      </c>
      <c r="J2541" t="s">
        <v>69</v>
      </c>
      <c r="K2541" t="s">
        <v>29</v>
      </c>
      <c r="L2541">
        <v>0</v>
      </c>
      <c r="M2541" t="s">
        <v>252</v>
      </c>
      <c r="N2541">
        <v>0</v>
      </c>
      <c r="O2541">
        <v>0</v>
      </c>
      <c r="P2541" t="s">
        <v>253</v>
      </c>
      <c r="Q2541" s="2">
        <v>0.7</v>
      </c>
      <c r="R2541">
        <v>0</v>
      </c>
      <c r="V2541" t="str">
        <f>VLOOKUP(H2541,'[1]팀별 출판사'!A:B,2,0)</f>
        <v>소설1팀</v>
      </c>
      <c r="W2541" s="6">
        <f t="shared" si="78"/>
        <v>0</v>
      </c>
      <c r="X2541" s="6">
        <f t="shared" si="79"/>
        <v>0</v>
      </c>
    </row>
    <row r="2542" spans="1:24" x14ac:dyDescent="0.3">
      <c r="A2542" t="s">
        <v>3816</v>
      </c>
      <c r="B2542" t="s">
        <v>3830</v>
      </c>
      <c r="C2542" t="s">
        <v>23</v>
      </c>
      <c r="D2542" t="s">
        <v>24</v>
      </c>
      <c r="E2542" t="s">
        <v>25</v>
      </c>
      <c r="F2542">
        <v>1</v>
      </c>
      <c r="G2542">
        <v>9791136931382</v>
      </c>
      <c r="H2542" t="s">
        <v>32</v>
      </c>
      <c r="I2542" t="s">
        <v>523</v>
      </c>
      <c r="J2542" t="s">
        <v>46</v>
      </c>
      <c r="K2542" t="s">
        <v>29</v>
      </c>
      <c r="L2542">
        <v>0</v>
      </c>
      <c r="M2542" t="s">
        <v>127</v>
      </c>
      <c r="N2542">
        <v>0</v>
      </c>
      <c r="O2542">
        <v>0</v>
      </c>
      <c r="P2542" t="s">
        <v>128</v>
      </c>
      <c r="Q2542" s="2">
        <v>0.7</v>
      </c>
      <c r="R2542">
        <v>0</v>
      </c>
      <c r="V2542" t="str">
        <f>VLOOKUP(H2542,'[1]팀별 출판사'!A:B,2,0)</f>
        <v>소설1팀</v>
      </c>
      <c r="W2542" s="6">
        <f t="shared" si="78"/>
        <v>0</v>
      </c>
      <c r="X2542" s="6">
        <f t="shared" si="79"/>
        <v>0</v>
      </c>
    </row>
    <row r="2543" spans="1:24" x14ac:dyDescent="0.3">
      <c r="A2543" t="s">
        <v>3816</v>
      </c>
      <c r="B2543" t="s">
        <v>3831</v>
      </c>
      <c r="C2543" t="s">
        <v>23</v>
      </c>
      <c r="D2543" t="s">
        <v>24</v>
      </c>
      <c r="E2543" t="s">
        <v>25</v>
      </c>
      <c r="F2543">
        <v>1</v>
      </c>
      <c r="G2543">
        <v>9791136931382</v>
      </c>
      <c r="H2543" t="s">
        <v>32</v>
      </c>
      <c r="I2543" t="s">
        <v>523</v>
      </c>
      <c r="J2543" t="s">
        <v>46</v>
      </c>
      <c r="K2543" t="s">
        <v>29</v>
      </c>
      <c r="L2543">
        <v>0</v>
      </c>
      <c r="M2543" t="s">
        <v>152</v>
      </c>
      <c r="N2543">
        <v>0</v>
      </c>
      <c r="O2543">
        <v>0</v>
      </c>
      <c r="P2543" t="s">
        <v>153</v>
      </c>
      <c r="Q2543" s="2">
        <v>0.7</v>
      </c>
      <c r="R2543">
        <v>0</v>
      </c>
      <c r="V2543" t="str">
        <f>VLOOKUP(H2543,'[1]팀별 출판사'!A:B,2,0)</f>
        <v>소설1팀</v>
      </c>
      <c r="W2543" s="6">
        <f t="shared" si="78"/>
        <v>0</v>
      </c>
      <c r="X2543" s="6">
        <f t="shared" si="79"/>
        <v>0</v>
      </c>
    </row>
    <row r="2544" spans="1:24" x14ac:dyDescent="0.3">
      <c r="A2544" t="s">
        <v>3816</v>
      </c>
      <c r="B2544" t="s">
        <v>3832</v>
      </c>
      <c r="C2544" t="s">
        <v>23</v>
      </c>
      <c r="D2544" t="s">
        <v>24</v>
      </c>
      <c r="E2544" t="s">
        <v>25</v>
      </c>
      <c r="F2544">
        <v>1</v>
      </c>
      <c r="G2544">
        <v>9791172920043</v>
      </c>
      <c r="H2544" t="s">
        <v>26</v>
      </c>
      <c r="I2544" t="s">
        <v>3833</v>
      </c>
      <c r="J2544" t="s">
        <v>276</v>
      </c>
      <c r="K2544" t="s">
        <v>29</v>
      </c>
      <c r="L2544" s="1">
        <v>3200</v>
      </c>
      <c r="M2544" t="s">
        <v>29</v>
      </c>
      <c r="N2544" s="1">
        <v>3200</v>
      </c>
      <c r="O2544" s="1">
        <v>3200</v>
      </c>
      <c r="P2544" t="s">
        <v>30</v>
      </c>
      <c r="Q2544" s="2">
        <v>0.7</v>
      </c>
      <c r="R2544" s="1">
        <v>2240</v>
      </c>
      <c r="S2544" t="s">
        <v>29</v>
      </c>
      <c r="T2544" s="1">
        <v>2240</v>
      </c>
      <c r="V2544" t="str">
        <f>VLOOKUP(H2544,'[1]팀별 출판사'!A:B,2,0)</f>
        <v>소설1팀</v>
      </c>
      <c r="W2544" s="6">
        <f t="shared" si="78"/>
        <v>0</v>
      </c>
      <c r="X2544" s="6">
        <f t="shared" si="79"/>
        <v>2240</v>
      </c>
    </row>
    <row r="2545" spans="1:24" x14ac:dyDescent="0.3">
      <c r="A2545" t="s">
        <v>3816</v>
      </c>
      <c r="B2545" t="s">
        <v>3834</v>
      </c>
      <c r="C2545" t="s">
        <v>23</v>
      </c>
      <c r="D2545" t="s">
        <v>24</v>
      </c>
      <c r="E2545" t="s">
        <v>25</v>
      </c>
      <c r="F2545">
        <v>1</v>
      </c>
      <c r="G2545">
        <v>9791133106424</v>
      </c>
      <c r="H2545" t="s">
        <v>32</v>
      </c>
      <c r="I2545" t="s">
        <v>1173</v>
      </c>
      <c r="J2545" t="s">
        <v>51</v>
      </c>
      <c r="K2545" t="s">
        <v>29</v>
      </c>
      <c r="L2545">
        <v>0</v>
      </c>
      <c r="M2545" t="s">
        <v>29</v>
      </c>
      <c r="N2545">
        <v>0</v>
      </c>
      <c r="O2545">
        <v>0</v>
      </c>
      <c r="P2545" t="s">
        <v>30</v>
      </c>
      <c r="Q2545" s="2">
        <v>0.7</v>
      </c>
      <c r="R2545">
        <v>0</v>
      </c>
      <c r="V2545" t="str">
        <f>VLOOKUP(H2545,'[1]팀별 출판사'!A:B,2,0)</f>
        <v>소설1팀</v>
      </c>
      <c r="W2545" s="6">
        <f t="shared" si="78"/>
        <v>0</v>
      </c>
      <c r="X2545" s="6">
        <f t="shared" si="79"/>
        <v>0</v>
      </c>
    </row>
    <row r="2546" spans="1:24" x14ac:dyDescent="0.3">
      <c r="A2546" t="s">
        <v>3816</v>
      </c>
      <c r="B2546" t="s">
        <v>3835</v>
      </c>
      <c r="C2546" t="s">
        <v>23</v>
      </c>
      <c r="D2546" t="s">
        <v>24</v>
      </c>
      <c r="E2546" t="s">
        <v>25</v>
      </c>
      <c r="F2546">
        <v>1</v>
      </c>
      <c r="G2546">
        <v>9791175300651</v>
      </c>
      <c r="H2546" t="s">
        <v>26</v>
      </c>
      <c r="I2546" t="s">
        <v>1090</v>
      </c>
      <c r="J2546" t="s">
        <v>256</v>
      </c>
      <c r="K2546" t="s">
        <v>29</v>
      </c>
      <c r="L2546">
        <v>0</v>
      </c>
      <c r="M2546" t="s">
        <v>29</v>
      </c>
      <c r="N2546">
        <v>0</v>
      </c>
      <c r="O2546">
        <v>0</v>
      </c>
      <c r="P2546" t="s">
        <v>30</v>
      </c>
      <c r="Q2546" s="2">
        <v>0.7</v>
      </c>
      <c r="R2546">
        <v>0</v>
      </c>
      <c r="V2546" t="str">
        <f>VLOOKUP(H2546,'[1]팀별 출판사'!A:B,2,0)</f>
        <v>소설1팀</v>
      </c>
      <c r="W2546" s="6">
        <f t="shared" si="78"/>
        <v>0</v>
      </c>
      <c r="X2546" s="6">
        <f t="shared" si="79"/>
        <v>0</v>
      </c>
    </row>
    <row r="2547" spans="1:24" x14ac:dyDescent="0.3">
      <c r="A2547" t="s">
        <v>3816</v>
      </c>
      <c r="B2547" t="s">
        <v>3836</v>
      </c>
      <c r="C2547" t="s">
        <v>23</v>
      </c>
      <c r="D2547" t="s">
        <v>24</v>
      </c>
      <c r="E2547" t="s">
        <v>25</v>
      </c>
      <c r="F2547">
        <v>1</v>
      </c>
      <c r="G2547">
        <v>9791136965455</v>
      </c>
      <c r="H2547" t="s">
        <v>26</v>
      </c>
      <c r="I2547" t="s">
        <v>472</v>
      </c>
      <c r="J2547" t="s">
        <v>157</v>
      </c>
      <c r="K2547" t="s">
        <v>29</v>
      </c>
      <c r="L2547">
        <v>0</v>
      </c>
      <c r="M2547" t="s">
        <v>29</v>
      </c>
      <c r="N2547">
        <v>0</v>
      </c>
      <c r="O2547">
        <v>0</v>
      </c>
      <c r="P2547" t="s">
        <v>30</v>
      </c>
      <c r="Q2547" s="2">
        <v>0.7</v>
      </c>
      <c r="R2547">
        <v>0</v>
      </c>
      <c r="V2547" t="str">
        <f>VLOOKUP(H2547,'[1]팀별 출판사'!A:B,2,0)</f>
        <v>소설1팀</v>
      </c>
      <c r="W2547" s="6">
        <f t="shared" si="78"/>
        <v>0</v>
      </c>
      <c r="X2547" s="6">
        <f t="shared" si="79"/>
        <v>0</v>
      </c>
    </row>
    <row r="2548" spans="1:24" x14ac:dyDescent="0.3">
      <c r="A2548" t="s">
        <v>3816</v>
      </c>
      <c r="B2548" t="s">
        <v>3837</v>
      </c>
      <c r="C2548" t="s">
        <v>23</v>
      </c>
      <c r="D2548" t="s">
        <v>24</v>
      </c>
      <c r="E2548" t="s">
        <v>25</v>
      </c>
      <c r="F2548">
        <v>1</v>
      </c>
      <c r="G2548">
        <v>9791133101801</v>
      </c>
      <c r="H2548" t="s">
        <v>32</v>
      </c>
      <c r="I2548" t="s">
        <v>1173</v>
      </c>
      <c r="J2548" t="s">
        <v>160</v>
      </c>
      <c r="K2548" t="s">
        <v>29</v>
      </c>
      <c r="L2548">
        <v>0</v>
      </c>
      <c r="M2548" t="s">
        <v>29</v>
      </c>
      <c r="N2548">
        <v>0</v>
      </c>
      <c r="O2548">
        <v>0</v>
      </c>
      <c r="P2548" t="s">
        <v>30</v>
      </c>
      <c r="Q2548" s="2">
        <v>0.7</v>
      </c>
      <c r="R2548">
        <v>0</v>
      </c>
      <c r="V2548" t="str">
        <f>VLOOKUP(H2548,'[1]팀별 출판사'!A:B,2,0)</f>
        <v>소설1팀</v>
      </c>
      <c r="W2548" s="6">
        <f t="shared" si="78"/>
        <v>0</v>
      </c>
      <c r="X2548" s="6">
        <f t="shared" si="79"/>
        <v>0</v>
      </c>
    </row>
    <row r="2549" spans="1:24" x14ac:dyDescent="0.3">
      <c r="A2549" t="s">
        <v>3816</v>
      </c>
      <c r="B2549" t="s">
        <v>3838</v>
      </c>
      <c r="C2549" t="s">
        <v>23</v>
      </c>
      <c r="D2549" t="s">
        <v>24</v>
      </c>
      <c r="E2549" t="s">
        <v>25</v>
      </c>
      <c r="F2549">
        <v>1</v>
      </c>
      <c r="G2549">
        <v>9788928005833</v>
      </c>
      <c r="H2549" t="s">
        <v>32</v>
      </c>
      <c r="I2549" t="s">
        <v>2180</v>
      </c>
      <c r="J2549" t="s">
        <v>311</v>
      </c>
      <c r="K2549" t="s">
        <v>29</v>
      </c>
      <c r="L2549" s="1">
        <v>3200</v>
      </c>
      <c r="M2549" t="s">
        <v>29</v>
      </c>
      <c r="N2549" s="1">
        <v>3200</v>
      </c>
      <c r="O2549" s="1">
        <v>3200</v>
      </c>
      <c r="P2549" t="s">
        <v>30</v>
      </c>
      <c r="Q2549" s="2">
        <v>0.7</v>
      </c>
      <c r="R2549" s="1">
        <v>2240</v>
      </c>
      <c r="S2549" t="s">
        <v>29</v>
      </c>
      <c r="T2549" s="1">
        <v>2240</v>
      </c>
      <c r="V2549" t="str">
        <f>VLOOKUP(H2549,'[1]팀별 출판사'!A:B,2,0)</f>
        <v>소설1팀</v>
      </c>
      <c r="W2549" s="6">
        <f t="shared" si="78"/>
        <v>0</v>
      </c>
      <c r="X2549" s="6">
        <f t="shared" si="79"/>
        <v>2240</v>
      </c>
    </row>
    <row r="2550" spans="1:24" x14ac:dyDescent="0.3">
      <c r="A2550" t="s">
        <v>3816</v>
      </c>
      <c r="B2550" t="s">
        <v>3839</v>
      </c>
      <c r="C2550" t="s">
        <v>23</v>
      </c>
      <c r="D2550" t="s">
        <v>24</v>
      </c>
      <c r="E2550" t="s">
        <v>25</v>
      </c>
      <c r="F2550">
        <v>1</v>
      </c>
      <c r="G2550" t="s">
        <v>3840</v>
      </c>
      <c r="H2550" t="s">
        <v>32</v>
      </c>
      <c r="I2550" t="s">
        <v>3841</v>
      </c>
      <c r="J2550" t="s">
        <v>220</v>
      </c>
      <c r="K2550" t="s">
        <v>29</v>
      </c>
      <c r="L2550">
        <v>0</v>
      </c>
      <c r="M2550" t="s">
        <v>29</v>
      </c>
      <c r="N2550">
        <v>0</v>
      </c>
      <c r="O2550">
        <v>0</v>
      </c>
      <c r="P2550" t="s">
        <v>30</v>
      </c>
      <c r="Q2550" s="2">
        <v>0.7</v>
      </c>
      <c r="R2550">
        <v>0</v>
      </c>
      <c r="V2550" t="str">
        <f>VLOOKUP(H2550,'[1]팀별 출판사'!A:B,2,0)</f>
        <v>소설1팀</v>
      </c>
      <c r="W2550" s="6">
        <f t="shared" si="78"/>
        <v>0</v>
      </c>
      <c r="X2550" s="6">
        <f t="shared" si="79"/>
        <v>0</v>
      </c>
    </row>
    <row r="2551" spans="1:24" x14ac:dyDescent="0.3">
      <c r="A2551" t="s">
        <v>3816</v>
      </c>
      <c r="B2551" t="s">
        <v>3842</v>
      </c>
      <c r="C2551" t="s">
        <v>23</v>
      </c>
      <c r="D2551" t="s">
        <v>24</v>
      </c>
      <c r="E2551" t="s">
        <v>25</v>
      </c>
      <c r="F2551">
        <v>1</v>
      </c>
      <c r="G2551">
        <v>9791133148462</v>
      </c>
      <c r="H2551" t="s">
        <v>32</v>
      </c>
      <c r="I2551" t="s">
        <v>1592</v>
      </c>
      <c r="J2551" t="s">
        <v>284</v>
      </c>
      <c r="K2551" t="s">
        <v>29</v>
      </c>
      <c r="L2551">
        <v>0</v>
      </c>
      <c r="M2551" t="s">
        <v>29</v>
      </c>
      <c r="N2551">
        <v>0</v>
      </c>
      <c r="O2551">
        <v>0</v>
      </c>
      <c r="P2551" t="s">
        <v>30</v>
      </c>
      <c r="Q2551" s="2">
        <v>0.7</v>
      </c>
      <c r="R2551">
        <v>0</v>
      </c>
      <c r="V2551" t="str">
        <f>VLOOKUP(H2551,'[1]팀별 출판사'!A:B,2,0)</f>
        <v>소설1팀</v>
      </c>
      <c r="W2551" s="6">
        <f t="shared" si="78"/>
        <v>0</v>
      </c>
      <c r="X2551" s="6">
        <f t="shared" si="79"/>
        <v>0</v>
      </c>
    </row>
    <row r="2552" spans="1:24" x14ac:dyDescent="0.3">
      <c r="A2552" t="s">
        <v>3816</v>
      </c>
      <c r="B2552" t="s">
        <v>3843</v>
      </c>
      <c r="C2552" t="s">
        <v>23</v>
      </c>
      <c r="D2552" t="s">
        <v>24</v>
      </c>
      <c r="E2552" t="s">
        <v>25</v>
      </c>
      <c r="F2552">
        <v>1</v>
      </c>
      <c r="G2552">
        <v>9791136928863</v>
      </c>
      <c r="H2552" t="s">
        <v>26</v>
      </c>
      <c r="I2552" t="s">
        <v>2981</v>
      </c>
      <c r="J2552" t="s">
        <v>62</v>
      </c>
      <c r="K2552" t="s">
        <v>29</v>
      </c>
      <c r="L2552">
        <v>0</v>
      </c>
      <c r="M2552" t="s">
        <v>29</v>
      </c>
      <c r="N2552">
        <v>0</v>
      </c>
      <c r="O2552">
        <v>0</v>
      </c>
      <c r="P2552" t="s">
        <v>30</v>
      </c>
      <c r="Q2552" s="2">
        <v>0.7</v>
      </c>
      <c r="R2552">
        <v>0</v>
      </c>
      <c r="V2552" t="str">
        <f>VLOOKUP(H2552,'[1]팀별 출판사'!A:B,2,0)</f>
        <v>소설1팀</v>
      </c>
      <c r="W2552" s="6">
        <f t="shared" si="78"/>
        <v>0</v>
      </c>
      <c r="X2552" s="6">
        <f t="shared" si="79"/>
        <v>0</v>
      </c>
    </row>
    <row r="2553" spans="1:24" x14ac:dyDescent="0.3">
      <c r="A2553" t="s">
        <v>3816</v>
      </c>
      <c r="B2553" t="s">
        <v>3844</v>
      </c>
      <c r="C2553" t="s">
        <v>23</v>
      </c>
      <c r="D2553" t="s">
        <v>24</v>
      </c>
      <c r="E2553" t="s">
        <v>25</v>
      </c>
      <c r="F2553">
        <v>1</v>
      </c>
      <c r="G2553">
        <v>9791157539734</v>
      </c>
      <c r="H2553" t="s">
        <v>32</v>
      </c>
      <c r="I2553" t="s">
        <v>3845</v>
      </c>
      <c r="J2553" t="s">
        <v>88</v>
      </c>
      <c r="K2553" t="s">
        <v>29</v>
      </c>
      <c r="L2553" s="1">
        <v>3200</v>
      </c>
      <c r="M2553" t="s">
        <v>29</v>
      </c>
      <c r="N2553" s="1">
        <v>3200</v>
      </c>
      <c r="O2553" s="1">
        <v>3200</v>
      </c>
      <c r="P2553" t="s">
        <v>30</v>
      </c>
      <c r="Q2553" s="2">
        <v>0.7</v>
      </c>
      <c r="R2553" s="1">
        <v>2240</v>
      </c>
      <c r="S2553" t="s">
        <v>29</v>
      </c>
      <c r="T2553" s="1">
        <v>2240</v>
      </c>
      <c r="V2553" t="str">
        <f>VLOOKUP(H2553,'[1]팀별 출판사'!A:B,2,0)</f>
        <v>소설1팀</v>
      </c>
      <c r="W2553" s="6">
        <f t="shared" si="78"/>
        <v>0</v>
      </c>
      <c r="X2553" s="6">
        <f t="shared" si="79"/>
        <v>2240</v>
      </c>
    </row>
    <row r="2554" spans="1:24" x14ac:dyDescent="0.3">
      <c r="A2554" t="s">
        <v>3816</v>
      </c>
      <c r="B2554" t="s">
        <v>3846</v>
      </c>
      <c r="C2554" t="s">
        <v>23</v>
      </c>
      <c r="D2554" t="s">
        <v>24</v>
      </c>
      <c r="E2554" t="s">
        <v>25</v>
      </c>
      <c r="F2554">
        <v>1</v>
      </c>
      <c r="G2554">
        <v>9791136911056</v>
      </c>
      <c r="H2554" t="s">
        <v>26</v>
      </c>
      <c r="I2554" t="s">
        <v>3847</v>
      </c>
      <c r="J2554" t="s">
        <v>160</v>
      </c>
      <c r="K2554" t="s">
        <v>29</v>
      </c>
      <c r="L2554" s="1">
        <v>3200</v>
      </c>
      <c r="M2554" t="s">
        <v>29</v>
      </c>
      <c r="N2554" s="1">
        <v>3200</v>
      </c>
      <c r="O2554" s="1">
        <v>3200</v>
      </c>
      <c r="P2554" t="s">
        <v>30</v>
      </c>
      <c r="Q2554" s="2">
        <v>0.7</v>
      </c>
      <c r="R2554" s="1">
        <v>2240</v>
      </c>
      <c r="S2554" t="s">
        <v>29</v>
      </c>
      <c r="T2554" s="1">
        <v>2240</v>
      </c>
      <c r="V2554" t="str">
        <f>VLOOKUP(H2554,'[1]팀별 출판사'!A:B,2,0)</f>
        <v>소설1팀</v>
      </c>
      <c r="W2554" s="6">
        <f t="shared" si="78"/>
        <v>0</v>
      </c>
      <c r="X2554" s="6">
        <f t="shared" si="79"/>
        <v>2240</v>
      </c>
    </row>
    <row r="2555" spans="1:24" x14ac:dyDescent="0.3">
      <c r="A2555" t="s">
        <v>3816</v>
      </c>
      <c r="B2555" t="s">
        <v>3848</v>
      </c>
      <c r="C2555" t="s">
        <v>23</v>
      </c>
      <c r="D2555" t="s">
        <v>24</v>
      </c>
      <c r="E2555" t="s">
        <v>25</v>
      </c>
      <c r="F2555">
        <v>1</v>
      </c>
      <c r="G2555">
        <v>9791136907271</v>
      </c>
      <c r="H2555" t="s">
        <v>26</v>
      </c>
      <c r="I2555" t="s">
        <v>3849</v>
      </c>
      <c r="J2555" t="s">
        <v>1348</v>
      </c>
      <c r="K2555" t="s">
        <v>29</v>
      </c>
      <c r="L2555" s="1">
        <v>3200</v>
      </c>
      <c r="M2555" t="s">
        <v>29</v>
      </c>
      <c r="N2555" s="1">
        <v>3200</v>
      </c>
      <c r="O2555" s="1">
        <v>3200</v>
      </c>
      <c r="P2555" t="s">
        <v>30</v>
      </c>
      <c r="Q2555" s="2">
        <v>0.7</v>
      </c>
      <c r="R2555" s="1">
        <v>2240</v>
      </c>
      <c r="S2555" t="s">
        <v>29</v>
      </c>
      <c r="T2555" s="1">
        <v>2240</v>
      </c>
      <c r="V2555" t="str">
        <f>VLOOKUP(H2555,'[1]팀별 출판사'!A:B,2,0)</f>
        <v>소설1팀</v>
      </c>
      <c r="W2555" s="6">
        <f t="shared" si="78"/>
        <v>0</v>
      </c>
      <c r="X2555" s="6">
        <f t="shared" si="79"/>
        <v>2240</v>
      </c>
    </row>
    <row r="2556" spans="1:24" x14ac:dyDescent="0.3">
      <c r="A2556" t="s">
        <v>3816</v>
      </c>
      <c r="B2556" t="s">
        <v>3850</v>
      </c>
      <c r="C2556" t="s">
        <v>23</v>
      </c>
      <c r="D2556" t="s">
        <v>24</v>
      </c>
      <c r="E2556" t="s">
        <v>25</v>
      </c>
      <c r="F2556">
        <v>1</v>
      </c>
      <c r="G2556">
        <v>9791136943361</v>
      </c>
      <c r="H2556" t="s">
        <v>26</v>
      </c>
      <c r="I2556" t="s">
        <v>2346</v>
      </c>
      <c r="J2556" t="s">
        <v>284</v>
      </c>
      <c r="K2556" t="s">
        <v>29</v>
      </c>
      <c r="L2556">
        <v>0</v>
      </c>
      <c r="M2556" t="s">
        <v>29</v>
      </c>
      <c r="N2556">
        <v>0</v>
      </c>
      <c r="O2556">
        <v>0</v>
      </c>
      <c r="P2556" t="s">
        <v>30</v>
      </c>
      <c r="Q2556" s="2">
        <v>0.7</v>
      </c>
      <c r="R2556">
        <v>0</v>
      </c>
      <c r="V2556" t="str">
        <f>VLOOKUP(H2556,'[1]팀별 출판사'!A:B,2,0)</f>
        <v>소설1팀</v>
      </c>
      <c r="W2556" s="6">
        <f t="shared" si="78"/>
        <v>0</v>
      </c>
      <c r="X2556" s="6">
        <f t="shared" si="79"/>
        <v>0</v>
      </c>
    </row>
    <row r="2557" spans="1:24" x14ac:dyDescent="0.3">
      <c r="A2557" t="s">
        <v>3816</v>
      </c>
      <c r="B2557" t="s">
        <v>3851</v>
      </c>
      <c r="C2557" t="s">
        <v>23</v>
      </c>
      <c r="D2557" t="s">
        <v>24</v>
      </c>
      <c r="E2557" t="s">
        <v>25</v>
      </c>
      <c r="F2557">
        <v>1</v>
      </c>
      <c r="G2557">
        <v>9791173787256</v>
      </c>
      <c r="H2557" t="s">
        <v>26</v>
      </c>
      <c r="I2557" t="s">
        <v>3852</v>
      </c>
      <c r="J2557" t="s">
        <v>256</v>
      </c>
      <c r="K2557" t="s">
        <v>29</v>
      </c>
      <c r="L2557">
        <v>0</v>
      </c>
      <c r="M2557" t="s">
        <v>29</v>
      </c>
      <c r="N2557">
        <v>0</v>
      </c>
      <c r="O2557">
        <v>0</v>
      </c>
      <c r="P2557" t="s">
        <v>30</v>
      </c>
      <c r="Q2557" s="2">
        <v>0.7</v>
      </c>
      <c r="R2557">
        <v>0</v>
      </c>
      <c r="V2557" t="str">
        <f>VLOOKUP(H2557,'[1]팀별 출판사'!A:B,2,0)</f>
        <v>소설1팀</v>
      </c>
      <c r="W2557" s="6">
        <f t="shared" si="78"/>
        <v>0</v>
      </c>
      <c r="X2557" s="6">
        <f t="shared" si="79"/>
        <v>0</v>
      </c>
    </row>
    <row r="2558" spans="1:24" x14ac:dyDescent="0.3">
      <c r="A2558" t="s">
        <v>3816</v>
      </c>
      <c r="B2558" t="s">
        <v>3853</v>
      </c>
      <c r="C2558" t="s">
        <v>23</v>
      </c>
      <c r="D2558" t="s">
        <v>24</v>
      </c>
      <c r="E2558" t="s">
        <v>25</v>
      </c>
      <c r="F2558">
        <v>1</v>
      </c>
      <c r="G2558">
        <v>9791170100959</v>
      </c>
      <c r="H2558" t="s">
        <v>67</v>
      </c>
      <c r="I2558" t="s">
        <v>423</v>
      </c>
      <c r="J2558" t="s">
        <v>424</v>
      </c>
      <c r="K2558" t="s">
        <v>29</v>
      </c>
      <c r="L2558">
        <v>0</v>
      </c>
      <c r="M2558" t="s">
        <v>29</v>
      </c>
      <c r="N2558">
        <v>0</v>
      </c>
      <c r="O2558">
        <v>0</v>
      </c>
      <c r="P2558" t="s">
        <v>30</v>
      </c>
      <c r="Q2558" s="2">
        <v>0.7</v>
      </c>
      <c r="R2558">
        <v>0</v>
      </c>
      <c r="V2558" t="str">
        <f>VLOOKUP(H2558,'[1]팀별 출판사'!A:B,2,0)</f>
        <v>소설1팀</v>
      </c>
      <c r="W2558" s="6">
        <f t="shared" si="78"/>
        <v>0</v>
      </c>
      <c r="X2558" s="6">
        <f t="shared" si="79"/>
        <v>0</v>
      </c>
    </row>
    <row r="2559" spans="1:24" x14ac:dyDescent="0.3">
      <c r="A2559" t="s">
        <v>3816</v>
      </c>
      <c r="B2559" t="s">
        <v>3854</v>
      </c>
      <c r="C2559" t="s">
        <v>23</v>
      </c>
      <c r="D2559" t="s">
        <v>24</v>
      </c>
      <c r="E2559" t="s">
        <v>25</v>
      </c>
      <c r="F2559">
        <v>1</v>
      </c>
      <c r="G2559">
        <v>9791133186501</v>
      </c>
      <c r="H2559" t="s">
        <v>26</v>
      </c>
      <c r="I2559" t="s">
        <v>64</v>
      </c>
      <c r="J2559" t="s">
        <v>65</v>
      </c>
      <c r="K2559" t="s">
        <v>29</v>
      </c>
      <c r="L2559">
        <v>0</v>
      </c>
      <c r="M2559" t="s">
        <v>29</v>
      </c>
      <c r="N2559">
        <v>0</v>
      </c>
      <c r="O2559">
        <v>0</v>
      </c>
      <c r="P2559" t="s">
        <v>30</v>
      </c>
      <c r="Q2559" s="2">
        <v>0.7</v>
      </c>
      <c r="R2559">
        <v>0</v>
      </c>
      <c r="V2559" t="str">
        <f>VLOOKUP(H2559,'[1]팀별 출판사'!A:B,2,0)</f>
        <v>소설1팀</v>
      </c>
      <c r="W2559" s="6">
        <f t="shared" si="78"/>
        <v>0</v>
      </c>
      <c r="X2559" s="6">
        <f t="shared" si="79"/>
        <v>0</v>
      </c>
    </row>
    <row r="2560" spans="1:24" x14ac:dyDescent="0.3">
      <c r="A2560" t="s">
        <v>3816</v>
      </c>
      <c r="B2560" t="s">
        <v>3855</v>
      </c>
      <c r="C2560" t="s">
        <v>23</v>
      </c>
      <c r="D2560" t="s">
        <v>24</v>
      </c>
      <c r="E2560" t="s">
        <v>25</v>
      </c>
      <c r="F2560">
        <v>1</v>
      </c>
      <c r="G2560">
        <v>9791173786884</v>
      </c>
      <c r="H2560" t="s">
        <v>26</v>
      </c>
      <c r="I2560" t="s">
        <v>556</v>
      </c>
      <c r="J2560" t="s">
        <v>256</v>
      </c>
      <c r="K2560" t="s">
        <v>29</v>
      </c>
      <c r="L2560">
        <v>0</v>
      </c>
      <c r="M2560" t="s">
        <v>29</v>
      </c>
      <c r="N2560">
        <v>0</v>
      </c>
      <c r="O2560">
        <v>0</v>
      </c>
      <c r="P2560" t="s">
        <v>30</v>
      </c>
      <c r="Q2560" s="2">
        <v>0.7</v>
      </c>
      <c r="R2560">
        <v>0</v>
      </c>
      <c r="V2560" t="str">
        <f>VLOOKUP(H2560,'[1]팀별 출판사'!A:B,2,0)</f>
        <v>소설1팀</v>
      </c>
      <c r="W2560" s="6">
        <f t="shared" si="78"/>
        <v>0</v>
      </c>
      <c r="X2560" s="6">
        <f t="shared" si="79"/>
        <v>0</v>
      </c>
    </row>
    <row r="2561" spans="1:24" x14ac:dyDescent="0.3">
      <c r="A2561" t="s">
        <v>3816</v>
      </c>
      <c r="B2561" t="s">
        <v>3856</v>
      </c>
      <c r="C2561" t="s">
        <v>23</v>
      </c>
      <c r="D2561" t="s">
        <v>24</v>
      </c>
      <c r="E2561" t="s">
        <v>25</v>
      </c>
      <c r="F2561">
        <v>1</v>
      </c>
      <c r="G2561">
        <v>9791136911070</v>
      </c>
      <c r="H2561" t="s">
        <v>26</v>
      </c>
      <c r="I2561" t="s">
        <v>3857</v>
      </c>
      <c r="J2561" t="s">
        <v>160</v>
      </c>
      <c r="K2561" t="s">
        <v>29</v>
      </c>
      <c r="L2561" s="1">
        <v>3200</v>
      </c>
      <c r="M2561" t="s">
        <v>29</v>
      </c>
      <c r="N2561" s="1">
        <v>3200</v>
      </c>
      <c r="O2561" s="1">
        <v>3200</v>
      </c>
      <c r="P2561" t="s">
        <v>30</v>
      </c>
      <c r="Q2561" s="2">
        <v>0.7</v>
      </c>
      <c r="R2561" s="1">
        <v>2240</v>
      </c>
      <c r="S2561" t="s">
        <v>29</v>
      </c>
      <c r="T2561" s="1">
        <v>2240</v>
      </c>
      <c r="V2561" t="str">
        <f>VLOOKUP(H2561,'[1]팀별 출판사'!A:B,2,0)</f>
        <v>소설1팀</v>
      </c>
      <c r="W2561" s="6">
        <f t="shared" si="78"/>
        <v>0</v>
      </c>
      <c r="X2561" s="6">
        <f t="shared" si="79"/>
        <v>2240</v>
      </c>
    </row>
    <row r="2562" spans="1:24" x14ac:dyDescent="0.3">
      <c r="A2562" t="s">
        <v>3816</v>
      </c>
      <c r="B2562" t="s">
        <v>3858</v>
      </c>
      <c r="C2562" t="s">
        <v>23</v>
      </c>
      <c r="D2562" t="s">
        <v>24</v>
      </c>
      <c r="E2562" t="s">
        <v>25</v>
      </c>
      <c r="F2562">
        <v>1</v>
      </c>
      <c r="G2562">
        <v>9791136911001</v>
      </c>
      <c r="H2562" t="s">
        <v>32</v>
      </c>
      <c r="I2562" t="s">
        <v>3287</v>
      </c>
      <c r="J2562" t="s">
        <v>160</v>
      </c>
      <c r="K2562" t="s">
        <v>29</v>
      </c>
      <c r="L2562" s="1">
        <v>3200</v>
      </c>
      <c r="M2562" t="s">
        <v>29</v>
      </c>
      <c r="N2562" s="1">
        <v>3200</v>
      </c>
      <c r="O2562" s="1">
        <v>3200</v>
      </c>
      <c r="P2562" t="s">
        <v>30</v>
      </c>
      <c r="Q2562" s="2">
        <v>0.7</v>
      </c>
      <c r="R2562" s="1">
        <v>2240</v>
      </c>
      <c r="S2562" t="s">
        <v>29</v>
      </c>
      <c r="T2562" s="1">
        <v>2240</v>
      </c>
      <c r="V2562" t="str">
        <f>VLOOKUP(H2562,'[1]팀별 출판사'!A:B,2,0)</f>
        <v>소설1팀</v>
      </c>
      <c r="W2562" s="6">
        <f t="shared" ref="W2562:W2625" si="80">IF(P2562="US", T2562*30%, 0)</f>
        <v>0</v>
      </c>
      <c r="X2562" s="6">
        <f t="shared" ref="X2562:X2625" si="81">T2562-W2562</f>
        <v>2240</v>
      </c>
    </row>
    <row r="2563" spans="1:24" x14ac:dyDescent="0.3">
      <c r="A2563" t="s">
        <v>3816</v>
      </c>
      <c r="B2563" t="s">
        <v>3859</v>
      </c>
      <c r="C2563" t="s">
        <v>23</v>
      </c>
      <c r="D2563" t="s">
        <v>24</v>
      </c>
      <c r="E2563" t="s">
        <v>25</v>
      </c>
      <c r="F2563">
        <v>1</v>
      </c>
      <c r="G2563">
        <v>9791136942418</v>
      </c>
      <c r="H2563" t="s">
        <v>26</v>
      </c>
      <c r="I2563" t="s">
        <v>2055</v>
      </c>
      <c r="J2563" t="s">
        <v>284</v>
      </c>
      <c r="K2563" t="s">
        <v>29</v>
      </c>
      <c r="L2563">
        <v>0</v>
      </c>
      <c r="M2563" t="s">
        <v>29</v>
      </c>
      <c r="N2563">
        <v>0</v>
      </c>
      <c r="O2563">
        <v>0</v>
      </c>
      <c r="P2563" t="s">
        <v>30</v>
      </c>
      <c r="Q2563" s="2">
        <v>0.7</v>
      </c>
      <c r="R2563">
        <v>0</v>
      </c>
      <c r="V2563" t="str">
        <f>VLOOKUP(H2563,'[1]팀별 출판사'!A:B,2,0)</f>
        <v>소설1팀</v>
      </c>
      <c r="W2563" s="6">
        <f t="shared" si="80"/>
        <v>0</v>
      </c>
      <c r="X2563" s="6">
        <f t="shared" si="81"/>
        <v>0</v>
      </c>
    </row>
    <row r="2564" spans="1:24" x14ac:dyDescent="0.3">
      <c r="A2564" t="s">
        <v>3816</v>
      </c>
      <c r="B2564" t="s">
        <v>3860</v>
      </c>
      <c r="C2564" t="s">
        <v>23</v>
      </c>
      <c r="D2564" t="s">
        <v>24</v>
      </c>
      <c r="E2564" t="s">
        <v>25</v>
      </c>
      <c r="F2564">
        <v>1</v>
      </c>
      <c r="G2564">
        <v>9791136923752</v>
      </c>
      <c r="H2564" t="s">
        <v>26</v>
      </c>
      <c r="I2564" t="s">
        <v>2349</v>
      </c>
      <c r="J2564" t="s">
        <v>284</v>
      </c>
      <c r="K2564" t="s">
        <v>29</v>
      </c>
      <c r="L2564">
        <v>0</v>
      </c>
      <c r="M2564" t="s">
        <v>29</v>
      </c>
      <c r="N2564">
        <v>0</v>
      </c>
      <c r="O2564">
        <v>0</v>
      </c>
      <c r="P2564" t="s">
        <v>30</v>
      </c>
      <c r="Q2564" s="2">
        <v>0.7</v>
      </c>
      <c r="R2564">
        <v>0</v>
      </c>
      <c r="V2564" t="str">
        <f>VLOOKUP(H2564,'[1]팀별 출판사'!A:B,2,0)</f>
        <v>소설1팀</v>
      </c>
      <c r="W2564" s="6">
        <f t="shared" si="80"/>
        <v>0</v>
      </c>
      <c r="X2564" s="6">
        <f t="shared" si="81"/>
        <v>0</v>
      </c>
    </row>
    <row r="2565" spans="1:24" x14ac:dyDescent="0.3">
      <c r="A2565" t="s">
        <v>3816</v>
      </c>
      <c r="B2565" t="s">
        <v>3861</v>
      </c>
      <c r="C2565" t="s">
        <v>23</v>
      </c>
      <c r="D2565" t="s">
        <v>24</v>
      </c>
      <c r="E2565" t="s">
        <v>25</v>
      </c>
      <c r="F2565">
        <v>1</v>
      </c>
      <c r="G2565">
        <v>9791136944702</v>
      </c>
      <c r="H2565" t="s">
        <v>26</v>
      </c>
      <c r="I2565" t="s">
        <v>913</v>
      </c>
      <c r="J2565" t="s">
        <v>284</v>
      </c>
      <c r="K2565" t="s">
        <v>29</v>
      </c>
      <c r="L2565">
        <v>0</v>
      </c>
      <c r="M2565" t="s">
        <v>29</v>
      </c>
      <c r="N2565">
        <v>0</v>
      </c>
      <c r="O2565">
        <v>0</v>
      </c>
      <c r="P2565" t="s">
        <v>30</v>
      </c>
      <c r="Q2565" s="2">
        <v>0.7</v>
      </c>
      <c r="R2565">
        <v>0</v>
      </c>
      <c r="V2565" t="str">
        <f>VLOOKUP(H2565,'[1]팀별 출판사'!A:B,2,0)</f>
        <v>소설1팀</v>
      </c>
      <c r="W2565" s="6">
        <f t="shared" si="80"/>
        <v>0</v>
      </c>
      <c r="X2565" s="6">
        <f t="shared" si="81"/>
        <v>0</v>
      </c>
    </row>
    <row r="2566" spans="1:24" x14ac:dyDescent="0.3">
      <c r="A2566" t="s">
        <v>3816</v>
      </c>
      <c r="B2566" t="s">
        <v>3862</v>
      </c>
      <c r="C2566" t="s">
        <v>23</v>
      </c>
      <c r="D2566" t="s">
        <v>24</v>
      </c>
      <c r="E2566" t="s">
        <v>25</v>
      </c>
      <c r="F2566">
        <v>1</v>
      </c>
      <c r="G2566">
        <v>9791173782794</v>
      </c>
      <c r="H2566" t="s">
        <v>26</v>
      </c>
      <c r="I2566" t="s">
        <v>1209</v>
      </c>
      <c r="J2566" t="s">
        <v>284</v>
      </c>
      <c r="K2566" t="s">
        <v>29</v>
      </c>
      <c r="L2566">
        <v>0</v>
      </c>
      <c r="M2566" t="s">
        <v>29</v>
      </c>
      <c r="N2566">
        <v>0</v>
      </c>
      <c r="O2566">
        <v>0</v>
      </c>
      <c r="P2566" t="s">
        <v>30</v>
      </c>
      <c r="Q2566" s="2">
        <v>0.7</v>
      </c>
      <c r="R2566">
        <v>0</v>
      </c>
      <c r="V2566" t="str">
        <f>VLOOKUP(H2566,'[1]팀별 출판사'!A:B,2,0)</f>
        <v>소설1팀</v>
      </c>
      <c r="W2566" s="6">
        <f t="shared" si="80"/>
        <v>0</v>
      </c>
      <c r="X2566" s="6">
        <f t="shared" si="81"/>
        <v>0</v>
      </c>
    </row>
    <row r="2567" spans="1:24" x14ac:dyDescent="0.3">
      <c r="A2567" t="s">
        <v>3816</v>
      </c>
      <c r="B2567" t="s">
        <v>3863</v>
      </c>
      <c r="C2567" t="s">
        <v>23</v>
      </c>
      <c r="D2567" t="s">
        <v>24</v>
      </c>
      <c r="E2567" t="s">
        <v>25</v>
      </c>
      <c r="F2567">
        <v>1</v>
      </c>
      <c r="G2567">
        <v>9791136943361</v>
      </c>
      <c r="H2567" t="s">
        <v>26</v>
      </c>
      <c r="I2567" t="s">
        <v>2346</v>
      </c>
      <c r="J2567" t="s">
        <v>284</v>
      </c>
      <c r="K2567" t="s">
        <v>29</v>
      </c>
      <c r="L2567">
        <v>0</v>
      </c>
      <c r="M2567" t="s">
        <v>29</v>
      </c>
      <c r="N2567">
        <v>0</v>
      </c>
      <c r="O2567">
        <v>0</v>
      </c>
      <c r="P2567" t="s">
        <v>30</v>
      </c>
      <c r="Q2567" s="2">
        <v>0.7</v>
      </c>
      <c r="R2567">
        <v>0</v>
      </c>
      <c r="V2567" t="str">
        <f>VLOOKUP(H2567,'[1]팀별 출판사'!A:B,2,0)</f>
        <v>소설1팀</v>
      </c>
      <c r="W2567" s="6">
        <f t="shared" si="80"/>
        <v>0</v>
      </c>
      <c r="X2567" s="6">
        <f t="shared" si="81"/>
        <v>0</v>
      </c>
    </row>
    <row r="2568" spans="1:24" x14ac:dyDescent="0.3">
      <c r="A2568" t="s">
        <v>3816</v>
      </c>
      <c r="B2568" t="s">
        <v>3864</v>
      </c>
      <c r="C2568" t="s">
        <v>23</v>
      </c>
      <c r="D2568" t="s">
        <v>24</v>
      </c>
      <c r="E2568" t="s">
        <v>25</v>
      </c>
      <c r="F2568">
        <v>1</v>
      </c>
      <c r="G2568">
        <v>9791136907868</v>
      </c>
      <c r="H2568" t="s">
        <v>26</v>
      </c>
      <c r="I2568" t="s">
        <v>3865</v>
      </c>
      <c r="J2568" t="s">
        <v>284</v>
      </c>
      <c r="K2568" t="s">
        <v>29</v>
      </c>
      <c r="L2568">
        <v>0</v>
      </c>
      <c r="M2568" t="s">
        <v>29</v>
      </c>
      <c r="N2568">
        <v>0</v>
      </c>
      <c r="O2568">
        <v>0</v>
      </c>
      <c r="P2568" t="s">
        <v>30</v>
      </c>
      <c r="Q2568" s="2">
        <v>0.7</v>
      </c>
      <c r="R2568">
        <v>0</v>
      </c>
      <c r="V2568" t="str">
        <f>VLOOKUP(H2568,'[1]팀별 출판사'!A:B,2,0)</f>
        <v>소설1팀</v>
      </c>
      <c r="W2568" s="6">
        <f t="shared" si="80"/>
        <v>0</v>
      </c>
      <c r="X2568" s="6">
        <f t="shared" si="81"/>
        <v>0</v>
      </c>
    </row>
    <row r="2569" spans="1:24" x14ac:dyDescent="0.3">
      <c r="A2569" t="s">
        <v>3816</v>
      </c>
      <c r="B2569" t="s">
        <v>3866</v>
      </c>
      <c r="C2569" t="s">
        <v>23</v>
      </c>
      <c r="D2569" t="s">
        <v>24</v>
      </c>
      <c r="E2569" t="s">
        <v>25</v>
      </c>
      <c r="F2569">
        <v>1</v>
      </c>
      <c r="G2569">
        <v>9791136910974</v>
      </c>
      <c r="H2569" t="s">
        <v>26</v>
      </c>
      <c r="I2569" t="s">
        <v>568</v>
      </c>
      <c r="J2569" t="s">
        <v>160</v>
      </c>
      <c r="K2569" t="s">
        <v>29</v>
      </c>
      <c r="L2569">
        <v>0</v>
      </c>
      <c r="M2569" t="s">
        <v>29</v>
      </c>
      <c r="N2569">
        <v>0</v>
      </c>
      <c r="O2569">
        <v>0</v>
      </c>
      <c r="P2569" t="s">
        <v>30</v>
      </c>
      <c r="Q2569" s="2">
        <v>0.7</v>
      </c>
      <c r="R2569">
        <v>0</v>
      </c>
      <c r="V2569" t="str">
        <f>VLOOKUP(H2569,'[1]팀별 출판사'!A:B,2,0)</f>
        <v>소설1팀</v>
      </c>
      <c r="W2569" s="6">
        <f t="shared" si="80"/>
        <v>0</v>
      </c>
      <c r="X2569" s="6">
        <f t="shared" si="81"/>
        <v>0</v>
      </c>
    </row>
    <row r="2570" spans="1:24" x14ac:dyDescent="0.3">
      <c r="A2570" t="s">
        <v>3816</v>
      </c>
      <c r="B2570" t="s">
        <v>3867</v>
      </c>
      <c r="C2570" t="s">
        <v>23</v>
      </c>
      <c r="D2570" t="s">
        <v>24</v>
      </c>
      <c r="E2570" t="s">
        <v>25</v>
      </c>
      <c r="F2570">
        <v>1</v>
      </c>
      <c r="G2570">
        <v>9791136988386</v>
      </c>
      <c r="H2570" t="s">
        <v>26</v>
      </c>
      <c r="I2570" t="s">
        <v>3609</v>
      </c>
      <c r="J2570" t="s">
        <v>28</v>
      </c>
      <c r="K2570" t="s">
        <v>29</v>
      </c>
      <c r="L2570" s="1">
        <v>3200</v>
      </c>
      <c r="M2570" t="s">
        <v>29</v>
      </c>
      <c r="N2570" s="1">
        <v>3200</v>
      </c>
      <c r="O2570" s="1">
        <v>3200</v>
      </c>
      <c r="P2570" t="s">
        <v>30</v>
      </c>
      <c r="Q2570" s="2">
        <v>0.7</v>
      </c>
      <c r="R2570" s="1">
        <v>2240</v>
      </c>
      <c r="S2570" t="s">
        <v>29</v>
      </c>
      <c r="T2570" s="1">
        <v>2240</v>
      </c>
      <c r="V2570" t="str">
        <f>VLOOKUP(H2570,'[1]팀별 출판사'!A:B,2,0)</f>
        <v>소설1팀</v>
      </c>
      <c r="W2570" s="6">
        <f t="shared" si="80"/>
        <v>0</v>
      </c>
      <c r="X2570" s="6">
        <f t="shared" si="81"/>
        <v>2240</v>
      </c>
    </row>
    <row r="2571" spans="1:24" x14ac:dyDescent="0.3">
      <c r="A2571" t="s">
        <v>3816</v>
      </c>
      <c r="B2571" t="s">
        <v>3868</v>
      </c>
      <c r="C2571" t="s">
        <v>23</v>
      </c>
      <c r="D2571" t="s">
        <v>24</v>
      </c>
      <c r="E2571" t="s">
        <v>25</v>
      </c>
      <c r="F2571">
        <v>1</v>
      </c>
      <c r="G2571">
        <v>9791136910431</v>
      </c>
      <c r="H2571" t="s">
        <v>26</v>
      </c>
      <c r="I2571" t="s">
        <v>354</v>
      </c>
      <c r="J2571" t="s">
        <v>355</v>
      </c>
      <c r="K2571" t="s">
        <v>29</v>
      </c>
      <c r="L2571">
        <v>0</v>
      </c>
      <c r="M2571" t="s">
        <v>29</v>
      </c>
      <c r="N2571">
        <v>0</v>
      </c>
      <c r="O2571">
        <v>0</v>
      </c>
      <c r="P2571" t="s">
        <v>30</v>
      </c>
      <c r="Q2571" s="2">
        <v>0.7</v>
      </c>
      <c r="R2571">
        <v>0</v>
      </c>
      <c r="V2571" t="str">
        <f>VLOOKUP(H2571,'[1]팀별 출판사'!A:B,2,0)</f>
        <v>소설1팀</v>
      </c>
      <c r="W2571" s="6">
        <f t="shared" si="80"/>
        <v>0</v>
      </c>
      <c r="X2571" s="6">
        <f t="shared" si="81"/>
        <v>0</v>
      </c>
    </row>
    <row r="2572" spans="1:24" x14ac:dyDescent="0.3">
      <c r="A2572" t="s">
        <v>3816</v>
      </c>
      <c r="B2572" t="s">
        <v>3869</v>
      </c>
      <c r="C2572" t="s">
        <v>23</v>
      </c>
      <c r="D2572" t="s">
        <v>24</v>
      </c>
      <c r="E2572" t="s">
        <v>25</v>
      </c>
      <c r="F2572">
        <v>1</v>
      </c>
      <c r="G2572">
        <v>9791133180103</v>
      </c>
      <c r="H2572" t="s">
        <v>26</v>
      </c>
      <c r="I2572" t="s">
        <v>3870</v>
      </c>
      <c r="J2572" t="s">
        <v>321</v>
      </c>
      <c r="K2572" t="s">
        <v>29</v>
      </c>
      <c r="L2572" s="1">
        <v>3200</v>
      </c>
      <c r="M2572" t="s">
        <v>29</v>
      </c>
      <c r="N2572" s="1">
        <v>3200</v>
      </c>
      <c r="O2572" s="1">
        <v>3200</v>
      </c>
      <c r="P2572" t="s">
        <v>30</v>
      </c>
      <c r="Q2572" s="2">
        <v>0.7</v>
      </c>
      <c r="R2572" s="1">
        <v>2240</v>
      </c>
      <c r="S2572" t="s">
        <v>29</v>
      </c>
      <c r="T2572" s="1">
        <v>2240</v>
      </c>
      <c r="V2572" t="str">
        <f>VLOOKUP(H2572,'[1]팀별 출판사'!A:B,2,0)</f>
        <v>소설1팀</v>
      </c>
      <c r="W2572" s="6">
        <f t="shared" si="80"/>
        <v>0</v>
      </c>
      <c r="X2572" s="6">
        <f t="shared" si="81"/>
        <v>2240</v>
      </c>
    </row>
    <row r="2573" spans="1:24" x14ac:dyDescent="0.3">
      <c r="A2573" t="s">
        <v>3816</v>
      </c>
      <c r="B2573" t="s">
        <v>3871</v>
      </c>
      <c r="C2573" t="s">
        <v>23</v>
      </c>
      <c r="D2573" t="s">
        <v>24</v>
      </c>
      <c r="E2573" t="s">
        <v>25</v>
      </c>
      <c r="F2573">
        <v>1</v>
      </c>
      <c r="G2573">
        <v>9791136930361</v>
      </c>
      <c r="H2573" t="s">
        <v>32</v>
      </c>
      <c r="I2573" t="s">
        <v>33</v>
      </c>
      <c r="J2573" t="s">
        <v>34</v>
      </c>
      <c r="K2573" t="s">
        <v>29</v>
      </c>
      <c r="L2573">
        <v>0</v>
      </c>
      <c r="M2573" t="s">
        <v>47</v>
      </c>
      <c r="N2573">
        <v>0</v>
      </c>
      <c r="O2573">
        <v>0</v>
      </c>
      <c r="P2573" t="s">
        <v>48</v>
      </c>
      <c r="Q2573" s="2">
        <v>0.7</v>
      </c>
      <c r="R2573">
        <v>0</v>
      </c>
      <c r="V2573" t="str">
        <f>VLOOKUP(H2573,'[1]팀별 출판사'!A:B,2,0)</f>
        <v>소설1팀</v>
      </c>
      <c r="W2573" s="6">
        <f t="shared" si="80"/>
        <v>0</v>
      </c>
      <c r="X2573" s="6">
        <f t="shared" si="81"/>
        <v>0</v>
      </c>
    </row>
    <row r="2574" spans="1:24" x14ac:dyDescent="0.3">
      <c r="A2574" t="s">
        <v>3816</v>
      </c>
      <c r="B2574" t="s">
        <v>3872</v>
      </c>
      <c r="C2574" t="s">
        <v>23</v>
      </c>
      <c r="D2574" t="s">
        <v>24</v>
      </c>
      <c r="E2574" t="s">
        <v>25</v>
      </c>
      <c r="F2574">
        <v>1</v>
      </c>
      <c r="G2574">
        <v>9791136935496</v>
      </c>
      <c r="H2574" t="s">
        <v>32</v>
      </c>
      <c r="I2574" t="s">
        <v>441</v>
      </c>
      <c r="J2574" t="s">
        <v>442</v>
      </c>
      <c r="K2574" t="s">
        <v>29</v>
      </c>
      <c r="L2574">
        <v>0</v>
      </c>
      <c r="M2574" t="s">
        <v>127</v>
      </c>
      <c r="N2574">
        <v>0</v>
      </c>
      <c r="O2574">
        <v>0</v>
      </c>
      <c r="P2574" t="s">
        <v>128</v>
      </c>
      <c r="Q2574" s="2">
        <v>0.7</v>
      </c>
      <c r="R2574">
        <v>0</v>
      </c>
      <c r="V2574" t="str">
        <f>VLOOKUP(H2574,'[1]팀별 출판사'!A:B,2,0)</f>
        <v>소설1팀</v>
      </c>
      <c r="W2574" s="6">
        <f t="shared" si="80"/>
        <v>0</v>
      </c>
      <c r="X2574" s="6">
        <f t="shared" si="81"/>
        <v>0</v>
      </c>
    </row>
    <row r="2575" spans="1:24" x14ac:dyDescent="0.3">
      <c r="A2575" t="s">
        <v>3816</v>
      </c>
      <c r="B2575" t="s">
        <v>3873</v>
      </c>
      <c r="C2575" t="s">
        <v>23</v>
      </c>
      <c r="D2575" t="s">
        <v>24</v>
      </c>
      <c r="E2575" t="s">
        <v>25</v>
      </c>
      <c r="F2575">
        <v>1</v>
      </c>
      <c r="G2575">
        <v>9791136911094</v>
      </c>
      <c r="H2575" t="s">
        <v>26</v>
      </c>
      <c r="I2575" t="s">
        <v>3874</v>
      </c>
      <c r="J2575" t="s">
        <v>160</v>
      </c>
      <c r="K2575" t="s">
        <v>29</v>
      </c>
      <c r="L2575" s="1">
        <v>3200</v>
      </c>
      <c r="M2575" t="s">
        <v>29</v>
      </c>
      <c r="N2575" s="1">
        <v>3200</v>
      </c>
      <c r="O2575" s="1">
        <v>3200</v>
      </c>
      <c r="P2575" t="s">
        <v>30</v>
      </c>
      <c r="Q2575" s="2">
        <v>0.7</v>
      </c>
      <c r="R2575" s="1">
        <v>2240</v>
      </c>
      <c r="S2575" t="s">
        <v>29</v>
      </c>
      <c r="T2575" s="1">
        <v>2240</v>
      </c>
      <c r="V2575" t="str">
        <f>VLOOKUP(H2575,'[1]팀별 출판사'!A:B,2,0)</f>
        <v>소설1팀</v>
      </c>
      <c r="W2575" s="6">
        <f t="shared" si="80"/>
        <v>0</v>
      </c>
      <c r="X2575" s="6">
        <f t="shared" si="81"/>
        <v>2240</v>
      </c>
    </row>
    <row r="2576" spans="1:24" x14ac:dyDescent="0.3">
      <c r="A2576" t="s">
        <v>3816</v>
      </c>
      <c r="B2576" t="s">
        <v>3875</v>
      </c>
      <c r="C2576" t="s">
        <v>23</v>
      </c>
      <c r="D2576" t="s">
        <v>24</v>
      </c>
      <c r="E2576" t="s">
        <v>25</v>
      </c>
      <c r="F2576">
        <v>1</v>
      </c>
      <c r="G2576" t="s">
        <v>3798</v>
      </c>
      <c r="H2576" t="s">
        <v>32</v>
      </c>
      <c r="I2576" t="s">
        <v>3799</v>
      </c>
      <c r="J2576" t="s">
        <v>43</v>
      </c>
      <c r="K2576" t="s">
        <v>29</v>
      </c>
      <c r="L2576">
        <v>0</v>
      </c>
      <c r="M2576" t="s">
        <v>29</v>
      </c>
      <c r="N2576">
        <v>0</v>
      </c>
      <c r="O2576">
        <v>0</v>
      </c>
      <c r="P2576" t="s">
        <v>30</v>
      </c>
      <c r="Q2576" s="2">
        <v>0.7</v>
      </c>
      <c r="R2576">
        <v>0</v>
      </c>
      <c r="V2576" t="str">
        <f>VLOOKUP(H2576,'[1]팀별 출판사'!A:B,2,0)</f>
        <v>소설1팀</v>
      </c>
      <c r="W2576" s="6">
        <f t="shared" si="80"/>
        <v>0</v>
      </c>
      <c r="X2576" s="6">
        <f t="shared" si="81"/>
        <v>0</v>
      </c>
    </row>
    <row r="2577" spans="1:24" x14ac:dyDescent="0.3">
      <c r="A2577" t="s">
        <v>3816</v>
      </c>
      <c r="B2577" t="s">
        <v>3876</v>
      </c>
      <c r="C2577" t="s">
        <v>23</v>
      </c>
      <c r="D2577" t="s">
        <v>24</v>
      </c>
      <c r="E2577" t="s">
        <v>25</v>
      </c>
      <c r="F2577">
        <v>1</v>
      </c>
      <c r="G2577">
        <v>9791136907554</v>
      </c>
      <c r="H2577" t="s">
        <v>26</v>
      </c>
      <c r="I2577" t="s">
        <v>3877</v>
      </c>
      <c r="J2577" t="s">
        <v>1348</v>
      </c>
      <c r="K2577" t="s">
        <v>29</v>
      </c>
      <c r="L2577">
        <v>0</v>
      </c>
      <c r="M2577" t="s">
        <v>29</v>
      </c>
      <c r="N2577">
        <v>0</v>
      </c>
      <c r="O2577">
        <v>0</v>
      </c>
      <c r="P2577" t="s">
        <v>30</v>
      </c>
      <c r="Q2577" s="2">
        <v>0.7</v>
      </c>
      <c r="R2577">
        <v>0</v>
      </c>
      <c r="V2577" t="str">
        <f>VLOOKUP(H2577,'[1]팀별 출판사'!A:B,2,0)</f>
        <v>소설1팀</v>
      </c>
      <c r="W2577" s="6">
        <f t="shared" si="80"/>
        <v>0</v>
      </c>
      <c r="X2577" s="6">
        <f t="shared" si="81"/>
        <v>0</v>
      </c>
    </row>
    <row r="2578" spans="1:24" x14ac:dyDescent="0.3">
      <c r="A2578" t="s">
        <v>3816</v>
      </c>
      <c r="B2578" t="s">
        <v>3878</v>
      </c>
      <c r="C2578" t="s">
        <v>23</v>
      </c>
      <c r="D2578" t="s">
        <v>24</v>
      </c>
      <c r="E2578" t="s">
        <v>25</v>
      </c>
      <c r="F2578">
        <v>1</v>
      </c>
      <c r="G2578">
        <v>9791136940490</v>
      </c>
      <c r="H2578" t="s">
        <v>26</v>
      </c>
      <c r="I2578" t="s">
        <v>1112</v>
      </c>
      <c r="J2578" t="s">
        <v>62</v>
      </c>
      <c r="K2578" t="s">
        <v>29</v>
      </c>
      <c r="L2578">
        <v>0</v>
      </c>
      <c r="M2578" t="s">
        <v>29</v>
      </c>
      <c r="N2578">
        <v>0</v>
      </c>
      <c r="O2578">
        <v>0</v>
      </c>
      <c r="P2578" t="s">
        <v>30</v>
      </c>
      <c r="Q2578" s="2">
        <v>0.7</v>
      </c>
      <c r="R2578">
        <v>0</v>
      </c>
      <c r="V2578" t="str">
        <f>VLOOKUP(H2578,'[1]팀별 출판사'!A:B,2,0)</f>
        <v>소설1팀</v>
      </c>
      <c r="W2578" s="6">
        <f t="shared" si="80"/>
        <v>0</v>
      </c>
      <c r="X2578" s="6">
        <f t="shared" si="81"/>
        <v>0</v>
      </c>
    </row>
    <row r="2579" spans="1:24" x14ac:dyDescent="0.3">
      <c r="A2579" t="s">
        <v>3816</v>
      </c>
      <c r="B2579" t="s">
        <v>3879</v>
      </c>
      <c r="C2579" t="s">
        <v>23</v>
      </c>
      <c r="D2579" t="s">
        <v>24</v>
      </c>
      <c r="E2579" t="s">
        <v>25</v>
      </c>
      <c r="F2579">
        <v>1</v>
      </c>
      <c r="G2579">
        <v>9791133105441</v>
      </c>
      <c r="H2579" t="s">
        <v>32</v>
      </c>
      <c r="I2579" t="s">
        <v>116</v>
      </c>
      <c r="J2579" t="s">
        <v>88</v>
      </c>
      <c r="K2579" t="s">
        <v>29</v>
      </c>
      <c r="L2579">
        <v>0</v>
      </c>
      <c r="M2579" t="s">
        <v>29</v>
      </c>
      <c r="N2579">
        <v>0</v>
      </c>
      <c r="O2579">
        <v>0</v>
      </c>
      <c r="P2579" t="s">
        <v>30</v>
      </c>
      <c r="Q2579" s="2">
        <v>0.7</v>
      </c>
      <c r="R2579">
        <v>0</v>
      </c>
      <c r="V2579" t="str">
        <f>VLOOKUP(H2579,'[1]팀별 출판사'!A:B,2,0)</f>
        <v>소설1팀</v>
      </c>
      <c r="W2579" s="6">
        <f t="shared" si="80"/>
        <v>0</v>
      </c>
      <c r="X2579" s="6">
        <f t="shared" si="81"/>
        <v>0</v>
      </c>
    </row>
    <row r="2580" spans="1:24" x14ac:dyDescent="0.3">
      <c r="A2580" t="s">
        <v>3816</v>
      </c>
      <c r="B2580" t="s">
        <v>3880</v>
      </c>
      <c r="C2580" t="s">
        <v>23</v>
      </c>
      <c r="D2580" t="s">
        <v>24</v>
      </c>
      <c r="E2580" t="s">
        <v>25</v>
      </c>
      <c r="F2580">
        <v>1</v>
      </c>
      <c r="G2580">
        <v>9791136928498</v>
      </c>
      <c r="H2580" t="s">
        <v>26</v>
      </c>
      <c r="I2580" t="s">
        <v>3881</v>
      </c>
      <c r="J2580" t="s">
        <v>1348</v>
      </c>
      <c r="K2580" t="s">
        <v>29</v>
      </c>
      <c r="L2580" s="1">
        <v>3200</v>
      </c>
      <c r="M2580" t="s">
        <v>29</v>
      </c>
      <c r="N2580" s="1">
        <v>3200</v>
      </c>
      <c r="O2580" s="1">
        <v>3200</v>
      </c>
      <c r="P2580" t="s">
        <v>30</v>
      </c>
      <c r="Q2580" s="2">
        <v>0.7</v>
      </c>
      <c r="R2580" s="1">
        <v>2240</v>
      </c>
      <c r="S2580" t="s">
        <v>29</v>
      </c>
      <c r="T2580" s="1">
        <v>2240</v>
      </c>
      <c r="V2580" t="str">
        <f>VLOOKUP(H2580,'[1]팀별 출판사'!A:B,2,0)</f>
        <v>소설1팀</v>
      </c>
      <c r="W2580" s="6">
        <f t="shared" si="80"/>
        <v>0</v>
      </c>
      <c r="X2580" s="6">
        <f t="shared" si="81"/>
        <v>2240</v>
      </c>
    </row>
    <row r="2581" spans="1:24" x14ac:dyDescent="0.3">
      <c r="A2581" t="s">
        <v>3816</v>
      </c>
      <c r="B2581" t="s">
        <v>3882</v>
      </c>
      <c r="C2581" t="s">
        <v>23</v>
      </c>
      <c r="D2581" t="s">
        <v>24</v>
      </c>
      <c r="E2581" t="s">
        <v>25</v>
      </c>
      <c r="F2581">
        <v>1</v>
      </c>
      <c r="G2581">
        <v>9791136931375</v>
      </c>
      <c r="H2581" t="s">
        <v>32</v>
      </c>
      <c r="I2581" t="s">
        <v>189</v>
      </c>
      <c r="J2581" t="s">
        <v>46</v>
      </c>
      <c r="K2581" t="s">
        <v>29</v>
      </c>
      <c r="L2581">
        <v>0</v>
      </c>
      <c r="M2581" t="s">
        <v>47</v>
      </c>
      <c r="N2581">
        <v>0</v>
      </c>
      <c r="O2581">
        <v>0</v>
      </c>
      <c r="P2581" t="s">
        <v>48</v>
      </c>
      <c r="Q2581" s="2">
        <v>0.7</v>
      </c>
      <c r="R2581">
        <v>0</v>
      </c>
      <c r="V2581" t="str">
        <f>VLOOKUP(H2581,'[1]팀별 출판사'!A:B,2,0)</f>
        <v>소설1팀</v>
      </c>
      <c r="W2581" s="6">
        <f t="shared" si="80"/>
        <v>0</v>
      </c>
      <c r="X2581" s="6">
        <f t="shared" si="81"/>
        <v>0</v>
      </c>
    </row>
    <row r="2582" spans="1:24" x14ac:dyDescent="0.3">
      <c r="A2582" t="s">
        <v>3816</v>
      </c>
      <c r="B2582" t="s">
        <v>3883</v>
      </c>
      <c r="C2582" t="s">
        <v>23</v>
      </c>
      <c r="D2582" t="s">
        <v>24</v>
      </c>
      <c r="E2582" t="s">
        <v>25</v>
      </c>
      <c r="F2582">
        <v>1</v>
      </c>
      <c r="G2582">
        <v>9791136935496</v>
      </c>
      <c r="H2582" t="s">
        <v>32</v>
      </c>
      <c r="I2582" t="s">
        <v>441</v>
      </c>
      <c r="J2582" t="s">
        <v>442</v>
      </c>
      <c r="K2582" t="s">
        <v>29</v>
      </c>
      <c r="L2582">
        <v>0</v>
      </c>
      <c r="M2582" t="s">
        <v>47</v>
      </c>
      <c r="N2582">
        <v>0</v>
      </c>
      <c r="O2582">
        <v>0</v>
      </c>
      <c r="P2582" t="s">
        <v>48</v>
      </c>
      <c r="Q2582" s="2">
        <v>0.7</v>
      </c>
      <c r="R2582">
        <v>0</v>
      </c>
      <c r="V2582" t="str">
        <f>VLOOKUP(H2582,'[1]팀별 출판사'!A:B,2,0)</f>
        <v>소설1팀</v>
      </c>
      <c r="W2582" s="6">
        <f t="shared" si="80"/>
        <v>0</v>
      </c>
      <c r="X2582" s="6">
        <f t="shared" si="81"/>
        <v>0</v>
      </c>
    </row>
    <row r="2583" spans="1:24" x14ac:dyDescent="0.3">
      <c r="A2583" t="s">
        <v>3816</v>
      </c>
      <c r="B2583" t="s">
        <v>3884</v>
      </c>
      <c r="C2583" t="s">
        <v>23</v>
      </c>
      <c r="D2583" t="s">
        <v>24</v>
      </c>
      <c r="E2583" t="s">
        <v>25</v>
      </c>
      <c r="F2583">
        <v>1</v>
      </c>
      <c r="G2583">
        <v>9791136930361</v>
      </c>
      <c r="H2583" t="s">
        <v>32</v>
      </c>
      <c r="I2583" t="s">
        <v>33</v>
      </c>
      <c r="J2583" t="s">
        <v>34</v>
      </c>
      <c r="K2583" t="s">
        <v>29</v>
      </c>
      <c r="L2583">
        <v>0</v>
      </c>
      <c r="M2583" t="s">
        <v>47</v>
      </c>
      <c r="N2583">
        <v>0</v>
      </c>
      <c r="O2583">
        <v>0</v>
      </c>
      <c r="P2583" t="s">
        <v>48</v>
      </c>
      <c r="Q2583" s="2">
        <v>0.7</v>
      </c>
      <c r="R2583">
        <v>0</v>
      </c>
      <c r="V2583" t="str">
        <f>VLOOKUP(H2583,'[1]팀별 출판사'!A:B,2,0)</f>
        <v>소설1팀</v>
      </c>
      <c r="W2583" s="6">
        <f t="shared" si="80"/>
        <v>0</v>
      </c>
      <c r="X2583" s="6">
        <f t="shared" si="81"/>
        <v>0</v>
      </c>
    </row>
    <row r="2584" spans="1:24" x14ac:dyDescent="0.3">
      <c r="A2584" t="s">
        <v>3816</v>
      </c>
      <c r="B2584" t="s">
        <v>3885</v>
      </c>
      <c r="C2584" t="s">
        <v>23</v>
      </c>
      <c r="D2584" t="s">
        <v>24</v>
      </c>
      <c r="E2584" t="s">
        <v>25</v>
      </c>
      <c r="F2584">
        <v>1</v>
      </c>
      <c r="G2584">
        <v>9791170101468</v>
      </c>
      <c r="H2584" t="s">
        <v>67</v>
      </c>
      <c r="I2584" t="s">
        <v>404</v>
      </c>
      <c r="J2584" t="s">
        <v>405</v>
      </c>
      <c r="K2584" t="s">
        <v>29</v>
      </c>
      <c r="L2584">
        <v>0</v>
      </c>
      <c r="M2584" t="s">
        <v>29</v>
      </c>
      <c r="N2584">
        <v>0</v>
      </c>
      <c r="O2584">
        <v>0</v>
      </c>
      <c r="P2584" t="s">
        <v>30</v>
      </c>
      <c r="Q2584" s="2">
        <v>0.7</v>
      </c>
      <c r="R2584">
        <v>0</v>
      </c>
      <c r="V2584" t="str">
        <f>VLOOKUP(H2584,'[1]팀별 출판사'!A:B,2,0)</f>
        <v>소설1팀</v>
      </c>
      <c r="W2584" s="6">
        <f t="shared" si="80"/>
        <v>0</v>
      </c>
      <c r="X2584" s="6">
        <f t="shared" si="81"/>
        <v>0</v>
      </c>
    </row>
    <row r="2585" spans="1:24" x14ac:dyDescent="0.3">
      <c r="A2585" t="s">
        <v>3816</v>
      </c>
      <c r="B2585" t="s">
        <v>3886</v>
      </c>
      <c r="C2585" t="s">
        <v>23</v>
      </c>
      <c r="D2585" t="s">
        <v>24</v>
      </c>
      <c r="E2585" t="s">
        <v>25</v>
      </c>
      <c r="F2585">
        <v>1</v>
      </c>
      <c r="G2585">
        <v>9791136940704</v>
      </c>
      <c r="H2585" t="s">
        <v>36</v>
      </c>
      <c r="I2585" t="s">
        <v>2260</v>
      </c>
      <c r="J2585" t="s">
        <v>38</v>
      </c>
      <c r="K2585" t="s">
        <v>29</v>
      </c>
      <c r="L2585" s="1">
        <v>3300</v>
      </c>
      <c r="M2585" t="s">
        <v>136</v>
      </c>
      <c r="N2585">
        <v>393</v>
      </c>
      <c r="O2585">
        <v>357</v>
      </c>
      <c r="P2585" t="s">
        <v>137</v>
      </c>
      <c r="Q2585" s="2">
        <v>0.7</v>
      </c>
      <c r="R2585">
        <v>250</v>
      </c>
      <c r="S2585" t="s">
        <v>29</v>
      </c>
      <c r="T2585" s="1">
        <v>2353</v>
      </c>
      <c r="U2585">
        <v>9.3801299999999994</v>
      </c>
      <c r="V2585" t="str">
        <f>VLOOKUP(H2585,'[1]팀별 출판사'!A:B,2,0)</f>
        <v>소설2팀</v>
      </c>
      <c r="W2585" s="6">
        <f t="shared" si="80"/>
        <v>0</v>
      </c>
      <c r="X2585" s="6">
        <f t="shared" si="81"/>
        <v>2353</v>
      </c>
    </row>
    <row r="2586" spans="1:24" x14ac:dyDescent="0.3">
      <c r="A2586" t="s">
        <v>3816</v>
      </c>
      <c r="B2586" t="s">
        <v>3886</v>
      </c>
      <c r="C2586" t="s">
        <v>23</v>
      </c>
      <c r="D2586" t="s">
        <v>24</v>
      </c>
      <c r="E2586" t="s">
        <v>25</v>
      </c>
      <c r="F2586">
        <v>1</v>
      </c>
      <c r="G2586">
        <v>9791136940728</v>
      </c>
      <c r="H2586" t="s">
        <v>36</v>
      </c>
      <c r="I2586" t="s">
        <v>2019</v>
      </c>
      <c r="J2586" t="s">
        <v>38</v>
      </c>
      <c r="K2586" t="s">
        <v>29</v>
      </c>
      <c r="L2586" s="1">
        <v>3300</v>
      </c>
      <c r="M2586" t="s">
        <v>136</v>
      </c>
      <c r="N2586">
        <v>393</v>
      </c>
      <c r="O2586">
        <v>357</v>
      </c>
      <c r="P2586" t="s">
        <v>137</v>
      </c>
      <c r="Q2586" s="2">
        <v>0.7</v>
      </c>
      <c r="R2586">
        <v>250</v>
      </c>
      <c r="S2586" t="s">
        <v>29</v>
      </c>
      <c r="T2586" s="1">
        <v>2353</v>
      </c>
      <c r="U2586">
        <v>9.3801299999999994</v>
      </c>
      <c r="V2586" t="str">
        <f>VLOOKUP(H2586,'[1]팀별 출판사'!A:B,2,0)</f>
        <v>소설2팀</v>
      </c>
      <c r="W2586" s="6">
        <f t="shared" si="80"/>
        <v>0</v>
      </c>
      <c r="X2586" s="6">
        <f t="shared" si="81"/>
        <v>2353</v>
      </c>
    </row>
    <row r="2587" spans="1:24" x14ac:dyDescent="0.3">
      <c r="A2587" t="s">
        <v>3816</v>
      </c>
      <c r="B2587" t="s">
        <v>3886</v>
      </c>
      <c r="C2587" t="s">
        <v>23</v>
      </c>
      <c r="D2587" t="s">
        <v>24</v>
      </c>
      <c r="E2587" t="s">
        <v>25</v>
      </c>
      <c r="F2587">
        <v>1</v>
      </c>
      <c r="G2587">
        <v>9791173786648</v>
      </c>
      <c r="H2587" t="s">
        <v>36</v>
      </c>
      <c r="I2587" t="s">
        <v>2003</v>
      </c>
      <c r="J2587" t="s">
        <v>38</v>
      </c>
      <c r="K2587" t="s">
        <v>29</v>
      </c>
      <c r="L2587" s="1">
        <v>1800</v>
      </c>
      <c r="M2587" t="s">
        <v>136</v>
      </c>
      <c r="N2587">
        <v>214</v>
      </c>
      <c r="O2587">
        <v>195</v>
      </c>
      <c r="P2587" t="s">
        <v>137</v>
      </c>
      <c r="Q2587" s="2">
        <v>0.7</v>
      </c>
      <c r="R2587">
        <v>136</v>
      </c>
      <c r="S2587" t="s">
        <v>29</v>
      </c>
      <c r="T2587" s="1">
        <v>1280</v>
      </c>
      <c r="U2587">
        <v>9.3801299999999994</v>
      </c>
      <c r="V2587" t="str">
        <f>VLOOKUP(H2587,'[1]팀별 출판사'!A:B,2,0)</f>
        <v>소설2팀</v>
      </c>
      <c r="W2587" s="6">
        <f t="shared" si="80"/>
        <v>0</v>
      </c>
      <c r="X2587" s="6">
        <f t="shared" si="81"/>
        <v>1280</v>
      </c>
    </row>
    <row r="2588" spans="1:24" x14ac:dyDescent="0.3">
      <c r="A2588" t="s">
        <v>3816</v>
      </c>
      <c r="B2588" t="s">
        <v>3887</v>
      </c>
      <c r="C2588" t="s">
        <v>23</v>
      </c>
      <c r="D2588" t="s">
        <v>24</v>
      </c>
      <c r="E2588" t="s">
        <v>25</v>
      </c>
      <c r="F2588">
        <v>1</v>
      </c>
      <c r="G2588" t="s">
        <v>3888</v>
      </c>
      <c r="H2588" t="s">
        <v>32</v>
      </c>
      <c r="I2588" t="s">
        <v>3889</v>
      </c>
      <c r="J2588" t="s">
        <v>1584</v>
      </c>
      <c r="K2588" t="s">
        <v>29</v>
      </c>
      <c r="L2588">
        <v>0</v>
      </c>
      <c r="M2588" t="s">
        <v>29</v>
      </c>
      <c r="N2588">
        <v>0</v>
      </c>
      <c r="O2588">
        <v>0</v>
      </c>
      <c r="P2588" t="s">
        <v>30</v>
      </c>
      <c r="Q2588" s="2">
        <v>0.7</v>
      </c>
      <c r="R2588">
        <v>0</v>
      </c>
      <c r="V2588" t="str">
        <f>VLOOKUP(H2588,'[1]팀별 출판사'!A:B,2,0)</f>
        <v>소설1팀</v>
      </c>
      <c r="W2588" s="6">
        <f t="shared" si="80"/>
        <v>0</v>
      </c>
      <c r="X2588" s="6">
        <f t="shared" si="81"/>
        <v>0</v>
      </c>
    </row>
    <row r="2589" spans="1:24" x14ac:dyDescent="0.3">
      <c r="A2589" t="s">
        <v>3816</v>
      </c>
      <c r="B2589" t="s">
        <v>3890</v>
      </c>
      <c r="C2589" t="s">
        <v>23</v>
      </c>
      <c r="D2589" t="s">
        <v>24</v>
      </c>
      <c r="E2589" t="s">
        <v>25</v>
      </c>
      <c r="F2589">
        <v>1</v>
      </c>
      <c r="G2589" t="s">
        <v>1582</v>
      </c>
      <c r="H2589" t="s">
        <v>32</v>
      </c>
      <c r="I2589" t="s">
        <v>1583</v>
      </c>
      <c r="J2589" t="s">
        <v>1584</v>
      </c>
      <c r="K2589" t="s">
        <v>29</v>
      </c>
      <c r="L2589">
        <v>0</v>
      </c>
      <c r="M2589" t="s">
        <v>29</v>
      </c>
      <c r="N2589">
        <v>0</v>
      </c>
      <c r="O2589">
        <v>0</v>
      </c>
      <c r="P2589" t="s">
        <v>30</v>
      </c>
      <c r="Q2589" s="2">
        <v>0.7</v>
      </c>
      <c r="R2589">
        <v>0</v>
      </c>
      <c r="V2589" t="str">
        <f>VLOOKUP(H2589,'[1]팀별 출판사'!A:B,2,0)</f>
        <v>소설1팀</v>
      </c>
      <c r="W2589" s="6">
        <f t="shared" si="80"/>
        <v>0</v>
      </c>
      <c r="X2589" s="6">
        <f t="shared" si="81"/>
        <v>0</v>
      </c>
    </row>
    <row r="2590" spans="1:24" x14ac:dyDescent="0.3">
      <c r="A2590" t="s">
        <v>3816</v>
      </c>
      <c r="B2590" t="s">
        <v>3891</v>
      </c>
      <c r="C2590" t="s">
        <v>23</v>
      </c>
      <c r="D2590" t="s">
        <v>24</v>
      </c>
      <c r="E2590" t="s">
        <v>25</v>
      </c>
      <c r="F2590">
        <v>1</v>
      </c>
      <c r="G2590">
        <v>9791136930118</v>
      </c>
      <c r="H2590" t="s">
        <v>32</v>
      </c>
      <c r="I2590" t="s">
        <v>828</v>
      </c>
      <c r="J2590" t="s">
        <v>157</v>
      </c>
      <c r="K2590" t="s">
        <v>29</v>
      </c>
      <c r="L2590">
        <v>0</v>
      </c>
      <c r="M2590" t="s">
        <v>29</v>
      </c>
      <c r="N2590">
        <v>0</v>
      </c>
      <c r="O2590">
        <v>0</v>
      </c>
      <c r="P2590" t="s">
        <v>30</v>
      </c>
      <c r="Q2590" s="2">
        <v>0.7</v>
      </c>
      <c r="R2590">
        <v>0</v>
      </c>
      <c r="V2590" t="str">
        <f>VLOOKUP(H2590,'[1]팀별 출판사'!A:B,2,0)</f>
        <v>소설1팀</v>
      </c>
      <c r="W2590" s="6">
        <f t="shared" si="80"/>
        <v>0</v>
      </c>
      <c r="X2590" s="6">
        <f t="shared" si="81"/>
        <v>0</v>
      </c>
    </row>
    <row r="2591" spans="1:24" x14ac:dyDescent="0.3">
      <c r="A2591" t="s">
        <v>3816</v>
      </c>
      <c r="B2591" t="s">
        <v>3892</v>
      </c>
      <c r="C2591" t="s">
        <v>23</v>
      </c>
      <c r="D2591" t="s">
        <v>24</v>
      </c>
      <c r="E2591" t="s">
        <v>25</v>
      </c>
      <c r="F2591">
        <v>1</v>
      </c>
      <c r="G2591">
        <v>9791133171934</v>
      </c>
      <c r="H2591" t="s">
        <v>26</v>
      </c>
      <c r="I2591" t="s">
        <v>1352</v>
      </c>
      <c r="J2591" t="s">
        <v>311</v>
      </c>
      <c r="K2591" t="s">
        <v>29</v>
      </c>
      <c r="L2591">
        <v>0</v>
      </c>
      <c r="M2591" t="s">
        <v>29</v>
      </c>
      <c r="N2591">
        <v>0</v>
      </c>
      <c r="O2591">
        <v>0</v>
      </c>
      <c r="P2591" t="s">
        <v>30</v>
      </c>
      <c r="Q2591" s="2">
        <v>0.7</v>
      </c>
      <c r="R2591">
        <v>0</v>
      </c>
      <c r="V2591" t="str">
        <f>VLOOKUP(H2591,'[1]팀별 출판사'!A:B,2,0)</f>
        <v>소설1팀</v>
      </c>
      <c r="W2591" s="6">
        <f t="shared" si="80"/>
        <v>0</v>
      </c>
      <c r="X2591" s="6">
        <f t="shared" si="81"/>
        <v>0</v>
      </c>
    </row>
    <row r="2592" spans="1:24" x14ac:dyDescent="0.3">
      <c r="A2592" t="s">
        <v>3816</v>
      </c>
      <c r="B2592" t="s">
        <v>3893</v>
      </c>
      <c r="C2592" t="s">
        <v>23</v>
      </c>
      <c r="D2592" t="s">
        <v>24</v>
      </c>
      <c r="E2592" t="s">
        <v>25</v>
      </c>
      <c r="F2592">
        <v>1</v>
      </c>
      <c r="G2592">
        <v>9791136911117</v>
      </c>
      <c r="H2592" t="s">
        <v>26</v>
      </c>
      <c r="I2592" t="s">
        <v>2250</v>
      </c>
      <c r="J2592" t="s">
        <v>160</v>
      </c>
      <c r="K2592" t="s">
        <v>29</v>
      </c>
      <c r="L2592" s="1">
        <v>3200</v>
      </c>
      <c r="M2592" t="s">
        <v>29</v>
      </c>
      <c r="N2592" s="1">
        <v>3200</v>
      </c>
      <c r="O2592" s="1">
        <v>3200</v>
      </c>
      <c r="P2592" t="s">
        <v>30</v>
      </c>
      <c r="Q2592" s="2">
        <v>0.7</v>
      </c>
      <c r="R2592" s="1">
        <v>2240</v>
      </c>
      <c r="S2592" t="s">
        <v>29</v>
      </c>
      <c r="T2592" s="1">
        <v>2240</v>
      </c>
      <c r="V2592" t="str">
        <f>VLOOKUP(H2592,'[1]팀별 출판사'!A:B,2,0)</f>
        <v>소설1팀</v>
      </c>
      <c r="W2592" s="6">
        <f t="shared" si="80"/>
        <v>0</v>
      </c>
      <c r="X2592" s="6">
        <f t="shared" si="81"/>
        <v>2240</v>
      </c>
    </row>
    <row r="2593" spans="1:24" x14ac:dyDescent="0.3">
      <c r="A2593" t="s">
        <v>3816</v>
      </c>
      <c r="B2593" t="s">
        <v>3894</v>
      </c>
      <c r="C2593" t="s">
        <v>23</v>
      </c>
      <c r="D2593" t="s">
        <v>24</v>
      </c>
      <c r="E2593" t="s">
        <v>25</v>
      </c>
      <c r="F2593">
        <v>1</v>
      </c>
      <c r="G2593">
        <v>9791170106715</v>
      </c>
      <c r="H2593" t="s">
        <v>67</v>
      </c>
      <c r="I2593" t="s">
        <v>68</v>
      </c>
      <c r="J2593" t="s">
        <v>69</v>
      </c>
      <c r="K2593" t="s">
        <v>29</v>
      </c>
      <c r="L2593">
        <v>0</v>
      </c>
      <c r="M2593" t="s">
        <v>70</v>
      </c>
      <c r="N2593">
        <v>0</v>
      </c>
      <c r="O2593">
        <v>0</v>
      </c>
      <c r="P2593" t="s">
        <v>2908</v>
      </c>
      <c r="Q2593" s="2">
        <v>0.7</v>
      </c>
      <c r="R2593">
        <v>0</v>
      </c>
      <c r="V2593" t="str">
        <f>VLOOKUP(H2593,'[1]팀별 출판사'!A:B,2,0)</f>
        <v>소설1팀</v>
      </c>
      <c r="W2593" s="6">
        <f t="shared" si="80"/>
        <v>0</v>
      </c>
      <c r="X2593" s="6">
        <f t="shared" si="81"/>
        <v>0</v>
      </c>
    </row>
    <row r="2594" spans="1:24" x14ac:dyDescent="0.3">
      <c r="A2594" t="s">
        <v>3816</v>
      </c>
      <c r="B2594" t="s">
        <v>3895</v>
      </c>
      <c r="C2594" t="s">
        <v>23</v>
      </c>
      <c r="D2594" t="s">
        <v>24</v>
      </c>
      <c r="E2594" t="s">
        <v>25</v>
      </c>
      <c r="F2594">
        <v>1</v>
      </c>
      <c r="G2594">
        <v>9791136942036</v>
      </c>
      <c r="H2594" t="s">
        <v>26</v>
      </c>
      <c r="I2594" t="s">
        <v>1941</v>
      </c>
      <c r="J2594" t="s">
        <v>81</v>
      </c>
      <c r="K2594" t="s">
        <v>29</v>
      </c>
      <c r="L2594">
        <v>0</v>
      </c>
      <c r="M2594" t="s">
        <v>29</v>
      </c>
      <c r="N2594">
        <v>0</v>
      </c>
      <c r="O2594">
        <v>0</v>
      </c>
      <c r="P2594" t="s">
        <v>30</v>
      </c>
      <c r="Q2594" s="2">
        <v>0.7</v>
      </c>
      <c r="R2594">
        <v>0</v>
      </c>
      <c r="V2594" t="str">
        <f>VLOOKUP(H2594,'[1]팀별 출판사'!A:B,2,0)</f>
        <v>소설1팀</v>
      </c>
      <c r="W2594" s="6">
        <f t="shared" si="80"/>
        <v>0</v>
      </c>
      <c r="X2594" s="6">
        <f t="shared" si="81"/>
        <v>0</v>
      </c>
    </row>
    <row r="2595" spans="1:24" x14ac:dyDescent="0.3">
      <c r="A2595" t="s">
        <v>3816</v>
      </c>
      <c r="B2595" t="s">
        <v>3896</v>
      </c>
      <c r="C2595" t="s">
        <v>23</v>
      </c>
      <c r="D2595" t="s">
        <v>24</v>
      </c>
      <c r="E2595" t="s">
        <v>25</v>
      </c>
      <c r="F2595">
        <v>1</v>
      </c>
      <c r="G2595">
        <v>9791172920135</v>
      </c>
      <c r="H2595" t="s">
        <v>26</v>
      </c>
      <c r="I2595" t="s">
        <v>278</v>
      </c>
      <c r="J2595" t="s">
        <v>276</v>
      </c>
      <c r="K2595" t="s">
        <v>29</v>
      </c>
      <c r="L2595">
        <v>0</v>
      </c>
      <c r="M2595" t="s">
        <v>29</v>
      </c>
      <c r="N2595">
        <v>0</v>
      </c>
      <c r="O2595">
        <v>0</v>
      </c>
      <c r="P2595" t="s">
        <v>30</v>
      </c>
      <c r="Q2595" s="2">
        <v>0.7</v>
      </c>
      <c r="R2595">
        <v>0</v>
      </c>
      <c r="V2595" t="str">
        <f>VLOOKUP(H2595,'[1]팀별 출판사'!A:B,2,0)</f>
        <v>소설1팀</v>
      </c>
      <c r="W2595" s="6">
        <f t="shared" si="80"/>
        <v>0</v>
      </c>
      <c r="X2595" s="6">
        <f t="shared" si="81"/>
        <v>0</v>
      </c>
    </row>
    <row r="2596" spans="1:24" x14ac:dyDescent="0.3">
      <c r="A2596" t="s">
        <v>3816</v>
      </c>
      <c r="B2596" t="s">
        <v>3897</v>
      </c>
      <c r="C2596" t="s">
        <v>23</v>
      </c>
      <c r="D2596" t="s">
        <v>24</v>
      </c>
      <c r="E2596" t="s">
        <v>25</v>
      </c>
      <c r="F2596">
        <v>1</v>
      </c>
      <c r="G2596">
        <v>9791172927844</v>
      </c>
      <c r="H2596" t="s">
        <v>79</v>
      </c>
      <c r="I2596" t="s">
        <v>1168</v>
      </c>
      <c r="J2596" t="s">
        <v>81</v>
      </c>
      <c r="K2596" t="s">
        <v>29</v>
      </c>
      <c r="L2596">
        <v>0</v>
      </c>
      <c r="M2596" t="s">
        <v>29</v>
      </c>
      <c r="N2596">
        <v>0</v>
      </c>
      <c r="O2596">
        <v>0</v>
      </c>
      <c r="P2596" t="s">
        <v>30</v>
      </c>
      <c r="Q2596" s="2">
        <v>0.7</v>
      </c>
      <c r="R2596">
        <v>0</v>
      </c>
      <c r="V2596" t="str">
        <f>VLOOKUP(H2596,'[1]팀별 출판사'!A:B,2,0)</f>
        <v>소설1팀</v>
      </c>
      <c r="W2596" s="6">
        <f t="shared" si="80"/>
        <v>0</v>
      </c>
      <c r="X2596" s="6">
        <f t="shared" si="81"/>
        <v>0</v>
      </c>
    </row>
    <row r="2597" spans="1:24" x14ac:dyDescent="0.3">
      <c r="A2597" t="s">
        <v>3816</v>
      </c>
      <c r="B2597" t="s">
        <v>3898</v>
      </c>
      <c r="C2597" t="s">
        <v>23</v>
      </c>
      <c r="D2597" t="s">
        <v>24</v>
      </c>
      <c r="E2597" t="s">
        <v>25</v>
      </c>
      <c r="F2597">
        <v>1</v>
      </c>
      <c r="G2597" t="s">
        <v>164</v>
      </c>
      <c r="H2597" t="s">
        <v>32</v>
      </c>
      <c r="I2597" t="s">
        <v>165</v>
      </c>
      <c r="J2597" t="s">
        <v>166</v>
      </c>
      <c r="K2597" t="s">
        <v>29</v>
      </c>
      <c r="L2597">
        <v>0</v>
      </c>
      <c r="M2597" t="s">
        <v>29</v>
      </c>
      <c r="N2597">
        <v>0</v>
      </c>
      <c r="O2597">
        <v>0</v>
      </c>
      <c r="P2597" t="s">
        <v>30</v>
      </c>
      <c r="Q2597" s="2">
        <v>0.7</v>
      </c>
      <c r="R2597">
        <v>0</v>
      </c>
      <c r="V2597" t="str">
        <f>VLOOKUP(H2597,'[1]팀별 출판사'!A:B,2,0)</f>
        <v>소설1팀</v>
      </c>
      <c r="W2597" s="6">
        <f t="shared" si="80"/>
        <v>0</v>
      </c>
      <c r="X2597" s="6">
        <f t="shared" si="81"/>
        <v>0</v>
      </c>
    </row>
    <row r="2598" spans="1:24" x14ac:dyDescent="0.3">
      <c r="A2598" t="s">
        <v>3816</v>
      </c>
      <c r="B2598" t="s">
        <v>3899</v>
      </c>
      <c r="C2598" t="s">
        <v>23</v>
      </c>
      <c r="D2598" t="s">
        <v>24</v>
      </c>
      <c r="E2598" t="s">
        <v>25</v>
      </c>
      <c r="F2598">
        <v>1</v>
      </c>
      <c r="G2598">
        <v>9791136941862</v>
      </c>
      <c r="H2598" t="s">
        <v>26</v>
      </c>
      <c r="I2598" t="s">
        <v>894</v>
      </c>
      <c r="J2598" t="s">
        <v>81</v>
      </c>
      <c r="K2598" t="s">
        <v>29</v>
      </c>
      <c r="L2598">
        <v>0</v>
      </c>
      <c r="M2598" t="s">
        <v>29</v>
      </c>
      <c r="N2598">
        <v>0</v>
      </c>
      <c r="O2598">
        <v>0</v>
      </c>
      <c r="P2598" t="s">
        <v>30</v>
      </c>
      <c r="Q2598" s="2">
        <v>0.7</v>
      </c>
      <c r="R2598">
        <v>0</v>
      </c>
      <c r="V2598" t="str">
        <f>VLOOKUP(H2598,'[1]팀별 출판사'!A:B,2,0)</f>
        <v>소설1팀</v>
      </c>
      <c r="W2598" s="6">
        <f t="shared" si="80"/>
        <v>0</v>
      </c>
      <c r="X2598" s="6">
        <f t="shared" si="81"/>
        <v>0</v>
      </c>
    </row>
    <row r="2599" spans="1:24" x14ac:dyDescent="0.3">
      <c r="A2599" t="s">
        <v>3816</v>
      </c>
      <c r="B2599" t="s">
        <v>3900</v>
      </c>
      <c r="C2599" t="s">
        <v>23</v>
      </c>
      <c r="D2599" t="s">
        <v>24</v>
      </c>
      <c r="E2599" t="s">
        <v>25</v>
      </c>
      <c r="F2599">
        <v>1</v>
      </c>
      <c r="G2599">
        <v>9791173786136</v>
      </c>
      <c r="H2599" t="s">
        <v>79</v>
      </c>
      <c r="I2599" t="s">
        <v>1476</v>
      </c>
      <c r="J2599" t="s">
        <v>81</v>
      </c>
      <c r="K2599" t="s">
        <v>29</v>
      </c>
      <c r="L2599">
        <v>0</v>
      </c>
      <c r="M2599" t="s">
        <v>29</v>
      </c>
      <c r="N2599">
        <v>0</v>
      </c>
      <c r="O2599">
        <v>0</v>
      </c>
      <c r="P2599" t="s">
        <v>30</v>
      </c>
      <c r="Q2599" s="2">
        <v>0.7</v>
      </c>
      <c r="R2599">
        <v>0</v>
      </c>
      <c r="V2599" t="str">
        <f>VLOOKUP(H2599,'[1]팀별 출판사'!A:B,2,0)</f>
        <v>소설1팀</v>
      </c>
      <c r="W2599" s="6">
        <f t="shared" si="80"/>
        <v>0</v>
      </c>
      <c r="X2599" s="6">
        <f t="shared" si="81"/>
        <v>0</v>
      </c>
    </row>
    <row r="2600" spans="1:24" x14ac:dyDescent="0.3">
      <c r="A2600" t="s">
        <v>3816</v>
      </c>
      <c r="B2600" t="s">
        <v>3901</v>
      </c>
      <c r="C2600" t="s">
        <v>23</v>
      </c>
      <c r="D2600" t="s">
        <v>24</v>
      </c>
      <c r="E2600" t="s">
        <v>25</v>
      </c>
      <c r="F2600">
        <v>1</v>
      </c>
      <c r="G2600">
        <v>9791136988416</v>
      </c>
      <c r="H2600" t="s">
        <v>26</v>
      </c>
      <c r="I2600" t="s">
        <v>3648</v>
      </c>
      <c r="J2600" t="s">
        <v>28</v>
      </c>
      <c r="K2600" t="s">
        <v>29</v>
      </c>
      <c r="L2600" s="1">
        <v>3200</v>
      </c>
      <c r="M2600" t="s">
        <v>29</v>
      </c>
      <c r="N2600" s="1">
        <v>3200</v>
      </c>
      <c r="O2600" s="1">
        <v>3200</v>
      </c>
      <c r="P2600" t="s">
        <v>30</v>
      </c>
      <c r="Q2600" s="2">
        <v>0.7</v>
      </c>
      <c r="R2600" s="1">
        <v>2240</v>
      </c>
      <c r="S2600" t="s">
        <v>29</v>
      </c>
      <c r="T2600" s="1">
        <v>2240</v>
      </c>
      <c r="V2600" t="str">
        <f>VLOOKUP(H2600,'[1]팀별 출판사'!A:B,2,0)</f>
        <v>소설1팀</v>
      </c>
      <c r="W2600" s="6">
        <f t="shared" si="80"/>
        <v>0</v>
      </c>
      <c r="X2600" s="6">
        <f t="shared" si="81"/>
        <v>2240</v>
      </c>
    </row>
    <row r="2601" spans="1:24" x14ac:dyDescent="0.3">
      <c r="A2601" t="s">
        <v>3816</v>
      </c>
      <c r="B2601" t="s">
        <v>3902</v>
      </c>
      <c r="C2601" t="s">
        <v>23</v>
      </c>
      <c r="D2601" t="s">
        <v>24</v>
      </c>
      <c r="E2601" t="s">
        <v>25</v>
      </c>
      <c r="F2601">
        <v>1</v>
      </c>
      <c r="G2601">
        <v>9791136930613</v>
      </c>
      <c r="H2601" t="s">
        <v>32</v>
      </c>
      <c r="I2601" t="s">
        <v>57</v>
      </c>
      <c r="J2601" t="s">
        <v>34</v>
      </c>
      <c r="K2601" t="s">
        <v>29</v>
      </c>
      <c r="L2601">
        <v>0</v>
      </c>
      <c r="M2601" t="s">
        <v>70</v>
      </c>
      <c r="N2601">
        <v>0</v>
      </c>
      <c r="O2601">
        <v>0</v>
      </c>
      <c r="P2601" t="s">
        <v>71</v>
      </c>
      <c r="Q2601" s="2">
        <v>0.7</v>
      </c>
      <c r="R2601">
        <v>0</v>
      </c>
      <c r="V2601" t="str">
        <f>VLOOKUP(H2601,'[1]팀별 출판사'!A:B,2,0)</f>
        <v>소설1팀</v>
      </c>
      <c r="W2601" s="6">
        <f t="shared" si="80"/>
        <v>0</v>
      </c>
      <c r="X2601" s="6">
        <f t="shared" si="81"/>
        <v>0</v>
      </c>
    </row>
    <row r="2602" spans="1:24" x14ac:dyDescent="0.3">
      <c r="A2602" t="s">
        <v>3816</v>
      </c>
      <c r="B2602" t="s">
        <v>3903</v>
      </c>
      <c r="C2602" t="s">
        <v>23</v>
      </c>
      <c r="D2602" t="s">
        <v>24</v>
      </c>
      <c r="E2602" t="s">
        <v>25</v>
      </c>
      <c r="F2602">
        <v>1</v>
      </c>
      <c r="G2602">
        <v>9791136942142</v>
      </c>
      <c r="H2602" t="s">
        <v>26</v>
      </c>
      <c r="I2602" t="s">
        <v>180</v>
      </c>
      <c r="J2602" t="s">
        <v>46</v>
      </c>
      <c r="K2602" t="s">
        <v>29</v>
      </c>
      <c r="L2602">
        <v>0</v>
      </c>
      <c r="M2602" t="s">
        <v>29</v>
      </c>
      <c r="N2602">
        <v>0</v>
      </c>
      <c r="O2602">
        <v>0</v>
      </c>
      <c r="P2602" t="s">
        <v>30</v>
      </c>
      <c r="Q2602" s="2">
        <v>0.7</v>
      </c>
      <c r="R2602">
        <v>0</v>
      </c>
      <c r="V2602" t="str">
        <f>VLOOKUP(H2602,'[1]팀별 출판사'!A:B,2,0)</f>
        <v>소설1팀</v>
      </c>
      <c r="W2602" s="6">
        <f t="shared" si="80"/>
        <v>0</v>
      </c>
      <c r="X2602" s="6">
        <f t="shared" si="81"/>
        <v>0</v>
      </c>
    </row>
    <row r="2603" spans="1:24" x14ac:dyDescent="0.3">
      <c r="A2603" t="s">
        <v>3816</v>
      </c>
      <c r="B2603" t="s">
        <v>3904</v>
      </c>
      <c r="C2603" t="s">
        <v>23</v>
      </c>
      <c r="D2603" t="s">
        <v>24</v>
      </c>
      <c r="E2603" t="s">
        <v>25</v>
      </c>
      <c r="F2603">
        <v>1</v>
      </c>
      <c r="G2603">
        <v>9791172921033</v>
      </c>
      <c r="H2603" t="s">
        <v>79</v>
      </c>
      <c r="I2603" t="s">
        <v>738</v>
      </c>
      <c r="J2603" t="s">
        <v>46</v>
      </c>
      <c r="K2603" t="s">
        <v>29</v>
      </c>
      <c r="L2603">
        <v>0</v>
      </c>
      <c r="M2603" t="s">
        <v>29</v>
      </c>
      <c r="N2603">
        <v>0</v>
      </c>
      <c r="O2603">
        <v>0</v>
      </c>
      <c r="P2603" t="s">
        <v>30</v>
      </c>
      <c r="Q2603" s="2">
        <v>0.7</v>
      </c>
      <c r="R2603">
        <v>0</v>
      </c>
      <c r="V2603" t="str">
        <f>VLOOKUP(H2603,'[1]팀별 출판사'!A:B,2,0)</f>
        <v>소설1팀</v>
      </c>
      <c r="W2603" s="6">
        <f t="shared" si="80"/>
        <v>0</v>
      </c>
      <c r="X2603" s="6">
        <f t="shared" si="81"/>
        <v>0</v>
      </c>
    </row>
    <row r="2604" spans="1:24" x14ac:dyDescent="0.3">
      <c r="A2604" t="s">
        <v>3816</v>
      </c>
      <c r="B2604" t="s">
        <v>3905</v>
      </c>
      <c r="C2604" t="s">
        <v>23</v>
      </c>
      <c r="D2604" t="s">
        <v>24</v>
      </c>
      <c r="E2604" t="s">
        <v>25</v>
      </c>
      <c r="F2604">
        <v>1</v>
      </c>
      <c r="G2604">
        <v>9791175309777</v>
      </c>
      <c r="H2604" t="s">
        <v>36</v>
      </c>
      <c r="I2604" t="s">
        <v>3906</v>
      </c>
      <c r="J2604" t="s">
        <v>1366</v>
      </c>
      <c r="K2604" t="s">
        <v>29</v>
      </c>
      <c r="L2604" s="1">
        <v>3500</v>
      </c>
      <c r="M2604" t="s">
        <v>29</v>
      </c>
      <c r="N2604" s="1">
        <v>3500</v>
      </c>
      <c r="O2604" s="1">
        <v>3500</v>
      </c>
      <c r="P2604" t="s">
        <v>30</v>
      </c>
      <c r="Q2604" s="2">
        <v>0.7</v>
      </c>
      <c r="R2604" s="1">
        <v>2450</v>
      </c>
      <c r="S2604" t="s">
        <v>29</v>
      </c>
      <c r="T2604" s="1">
        <v>2450</v>
      </c>
      <c r="V2604" t="str">
        <f>VLOOKUP(H2604,'[1]팀별 출판사'!A:B,2,0)</f>
        <v>소설2팀</v>
      </c>
      <c r="W2604" s="6">
        <f t="shared" si="80"/>
        <v>0</v>
      </c>
      <c r="X2604" s="6">
        <f t="shared" si="81"/>
        <v>2450</v>
      </c>
    </row>
    <row r="2605" spans="1:24" x14ac:dyDescent="0.3">
      <c r="A2605" t="s">
        <v>3816</v>
      </c>
      <c r="B2605" t="s">
        <v>3905</v>
      </c>
      <c r="C2605" t="s">
        <v>23</v>
      </c>
      <c r="D2605" t="s">
        <v>24</v>
      </c>
      <c r="E2605" t="s">
        <v>25</v>
      </c>
      <c r="F2605">
        <v>1</v>
      </c>
      <c r="G2605">
        <v>9791175309784</v>
      </c>
      <c r="H2605" t="s">
        <v>36</v>
      </c>
      <c r="I2605" t="s">
        <v>3907</v>
      </c>
      <c r="J2605" t="s">
        <v>1366</v>
      </c>
      <c r="K2605" t="s">
        <v>29</v>
      </c>
      <c r="L2605" s="1">
        <v>3500</v>
      </c>
      <c r="M2605" t="s">
        <v>29</v>
      </c>
      <c r="N2605" s="1">
        <v>3500</v>
      </c>
      <c r="O2605" s="1">
        <v>3500</v>
      </c>
      <c r="P2605" t="s">
        <v>30</v>
      </c>
      <c r="Q2605" s="2">
        <v>0.7</v>
      </c>
      <c r="R2605" s="1">
        <v>2450</v>
      </c>
      <c r="S2605" t="s">
        <v>29</v>
      </c>
      <c r="T2605" s="1">
        <v>2450</v>
      </c>
      <c r="V2605" t="str">
        <f>VLOOKUP(H2605,'[1]팀별 출판사'!A:B,2,0)</f>
        <v>소설2팀</v>
      </c>
      <c r="W2605" s="6">
        <f t="shared" si="80"/>
        <v>0</v>
      </c>
      <c r="X2605" s="6">
        <f t="shared" si="81"/>
        <v>2450</v>
      </c>
    </row>
    <row r="2606" spans="1:24" x14ac:dyDescent="0.3">
      <c r="A2606" t="s">
        <v>3816</v>
      </c>
      <c r="B2606" t="s">
        <v>3905</v>
      </c>
      <c r="C2606" t="s">
        <v>23</v>
      </c>
      <c r="D2606" t="s">
        <v>24</v>
      </c>
      <c r="E2606" t="s">
        <v>25</v>
      </c>
      <c r="F2606">
        <v>1</v>
      </c>
      <c r="G2606">
        <v>9791175309791</v>
      </c>
      <c r="H2606" t="s">
        <v>36</v>
      </c>
      <c r="I2606" t="s">
        <v>3908</v>
      </c>
      <c r="J2606" t="s">
        <v>1366</v>
      </c>
      <c r="K2606" t="s">
        <v>29</v>
      </c>
      <c r="L2606" s="1">
        <v>3500</v>
      </c>
      <c r="M2606" t="s">
        <v>29</v>
      </c>
      <c r="N2606" s="1">
        <v>3500</v>
      </c>
      <c r="O2606" s="1">
        <v>3500</v>
      </c>
      <c r="P2606" t="s">
        <v>30</v>
      </c>
      <c r="Q2606" s="2">
        <v>0.7</v>
      </c>
      <c r="R2606" s="1">
        <v>2450</v>
      </c>
      <c r="S2606" t="s">
        <v>29</v>
      </c>
      <c r="T2606" s="1">
        <v>2450</v>
      </c>
      <c r="V2606" t="str">
        <f>VLOOKUP(H2606,'[1]팀별 출판사'!A:B,2,0)</f>
        <v>소설2팀</v>
      </c>
      <c r="W2606" s="6">
        <f t="shared" si="80"/>
        <v>0</v>
      </c>
      <c r="X2606" s="6">
        <f t="shared" si="81"/>
        <v>2450</v>
      </c>
    </row>
    <row r="2607" spans="1:24" x14ac:dyDescent="0.3">
      <c r="A2607" t="s">
        <v>3816</v>
      </c>
      <c r="B2607" t="s">
        <v>3905</v>
      </c>
      <c r="C2607" t="s">
        <v>23</v>
      </c>
      <c r="D2607" t="s">
        <v>24</v>
      </c>
      <c r="E2607" t="s">
        <v>25</v>
      </c>
      <c r="F2607">
        <v>1</v>
      </c>
      <c r="G2607">
        <v>9791175309807</v>
      </c>
      <c r="H2607" t="s">
        <v>36</v>
      </c>
      <c r="I2607" t="s">
        <v>3909</v>
      </c>
      <c r="J2607" t="s">
        <v>1366</v>
      </c>
      <c r="K2607" t="s">
        <v>29</v>
      </c>
      <c r="L2607" s="1">
        <v>3500</v>
      </c>
      <c r="M2607" t="s">
        <v>29</v>
      </c>
      <c r="N2607" s="1">
        <v>3500</v>
      </c>
      <c r="O2607" s="1">
        <v>3500</v>
      </c>
      <c r="P2607" t="s">
        <v>30</v>
      </c>
      <c r="Q2607" s="2">
        <v>0.7</v>
      </c>
      <c r="R2607" s="1">
        <v>2450</v>
      </c>
      <c r="S2607" t="s">
        <v>29</v>
      </c>
      <c r="T2607" s="1">
        <v>2450</v>
      </c>
      <c r="V2607" t="str">
        <f>VLOOKUP(H2607,'[1]팀별 출판사'!A:B,2,0)</f>
        <v>소설2팀</v>
      </c>
      <c r="W2607" s="6">
        <f t="shared" si="80"/>
        <v>0</v>
      </c>
      <c r="X2607" s="6">
        <f t="shared" si="81"/>
        <v>2450</v>
      </c>
    </row>
    <row r="2608" spans="1:24" x14ac:dyDescent="0.3">
      <c r="A2608" t="s">
        <v>3816</v>
      </c>
      <c r="B2608" t="s">
        <v>3905</v>
      </c>
      <c r="C2608" t="s">
        <v>23</v>
      </c>
      <c r="D2608" t="s">
        <v>24</v>
      </c>
      <c r="E2608" t="s">
        <v>25</v>
      </c>
      <c r="F2608">
        <v>1</v>
      </c>
      <c r="G2608">
        <v>9791175309814</v>
      </c>
      <c r="H2608" t="s">
        <v>36</v>
      </c>
      <c r="I2608" t="s">
        <v>3910</v>
      </c>
      <c r="J2608" t="s">
        <v>1366</v>
      </c>
      <c r="K2608" t="s">
        <v>29</v>
      </c>
      <c r="L2608" s="1">
        <v>3500</v>
      </c>
      <c r="M2608" t="s">
        <v>29</v>
      </c>
      <c r="N2608" s="1">
        <v>3500</v>
      </c>
      <c r="O2608" s="1">
        <v>3500</v>
      </c>
      <c r="P2608" t="s">
        <v>30</v>
      </c>
      <c r="Q2608" s="2">
        <v>0.7</v>
      </c>
      <c r="R2608" s="1">
        <v>2450</v>
      </c>
      <c r="S2608" t="s">
        <v>29</v>
      </c>
      <c r="T2608" s="1">
        <v>2450</v>
      </c>
      <c r="V2608" t="str">
        <f>VLOOKUP(H2608,'[1]팀별 출판사'!A:B,2,0)</f>
        <v>소설2팀</v>
      </c>
      <c r="W2608" s="6">
        <f t="shared" si="80"/>
        <v>0</v>
      </c>
      <c r="X2608" s="6">
        <f t="shared" si="81"/>
        <v>2450</v>
      </c>
    </row>
    <row r="2609" spans="1:24" x14ac:dyDescent="0.3">
      <c r="A2609" t="s">
        <v>3816</v>
      </c>
      <c r="B2609" t="s">
        <v>3905</v>
      </c>
      <c r="C2609" t="s">
        <v>23</v>
      </c>
      <c r="D2609" t="s">
        <v>24</v>
      </c>
      <c r="E2609" t="s">
        <v>25</v>
      </c>
      <c r="F2609">
        <v>1</v>
      </c>
      <c r="G2609">
        <v>9791175309821</v>
      </c>
      <c r="H2609" t="s">
        <v>36</v>
      </c>
      <c r="I2609" t="s">
        <v>3911</v>
      </c>
      <c r="J2609" t="s">
        <v>1366</v>
      </c>
      <c r="K2609" t="s">
        <v>29</v>
      </c>
      <c r="L2609" s="1">
        <v>3500</v>
      </c>
      <c r="M2609" t="s">
        <v>29</v>
      </c>
      <c r="N2609" s="1">
        <v>3500</v>
      </c>
      <c r="O2609" s="1">
        <v>3500</v>
      </c>
      <c r="P2609" t="s">
        <v>30</v>
      </c>
      <c r="Q2609" s="2">
        <v>0.7</v>
      </c>
      <c r="R2609" s="1">
        <v>2450</v>
      </c>
      <c r="S2609" t="s">
        <v>29</v>
      </c>
      <c r="T2609" s="1">
        <v>2450</v>
      </c>
      <c r="V2609" t="str">
        <f>VLOOKUP(H2609,'[1]팀별 출판사'!A:B,2,0)</f>
        <v>소설2팀</v>
      </c>
      <c r="W2609" s="6">
        <f t="shared" si="80"/>
        <v>0</v>
      </c>
      <c r="X2609" s="6">
        <f t="shared" si="81"/>
        <v>2450</v>
      </c>
    </row>
    <row r="2610" spans="1:24" x14ac:dyDescent="0.3">
      <c r="A2610" t="s">
        <v>3816</v>
      </c>
      <c r="B2610" t="s">
        <v>3912</v>
      </c>
      <c r="C2610" t="s">
        <v>23</v>
      </c>
      <c r="D2610" t="s">
        <v>24</v>
      </c>
      <c r="E2610" t="s">
        <v>25</v>
      </c>
      <c r="F2610">
        <v>1</v>
      </c>
      <c r="G2610">
        <v>9791136939302</v>
      </c>
      <c r="H2610" t="s">
        <v>36</v>
      </c>
      <c r="I2610" t="s">
        <v>3913</v>
      </c>
      <c r="J2610" t="s">
        <v>466</v>
      </c>
      <c r="K2610" t="s">
        <v>29</v>
      </c>
      <c r="L2610" s="1">
        <v>3800</v>
      </c>
      <c r="M2610" t="s">
        <v>29</v>
      </c>
      <c r="N2610" s="1">
        <v>3800</v>
      </c>
      <c r="O2610" s="1">
        <v>3800</v>
      </c>
      <c r="P2610" t="s">
        <v>30</v>
      </c>
      <c r="Q2610" s="2">
        <v>0.7</v>
      </c>
      <c r="R2610" s="1">
        <v>2660</v>
      </c>
      <c r="S2610" t="s">
        <v>29</v>
      </c>
      <c r="T2610" s="1">
        <v>2660</v>
      </c>
      <c r="V2610" t="str">
        <f>VLOOKUP(H2610,'[1]팀별 출판사'!A:B,2,0)</f>
        <v>소설2팀</v>
      </c>
      <c r="W2610" s="6">
        <f t="shared" si="80"/>
        <v>0</v>
      </c>
      <c r="X2610" s="6">
        <f t="shared" si="81"/>
        <v>2660</v>
      </c>
    </row>
    <row r="2611" spans="1:24" x14ac:dyDescent="0.3">
      <c r="A2611" t="s">
        <v>3816</v>
      </c>
      <c r="B2611" t="s">
        <v>3912</v>
      </c>
      <c r="C2611" t="s">
        <v>23</v>
      </c>
      <c r="D2611" t="s">
        <v>24</v>
      </c>
      <c r="E2611" t="s">
        <v>25</v>
      </c>
      <c r="F2611">
        <v>1</v>
      </c>
      <c r="G2611">
        <v>9791136939319</v>
      </c>
      <c r="H2611" t="s">
        <v>36</v>
      </c>
      <c r="I2611" t="s">
        <v>3914</v>
      </c>
      <c r="J2611" t="s">
        <v>466</v>
      </c>
      <c r="K2611" t="s">
        <v>29</v>
      </c>
      <c r="L2611" s="1">
        <v>3800</v>
      </c>
      <c r="M2611" t="s">
        <v>29</v>
      </c>
      <c r="N2611" s="1">
        <v>3800</v>
      </c>
      <c r="O2611" s="1">
        <v>3800</v>
      </c>
      <c r="P2611" t="s">
        <v>30</v>
      </c>
      <c r="Q2611" s="2">
        <v>0.7</v>
      </c>
      <c r="R2611" s="1">
        <v>2660</v>
      </c>
      <c r="S2611" t="s">
        <v>29</v>
      </c>
      <c r="T2611" s="1">
        <v>2660</v>
      </c>
      <c r="V2611" t="str">
        <f>VLOOKUP(H2611,'[1]팀별 출판사'!A:B,2,0)</f>
        <v>소설2팀</v>
      </c>
      <c r="W2611" s="6">
        <f t="shared" si="80"/>
        <v>0</v>
      </c>
      <c r="X2611" s="6">
        <f t="shared" si="81"/>
        <v>2660</v>
      </c>
    </row>
    <row r="2612" spans="1:24" x14ac:dyDescent="0.3">
      <c r="A2612" t="s">
        <v>3816</v>
      </c>
      <c r="B2612" t="s">
        <v>3912</v>
      </c>
      <c r="C2612" t="s">
        <v>23</v>
      </c>
      <c r="D2612" t="s">
        <v>24</v>
      </c>
      <c r="E2612" t="s">
        <v>25</v>
      </c>
      <c r="F2612">
        <v>1</v>
      </c>
      <c r="G2612">
        <v>9791136939326</v>
      </c>
      <c r="H2612" t="s">
        <v>36</v>
      </c>
      <c r="I2612" t="s">
        <v>3915</v>
      </c>
      <c r="J2612" t="s">
        <v>466</v>
      </c>
      <c r="K2612" t="s">
        <v>29</v>
      </c>
      <c r="L2612" s="1">
        <v>3800</v>
      </c>
      <c r="M2612" t="s">
        <v>29</v>
      </c>
      <c r="N2612" s="1">
        <v>3800</v>
      </c>
      <c r="O2612" s="1">
        <v>3800</v>
      </c>
      <c r="P2612" t="s">
        <v>30</v>
      </c>
      <c r="Q2612" s="2">
        <v>0.7</v>
      </c>
      <c r="R2612" s="1">
        <v>2660</v>
      </c>
      <c r="S2612" t="s">
        <v>29</v>
      </c>
      <c r="T2612" s="1">
        <v>2660</v>
      </c>
      <c r="V2612" t="str">
        <f>VLOOKUP(H2612,'[1]팀별 출판사'!A:B,2,0)</f>
        <v>소설2팀</v>
      </c>
      <c r="W2612" s="6">
        <f t="shared" si="80"/>
        <v>0</v>
      </c>
      <c r="X2612" s="6">
        <f t="shared" si="81"/>
        <v>2660</v>
      </c>
    </row>
    <row r="2613" spans="1:24" x14ac:dyDescent="0.3">
      <c r="A2613" t="s">
        <v>3816</v>
      </c>
      <c r="B2613" t="s">
        <v>3916</v>
      </c>
      <c r="C2613" t="s">
        <v>23</v>
      </c>
      <c r="D2613" t="s">
        <v>24</v>
      </c>
      <c r="E2613" t="s">
        <v>25</v>
      </c>
      <c r="F2613">
        <v>1</v>
      </c>
      <c r="G2613">
        <v>9791172923587</v>
      </c>
      <c r="H2613" t="s">
        <v>2005</v>
      </c>
      <c r="I2613" t="s">
        <v>3917</v>
      </c>
      <c r="J2613" t="s">
        <v>2780</v>
      </c>
      <c r="K2613" t="s">
        <v>29</v>
      </c>
      <c r="L2613" s="1">
        <v>3000</v>
      </c>
      <c r="M2613" t="s">
        <v>29</v>
      </c>
      <c r="N2613" s="1">
        <v>3000</v>
      </c>
      <c r="O2613" s="1">
        <v>3000</v>
      </c>
      <c r="P2613" t="s">
        <v>30</v>
      </c>
      <c r="Q2613" s="2">
        <v>0.7</v>
      </c>
      <c r="R2613" s="1">
        <v>2100</v>
      </c>
      <c r="S2613" t="s">
        <v>29</v>
      </c>
      <c r="T2613" s="1">
        <v>2100</v>
      </c>
      <c r="V2613" t="str">
        <f>VLOOKUP(H2613,'[1]팀별 출판사'!A:B,2,0)</f>
        <v>소설2팀</v>
      </c>
      <c r="W2613" s="6">
        <f t="shared" si="80"/>
        <v>0</v>
      </c>
      <c r="X2613" s="6">
        <f t="shared" si="81"/>
        <v>2100</v>
      </c>
    </row>
    <row r="2614" spans="1:24" x14ac:dyDescent="0.3">
      <c r="A2614" t="s">
        <v>3816</v>
      </c>
      <c r="B2614" t="s">
        <v>3918</v>
      </c>
      <c r="C2614" t="s">
        <v>23</v>
      </c>
      <c r="D2614" t="s">
        <v>24</v>
      </c>
      <c r="E2614" t="s">
        <v>25</v>
      </c>
      <c r="F2614">
        <v>1</v>
      </c>
      <c r="G2614">
        <v>9791172923594</v>
      </c>
      <c r="H2614" t="s">
        <v>2005</v>
      </c>
      <c r="I2614" t="s">
        <v>3919</v>
      </c>
      <c r="J2614" t="s">
        <v>2780</v>
      </c>
      <c r="K2614" t="s">
        <v>29</v>
      </c>
      <c r="L2614" s="1">
        <v>3000</v>
      </c>
      <c r="M2614" t="s">
        <v>29</v>
      </c>
      <c r="N2614" s="1">
        <v>3000</v>
      </c>
      <c r="O2614" s="1">
        <v>3000</v>
      </c>
      <c r="P2614" t="s">
        <v>30</v>
      </c>
      <c r="Q2614" s="2">
        <v>0.7</v>
      </c>
      <c r="R2614" s="1">
        <v>2100</v>
      </c>
      <c r="S2614" t="s">
        <v>29</v>
      </c>
      <c r="T2614" s="1">
        <v>2100</v>
      </c>
      <c r="V2614" t="str">
        <f>VLOOKUP(H2614,'[1]팀별 출판사'!A:B,2,0)</f>
        <v>소설2팀</v>
      </c>
      <c r="W2614" s="6">
        <f t="shared" si="80"/>
        <v>0</v>
      </c>
      <c r="X2614" s="6">
        <f t="shared" si="81"/>
        <v>2100</v>
      </c>
    </row>
    <row r="2615" spans="1:24" x14ac:dyDescent="0.3">
      <c r="A2615" t="s">
        <v>3816</v>
      </c>
      <c r="B2615" t="s">
        <v>3920</v>
      </c>
      <c r="C2615" t="s">
        <v>23</v>
      </c>
      <c r="D2615" t="s">
        <v>24</v>
      </c>
      <c r="E2615" t="s">
        <v>25</v>
      </c>
      <c r="F2615">
        <v>1</v>
      </c>
      <c r="G2615">
        <v>9791172928025</v>
      </c>
      <c r="H2615" t="s">
        <v>36</v>
      </c>
      <c r="I2615" t="s">
        <v>2779</v>
      </c>
      <c r="J2615" t="s">
        <v>2780</v>
      </c>
      <c r="K2615" t="s">
        <v>29</v>
      </c>
      <c r="L2615" s="1">
        <v>3300</v>
      </c>
      <c r="M2615" t="s">
        <v>29</v>
      </c>
      <c r="N2615" s="1">
        <v>3300</v>
      </c>
      <c r="O2615" s="1">
        <v>3300</v>
      </c>
      <c r="P2615" t="s">
        <v>30</v>
      </c>
      <c r="Q2615" s="2">
        <v>0.7</v>
      </c>
      <c r="R2615" s="1">
        <v>2310</v>
      </c>
      <c r="S2615" t="s">
        <v>29</v>
      </c>
      <c r="T2615" s="1">
        <v>2310</v>
      </c>
      <c r="V2615" t="str">
        <f>VLOOKUP(H2615,'[1]팀별 출판사'!A:B,2,0)</f>
        <v>소설2팀</v>
      </c>
      <c r="W2615" s="6">
        <f t="shared" si="80"/>
        <v>0</v>
      </c>
      <c r="X2615" s="6">
        <f t="shared" si="81"/>
        <v>2310</v>
      </c>
    </row>
    <row r="2616" spans="1:24" x14ac:dyDescent="0.3">
      <c r="A2616" t="s">
        <v>3816</v>
      </c>
      <c r="B2616" t="s">
        <v>3921</v>
      </c>
      <c r="C2616" t="s">
        <v>23</v>
      </c>
      <c r="D2616" t="s">
        <v>24</v>
      </c>
      <c r="E2616" t="s">
        <v>25</v>
      </c>
      <c r="F2616">
        <v>1</v>
      </c>
      <c r="G2616">
        <v>9791172928032</v>
      </c>
      <c r="H2616" t="s">
        <v>36</v>
      </c>
      <c r="I2616" t="s">
        <v>3922</v>
      </c>
      <c r="J2616" t="s">
        <v>2780</v>
      </c>
      <c r="K2616" t="s">
        <v>29</v>
      </c>
      <c r="L2616" s="1">
        <v>3300</v>
      </c>
      <c r="M2616" t="s">
        <v>29</v>
      </c>
      <c r="N2616" s="1">
        <v>3300</v>
      </c>
      <c r="O2616" s="1">
        <v>3300</v>
      </c>
      <c r="P2616" t="s">
        <v>30</v>
      </c>
      <c r="Q2616" s="2">
        <v>0.7</v>
      </c>
      <c r="R2616" s="1">
        <v>2310</v>
      </c>
      <c r="S2616" t="s">
        <v>29</v>
      </c>
      <c r="T2616" s="1">
        <v>2310</v>
      </c>
      <c r="V2616" t="str">
        <f>VLOOKUP(H2616,'[1]팀별 출판사'!A:B,2,0)</f>
        <v>소설2팀</v>
      </c>
      <c r="W2616" s="6">
        <f t="shared" si="80"/>
        <v>0</v>
      </c>
      <c r="X2616" s="6">
        <f t="shared" si="81"/>
        <v>2310</v>
      </c>
    </row>
    <row r="2617" spans="1:24" x14ac:dyDescent="0.3">
      <c r="A2617" t="s">
        <v>3816</v>
      </c>
      <c r="B2617" t="s">
        <v>3923</v>
      </c>
      <c r="C2617" t="s">
        <v>23</v>
      </c>
      <c r="D2617" t="s">
        <v>24</v>
      </c>
      <c r="E2617" t="s">
        <v>25</v>
      </c>
      <c r="F2617">
        <v>1</v>
      </c>
      <c r="G2617">
        <v>9791172927981</v>
      </c>
      <c r="H2617" t="s">
        <v>36</v>
      </c>
      <c r="I2617" t="s">
        <v>3924</v>
      </c>
      <c r="J2617" t="s">
        <v>2780</v>
      </c>
      <c r="K2617" t="s">
        <v>29</v>
      </c>
      <c r="L2617" s="1">
        <v>3300</v>
      </c>
      <c r="M2617" t="s">
        <v>29</v>
      </c>
      <c r="N2617" s="1">
        <v>3300</v>
      </c>
      <c r="O2617" s="1">
        <v>3300</v>
      </c>
      <c r="P2617" t="s">
        <v>30</v>
      </c>
      <c r="Q2617" s="2">
        <v>0.7</v>
      </c>
      <c r="R2617" s="1">
        <v>2310</v>
      </c>
      <c r="S2617" t="s">
        <v>29</v>
      </c>
      <c r="T2617" s="1">
        <v>2310</v>
      </c>
      <c r="V2617" t="str">
        <f>VLOOKUP(H2617,'[1]팀별 출판사'!A:B,2,0)</f>
        <v>소설2팀</v>
      </c>
      <c r="W2617" s="6">
        <f t="shared" si="80"/>
        <v>0</v>
      </c>
      <c r="X2617" s="6">
        <f t="shared" si="81"/>
        <v>2310</v>
      </c>
    </row>
    <row r="2618" spans="1:24" x14ac:dyDescent="0.3">
      <c r="A2618" t="s">
        <v>3816</v>
      </c>
      <c r="B2618" t="s">
        <v>3925</v>
      </c>
      <c r="C2618" t="s">
        <v>23</v>
      </c>
      <c r="D2618" t="s">
        <v>24</v>
      </c>
      <c r="E2618" t="s">
        <v>25</v>
      </c>
      <c r="F2618">
        <v>1</v>
      </c>
      <c r="G2618">
        <v>9791172928056</v>
      </c>
      <c r="H2618" t="s">
        <v>36</v>
      </c>
      <c r="I2618" t="s">
        <v>3926</v>
      </c>
      <c r="J2618" t="s">
        <v>2780</v>
      </c>
      <c r="K2618" t="s">
        <v>29</v>
      </c>
      <c r="L2618" s="1">
        <v>1500</v>
      </c>
      <c r="M2618" t="s">
        <v>29</v>
      </c>
      <c r="N2618" s="1">
        <v>1500</v>
      </c>
      <c r="O2618" s="1">
        <v>1500</v>
      </c>
      <c r="P2618" t="s">
        <v>30</v>
      </c>
      <c r="Q2618" s="2">
        <v>0.7</v>
      </c>
      <c r="R2618" s="1">
        <v>1050</v>
      </c>
      <c r="S2618" t="s">
        <v>29</v>
      </c>
      <c r="T2618" s="1">
        <v>1050</v>
      </c>
      <c r="V2618" t="str">
        <f>VLOOKUP(H2618,'[1]팀별 출판사'!A:B,2,0)</f>
        <v>소설2팀</v>
      </c>
      <c r="W2618" s="6">
        <f t="shared" si="80"/>
        <v>0</v>
      </c>
      <c r="X2618" s="6">
        <f t="shared" si="81"/>
        <v>1050</v>
      </c>
    </row>
    <row r="2619" spans="1:24" x14ac:dyDescent="0.3">
      <c r="A2619" t="s">
        <v>3816</v>
      </c>
      <c r="B2619" t="s">
        <v>3927</v>
      </c>
      <c r="C2619" t="s">
        <v>23</v>
      </c>
      <c r="D2619" t="s">
        <v>24</v>
      </c>
      <c r="E2619" t="s">
        <v>25</v>
      </c>
      <c r="F2619">
        <v>1</v>
      </c>
      <c r="G2619">
        <v>9791136941862</v>
      </c>
      <c r="H2619" t="s">
        <v>26</v>
      </c>
      <c r="I2619" t="s">
        <v>894</v>
      </c>
      <c r="J2619" t="s">
        <v>81</v>
      </c>
      <c r="K2619" t="s">
        <v>29</v>
      </c>
      <c r="L2619">
        <v>0</v>
      </c>
      <c r="M2619" t="s">
        <v>70</v>
      </c>
      <c r="N2619">
        <v>0</v>
      </c>
      <c r="O2619">
        <v>0</v>
      </c>
      <c r="P2619" t="s">
        <v>71</v>
      </c>
      <c r="Q2619" s="2">
        <v>0.7</v>
      </c>
      <c r="R2619">
        <v>0</v>
      </c>
      <c r="V2619" t="str">
        <f>VLOOKUP(H2619,'[1]팀별 출판사'!A:B,2,0)</f>
        <v>소설1팀</v>
      </c>
      <c r="W2619" s="6">
        <f t="shared" si="80"/>
        <v>0</v>
      </c>
      <c r="X2619" s="6">
        <f t="shared" si="81"/>
        <v>0</v>
      </c>
    </row>
    <row r="2620" spans="1:24" x14ac:dyDescent="0.3">
      <c r="A2620" t="s">
        <v>3816</v>
      </c>
      <c r="B2620" t="s">
        <v>3928</v>
      </c>
      <c r="C2620" t="s">
        <v>23</v>
      </c>
      <c r="D2620" t="s">
        <v>24</v>
      </c>
      <c r="E2620" t="s">
        <v>25</v>
      </c>
      <c r="F2620">
        <v>1</v>
      </c>
      <c r="G2620">
        <v>9791172921033</v>
      </c>
      <c r="H2620" t="s">
        <v>79</v>
      </c>
      <c r="I2620" t="s">
        <v>738</v>
      </c>
      <c r="J2620" t="s">
        <v>46</v>
      </c>
      <c r="K2620" t="s">
        <v>29</v>
      </c>
      <c r="L2620">
        <v>0</v>
      </c>
      <c r="M2620" t="s">
        <v>362</v>
      </c>
      <c r="N2620">
        <v>0</v>
      </c>
      <c r="O2620">
        <v>0</v>
      </c>
      <c r="P2620" t="s">
        <v>363</v>
      </c>
      <c r="Q2620" s="2">
        <v>0.7</v>
      </c>
      <c r="R2620">
        <v>0</v>
      </c>
      <c r="V2620" t="str">
        <f>VLOOKUP(H2620,'[1]팀별 출판사'!A:B,2,0)</f>
        <v>소설1팀</v>
      </c>
      <c r="W2620" s="6">
        <f t="shared" si="80"/>
        <v>0</v>
      </c>
      <c r="X2620" s="6">
        <f t="shared" si="81"/>
        <v>0</v>
      </c>
    </row>
    <row r="2621" spans="1:24" x14ac:dyDescent="0.3">
      <c r="A2621" t="s">
        <v>3816</v>
      </c>
      <c r="B2621" t="s">
        <v>3929</v>
      </c>
      <c r="C2621" t="s">
        <v>23</v>
      </c>
      <c r="D2621" t="s">
        <v>24</v>
      </c>
      <c r="E2621" t="s">
        <v>25</v>
      </c>
      <c r="F2621">
        <v>1</v>
      </c>
      <c r="G2621">
        <v>9791136930491</v>
      </c>
      <c r="H2621" t="s">
        <v>26</v>
      </c>
      <c r="I2621" t="s">
        <v>151</v>
      </c>
      <c r="J2621" t="s">
        <v>46</v>
      </c>
      <c r="K2621" t="s">
        <v>29</v>
      </c>
      <c r="L2621">
        <v>0</v>
      </c>
      <c r="M2621" t="s">
        <v>29</v>
      </c>
      <c r="N2621">
        <v>0</v>
      </c>
      <c r="O2621">
        <v>0</v>
      </c>
      <c r="P2621" t="s">
        <v>30</v>
      </c>
      <c r="Q2621" s="2">
        <v>0.7</v>
      </c>
      <c r="R2621">
        <v>0</v>
      </c>
      <c r="V2621" t="str">
        <f>VLOOKUP(H2621,'[1]팀별 출판사'!A:B,2,0)</f>
        <v>소설1팀</v>
      </c>
      <c r="W2621" s="6">
        <f t="shared" si="80"/>
        <v>0</v>
      </c>
      <c r="X2621" s="6">
        <f t="shared" si="81"/>
        <v>0</v>
      </c>
    </row>
    <row r="2622" spans="1:24" x14ac:dyDescent="0.3">
      <c r="A2622" t="s">
        <v>3816</v>
      </c>
      <c r="B2622" t="s">
        <v>3930</v>
      </c>
      <c r="C2622" t="s">
        <v>23</v>
      </c>
      <c r="D2622" t="s">
        <v>24</v>
      </c>
      <c r="E2622" t="s">
        <v>25</v>
      </c>
      <c r="F2622">
        <v>1</v>
      </c>
      <c r="G2622">
        <v>9791133189045</v>
      </c>
      <c r="H2622" t="s">
        <v>26</v>
      </c>
      <c r="I2622" t="s">
        <v>3931</v>
      </c>
      <c r="J2622" t="s">
        <v>908</v>
      </c>
      <c r="K2622" t="s">
        <v>29</v>
      </c>
      <c r="L2622" s="1">
        <v>3200</v>
      </c>
      <c r="M2622" t="s">
        <v>29</v>
      </c>
      <c r="N2622" s="1">
        <v>3200</v>
      </c>
      <c r="O2622" s="1">
        <v>3200</v>
      </c>
      <c r="P2622" t="s">
        <v>30</v>
      </c>
      <c r="Q2622" s="2">
        <v>0.7</v>
      </c>
      <c r="R2622" s="1">
        <v>2240</v>
      </c>
      <c r="S2622" t="s">
        <v>29</v>
      </c>
      <c r="T2622" s="1">
        <v>2240</v>
      </c>
      <c r="V2622" t="str">
        <f>VLOOKUP(H2622,'[1]팀별 출판사'!A:B,2,0)</f>
        <v>소설1팀</v>
      </c>
      <c r="W2622" s="6">
        <f t="shared" si="80"/>
        <v>0</v>
      </c>
      <c r="X2622" s="6">
        <f t="shared" si="81"/>
        <v>2240</v>
      </c>
    </row>
    <row r="2623" spans="1:24" x14ac:dyDescent="0.3">
      <c r="A2623" t="s">
        <v>3816</v>
      </c>
      <c r="B2623" t="s">
        <v>3932</v>
      </c>
      <c r="C2623" t="s">
        <v>23</v>
      </c>
      <c r="D2623" t="s">
        <v>24</v>
      </c>
      <c r="E2623" t="s">
        <v>25</v>
      </c>
      <c r="F2623">
        <v>1</v>
      </c>
      <c r="G2623">
        <v>9791170103233</v>
      </c>
      <c r="H2623" t="s">
        <v>67</v>
      </c>
      <c r="I2623" t="s">
        <v>3933</v>
      </c>
      <c r="J2623" t="s">
        <v>399</v>
      </c>
      <c r="K2623" t="s">
        <v>29</v>
      </c>
      <c r="L2623" s="1">
        <v>2500</v>
      </c>
      <c r="M2623" t="s">
        <v>948</v>
      </c>
      <c r="N2623">
        <v>2.85</v>
      </c>
      <c r="O2623">
        <v>2.59</v>
      </c>
      <c r="P2623" t="s">
        <v>949</v>
      </c>
      <c r="Q2623" s="2">
        <v>0.7</v>
      </c>
      <c r="R2623">
        <v>1.81</v>
      </c>
      <c r="S2623" t="s">
        <v>29</v>
      </c>
      <c r="T2623" s="1">
        <v>1852</v>
      </c>
      <c r="U2623" s="3">
        <v>1022.5272</v>
      </c>
      <c r="V2623" t="str">
        <f>VLOOKUP(H2623,'[1]팀별 출판사'!A:B,2,0)</f>
        <v>소설1팀</v>
      </c>
      <c r="W2623" s="6">
        <f t="shared" si="80"/>
        <v>0</v>
      </c>
      <c r="X2623" s="6">
        <f t="shared" si="81"/>
        <v>1852</v>
      </c>
    </row>
    <row r="2624" spans="1:24" x14ac:dyDescent="0.3">
      <c r="A2624" t="s">
        <v>3816</v>
      </c>
      <c r="B2624" t="s">
        <v>3934</v>
      </c>
      <c r="C2624" t="s">
        <v>23</v>
      </c>
      <c r="D2624" t="s">
        <v>24</v>
      </c>
      <c r="E2624" t="s">
        <v>25</v>
      </c>
      <c r="F2624">
        <v>1</v>
      </c>
      <c r="G2624">
        <v>9791170103240</v>
      </c>
      <c r="H2624" t="s">
        <v>67</v>
      </c>
      <c r="I2624" t="s">
        <v>3935</v>
      </c>
      <c r="J2624" t="s">
        <v>399</v>
      </c>
      <c r="K2624" t="s">
        <v>29</v>
      </c>
      <c r="L2624" s="1">
        <v>2500</v>
      </c>
      <c r="M2624" t="s">
        <v>948</v>
      </c>
      <c r="N2624">
        <v>2.85</v>
      </c>
      <c r="O2624">
        <v>2.59</v>
      </c>
      <c r="P2624" t="s">
        <v>949</v>
      </c>
      <c r="Q2624" s="2">
        <v>0.7</v>
      </c>
      <c r="R2624">
        <v>1.81</v>
      </c>
      <c r="S2624" t="s">
        <v>29</v>
      </c>
      <c r="T2624" s="1">
        <v>1852</v>
      </c>
      <c r="U2624" s="3">
        <v>1022.5272</v>
      </c>
      <c r="V2624" t="str">
        <f>VLOOKUP(H2624,'[1]팀별 출판사'!A:B,2,0)</f>
        <v>소설1팀</v>
      </c>
      <c r="W2624" s="6">
        <f t="shared" si="80"/>
        <v>0</v>
      </c>
      <c r="X2624" s="6">
        <f t="shared" si="81"/>
        <v>1852</v>
      </c>
    </row>
    <row r="2625" spans="1:24" x14ac:dyDescent="0.3">
      <c r="A2625" t="s">
        <v>3816</v>
      </c>
      <c r="B2625" t="s">
        <v>3936</v>
      </c>
      <c r="C2625" t="s">
        <v>23</v>
      </c>
      <c r="D2625" t="s">
        <v>24</v>
      </c>
      <c r="E2625" t="s">
        <v>25</v>
      </c>
      <c r="F2625">
        <v>1</v>
      </c>
      <c r="G2625">
        <v>9791173786433</v>
      </c>
      <c r="H2625" t="s">
        <v>36</v>
      </c>
      <c r="I2625" t="s">
        <v>3937</v>
      </c>
      <c r="J2625" t="s">
        <v>3938</v>
      </c>
      <c r="K2625" t="s">
        <v>29</v>
      </c>
      <c r="L2625" s="1">
        <v>3200</v>
      </c>
      <c r="M2625" t="s">
        <v>70</v>
      </c>
      <c r="N2625">
        <v>2.2200000000000002</v>
      </c>
      <c r="O2625">
        <v>2.2200000000000002</v>
      </c>
      <c r="P2625" t="s">
        <v>71</v>
      </c>
      <c r="Q2625" s="2">
        <v>0.7</v>
      </c>
      <c r="R2625">
        <v>1.55</v>
      </c>
      <c r="S2625" t="s">
        <v>29</v>
      </c>
      <c r="T2625" s="1">
        <v>2245</v>
      </c>
      <c r="U2625" s="3">
        <v>1448.1763800000001</v>
      </c>
      <c r="V2625" t="str">
        <f>VLOOKUP(H2625,'[1]팀별 출판사'!A:B,2,0)</f>
        <v>소설2팀</v>
      </c>
      <c r="W2625" s="6">
        <f t="shared" si="80"/>
        <v>673.5</v>
      </c>
      <c r="X2625" s="6">
        <f t="shared" si="81"/>
        <v>1571.5</v>
      </c>
    </row>
    <row r="2626" spans="1:24" x14ac:dyDescent="0.3">
      <c r="A2626" t="s">
        <v>3816</v>
      </c>
      <c r="B2626" t="s">
        <v>3936</v>
      </c>
      <c r="C2626" t="s">
        <v>23</v>
      </c>
      <c r="D2626" t="s">
        <v>24</v>
      </c>
      <c r="E2626" t="s">
        <v>25</v>
      </c>
      <c r="F2626">
        <v>1</v>
      </c>
      <c r="G2626">
        <v>9791173786440</v>
      </c>
      <c r="H2626" t="s">
        <v>36</v>
      </c>
      <c r="I2626" t="s">
        <v>3939</v>
      </c>
      <c r="J2626" t="s">
        <v>3938</v>
      </c>
      <c r="K2626" t="s">
        <v>29</v>
      </c>
      <c r="L2626" s="1">
        <v>3200</v>
      </c>
      <c r="M2626" t="s">
        <v>70</v>
      </c>
      <c r="N2626">
        <v>2.2200000000000002</v>
      </c>
      <c r="O2626">
        <v>2.2200000000000002</v>
      </c>
      <c r="P2626" t="s">
        <v>71</v>
      </c>
      <c r="Q2626" s="2">
        <v>0.7</v>
      </c>
      <c r="R2626">
        <v>1.55</v>
      </c>
      <c r="S2626" t="s">
        <v>29</v>
      </c>
      <c r="T2626" s="1">
        <v>2245</v>
      </c>
      <c r="U2626" s="3">
        <v>1448.1763800000001</v>
      </c>
      <c r="V2626" t="str">
        <f>VLOOKUP(H2626,'[1]팀별 출판사'!A:B,2,0)</f>
        <v>소설2팀</v>
      </c>
      <c r="W2626" s="6">
        <f t="shared" ref="W2626:W2689" si="82">IF(P2626="US", T2626*30%, 0)</f>
        <v>673.5</v>
      </c>
      <c r="X2626" s="6">
        <f t="shared" ref="X2626:X2689" si="83">T2626-W2626</f>
        <v>1571.5</v>
      </c>
    </row>
    <row r="2627" spans="1:24" x14ac:dyDescent="0.3">
      <c r="A2627" t="s">
        <v>3816</v>
      </c>
      <c r="B2627" t="s">
        <v>3936</v>
      </c>
      <c r="C2627" t="s">
        <v>23</v>
      </c>
      <c r="D2627" t="s">
        <v>24</v>
      </c>
      <c r="E2627" t="s">
        <v>25</v>
      </c>
      <c r="F2627">
        <v>1</v>
      </c>
      <c r="G2627">
        <v>9791173786457</v>
      </c>
      <c r="H2627" t="s">
        <v>36</v>
      </c>
      <c r="I2627" t="s">
        <v>3940</v>
      </c>
      <c r="J2627" t="s">
        <v>3938</v>
      </c>
      <c r="K2627" t="s">
        <v>29</v>
      </c>
      <c r="L2627" s="1">
        <v>3200</v>
      </c>
      <c r="M2627" t="s">
        <v>70</v>
      </c>
      <c r="N2627">
        <v>2.2200000000000002</v>
      </c>
      <c r="O2627">
        <v>2.2200000000000002</v>
      </c>
      <c r="P2627" t="s">
        <v>71</v>
      </c>
      <c r="Q2627" s="2">
        <v>0.7</v>
      </c>
      <c r="R2627">
        <v>1.55</v>
      </c>
      <c r="S2627" t="s">
        <v>29</v>
      </c>
      <c r="T2627" s="1">
        <v>2245</v>
      </c>
      <c r="U2627" s="3">
        <v>1448.1763800000001</v>
      </c>
      <c r="V2627" t="str">
        <f>VLOOKUP(H2627,'[1]팀별 출판사'!A:B,2,0)</f>
        <v>소설2팀</v>
      </c>
      <c r="W2627" s="6">
        <f t="shared" si="82"/>
        <v>673.5</v>
      </c>
      <c r="X2627" s="6">
        <f t="shared" si="83"/>
        <v>1571.5</v>
      </c>
    </row>
    <row r="2628" spans="1:24" x14ac:dyDescent="0.3">
      <c r="A2628" t="s">
        <v>3816</v>
      </c>
      <c r="B2628" t="s">
        <v>3941</v>
      </c>
      <c r="C2628" t="s">
        <v>23</v>
      </c>
      <c r="D2628" t="s">
        <v>24</v>
      </c>
      <c r="E2628" t="s">
        <v>25</v>
      </c>
      <c r="F2628">
        <v>1</v>
      </c>
      <c r="G2628" t="s">
        <v>1886</v>
      </c>
      <c r="H2628" t="s">
        <v>32</v>
      </c>
      <c r="I2628" t="s">
        <v>1887</v>
      </c>
      <c r="J2628" t="s">
        <v>166</v>
      </c>
      <c r="K2628" t="s">
        <v>29</v>
      </c>
      <c r="L2628">
        <v>0</v>
      </c>
      <c r="M2628" t="s">
        <v>70</v>
      </c>
      <c r="N2628">
        <v>0</v>
      </c>
      <c r="O2628">
        <v>0</v>
      </c>
      <c r="P2628" t="s">
        <v>71</v>
      </c>
      <c r="Q2628" s="2">
        <v>0.7</v>
      </c>
      <c r="R2628">
        <v>0</v>
      </c>
      <c r="V2628" t="str">
        <f>VLOOKUP(H2628,'[1]팀별 출판사'!A:B,2,0)</f>
        <v>소설1팀</v>
      </c>
      <c r="W2628" s="6">
        <f t="shared" si="82"/>
        <v>0</v>
      </c>
      <c r="X2628" s="6">
        <f t="shared" si="83"/>
        <v>0</v>
      </c>
    </row>
    <row r="2629" spans="1:24" x14ac:dyDescent="0.3">
      <c r="A2629" t="s">
        <v>3816</v>
      </c>
      <c r="B2629" t="s">
        <v>3942</v>
      </c>
      <c r="C2629" t="s">
        <v>23</v>
      </c>
      <c r="D2629" t="s">
        <v>24</v>
      </c>
      <c r="E2629" t="s">
        <v>25</v>
      </c>
      <c r="F2629">
        <v>1</v>
      </c>
      <c r="G2629">
        <v>9791136931375</v>
      </c>
      <c r="H2629" t="s">
        <v>32</v>
      </c>
      <c r="I2629" t="s">
        <v>189</v>
      </c>
      <c r="J2629" t="s">
        <v>46</v>
      </c>
      <c r="K2629" t="s">
        <v>29</v>
      </c>
      <c r="L2629">
        <v>0</v>
      </c>
      <c r="M2629" t="s">
        <v>47</v>
      </c>
      <c r="N2629">
        <v>0</v>
      </c>
      <c r="O2629">
        <v>0</v>
      </c>
      <c r="P2629" t="s">
        <v>48</v>
      </c>
      <c r="Q2629" s="2">
        <v>0.7</v>
      </c>
      <c r="R2629">
        <v>0</v>
      </c>
      <c r="V2629" t="str">
        <f>VLOOKUP(H2629,'[1]팀별 출판사'!A:B,2,0)</f>
        <v>소설1팀</v>
      </c>
      <c r="W2629" s="6">
        <f t="shared" si="82"/>
        <v>0</v>
      </c>
      <c r="X2629" s="6">
        <f t="shared" si="83"/>
        <v>0</v>
      </c>
    </row>
    <row r="2630" spans="1:24" x14ac:dyDescent="0.3">
      <c r="A2630" t="s">
        <v>3816</v>
      </c>
      <c r="B2630" t="s">
        <v>3943</v>
      </c>
      <c r="C2630" t="s">
        <v>23</v>
      </c>
      <c r="D2630" t="s">
        <v>24</v>
      </c>
      <c r="E2630" t="s">
        <v>25</v>
      </c>
      <c r="F2630">
        <v>1</v>
      </c>
      <c r="G2630">
        <v>9791136912732</v>
      </c>
      <c r="H2630" t="s">
        <v>26</v>
      </c>
      <c r="I2630" t="s">
        <v>1125</v>
      </c>
      <c r="J2630" t="s">
        <v>256</v>
      </c>
      <c r="K2630" t="s">
        <v>29</v>
      </c>
      <c r="L2630">
        <v>0</v>
      </c>
      <c r="M2630" t="s">
        <v>29</v>
      </c>
      <c r="N2630">
        <v>0</v>
      </c>
      <c r="O2630">
        <v>0</v>
      </c>
      <c r="P2630" t="s">
        <v>30</v>
      </c>
      <c r="Q2630" s="2">
        <v>0.7</v>
      </c>
      <c r="R2630">
        <v>0</v>
      </c>
      <c r="V2630" t="str">
        <f>VLOOKUP(H2630,'[1]팀별 출판사'!A:B,2,0)</f>
        <v>소설1팀</v>
      </c>
      <c r="W2630" s="6">
        <f t="shared" si="82"/>
        <v>0</v>
      </c>
      <c r="X2630" s="6">
        <f t="shared" si="83"/>
        <v>0</v>
      </c>
    </row>
    <row r="2631" spans="1:24" x14ac:dyDescent="0.3">
      <c r="A2631" t="s">
        <v>3816</v>
      </c>
      <c r="B2631" t="s">
        <v>3944</v>
      </c>
      <c r="C2631" t="s">
        <v>23</v>
      </c>
      <c r="D2631" t="s">
        <v>24</v>
      </c>
      <c r="E2631" t="s">
        <v>25</v>
      </c>
      <c r="F2631">
        <v>1</v>
      </c>
      <c r="G2631">
        <v>9791175302594</v>
      </c>
      <c r="H2631" t="s">
        <v>26</v>
      </c>
      <c r="I2631" t="s">
        <v>101</v>
      </c>
      <c r="J2631" t="s">
        <v>102</v>
      </c>
      <c r="K2631" t="s">
        <v>29</v>
      </c>
      <c r="L2631">
        <v>0</v>
      </c>
      <c r="M2631" t="s">
        <v>29</v>
      </c>
      <c r="N2631">
        <v>0</v>
      </c>
      <c r="O2631">
        <v>0</v>
      </c>
      <c r="P2631" t="s">
        <v>30</v>
      </c>
      <c r="Q2631" s="2">
        <v>0.7</v>
      </c>
      <c r="R2631">
        <v>0</v>
      </c>
      <c r="V2631" t="str">
        <f>VLOOKUP(H2631,'[1]팀별 출판사'!A:B,2,0)</f>
        <v>소설1팀</v>
      </c>
      <c r="W2631" s="6">
        <f t="shared" si="82"/>
        <v>0</v>
      </c>
      <c r="X2631" s="6">
        <f t="shared" si="83"/>
        <v>0</v>
      </c>
    </row>
    <row r="2632" spans="1:24" x14ac:dyDescent="0.3">
      <c r="A2632" t="s">
        <v>3816</v>
      </c>
      <c r="B2632" t="s">
        <v>3945</v>
      </c>
      <c r="C2632" t="s">
        <v>23</v>
      </c>
      <c r="D2632" t="s">
        <v>24</v>
      </c>
      <c r="E2632" t="s">
        <v>25</v>
      </c>
      <c r="F2632">
        <v>1</v>
      </c>
      <c r="G2632">
        <v>9791170100164</v>
      </c>
      <c r="H2632" t="s">
        <v>67</v>
      </c>
      <c r="I2632" t="s">
        <v>106</v>
      </c>
      <c r="J2632" t="s">
        <v>107</v>
      </c>
      <c r="K2632" t="s">
        <v>29</v>
      </c>
      <c r="L2632">
        <v>0</v>
      </c>
      <c r="M2632" t="s">
        <v>29</v>
      </c>
      <c r="N2632">
        <v>0</v>
      </c>
      <c r="O2632">
        <v>0</v>
      </c>
      <c r="P2632" t="s">
        <v>30</v>
      </c>
      <c r="Q2632" s="2">
        <v>0.7</v>
      </c>
      <c r="R2632">
        <v>0</v>
      </c>
      <c r="V2632" t="str">
        <f>VLOOKUP(H2632,'[1]팀별 출판사'!A:B,2,0)</f>
        <v>소설1팀</v>
      </c>
      <c r="W2632" s="6">
        <f t="shared" si="82"/>
        <v>0</v>
      </c>
      <c r="X2632" s="6">
        <f t="shared" si="83"/>
        <v>0</v>
      </c>
    </row>
    <row r="2633" spans="1:24" x14ac:dyDescent="0.3">
      <c r="A2633" t="s">
        <v>3816</v>
      </c>
      <c r="B2633" t="s">
        <v>3946</v>
      </c>
      <c r="C2633" t="s">
        <v>23</v>
      </c>
      <c r="D2633" t="s">
        <v>24</v>
      </c>
      <c r="E2633" t="s">
        <v>25</v>
      </c>
      <c r="F2633">
        <v>1</v>
      </c>
      <c r="G2633">
        <v>9791136942036</v>
      </c>
      <c r="H2633" t="s">
        <v>26</v>
      </c>
      <c r="I2633" t="s">
        <v>1941</v>
      </c>
      <c r="J2633" t="s">
        <v>81</v>
      </c>
      <c r="K2633" t="s">
        <v>29</v>
      </c>
      <c r="L2633">
        <v>0</v>
      </c>
      <c r="M2633" t="s">
        <v>29</v>
      </c>
      <c r="N2633">
        <v>0</v>
      </c>
      <c r="O2633">
        <v>0</v>
      </c>
      <c r="P2633" t="s">
        <v>30</v>
      </c>
      <c r="Q2633" s="2">
        <v>0.7</v>
      </c>
      <c r="R2633">
        <v>0</v>
      </c>
      <c r="V2633" t="str">
        <f>VLOOKUP(H2633,'[1]팀별 출판사'!A:B,2,0)</f>
        <v>소설1팀</v>
      </c>
      <c r="W2633" s="6">
        <f t="shared" si="82"/>
        <v>0</v>
      </c>
      <c r="X2633" s="6">
        <f t="shared" si="83"/>
        <v>0</v>
      </c>
    </row>
    <row r="2634" spans="1:24" x14ac:dyDescent="0.3">
      <c r="A2634" t="s">
        <v>3816</v>
      </c>
      <c r="B2634" t="s">
        <v>3947</v>
      </c>
      <c r="C2634" t="s">
        <v>23</v>
      </c>
      <c r="D2634" t="s">
        <v>24</v>
      </c>
      <c r="E2634" t="s">
        <v>25</v>
      </c>
      <c r="F2634">
        <v>1</v>
      </c>
      <c r="G2634">
        <v>9791133180110</v>
      </c>
      <c r="H2634" t="s">
        <v>26</v>
      </c>
      <c r="I2634" t="s">
        <v>3948</v>
      </c>
      <c r="J2634" t="s">
        <v>321</v>
      </c>
      <c r="K2634" t="s">
        <v>29</v>
      </c>
      <c r="L2634" s="1">
        <v>3200</v>
      </c>
      <c r="M2634" t="s">
        <v>29</v>
      </c>
      <c r="N2634" s="1">
        <v>3200</v>
      </c>
      <c r="O2634" s="1">
        <v>3200</v>
      </c>
      <c r="P2634" t="s">
        <v>30</v>
      </c>
      <c r="Q2634" s="2">
        <v>0.7</v>
      </c>
      <c r="R2634" s="1">
        <v>2240</v>
      </c>
      <c r="S2634" t="s">
        <v>29</v>
      </c>
      <c r="T2634" s="1">
        <v>2240</v>
      </c>
      <c r="V2634" t="str">
        <f>VLOOKUP(H2634,'[1]팀별 출판사'!A:B,2,0)</f>
        <v>소설1팀</v>
      </c>
      <c r="W2634" s="6">
        <f t="shared" si="82"/>
        <v>0</v>
      </c>
      <c r="X2634" s="6">
        <f t="shared" si="83"/>
        <v>2240</v>
      </c>
    </row>
    <row r="2635" spans="1:24" x14ac:dyDescent="0.3">
      <c r="A2635" t="s">
        <v>3816</v>
      </c>
      <c r="B2635" t="s">
        <v>3949</v>
      </c>
      <c r="C2635" t="s">
        <v>23</v>
      </c>
      <c r="D2635" t="s">
        <v>24</v>
      </c>
      <c r="E2635" t="s">
        <v>25</v>
      </c>
      <c r="F2635">
        <v>1</v>
      </c>
      <c r="G2635">
        <v>9791133198924</v>
      </c>
      <c r="H2635" t="s">
        <v>26</v>
      </c>
      <c r="I2635" t="s">
        <v>96</v>
      </c>
      <c r="J2635" t="s">
        <v>97</v>
      </c>
      <c r="K2635" t="s">
        <v>29</v>
      </c>
      <c r="L2635">
        <v>0</v>
      </c>
      <c r="M2635" t="s">
        <v>29</v>
      </c>
      <c r="N2635">
        <v>0</v>
      </c>
      <c r="O2635">
        <v>0</v>
      </c>
      <c r="P2635" t="s">
        <v>30</v>
      </c>
      <c r="Q2635" s="2">
        <v>0.7</v>
      </c>
      <c r="R2635">
        <v>0</v>
      </c>
      <c r="V2635" t="str">
        <f>VLOOKUP(H2635,'[1]팀별 출판사'!A:B,2,0)</f>
        <v>소설1팀</v>
      </c>
      <c r="W2635" s="6">
        <f t="shared" si="82"/>
        <v>0</v>
      </c>
      <c r="X2635" s="6">
        <f t="shared" si="83"/>
        <v>0</v>
      </c>
    </row>
    <row r="2636" spans="1:24" x14ac:dyDescent="0.3">
      <c r="A2636" t="s">
        <v>3816</v>
      </c>
      <c r="B2636" t="s">
        <v>3950</v>
      </c>
      <c r="C2636" t="s">
        <v>23</v>
      </c>
      <c r="D2636" t="s">
        <v>24</v>
      </c>
      <c r="E2636" t="s">
        <v>25</v>
      </c>
      <c r="F2636">
        <v>1</v>
      </c>
      <c r="G2636">
        <v>9791170100041</v>
      </c>
      <c r="H2636" t="s">
        <v>67</v>
      </c>
      <c r="I2636" t="s">
        <v>346</v>
      </c>
      <c r="J2636" t="s">
        <v>347</v>
      </c>
      <c r="K2636" t="s">
        <v>29</v>
      </c>
      <c r="L2636">
        <v>0</v>
      </c>
      <c r="M2636" t="s">
        <v>29</v>
      </c>
      <c r="N2636">
        <v>0</v>
      </c>
      <c r="O2636">
        <v>0</v>
      </c>
      <c r="P2636" t="s">
        <v>30</v>
      </c>
      <c r="Q2636" s="2">
        <v>0.7</v>
      </c>
      <c r="R2636">
        <v>0</v>
      </c>
      <c r="V2636" t="str">
        <f>VLOOKUP(H2636,'[1]팀별 출판사'!A:B,2,0)</f>
        <v>소설1팀</v>
      </c>
      <c r="W2636" s="6">
        <f t="shared" si="82"/>
        <v>0</v>
      </c>
      <c r="X2636" s="6">
        <f t="shared" si="83"/>
        <v>0</v>
      </c>
    </row>
    <row r="2637" spans="1:24" x14ac:dyDescent="0.3">
      <c r="A2637" t="s">
        <v>3816</v>
      </c>
      <c r="B2637" t="s">
        <v>3951</v>
      </c>
      <c r="C2637" t="s">
        <v>23</v>
      </c>
      <c r="D2637" t="s">
        <v>24</v>
      </c>
      <c r="E2637" t="s">
        <v>25</v>
      </c>
      <c r="F2637">
        <v>1</v>
      </c>
      <c r="G2637">
        <v>9791133107483</v>
      </c>
      <c r="H2637" t="s">
        <v>32</v>
      </c>
      <c r="I2637" t="s">
        <v>3952</v>
      </c>
      <c r="J2637" t="s">
        <v>311</v>
      </c>
      <c r="K2637" t="s">
        <v>29</v>
      </c>
      <c r="L2637">
        <v>0</v>
      </c>
      <c r="M2637" t="s">
        <v>29</v>
      </c>
      <c r="N2637">
        <v>0</v>
      </c>
      <c r="O2637">
        <v>0</v>
      </c>
      <c r="P2637" t="s">
        <v>30</v>
      </c>
      <c r="Q2637" s="2">
        <v>0.7</v>
      </c>
      <c r="R2637">
        <v>0</v>
      </c>
      <c r="V2637" t="str">
        <f>VLOOKUP(H2637,'[1]팀별 출판사'!A:B,2,0)</f>
        <v>소설1팀</v>
      </c>
      <c r="W2637" s="6">
        <f t="shared" si="82"/>
        <v>0</v>
      </c>
      <c r="X2637" s="6">
        <f t="shared" si="83"/>
        <v>0</v>
      </c>
    </row>
    <row r="2638" spans="1:24" x14ac:dyDescent="0.3">
      <c r="A2638" t="s">
        <v>3816</v>
      </c>
      <c r="B2638" t="s">
        <v>3953</v>
      </c>
      <c r="C2638" t="s">
        <v>23</v>
      </c>
      <c r="D2638" t="s">
        <v>24</v>
      </c>
      <c r="E2638" t="s">
        <v>25</v>
      </c>
      <c r="F2638">
        <v>1</v>
      </c>
      <c r="G2638" t="s">
        <v>3954</v>
      </c>
      <c r="H2638" t="s">
        <v>32</v>
      </c>
      <c r="I2638" t="s">
        <v>3955</v>
      </c>
      <c r="J2638" t="s">
        <v>3956</v>
      </c>
      <c r="K2638" t="s">
        <v>29</v>
      </c>
      <c r="L2638">
        <v>0</v>
      </c>
      <c r="M2638" t="s">
        <v>29</v>
      </c>
      <c r="N2638">
        <v>0</v>
      </c>
      <c r="O2638">
        <v>0</v>
      </c>
      <c r="P2638" t="s">
        <v>30</v>
      </c>
      <c r="Q2638" s="2">
        <v>0.7</v>
      </c>
      <c r="R2638">
        <v>0</v>
      </c>
      <c r="V2638" t="str">
        <f>VLOOKUP(H2638,'[1]팀별 출판사'!A:B,2,0)</f>
        <v>소설1팀</v>
      </c>
      <c r="W2638" s="6">
        <f t="shared" si="82"/>
        <v>0</v>
      </c>
      <c r="X2638" s="6">
        <f t="shared" si="83"/>
        <v>0</v>
      </c>
    </row>
    <row r="2639" spans="1:24" x14ac:dyDescent="0.3">
      <c r="A2639" t="s">
        <v>3816</v>
      </c>
      <c r="B2639" t="s">
        <v>3957</v>
      </c>
      <c r="C2639" t="s">
        <v>23</v>
      </c>
      <c r="D2639" t="s">
        <v>24</v>
      </c>
      <c r="E2639" t="s">
        <v>25</v>
      </c>
      <c r="F2639">
        <v>1</v>
      </c>
      <c r="G2639">
        <v>9791133138036</v>
      </c>
      <c r="H2639" t="s">
        <v>32</v>
      </c>
      <c r="I2639" t="s">
        <v>812</v>
      </c>
      <c r="J2639" t="s">
        <v>813</v>
      </c>
      <c r="K2639" t="s">
        <v>29</v>
      </c>
      <c r="L2639">
        <v>0</v>
      </c>
      <c r="M2639" t="s">
        <v>29</v>
      </c>
      <c r="N2639">
        <v>0</v>
      </c>
      <c r="O2639">
        <v>0</v>
      </c>
      <c r="P2639" t="s">
        <v>30</v>
      </c>
      <c r="Q2639" s="2">
        <v>0.7</v>
      </c>
      <c r="R2639">
        <v>0</v>
      </c>
      <c r="V2639" t="str">
        <f>VLOOKUP(H2639,'[1]팀별 출판사'!A:B,2,0)</f>
        <v>소설1팀</v>
      </c>
      <c r="W2639" s="6">
        <f t="shared" si="82"/>
        <v>0</v>
      </c>
      <c r="X2639" s="6">
        <f t="shared" si="83"/>
        <v>0</v>
      </c>
    </row>
    <row r="2640" spans="1:24" x14ac:dyDescent="0.3">
      <c r="A2640" t="s">
        <v>3816</v>
      </c>
      <c r="B2640" t="s">
        <v>3958</v>
      </c>
      <c r="C2640" t="s">
        <v>23</v>
      </c>
      <c r="D2640" t="s">
        <v>24</v>
      </c>
      <c r="E2640" t="s">
        <v>25</v>
      </c>
      <c r="F2640">
        <v>1</v>
      </c>
      <c r="G2640">
        <v>9791194664369</v>
      </c>
      <c r="H2640" t="s">
        <v>79</v>
      </c>
      <c r="I2640" t="s">
        <v>156</v>
      </c>
      <c r="J2640" t="s">
        <v>157</v>
      </c>
      <c r="K2640" t="s">
        <v>29</v>
      </c>
      <c r="L2640">
        <v>0</v>
      </c>
      <c r="M2640" t="s">
        <v>47</v>
      </c>
      <c r="N2640">
        <v>0</v>
      </c>
      <c r="O2640">
        <v>0</v>
      </c>
      <c r="P2640" t="s">
        <v>48</v>
      </c>
      <c r="Q2640" s="2">
        <v>0.7</v>
      </c>
      <c r="R2640">
        <v>0</v>
      </c>
      <c r="V2640" t="str">
        <f>VLOOKUP(H2640,'[1]팀별 출판사'!A:B,2,0)</f>
        <v>소설1팀</v>
      </c>
      <c r="W2640" s="6">
        <f t="shared" si="82"/>
        <v>0</v>
      </c>
      <c r="X2640" s="6">
        <f t="shared" si="83"/>
        <v>0</v>
      </c>
    </row>
    <row r="2641" spans="1:24" x14ac:dyDescent="0.3">
      <c r="A2641" t="s">
        <v>3816</v>
      </c>
      <c r="B2641" t="s">
        <v>3959</v>
      </c>
      <c r="C2641" t="s">
        <v>23</v>
      </c>
      <c r="D2641" t="s">
        <v>24</v>
      </c>
      <c r="E2641" t="s">
        <v>25</v>
      </c>
      <c r="F2641">
        <v>1</v>
      </c>
      <c r="G2641">
        <v>9788928006182</v>
      </c>
      <c r="H2641" t="s">
        <v>32</v>
      </c>
      <c r="I2641" t="s">
        <v>2200</v>
      </c>
      <c r="J2641" t="s">
        <v>311</v>
      </c>
      <c r="K2641" t="s">
        <v>29</v>
      </c>
      <c r="L2641" s="1">
        <v>3200</v>
      </c>
      <c r="M2641" t="s">
        <v>29</v>
      </c>
      <c r="N2641" s="1">
        <v>3200</v>
      </c>
      <c r="O2641" s="1">
        <v>3200</v>
      </c>
      <c r="P2641" t="s">
        <v>30</v>
      </c>
      <c r="Q2641" s="2">
        <v>0.7</v>
      </c>
      <c r="R2641" s="1">
        <v>2240</v>
      </c>
      <c r="S2641" t="s">
        <v>29</v>
      </c>
      <c r="T2641" s="1">
        <v>2240</v>
      </c>
      <c r="V2641" t="str">
        <f>VLOOKUP(H2641,'[1]팀별 출판사'!A:B,2,0)</f>
        <v>소설1팀</v>
      </c>
      <c r="W2641" s="6">
        <f t="shared" si="82"/>
        <v>0</v>
      </c>
      <c r="X2641" s="6">
        <f t="shared" si="83"/>
        <v>2240</v>
      </c>
    </row>
    <row r="2642" spans="1:24" x14ac:dyDescent="0.3">
      <c r="A2642" t="s">
        <v>3816</v>
      </c>
      <c r="B2642" t="s">
        <v>3960</v>
      </c>
      <c r="C2642" t="s">
        <v>23</v>
      </c>
      <c r="D2642" t="s">
        <v>24</v>
      </c>
      <c r="E2642" t="s">
        <v>25</v>
      </c>
      <c r="F2642">
        <v>1</v>
      </c>
      <c r="G2642">
        <v>9788928006595</v>
      </c>
      <c r="H2642" t="s">
        <v>32</v>
      </c>
      <c r="I2642" t="s">
        <v>2226</v>
      </c>
      <c r="J2642" t="s">
        <v>311</v>
      </c>
      <c r="K2642" t="s">
        <v>29</v>
      </c>
      <c r="L2642" s="1">
        <v>3200</v>
      </c>
      <c r="M2642" t="s">
        <v>29</v>
      </c>
      <c r="N2642" s="1">
        <v>3200</v>
      </c>
      <c r="O2642" s="1">
        <v>3200</v>
      </c>
      <c r="P2642" t="s">
        <v>30</v>
      </c>
      <c r="Q2642" s="2">
        <v>0.7</v>
      </c>
      <c r="R2642" s="1">
        <v>2240</v>
      </c>
      <c r="S2642" t="s">
        <v>29</v>
      </c>
      <c r="T2642" s="1">
        <v>2240</v>
      </c>
      <c r="V2642" t="str">
        <f>VLOOKUP(H2642,'[1]팀별 출판사'!A:B,2,0)</f>
        <v>소설1팀</v>
      </c>
      <c r="W2642" s="6">
        <f t="shared" si="82"/>
        <v>0</v>
      </c>
      <c r="X2642" s="6">
        <f t="shared" si="83"/>
        <v>2240</v>
      </c>
    </row>
    <row r="2643" spans="1:24" x14ac:dyDescent="0.3">
      <c r="A2643" t="s">
        <v>3816</v>
      </c>
      <c r="B2643" t="s">
        <v>3961</v>
      </c>
      <c r="C2643" t="s">
        <v>23</v>
      </c>
      <c r="D2643" t="s">
        <v>24</v>
      </c>
      <c r="E2643" t="s">
        <v>25</v>
      </c>
      <c r="F2643">
        <v>1</v>
      </c>
      <c r="G2643">
        <v>9788928007325</v>
      </c>
      <c r="H2643" t="s">
        <v>32</v>
      </c>
      <c r="I2643" t="s">
        <v>3962</v>
      </c>
      <c r="J2643" t="s">
        <v>311</v>
      </c>
      <c r="K2643" t="s">
        <v>29</v>
      </c>
      <c r="L2643" s="1">
        <v>3200</v>
      </c>
      <c r="M2643" t="s">
        <v>29</v>
      </c>
      <c r="N2643" s="1">
        <v>3200</v>
      </c>
      <c r="O2643" s="1">
        <v>3200</v>
      </c>
      <c r="P2643" t="s">
        <v>30</v>
      </c>
      <c r="Q2643" s="2">
        <v>0.7</v>
      </c>
      <c r="R2643" s="1">
        <v>2240</v>
      </c>
      <c r="S2643" t="s">
        <v>29</v>
      </c>
      <c r="T2643" s="1">
        <v>2240</v>
      </c>
      <c r="V2643" t="str">
        <f>VLOOKUP(H2643,'[1]팀별 출판사'!A:B,2,0)</f>
        <v>소설1팀</v>
      </c>
      <c r="W2643" s="6">
        <f t="shared" si="82"/>
        <v>0</v>
      </c>
      <c r="X2643" s="6">
        <f t="shared" si="83"/>
        <v>2240</v>
      </c>
    </row>
    <row r="2644" spans="1:24" x14ac:dyDescent="0.3">
      <c r="A2644" t="s">
        <v>3816</v>
      </c>
      <c r="B2644" t="s">
        <v>3963</v>
      </c>
      <c r="C2644" t="s">
        <v>23</v>
      </c>
      <c r="D2644" t="s">
        <v>24</v>
      </c>
      <c r="E2644" t="s">
        <v>25</v>
      </c>
      <c r="F2644">
        <v>1</v>
      </c>
      <c r="G2644">
        <v>9788928007516</v>
      </c>
      <c r="H2644" t="s">
        <v>32</v>
      </c>
      <c r="I2644" t="s">
        <v>3964</v>
      </c>
      <c r="J2644" t="s">
        <v>311</v>
      </c>
      <c r="K2644" t="s">
        <v>29</v>
      </c>
      <c r="L2644" s="1">
        <v>3200</v>
      </c>
      <c r="M2644" t="s">
        <v>29</v>
      </c>
      <c r="N2644" s="1">
        <v>3200</v>
      </c>
      <c r="O2644" s="1">
        <v>3200</v>
      </c>
      <c r="P2644" t="s">
        <v>30</v>
      </c>
      <c r="Q2644" s="2">
        <v>0.7</v>
      </c>
      <c r="R2644" s="1">
        <v>2240</v>
      </c>
      <c r="S2644" t="s">
        <v>29</v>
      </c>
      <c r="T2644" s="1">
        <v>2240</v>
      </c>
      <c r="V2644" t="str">
        <f>VLOOKUP(H2644,'[1]팀별 출판사'!A:B,2,0)</f>
        <v>소설1팀</v>
      </c>
      <c r="W2644" s="6">
        <f t="shared" si="82"/>
        <v>0</v>
      </c>
      <c r="X2644" s="6">
        <f t="shared" si="83"/>
        <v>2240</v>
      </c>
    </row>
    <row r="2645" spans="1:24" x14ac:dyDescent="0.3">
      <c r="A2645" t="s">
        <v>3816</v>
      </c>
      <c r="B2645" t="s">
        <v>3963</v>
      </c>
      <c r="C2645" t="s">
        <v>23</v>
      </c>
      <c r="D2645" t="s">
        <v>24</v>
      </c>
      <c r="E2645" t="s">
        <v>25</v>
      </c>
      <c r="F2645">
        <v>1</v>
      </c>
      <c r="G2645">
        <v>9788928007738</v>
      </c>
      <c r="H2645" t="s">
        <v>32</v>
      </c>
      <c r="I2645" t="s">
        <v>3965</v>
      </c>
      <c r="J2645" t="s">
        <v>311</v>
      </c>
      <c r="K2645" t="s">
        <v>29</v>
      </c>
      <c r="L2645" s="1">
        <v>3200</v>
      </c>
      <c r="M2645" t="s">
        <v>29</v>
      </c>
      <c r="N2645" s="1">
        <v>3200</v>
      </c>
      <c r="O2645" s="1">
        <v>3200</v>
      </c>
      <c r="P2645" t="s">
        <v>30</v>
      </c>
      <c r="Q2645" s="2">
        <v>0.7</v>
      </c>
      <c r="R2645" s="1">
        <v>2240</v>
      </c>
      <c r="S2645" t="s">
        <v>29</v>
      </c>
      <c r="T2645" s="1">
        <v>2240</v>
      </c>
      <c r="V2645" t="str">
        <f>VLOOKUP(H2645,'[1]팀별 출판사'!A:B,2,0)</f>
        <v>소설1팀</v>
      </c>
      <c r="W2645" s="6">
        <f t="shared" si="82"/>
        <v>0</v>
      </c>
      <c r="X2645" s="6">
        <f t="shared" si="83"/>
        <v>2240</v>
      </c>
    </row>
    <row r="2646" spans="1:24" x14ac:dyDescent="0.3">
      <c r="A2646" t="s">
        <v>3816</v>
      </c>
      <c r="B2646" t="s">
        <v>3963</v>
      </c>
      <c r="C2646" t="s">
        <v>23</v>
      </c>
      <c r="D2646" t="s">
        <v>24</v>
      </c>
      <c r="E2646" t="s">
        <v>25</v>
      </c>
      <c r="F2646">
        <v>1</v>
      </c>
      <c r="G2646">
        <v>9788928007936</v>
      </c>
      <c r="H2646" t="s">
        <v>32</v>
      </c>
      <c r="I2646" t="s">
        <v>3966</v>
      </c>
      <c r="J2646" t="s">
        <v>311</v>
      </c>
      <c r="K2646" t="s">
        <v>29</v>
      </c>
      <c r="L2646" s="1">
        <v>3200</v>
      </c>
      <c r="M2646" t="s">
        <v>29</v>
      </c>
      <c r="N2646" s="1">
        <v>3200</v>
      </c>
      <c r="O2646" s="1">
        <v>3200</v>
      </c>
      <c r="P2646" t="s">
        <v>30</v>
      </c>
      <c r="Q2646" s="2">
        <v>0.7</v>
      </c>
      <c r="R2646" s="1">
        <v>2240</v>
      </c>
      <c r="S2646" t="s">
        <v>29</v>
      </c>
      <c r="T2646" s="1">
        <v>2240</v>
      </c>
      <c r="V2646" t="str">
        <f>VLOOKUP(H2646,'[1]팀별 출판사'!A:B,2,0)</f>
        <v>소설1팀</v>
      </c>
      <c r="W2646" s="6">
        <f t="shared" si="82"/>
        <v>0</v>
      </c>
      <c r="X2646" s="6">
        <f t="shared" si="83"/>
        <v>2240</v>
      </c>
    </row>
    <row r="2647" spans="1:24" x14ac:dyDescent="0.3">
      <c r="A2647" t="s">
        <v>3816</v>
      </c>
      <c r="B2647" t="s">
        <v>3963</v>
      </c>
      <c r="C2647" t="s">
        <v>23</v>
      </c>
      <c r="D2647" t="s">
        <v>24</v>
      </c>
      <c r="E2647" t="s">
        <v>25</v>
      </c>
      <c r="F2647">
        <v>1</v>
      </c>
      <c r="G2647">
        <v>9788928008223</v>
      </c>
      <c r="H2647" t="s">
        <v>32</v>
      </c>
      <c r="I2647" t="s">
        <v>3967</v>
      </c>
      <c r="J2647" t="s">
        <v>311</v>
      </c>
      <c r="K2647" t="s">
        <v>29</v>
      </c>
      <c r="L2647" s="1">
        <v>3200</v>
      </c>
      <c r="M2647" t="s">
        <v>29</v>
      </c>
      <c r="N2647" s="1">
        <v>3200</v>
      </c>
      <c r="O2647" s="1">
        <v>3200</v>
      </c>
      <c r="P2647" t="s">
        <v>30</v>
      </c>
      <c r="Q2647" s="2">
        <v>0.7</v>
      </c>
      <c r="R2647" s="1">
        <v>2240</v>
      </c>
      <c r="S2647" t="s">
        <v>29</v>
      </c>
      <c r="T2647" s="1">
        <v>2240</v>
      </c>
      <c r="V2647" t="str">
        <f>VLOOKUP(H2647,'[1]팀별 출판사'!A:B,2,0)</f>
        <v>소설1팀</v>
      </c>
      <c r="W2647" s="6">
        <f t="shared" si="82"/>
        <v>0</v>
      </c>
      <c r="X2647" s="6">
        <f t="shared" si="83"/>
        <v>2240</v>
      </c>
    </row>
    <row r="2648" spans="1:24" x14ac:dyDescent="0.3">
      <c r="A2648" t="s">
        <v>3816</v>
      </c>
      <c r="B2648" t="s">
        <v>3963</v>
      </c>
      <c r="C2648" t="s">
        <v>23</v>
      </c>
      <c r="D2648" t="s">
        <v>24</v>
      </c>
      <c r="E2648" t="s">
        <v>25</v>
      </c>
      <c r="F2648">
        <v>1</v>
      </c>
      <c r="G2648">
        <v>9788928008551</v>
      </c>
      <c r="H2648" t="s">
        <v>32</v>
      </c>
      <c r="I2648" t="s">
        <v>3968</v>
      </c>
      <c r="J2648" t="s">
        <v>311</v>
      </c>
      <c r="K2648" t="s">
        <v>29</v>
      </c>
      <c r="L2648" s="1">
        <v>3200</v>
      </c>
      <c r="M2648" t="s">
        <v>29</v>
      </c>
      <c r="N2648" s="1">
        <v>3200</v>
      </c>
      <c r="O2648" s="1">
        <v>3200</v>
      </c>
      <c r="P2648" t="s">
        <v>30</v>
      </c>
      <c r="Q2648" s="2">
        <v>0.7</v>
      </c>
      <c r="R2648" s="1">
        <v>2240</v>
      </c>
      <c r="S2648" t="s">
        <v>29</v>
      </c>
      <c r="T2648" s="1">
        <v>2240</v>
      </c>
      <c r="V2648" t="str">
        <f>VLOOKUP(H2648,'[1]팀별 출판사'!A:B,2,0)</f>
        <v>소설1팀</v>
      </c>
      <c r="W2648" s="6">
        <f t="shared" si="82"/>
        <v>0</v>
      </c>
      <c r="X2648" s="6">
        <f t="shared" si="83"/>
        <v>2240</v>
      </c>
    </row>
    <row r="2649" spans="1:24" x14ac:dyDescent="0.3">
      <c r="A2649" t="s">
        <v>3816</v>
      </c>
      <c r="B2649" t="s">
        <v>3969</v>
      </c>
      <c r="C2649" t="s">
        <v>23</v>
      </c>
      <c r="D2649" t="s">
        <v>24</v>
      </c>
      <c r="E2649" t="s">
        <v>25</v>
      </c>
      <c r="F2649">
        <v>1</v>
      </c>
      <c r="G2649">
        <v>9791136930361</v>
      </c>
      <c r="H2649" t="s">
        <v>32</v>
      </c>
      <c r="I2649" t="s">
        <v>33</v>
      </c>
      <c r="J2649" t="s">
        <v>34</v>
      </c>
      <c r="K2649" t="s">
        <v>29</v>
      </c>
      <c r="L2649">
        <v>0</v>
      </c>
      <c r="M2649" t="s">
        <v>47</v>
      </c>
      <c r="N2649">
        <v>0</v>
      </c>
      <c r="O2649">
        <v>0</v>
      </c>
      <c r="P2649" t="s">
        <v>48</v>
      </c>
      <c r="Q2649" s="2">
        <v>0.7</v>
      </c>
      <c r="R2649">
        <v>0</v>
      </c>
      <c r="V2649" t="str">
        <f>VLOOKUP(H2649,'[1]팀별 출판사'!A:B,2,0)</f>
        <v>소설1팀</v>
      </c>
      <c r="W2649" s="6">
        <f t="shared" si="82"/>
        <v>0</v>
      </c>
      <c r="X2649" s="6">
        <f t="shared" si="83"/>
        <v>0</v>
      </c>
    </row>
    <row r="2650" spans="1:24" x14ac:dyDescent="0.3">
      <c r="A2650" t="s">
        <v>3816</v>
      </c>
      <c r="B2650" t="s">
        <v>3970</v>
      </c>
      <c r="C2650" t="s">
        <v>23</v>
      </c>
      <c r="D2650" t="s">
        <v>24</v>
      </c>
      <c r="E2650" t="s">
        <v>25</v>
      </c>
      <c r="F2650">
        <v>1</v>
      </c>
      <c r="G2650">
        <v>9791136945013</v>
      </c>
      <c r="H2650" t="s">
        <v>26</v>
      </c>
      <c r="I2650" t="s">
        <v>125</v>
      </c>
      <c r="J2650" t="s">
        <v>126</v>
      </c>
      <c r="K2650" t="s">
        <v>29</v>
      </c>
      <c r="L2650">
        <v>0</v>
      </c>
      <c r="M2650" t="s">
        <v>152</v>
      </c>
      <c r="N2650">
        <v>0</v>
      </c>
      <c r="O2650">
        <v>0</v>
      </c>
      <c r="P2650" t="s">
        <v>153</v>
      </c>
      <c r="Q2650" s="2">
        <v>0.7</v>
      </c>
      <c r="R2650">
        <v>0</v>
      </c>
      <c r="V2650" t="str">
        <f>VLOOKUP(H2650,'[1]팀별 출판사'!A:B,2,0)</f>
        <v>소설1팀</v>
      </c>
      <c r="W2650" s="6">
        <f t="shared" si="82"/>
        <v>0</v>
      </c>
      <c r="X2650" s="6">
        <f t="shared" si="83"/>
        <v>0</v>
      </c>
    </row>
    <row r="2651" spans="1:24" x14ac:dyDescent="0.3">
      <c r="A2651" t="s">
        <v>3816</v>
      </c>
      <c r="B2651" t="s">
        <v>3971</v>
      </c>
      <c r="C2651" t="s">
        <v>23</v>
      </c>
      <c r="D2651" t="s">
        <v>24</v>
      </c>
      <c r="E2651" t="s">
        <v>25</v>
      </c>
      <c r="F2651">
        <v>1</v>
      </c>
      <c r="G2651">
        <v>9791136931375</v>
      </c>
      <c r="H2651" t="s">
        <v>32</v>
      </c>
      <c r="I2651" t="s">
        <v>189</v>
      </c>
      <c r="J2651" t="s">
        <v>46</v>
      </c>
      <c r="K2651" t="s">
        <v>29</v>
      </c>
      <c r="L2651">
        <v>0</v>
      </c>
      <c r="M2651" t="s">
        <v>152</v>
      </c>
      <c r="N2651">
        <v>0</v>
      </c>
      <c r="O2651">
        <v>0</v>
      </c>
      <c r="P2651" t="s">
        <v>153</v>
      </c>
      <c r="Q2651" s="2">
        <v>0.7</v>
      </c>
      <c r="R2651">
        <v>0</v>
      </c>
      <c r="V2651" t="str">
        <f>VLOOKUP(H2651,'[1]팀별 출판사'!A:B,2,0)</f>
        <v>소설1팀</v>
      </c>
      <c r="W2651" s="6">
        <f t="shared" si="82"/>
        <v>0</v>
      </c>
      <c r="X2651" s="6">
        <f t="shared" si="83"/>
        <v>0</v>
      </c>
    </row>
    <row r="2652" spans="1:24" x14ac:dyDescent="0.3">
      <c r="A2652" t="s">
        <v>3816</v>
      </c>
      <c r="B2652" t="s">
        <v>3972</v>
      </c>
      <c r="C2652" t="s">
        <v>23</v>
      </c>
      <c r="D2652" t="s">
        <v>24</v>
      </c>
      <c r="E2652" t="s">
        <v>25</v>
      </c>
      <c r="F2652">
        <v>1</v>
      </c>
      <c r="G2652">
        <v>9791173787027</v>
      </c>
      <c r="H2652" t="s">
        <v>26</v>
      </c>
      <c r="I2652" t="s">
        <v>255</v>
      </c>
      <c r="J2652" t="s">
        <v>256</v>
      </c>
      <c r="K2652" t="s">
        <v>29</v>
      </c>
      <c r="L2652">
        <v>0</v>
      </c>
      <c r="M2652" t="s">
        <v>29</v>
      </c>
      <c r="N2652">
        <v>0</v>
      </c>
      <c r="O2652">
        <v>0</v>
      </c>
      <c r="P2652" t="s">
        <v>30</v>
      </c>
      <c r="Q2652" s="2">
        <v>0.7</v>
      </c>
      <c r="R2652">
        <v>0</v>
      </c>
      <c r="V2652" t="str">
        <f>VLOOKUP(H2652,'[1]팀별 출판사'!A:B,2,0)</f>
        <v>소설1팀</v>
      </c>
      <c r="W2652" s="6">
        <f t="shared" si="82"/>
        <v>0</v>
      </c>
      <c r="X2652" s="6">
        <f t="shared" si="83"/>
        <v>0</v>
      </c>
    </row>
    <row r="2653" spans="1:24" x14ac:dyDescent="0.3">
      <c r="A2653" t="s">
        <v>3816</v>
      </c>
      <c r="B2653" t="s">
        <v>3973</v>
      </c>
      <c r="C2653" t="s">
        <v>23</v>
      </c>
      <c r="D2653" t="s">
        <v>24</v>
      </c>
      <c r="E2653" t="s">
        <v>25</v>
      </c>
      <c r="F2653">
        <v>1</v>
      </c>
      <c r="G2653">
        <v>9791175302488</v>
      </c>
      <c r="H2653" t="s">
        <v>26</v>
      </c>
      <c r="I2653" t="s">
        <v>602</v>
      </c>
      <c r="J2653" t="s">
        <v>603</v>
      </c>
      <c r="K2653" t="s">
        <v>29</v>
      </c>
      <c r="L2653">
        <v>0</v>
      </c>
      <c r="M2653" t="s">
        <v>29</v>
      </c>
      <c r="N2653">
        <v>0</v>
      </c>
      <c r="O2653">
        <v>0</v>
      </c>
      <c r="P2653" t="s">
        <v>30</v>
      </c>
      <c r="Q2653" s="2">
        <v>0.7</v>
      </c>
      <c r="R2653">
        <v>0</v>
      </c>
      <c r="V2653" t="str">
        <f>VLOOKUP(H2653,'[1]팀별 출판사'!A:B,2,0)</f>
        <v>소설1팀</v>
      </c>
      <c r="W2653" s="6">
        <f t="shared" si="82"/>
        <v>0</v>
      </c>
      <c r="X2653" s="6">
        <f t="shared" si="83"/>
        <v>0</v>
      </c>
    </row>
    <row r="2654" spans="1:24" x14ac:dyDescent="0.3">
      <c r="A2654" t="s">
        <v>3816</v>
      </c>
      <c r="B2654" t="s">
        <v>3974</v>
      </c>
      <c r="C2654" t="s">
        <v>23</v>
      </c>
      <c r="D2654" t="s">
        <v>24</v>
      </c>
      <c r="E2654" t="s">
        <v>25</v>
      </c>
      <c r="F2654">
        <v>1</v>
      </c>
      <c r="G2654">
        <v>9791133106257</v>
      </c>
      <c r="H2654" t="s">
        <v>32</v>
      </c>
      <c r="I2654" t="s">
        <v>3975</v>
      </c>
      <c r="J2654" t="s">
        <v>51</v>
      </c>
      <c r="K2654" t="s">
        <v>29</v>
      </c>
      <c r="L2654" s="1">
        <v>3200</v>
      </c>
      <c r="M2654" t="s">
        <v>29</v>
      </c>
      <c r="N2654" s="1">
        <v>3200</v>
      </c>
      <c r="O2654" s="1">
        <v>3200</v>
      </c>
      <c r="P2654" t="s">
        <v>30</v>
      </c>
      <c r="Q2654" s="2">
        <v>0.7</v>
      </c>
      <c r="R2654" s="1">
        <v>2240</v>
      </c>
      <c r="S2654" t="s">
        <v>29</v>
      </c>
      <c r="T2654" s="1">
        <v>2240</v>
      </c>
      <c r="V2654" t="str">
        <f>VLOOKUP(H2654,'[1]팀별 출판사'!A:B,2,0)</f>
        <v>소설1팀</v>
      </c>
      <c r="W2654" s="6">
        <f t="shared" si="82"/>
        <v>0</v>
      </c>
      <c r="X2654" s="6">
        <f t="shared" si="83"/>
        <v>2240</v>
      </c>
    </row>
    <row r="2655" spans="1:24" x14ac:dyDescent="0.3">
      <c r="A2655" t="s">
        <v>3816</v>
      </c>
      <c r="B2655" t="s">
        <v>3976</v>
      </c>
      <c r="C2655" t="s">
        <v>23</v>
      </c>
      <c r="D2655" t="s">
        <v>24</v>
      </c>
      <c r="E2655" t="s">
        <v>25</v>
      </c>
      <c r="F2655">
        <v>1</v>
      </c>
      <c r="G2655">
        <v>9791173786136</v>
      </c>
      <c r="H2655" t="s">
        <v>79</v>
      </c>
      <c r="I2655" t="s">
        <v>1476</v>
      </c>
      <c r="J2655" t="s">
        <v>81</v>
      </c>
      <c r="K2655" t="s">
        <v>29</v>
      </c>
      <c r="L2655">
        <v>0</v>
      </c>
      <c r="M2655" t="s">
        <v>29</v>
      </c>
      <c r="N2655">
        <v>0</v>
      </c>
      <c r="O2655">
        <v>0</v>
      </c>
      <c r="P2655" t="s">
        <v>30</v>
      </c>
      <c r="Q2655" s="2">
        <v>0.7</v>
      </c>
      <c r="R2655">
        <v>0</v>
      </c>
      <c r="V2655" t="str">
        <f>VLOOKUP(H2655,'[1]팀별 출판사'!A:B,2,0)</f>
        <v>소설1팀</v>
      </c>
      <c r="W2655" s="6">
        <f t="shared" si="82"/>
        <v>0</v>
      </c>
      <c r="X2655" s="6">
        <f t="shared" si="83"/>
        <v>0</v>
      </c>
    </row>
    <row r="2656" spans="1:24" x14ac:dyDescent="0.3">
      <c r="A2656" t="s">
        <v>3816</v>
      </c>
      <c r="B2656" t="s">
        <v>3977</v>
      </c>
      <c r="C2656" t="s">
        <v>23</v>
      </c>
      <c r="D2656" t="s">
        <v>24</v>
      </c>
      <c r="E2656" t="s">
        <v>25</v>
      </c>
      <c r="F2656">
        <v>1</v>
      </c>
      <c r="G2656">
        <v>9791172920937</v>
      </c>
      <c r="H2656" t="s">
        <v>79</v>
      </c>
      <c r="I2656" t="s">
        <v>80</v>
      </c>
      <c r="J2656" t="s">
        <v>81</v>
      </c>
      <c r="K2656" t="s">
        <v>29</v>
      </c>
      <c r="L2656">
        <v>0</v>
      </c>
      <c r="M2656" t="s">
        <v>29</v>
      </c>
      <c r="N2656">
        <v>0</v>
      </c>
      <c r="O2656">
        <v>0</v>
      </c>
      <c r="P2656" t="s">
        <v>30</v>
      </c>
      <c r="Q2656" s="2">
        <v>0.7</v>
      </c>
      <c r="R2656">
        <v>0</v>
      </c>
      <c r="V2656" t="str">
        <f>VLOOKUP(H2656,'[1]팀별 출판사'!A:B,2,0)</f>
        <v>소설1팀</v>
      </c>
      <c r="W2656" s="6">
        <f t="shared" si="82"/>
        <v>0</v>
      </c>
      <c r="X2656" s="6">
        <f t="shared" si="83"/>
        <v>0</v>
      </c>
    </row>
    <row r="2657" spans="1:24" x14ac:dyDescent="0.3">
      <c r="A2657" t="s">
        <v>3816</v>
      </c>
      <c r="B2657" t="s">
        <v>3978</v>
      </c>
      <c r="C2657" t="s">
        <v>23</v>
      </c>
      <c r="D2657" t="s">
        <v>24</v>
      </c>
      <c r="E2657" t="s">
        <v>25</v>
      </c>
      <c r="F2657">
        <v>1</v>
      </c>
      <c r="G2657">
        <v>9791136958662</v>
      </c>
      <c r="H2657" t="s">
        <v>79</v>
      </c>
      <c r="I2657" t="s">
        <v>396</v>
      </c>
      <c r="J2657" t="s">
        <v>81</v>
      </c>
      <c r="K2657" t="s">
        <v>29</v>
      </c>
      <c r="L2657">
        <v>0</v>
      </c>
      <c r="M2657" t="s">
        <v>29</v>
      </c>
      <c r="N2657">
        <v>0</v>
      </c>
      <c r="O2657">
        <v>0</v>
      </c>
      <c r="P2657" t="s">
        <v>30</v>
      </c>
      <c r="Q2657" s="2">
        <v>0.7</v>
      </c>
      <c r="R2657">
        <v>0</v>
      </c>
      <c r="V2657" t="str">
        <f>VLOOKUP(H2657,'[1]팀별 출판사'!A:B,2,0)</f>
        <v>소설1팀</v>
      </c>
      <c r="W2657" s="6">
        <f t="shared" si="82"/>
        <v>0</v>
      </c>
      <c r="X2657" s="6">
        <f t="shared" si="83"/>
        <v>0</v>
      </c>
    </row>
    <row r="2658" spans="1:24" x14ac:dyDescent="0.3">
      <c r="A2658" t="s">
        <v>3816</v>
      </c>
      <c r="B2658" t="s">
        <v>3979</v>
      </c>
      <c r="C2658" t="s">
        <v>23</v>
      </c>
      <c r="D2658" t="s">
        <v>24</v>
      </c>
      <c r="E2658" t="s">
        <v>25</v>
      </c>
      <c r="F2658">
        <v>1</v>
      </c>
      <c r="G2658">
        <v>9791157533503</v>
      </c>
      <c r="H2658" t="s">
        <v>32</v>
      </c>
      <c r="I2658" t="s">
        <v>383</v>
      </c>
      <c r="J2658" t="s">
        <v>187</v>
      </c>
      <c r="K2658" t="s">
        <v>29</v>
      </c>
      <c r="L2658">
        <v>0</v>
      </c>
      <c r="M2658" t="s">
        <v>29</v>
      </c>
      <c r="N2658">
        <v>0</v>
      </c>
      <c r="O2658">
        <v>0</v>
      </c>
      <c r="P2658" t="s">
        <v>30</v>
      </c>
      <c r="Q2658" s="2">
        <v>0.7</v>
      </c>
      <c r="R2658">
        <v>0</v>
      </c>
      <c r="V2658" t="str">
        <f>VLOOKUP(H2658,'[1]팀별 출판사'!A:B,2,0)</f>
        <v>소설1팀</v>
      </c>
      <c r="W2658" s="6">
        <f t="shared" si="82"/>
        <v>0</v>
      </c>
      <c r="X2658" s="6">
        <f t="shared" si="83"/>
        <v>0</v>
      </c>
    </row>
    <row r="2659" spans="1:24" x14ac:dyDescent="0.3">
      <c r="A2659" t="s">
        <v>3816</v>
      </c>
      <c r="B2659" t="s">
        <v>3980</v>
      </c>
      <c r="C2659" t="s">
        <v>23</v>
      </c>
      <c r="D2659" t="s">
        <v>24</v>
      </c>
      <c r="E2659" t="s">
        <v>25</v>
      </c>
      <c r="F2659">
        <v>1</v>
      </c>
      <c r="G2659">
        <v>9791136911131</v>
      </c>
      <c r="H2659" t="s">
        <v>26</v>
      </c>
      <c r="I2659" t="s">
        <v>2757</v>
      </c>
      <c r="J2659" t="s">
        <v>160</v>
      </c>
      <c r="K2659" t="s">
        <v>29</v>
      </c>
      <c r="L2659" s="1">
        <v>3200</v>
      </c>
      <c r="M2659" t="s">
        <v>29</v>
      </c>
      <c r="N2659" s="1">
        <v>3200</v>
      </c>
      <c r="O2659" s="1">
        <v>3200</v>
      </c>
      <c r="P2659" t="s">
        <v>30</v>
      </c>
      <c r="Q2659" s="2">
        <v>0.7</v>
      </c>
      <c r="R2659" s="1">
        <v>2240</v>
      </c>
      <c r="S2659" t="s">
        <v>29</v>
      </c>
      <c r="T2659" s="1">
        <v>2240</v>
      </c>
      <c r="V2659" t="str">
        <f>VLOOKUP(H2659,'[1]팀별 출판사'!A:B,2,0)</f>
        <v>소설1팀</v>
      </c>
      <c r="W2659" s="6">
        <f t="shared" si="82"/>
        <v>0</v>
      </c>
      <c r="X2659" s="6">
        <f t="shared" si="83"/>
        <v>2240</v>
      </c>
    </row>
    <row r="2660" spans="1:24" x14ac:dyDescent="0.3">
      <c r="A2660" t="s">
        <v>3816</v>
      </c>
      <c r="B2660" t="s">
        <v>3981</v>
      </c>
      <c r="C2660" t="s">
        <v>23</v>
      </c>
      <c r="D2660" t="s">
        <v>24</v>
      </c>
      <c r="E2660" t="s">
        <v>25</v>
      </c>
      <c r="F2660">
        <v>1</v>
      </c>
      <c r="G2660">
        <v>9791175300651</v>
      </c>
      <c r="H2660" t="s">
        <v>26</v>
      </c>
      <c r="I2660" t="s">
        <v>1090</v>
      </c>
      <c r="J2660" t="s">
        <v>256</v>
      </c>
      <c r="K2660" t="s">
        <v>29</v>
      </c>
      <c r="L2660">
        <v>0</v>
      </c>
      <c r="M2660" t="s">
        <v>29</v>
      </c>
      <c r="N2660">
        <v>0</v>
      </c>
      <c r="O2660">
        <v>0</v>
      </c>
      <c r="P2660" t="s">
        <v>30</v>
      </c>
      <c r="Q2660" s="2">
        <v>0.7</v>
      </c>
      <c r="R2660">
        <v>0</v>
      </c>
      <c r="V2660" t="str">
        <f>VLOOKUP(H2660,'[1]팀별 출판사'!A:B,2,0)</f>
        <v>소설1팀</v>
      </c>
      <c r="W2660" s="6">
        <f t="shared" si="82"/>
        <v>0</v>
      </c>
      <c r="X2660" s="6">
        <f t="shared" si="83"/>
        <v>0</v>
      </c>
    </row>
    <row r="2661" spans="1:24" x14ac:dyDescent="0.3">
      <c r="A2661" t="s">
        <v>3816</v>
      </c>
      <c r="B2661" t="s">
        <v>3982</v>
      </c>
      <c r="C2661" t="s">
        <v>23</v>
      </c>
      <c r="D2661" t="s">
        <v>24</v>
      </c>
      <c r="E2661" t="s">
        <v>25</v>
      </c>
      <c r="F2661">
        <v>1</v>
      </c>
      <c r="G2661">
        <v>9791136941862</v>
      </c>
      <c r="H2661" t="s">
        <v>26</v>
      </c>
      <c r="I2661" t="s">
        <v>894</v>
      </c>
      <c r="J2661" t="s">
        <v>81</v>
      </c>
      <c r="K2661" t="s">
        <v>29</v>
      </c>
      <c r="L2661">
        <v>0</v>
      </c>
      <c r="M2661" t="s">
        <v>29</v>
      </c>
      <c r="N2661">
        <v>0</v>
      </c>
      <c r="O2661">
        <v>0</v>
      </c>
      <c r="P2661" t="s">
        <v>30</v>
      </c>
      <c r="Q2661" s="2">
        <v>0.7</v>
      </c>
      <c r="R2661">
        <v>0</v>
      </c>
      <c r="V2661" t="str">
        <f>VLOOKUP(H2661,'[1]팀별 출판사'!A:B,2,0)</f>
        <v>소설1팀</v>
      </c>
      <c r="W2661" s="6">
        <f t="shared" si="82"/>
        <v>0</v>
      </c>
      <c r="X2661" s="6">
        <f t="shared" si="83"/>
        <v>0</v>
      </c>
    </row>
    <row r="2662" spans="1:24" x14ac:dyDescent="0.3">
      <c r="A2662" t="s">
        <v>3816</v>
      </c>
      <c r="B2662" t="s">
        <v>3983</v>
      </c>
      <c r="C2662" t="s">
        <v>23</v>
      </c>
      <c r="D2662" t="s">
        <v>24</v>
      </c>
      <c r="E2662" t="s">
        <v>25</v>
      </c>
      <c r="F2662">
        <v>1</v>
      </c>
      <c r="G2662" t="s">
        <v>797</v>
      </c>
      <c r="H2662" t="s">
        <v>32</v>
      </c>
      <c r="I2662" t="s">
        <v>798</v>
      </c>
      <c r="J2662" t="s">
        <v>43</v>
      </c>
      <c r="K2662" t="s">
        <v>29</v>
      </c>
      <c r="L2662">
        <v>0</v>
      </c>
      <c r="M2662" t="s">
        <v>29</v>
      </c>
      <c r="N2662">
        <v>0</v>
      </c>
      <c r="O2662">
        <v>0</v>
      </c>
      <c r="P2662" t="s">
        <v>30</v>
      </c>
      <c r="Q2662" s="2">
        <v>0.7</v>
      </c>
      <c r="R2662">
        <v>0</v>
      </c>
      <c r="V2662" t="str">
        <f>VLOOKUP(H2662,'[1]팀별 출판사'!A:B,2,0)</f>
        <v>소설1팀</v>
      </c>
      <c r="W2662" s="6">
        <f t="shared" si="82"/>
        <v>0</v>
      </c>
      <c r="X2662" s="6">
        <f t="shared" si="83"/>
        <v>0</v>
      </c>
    </row>
    <row r="2663" spans="1:24" x14ac:dyDescent="0.3">
      <c r="A2663" t="s">
        <v>3816</v>
      </c>
      <c r="B2663" t="s">
        <v>3984</v>
      </c>
      <c r="C2663" t="s">
        <v>23</v>
      </c>
      <c r="D2663" t="s">
        <v>24</v>
      </c>
      <c r="E2663" t="s">
        <v>25</v>
      </c>
      <c r="F2663">
        <v>1</v>
      </c>
      <c r="G2663">
        <v>9791175302068</v>
      </c>
      <c r="H2663" t="s">
        <v>26</v>
      </c>
      <c r="I2663" t="s">
        <v>3985</v>
      </c>
      <c r="J2663" t="s">
        <v>256</v>
      </c>
      <c r="K2663" t="s">
        <v>29</v>
      </c>
      <c r="L2663" s="1">
        <v>3200</v>
      </c>
      <c r="M2663" t="s">
        <v>70</v>
      </c>
      <c r="N2663">
        <v>2.2200000000000002</v>
      </c>
      <c r="O2663">
        <v>2.2200000000000002</v>
      </c>
      <c r="P2663" t="s">
        <v>71</v>
      </c>
      <c r="Q2663" s="2">
        <v>0.7</v>
      </c>
      <c r="R2663">
        <v>1.55</v>
      </c>
      <c r="S2663" t="s">
        <v>29</v>
      </c>
      <c r="T2663" s="1">
        <v>2251</v>
      </c>
      <c r="U2663" s="3">
        <v>1448.1763800000001</v>
      </c>
      <c r="V2663" t="str">
        <f>VLOOKUP(H2663,'[1]팀별 출판사'!A:B,2,0)</f>
        <v>소설1팀</v>
      </c>
      <c r="W2663" s="6">
        <f t="shared" si="82"/>
        <v>675.3</v>
      </c>
      <c r="X2663" s="6">
        <f t="shared" si="83"/>
        <v>1575.7</v>
      </c>
    </row>
    <row r="2664" spans="1:24" x14ac:dyDescent="0.3">
      <c r="A2664" t="s">
        <v>3816</v>
      </c>
      <c r="B2664" t="s">
        <v>3984</v>
      </c>
      <c r="C2664" t="s">
        <v>23</v>
      </c>
      <c r="D2664" t="s">
        <v>24</v>
      </c>
      <c r="E2664" t="s">
        <v>25</v>
      </c>
      <c r="F2664">
        <v>1</v>
      </c>
      <c r="G2664">
        <v>9791175302075</v>
      </c>
      <c r="H2664" t="s">
        <v>26</v>
      </c>
      <c r="I2664" t="s">
        <v>3986</v>
      </c>
      <c r="J2664" t="s">
        <v>256</v>
      </c>
      <c r="K2664" t="s">
        <v>29</v>
      </c>
      <c r="L2664" s="1">
        <v>3200</v>
      </c>
      <c r="M2664" t="s">
        <v>70</v>
      </c>
      <c r="N2664">
        <v>2.2200000000000002</v>
      </c>
      <c r="O2664">
        <v>2.2200000000000002</v>
      </c>
      <c r="P2664" t="s">
        <v>71</v>
      </c>
      <c r="Q2664" s="2">
        <v>0.7</v>
      </c>
      <c r="R2664">
        <v>1.55</v>
      </c>
      <c r="S2664" t="s">
        <v>29</v>
      </c>
      <c r="T2664" s="1">
        <v>2251</v>
      </c>
      <c r="U2664" s="3">
        <v>1448.1763800000001</v>
      </c>
      <c r="V2664" t="str">
        <f>VLOOKUP(H2664,'[1]팀별 출판사'!A:B,2,0)</f>
        <v>소설1팀</v>
      </c>
      <c r="W2664" s="6">
        <f t="shared" si="82"/>
        <v>675.3</v>
      </c>
      <c r="X2664" s="6">
        <f t="shared" si="83"/>
        <v>1575.7</v>
      </c>
    </row>
    <row r="2665" spans="1:24" x14ac:dyDescent="0.3">
      <c r="A2665" t="s">
        <v>3816</v>
      </c>
      <c r="B2665" t="s">
        <v>3984</v>
      </c>
      <c r="C2665" t="s">
        <v>23</v>
      </c>
      <c r="D2665" t="s">
        <v>24</v>
      </c>
      <c r="E2665" t="s">
        <v>25</v>
      </c>
      <c r="F2665">
        <v>1</v>
      </c>
      <c r="G2665">
        <v>9791175302082</v>
      </c>
      <c r="H2665" t="s">
        <v>26</v>
      </c>
      <c r="I2665" t="s">
        <v>3987</v>
      </c>
      <c r="J2665" t="s">
        <v>256</v>
      </c>
      <c r="K2665" t="s">
        <v>29</v>
      </c>
      <c r="L2665" s="1">
        <v>3200</v>
      </c>
      <c r="M2665" t="s">
        <v>70</v>
      </c>
      <c r="N2665">
        <v>2.2200000000000002</v>
      </c>
      <c r="O2665">
        <v>2.2200000000000002</v>
      </c>
      <c r="P2665" t="s">
        <v>71</v>
      </c>
      <c r="Q2665" s="2">
        <v>0.7</v>
      </c>
      <c r="R2665">
        <v>1.55</v>
      </c>
      <c r="S2665" t="s">
        <v>29</v>
      </c>
      <c r="T2665" s="1">
        <v>2251</v>
      </c>
      <c r="U2665" s="3">
        <v>1448.1763800000001</v>
      </c>
      <c r="V2665" t="str">
        <f>VLOOKUP(H2665,'[1]팀별 출판사'!A:B,2,0)</f>
        <v>소설1팀</v>
      </c>
      <c r="W2665" s="6">
        <f t="shared" si="82"/>
        <v>675.3</v>
      </c>
      <c r="X2665" s="6">
        <f t="shared" si="83"/>
        <v>1575.7</v>
      </c>
    </row>
    <row r="2666" spans="1:24" x14ac:dyDescent="0.3">
      <c r="A2666" t="s">
        <v>3816</v>
      </c>
      <c r="B2666" t="s">
        <v>3984</v>
      </c>
      <c r="C2666" t="s">
        <v>23</v>
      </c>
      <c r="D2666" t="s">
        <v>24</v>
      </c>
      <c r="E2666" t="s">
        <v>25</v>
      </c>
      <c r="F2666">
        <v>1</v>
      </c>
      <c r="G2666">
        <v>9791175302099</v>
      </c>
      <c r="H2666" t="s">
        <v>26</v>
      </c>
      <c r="I2666" t="s">
        <v>3988</v>
      </c>
      <c r="J2666" t="s">
        <v>256</v>
      </c>
      <c r="K2666" t="s">
        <v>29</v>
      </c>
      <c r="L2666" s="1">
        <v>3200</v>
      </c>
      <c r="M2666" t="s">
        <v>70</v>
      </c>
      <c r="N2666">
        <v>2.2200000000000002</v>
      </c>
      <c r="O2666">
        <v>2.2200000000000002</v>
      </c>
      <c r="P2666" t="s">
        <v>71</v>
      </c>
      <c r="Q2666" s="2">
        <v>0.7</v>
      </c>
      <c r="R2666">
        <v>1.55</v>
      </c>
      <c r="S2666" t="s">
        <v>29</v>
      </c>
      <c r="T2666" s="1">
        <v>2251</v>
      </c>
      <c r="U2666" s="3">
        <v>1448.1763800000001</v>
      </c>
      <c r="V2666" t="str">
        <f>VLOOKUP(H2666,'[1]팀별 출판사'!A:B,2,0)</f>
        <v>소설1팀</v>
      </c>
      <c r="W2666" s="6">
        <f t="shared" si="82"/>
        <v>675.3</v>
      </c>
      <c r="X2666" s="6">
        <f t="shared" si="83"/>
        <v>1575.7</v>
      </c>
    </row>
    <row r="2667" spans="1:24" x14ac:dyDescent="0.3">
      <c r="A2667" t="s">
        <v>3816</v>
      </c>
      <c r="B2667" t="s">
        <v>3984</v>
      </c>
      <c r="C2667" t="s">
        <v>23</v>
      </c>
      <c r="D2667" t="s">
        <v>24</v>
      </c>
      <c r="E2667" t="s">
        <v>25</v>
      </c>
      <c r="F2667">
        <v>1</v>
      </c>
      <c r="G2667">
        <v>9791175302105</v>
      </c>
      <c r="H2667" t="s">
        <v>26</v>
      </c>
      <c r="I2667" t="s">
        <v>3989</v>
      </c>
      <c r="J2667" t="s">
        <v>256</v>
      </c>
      <c r="K2667" t="s">
        <v>29</v>
      </c>
      <c r="L2667" s="1">
        <v>3200</v>
      </c>
      <c r="M2667" t="s">
        <v>70</v>
      </c>
      <c r="N2667">
        <v>2.2200000000000002</v>
      </c>
      <c r="O2667">
        <v>2.2200000000000002</v>
      </c>
      <c r="P2667" t="s">
        <v>71</v>
      </c>
      <c r="Q2667" s="2">
        <v>0.7</v>
      </c>
      <c r="R2667">
        <v>1.55</v>
      </c>
      <c r="S2667" t="s">
        <v>29</v>
      </c>
      <c r="T2667" s="1">
        <v>2251</v>
      </c>
      <c r="U2667" s="3">
        <v>1448.1763800000001</v>
      </c>
      <c r="V2667" t="str">
        <f>VLOOKUP(H2667,'[1]팀별 출판사'!A:B,2,0)</f>
        <v>소설1팀</v>
      </c>
      <c r="W2667" s="6">
        <f t="shared" si="82"/>
        <v>675.3</v>
      </c>
      <c r="X2667" s="6">
        <f t="shared" si="83"/>
        <v>1575.7</v>
      </c>
    </row>
    <row r="2668" spans="1:24" x14ac:dyDescent="0.3">
      <c r="A2668" t="s">
        <v>3816</v>
      </c>
      <c r="B2668" t="s">
        <v>3984</v>
      </c>
      <c r="C2668" t="s">
        <v>23</v>
      </c>
      <c r="D2668" t="s">
        <v>24</v>
      </c>
      <c r="E2668" t="s">
        <v>25</v>
      </c>
      <c r="F2668">
        <v>1</v>
      </c>
      <c r="G2668">
        <v>9791175302112</v>
      </c>
      <c r="H2668" t="s">
        <v>26</v>
      </c>
      <c r="I2668" t="s">
        <v>3990</v>
      </c>
      <c r="J2668" t="s">
        <v>256</v>
      </c>
      <c r="K2668" t="s">
        <v>29</v>
      </c>
      <c r="L2668" s="1">
        <v>3200</v>
      </c>
      <c r="M2668" t="s">
        <v>70</v>
      </c>
      <c r="N2668">
        <v>2.2200000000000002</v>
      </c>
      <c r="O2668">
        <v>2.2200000000000002</v>
      </c>
      <c r="P2668" t="s">
        <v>71</v>
      </c>
      <c r="Q2668" s="2">
        <v>0.7</v>
      </c>
      <c r="R2668">
        <v>1.55</v>
      </c>
      <c r="S2668" t="s">
        <v>29</v>
      </c>
      <c r="T2668" s="1">
        <v>2251</v>
      </c>
      <c r="U2668" s="3">
        <v>1448.1763800000001</v>
      </c>
      <c r="V2668" t="str">
        <f>VLOOKUP(H2668,'[1]팀별 출판사'!A:B,2,0)</f>
        <v>소설1팀</v>
      </c>
      <c r="W2668" s="6">
        <f t="shared" si="82"/>
        <v>675.3</v>
      </c>
      <c r="X2668" s="6">
        <f t="shared" si="83"/>
        <v>1575.7</v>
      </c>
    </row>
    <row r="2669" spans="1:24" x14ac:dyDescent="0.3">
      <c r="A2669" t="s">
        <v>3816</v>
      </c>
      <c r="B2669" t="s">
        <v>3984</v>
      </c>
      <c r="C2669" t="s">
        <v>23</v>
      </c>
      <c r="D2669" t="s">
        <v>24</v>
      </c>
      <c r="E2669" t="s">
        <v>25</v>
      </c>
      <c r="F2669">
        <v>1</v>
      </c>
      <c r="G2669">
        <v>9791175302129</v>
      </c>
      <c r="H2669" t="s">
        <v>26</v>
      </c>
      <c r="I2669" t="s">
        <v>3991</v>
      </c>
      <c r="J2669" t="s">
        <v>256</v>
      </c>
      <c r="K2669" t="s">
        <v>29</v>
      </c>
      <c r="L2669" s="1">
        <v>3200</v>
      </c>
      <c r="M2669" t="s">
        <v>70</v>
      </c>
      <c r="N2669">
        <v>2.2200000000000002</v>
      </c>
      <c r="O2669">
        <v>2.2200000000000002</v>
      </c>
      <c r="P2669" t="s">
        <v>71</v>
      </c>
      <c r="Q2669" s="2">
        <v>0.7</v>
      </c>
      <c r="R2669">
        <v>1.55</v>
      </c>
      <c r="S2669" t="s">
        <v>29</v>
      </c>
      <c r="T2669" s="1">
        <v>2251</v>
      </c>
      <c r="U2669" s="3">
        <v>1448.1763800000001</v>
      </c>
      <c r="V2669" t="str">
        <f>VLOOKUP(H2669,'[1]팀별 출판사'!A:B,2,0)</f>
        <v>소설1팀</v>
      </c>
      <c r="W2669" s="6">
        <f t="shared" si="82"/>
        <v>675.3</v>
      </c>
      <c r="X2669" s="6">
        <f t="shared" si="83"/>
        <v>1575.7</v>
      </c>
    </row>
    <row r="2670" spans="1:24" x14ac:dyDescent="0.3">
      <c r="A2670" t="s">
        <v>3816</v>
      </c>
      <c r="B2670" t="s">
        <v>3984</v>
      </c>
      <c r="C2670" t="s">
        <v>23</v>
      </c>
      <c r="D2670" t="s">
        <v>24</v>
      </c>
      <c r="E2670" t="s">
        <v>25</v>
      </c>
      <c r="F2670">
        <v>1</v>
      </c>
      <c r="G2670">
        <v>9791175302136</v>
      </c>
      <c r="H2670" t="s">
        <v>26</v>
      </c>
      <c r="I2670" t="s">
        <v>3992</v>
      </c>
      <c r="J2670" t="s">
        <v>256</v>
      </c>
      <c r="K2670" t="s">
        <v>29</v>
      </c>
      <c r="L2670" s="1">
        <v>3200</v>
      </c>
      <c r="M2670" t="s">
        <v>70</v>
      </c>
      <c r="N2670">
        <v>2.2200000000000002</v>
      </c>
      <c r="O2670">
        <v>2.2200000000000002</v>
      </c>
      <c r="P2670" t="s">
        <v>71</v>
      </c>
      <c r="Q2670" s="2">
        <v>0.7</v>
      </c>
      <c r="R2670">
        <v>1.55</v>
      </c>
      <c r="S2670" t="s">
        <v>29</v>
      </c>
      <c r="T2670" s="1">
        <v>2251</v>
      </c>
      <c r="U2670" s="3">
        <v>1448.1763800000001</v>
      </c>
      <c r="V2670" t="str">
        <f>VLOOKUP(H2670,'[1]팀별 출판사'!A:B,2,0)</f>
        <v>소설1팀</v>
      </c>
      <c r="W2670" s="6">
        <f t="shared" si="82"/>
        <v>675.3</v>
      </c>
      <c r="X2670" s="6">
        <f t="shared" si="83"/>
        <v>1575.7</v>
      </c>
    </row>
    <row r="2671" spans="1:24" x14ac:dyDescent="0.3">
      <c r="A2671" t="s">
        <v>3816</v>
      </c>
      <c r="B2671" t="s">
        <v>3984</v>
      </c>
      <c r="C2671" t="s">
        <v>23</v>
      </c>
      <c r="D2671" t="s">
        <v>24</v>
      </c>
      <c r="E2671" t="s">
        <v>25</v>
      </c>
      <c r="F2671">
        <v>1</v>
      </c>
      <c r="G2671">
        <v>9791175302143</v>
      </c>
      <c r="H2671" t="s">
        <v>26</v>
      </c>
      <c r="I2671" t="s">
        <v>3993</v>
      </c>
      <c r="J2671" t="s">
        <v>256</v>
      </c>
      <c r="K2671" t="s">
        <v>29</v>
      </c>
      <c r="L2671" s="1">
        <v>3200</v>
      </c>
      <c r="M2671" t="s">
        <v>70</v>
      </c>
      <c r="N2671">
        <v>2.2200000000000002</v>
      </c>
      <c r="O2671">
        <v>2.2200000000000002</v>
      </c>
      <c r="P2671" t="s">
        <v>71</v>
      </c>
      <c r="Q2671" s="2">
        <v>0.7</v>
      </c>
      <c r="R2671">
        <v>1.55</v>
      </c>
      <c r="S2671" t="s">
        <v>29</v>
      </c>
      <c r="T2671" s="1">
        <v>2251</v>
      </c>
      <c r="U2671" s="3">
        <v>1448.1763800000001</v>
      </c>
      <c r="V2671" t="str">
        <f>VLOOKUP(H2671,'[1]팀별 출판사'!A:B,2,0)</f>
        <v>소설1팀</v>
      </c>
      <c r="W2671" s="6">
        <f t="shared" si="82"/>
        <v>675.3</v>
      </c>
      <c r="X2671" s="6">
        <f t="shared" si="83"/>
        <v>1575.7</v>
      </c>
    </row>
    <row r="2672" spans="1:24" x14ac:dyDescent="0.3">
      <c r="A2672" t="s">
        <v>3816</v>
      </c>
      <c r="B2672" t="s">
        <v>3994</v>
      </c>
      <c r="C2672" t="s">
        <v>23</v>
      </c>
      <c r="D2672" t="s">
        <v>24</v>
      </c>
      <c r="E2672" t="s">
        <v>25</v>
      </c>
      <c r="F2672">
        <v>1</v>
      </c>
      <c r="G2672">
        <v>9791136932648</v>
      </c>
      <c r="H2672" t="s">
        <v>32</v>
      </c>
      <c r="I2672" t="s">
        <v>832</v>
      </c>
      <c r="J2672" t="s">
        <v>34</v>
      </c>
      <c r="K2672" t="s">
        <v>29</v>
      </c>
      <c r="L2672">
        <v>0</v>
      </c>
      <c r="M2672" t="s">
        <v>127</v>
      </c>
      <c r="N2672">
        <v>0</v>
      </c>
      <c r="O2672">
        <v>0</v>
      </c>
      <c r="P2672" t="s">
        <v>128</v>
      </c>
      <c r="Q2672" s="2">
        <v>0.7</v>
      </c>
      <c r="R2672">
        <v>0</v>
      </c>
      <c r="V2672" t="str">
        <f>VLOOKUP(H2672,'[1]팀별 출판사'!A:B,2,0)</f>
        <v>소설1팀</v>
      </c>
      <c r="W2672" s="6">
        <f t="shared" si="82"/>
        <v>0</v>
      </c>
      <c r="X2672" s="6">
        <f t="shared" si="83"/>
        <v>0</v>
      </c>
    </row>
    <row r="2673" spans="1:24" x14ac:dyDescent="0.3">
      <c r="A2673" t="s">
        <v>3816</v>
      </c>
      <c r="B2673" t="s">
        <v>3995</v>
      </c>
      <c r="C2673" t="s">
        <v>23</v>
      </c>
      <c r="D2673" t="s">
        <v>24</v>
      </c>
      <c r="E2673" t="s">
        <v>25</v>
      </c>
      <c r="F2673">
        <v>1</v>
      </c>
      <c r="G2673">
        <v>9791136912732</v>
      </c>
      <c r="H2673" t="s">
        <v>26</v>
      </c>
      <c r="I2673" t="s">
        <v>1125</v>
      </c>
      <c r="J2673" t="s">
        <v>256</v>
      </c>
      <c r="K2673" t="s">
        <v>29</v>
      </c>
      <c r="L2673">
        <v>0</v>
      </c>
      <c r="M2673" t="s">
        <v>29</v>
      </c>
      <c r="N2673">
        <v>0</v>
      </c>
      <c r="O2673">
        <v>0</v>
      </c>
      <c r="P2673" t="s">
        <v>30</v>
      </c>
      <c r="Q2673" s="2">
        <v>0.7</v>
      </c>
      <c r="R2673">
        <v>0</v>
      </c>
      <c r="V2673" t="str">
        <f>VLOOKUP(H2673,'[1]팀별 출판사'!A:B,2,0)</f>
        <v>소설1팀</v>
      </c>
      <c r="W2673" s="6">
        <f t="shared" si="82"/>
        <v>0</v>
      </c>
      <c r="X2673" s="6">
        <f t="shared" si="83"/>
        <v>0</v>
      </c>
    </row>
    <row r="2674" spans="1:24" x14ac:dyDescent="0.3">
      <c r="A2674" t="s">
        <v>3816</v>
      </c>
      <c r="B2674" t="s">
        <v>3996</v>
      </c>
      <c r="C2674" t="s">
        <v>23</v>
      </c>
      <c r="D2674" t="s">
        <v>24</v>
      </c>
      <c r="E2674" t="s">
        <v>25</v>
      </c>
      <c r="F2674">
        <v>1</v>
      </c>
      <c r="G2674">
        <v>9791136905666</v>
      </c>
      <c r="H2674" t="s">
        <v>26</v>
      </c>
      <c r="I2674" t="s">
        <v>3997</v>
      </c>
      <c r="J2674" t="s">
        <v>311</v>
      </c>
      <c r="K2674" t="s">
        <v>29</v>
      </c>
      <c r="L2674" s="1">
        <v>3200</v>
      </c>
      <c r="M2674" t="s">
        <v>29</v>
      </c>
      <c r="N2674" s="1">
        <v>3200</v>
      </c>
      <c r="O2674" s="1">
        <v>3200</v>
      </c>
      <c r="P2674" t="s">
        <v>30</v>
      </c>
      <c r="Q2674" s="2">
        <v>0.7</v>
      </c>
      <c r="R2674" s="1">
        <v>2240</v>
      </c>
      <c r="S2674" t="s">
        <v>29</v>
      </c>
      <c r="T2674" s="1">
        <v>2240</v>
      </c>
      <c r="V2674" t="str">
        <f>VLOOKUP(H2674,'[1]팀별 출판사'!A:B,2,0)</f>
        <v>소설1팀</v>
      </c>
      <c r="W2674" s="6">
        <f t="shared" si="82"/>
        <v>0</v>
      </c>
      <c r="X2674" s="6">
        <f t="shared" si="83"/>
        <v>2240</v>
      </c>
    </row>
    <row r="2675" spans="1:24" x14ac:dyDescent="0.3">
      <c r="A2675" t="s">
        <v>3816</v>
      </c>
      <c r="B2675" t="s">
        <v>3998</v>
      </c>
      <c r="C2675" t="s">
        <v>23</v>
      </c>
      <c r="D2675" t="s">
        <v>24</v>
      </c>
      <c r="E2675" t="s">
        <v>25</v>
      </c>
      <c r="F2675">
        <v>1</v>
      </c>
      <c r="G2675">
        <v>9791133171408</v>
      </c>
      <c r="H2675" t="s">
        <v>26</v>
      </c>
      <c r="I2675" t="s">
        <v>1979</v>
      </c>
      <c r="J2675" t="s">
        <v>287</v>
      </c>
      <c r="K2675" t="s">
        <v>29</v>
      </c>
      <c r="L2675">
        <v>0</v>
      </c>
      <c r="M2675" t="s">
        <v>29</v>
      </c>
      <c r="N2675">
        <v>0</v>
      </c>
      <c r="O2675">
        <v>0</v>
      </c>
      <c r="P2675" t="s">
        <v>30</v>
      </c>
      <c r="Q2675" s="2">
        <v>0.7</v>
      </c>
      <c r="R2675">
        <v>0</v>
      </c>
      <c r="V2675" t="str">
        <f>VLOOKUP(H2675,'[1]팀별 출판사'!A:B,2,0)</f>
        <v>소설1팀</v>
      </c>
      <c r="W2675" s="6">
        <f t="shared" si="82"/>
        <v>0</v>
      </c>
      <c r="X2675" s="6">
        <f t="shared" si="83"/>
        <v>0</v>
      </c>
    </row>
    <row r="2676" spans="1:24" x14ac:dyDescent="0.3">
      <c r="A2676" t="s">
        <v>3816</v>
      </c>
      <c r="B2676" t="s">
        <v>3999</v>
      </c>
      <c r="C2676" t="s">
        <v>23</v>
      </c>
      <c r="D2676" t="s">
        <v>24</v>
      </c>
      <c r="E2676" t="s">
        <v>25</v>
      </c>
      <c r="F2676">
        <v>1</v>
      </c>
      <c r="G2676">
        <v>9791136988744</v>
      </c>
      <c r="H2676" t="s">
        <v>26</v>
      </c>
      <c r="I2676" t="s">
        <v>3756</v>
      </c>
      <c r="J2676" t="s">
        <v>28</v>
      </c>
      <c r="K2676" t="s">
        <v>29</v>
      </c>
      <c r="L2676" s="1">
        <v>3200</v>
      </c>
      <c r="M2676" t="s">
        <v>29</v>
      </c>
      <c r="N2676" s="1">
        <v>3200</v>
      </c>
      <c r="O2676" s="1">
        <v>3200</v>
      </c>
      <c r="P2676" t="s">
        <v>30</v>
      </c>
      <c r="Q2676" s="2">
        <v>0.7</v>
      </c>
      <c r="R2676" s="1">
        <v>2240</v>
      </c>
      <c r="S2676" t="s">
        <v>29</v>
      </c>
      <c r="T2676" s="1">
        <v>2240</v>
      </c>
      <c r="V2676" t="str">
        <f>VLOOKUP(H2676,'[1]팀별 출판사'!A:B,2,0)</f>
        <v>소설1팀</v>
      </c>
      <c r="W2676" s="6">
        <f t="shared" si="82"/>
        <v>0</v>
      </c>
      <c r="X2676" s="6">
        <f t="shared" si="83"/>
        <v>2240</v>
      </c>
    </row>
    <row r="2677" spans="1:24" x14ac:dyDescent="0.3">
      <c r="A2677" t="s">
        <v>3816</v>
      </c>
      <c r="B2677" t="s">
        <v>4000</v>
      </c>
      <c r="C2677" t="s">
        <v>23</v>
      </c>
      <c r="D2677" t="s">
        <v>24</v>
      </c>
      <c r="E2677" t="s">
        <v>25</v>
      </c>
      <c r="F2677">
        <v>1</v>
      </c>
      <c r="G2677">
        <v>9791136911155</v>
      </c>
      <c r="H2677" t="s">
        <v>26</v>
      </c>
      <c r="I2677" t="s">
        <v>3145</v>
      </c>
      <c r="J2677" t="s">
        <v>160</v>
      </c>
      <c r="K2677" t="s">
        <v>29</v>
      </c>
      <c r="L2677" s="1">
        <v>3200</v>
      </c>
      <c r="M2677" t="s">
        <v>29</v>
      </c>
      <c r="N2677" s="1">
        <v>3200</v>
      </c>
      <c r="O2677" s="1">
        <v>3200</v>
      </c>
      <c r="P2677" t="s">
        <v>30</v>
      </c>
      <c r="Q2677" s="2">
        <v>0.7</v>
      </c>
      <c r="R2677" s="1">
        <v>2240</v>
      </c>
      <c r="S2677" t="s">
        <v>29</v>
      </c>
      <c r="T2677" s="1">
        <v>2240</v>
      </c>
      <c r="V2677" t="str">
        <f>VLOOKUP(H2677,'[1]팀별 출판사'!A:B,2,0)</f>
        <v>소설1팀</v>
      </c>
      <c r="W2677" s="6">
        <f t="shared" si="82"/>
        <v>0</v>
      </c>
      <c r="X2677" s="6">
        <f t="shared" si="83"/>
        <v>2240</v>
      </c>
    </row>
    <row r="2678" spans="1:24" x14ac:dyDescent="0.3">
      <c r="A2678" t="s">
        <v>3816</v>
      </c>
      <c r="B2678" t="s">
        <v>4001</v>
      </c>
      <c r="C2678" t="s">
        <v>23</v>
      </c>
      <c r="D2678" t="s">
        <v>24</v>
      </c>
      <c r="E2678" t="s">
        <v>25</v>
      </c>
      <c r="F2678">
        <v>1</v>
      </c>
      <c r="G2678">
        <v>9791136944160</v>
      </c>
      <c r="H2678" t="s">
        <v>26</v>
      </c>
      <c r="I2678" t="s">
        <v>3127</v>
      </c>
      <c r="J2678" t="s">
        <v>1692</v>
      </c>
      <c r="K2678" t="s">
        <v>29</v>
      </c>
      <c r="L2678">
        <v>0</v>
      </c>
      <c r="M2678" t="s">
        <v>29</v>
      </c>
      <c r="N2678">
        <v>0</v>
      </c>
      <c r="O2678">
        <v>0</v>
      </c>
      <c r="P2678" t="s">
        <v>30</v>
      </c>
      <c r="Q2678" s="2">
        <v>0.7</v>
      </c>
      <c r="R2678">
        <v>0</v>
      </c>
      <c r="V2678" t="str">
        <f>VLOOKUP(H2678,'[1]팀별 출판사'!A:B,2,0)</f>
        <v>소설1팀</v>
      </c>
      <c r="W2678" s="6">
        <f t="shared" si="82"/>
        <v>0</v>
      </c>
      <c r="X2678" s="6">
        <f t="shared" si="83"/>
        <v>0</v>
      </c>
    </row>
    <row r="2679" spans="1:24" x14ac:dyDescent="0.3">
      <c r="A2679" t="s">
        <v>3816</v>
      </c>
      <c r="B2679" t="s">
        <v>4002</v>
      </c>
      <c r="C2679" t="s">
        <v>23</v>
      </c>
      <c r="D2679" t="s">
        <v>24</v>
      </c>
      <c r="E2679" t="s">
        <v>25</v>
      </c>
      <c r="F2679">
        <v>1</v>
      </c>
      <c r="G2679">
        <v>9791133151943</v>
      </c>
      <c r="H2679" t="s">
        <v>32</v>
      </c>
      <c r="I2679" t="s">
        <v>302</v>
      </c>
      <c r="J2679" t="s">
        <v>51</v>
      </c>
      <c r="K2679" t="s">
        <v>29</v>
      </c>
      <c r="L2679">
        <v>0</v>
      </c>
      <c r="M2679" t="s">
        <v>29</v>
      </c>
      <c r="N2679">
        <v>0</v>
      </c>
      <c r="O2679">
        <v>0</v>
      </c>
      <c r="P2679" t="s">
        <v>30</v>
      </c>
      <c r="Q2679" s="2">
        <v>0.7</v>
      </c>
      <c r="R2679">
        <v>0</v>
      </c>
      <c r="V2679" t="str">
        <f>VLOOKUP(H2679,'[1]팀별 출판사'!A:B,2,0)</f>
        <v>소설1팀</v>
      </c>
      <c r="W2679" s="6">
        <f t="shared" si="82"/>
        <v>0</v>
      </c>
      <c r="X2679" s="6">
        <f t="shared" si="83"/>
        <v>0</v>
      </c>
    </row>
    <row r="2680" spans="1:24" x14ac:dyDescent="0.3">
      <c r="A2680" t="s">
        <v>3816</v>
      </c>
      <c r="B2680" t="s">
        <v>4003</v>
      </c>
      <c r="C2680" t="s">
        <v>23</v>
      </c>
      <c r="D2680" t="s">
        <v>24</v>
      </c>
      <c r="E2680" t="s">
        <v>25</v>
      </c>
      <c r="F2680">
        <v>1</v>
      </c>
      <c r="G2680">
        <v>9791157538034</v>
      </c>
      <c r="H2680" t="s">
        <v>32</v>
      </c>
      <c r="I2680" t="s">
        <v>3297</v>
      </c>
      <c r="J2680" t="s">
        <v>166</v>
      </c>
      <c r="K2680" t="s">
        <v>29</v>
      </c>
      <c r="L2680">
        <v>0</v>
      </c>
      <c r="M2680" t="s">
        <v>29</v>
      </c>
      <c r="N2680">
        <v>0</v>
      </c>
      <c r="O2680">
        <v>0</v>
      </c>
      <c r="P2680" t="s">
        <v>30</v>
      </c>
      <c r="Q2680" s="2">
        <v>0.7</v>
      </c>
      <c r="R2680">
        <v>0</v>
      </c>
      <c r="V2680" t="str">
        <f>VLOOKUP(H2680,'[1]팀별 출판사'!A:B,2,0)</f>
        <v>소설1팀</v>
      </c>
      <c r="W2680" s="6">
        <f t="shared" si="82"/>
        <v>0</v>
      </c>
      <c r="X2680" s="6">
        <f t="shared" si="83"/>
        <v>0</v>
      </c>
    </row>
    <row r="2681" spans="1:24" x14ac:dyDescent="0.3">
      <c r="A2681" t="s">
        <v>3816</v>
      </c>
      <c r="B2681" t="s">
        <v>4004</v>
      </c>
      <c r="C2681" t="s">
        <v>23</v>
      </c>
      <c r="D2681" t="s">
        <v>24</v>
      </c>
      <c r="E2681" t="s">
        <v>25</v>
      </c>
      <c r="F2681">
        <v>1</v>
      </c>
      <c r="G2681">
        <v>9791136927248</v>
      </c>
      <c r="H2681" t="s">
        <v>36</v>
      </c>
      <c r="I2681" t="s">
        <v>2320</v>
      </c>
      <c r="J2681" t="s">
        <v>38</v>
      </c>
      <c r="K2681" t="s">
        <v>29</v>
      </c>
      <c r="L2681" s="1">
        <v>3300</v>
      </c>
      <c r="M2681" t="s">
        <v>1181</v>
      </c>
      <c r="N2681">
        <v>72</v>
      </c>
      <c r="O2681">
        <v>72</v>
      </c>
      <c r="P2681" t="s">
        <v>1182</v>
      </c>
      <c r="Q2681" s="2">
        <v>0.7</v>
      </c>
      <c r="R2681">
        <v>50.4</v>
      </c>
      <c r="S2681" t="s">
        <v>29</v>
      </c>
      <c r="T2681" s="1">
        <v>2344</v>
      </c>
      <c r="U2681">
        <v>46.337449999999997</v>
      </c>
      <c r="V2681" t="str">
        <f>VLOOKUP(H2681,'[1]팀별 출판사'!A:B,2,0)</f>
        <v>소설2팀</v>
      </c>
      <c r="W2681" s="6">
        <f t="shared" si="82"/>
        <v>0</v>
      </c>
      <c r="X2681" s="6">
        <f t="shared" si="83"/>
        <v>2344</v>
      </c>
    </row>
    <row r="2682" spans="1:24" x14ac:dyDescent="0.3">
      <c r="A2682" t="s">
        <v>3816</v>
      </c>
      <c r="B2682" t="s">
        <v>4005</v>
      </c>
      <c r="C2682" t="s">
        <v>23</v>
      </c>
      <c r="D2682" t="s">
        <v>24</v>
      </c>
      <c r="E2682" t="s">
        <v>25</v>
      </c>
      <c r="F2682">
        <v>1</v>
      </c>
      <c r="G2682">
        <v>9791172925802</v>
      </c>
      <c r="H2682" t="s">
        <v>26</v>
      </c>
      <c r="I2682" t="s">
        <v>4006</v>
      </c>
      <c r="J2682" t="s">
        <v>937</v>
      </c>
      <c r="K2682" t="s">
        <v>29</v>
      </c>
      <c r="L2682" s="1">
        <v>3200</v>
      </c>
      <c r="M2682" t="s">
        <v>29</v>
      </c>
      <c r="N2682" s="1">
        <v>3200</v>
      </c>
      <c r="O2682" s="1">
        <v>3200</v>
      </c>
      <c r="P2682" t="s">
        <v>30</v>
      </c>
      <c r="Q2682" s="2">
        <v>0.7</v>
      </c>
      <c r="R2682" s="1">
        <v>2240</v>
      </c>
      <c r="S2682" t="s">
        <v>29</v>
      </c>
      <c r="T2682" s="1">
        <v>2240</v>
      </c>
      <c r="V2682" t="str">
        <f>VLOOKUP(H2682,'[1]팀별 출판사'!A:B,2,0)</f>
        <v>소설1팀</v>
      </c>
      <c r="W2682" s="6">
        <f t="shared" si="82"/>
        <v>0</v>
      </c>
      <c r="X2682" s="6">
        <f t="shared" si="83"/>
        <v>2240</v>
      </c>
    </row>
    <row r="2683" spans="1:24" x14ac:dyDescent="0.3">
      <c r="A2683" t="s">
        <v>3816</v>
      </c>
      <c r="B2683" t="s">
        <v>4007</v>
      </c>
      <c r="C2683" t="s">
        <v>23</v>
      </c>
      <c r="D2683" t="s">
        <v>24</v>
      </c>
      <c r="E2683" t="s">
        <v>25</v>
      </c>
      <c r="F2683">
        <v>1</v>
      </c>
      <c r="G2683">
        <v>9791172924850</v>
      </c>
      <c r="H2683" t="s">
        <v>26</v>
      </c>
      <c r="I2683" t="s">
        <v>61</v>
      </c>
      <c r="J2683" t="s">
        <v>62</v>
      </c>
      <c r="K2683" t="s">
        <v>29</v>
      </c>
      <c r="L2683">
        <v>0</v>
      </c>
      <c r="M2683" t="s">
        <v>29</v>
      </c>
      <c r="N2683">
        <v>0</v>
      </c>
      <c r="O2683">
        <v>0</v>
      </c>
      <c r="P2683" t="s">
        <v>30</v>
      </c>
      <c r="Q2683" s="2">
        <v>0.7</v>
      </c>
      <c r="R2683">
        <v>0</v>
      </c>
      <c r="V2683" t="str">
        <f>VLOOKUP(H2683,'[1]팀별 출판사'!A:B,2,0)</f>
        <v>소설1팀</v>
      </c>
      <c r="W2683" s="6">
        <f t="shared" si="82"/>
        <v>0</v>
      </c>
      <c r="X2683" s="6">
        <f t="shared" si="83"/>
        <v>0</v>
      </c>
    </row>
    <row r="2684" spans="1:24" x14ac:dyDescent="0.3">
      <c r="A2684" t="s">
        <v>3816</v>
      </c>
      <c r="B2684" t="s">
        <v>4008</v>
      </c>
      <c r="C2684" t="s">
        <v>23</v>
      </c>
      <c r="D2684" t="s">
        <v>24</v>
      </c>
      <c r="E2684" t="s">
        <v>25</v>
      </c>
      <c r="F2684">
        <v>1</v>
      </c>
      <c r="G2684">
        <v>9791136927255</v>
      </c>
      <c r="H2684" t="s">
        <v>36</v>
      </c>
      <c r="I2684" t="s">
        <v>90</v>
      </c>
      <c r="J2684" t="s">
        <v>38</v>
      </c>
      <c r="K2684" t="s">
        <v>29</v>
      </c>
      <c r="L2684" s="1">
        <v>3300</v>
      </c>
      <c r="M2684" t="s">
        <v>1181</v>
      </c>
      <c r="N2684">
        <v>72</v>
      </c>
      <c r="O2684">
        <v>72</v>
      </c>
      <c r="P2684" t="s">
        <v>1182</v>
      </c>
      <c r="Q2684" s="2">
        <v>0.7</v>
      </c>
      <c r="R2684">
        <v>50.4</v>
      </c>
      <c r="S2684" t="s">
        <v>29</v>
      </c>
      <c r="T2684" s="1">
        <v>2339</v>
      </c>
      <c r="U2684">
        <v>46.337449999999997</v>
      </c>
      <c r="V2684" t="str">
        <f>VLOOKUP(H2684,'[1]팀별 출판사'!A:B,2,0)</f>
        <v>소설2팀</v>
      </c>
      <c r="W2684" s="6">
        <f t="shared" si="82"/>
        <v>0</v>
      </c>
      <c r="X2684" s="6">
        <f t="shared" si="83"/>
        <v>2339</v>
      </c>
    </row>
    <row r="2685" spans="1:24" x14ac:dyDescent="0.3">
      <c r="A2685" t="s">
        <v>3816</v>
      </c>
      <c r="B2685" t="s">
        <v>4009</v>
      </c>
      <c r="C2685" t="s">
        <v>23</v>
      </c>
      <c r="D2685" t="s">
        <v>24</v>
      </c>
      <c r="E2685" t="s">
        <v>25</v>
      </c>
      <c r="F2685">
        <v>1</v>
      </c>
      <c r="G2685">
        <v>9791170108580</v>
      </c>
      <c r="H2685" t="s">
        <v>67</v>
      </c>
      <c r="I2685" t="s">
        <v>4010</v>
      </c>
      <c r="J2685" t="s">
        <v>2424</v>
      </c>
      <c r="K2685" t="s">
        <v>29</v>
      </c>
      <c r="L2685">
        <v>0</v>
      </c>
      <c r="M2685" t="s">
        <v>1379</v>
      </c>
      <c r="N2685">
        <v>0</v>
      </c>
      <c r="O2685">
        <v>0</v>
      </c>
      <c r="P2685" t="s">
        <v>1380</v>
      </c>
      <c r="Q2685" s="2">
        <v>0.7</v>
      </c>
      <c r="R2685">
        <v>0</v>
      </c>
      <c r="V2685" t="str">
        <f>VLOOKUP(H2685,'[1]팀별 출판사'!A:B,2,0)</f>
        <v>소설1팀</v>
      </c>
      <c r="W2685" s="6">
        <f t="shared" si="82"/>
        <v>0</v>
      </c>
      <c r="X2685" s="6">
        <f t="shared" si="83"/>
        <v>0</v>
      </c>
    </row>
    <row r="2686" spans="1:24" x14ac:dyDescent="0.3">
      <c r="A2686" t="s">
        <v>3816</v>
      </c>
      <c r="B2686" t="s">
        <v>4011</v>
      </c>
      <c r="C2686" t="s">
        <v>23</v>
      </c>
      <c r="D2686" t="s">
        <v>24</v>
      </c>
      <c r="E2686" t="s">
        <v>25</v>
      </c>
      <c r="F2686">
        <v>1</v>
      </c>
      <c r="G2686">
        <v>9791133143825</v>
      </c>
      <c r="H2686" t="s">
        <v>32</v>
      </c>
      <c r="I2686" t="s">
        <v>2224</v>
      </c>
      <c r="J2686" t="s">
        <v>88</v>
      </c>
      <c r="K2686" t="s">
        <v>29</v>
      </c>
      <c r="L2686" s="1">
        <v>3200</v>
      </c>
      <c r="M2686" t="s">
        <v>29</v>
      </c>
      <c r="N2686" s="1">
        <v>3200</v>
      </c>
      <c r="O2686" s="1">
        <v>3200</v>
      </c>
      <c r="P2686" t="s">
        <v>30</v>
      </c>
      <c r="Q2686" s="2">
        <v>0.7</v>
      </c>
      <c r="R2686" s="1">
        <v>2240</v>
      </c>
      <c r="S2686" t="s">
        <v>29</v>
      </c>
      <c r="T2686" s="1">
        <v>2240</v>
      </c>
      <c r="V2686" t="str">
        <f>VLOOKUP(H2686,'[1]팀별 출판사'!A:B,2,0)</f>
        <v>소설1팀</v>
      </c>
      <c r="W2686" s="6">
        <f t="shared" si="82"/>
        <v>0</v>
      </c>
      <c r="X2686" s="6">
        <f t="shared" si="83"/>
        <v>2240</v>
      </c>
    </row>
    <row r="2687" spans="1:24" x14ac:dyDescent="0.3">
      <c r="A2687" t="s">
        <v>3816</v>
      </c>
      <c r="B2687" t="s">
        <v>4012</v>
      </c>
      <c r="C2687" t="s">
        <v>23</v>
      </c>
      <c r="D2687" t="s">
        <v>24</v>
      </c>
      <c r="E2687" t="s">
        <v>25</v>
      </c>
      <c r="F2687">
        <v>1</v>
      </c>
      <c r="G2687">
        <v>9791133189052</v>
      </c>
      <c r="H2687" t="s">
        <v>26</v>
      </c>
      <c r="I2687" t="s">
        <v>4013</v>
      </c>
      <c r="J2687" t="s">
        <v>908</v>
      </c>
      <c r="K2687" t="s">
        <v>29</v>
      </c>
      <c r="L2687" s="1">
        <v>3200</v>
      </c>
      <c r="M2687" t="s">
        <v>29</v>
      </c>
      <c r="N2687" s="1">
        <v>3200</v>
      </c>
      <c r="O2687" s="1">
        <v>3200</v>
      </c>
      <c r="P2687" t="s">
        <v>30</v>
      </c>
      <c r="Q2687" s="2">
        <v>0.7</v>
      </c>
      <c r="R2687" s="1">
        <v>2240</v>
      </c>
      <c r="S2687" t="s">
        <v>29</v>
      </c>
      <c r="T2687" s="1">
        <v>2240</v>
      </c>
      <c r="V2687" t="str">
        <f>VLOOKUP(H2687,'[1]팀별 출판사'!A:B,2,0)</f>
        <v>소설1팀</v>
      </c>
      <c r="W2687" s="6">
        <f t="shared" si="82"/>
        <v>0</v>
      </c>
      <c r="X2687" s="6">
        <f t="shared" si="83"/>
        <v>2240</v>
      </c>
    </row>
    <row r="2688" spans="1:24" x14ac:dyDescent="0.3">
      <c r="A2688" t="s">
        <v>3816</v>
      </c>
      <c r="B2688" t="s">
        <v>4014</v>
      </c>
      <c r="C2688" t="s">
        <v>23</v>
      </c>
      <c r="D2688" t="s">
        <v>24</v>
      </c>
      <c r="E2688" t="s">
        <v>25</v>
      </c>
      <c r="F2688">
        <v>1</v>
      </c>
      <c r="G2688">
        <v>9791136941862</v>
      </c>
      <c r="H2688" t="s">
        <v>26</v>
      </c>
      <c r="I2688" t="s">
        <v>894</v>
      </c>
      <c r="J2688" t="s">
        <v>81</v>
      </c>
      <c r="K2688" t="s">
        <v>29</v>
      </c>
      <c r="L2688">
        <v>0</v>
      </c>
      <c r="M2688" t="s">
        <v>29</v>
      </c>
      <c r="N2688">
        <v>0</v>
      </c>
      <c r="O2688">
        <v>0</v>
      </c>
      <c r="P2688" t="s">
        <v>30</v>
      </c>
      <c r="Q2688" s="2">
        <v>0.7</v>
      </c>
      <c r="R2688">
        <v>0</v>
      </c>
      <c r="V2688" t="str">
        <f>VLOOKUP(H2688,'[1]팀별 출판사'!A:B,2,0)</f>
        <v>소설1팀</v>
      </c>
      <c r="W2688" s="6">
        <f t="shared" si="82"/>
        <v>0</v>
      </c>
      <c r="X2688" s="6">
        <f t="shared" si="83"/>
        <v>0</v>
      </c>
    </row>
    <row r="2689" spans="1:24" x14ac:dyDescent="0.3">
      <c r="A2689" t="s">
        <v>3816</v>
      </c>
      <c r="B2689" t="s">
        <v>4015</v>
      </c>
      <c r="C2689" t="s">
        <v>23</v>
      </c>
      <c r="D2689" t="s">
        <v>24</v>
      </c>
      <c r="E2689" t="s">
        <v>25</v>
      </c>
      <c r="F2689">
        <v>1</v>
      </c>
      <c r="G2689">
        <v>9791157532735</v>
      </c>
      <c r="H2689" t="s">
        <v>32</v>
      </c>
      <c r="I2689" t="s">
        <v>1166</v>
      </c>
      <c r="J2689" t="s">
        <v>187</v>
      </c>
      <c r="K2689" t="s">
        <v>29</v>
      </c>
      <c r="L2689">
        <v>0</v>
      </c>
      <c r="M2689" t="s">
        <v>29</v>
      </c>
      <c r="N2689">
        <v>0</v>
      </c>
      <c r="O2689">
        <v>0</v>
      </c>
      <c r="P2689" t="s">
        <v>30</v>
      </c>
      <c r="Q2689" s="2">
        <v>0.7</v>
      </c>
      <c r="R2689">
        <v>0</v>
      </c>
      <c r="V2689" t="str">
        <f>VLOOKUP(H2689,'[1]팀별 출판사'!A:B,2,0)</f>
        <v>소설1팀</v>
      </c>
      <c r="W2689" s="6">
        <f t="shared" si="82"/>
        <v>0</v>
      </c>
      <c r="X2689" s="6">
        <f t="shared" si="83"/>
        <v>0</v>
      </c>
    </row>
    <row r="2690" spans="1:24" x14ac:dyDescent="0.3">
      <c r="A2690" t="s">
        <v>3816</v>
      </c>
      <c r="B2690" t="s">
        <v>4016</v>
      </c>
      <c r="C2690" t="s">
        <v>23</v>
      </c>
      <c r="D2690" t="s">
        <v>24</v>
      </c>
      <c r="E2690" t="s">
        <v>25</v>
      </c>
      <c r="F2690">
        <v>1</v>
      </c>
      <c r="G2690">
        <v>9791136932594</v>
      </c>
      <c r="H2690" t="s">
        <v>32</v>
      </c>
      <c r="I2690" t="s">
        <v>2808</v>
      </c>
      <c r="J2690" t="s">
        <v>1082</v>
      </c>
      <c r="K2690" t="s">
        <v>29</v>
      </c>
      <c r="L2690">
        <v>0</v>
      </c>
      <c r="M2690" t="s">
        <v>29</v>
      </c>
      <c r="N2690">
        <v>0</v>
      </c>
      <c r="O2690">
        <v>0</v>
      </c>
      <c r="P2690" t="s">
        <v>30</v>
      </c>
      <c r="Q2690" s="2">
        <v>0.7</v>
      </c>
      <c r="R2690">
        <v>0</v>
      </c>
      <c r="V2690" t="str">
        <f>VLOOKUP(H2690,'[1]팀별 출판사'!A:B,2,0)</f>
        <v>소설1팀</v>
      </c>
      <c r="W2690" s="6">
        <f t="shared" ref="W2690:W2753" si="84">IF(P2690="US", T2690*30%, 0)</f>
        <v>0</v>
      </c>
      <c r="X2690" s="6">
        <f t="shared" ref="X2690:X2753" si="85">T2690-W2690</f>
        <v>0</v>
      </c>
    </row>
    <row r="2691" spans="1:24" x14ac:dyDescent="0.3">
      <c r="A2691" t="s">
        <v>3816</v>
      </c>
      <c r="B2691" t="s">
        <v>4017</v>
      </c>
      <c r="C2691" t="s">
        <v>23</v>
      </c>
      <c r="D2691" t="s">
        <v>24</v>
      </c>
      <c r="E2691" t="s">
        <v>25</v>
      </c>
      <c r="F2691">
        <v>1</v>
      </c>
      <c r="G2691">
        <v>9791133105441</v>
      </c>
      <c r="H2691" t="s">
        <v>32</v>
      </c>
      <c r="I2691" t="s">
        <v>116</v>
      </c>
      <c r="J2691" t="s">
        <v>88</v>
      </c>
      <c r="K2691" t="s">
        <v>29</v>
      </c>
      <c r="L2691">
        <v>0</v>
      </c>
      <c r="M2691" t="s">
        <v>362</v>
      </c>
      <c r="N2691">
        <v>0</v>
      </c>
      <c r="O2691">
        <v>0</v>
      </c>
      <c r="P2691" t="s">
        <v>363</v>
      </c>
      <c r="Q2691" s="2">
        <v>0.7</v>
      </c>
      <c r="R2691">
        <v>0</v>
      </c>
      <c r="V2691" t="str">
        <f>VLOOKUP(H2691,'[1]팀별 출판사'!A:B,2,0)</f>
        <v>소설1팀</v>
      </c>
      <c r="W2691" s="6">
        <f t="shared" si="84"/>
        <v>0</v>
      </c>
      <c r="X2691" s="6">
        <f t="shared" si="85"/>
        <v>0</v>
      </c>
    </row>
    <row r="2692" spans="1:24" x14ac:dyDescent="0.3">
      <c r="A2692" t="s">
        <v>3816</v>
      </c>
      <c r="B2692" t="s">
        <v>4018</v>
      </c>
      <c r="C2692" t="s">
        <v>23</v>
      </c>
      <c r="D2692" t="s">
        <v>24</v>
      </c>
      <c r="E2692" t="s">
        <v>25</v>
      </c>
      <c r="F2692">
        <v>1</v>
      </c>
      <c r="G2692">
        <v>9791136941909</v>
      </c>
      <c r="H2692" t="s">
        <v>26</v>
      </c>
      <c r="I2692" t="s">
        <v>2683</v>
      </c>
      <c r="J2692" t="s">
        <v>81</v>
      </c>
      <c r="K2692" t="s">
        <v>29</v>
      </c>
      <c r="L2692" s="1">
        <v>3200</v>
      </c>
      <c r="M2692" t="s">
        <v>70</v>
      </c>
      <c r="N2692">
        <v>2.2200000000000002</v>
      </c>
      <c r="O2692">
        <v>2.2200000000000002</v>
      </c>
      <c r="P2692" t="s">
        <v>71</v>
      </c>
      <c r="Q2692" s="2">
        <v>0.7</v>
      </c>
      <c r="R2692">
        <v>1.55</v>
      </c>
      <c r="S2692" t="s">
        <v>29</v>
      </c>
      <c r="T2692" s="1">
        <v>2249</v>
      </c>
      <c r="U2692" s="3">
        <v>1448.1763800000001</v>
      </c>
      <c r="V2692" t="str">
        <f>VLOOKUP(H2692,'[1]팀별 출판사'!A:B,2,0)</f>
        <v>소설1팀</v>
      </c>
      <c r="W2692" s="6">
        <f t="shared" si="84"/>
        <v>674.69999999999993</v>
      </c>
      <c r="X2692" s="6">
        <f t="shared" si="85"/>
        <v>1574.3000000000002</v>
      </c>
    </row>
    <row r="2693" spans="1:24" x14ac:dyDescent="0.3">
      <c r="A2693" t="s">
        <v>3816</v>
      </c>
      <c r="B2693" t="s">
        <v>4019</v>
      </c>
      <c r="C2693" t="s">
        <v>23</v>
      </c>
      <c r="D2693" t="s">
        <v>24</v>
      </c>
      <c r="E2693" t="s">
        <v>25</v>
      </c>
      <c r="F2693">
        <v>1</v>
      </c>
      <c r="G2693">
        <v>9791136941916</v>
      </c>
      <c r="H2693" t="s">
        <v>26</v>
      </c>
      <c r="I2693" t="s">
        <v>2701</v>
      </c>
      <c r="J2693" t="s">
        <v>81</v>
      </c>
      <c r="K2693" t="s">
        <v>29</v>
      </c>
      <c r="L2693" s="1">
        <v>3200</v>
      </c>
      <c r="M2693" t="s">
        <v>70</v>
      </c>
      <c r="N2693">
        <v>2.2200000000000002</v>
      </c>
      <c r="O2693">
        <v>2.2200000000000002</v>
      </c>
      <c r="P2693" t="s">
        <v>71</v>
      </c>
      <c r="Q2693" s="2">
        <v>0.7</v>
      </c>
      <c r="R2693">
        <v>1.55</v>
      </c>
      <c r="S2693" t="s">
        <v>29</v>
      </c>
      <c r="T2693" s="1">
        <v>2250</v>
      </c>
      <c r="U2693" s="3">
        <v>1448.1763800000001</v>
      </c>
      <c r="V2693" t="str">
        <f>VLOOKUP(H2693,'[1]팀별 출판사'!A:B,2,0)</f>
        <v>소설1팀</v>
      </c>
      <c r="W2693" s="6">
        <f t="shared" si="84"/>
        <v>675</v>
      </c>
      <c r="X2693" s="6">
        <f t="shared" si="85"/>
        <v>1575</v>
      </c>
    </row>
    <row r="2694" spans="1:24" x14ac:dyDescent="0.3">
      <c r="A2694" t="s">
        <v>3816</v>
      </c>
      <c r="B2694" t="s">
        <v>4020</v>
      </c>
      <c r="C2694" t="s">
        <v>23</v>
      </c>
      <c r="D2694" t="s">
        <v>24</v>
      </c>
      <c r="E2694" t="s">
        <v>25</v>
      </c>
      <c r="F2694">
        <v>1</v>
      </c>
      <c r="G2694">
        <v>9791136930491</v>
      </c>
      <c r="H2694" t="s">
        <v>26</v>
      </c>
      <c r="I2694" t="s">
        <v>151</v>
      </c>
      <c r="J2694" t="s">
        <v>46</v>
      </c>
      <c r="K2694" t="s">
        <v>29</v>
      </c>
      <c r="L2694">
        <v>0</v>
      </c>
      <c r="M2694" t="s">
        <v>47</v>
      </c>
      <c r="N2694">
        <v>0</v>
      </c>
      <c r="O2694">
        <v>0</v>
      </c>
      <c r="P2694" t="s">
        <v>48</v>
      </c>
      <c r="Q2694" s="2">
        <v>0.7</v>
      </c>
      <c r="R2694">
        <v>0</v>
      </c>
      <c r="V2694" t="str">
        <f>VLOOKUP(H2694,'[1]팀별 출판사'!A:B,2,0)</f>
        <v>소설1팀</v>
      </c>
      <c r="W2694" s="6">
        <f t="shared" si="84"/>
        <v>0</v>
      </c>
      <c r="X2694" s="6">
        <f t="shared" si="85"/>
        <v>0</v>
      </c>
    </row>
    <row r="2695" spans="1:24" x14ac:dyDescent="0.3">
      <c r="A2695" t="s">
        <v>3816</v>
      </c>
      <c r="B2695" t="s">
        <v>4021</v>
      </c>
      <c r="C2695" t="s">
        <v>23</v>
      </c>
      <c r="D2695" t="s">
        <v>24</v>
      </c>
      <c r="E2695" t="s">
        <v>25</v>
      </c>
      <c r="F2695">
        <v>1</v>
      </c>
      <c r="G2695">
        <v>9791136931382</v>
      </c>
      <c r="H2695" t="s">
        <v>32</v>
      </c>
      <c r="I2695" t="s">
        <v>523</v>
      </c>
      <c r="J2695" t="s">
        <v>46</v>
      </c>
      <c r="K2695" t="s">
        <v>29</v>
      </c>
      <c r="L2695">
        <v>0</v>
      </c>
      <c r="M2695" t="s">
        <v>47</v>
      </c>
      <c r="N2695">
        <v>0</v>
      </c>
      <c r="O2695">
        <v>0</v>
      </c>
      <c r="P2695" t="s">
        <v>48</v>
      </c>
      <c r="Q2695" s="2">
        <v>0.7</v>
      </c>
      <c r="R2695">
        <v>0</v>
      </c>
      <c r="V2695" t="str">
        <f>VLOOKUP(H2695,'[1]팀별 출판사'!A:B,2,0)</f>
        <v>소설1팀</v>
      </c>
      <c r="W2695" s="6">
        <f t="shared" si="84"/>
        <v>0</v>
      </c>
      <c r="X2695" s="6">
        <f t="shared" si="85"/>
        <v>0</v>
      </c>
    </row>
    <row r="2696" spans="1:24" x14ac:dyDescent="0.3">
      <c r="A2696" t="s">
        <v>3816</v>
      </c>
      <c r="B2696" t="s">
        <v>4022</v>
      </c>
      <c r="C2696" t="s">
        <v>23</v>
      </c>
      <c r="D2696" t="s">
        <v>24</v>
      </c>
      <c r="E2696" t="s">
        <v>25</v>
      </c>
      <c r="F2696">
        <v>1</v>
      </c>
      <c r="G2696">
        <v>9791136931375</v>
      </c>
      <c r="H2696" t="s">
        <v>32</v>
      </c>
      <c r="I2696" t="s">
        <v>189</v>
      </c>
      <c r="J2696" t="s">
        <v>46</v>
      </c>
      <c r="K2696" t="s">
        <v>29</v>
      </c>
      <c r="L2696">
        <v>0</v>
      </c>
      <c r="M2696" t="s">
        <v>47</v>
      </c>
      <c r="N2696">
        <v>0</v>
      </c>
      <c r="O2696">
        <v>0</v>
      </c>
      <c r="P2696" t="s">
        <v>48</v>
      </c>
      <c r="Q2696" s="2">
        <v>0.7</v>
      </c>
      <c r="R2696">
        <v>0</v>
      </c>
      <c r="V2696" t="str">
        <f>VLOOKUP(H2696,'[1]팀별 출판사'!A:B,2,0)</f>
        <v>소설1팀</v>
      </c>
      <c r="W2696" s="6">
        <f t="shared" si="84"/>
        <v>0</v>
      </c>
      <c r="X2696" s="6">
        <f t="shared" si="85"/>
        <v>0</v>
      </c>
    </row>
    <row r="2697" spans="1:24" x14ac:dyDescent="0.3">
      <c r="A2697" t="s">
        <v>3816</v>
      </c>
      <c r="B2697" t="s">
        <v>4023</v>
      </c>
      <c r="C2697" t="s">
        <v>23</v>
      </c>
      <c r="D2697" t="s">
        <v>24</v>
      </c>
      <c r="E2697" t="s">
        <v>25</v>
      </c>
      <c r="F2697">
        <v>1</v>
      </c>
      <c r="G2697">
        <v>9791136930224</v>
      </c>
      <c r="H2697" t="s">
        <v>32</v>
      </c>
      <c r="I2697" t="s">
        <v>172</v>
      </c>
      <c r="J2697" t="s">
        <v>46</v>
      </c>
      <c r="K2697" t="s">
        <v>29</v>
      </c>
      <c r="L2697">
        <v>0</v>
      </c>
      <c r="M2697" t="s">
        <v>47</v>
      </c>
      <c r="N2697">
        <v>0</v>
      </c>
      <c r="O2697">
        <v>0</v>
      </c>
      <c r="P2697" t="s">
        <v>48</v>
      </c>
      <c r="Q2697" s="2">
        <v>0.7</v>
      </c>
      <c r="R2697">
        <v>0</v>
      </c>
      <c r="V2697" t="str">
        <f>VLOOKUP(H2697,'[1]팀별 출판사'!A:B,2,0)</f>
        <v>소설1팀</v>
      </c>
      <c r="W2697" s="6">
        <f t="shared" si="84"/>
        <v>0</v>
      </c>
      <c r="X2697" s="6">
        <f t="shared" si="85"/>
        <v>0</v>
      </c>
    </row>
    <row r="2698" spans="1:24" x14ac:dyDescent="0.3">
      <c r="A2698" t="s">
        <v>3816</v>
      </c>
      <c r="B2698" t="s">
        <v>4024</v>
      </c>
      <c r="C2698" t="s">
        <v>23</v>
      </c>
      <c r="D2698" t="s">
        <v>24</v>
      </c>
      <c r="E2698" t="s">
        <v>25</v>
      </c>
      <c r="F2698">
        <v>1</v>
      </c>
      <c r="G2698">
        <v>9791136931399</v>
      </c>
      <c r="H2698" t="s">
        <v>32</v>
      </c>
      <c r="I2698" t="s">
        <v>482</v>
      </c>
      <c r="J2698" t="s">
        <v>46</v>
      </c>
      <c r="K2698" t="s">
        <v>29</v>
      </c>
      <c r="L2698">
        <v>0</v>
      </c>
      <c r="M2698" t="s">
        <v>47</v>
      </c>
      <c r="N2698">
        <v>0</v>
      </c>
      <c r="O2698">
        <v>0</v>
      </c>
      <c r="P2698" t="s">
        <v>48</v>
      </c>
      <c r="Q2698" s="2">
        <v>0.7</v>
      </c>
      <c r="R2698">
        <v>0</v>
      </c>
      <c r="V2698" t="str">
        <f>VLOOKUP(H2698,'[1]팀별 출판사'!A:B,2,0)</f>
        <v>소설1팀</v>
      </c>
      <c r="W2698" s="6">
        <f t="shared" si="84"/>
        <v>0</v>
      </c>
      <c r="X2698" s="6">
        <f t="shared" si="85"/>
        <v>0</v>
      </c>
    </row>
    <row r="2699" spans="1:24" x14ac:dyDescent="0.3">
      <c r="A2699" t="s">
        <v>3816</v>
      </c>
      <c r="B2699" t="s">
        <v>4025</v>
      </c>
      <c r="C2699" t="s">
        <v>23</v>
      </c>
      <c r="D2699" t="s">
        <v>24</v>
      </c>
      <c r="E2699" t="s">
        <v>25</v>
      </c>
      <c r="F2699">
        <v>1</v>
      </c>
      <c r="G2699">
        <v>9791172921033</v>
      </c>
      <c r="H2699" t="s">
        <v>79</v>
      </c>
      <c r="I2699" t="s">
        <v>738</v>
      </c>
      <c r="J2699" t="s">
        <v>46</v>
      </c>
      <c r="K2699" t="s">
        <v>29</v>
      </c>
      <c r="L2699">
        <v>0</v>
      </c>
      <c r="M2699" t="s">
        <v>47</v>
      </c>
      <c r="N2699">
        <v>0</v>
      </c>
      <c r="O2699">
        <v>0</v>
      </c>
      <c r="P2699" t="s">
        <v>48</v>
      </c>
      <c r="Q2699" s="2">
        <v>0.7</v>
      </c>
      <c r="R2699">
        <v>0</v>
      </c>
      <c r="V2699" t="str">
        <f>VLOOKUP(H2699,'[1]팀별 출판사'!A:B,2,0)</f>
        <v>소설1팀</v>
      </c>
      <c r="W2699" s="6">
        <f t="shared" si="84"/>
        <v>0</v>
      </c>
      <c r="X2699" s="6">
        <f t="shared" si="85"/>
        <v>0</v>
      </c>
    </row>
    <row r="2700" spans="1:24" x14ac:dyDescent="0.3">
      <c r="A2700" t="s">
        <v>3816</v>
      </c>
      <c r="B2700" t="s">
        <v>4026</v>
      </c>
      <c r="C2700" t="s">
        <v>23</v>
      </c>
      <c r="D2700" t="s">
        <v>24</v>
      </c>
      <c r="E2700" t="s">
        <v>25</v>
      </c>
      <c r="F2700">
        <v>1</v>
      </c>
      <c r="G2700">
        <v>9791133158683</v>
      </c>
      <c r="H2700" t="s">
        <v>32</v>
      </c>
      <c r="I2700" t="s">
        <v>2451</v>
      </c>
      <c r="J2700" t="s">
        <v>2452</v>
      </c>
      <c r="K2700" t="s">
        <v>29</v>
      </c>
      <c r="L2700">
        <v>0</v>
      </c>
      <c r="M2700" t="s">
        <v>29</v>
      </c>
      <c r="N2700">
        <v>0</v>
      </c>
      <c r="O2700">
        <v>0</v>
      </c>
      <c r="P2700" t="s">
        <v>30</v>
      </c>
      <c r="Q2700" s="2">
        <v>0.7</v>
      </c>
      <c r="R2700">
        <v>0</v>
      </c>
      <c r="V2700" t="str">
        <f>VLOOKUP(H2700,'[1]팀별 출판사'!A:B,2,0)</f>
        <v>소설1팀</v>
      </c>
      <c r="W2700" s="6">
        <f t="shared" si="84"/>
        <v>0</v>
      </c>
      <c r="X2700" s="6">
        <f t="shared" si="85"/>
        <v>0</v>
      </c>
    </row>
    <row r="2701" spans="1:24" x14ac:dyDescent="0.3">
      <c r="A2701" t="s">
        <v>3816</v>
      </c>
      <c r="B2701" t="s">
        <v>4027</v>
      </c>
      <c r="C2701" t="s">
        <v>23</v>
      </c>
      <c r="D2701" t="s">
        <v>24</v>
      </c>
      <c r="E2701" t="s">
        <v>25</v>
      </c>
      <c r="F2701">
        <v>1</v>
      </c>
      <c r="G2701">
        <v>9791172921033</v>
      </c>
      <c r="H2701" t="s">
        <v>79</v>
      </c>
      <c r="I2701" t="s">
        <v>738</v>
      </c>
      <c r="J2701" t="s">
        <v>46</v>
      </c>
      <c r="K2701" t="s">
        <v>29</v>
      </c>
      <c r="L2701">
        <v>0</v>
      </c>
      <c r="M2701" t="s">
        <v>29</v>
      </c>
      <c r="N2701">
        <v>0</v>
      </c>
      <c r="O2701">
        <v>0</v>
      </c>
      <c r="P2701" t="s">
        <v>30</v>
      </c>
      <c r="Q2701" s="2">
        <v>0.7</v>
      </c>
      <c r="R2701">
        <v>0</v>
      </c>
      <c r="V2701" t="str">
        <f>VLOOKUP(H2701,'[1]팀별 출판사'!A:B,2,0)</f>
        <v>소설1팀</v>
      </c>
      <c r="W2701" s="6">
        <f t="shared" si="84"/>
        <v>0</v>
      </c>
      <c r="X2701" s="6">
        <f t="shared" si="85"/>
        <v>0</v>
      </c>
    </row>
    <row r="2702" spans="1:24" x14ac:dyDescent="0.3">
      <c r="A2702" t="s">
        <v>3816</v>
      </c>
      <c r="B2702" t="s">
        <v>4028</v>
      </c>
      <c r="C2702" t="s">
        <v>23</v>
      </c>
      <c r="D2702" t="s">
        <v>24</v>
      </c>
      <c r="E2702" t="s">
        <v>25</v>
      </c>
      <c r="F2702">
        <v>1</v>
      </c>
      <c r="G2702">
        <v>9791157533565</v>
      </c>
      <c r="H2702" t="s">
        <v>32</v>
      </c>
      <c r="I2702" t="s">
        <v>4029</v>
      </c>
      <c r="J2702" t="s">
        <v>187</v>
      </c>
      <c r="K2702" t="s">
        <v>29</v>
      </c>
      <c r="L2702" s="1">
        <v>3200</v>
      </c>
      <c r="M2702" t="s">
        <v>29</v>
      </c>
      <c r="N2702" s="1">
        <v>3200</v>
      </c>
      <c r="O2702" s="1">
        <v>3200</v>
      </c>
      <c r="P2702" t="s">
        <v>30</v>
      </c>
      <c r="Q2702" s="2">
        <v>0.7</v>
      </c>
      <c r="R2702" s="1">
        <v>2240</v>
      </c>
      <c r="S2702" t="s">
        <v>29</v>
      </c>
      <c r="T2702" s="1">
        <v>2240</v>
      </c>
      <c r="V2702" t="str">
        <f>VLOOKUP(H2702,'[1]팀별 출판사'!A:B,2,0)</f>
        <v>소설1팀</v>
      </c>
      <c r="W2702" s="6">
        <f t="shared" si="84"/>
        <v>0</v>
      </c>
      <c r="X2702" s="6">
        <f t="shared" si="85"/>
        <v>2240</v>
      </c>
    </row>
    <row r="2703" spans="1:24" x14ac:dyDescent="0.3">
      <c r="A2703" t="s">
        <v>3816</v>
      </c>
      <c r="B2703" t="s">
        <v>4030</v>
      </c>
      <c r="C2703" t="s">
        <v>23</v>
      </c>
      <c r="D2703" t="s">
        <v>24</v>
      </c>
      <c r="E2703" t="s">
        <v>25</v>
      </c>
      <c r="F2703">
        <v>1</v>
      </c>
      <c r="G2703">
        <v>9791136988751</v>
      </c>
      <c r="H2703" t="s">
        <v>26</v>
      </c>
      <c r="I2703" t="s">
        <v>3757</v>
      </c>
      <c r="J2703" t="s">
        <v>28</v>
      </c>
      <c r="K2703" t="s">
        <v>29</v>
      </c>
      <c r="L2703" s="1">
        <v>3200</v>
      </c>
      <c r="M2703" t="s">
        <v>29</v>
      </c>
      <c r="N2703" s="1">
        <v>3200</v>
      </c>
      <c r="O2703" s="1">
        <v>3200</v>
      </c>
      <c r="P2703" t="s">
        <v>30</v>
      </c>
      <c r="Q2703" s="2">
        <v>0.7</v>
      </c>
      <c r="R2703" s="1">
        <v>2240</v>
      </c>
      <c r="S2703" t="s">
        <v>29</v>
      </c>
      <c r="T2703" s="1">
        <v>2240</v>
      </c>
      <c r="V2703" t="str">
        <f>VLOOKUP(H2703,'[1]팀별 출판사'!A:B,2,0)</f>
        <v>소설1팀</v>
      </c>
      <c r="W2703" s="6">
        <f t="shared" si="84"/>
        <v>0</v>
      </c>
      <c r="X2703" s="6">
        <f t="shared" si="85"/>
        <v>2240</v>
      </c>
    </row>
    <row r="2704" spans="1:24" x14ac:dyDescent="0.3">
      <c r="A2704" t="s">
        <v>3816</v>
      </c>
      <c r="B2704" t="s">
        <v>4031</v>
      </c>
      <c r="C2704" t="s">
        <v>23</v>
      </c>
      <c r="D2704" t="s">
        <v>24</v>
      </c>
      <c r="E2704" t="s">
        <v>25</v>
      </c>
      <c r="F2704">
        <v>1</v>
      </c>
      <c r="G2704">
        <v>9791136931375</v>
      </c>
      <c r="H2704" t="s">
        <v>32</v>
      </c>
      <c r="I2704" t="s">
        <v>189</v>
      </c>
      <c r="J2704" t="s">
        <v>46</v>
      </c>
      <c r="K2704" t="s">
        <v>29</v>
      </c>
      <c r="L2704">
        <v>0</v>
      </c>
      <c r="M2704" t="s">
        <v>47</v>
      </c>
      <c r="N2704">
        <v>0</v>
      </c>
      <c r="O2704">
        <v>0</v>
      </c>
      <c r="P2704" t="s">
        <v>48</v>
      </c>
      <c r="Q2704" s="2">
        <v>0.7</v>
      </c>
      <c r="R2704">
        <v>0</v>
      </c>
      <c r="V2704" t="str">
        <f>VLOOKUP(H2704,'[1]팀별 출판사'!A:B,2,0)</f>
        <v>소설1팀</v>
      </c>
      <c r="W2704" s="6">
        <f t="shared" si="84"/>
        <v>0</v>
      </c>
      <c r="X2704" s="6">
        <f t="shared" si="85"/>
        <v>0</v>
      </c>
    </row>
    <row r="2705" spans="1:24" x14ac:dyDescent="0.3">
      <c r="A2705" t="s">
        <v>3816</v>
      </c>
      <c r="B2705" t="s">
        <v>4032</v>
      </c>
      <c r="C2705" t="s">
        <v>23</v>
      </c>
      <c r="D2705" t="s">
        <v>24</v>
      </c>
      <c r="E2705" t="s">
        <v>25</v>
      </c>
      <c r="F2705">
        <v>1</v>
      </c>
      <c r="G2705">
        <v>9791136930552</v>
      </c>
      <c r="H2705" t="s">
        <v>26</v>
      </c>
      <c r="I2705" t="s">
        <v>45</v>
      </c>
      <c r="J2705" t="s">
        <v>46</v>
      </c>
      <c r="K2705" t="s">
        <v>29</v>
      </c>
      <c r="L2705">
        <v>0</v>
      </c>
      <c r="M2705" t="s">
        <v>47</v>
      </c>
      <c r="N2705">
        <v>0</v>
      </c>
      <c r="O2705">
        <v>0</v>
      </c>
      <c r="P2705" t="s">
        <v>48</v>
      </c>
      <c r="Q2705" s="2">
        <v>0.7</v>
      </c>
      <c r="R2705">
        <v>0</v>
      </c>
      <c r="V2705" t="str">
        <f>VLOOKUP(H2705,'[1]팀별 출판사'!A:B,2,0)</f>
        <v>소설1팀</v>
      </c>
      <c r="W2705" s="6">
        <f t="shared" si="84"/>
        <v>0</v>
      </c>
      <c r="X2705" s="6">
        <f t="shared" si="85"/>
        <v>0</v>
      </c>
    </row>
    <row r="2706" spans="1:24" x14ac:dyDescent="0.3">
      <c r="A2706" t="s">
        <v>3816</v>
      </c>
      <c r="B2706" t="s">
        <v>4033</v>
      </c>
      <c r="C2706" t="s">
        <v>23</v>
      </c>
      <c r="D2706" t="s">
        <v>24</v>
      </c>
      <c r="E2706" t="s">
        <v>25</v>
      </c>
      <c r="F2706">
        <v>1</v>
      </c>
      <c r="G2706">
        <v>9791194664369</v>
      </c>
      <c r="H2706" t="s">
        <v>79</v>
      </c>
      <c r="I2706" t="s">
        <v>156</v>
      </c>
      <c r="J2706" t="s">
        <v>157</v>
      </c>
      <c r="K2706" t="s">
        <v>29</v>
      </c>
      <c r="L2706">
        <v>0</v>
      </c>
      <c r="M2706" t="s">
        <v>47</v>
      </c>
      <c r="N2706">
        <v>0</v>
      </c>
      <c r="O2706">
        <v>0</v>
      </c>
      <c r="P2706" t="s">
        <v>48</v>
      </c>
      <c r="Q2706" s="2">
        <v>0.7</v>
      </c>
      <c r="R2706">
        <v>0</v>
      </c>
      <c r="V2706" t="str">
        <f>VLOOKUP(H2706,'[1]팀별 출판사'!A:B,2,0)</f>
        <v>소설1팀</v>
      </c>
      <c r="W2706" s="6">
        <f t="shared" si="84"/>
        <v>0</v>
      </c>
      <c r="X2706" s="6">
        <f t="shared" si="85"/>
        <v>0</v>
      </c>
    </row>
    <row r="2707" spans="1:24" x14ac:dyDescent="0.3">
      <c r="A2707" t="s">
        <v>3816</v>
      </c>
      <c r="B2707" t="s">
        <v>4034</v>
      </c>
      <c r="C2707" t="s">
        <v>23</v>
      </c>
      <c r="D2707" t="s">
        <v>24</v>
      </c>
      <c r="E2707" t="s">
        <v>25</v>
      </c>
      <c r="F2707">
        <v>1</v>
      </c>
      <c r="G2707">
        <v>9791170100959</v>
      </c>
      <c r="H2707" t="s">
        <v>67</v>
      </c>
      <c r="I2707" t="s">
        <v>423</v>
      </c>
      <c r="J2707" t="s">
        <v>424</v>
      </c>
      <c r="K2707" t="s">
        <v>29</v>
      </c>
      <c r="L2707">
        <v>0</v>
      </c>
      <c r="M2707" t="s">
        <v>29</v>
      </c>
      <c r="N2707">
        <v>0</v>
      </c>
      <c r="O2707">
        <v>0</v>
      </c>
      <c r="P2707" t="s">
        <v>30</v>
      </c>
      <c r="Q2707" s="2">
        <v>0.7</v>
      </c>
      <c r="R2707">
        <v>0</v>
      </c>
      <c r="V2707" t="str">
        <f>VLOOKUP(H2707,'[1]팀별 출판사'!A:B,2,0)</f>
        <v>소설1팀</v>
      </c>
      <c r="W2707" s="6">
        <f t="shared" si="84"/>
        <v>0</v>
      </c>
      <c r="X2707" s="6">
        <f t="shared" si="85"/>
        <v>0</v>
      </c>
    </row>
    <row r="2708" spans="1:24" x14ac:dyDescent="0.3">
      <c r="A2708" t="s">
        <v>3816</v>
      </c>
      <c r="B2708" t="s">
        <v>4035</v>
      </c>
      <c r="C2708" t="s">
        <v>23</v>
      </c>
      <c r="D2708" t="s">
        <v>24</v>
      </c>
      <c r="E2708" t="s">
        <v>25</v>
      </c>
      <c r="F2708">
        <v>1</v>
      </c>
      <c r="G2708">
        <v>9791133130375</v>
      </c>
      <c r="H2708" t="s">
        <v>32</v>
      </c>
      <c r="I2708" t="s">
        <v>536</v>
      </c>
      <c r="J2708" t="s">
        <v>160</v>
      </c>
      <c r="K2708" t="s">
        <v>29</v>
      </c>
      <c r="L2708">
        <v>0</v>
      </c>
      <c r="M2708" t="s">
        <v>29</v>
      </c>
      <c r="N2708">
        <v>0</v>
      </c>
      <c r="O2708">
        <v>0</v>
      </c>
      <c r="P2708" t="s">
        <v>30</v>
      </c>
      <c r="Q2708" s="2">
        <v>0.7</v>
      </c>
      <c r="R2708">
        <v>0</v>
      </c>
      <c r="V2708" t="str">
        <f>VLOOKUP(H2708,'[1]팀별 출판사'!A:B,2,0)</f>
        <v>소설1팀</v>
      </c>
      <c r="W2708" s="6">
        <f t="shared" si="84"/>
        <v>0</v>
      </c>
      <c r="X2708" s="6">
        <f t="shared" si="85"/>
        <v>0</v>
      </c>
    </row>
    <row r="2709" spans="1:24" x14ac:dyDescent="0.3">
      <c r="A2709" t="s">
        <v>4036</v>
      </c>
      <c r="B2709" t="s">
        <v>4037</v>
      </c>
      <c r="C2709" t="s">
        <v>23</v>
      </c>
      <c r="D2709" t="s">
        <v>24</v>
      </c>
      <c r="E2709" t="s">
        <v>25</v>
      </c>
      <c r="F2709">
        <v>1</v>
      </c>
      <c r="G2709">
        <v>9791133184613</v>
      </c>
      <c r="H2709" t="s">
        <v>26</v>
      </c>
      <c r="I2709" t="s">
        <v>2342</v>
      </c>
      <c r="J2709" t="s">
        <v>284</v>
      </c>
      <c r="K2709" t="s">
        <v>29</v>
      </c>
      <c r="L2709">
        <v>0</v>
      </c>
      <c r="M2709" t="s">
        <v>29</v>
      </c>
      <c r="N2709">
        <v>0</v>
      </c>
      <c r="O2709">
        <v>0</v>
      </c>
      <c r="P2709" t="s">
        <v>30</v>
      </c>
      <c r="Q2709" s="2">
        <v>0.7</v>
      </c>
      <c r="R2709">
        <v>0</v>
      </c>
      <c r="V2709" t="str">
        <f>VLOOKUP(H2709,'[1]팀별 출판사'!A:B,2,0)</f>
        <v>소설1팀</v>
      </c>
      <c r="W2709" s="6">
        <f t="shared" si="84"/>
        <v>0</v>
      </c>
      <c r="X2709" s="6">
        <f t="shared" si="85"/>
        <v>0</v>
      </c>
    </row>
    <row r="2710" spans="1:24" x14ac:dyDescent="0.3">
      <c r="A2710" t="s">
        <v>4036</v>
      </c>
      <c r="B2710" t="s">
        <v>4038</v>
      </c>
      <c r="C2710" t="s">
        <v>23</v>
      </c>
      <c r="D2710" t="s">
        <v>24</v>
      </c>
      <c r="E2710" t="s">
        <v>25</v>
      </c>
      <c r="F2710">
        <v>1</v>
      </c>
      <c r="G2710">
        <v>9791136946775</v>
      </c>
      <c r="H2710" t="s">
        <v>26</v>
      </c>
      <c r="I2710" t="s">
        <v>238</v>
      </c>
      <c r="J2710" t="s">
        <v>28</v>
      </c>
      <c r="K2710" t="s">
        <v>29</v>
      </c>
      <c r="L2710">
        <v>0</v>
      </c>
      <c r="M2710" t="s">
        <v>29</v>
      </c>
      <c r="N2710">
        <v>0</v>
      </c>
      <c r="O2710">
        <v>0</v>
      </c>
      <c r="P2710" t="s">
        <v>30</v>
      </c>
      <c r="Q2710" s="2">
        <v>0.7</v>
      </c>
      <c r="R2710">
        <v>0</v>
      </c>
      <c r="V2710" t="str">
        <f>VLOOKUP(H2710,'[1]팀별 출판사'!A:B,2,0)</f>
        <v>소설1팀</v>
      </c>
      <c r="W2710" s="6">
        <f t="shared" si="84"/>
        <v>0</v>
      </c>
      <c r="X2710" s="6">
        <f t="shared" si="85"/>
        <v>0</v>
      </c>
    </row>
    <row r="2711" spans="1:24" x14ac:dyDescent="0.3">
      <c r="A2711" t="s">
        <v>4036</v>
      </c>
      <c r="B2711" t="s">
        <v>4039</v>
      </c>
      <c r="C2711" t="s">
        <v>23</v>
      </c>
      <c r="D2711" t="s">
        <v>24</v>
      </c>
      <c r="E2711" t="s">
        <v>25</v>
      </c>
      <c r="F2711">
        <v>1</v>
      </c>
      <c r="G2711">
        <v>9791170106715</v>
      </c>
      <c r="H2711" t="s">
        <v>67</v>
      </c>
      <c r="I2711" t="s">
        <v>68</v>
      </c>
      <c r="J2711" t="s">
        <v>69</v>
      </c>
      <c r="K2711" t="s">
        <v>29</v>
      </c>
      <c r="L2711">
        <v>0</v>
      </c>
      <c r="M2711" t="s">
        <v>1379</v>
      </c>
      <c r="N2711">
        <v>0</v>
      </c>
      <c r="O2711">
        <v>0</v>
      </c>
      <c r="P2711" t="s">
        <v>1380</v>
      </c>
      <c r="Q2711" s="2">
        <v>0.7</v>
      </c>
      <c r="R2711">
        <v>0</v>
      </c>
      <c r="V2711" t="str">
        <f>VLOOKUP(H2711,'[1]팀별 출판사'!A:B,2,0)</f>
        <v>소설1팀</v>
      </c>
      <c r="W2711" s="6">
        <f t="shared" si="84"/>
        <v>0</v>
      </c>
      <c r="X2711" s="6">
        <f t="shared" si="85"/>
        <v>0</v>
      </c>
    </row>
    <row r="2712" spans="1:24" x14ac:dyDescent="0.3">
      <c r="A2712" t="s">
        <v>4036</v>
      </c>
      <c r="B2712" t="s">
        <v>4040</v>
      </c>
      <c r="C2712" t="s">
        <v>23</v>
      </c>
      <c r="D2712" t="s">
        <v>24</v>
      </c>
      <c r="E2712" t="s">
        <v>25</v>
      </c>
      <c r="F2712">
        <v>1</v>
      </c>
      <c r="G2712">
        <v>9791133172702</v>
      </c>
      <c r="H2712" t="s">
        <v>26</v>
      </c>
      <c r="I2712" t="s">
        <v>4041</v>
      </c>
      <c r="J2712" t="s">
        <v>588</v>
      </c>
      <c r="K2712" t="s">
        <v>29</v>
      </c>
      <c r="L2712">
        <v>0</v>
      </c>
      <c r="M2712" t="s">
        <v>29</v>
      </c>
      <c r="N2712">
        <v>0</v>
      </c>
      <c r="O2712">
        <v>0</v>
      </c>
      <c r="P2712" t="s">
        <v>30</v>
      </c>
      <c r="Q2712" s="2">
        <v>0.7</v>
      </c>
      <c r="R2712">
        <v>0</v>
      </c>
      <c r="V2712" t="str">
        <f>VLOOKUP(H2712,'[1]팀별 출판사'!A:B,2,0)</f>
        <v>소설1팀</v>
      </c>
      <c r="W2712" s="6">
        <f t="shared" si="84"/>
        <v>0</v>
      </c>
      <c r="X2712" s="6">
        <f t="shared" si="85"/>
        <v>0</v>
      </c>
    </row>
    <row r="2713" spans="1:24" x14ac:dyDescent="0.3">
      <c r="A2713" t="s">
        <v>4036</v>
      </c>
      <c r="B2713" t="s">
        <v>4042</v>
      </c>
      <c r="C2713" t="s">
        <v>23</v>
      </c>
      <c r="D2713" t="s">
        <v>24</v>
      </c>
      <c r="E2713" t="s">
        <v>25</v>
      </c>
      <c r="F2713">
        <v>1</v>
      </c>
      <c r="G2713">
        <v>9791172925789</v>
      </c>
      <c r="H2713" t="s">
        <v>26</v>
      </c>
      <c r="I2713" t="s">
        <v>3032</v>
      </c>
      <c r="J2713" t="s">
        <v>937</v>
      </c>
      <c r="K2713" t="s">
        <v>29</v>
      </c>
      <c r="L2713">
        <v>0</v>
      </c>
      <c r="M2713" t="s">
        <v>29</v>
      </c>
      <c r="N2713">
        <v>0</v>
      </c>
      <c r="O2713">
        <v>0</v>
      </c>
      <c r="P2713" t="s">
        <v>30</v>
      </c>
      <c r="Q2713" s="2">
        <v>0.7</v>
      </c>
      <c r="R2713">
        <v>0</v>
      </c>
      <c r="V2713" t="str">
        <f>VLOOKUP(H2713,'[1]팀별 출판사'!A:B,2,0)</f>
        <v>소설1팀</v>
      </c>
      <c r="W2713" s="6">
        <f t="shared" si="84"/>
        <v>0</v>
      </c>
      <c r="X2713" s="6">
        <f t="shared" si="85"/>
        <v>0</v>
      </c>
    </row>
    <row r="2714" spans="1:24" x14ac:dyDescent="0.3">
      <c r="A2714" t="s">
        <v>4036</v>
      </c>
      <c r="B2714" t="s">
        <v>4043</v>
      </c>
      <c r="C2714" t="s">
        <v>23</v>
      </c>
      <c r="D2714" t="s">
        <v>24</v>
      </c>
      <c r="E2714" t="s">
        <v>25</v>
      </c>
      <c r="F2714">
        <v>1</v>
      </c>
      <c r="G2714">
        <v>9791136930286</v>
      </c>
      <c r="H2714" t="s">
        <v>32</v>
      </c>
      <c r="I2714" t="s">
        <v>818</v>
      </c>
      <c r="J2714" t="s">
        <v>157</v>
      </c>
      <c r="K2714" t="s">
        <v>29</v>
      </c>
      <c r="L2714">
        <v>0</v>
      </c>
      <c r="M2714" t="s">
        <v>29</v>
      </c>
      <c r="N2714">
        <v>0</v>
      </c>
      <c r="O2714">
        <v>0</v>
      </c>
      <c r="P2714" t="s">
        <v>30</v>
      </c>
      <c r="Q2714" s="2">
        <v>0.7</v>
      </c>
      <c r="R2714">
        <v>0</v>
      </c>
      <c r="V2714" t="str">
        <f>VLOOKUP(H2714,'[1]팀별 출판사'!A:B,2,0)</f>
        <v>소설1팀</v>
      </c>
      <c r="W2714" s="6">
        <f t="shared" si="84"/>
        <v>0</v>
      </c>
      <c r="X2714" s="6">
        <f t="shared" si="85"/>
        <v>0</v>
      </c>
    </row>
    <row r="2715" spans="1:24" x14ac:dyDescent="0.3">
      <c r="A2715" t="s">
        <v>4036</v>
      </c>
      <c r="B2715" t="s">
        <v>4044</v>
      </c>
      <c r="C2715" t="s">
        <v>23</v>
      </c>
      <c r="D2715" t="s">
        <v>24</v>
      </c>
      <c r="E2715" t="s">
        <v>25</v>
      </c>
      <c r="F2715">
        <v>1</v>
      </c>
      <c r="G2715">
        <v>9791136907288</v>
      </c>
      <c r="H2715" t="s">
        <v>26</v>
      </c>
      <c r="I2715" t="s">
        <v>4045</v>
      </c>
      <c r="J2715" t="s">
        <v>1348</v>
      </c>
      <c r="K2715" t="s">
        <v>29</v>
      </c>
      <c r="L2715" s="1">
        <v>3200</v>
      </c>
      <c r="M2715" t="s">
        <v>29</v>
      </c>
      <c r="N2715" s="1">
        <v>3200</v>
      </c>
      <c r="O2715" s="1">
        <v>3200</v>
      </c>
      <c r="P2715" t="s">
        <v>30</v>
      </c>
      <c r="Q2715" s="2">
        <v>0.7</v>
      </c>
      <c r="R2715" s="1">
        <v>2240</v>
      </c>
      <c r="S2715" t="s">
        <v>29</v>
      </c>
      <c r="T2715" s="1">
        <v>2240</v>
      </c>
      <c r="V2715" t="str">
        <f>VLOOKUP(H2715,'[1]팀별 출판사'!A:B,2,0)</f>
        <v>소설1팀</v>
      </c>
      <c r="W2715" s="6">
        <f t="shared" si="84"/>
        <v>0</v>
      </c>
      <c r="X2715" s="6">
        <f t="shared" si="85"/>
        <v>2240</v>
      </c>
    </row>
    <row r="2716" spans="1:24" x14ac:dyDescent="0.3">
      <c r="A2716" t="s">
        <v>4036</v>
      </c>
      <c r="B2716" t="s">
        <v>4046</v>
      </c>
      <c r="C2716" t="s">
        <v>23</v>
      </c>
      <c r="D2716" t="s">
        <v>24</v>
      </c>
      <c r="E2716" t="s">
        <v>25</v>
      </c>
      <c r="F2716">
        <v>1</v>
      </c>
      <c r="G2716">
        <v>9791133144792</v>
      </c>
      <c r="H2716" t="s">
        <v>32</v>
      </c>
      <c r="I2716" t="s">
        <v>223</v>
      </c>
      <c r="J2716" t="s">
        <v>88</v>
      </c>
      <c r="K2716" t="s">
        <v>29</v>
      </c>
      <c r="L2716">
        <v>0</v>
      </c>
      <c r="M2716" t="s">
        <v>29</v>
      </c>
      <c r="N2716">
        <v>0</v>
      </c>
      <c r="O2716">
        <v>0</v>
      </c>
      <c r="P2716" t="s">
        <v>30</v>
      </c>
      <c r="Q2716" s="2">
        <v>0.7</v>
      </c>
      <c r="R2716">
        <v>0</v>
      </c>
      <c r="V2716" t="str">
        <f>VLOOKUP(H2716,'[1]팀별 출판사'!A:B,2,0)</f>
        <v>소설1팀</v>
      </c>
      <c r="W2716" s="6">
        <f t="shared" si="84"/>
        <v>0</v>
      </c>
      <c r="X2716" s="6">
        <f t="shared" si="85"/>
        <v>0</v>
      </c>
    </row>
    <row r="2717" spans="1:24" x14ac:dyDescent="0.3">
      <c r="A2717" t="s">
        <v>4036</v>
      </c>
      <c r="B2717" t="s">
        <v>4047</v>
      </c>
      <c r="C2717" t="s">
        <v>23</v>
      </c>
      <c r="D2717" t="s">
        <v>24</v>
      </c>
      <c r="E2717" t="s">
        <v>25</v>
      </c>
      <c r="F2717">
        <v>1</v>
      </c>
      <c r="G2717">
        <v>9791133126668</v>
      </c>
      <c r="H2717" t="s">
        <v>32</v>
      </c>
      <c r="I2717" t="s">
        <v>4048</v>
      </c>
      <c r="J2717" t="s">
        <v>160</v>
      </c>
      <c r="K2717" t="s">
        <v>29</v>
      </c>
      <c r="L2717" s="1">
        <v>3500</v>
      </c>
      <c r="M2717" t="s">
        <v>29</v>
      </c>
      <c r="N2717" s="1">
        <v>3500</v>
      </c>
      <c r="O2717" s="1">
        <v>3500</v>
      </c>
      <c r="P2717" t="s">
        <v>30</v>
      </c>
      <c r="Q2717" s="2">
        <v>0.7</v>
      </c>
      <c r="R2717" s="1">
        <v>2450</v>
      </c>
      <c r="S2717" t="s">
        <v>29</v>
      </c>
      <c r="T2717" s="1">
        <v>2450</v>
      </c>
      <c r="V2717" t="str">
        <f>VLOOKUP(H2717,'[1]팀별 출판사'!A:B,2,0)</f>
        <v>소설1팀</v>
      </c>
      <c r="W2717" s="6">
        <f t="shared" si="84"/>
        <v>0</v>
      </c>
      <c r="X2717" s="6">
        <f t="shared" si="85"/>
        <v>2450</v>
      </c>
    </row>
    <row r="2718" spans="1:24" x14ac:dyDescent="0.3">
      <c r="A2718" t="s">
        <v>4036</v>
      </c>
      <c r="B2718" t="s">
        <v>4049</v>
      </c>
      <c r="C2718" t="s">
        <v>23</v>
      </c>
      <c r="D2718" t="s">
        <v>24</v>
      </c>
      <c r="E2718" t="s">
        <v>25</v>
      </c>
      <c r="F2718">
        <v>1</v>
      </c>
      <c r="G2718">
        <v>9791133171934</v>
      </c>
      <c r="H2718" t="s">
        <v>26</v>
      </c>
      <c r="I2718" t="s">
        <v>1352</v>
      </c>
      <c r="J2718" t="s">
        <v>311</v>
      </c>
      <c r="K2718" t="s">
        <v>29</v>
      </c>
      <c r="L2718">
        <v>0</v>
      </c>
      <c r="M2718" t="s">
        <v>29</v>
      </c>
      <c r="N2718">
        <v>0</v>
      </c>
      <c r="O2718">
        <v>0</v>
      </c>
      <c r="P2718" t="s">
        <v>30</v>
      </c>
      <c r="Q2718" s="2">
        <v>0.7</v>
      </c>
      <c r="R2718">
        <v>0</v>
      </c>
      <c r="V2718" t="str">
        <f>VLOOKUP(H2718,'[1]팀별 출판사'!A:B,2,0)</f>
        <v>소설1팀</v>
      </c>
      <c r="W2718" s="6">
        <f t="shared" si="84"/>
        <v>0</v>
      </c>
      <c r="X2718" s="6">
        <f t="shared" si="85"/>
        <v>0</v>
      </c>
    </row>
    <row r="2719" spans="1:24" x14ac:dyDescent="0.3">
      <c r="A2719" t="s">
        <v>4036</v>
      </c>
      <c r="B2719" t="s">
        <v>4050</v>
      </c>
      <c r="C2719" t="s">
        <v>23</v>
      </c>
      <c r="D2719" t="s">
        <v>24</v>
      </c>
      <c r="E2719" t="s">
        <v>25</v>
      </c>
      <c r="F2719">
        <v>1</v>
      </c>
      <c r="G2719">
        <v>9791170102632</v>
      </c>
      <c r="H2719" t="s">
        <v>67</v>
      </c>
      <c r="I2719" t="s">
        <v>4051</v>
      </c>
      <c r="J2719" t="s">
        <v>4052</v>
      </c>
      <c r="K2719" t="s">
        <v>29</v>
      </c>
      <c r="L2719">
        <v>0</v>
      </c>
      <c r="M2719" t="s">
        <v>29</v>
      </c>
      <c r="N2719">
        <v>0</v>
      </c>
      <c r="O2719">
        <v>0</v>
      </c>
      <c r="P2719" t="s">
        <v>30</v>
      </c>
      <c r="Q2719" s="2">
        <v>0.7</v>
      </c>
      <c r="R2719">
        <v>0</v>
      </c>
      <c r="V2719" t="str">
        <f>VLOOKUP(H2719,'[1]팀별 출판사'!A:B,2,0)</f>
        <v>소설1팀</v>
      </c>
      <c r="W2719" s="6">
        <f t="shared" si="84"/>
        <v>0</v>
      </c>
      <c r="X2719" s="6">
        <f t="shared" si="85"/>
        <v>0</v>
      </c>
    </row>
    <row r="2720" spans="1:24" x14ac:dyDescent="0.3">
      <c r="A2720" t="s">
        <v>4036</v>
      </c>
      <c r="B2720" t="s">
        <v>4053</v>
      </c>
      <c r="C2720" t="s">
        <v>23</v>
      </c>
      <c r="D2720" t="s">
        <v>24</v>
      </c>
      <c r="E2720" t="s">
        <v>25</v>
      </c>
      <c r="F2720">
        <v>1</v>
      </c>
      <c r="G2720" t="s">
        <v>4054</v>
      </c>
      <c r="H2720" t="s">
        <v>32</v>
      </c>
      <c r="I2720" t="s">
        <v>4055</v>
      </c>
      <c r="J2720" t="s">
        <v>4056</v>
      </c>
      <c r="K2720" t="s">
        <v>29</v>
      </c>
      <c r="L2720">
        <v>0</v>
      </c>
      <c r="M2720" t="s">
        <v>29</v>
      </c>
      <c r="N2720">
        <v>0</v>
      </c>
      <c r="O2720">
        <v>0</v>
      </c>
      <c r="P2720" t="s">
        <v>30</v>
      </c>
      <c r="Q2720" s="2">
        <v>0.7</v>
      </c>
      <c r="R2720">
        <v>0</v>
      </c>
      <c r="V2720" t="str">
        <f>VLOOKUP(H2720,'[1]팀별 출판사'!A:B,2,0)</f>
        <v>소설1팀</v>
      </c>
      <c r="W2720" s="6">
        <f t="shared" si="84"/>
        <v>0</v>
      </c>
      <c r="X2720" s="6">
        <f t="shared" si="85"/>
        <v>0</v>
      </c>
    </row>
    <row r="2721" spans="1:24" x14ac:dyDescent="0.3">
      <c r="A2721" t="s">
        <v>4036</v>
      </c>
      <c r="B2721" t="s">
        <v>4057</v>
      </c>
      <c r="C2721" t="s">
        <v>23</v>
      </c>
      <c r="D2721" t="s">
        <v>24</v>
      </c>
      <c r="E2721" t="s">
        <v>25</v>
      </c>
      <c r="F2721">
        <v>1</v>
      </c>
      <c r="G2721">
        <v>9791133106141</v>
      </c>
      <c r="H2721" t="s">
        <v>32</v>
      </c>
      <c r="I2721" t="s">
        <v>4058</v>
      </c>
      <c r="J2721" t="s">
        <v>160</v>
      </c>
      <c r="K2721" t="s">
        <v>29</v>
      </c>
      <c r="L2721" s="1">
        <v>3200</v>
      </c>
      <c r="M2721" t="s">
        <v>29</v>
      </c>
      <c r="N2721" s="1">
        <v>3200</v>
      </c>
      <c r="O2721" s="1">
        <v>3200</v>
      </c>
      <c r="P2721" t="s">
        <v>30</v>
      </c>
      <c r="Q2721" s="2">
        <v>0.7</v>
      </c>
      <c r="R2721" s="1">
        <v>2240</v>
      </c>
      <c r="S2721" t="s">
        <v>29</v>
      </c>
      <c r="T2721" s="1">
        <v>2240</v>
      </c>
      <c r="V2721" t="str">
        <f>VLOOKUP(H2721,'[1]팀별 출판사'!A:B,2,0)</f>
        <v>소설1팀</v>
      </c>
      <c r="W2721" s="6">
        <f t="shared" si="84"/>
        <v>0</v>
      </c>
      <c r="X2721" s="6">
        <f t="shared" si="85"/>
        <v>2240</v>
      </c>
    </row>
    <row r="2722" spans="1:24" x14ac:dyDescent="0.3">
      <c r="A2722" t="s">
        <v>4036</v>
      </c>
      <c r="B2722" t="s">
        <v>4059</v>
      </c>
      <c r="C2722" t="s">
        <v>23</v>
      </c>
      <c r="D2722" t="s">
        <v>24</v>
      </c>
      <c r="E2722" t="s">
        <v>25</v>
      </c>
      <c r="F2722">
        <v>1</v>
      </c>
      <c r="G2722">
        <v>9791133184477</v>
      </c>
      <c r="H2722" t="s">
        <v>26</v>
      </c>
      <c r="I2722" t="s">
        <v>4060</v>
      </c>
      <c r="J2722" t="s">
        <v>284</v>
      </c>
      <c r="K2722" t="s">
        <v>29</v>
      </c>
      <c r="L2722" s="1">
        <v>3200</v>
      </c>
      <c r="M2722" t="s">
        <v>29</v>
      </c>
      <c r="N2722" s="1">
        <v>3200</v>
      </c>
      <c r="O2722" s="1">
        <v>3200</v>
      </c>
      <c r="P2722" t="s">
        <v>30</v>
      </c>
      <c r="Q2722" s="2">
        <v>0.7</v>
      </c>
      <c r="R2722" s="1">
        <v>2240</v>
      </c>
      <c r="S2722" t="s">
        <v>29</v>
      </c>
      <c r="T2722" s="1">
        <v>2240</v>
      </c>
      <c r="V2722" t="str">
        <f>VLOOKUP(H2722,'[1]팀별 출판사'!A:B,2,0)</f>
        <v>소설1팀</v>
      </c>
      <c r="W2722" s="6">
        <f t="shared" si="84"/>
        <v>0</v>
      </c>
      <c r="X2722" s="6">
        <f t="shared" si="85"/>
        <v>2240</v>
      </c>
    </row>
    <row r="2723" spans="1:24" x14ac:dyDescent="0.3">
      <c r="A2723" t="s">
        <v>4036</v>
      </c>
      <c r="B2723" t="s">
        <v>4061</v>
      </c>
      <c r="C2723" t="s">
        <v>23</v>
      </c>
      <c r="D2723" t="s">
        <v>24</v>
      </c>
      <c r="E2723" t="s">
        <v>25</v>
      </c>
      <c r="F2723">
        <v>1</v>
      </c>
      <c r="G2723">
        <v>9791136942319</v>
      </c>
      <c r="H2723" t="s">
        <v>26</v>
      </c>
      <c r="I2723" t="s">
        <v>2595</v>
      </c>
      <c r="J2723" t="s">
        <v>284</v>
      </c>
      <c r="K2723" t="s">
        <v>29</v>
      </c>
      <c r="L2723">
        <v>0</v>
      </c>
      <c r="M2723" t="s">
        <v>29</v>
      </c>
      <c r="N2723">
        <v>0</v>
      </c>
      <c r="O2723">
        <v>0</v>
      </c>
      <c r="P2723" t="s">
        <v>30</v>
      </c>
      <c r="Q2723" s="2">
        <v>0.7</v>
      </c>
      <c r="R2723">
        <v>0</v>
      </c>
      <c r="V2723" t="str">
        <f>VLOOKUP(H2723,'[1]팀별 출판사'!A:B,2,0)</f>
        <v>소설1팀</v>
      </c>
      <c r="W2723" s="6">
        <f t="shared" si="84"/>
        <v>0</v>
      </c>
      <c r="X2723" s="6">
        <f t="shared" si="85"/>
        <v>0</v>
      </c>
    </row>
    <row r="2724" spans="1:24" x14ac:dyDescent="0.3">
      <c r="A2724" t="s">
        <v>4036</v>
      </c>
      <c r="B2724" t="s">
        <v>4062</v>
      </c>
      <c r="C2724" t="s">
        <v>23</v>
      </c>
      <c r="D2724" t="s">
        <v>24</v>
      </c>
      <c r="E2724" t="s">
        <v>25</v>
      </c>
      <c r="F2724">
        <v>1</v>
      </c>
      <c r="G2724">
        <v>9791157533572</v>
      </c>
      <c r="H2724" t="s">
        <v>32</v>
      </c>
      <c r="I2724" t="s">
        <v>4063</v>
      </c>
      <c r="J2724" t="s">
        <v>187</v>
      </c>
      <c r="K2724" t="s">
        <v>29</v>
      </c>
      <c r="L2724" s="1">
        <v>3200</v>
      </c>
      <c r="M2724" t="s">
        <v>29</v>
      </c>
      <c r="N2724" s="1">
        <v>3200</v>
      </c>
      <c r="O2724" s="1">
        <v>3200</v>
      </c>
      <c r="P2724" t="s">
        <v>30</v>
      </c>
      <c r="Q2724" s="2">
        <v>0.7</v>
      </c>
      <c r="R2724" s="1">
        <v>2240</v>
      </c>
      <c r="S2724" t="s">
        <v>29</v>
      </c>
      <c r="T2724" s="1">
        <v>2240</v>
      </c>
      <c r="V2724" t="str">
        <f>VLOOKUP(H2724,'[1]팀별 출판사'!A:B,2,0)</f>
        <v>소설1팀</v>
      </c>
      <c r="W2724" s="6">
        <f t="shared" si="84"/>
        <v>0</v>
      </c>
      <c r="X2724" s="6">
        <f t="shared" si="85"/>
        <v>2240</v>
      </c>
    </row>
    <row r="2725" spans="1:24" x14ac:dyDescent="0.3">
      <c r="A2725" t="s">
        <v>4036</v>
      </c>
      <c r="B2725" t="s">
        <v>4064</v>
      </c>
      <c r="C2725" t="s">
        <v>23</v>
      </c>
      <c r="D2725" t="s">
        <v>24</v>
      </c>
      <c r="E2725" t="s">
        <v>25</v>
      </c>
      <c r="F2725">
        <v>1</v>
      </c>
      <c r="G2725">
        <v>9791170106715</v>
      </c>
      <c r="H2725" t="s">
        <v>67</v>
      </c>
      <c r="I2725" t="s">
        <v>68</v>
      </c>
      <c r="J2725" t="s">
        <v>69</v>
      </c>
      <c r="K2725" t="s">
        <v>29</v>
      </c>
      <c r="L2725">
        <v>0</v>
      </c>
      <c r="M2725" t="s">
        <v>29</v>
      </c>
      <c r="N2725">
        <v>0</v>
      </c>
      <c r="O2725">
        <v>0</v>
      </c>
      <c r="P2725" t="s">
        <v>30</v>
      </c>
      <c r="Q2725" s="2">
        <v>0.7</v>
      </c>
      <c r="R2725">
        <v>0</v>
      </c>
      <c r="V2725" t="str">
        <f>VLOOKUP(H2725,'[1]팀별 출판사'!A:B,2,0)</f>
        <v>소설1팀</v>
      </c>
      <c r="W2725" s="6">
        <f t="shared" si="84"/>
        <v>0</v>
      </c>
      <c r="X2725" s="6">
        <f t="shared" si="85"/>
        <v>0</v>
      </c>
    </row>
    <row r="2726" spans="1:24" x14ac:dyDescent="0.3">
      <c r="A2726" t="s">
        <v>4036</v>
      </c>
      <c r="B2726" t="s">
        <v>4065</v>
      </c>
      <c r="C2726" t="s">
        <v>23</v>
      </c>
      <c r="D2726" t="s">
        <v>24</v>
      </c>
      <c r="E2726" t="s">
        <v>25</v>
      </c>
      <c r="F2726">
        <v>1</v>
      </c>
      <c r="G2726">
        <v>9791170106401</v>
      </c>
      <c r="H2726" t="s">
        <v>67</v>
      </c>
      <c r="I2726" t="s">
        <v>4066</v>
      </c>
      <c r="J2726" t="s">
        <v>69</v>
      </c>
      <c r="K2726" t="s">
        <v>29</v>
      </c>
      <c r="L2726">
        <v>0</v>
      </c>
      <c r="M2726" t="s">
        <v>29</v>
      </c>
      <c r="N2726">
        <v>0</v>
      </c>
      <c r="O2726">
        <v>0</v>
      </c>
      <c r="P2726" t="s">
        <v>30</v>
      </c>
      <c r="Q2726" s="2">
        <v>0.7</v>
      </c>
      <c r="R2726">
        <v>0</v>
      </c>
      <c r="V2726" t="str">
        <f>VLOOKUP(H2726,'[1]팀별 출판사'!A:B,2,0)</f>
        <v>소설1팀</v>
      </c>
      <c r="W2726" s="6">
        <f t="shared" si="84"/>
        <v>0</v>
      </c>
      <c r="X2726" s="6">
        <f t="shared" si="85"/>
        <v>0</v>
      </c>
    </row>
    <row r="2727" spans="1:24" x14ac:dyDescent="0.3">
      <c r="A2727" t="s">
        <v>4036</v>
      </c>
      <c r="B2727" t="s">
        <v>4067</v>
      </c>
      <c r="C2727" t="s">
        <v>23</v>
      </c>
      <c r="D2727" t="s">
        <v>24</v>
      </c>
      <c r="E2727" t="s">
        <v>25</v>
      </c>
      <c r="F2727">
        <v>1</v>
      </c>
      <c r="G2727">
        <v>9791170105596</v>
      </c>
      <c r="H2727" t="s">
        <v>67</v>
      </c>
      <c r="I2727" t="s">
        <v>2279</v>
      </c>
      <c r="J2727" t="s">
        <v>69</v>
      </c>
      <c r="K2727" t="s">
        <v>29</v>
      </c>
      <c r="L2727">
        <v>0</v>
      </c>
      <c r="M2727" t="s">
        <v>29</v>
      </c>
      <c r="N2727">
        <v>0</v>
      </c>
      <c r="O2727">
        <v>0</v>
      </c>
      <c r="P2727" t="s">
        <v>30</v>
      </c>
      <c r="Q2727" s="2">
        <v>0.7</v>
      </c>
      <c r="R2727">
        <v>0</v>
      </c>
      <c r="V2727" t="str">
        <f>VLOOKUP(H2727,'[1]팀별 출판사'!A:B,2,0)</f>
        <v>소설1팀</v>
      </c>
      <c r="W2727" s="6">
        <f t="shared" si="84"/>
        <v>0</v>
      </c>
      <c r="X2727" s="6">
        <f t="shared" si="85"/>
        <v>0</v>
      </c>
    </row>
    <row r="2728" spans="1:24" x14ac:dyDescent="0.3">
      <c r="A2728" t="s">
        <v>4036</v>
      </c>
      <c r="B2728" t="s">
        <v>4068</v>
      </c>
      <c r="C2728" t="s">
        <v>23</v>
      </c>
      <c r="D2728" t="s">
        <v>24</v>
      </c>
      <c r="E2728" t="s">
        <v>25</v>
      </c>
      <c r="F2728">
        <v>1</v>
      </c>
      <c r="G2728">
        <v>9791133107483</v>
      </c>
      <c r="H2728" t="s">
        <v>32</v>
      </c>
      <c r="I2728" t="s">
        <v>3952</v>
      </c>
      <c r="J2728" t="s">
        <v>311</v>
      </c>
      <c r="K2728" t="s">
        <v>29</v>
      </c>
      <c r="L2728">
        <v>0</v>
      </c>
      <c r="M2728" t="s">
        <v>29</v>
      </c>
      <c r="N2728">
        <v>0</v>
      </c>
      <c r="O2728">
        <v>0</v>
      </c>
      <c r="P2728" t="s">
        <v>30</v>
      </c>
      <c r="Q2728" s="2">
        <v>0.7</v>
      </c>
      <c r="R2728">
        <v>0</v>
      </c>
      <c r="V2728" t="str">
        <f>VLOOKUP(H2728,'[1]팀별 출판사'!A:B,2,0)</f>
        <v>소설1팀</v>
      </c>
      <c r="W2728" s="6">
        <f t="shared" si="84"/>
        <v>0</v>
      </c>
      <c r="X2728" s="6">
        <f t="shared" si="85"/>
        <v>0</v>
      </c>
    </row>
    <row r="2729" spans="1:24" x14ac:dyDescent="0.3">
      <c r="A2729" t="s">
        <v>4036</v>
      </c>
      <c r="B2729" t="s">
        <v>4069</v>
      </c>
      <c r="C2729" t="s">
        <v>23</v>
      </c>
      <c r="D2729" t="s">
        <v>24</v>
      </c>
      <c r="E2729" t="s">
        <v>25</v>
      </c>
      <c r="F2729">
        <v>1</v>
      </c>
      <c r="G2729">
        <v>9791133144792</v>
      </c>
      <c r="H2729" t="s">
        <v>32</v>
      </c>
      <c r="I2729" t="s">
        <v>223</v>
      </c>
      <c r="J2729" t="s">
        <v>88</v>
      </c>
      <c r="K2729" t="s">
        <v>29</v>
      </c>
      <c r="L2729">
        <v>0</v>
      </c>
      <c r="M2729" t="s">
        <v>29</v>
      </c>
      <c r="N2729">
        <v>0</v>
      </c>
      <c r="O2729">
        <v>0</v>
      </c>
      <c r="P2729" t="s">
        <v>30</v>
      </c>
      <c r="Q2729" s="2">
        <v>0.7</v>
      </c>
      <c r="R2729">
        <v>0</v>
      </c>
      <c r="V2729" t="str">
        <f>VLOOKUP(H2729,'[1]팀별 출판사'!A:B,2,0)</f>
        <v>소설1팀</v>
      </c>
      <c r="W2729" s="6">
        <f t="shared" si="84"/>
        <v>0</v>
      </c>
      <c r="X2729" s="6">
        <f t="shared" si="85"/>
        <v>0</v>
      </c>
    </row>
    <row r="2730" spans="1:24" x14ac:dyDescent="0.3">
      <c r="A2730" t="s">
        <v>4036</v>
      </c>
      <c r="B2730" t="s">
        <v>4070</v>
      </c>
      <c r="C2730" t="s">
        <v>23</v>
      </c>
      <c r="D2730" t="s">
        <v>24</v>
      </c>
      <c r="E2730" t="s">
        <v>25</v>
      </c>
      <c r="F2730">
        <v>1</v>
      </c>
      <c r="G2730">
        <v>9791157533107</v>
      </c>
      <c r="H2730" t="s">
        <v>32</v>
      </c>
      <c r="I2730" t="s">
        <v>4071</v>
      </c>
      <c r="J2730" t="s">
        <v>187</v>
      </c>
      <c r="K2730" t="s">
        <v>29</v>
      </c>
      <c r="L2730">
        <v>0</v>
      </c>
      <c r="M2730" t="s">
        <v>29</v>
      </c>
      <c r="N2730">
        <v>0</v>
      </c>
      <c r="O2730">
        <v>0</v>
      </c>
      <c r="P2730" t="s">
        <v>30</v>
      </c>
      <c r="Q2730" s="2">
        <v>0.7</v>
      </c>
      <c r="R2730">
        <v>0</v>
      </c>
      <c r="V2730" t="str">
        <f>VLOOKUP(H2730,'[1]팀별 출판사'!A:B,2,0)</f>
        <v>소설1팀</v>
      </c>
      <c r="W2730" s="6">
        <f t="shared" si="84"/>
        <v>0</v>
      </c>
      <c r="X2730" s="6">
        <f t="shared" si="85"/>
        <v>0</v>
      </c>
    </row>
    <row r="2731" spans="1:24" x14ac:dyDescent="0.3">
      <c r="A2731" t="s">
        <v>4036</v>
      </c>
      <c r="B2731" t="s">
        <v>4072</v>
      </c>
      <c r="C2731" t="s">
        <v>23</v>
      </c>
      <c r="D2731" t="s">
        <v>24</v>
      </c>
      <c r="E2731" t="s">
        <v>25</v>
      </c>
      <c r="F2731">
        <v>1</v>
      </c>
      <c r="G2731">
        <v>9791133141487</v>
      </c>
      <c r="H2731" t="s">
        <v>32</v>
      </c>
      <c r="I2731" t="s">
        <v>1015</v>
      </c>
      <c r="J2731" t="s">
        <v>511</v>
      </c>
      <c r="K2731" t="s">
        <v>29</v>
      </c>
      <c r="L2731">
        <v>0</v>
      </c>
      <c r="M2731" t="s">
        <v>29</v>
      </c>
      <c r="N2731">
        <v>0</v>
      </c>
      <c r="O2731">
        <v>0</v>
      </c>
      <c r="P2731" t="s">
        <v>30</v>
      </c>
      <c r="Q2731" s="2">
        <v>0.7</v>
      </c>
      <c r="R2731">
        <v>0</v>
      </c>
      <c r="V2731" t="str">
        <f>VLOOKUP(H2731,'[1]팀별 출판사'!A:B,2,0)</f>
        <v>소설1팀</v>
      </c>
      <c r="W2731" s="6">
        <f t="shared" si="84"/>
        <v>0</v>
      </c>
      <c r="X2731" s="6">
        <f t="shared" si="85"/>
        <v>0</v>
      </c>
    </row>
    <row r="2732" spans="1:24" x14ac:dyDescent="0.3">
      <c r="A2732" t="s">
        <v>4036</v>
      </c>
      <c r="B2732" t="s">
        <v>4073</v>
      </c>
      <c r="C2732" t="s">
        <v>23</v>
      </c>
      <c r="D2732" t="s">
        <v>24</v>
      </c>
      <c r="E2732" t="s">
        <v>25</v>
      </c>
      <c r="F2732">
        <v>1</v>
      </c>
      <c r="G2732">
        <v>9791170107927</v>
      </c>
      <c r="H2732" t="s">
        <v>67</v>
      </c>
      <c r="I2732" t="s">
        <v>4074</v>
      </c>
      <c r="J2732" t="s">
        <v>4075</v>
      </c>
      <c r="K2732" t="s">
        <v>29</v>
      </c>
      <c r="L2732">
        <v>0</v>
      </c>
      <c r="M2732" t="s">
        <v>29</v>
      </c>
      <c r="N2732">
        <v>0</v>
      </c>
      <c r="O2732">
        <v>0</v>
      </c>
      <c r="P2732" t="s">
        <v>30</v>
      </c>
      <c r="Q2732" s="2">
        <v>0.7</v>
      </c>
      <c r="R2732">
        <v>0</v>
      </c>
      <c r="V2732" t="str">
        <f>VLOOKUP(H2732,'[1]팀별 출판사'!A:B,2,0)</f>
        <v>소설1팀</v>
      </c>
      <c r="W2732" s="6">
        <f t="shared" si="84"/>
        <v>0</v>
      </c>
      <c r="X2732" s="6">
        <f t="shared" si="85"/>
        <v>0</v>
      </c>
    </row>
    <row r="2733" spans="1:24" x14ac:dyDescent="0.3">
      <c r="A2733" t="s">
        <v>4036</v>
      </c>
      <c r="B2733" t="s">
        <v>4076</v>
      </c>
      <c r="C2733" t="s">
        <v>23</v>
      </c>
      <c r="D2733" t="s">
        <v>24</v>
      </c>
      <c r="E2733" t="s">
        <v>25</v>
      </c>
      <c r="F2733">
        <v>1</v>
      </c>
      <c r="G2733">
        <v>9791170107286</v>
      </c>
      <c r="H2733" t="s">
        <v>67</v>
      </c>
      <c r="I2733" t="s">
        <v>4077</v>
      </c>
      <c r="J2733" t="s">
        <v>4078</v>
      </c>
      <c r="K2733" t="s">
        <v>29</v>
      </c>
      <c r="L2733">
        <v>0</v>
      </c>
      <c r="M2733" t="s">
        <v>29</v>
      </c>
      <c r="N2733">
        <v>0</v>
      </c>
      <c r="O2733">
        <v>0</v>
      </c>
      <c r="P2733" t="s">
        <v>30</v>
      </c>
      <c r="Q2733" s="2">
        <v>0.7</v>
      </c>
      <c r="R2733">
        <v>0</v>
      </c>
      <c r="V2733" t="str">
        <f>VLOOKUP(H2733,'[1]팀별 출판사'!A:B,2,0)</f>
        <v>소설1팀</v>
      </c>
      <c r="W2733" s="6">
        <f t="shared" si="84"/>
        <v>0</v>
      </c>
      <c r="X2733" s="6">
        <f t="shared" si="85"/>
        <v>0</v>
      </c>
    </row>
    <row r="2734" spans="1:24" x14ac:dyDescent="0.3">
      <c r="A2734" t="s">
        <v>4036</v>
      </c>
      <c r="B2734" t="s">
        <v>4079</v>
      </c>
      <c r="C2734" t="s">
        <v>23</v>
      </c>
      <c r="D2734" t="s">
        <v>24</v>
      </c>
      <c r="E2734" t="s">
        <v>25</v>
      </c>
      <c r="F2734">
        <v>1</v>
      </c>
      <c r="G2734">
        <v>9791170105800</v>
      </c>
      <c r="H2734" t="s">
        <v>67</v>
      </c>
      <c r="I2734" t="s">
        <v>2921</v>
      </c>
      <c r="J2734" t="s">
        <v>2922</v>
      </c>
      <c r="K2734" t="s">
        <v>29</v>
      </c>
      <c r="L2734">
        <v>0</v>
      </c>
      <c r="M2734" t="s">
        <v>29</v>
      </c>
      <c r="N2734">
        <v>0</v>
      </c>
      <c r="O2734">
        <v>0</v>
      </c>
      <c r="P2734" t="s">
        <v>30</v>
      </c>
      <c r="Q2734" s="2">
        <v>0.7</v>
      </c>
      <c r="R2734">
        <v>0</v>
      </c>
      <c r="V2734" t="str">
        <f>VLOOKUP(H2734,'[1]팀별 출판사'!A:B,2,0)</f>
        <v>소설1팀</v>
      </c>
      <c r="W2734" s="6">
        <f t="shared" si="84"/>
        <v>0</v>
      </c>
      <c r="X2734" s="6">
        <f t="shared" si="85"/>
        <v>0</v>
      </c>
    </row>
    <row r="2735" spans="1:24" x14ac:dyDescent="0.3">
      <c r="A2735" t="s">
        <v>4036</v>
      </c>
      <c r="B2735" t="s">
        <v>4080</v>
      </c>
      <c r="C2735" t="s">
        <v>23</v>
      </c>
      <c r="D2735" t="s">
        <v>24</v>
      </c>
      <c r="E2735" t="s">
        <v>25</v>
      </c>
      <c r="F2735">
        <v>1</v>
      </c>
      <c r="G2735">
        <v>9791133143863</v>
      </c>
      <c r="H2735" t="s">
        <v>32</v>
      </c>
      <c r="I2735" t="s">
        <v>4081</v>
      </c>
      <c r="J2735" t="s">
        <v>88</v>
      </c>
      <c r="K2735" t="s">
        <v>29</v>
      </c>
      <c r="L2735" s="1">
        <v>3200</v>
      </c>
      <c r="M2735" t="s">
        <v>29</v>
      </c>
      <c r="N2735" s="1">
        <v>3200</v>
      </c>
      <c r="O2735" s="1">
        <v>3200</v>
      </c>
      <c r="P2735" t="s">
        <v>30</v>
      </c>
      <c r="Q2735" s="2">
        <v>0.7</v>
      </c>
      <c r="R2735" s="1">
        <v>2240</v>
      </c>
      <c r="S2735" t="s">
        <v>29</v>
      </c>
      <c r="T2735" s="1">
        <v>2240</v>
      </c>
      <c r="V2735" t="str">
        <f>VLOOKUP(H2735,'[1]팀별 출판사'!A:B,2,0)</f>
        <v>소설1팀</v>
      </c>
      <c r="W2735" s="6">
        <f t="shared" si="84"/>
        <v>0</v>
      </c>
      <c r="X2735" s="6">
        <f t="shared" si="85"/>
        <v>2240</v>
      </c>
    </row>
    <row r="2736" spans="1:24" x14ac:dyDescent="0.3">
      <c r="A2736" t="s">
        <v>4036</v>
      </c>
      <c r="B2736" t="s">
        <v>4082</v>
      </c>
      <c r="C2736" t="s">
        <v>23</v>
      </c>
      <c r="D2736" t="s">
        <v>24</v>
      </c>
      <c r="E2736" t="s">
        <v>25</v>
      </c>
      <c r="F2736">
        <v>1</v>
      </c>
      <c r="G2736" t="s">
        <v>416</v>
      </c>
      <c r="H2736" t="s">
        <v>32</v>
      </c>
      <c r="I2736" t="s">
        <v>417</v>
      </c>
      <c r="J2736" t="s">
        <v>418</v>
      </c>
      <c r="K2736" t="s">
        <v>29</v>
      </c>
      <c r="L2736">
        <v>0</v>
      </c>
      <c r="M2736" t="s">
        <v>29</v>
      </c>
      <c r="N2736">
        <v>0</v>
      </c>
      <c r="O2736">
        <v>0</v>
      </c>
      <c r="P2736" t="s">
        <v>30</v>
      </c>
      <c r="Q2736" s="2">
        <v>0.7</v>
      </c>
      <c r="R2736">
        <v>0</v>
      </c>
      <c r="V2736" t="str">
        <f>VLOOKUP(H2736,'[1]팀별 출판사'!A:B,2,0)</f>
        <v>소설1팀</v>
      </c>
      <c r="W2736" s="6">
        <f t="shared" si="84"/>
        <v>0</v>
      </c>
      <c r="X2736" s="6">
        <f t="shared" si="85"/>
        <v>0</v>
      </c>
    </row>
    <row r="2737" spans="1:24" x14ac:dyDescent="0.3">
      <c r="A2737" t="s">
        <v>4036</v>
      </c>
      <c r="B2737" t="s">
        <v>4083</v>
      </c>
      <c r="C2737" t="s">
        <v>23</v>
      </c>
      <c r="D2737" t="s">
        <v>24</v>
      </c>
      <c r="E2737" t="s">
        <v>25</v>
      </c>
      <c r="F2737">
        <v>1</v>
      </c>
      <c r="G2737">
        <v>9791157533503</v>
      </c>
      <c r="H2737" t="s">
        <v>32</v>
      </c>
      <c r="I2737" t="s">
        <v>383</v>
      </c>
      <c r="J2737" t="s">
        <v>187</v>
      </c>
      <c r="K2737" t="s">
        <v>29</v>
      </c>
      <c r="L2737">
        <v>0</v>
      </c>
      <c r="M2737" t="s">
        <v>29</v>
      </c>
      <c r="N2737">
        <v>0</v>
      </c>
      <c r="O2737">
        <v>0</v>
      </c>
      <c r="P2737" t="s">
        <v>30</v>
      </c>
      <c r="Q2737" s="2">
        <v>0.7</v>
      </c>
      <c r="R2737">
        <v>0</v>
      </c>
      <c r="V2737" t="str">
        <f>VLOOKUP(H2737,'[1]팀별 출판사'!A:B,2,0)</f>
        <v>소설1팀</v>
      </c>
      <c r="W2737" s="6">
        <f t="shared" si="84"/>
        <v>0</v>
      </c>
      <c r="X2737" s="6">
        <f t="shared" si="85"/>
        <v>0</v>
      </c>
    </row>
    <row r="2738" spans="1:24" x14ac:dyDescent="0.3">
      <c r="A2738" t="s">
        <v>4036</v>
      </c>
      <c r="B2738" t="s">
        <v>4084</v>
      </c>
      <c r="C2738" t="s">
        <v>23</v>
      </c>
      <c r="D2738" t="s">
        <v>24</v>
      </c>
      <c r="E2738" t="s">
        <v>25</v>
      </c>
      <c r="F2738">
        <v>1</v>
      </c>
      <c r="G2738">
        <v>9791133102716</v>
      </c>
      <c r="H2738" t="s">
        <v>32</v>
      </c>
      <c r="I2738" t="s">
        <v>673</v>
      </c>
      <c r="J2738" t="s">
        <v>51</v>
      </c>
      <c r="K2738" t="s">
        <v>29</v>
      </c>
      <c r="L2738">
        <v>0</v>
      </c>
      <c r="M2738" t="s">
        <v>29</v>
      </c>
      <c r="N2738">
        <v>0</v>
      </c>
      <c r="O2738">
        <v>0</v>
      </c>
      <c r="P2738" t="s">
        <v>30</v>
      </c>
      <c r="Q2738" s="2">
        <v>0.7</v>
      </c>
      <c r="R2738">
        <v>0</v>
      </c>
      <c r="V2738" t="str">
        <f>VLOOKUP(H2738,'[1]팀별 출판사'!A:B,2,0)</f>
        <v>소설1팀</v>
      </c>
      <c r="W2738" s="6">
        <f t="shared" si="84"/>
        <v>0</v>
      </c>
      <c r="X2738" s="6">
        <f t="shared" si="85"/>
        <v>0</v>
      </c>
    </row>
    <row r="2739" spans="1:24" x14ac:dyDescent="0.3">
      <c r="A2739" t="s">
        <v>4036</v>
      </c>
      <c r="B2739" t="s">
        <v>4085</v>
      </c>
      <c r="C2739" t="s">
        <v>23</v>
      </c>
      <c r="D2739" t="s">
        <v>24</v>
      </c>
      <c r="E2739" t="s">
        <v>25</v>
      </c>
      <c r="F2739">
        <v>1</v>
      </c>
      <c r="G2739">
        <v>9791136988416</v>
      </c>
      <c r="H2739" t="s">
        <v>26</v>
      </c>
      <c r="I2739" t="s">
        <v>3648</v>
      </c>
      <c r="J2739" t="s">
        <v>28</v>
      </c>
      <c r="K2739" t="s">
        <v>29</v>
      </c>
      <c r="L2739" s="1">
        <v>3200</v>
      </c>
      <c r="M2739" t="s">
        <v>29</v>
      </c>
      <c r="N2739" s="1">
        <v>3200</v>
      </c>
      <c r="O2739" s="1">
        <v>3200</v>
      </c>
      <c r="P2739" t="s">
        <v>30</v>
      </c>
      <c r="Q2739" s="2">
        <v>0.7</v>
      </c>
      <c r="R2739" s="1">
        <v>2240</v>
      </c>
      <c r="S2739" t="s">
        <v>29</v>
      </c>
      <c r="T2739" s="1">
        <v>2240</v>
      </c>
      <c r="V2739" t="str">
        <f>VLOOKUP(H2739,'[1]팀별 출판사'!A:B,2,0)</f>
        <v>소설1팀</v>
      </c>
      <c r="W2739" s="6">
        <f t="shared" si="84"/>
        <v>0</v>
      </c>
      <c r="X2739" s="6">
        <f t="shared" si="85"/>
        <v>2240</v>
      </c>
    </row>
    <row r="2740" spans="1:24" x14ac:dyDescent="0.3">
      <c r="A2740" t="s">
        <v>4036</v>
      </c>
      <c r="B2740" t="s">
        <v>4086</v>
      </c>
      <c r="C2740" t="s">
        <v>23</v>
      </c>
      <c r="D2740" t="s">
        <v>24</v>
      </c>
      <c r="E2740" t="s">
        <v>25</v>
      </c>
      <c r="F2740">
        <v>1</v>
      </c>
      <c r="G2740">
        <v>9791133184484</v>
      </c>
      <c r="H2740" t="s">
        <v>26</v>
      </c>
      <c r="I2740" t="s">
        <v>4087</v>
      </c>
      <c r="J2740" t="s">
        <v>284</v>
      </c>
      <c r="K2740" t="s">
        <v>29</v>
      </c>
      <c r="L2740" s="1">
        <v>3200</v>
      </c>
      <c r="M2740" t="s">
        <v>29</v>
      </c>
      <c r="N2740" s="1">
        <v>3200</v>
      </c>
      <c r="O2740" s="1">
        <v>3200</v>
      </c>
      <c r="P2740" t="s">
        <v>30</v>
      </c>
      <c r="Q2740" s="2">
        <v>0.7</v>
      </c>
      <c r="R2740" s="1">
        <v>2240</v>
      </c>
      <c r="S2740" t="s">
        <v>29</v>
      </c>
      <c r="T2740" s="1">
        <v>2240</v>
      </c>
      <c r="V2740" t="str">
        <f>VLOOKUP(H2740,'[1]팀별 출판사'!A:B,2,0)</f>
        <v>소설1팀</v>
      </c>
      <c r="W2740" s="6">
        <f t="shared" si="84"/>
        <v>0</v>
      </c>
      <c r="X2740" s="6">
        <f t="shared" si="85"/>
        <v>2240</v>
      </c>
    </row>
    <row r="2741" spans="1:24" x14ac:dyDescent="0.3">
      <c r="A2741" t="s">
        <v>4036</v>
      </c>
      <c r="B2741" t="s">
        <v>4088</v>
      </c>
      <c r="C2741" t="s">
        <v>23</v>
      </c>
      <c r="D2741" t="s">
        <v>24</v>
      </c>
      <c r="E2741" t="s">
        <v>25</v>
      </c>
      <c r="F2741">
        <v>1</v>
      </c>
      <c r="G2741">
        <v>9791136900180</v>
      </c>
      <c r="H2741" t="s">
        <v>26</v>
      </c>
      <c r="I2741" t="s">
        <v>1267</v>
      </c>
      <c r="J2741" t="s">
        <v>436</v>
      </c>
      <c r="K2741" t="s">
        <v>29</v>
      </c>
      <c r="L2741">
        <v>0</v>
      </c>
      <c r="M2741" t="s">
        <v>29</v>
      </c>
      <c r="N2741">
        <v>0</v>
      </c>
      <c r="O2741">
        <v>0</v>
      </c>
      <c r="P2741" t="s">
        <v>30</v>
      </c>
      <c r="Q2741" s="2">
        <v>0.7</v>
      </c>
      <c r="R2741">
        <v>0</v>
      </c>
      <c r="V2741" t="str">
        <f>VLOOKUP(H2741,'[1]팀별 출판사'!A:B,2,0)</f>
        <v>소설1팀</v>
      </c>
      <c r="W2741" s="6">
        <f t="shared" si="84"/>
        <v>0</v>
      </c>
      <c r="X2741" s="6">
        <f t="shared" si="85"/>
        <v>0</v>
      </c>
    </row>
    <row r="2742" spans="1:24" x14ac:dyDescent="0.3">
      <c r="A2742" t="s">
        <v>4036</v>
      </c>
      <c r="B2742" t="s">
        <v>4089</v>
      </c>
      <c r="C2742" t="s">
        <v>23</v>
      </c>
      <c r="D2742" t="s">
        <v>24</v>
      </c>
      <c r="E2742" t="s">
        <v>25</v>
      </c>
      <c r="F2742">
        <v>1</v>
      </c>
      <c r="G2742">
        <v>9791136910998</v>
      </c>
      <c r="H2742" t="s">
        <v>26</v>
      </c>
      <c r="I2742" t="s">
        <v>4090</v>
      </c>
      <c r="J2742" t="s">
        <v>160</v>
      </c>
      <c r="K2742" t="s">
        <v>29</v>
      </c>
      <c r="L2742" s="1">
        <v>3200</v>
      </c>
      <c r="M2742" t="s">
        <v>29</v>
      </c>
      <c r="N2742" s="1">
        <v>3200</v>
      </c>
      <c r="O2742" s="1">
        <v>3200</v>
      </c>
      <c r="P2742" t="s">
        <v>30</v>
      </c>
      <c r="Q2742" s="2">
        <v>0.7</v>
      </c>
      <c r="R2742" s="1">
        <v>2240</v>
      </c>
      <c r="S2742" t="s">
        <v>29</v>
      </c>
      <c r="T2742" s="1">
        <v>2240</v>
      </c>
      <c r="V2742" t="str">
        <f>VLOOKUP(H2742,'[1]팀별 출판사'!A:B,2,0)</f>
        <v>소설1팀</v>
      </c>
      <c r="W2742" s="6">
        <f t="shared" si="84"/>
        <v>0</v>
      </c>
      <c r="X2742" s="6">
        <f t="shared" si="85"/>
        <v>2240</v>
      </c>
    </row>
    <row r="2743" spans="1:24" x14ac:dyDescent="0.3">
      <c r="A2743" t="s">
        <v>4036</v>
      </c>
      <c r="B2743" t="s">
        <v>4091</v>
      </c>
      <c r="C2743" t="s">
        <v>23</v>
      </c>
      <c r="D2743" t="s">
        <v>24</v>
      </c>
      <c r="E2743" t="s">
        <v>25</v>
      </c>
      <c r="F2743">
        <v>1</v>
      </c>
      <c r="G2743">
        <v>9791170101321</v>
      </c>
      <c r="H2743" t="s">
        <v>67</v>
      </c>
      <c r="I2743" t="s">
        <v>848</v>
      </c>
      <c r="J2743" t="s">
        <v>414</v>
      </c>
      <c r="K2743" t="s">
        <v>29</v>
      </c>
      <c r="L2743">
        <v>0</v>
      </c>
      <c r="M2743" t="s">
        <v>29</v>
      </c>
      <c r="N2743">
        <v>0</v>
      </c>
      <c r="O2743">
        <v>0</v>
      </c>
      <c r="P2743" t="s">
        <v>30</v>
      </c>
      <c r="Q2743" s="2">
        <v>0.7</v>
      </c>
      <c r="R2743">
        <v>0</v>
      </c>
      <c r="V2743" t="str">
        <f>VLOOKUP(H2743,'[1]팀별 출판사'!A:B,2,0)</f>
        <v>소설1팀</v>
      </c>
      <c r="W2743" s="6">
        <f t="shared" si="84"/>
        <v>0</v>
      </c>
      <c r="X2743" s="6">
        <f t="shared" si="85"/>
        <v>0</v>
      </c>
    </row>
    <row r="2744" spans="1:24" x14ac:dyDescent="0.3">
      <c r="A2744" t="s">
        <v>4036</v>
      </c>
      <c r="B2744" t="s">
        <v>4092</v>
      </c>
      <c r="C2744" t="s">
        <v>23</v>
      </c>
      <c r="D2744" t="s">
        <v>24</v>
      </c>
      <c r="E2744" t="s">
        <v>25</v>
      </c>
      <c r="F2744">
        <v>1</v>
      </c>
      <c r="G2744">
        <v>9791133101788</v>
      </c>
      <c r="H2744" t="s">
        <v>32</v>
      </c>
      <c r="I2744" t="s">
        <v>870</v>
      </c>
      <c r="J2744" t="s">
        <v>160</v>
      </c>
      <c r="K2744" t="s">
        <v>29</v>
      </c>
      <c r="L2744">
        <v>0</v>
      </c>
      <c r="M2744" t="s">
        <v>29</v>
      </c>
      <c r="N2744">
        <v>0</v>
      </c>
      <c r="O2744">
        <v>0</v>
      </c>
      <c r="P2744" t="s">
        <v>30</v>
      </c>
      <c r="Q2744" s="2">
        <v>0.7</v>
      </c>
      <c r="R2744">
        <v>0</v>
      </c>
      <c r="V2744" t="str">
        <f>VLOOKUP(H2744,'[1]팀별 출판사'!A:B,2,0)</f>
        <v>소설1팀</v>
      </c>
      <c r="W2744" s="6">
        <f t="shared" si="84"/>
        <v>0</v>
      </c>
      <c r="X2744" s="6">
        <f t="shared" si="85"/>
        <v>0</v>
      </c>
    </row>
    <row r="2745" spans="1:24" x14ac:dyDescent="0.3">
      <c r="A2745" t="s">
        <v>4036</v>
      </c>
      <c r="B2745" t="s">
        <v>4093</v>
      </c>
      <c r="C2745" t="s">
        <v>23</v>
      </c>
      <c r="D2745" t="s">
        <v>24</v>
      </c>
      <c r="E2745" t="s">
        <v>25</v>
      </c>
      <c r="F2745">
        <v>1</v>
      </c>
      <c r="G2745">
        <v>9791133171453</v>
      </c>
      <c r="H2745" t="s">
        <v>26</v>
      </c>
      <c r="I2745" t="s">
        <v>573</v>
      </c>
      <c r="J2745" t="s">
        <v>287</v>
      </c>
      <c r="K2745" t="s">
        <v>29</v>
      </c>
      <c r="L2745">
        <v>0</v>
      </c>
      <c r="M2745" t="s">
        <v>29</v>
      </c>
      <c r="N2745">
        <v>0</v>
      </c>
      <c r="O2745">
        <v>0</v>
      </c>
      <c r="P2745" t="s">
        <v>30</v>
      </c>
      <c r="Q2745" s="2">
        <v>0.7</v>
      </c>
      <c r="R2745">
        <v>0</v>
      </c>
      <c r="V2745" t="str">
        <f>VLOOKUP(H2745,'[1]팀별 출판사'!A:B,2,0)</f>
        <v>소설1팀</v>
      </c>
      <c r="W2745" s="6">
        <f t="shared" si="84"/>
        <v>0</v>
      </c>
      <c r="X2745" s="6">
        <f t="shared" si="85"/>
        <v>0</v>
      </c>
    </row>
    <row r="2746" spans="1:24" x14ac:dyDescent="0.3">
      <c r="A2746" t="s">
        <v>4036</v>
      </c>
      <c r="B2746" t="s">
        <v>4094</v>
      </c>
      <c r="C2746" t="s">
        <v>23</v>
      </c>
      <c r="D2746" t="s">
        <v>24</v>
      </c>
      <c r="E2746" t="s">
        <v>25</v>
      </c>
      <c r="F2746">
        <v>1</v>
      </c>
      <c r="G2746">
        <v>9791170101284</v>
      </c>
      <c r="H2746" t="s">
        <v>67</v>
      </c>
      <c r="I2746" t="s">
        <v>1187</v>
      </c>
      <c r="J2746" t="s">
        <v>414</v>
      </c>
      <c r="K2746" t="s">
        <v>29</v>
      </c>
      <c r="L2746">
        <v>0</v>
      </c>
      <c r="M2746" t="s">
        <v>29</v>
      </c>
      <c r="N2746">
        <v>0</v>
      </c>
      <c r="O2746">
        <v>0</v>
      </c>
      <c r="P2746" t="s">
        <v>30</v>
      </c>
      <c r="Q2746" s="2">
        <v>0.7</v>
      </c>
      <c r="R2746">
        <v>0</v>
      </c>
      <c r="V2746" t="str">
        <f>VLOOKUP(H2746,'[1]팀별 출판사'!A:B,2,0)</f>
        <v>소설1팀</v>
      </c>
      <c r="W2746" s="6">
        <f t="shared" si="84"/>
        <v>0</v>
      </c>
      <c r="X2746" s="6">
        <f t="shared" si="85"/>
        <v>0</v>
      </c>
    </row>
    <row r="2747" spans="1:24" x14ac:dyDescent="0.3">
      <c r="A2747" t="s">
        <v>4036</v>
      </c>
      <c r="B2747" t="s">
        <v>4095</v>
      </c>
      <c r="C2747" t="s">
        <v>23</v>
      </c>
      <c r="D2747" t="s">
        <v>24</v>
      </c>
      <c r="E2747" t="s">
        <v>25</v>
      </c>
      <c r="F2747">
        <v>1</v>
      </c>
      <c r="G2747">
        <v>9791136942036</v>
      </c>
      <c r="H2747" t="s">
        <v>26</v>
      </c>
      <c r="I2747" t="s">
        <v>1941</v>
      </c>
      <c r="J2747" t="s">
        <v>81</v>
      </c>
      <c r="K2747" t="s">
        <v>29</v>
      </c>
      <c r="L2747">
        <v>0</v>
      </c>
      <c r="M2747" t="s">
        <v>29</v>
      </c>
      <c r="N2747">
        <v>0</v>
      </c>
      <c r="O2747">
        <v>0</v>
      </c>
      <c r="P2747" t="s">
        <v>30</v>
      </c>
      <c r="Q2747" s="2">
        <v>0.7</v>
      </c>
      <c r="R2747">
        <v>0</v>
      </c>
      <c r="V2747" t="str">
        <f>VLOOKUP(H2747,'[1]팀별 출판사'!A:B,2,0)</f>
        <v>소설1팀</v>
      </c>
      <c r="W2747" s="6">
        <f t="shared" si="84"/>
        <v>0</v>
      </c>
      <c r="X2747" s="6">
        <f t="shared" si="85"/>
        <v>0</v>
      </c>
    </row>
    <row r="2748" spans="1:24" x14ac:dyDescent="0.3">
      <c r="A2748" t="s">
        <v>4036</v>
      </c>
      <c r="B2748" t="s">
        <v>4096</v>
      </c>
      <c r="C2748" t="s">
        <v>23</v>
      </c>
      <c r="D2748" t="s">
        <v>24</v>
      </c>
      <c r="E2748" t="s">
        <v>25</v>
      </c>
      <c r="F2748">
        <v>1</v>
      </c>
      <c r="G2748">
        <v>9791170106500</v>
      </c>
      <c r="H2748" t="s">
        <v>67</v>
      </c>
      <c r="I2748" t="s">
        <v>931</v>
      </c>
      <c r="J2748" t="s">
        <v>932</v>
      </c>
      <c r="K2748" t="s">
        <v>29</v>
      </c>
      <c r="L2748">
        <v>0</v>
      </c>
      <c r="M2748" t="s">
        <v>47</v>
      </c>
      <c r="N2748">
        <v>0</v>
      </c>
      <c r="O2748">
        <v>0</v>
      </c>
      <c r="P2748" t="s">
        <v>48</v>
      </c>
      <c r="Q2748" s="2">
        <v>0.7</v>
      </c>
      <c r="R2748">
        <v>0</v>
      </c>
      <c r="V2748" t="str">
        <f>VLOOKUP(H2748,'[1]팀별 출판사'!A:B,2,0)</f>
        <v>소설1팀</v>
      </c>
      <c r="W2748" s="6">
        <f t="shared" si="84"/>
        <v>0</v>
      </c>
      <c r="X2748" s="6">
        <f t="shared" si="85"/>
        <v>0</v>
      </c>
    </row>
    <row r="2749" spans="1:24" x14ac:dyDescent="0.3">
      <c r="A2749" t="s">
        <v>4036</v>
      </c>
      <c r="B2749" t="s">
        <v>4097</v>
      </c>
      <c r="C2749" t="s">
        <v>23</v>
      </c>
      <c r="D2749" t="s">
        <v>24</v>
      </c>
      <c r="E2749" t="s">
        <v>25</v>
      </c>
      <c r="F2749">
        <v>1</v>
      </c>
      <c r="G2749">
        <v>9791170105695</v>
      </c>
      <c r="H2749" t="s">
        <v>67</v>
      </c>
      <c r="I2749" t="s">
        <v>578</v>
      </c>
      <c r="J2749" t="s">
        <v>579</v>
      </c>
      <c r="K2749" t="s">
        <v>29</v>
      </c>
      <c r="L2749">
        <v>0</v>
      </c>
      <c r="M2749" t="s">
        <v>47</v>
      </c>
      <c r="N2749">
        <v>0</v>
      </c>
      <c r="O2749">
        <v>0</v>
      </c>
      <c r="P2749" t="s">
        <v>48</v>
      </c>
      <c r="Q2749" s="2">
        <v>0.7</v>
      </c>
      <c r="R2749">
        <v>0</v>
      </c>
      <c r="V2749" t="str">
        <f>VLOOKUP(H2749,'[1]팀별 출판사'!A:B,2,0)</f>
        <v>소설1팀</v>
      </c>
      <c r="W2749" s="6">
        <f t="shared" si="84"/>
        <v>0</v>
      </c>
      <c r="X2749" s="6">
        <f t="shared" si="85"/>
        <v>0</v>
      </c>
    </row>
    <row r="2750" spans="1:24" x14ac:dyDescent="0.3">
      <c r="A2750" t="s">
        <v>4036</v>
      </c>
      <c r="B2750" t="s">
        <v>4098</v>
      </c>
      <c r="C2750" t="s">
        <v>23</v>
      </c>
      <c r="D2750" t="s">
        <v>24</v>
      </c>
      <c r="E2750" t="s">
        <v>25</v>
      </c>
      <c r="F2750">
        <v>1</v>
      </c>
      <c r="G2750">
        <v>9791170105985</v>
      </c>
      <c r="H2750" t="s">
        <v>67</v>
      </c>
      <c r="I2750" t="s">
        <v>2420</v>
      </c>
      <c r="J2750" t="s">
        <v>2421</v>
      </c>
      <c r="K2750" t="s">
        <v>29</v>
      </c>
      <c r="L2750">
        <v>0</v>
      </c>
      <c r="M2750" t="s">
        <v>47</v>
      </c>
      <c r="N2750">
        <v>0</v>
      </c>
      <c r="O2750">
        <v>0</v>
      </c>
      <c r="P2750" t="s">
        <v>48</v>
      </c>
      <c r="Q2750" s="2">
        <v>0.7</v>
      </c>
      <c r="R2750">
        <v>0</v>
      </c>
      <c r="V2750" t="str">
        <f>VLOOKUP(H2750,'[1]팀별 출판사'!A:B,2,0)</f>
        <v>소설1팀</v>
      </c>
      <c r="W2750" s="6">
        <f t="shared" si="84"/>
        <v>0</v>
      </c>
      <c r="X2750" s="6">
        <f t="shared" si="85"/>
        <v>0</v>
      </c>
    </row>
    <row r="2751" spans="1:24" x14ac:dyDescent="0.3">
      <c r="A2751" t="s">
        <v>4036</v>
      </c>
      <c r="B2751" t="s">
        <v>4099</v>
      </c>
      <c r="C2751" t="s">
        <v>23</v>
      </c>
      <c r="D2751" t="s">
        <v>24</v>
      </c>
      <c r="E2751" t="s">
        <v>25</v>
      </c>
      <c r="F2751">
        <v>1</v>
      </c>
      <c r="G2751">
        <v>9791136958761</v>
      </c>
      <c r="H2751" t="s">
        <v>79</v>
      </c>
      <c r="I2751" t="s">
        <v>4100</v>
      </c>
      <c r="J2751" t="s">
        <v>81</v>
      </c>
      <c r="K2751" t="s">
        <v>29</v>
      </c>
      <c r="L2751" s="1">
        <v>3200</v>
      </c>
      <c r="M2751" t="s">
        <v>29</v>
      </c>
      <c r="N2751" s="1">
        <v>3200</v>
      </c>
      <c r="O2751" s="1">
        <v>3200</v>
      </c>
      <c r="P2751" t="s">
        <v>30</v>
      </c>
      <c r="Q2751" s="2">
        <v>0.7</v>
      </c>
      <c r="R2751" s="1">
        <v>2240</v>
      </c>
      <c r="S2751" t="s">
        <v>29</v>
      </c>
      <c r="T2751" s="1">
        <v>2240</v>
      </c>
      <c r="V2751" t="str">
        <f>VLOOKUP(H2751,'[1]팀별 출판사'!A:B,2,0)</f>
        <v>소설1팀</v>
      </c>
      <c r="W2751" s="6">
        <f t="shared" si="84"/>
        <v>0</v>
      </c>
      <c r="X2751" s="6">
        <f t="shared" si="85"/>
        <v>2240</v>
      </c>
    </row>
    <row r="2752" spans="1:24" x14ac:dyDescent="0.3">
      <c r="A2752" t="s">
        <v>4036</v>
      </c>
      <c r="B2752" t="s">
        <v>4101</v>
      </c>
      <c r="C2752" t="s">
        <v>23</v>
      </c>
      <c r="D2752" t="s">
        <v>24</v>
      </c>
      <c r="E2752" t="s">
        <v>25</v>
      </c>
      <c r="F2752">
        <v>1</v>
      </c>
      <c r="G2752">
        <v>9791173786136</v>
      </c>
      <c r="H2752" t="s">
        <v>79</v>
      </c>
      <c r="I2752" t="s">
        <v>1476</v>
      </c>
      <c r="J2752" t="s">
        <v>81</v>
      </c>
      <c r="K2752" t="s">
        <v>29</v>
      </c>
      <c r="L2752">
        <v>0</v>
      </c>
      <c r="M2752" t="s">
        <v>29</v>
      </c>
      <c r="N2752">
        <v>0</v>
      </c>
      <c r="O2752">
        <v>0</v>
      </c>
      <c r="P2752" t="s">
        <v>30</v>
      </c>
      <c r="Q2752" s="2">
        <v>0.7</v>
      </c>
      <c r="R2752">
        <v>0</v>
      </c>
      <c r="V2752" t="str">
        <f>VLOOKUP(H2752,'[1]팀별 출판사'!A:B,2,0)</f>
        <v>소설1팀</v>
      </c>
      <c r="W2752" s="6">
        <f t="shared" si="84"/>
        <v>0</v>
      </c>
      <c r="X2752" s="6">
        <f t="shared" si="85"/>
        <v>0</v>
      </c>
    </row>
    <row r="2753" spans="1:24" x14ac:dyDescent="0.3">
      <c r="A2753" t="s">
        <v>4036</v>
      </c>
      <c r="B2753" t="s">
        <v>4102</v>
      </c>
      <c r="C2753" t="s">
        <v>23</v>
      </c>
      <c r="D2753" t="s">
        <v>24</v>
      </c>
      <c r="E2753" t="s">
        <v>25</v>
      </c>
      <c r="F2753">
        <v>1</v>
      </c>
      <c r="G2753" t="s">
        <v>2938</v>
      </c>
      <c r="H2753" t="s">
        <v>32</v>
      </c>
      <c r="I2753" t="s">
        <v>2939</v>
      </c>
      <c r="J2753" t="s">
        <v>2940</v>
      </c>
      <c r="K2753" t="s">
        <v>29</v>
      </c>
      <c r="L2753">
        <v>0</v>
      </c>
      <c r="M2753" t="s">
        <v>29</v>
      </c>
      <c r="N2753">
        <v>0</v>
      </c>
      <c r="O2753">
        <v>0</v>
      </c>
      <c r="P2753" t="s">
        <v>30</v>
      </c>
      <c r="Q2753" s="2">
        <v>0.7</v>
      </c>
      <c r="R2753">
        <v>0</v>
      </c>
      <c r="V2753" t="str">
        <f>VLOOKUP(H2753,'[1]팀별 출판사'!A:B,2,0)</f>
        <v>소설1팀</v>
      </c>
      <c r="W2753" s="6">
        <f t="shared" si="84"/>
        <v>0</v>
      </c>
      <c r="X2753" s="6">
        <f t="shared" si="85"/>
        <v>0</v>
      </c>
    </row>
    <row r="2754" spans="1:24" x14ac:dyDescent="0.3">
      <c r="A2754" t="s">
        <v>4036</v>
      </c>
      <c r="B2754" t="s">
        <v>4103</v>
      </c>
      <c r="C2754" t="s">
        <v>23</v>
      </c>
      <c r="D2754" t="s">
        <v>24</v>
      </c>
      <c r="E2754" t="s">
        <v>25</v>
      </c>
      <c r="F2754">
        <v>1</v>
      </c>
      <c r="G2754">
        <v>9791133125531</v>
      </c>
      <c r="H2754" t="s">
        <v>32</v>
      </c>
      <c r="I2754" t="s">
        <v>4104</v>
      </c>
      <c r="J2754" t="s">
        <v>160</v>
      </c>
      <c r="K2754" t="s">
        <v>29</v>
      </c>
      <c r="L2754" s="1">
        <v>3500</v>
      </c>
      <c r="M2754" t="s">
        <v>29</v>
      </c>
      <c r="N2754" s="1">
        <v>3500</v>
      </c>
      <c r="O2754" s="1">
        <v>3500</v>
      </c>
      <c r="P2754" t="s">
        <v>30</v>
      </c>
      <c r="Q2754" s="2">
        <v>0.7</v>
      </c>
      <c r="R2754" s="1">
        <v>2450</v>
      </c>
      <c r="S2754" t="s">
        <v>29</v>
      </c>
      <c r="T2754" s="1">
        <v>2450</v>
      </c>
      <c r="V2754" t="str">
        <f>VLOOKUP(H2754,'[1]팀별 출판사'!A:B,2,0)</f>
        <v>소설1팀</v>
      </c>
      <c r="W2754" s="6">
        <f t="shared" ref="W2754:W2817" si="86">IF(P2754="US", T2754*30%, 0)</f>
        <v>0</v>
      </c>
      <c r="X2754" s="6">
        <f t="shared" ref="X2754:X2817" si="87">T2754-W2754</f>
        <v>2450</v>
      </c>
    </row>
    <row r="2755" spans="1:24" x14ac:dyDescent="0.3">
      <c r="A2755" t="s">
        <v>4036</v>
      </c>
      <c r="B2755" t="s">
        <v>4105</v>
      </c>
      <c r="C2755" t="s">
        <v>23</v>
      </c>
      <c r="D2755" t="s">
        <v>24</v>
      </c>
      <c r="E2755" t="s">
        <v>25</v>
      </c>
      <c r="F2755">
        <v>1</v>
      </c>
      <c r="G2755">
        <v>9791170106357</v>
      </c>
      <c r="H2755" t="s">
        <v>67</v>
      </c>
      <c r="I2755" t="s">
        <v>2416</v>
      </c>
      <c r="J2755" t="s">
        <v>2417</v>
      </c>
      <c r="K2755" t="s">
        <v>29</v>
      </c>
      <c r="L2755">
        <v>0</v>
      </c>
      <c r="M2755" t="s">
        <v>47</v>
      </c>
      <c r="N2755">
        <v>0</v>
      </c>
      <c r="O2755">
        <v>0</v>
      </c>
      <c r="P2755" t="s">
        <v>48</v>
      </c>
      <c r="Q2755" s="2">
        <v>0.7</v>
      </c>
      <c r="R2755">
        <v>0</v>
      </c>
      <c r="V2755" t="str">
        <f>VLOOKUP(H2755,'[1]팀별 출판사'!A:B,2,0)</f>
        <v>소설1팀</v>
      </c>
      <c r="W2755" s="6">
        <f t="shared" si="86"/>
        <v>0</v>
      </c>
      <c r="X2755" s="6">
        <f t="shared" si="87"/>
        <v>0</v>
      </c>
    </row>
    <row r="2756" spans="1:24" x14ac:dyDescent="0.3">
      <c r="A2756" t="s">
        <v>4036</v>
      </c>
      <c r="B2756" t="s">
        <v>4106</v>
      </c>
      <c r="C2756" t="s">
        <v>23</v>
      </c>
      <c r="D2756" t="s">
        <v>24</v>
      </c>
      <c r="E2756" t="s">
        <v>25</v>
      </c>
      <c r="F2756">
        <v>1</v>
      </c>
      <c r="G2756">
        <v>9791173786136</v>
      </c>
      <c r="H2756" t="s">
        <v>79</v>
      </c>
      <c r="I2756" t="s">
        <v>1476</v>
      </c>
      <c r="J2756" t="s">
        <v>81</v>
      </c>
      <c r="K2756" t="s">
        <v>29</v>
      </c>
      <c r="L2756">
        <v>0</v>
      </c>
      <c r="M2756" t="s">
        <v>29</v>
      </c>
      <c r="N2756">
        <v>0</v>
      </c>
      <c r="O2756">
        <v>0</v>
      </c>
      <c r="P2756" t="s">
        <v>30</v>
      </c>
      <c r="Q2756" s="2">
        <v>0.7</v>
      </c>
      <c r="R2756">
        <v>0</v>
      </c>
      <c r="V2756" t="str">
        <f>VLOOKUP(H2756,'[1]팀별 출판사'!A:B,2,0)</f>
        <v>소설1팀</v>
      </c>
      <c r="W2756" s="6">
        <f t="shared" si="86"/>
        <v>0</v>
      </c>
      <c r="X2756" s="6">
        <f t="shared" si="87"/>
        <v>0</v>
      </c>
    </row>
    <row r="2757" spans="1:24" x14ac:dyDescent="0.3">
      <c r="A2757" t="s">
        <v>4036</v>
      </c>
      <c r="B2757" t="s">
        <v>4107</v>
      </c>
      <c r="C2757" t="s">
        <v>23</v>
      </c>
      <c r="D2757" t="s">
        <v>24</v>
      </c>
      <c r="E2757" t="s">
        <v>25</v>
      </c>
      <c r="F2757">
        <v>1</v>
      </c>
      <c r="G2757">
        <v>9791136944702</v>
      </c>
      <c r="H2757" t="s">
        <v>26</v>
      </c>
      <c r="I2757" t="s">
        <v>913</v>
      </c>
      <c r="J2757" t="s">
        <v>284</v>
      </c>
      <c r="K2757" t="s">
        <v>29</v>
      </c>
      <c r="L2757">
        <v>0</v>
      </c>
      <c r="M2757" t="s">
        <v>29</v>
      </c>
      <c r="N2757">
        <v>0</v>
      </c>
      <c r="O2757">
        <v>0</v>
      </c>
      <c r="P2757" t="s">
        <v>30</v>
      </c>
      <c r="Q2757" s="2">
        <v>0.7</v>
      </c>
      <c r="R2757">
        <v>0</v>
      </c>
      <c r="V2757" t="str">
        <f>VLOOKUP(H2757,'[1]팀별 출판사'!A:B,2,0)</f>
        <v>소설1팀</v>
      </c>
      <c r="W2757" s="6">
        <f t="shared" si="86"/>
        <v>0</v>
      </c>
      <c r="X2757" s="6">
        <f t="shared" si="87"/>
        <v>0</v>
      </c>
    </row>
    <row r="2758" spans="1:24" x14ac:dyDescent="0.3">
      <c r="A2758" t="s">
        <v>4036</v>
      </c>
      <c r="B2758" t="s">
        <v>4108</v>
      </c>
      <c r="C2758" t="s">
        <v>23</v>
      </c>
      <c r="D2758" t="s">
        <v>24</v>
      </c>
      <c r="E2758" t="s">
        <v>25</v>
      </c>
      <c r="F2758">
        <v>1</v>
      </c>
      <c r="G2758">
        <v>9791136930613</v>
      </c>
      <c r="H2758" t="s">
        <v>32</v>
      </c>
      <c r="I2758" t="s">
        <v>57</v>
      </c>
      <c r="J2758" t="s">
        <v>34</v>
      </c>
      <c r="K2758" t="s">
        <v>29</v>
      </c>
      <c r="L2758">
        <v>0</v>
      </c>
      <c r="M2758" t="s">
        <v>29</v>
      </c>
      <c r="N2758">
        <v>0</v>
      </c>
      <c r="O2758">
        <v>0</v>
      </c>
      <c r="P2758" t="s">
        <v>30</v>
      </c>
      <c r="Q2758" s="2">
        <v>0.7</v>
      </c>
      <c r="R2758">
        <v>0</v>
      </c>
      <c r="V2758" t="str">
        <f>VLOOKUP(H2758,'[1]팀별 출판사'!A:B,2,0)</f>
        <v>소설1팀</v>
      </c>
      <c r="W2758" s="6">
        <f t="shared" si="86"/>
        <v>0</v>
      </c>
      <c r="X2758" s="6">
        <f t="shared" si="87"/>
        <v>0</v>
      </c>
    </row>
    <row r="2759" spans="1:24" x14ac:dyDescent="0.3">
      <c r="A2759" t="s">
        <v>4036</v>
      </c>
      <c r="B2759" t="s">
        <v>4109</v>
      </c>
      <c r="C2759" t="s">
        <v>23</v>
      </c>
      <c r="D2759" t="s">
        <v>24</v>
      </c>
      <c r="E2759" t="s">
        <v>25</v>
      </c>
      <c r="F2759">
        <v>1</v>
      </c>
      <c r="G2759">
        <v>9791136930156</v>
      </c>
      <c r="H2759" t="s">
        <v>32</v>
      </c>
      <c r="I2759" t="s">
        <v>702</v>
      </c>
      <c r="J2759" t="s">
        <v>34</v>
      </c>
      <c r="K2759" t="s">
        <v>29</v>
      </c>
      <c r="L2759">
        <v>0</v>
      </c>
      <c r="M2759" t="s">
        <v>47</v>
      </c>
      <c r="N2759">
        <v>0</v>
      </c>
      <c r="O2759">
        <v>0</v>
      </c>
      <c r="P2759" t="s">
        <v>48</v>
      </c>
      <c r="Q2759" s="2">
        <v>0.7</v>
      </c>
      <c r="R2759">
        <v>0</v>
      </c>
      <c r="V2759" t="str">
        <f>VLOOKUP(H2759,'[1]팀별 출판사'!A:B,2,0)</f>
        <v>소설1팀</v>
      </c>
      <c r="W2759" s="6">
        <f t="shared" si="86"/>
        <v>0</v>
      </c>
      <c r="X2759" s="6">
        <f t="shared" si="87"/>
        <v>0</v>
      </c>
    </row>
    <row r="2760" spans="1:24" x14ac:dyDescent="0.3">
      <c r="A2760" t="s">
        <v>4036</v>
      </c>
      <c r="B2760" t="s">
        <v>4110</v>
      </c>
      <c r="C2760" t="s">
        <v>23</v>
      </c>
      <c r="D2760" t="s">
        <v>24</v>
      </c>
      <c r="E2760" t="s">
        <v>25</v>
      </c>
      <c r="F2760">
        <v>1</v>
      </c>
      <c r="G2760">
        <v>9791136932525</v>
      </c>
      <c r="H2760" t="s">
        <v>32</v>
      </c>
      <c r="I2760" t="s">
        <v>4111</v>
      </c>
      <c r="J2760" t="s">
        <v>4112</v>
      </c>
      <c r="K2760" t="s">
        <v>29</v>
      </c>
      <c r="L2760">
        <v>0</v>
      </c>
      <c r="M2760" t="s">
        <v>933</v>
      </c>
      <c r="N2760">
        <v>0</v>
      </c>
      <c r="O2760">
        <v>0</v>
      </c>
      <c r="P2760" t="s">
        <v>934</v>
      </c>
      <c r="Q2760" s="2">
        <v>0.7</v>
      </c>
      <c r="R2760">
        <v>0</v>
      </c>
      <c r="V2760" t="str">
        <f>VLOOKUP(H2760,'[1]팀별 출판사'!A:B,2,0)</f>
        <v>소설1팀</v>
      </c>
      <c r="W2760" s="6">
        <f t="shared" si="86"/>
        <v>0</v>
      </c>
      <c r="X2760" s="6">
        <f t="shared" si="87"/>
        <v>0</v>
      </c>
    </row>
    <row r="2761" spans="1:24" x14ac:dyDescent="0.3">
      <c r="A2761" t="s">
        <v>4036</v>
      </c>
      <c r="B2761" t="s">
        <v>4113</v>
      </c>
      <c r="C2761" t="s">
        <v>23</v>
      </c>
      <c r="D2761" t="s">
        <v>24</v>
      </c>
      <c r="E2761" t="s">
        <v>25</v>
      </c>
      <c r="F2761">
        <v>1</v>
      </c>
      <c r="G2761">
        <v>9791133184491</v>
      </c>
      <c r="H2761" t="s">
        <v>26</v>
      </c>
      <c r="I2761" t="s">
        <v>4114</v>
      </c>
      <c r="J2761" t="s">
        <v>284</v>
      </c>
      <c r="K2761" t="s">
        <v>29</v>
      </c>
      <c r="L2761" s="1">
        <v>3200</v>
      </c>
      <c r="M2761" t="s">
        <v>29</v>
      </c>
      <c r="N2761" s="1">
        <v>3200</v>
      </c>
      <c r="O2761" s="1">
        <v>3200</v>
      </c>
      <c r="P2761" t="s">
        <v>30</v>
      </c>
      <c r="Q2761" s="2">
        <v>0.7</v>
      </c>
      <c r="R2761" s="1">
        <v>2240</v>
      </c>
      <c r="S2761" t="s">
        <v>29</v>
      </c>
      <c r="T2761" s="1">
        <v>2240</v>
      </c>
      <c r="V2761" t="str">
        <f>VLOOKUP(H2761,'[1]팀별 출판사'!A:B,2,0)</f>
        <v>소설1팀</v>
      </c>
      <c r="W2761" s="6">
        <f t="shared" si="86"/>
        <v>0</v>
      </c>
      <c r="X2761" s="6">
        <f t="shared" si="87"/>
        <v>2240</v>
      </c>
    </row>
    <row r="2762" spans="1:24" x14ac:dyDescent="0.3">
      <c r="A2762" t="s">
        <v>4036</v>
      </c>
      <c r="B2762" t="s">
        <v>4115</v>
      </c>
      <c r="C2762" t="s">
        <v>23</v>
      </c>
      <c r="D2762" t="s">
        <v>24</v>
      </c>
      <c r="E2762" t="s">
        <v>25</v>
      </c>
      <c r="F2762">
        <v>1</v>
      </c>
      <c r="G2762">
        <v>9791170100126</v>
      </c>
      <c r="H2762" t="s">
        <v>67</v>
      </c>
      <c r="I2762" t="s">
        <v>1061</v>
      </c>
      <c r="J2762" t="s">
        <v>347</v>
      </c>
      <c r="K2762" t="s">
        <v>29</v>
      </c>
      <c r="L2762">
        <v>0</v>
      </c>
      <c r="M2762" t="s">
        <v>29</v>
      </c>
      <c r="N2762">
        <v>0</v>
      </c>
      <c r="O2762">
        <v>0</v>
      </c>
      <c r="P2762" t="s">
        <v>30</v>
      </c>
      <c r="Q2762" s="2">
        <v>0.7</v>
      </c>
      <c r="R2762">
        <v>0</v>
      </c>
      <c r="V2762" t="str">
        <f>VLOOKUP(H2762,'[1]팀별 출판사'!A:B,2,0)</f>
        <v>소설1팀</v>
      </c>
      <c r="W2762" s="6">
        <f t="shared" si="86"/>
        <v>0</v>
      </c>
      <c r="X2762" s="6">
        <f t="shared" si="87"/>
        <v>0</v>
      </c>
    </row>
    <row r="2763" spans="1:24" x14ac:dyDescent="0.3">
      <c r="A2763" t="s">
        <v>4036</v>
      </c>
      <c r="B2763" t="s">
        <v>4116</v>
      </c>
      <c r="C2763" t="s">
        <v>23</v>
      </c>
      <c r="D2763" t="s">
        <v>24</v>
      </c>
      <c r="E2763" t="s">
        <v>25</v>
      </c>
      <c r="F2763">
        <v>1</v>
      </c>
      <c r="G2763">
        <v>9791136911018</v>
      </c>
      <c r="H2763" t="s">
        <v>26</v>
      </c>
      <c r="I2763" t="s">
        <v>4117</v>
      </c>
      <c r="J2763" t="s">
        <v>160</v>
      </c>
      <c r="K2763" t="s">
        <v>29</v>
      </c>
      <c r="L2763" s="1">
        <v>3200</v>
      </c>
      <c r="M2763" t="s">
        <v>29</v>
      </c>
      <c r="N2763" s="1">
        <v>3200</v>
      </c>
      <c r="O2763" s="1">
        <v>3200</v>
      </c>
      <c r="P2763" t="s">
        <v>30</v>
      </c>
      <c r="Q2763" s="2">
        <v>0.7</v>
      </c>
      <c r="R2763" s="1">
        <v>2240</v>
      </c>
      <c r="S2763" t="s">
        <v>29</v>
      </c>
      <c r="T2763" s="1">
        <v>2240</v>
      </c>
      <c r="V2763" t="str">
        <f>VLOOKUP(H2763,'[1]팀별 출판사'!A:B,2,0)</f>
        <v>소설1팀</v>
      </c>
      <c r="W2763" s="6">
        <f t="shared" si="86"/>
        <v>0</v>
      </c>
      <c r="X2763" s="6">
        <f t="shared" si="87"/>
        <v>2240</v>
      </c>
    </row>
    <row r="2764" spans="1:24" x14ac:dyDescent="0.3">
      <c r="A2764" t="s">
        <v>4036</v>
      </c>
      <c r="B2764" t="s">
        <v>4118</v>
      </c>
      <c r="C2764" t="s">
        <v>23</v>
      </c>
      <c r="D2764" t="s">
        <v>24</v>
      </c>
      <c r="E2764" t="s">
        <v>25</v>
      </c>
      <c r="F2764">
        <v>1</v>
      </c>
      <c r="G2764">
        <v>9791170100850</v>
      </c>
      <c r="H2764" t="s">
        <v>67</v>
      </c>
      <c r="I2764" t="s">
        <v>401</v>
      </c>
      <c r="J2764" t="s">
        <v>402</v>
      </c>
      <c r="K2764" t="s">
        <v>29</v>
      </c>
      <c r="L2764">
        <v>0</v>
      </c>
      <c r="M2764" t="s">
        <v>29</v>
      </c>
      <c r="N2764">
        <v>0</v>
      </c>
      <c r="O2764">
        <v>0</v>
      </c>
      <c r="P2764" t="s">
        <v>30</v>
      </c>
      <c r="Q2764" s="2">
        <v>0.7</v>
      </c>
      <c r="R2764">
        <v>0</v>
      </c>
      <c r="V2764" t="str">
        <f>VLOOKUP(H2764,'[1]팀별 출판사'!A:B,2,0)</f>
        <v>소설1팀</v>
      </c>
      <c r="W2764" s="6">
        <f t="shared" si="86"/>
        <v>0</v>
      </c>
      <c r="X2764" s="6">
        <f t="shared" si="87"/>
        <v>0</v>
      </c>
    </row>
    <row r="2765" spans="1:24" x14ac:dyDescent="0.3">
      <c r="A2765" t="s">
        <v>4036</v>
      </c>
      <c r="B2765" t="s">
        <v>4119</v>
      </c>
      <c r="C2765" t="s">
        <v>23</v>
      </c>
      <c r="D2765" t="s">
        <v>24</v>
      </c>
      <c r="E2765" t="s">
        <v>25</v>
      </c>
      <c r="F2765">
        <v>1</v>
      </c>
      <c r="G2765">
        <v>9791170101864</v>
      </c>
      <c r="H2765" t="s">
        <v>67</v>
      </c>
      <c r="I2765" t="s">
        <v>1985</v>
      </c>
      <c r="J2765" t="s">
        <v>402</v>
      </c>
      <c r="K2765" t="s">
        <v>29</v>
      </c>
      <c r="L2765">
        <v>0</v>
      </c>
      <c r="M2765" t="s">
        <v>29</v>
      </c>
      <c r="N2765">
        <v>0</v>
      </c>
      <c r="O2765">
        <v>0</v>
      </c>
      <c r="P2765" t="s">
        <v>30</v>
      </c>
      <c r="Q2765" s="2">
        <v>0.7</v>
      </c>
      <c r="R2765">
        <v>0</v>
      </c>
      <c r="V2765" t="str">
        <f>VLOOKUP(H2765,'[1]팀별 출판사'!A:B,2,0)</f>
        <v>소설1팀</v>
      </c>
      <c r="W2765" s="6">
        <f t="shared" si="86"/>
        <v>0</v>
      </c>
      <c r="X2765" s="6">
        <f t="shared" si="87"/>
        <v>0</v>
      </c>
    </row>
    <row r="2766" spans="1:24" x14ac:dyDescent="0.3">
      <c r="A2766" t="s">
        <v>4036</v>
      </c>
      <c r="B2766" t="s">
        <v>4120</v>
      </c>
      <c r="C2766" t="s">
        <v>23</v>
      </c>
      <c r="D2766" t="s">
        <v>24</v>
      </c>
      <c r="E2766" t="s">
        <v>25</v>
      </c>
      <c r="F2766">
        <v>1</v>
      </c>
      <c r="G2766">
        <v>9791170101673</v>
      </c>
      <c r="H2766" t="s">
        <v>67</v>
      </c>
      <c r="I2766" t="s">
        <v>1998</v>
      </c>
      <c r="J2766" t="s">
        <v>1999</v>
      </c>
      <c r="K2766" t="s">
        <v>29</v>
      </c>
      <c r="L2766">
        <v>0</v>
      </c>
      <c r="M2766" t="s">
        <v>29</v>
      </c>
      <c r="N2766">
        <v>0</v>
      </c>
      <c r="O2766">
        <v>0</v>
      </c>
      <c r="P2766" t="s">
        <v>30</v>
      </c>
      <c r="Q2766" s="2">
        <v>0.7</v>
      </c>
      <c r="R2766">
        <v>0</v>
      </c>
      <c r="V2766" t="str">
        <f>VLOOKUP(H2766,'[1]팀별 출판사'!A:B,2,0)</f>
        <v>소설1팀</v>
      </c>
      <c r="W2766" s="6">
        <f t="shared" si="86"/>
        <v>0</v>
      </c>
      <c r="X2766" s="6">
        <f t="shared" si="87"/>
        <v>0</v>
      </c>
    </row>
    <row r="2767" spans="1:24" x14ac:dyDescent="0.3">
      <c r="A2767" t="s">
        <v>4036</v>
      </c>
      <c r="B2767" t="s">
        <v>4121</v>
      </c>
      <c r="C2767" t="s">
        <v>23</v>
      </c>
      <c r="D2767" t="s">
        <v>24</v>
      </c>
      <c r="E2767" t="s">
        <v>25</v>
      </c>
      <c r="F2767">
        <v>1</v>
      </c>
      <c r="G2767">
        <v>9791170100546</v>
      </c>
      <c r="H2767" t="s">
        <v>67</v>
      </c>
      <c r="I2767" t="s">
        <v>428</v>
      </c>
      <c r="J2767" t="s">
        <v>429</v>
      </c>
      <c r="K2767" t="s">
        <v>29</v>
      </c>
      <c r="L2767">
        <v>0</v>
      </c>
      <c r="M2767" t="s">
        <v>29</v>
      </c>
      <c r="N2767">
        <v>0</v>
      </c>
      <c r="O2767">
        <v>0</v>
      </c>
      <c r="P2767" t="s">
        <v>30</v>
      </c>
      <c r="Q2767" s="2">
        <v>0.7</v>
      </c>
      <c r="R2767">
        <v>0</v>
      </c>
      <c r="V2767" t="str">
        <f>VLOOKUP(H2767,'[1]팀별 출판사'!A:B,2,0)</f>
        <v>소설1팀</v>
      </c>
      <c r="W2767" s="6">
        <f t="shared" si="86"/>
        <v>0</v>
      </c>
      <c r="X2767" s="6">
        <f t="shared" si="87"/>
        <v>0</v>
      </c>
    </row>
    <row r="2768" spans="1:24" x14ac:dyDescent="0.3">
      <c r="A2768" t="s">
        <v>4036</v>
      </c>
      <c r="B2768" t="s">
        <v>4122</v>
      </c>
      <c r="C2768" t="s">
        <v>23</v>
      </c>
      <c r="D2768" t="s">
        <v>24</v>
      </c>
      <c r="E2768" t="s">
        <v>25</v>
      </c>
      <c r="F2768">
        <v>1</v>
      </c>
      <c r="G2768">
        <v>9791170101284</v>
      </c>
      <c r="H2768" t="s">
        <v>67</v>
      </c>
      <c r="I2768" t="s">
        <v>1187</v>
      </c>
      <c r="J2768" t="s">
        <v>414</v>
      </c>
      <c r="K2768" t="s">
        <v>29</v>
      </c>
      <c r="L2768">
        <v>0</v>
      </c>
      <c r="M2768" t="s">
        <v>29</v>
      </c>
      <c r="N2768">
        <v>0</v>
      </c>
      <c r="O2768">
        <v>0</v>
      </c>
      <c r="P2768" t="s">
        <v>30</v>
      </c>
      <c r="Q2768" s="2">
        <v>0.7</v>
      </c>
      <c r="R2768">
        <v>0</v>
      </c>
      <c r="V2768" t="str">
        <f>VLOOKUP(H2768,'[1]팀별 출판사'!A:B,2,0)</f>
        <v>소설1팀</v>
      </c>
      <c r="W2768" s="6">
        <f t="shared" si="86"/>
        <v>0</v>
      </c>
      <c r="X2768" s="6">
        <f t="shared" si="87"/>
        <v>0</v>
      </c>
    </row>
    <row r="2769" spans="1:24" x14ac:dyDescent="0.3">
      <c r="A2769" t="s">
        <v>4036</v>
      </c>
      <c r="B2769" t="s">
        <v>4123</v>
      </c>
      <c r="C2769" t="s">
        <v>23</v>
      </c>
      <c r="D2769" t="s">
        <v>24</v>
      </c>
      <c r="E2769" t="s">
        <v>25</v>
      </c>
      <c r="F2769">
        <v>1</v>
      </c>
      <c r="G2769">
        <v>9791170101321</v>
      </c>
      <c r="H2769" t="s">
        <v>67</v>
      </c>
      <c r="I2769" t="s">
        <v>848</v>
      </c>
      <c r="J2769" t="s">
        <v>414</v>
      </c>
      <c r="K2769" t="s">
        <v>29</v>
      </c>
      <c r="L2769">
        <v>0</v>
      </c>
      <c r="M2769" t="s">
        <v>29</v>
      </c>
      <c r="N2769">
        <v>0</v>
      </c>
      <c r="O2769">
        <v>0</v>
      </c>
      <c r="P2769" t="s">
        <v>30</v>
      </c>
      <c r="Q2769" s="2">
        <v>0.7</v>
      </c>
      <c r="R2769">
        <v>0</v>
      </c>
      <c r="V2769" t="str">
        <f>VLOOKUP(H2769,'[1]팀별 출판사'!A:B,2,0)</f>
        <v>소설1팀</v>
      </c>
      <c r="W2769" s="6">
        <f t="shared" si="86"/>
        <v>0</v>
      </c>
      <c r="X2769" s="6">
        <f t="shared" si="87"/>
        <v>0</v>
      </c>
    </row>
    <row r="2770" spans="1:24" x14ac:dyDescent="0.3">
      <c r="A2770" t="s">
        <v>4036</v>
      </c>
      <c r="B2770" t="s">
        <v>4124</v>
      </c>
      <c r="C2770" t="s">
        <v>23</v>
      </c>
      <c r="D2770" t="s">
        <v>24</v>
      </c>
      <c r="E2770" t="s">
        <v>25</v>
      </c>
      <c r="F2770">
        <v>1</v>
      </c>
      <c r="G2770">
        <v>9791136930491</v>
      </c>
      <c r="H2770" t="s">
        <v>26</v>
      </c>
      <c r="I2770" t="s">
        <v>151</v>
      </c>
      <c r="J2770" t="s">
        <v>46</v>
      </c>
      <c r="K2770" t="s">
        <v>29</v>
      </c>
      <c r="L2770">
        <v>0</v>
      </c>
      <c r="M2770" t="s">
        <v>1486</v>
      </c>
      <c r="N2770">
        <v>0</v>
      </c>
      <c r="O2770">
        <v>0</v>
      </c>
      <c r="P2770" t="s">
        <v>1487</v>
      </c>
      <c r="Q2770" s="2">
        <v>0.7</v>
      </c>
      <c r="R2770">
        <v>0</v>
      </c>
      <c r="V2770" t="str">
        <f>VLOOKUP(H2770,'[1]팀별 출판사'!A:B,2,0)</f>
        <v>소설1팀</v>
      </c>
      <c r="W2770" s="6">
        <f t="shared" si="86"/>
        <v>0</v>
      </c>
      <c r="X2770" s="6">
        <f t="shared" si="87"/>
        <v>0</v>
      </c>
    </row>
    <row r="2771" spans="1:24" x14ac:dyDescent="0.3">
      <c r="A2771" t="s">
        <v>4036</v>
      </c>
      <c r="B2771" t="s">
        <v>4125</v>
      </c>
      <c r="C2771" t="s">
        <v>23</v>
      </c>
      <c r="D2771" t="s">
        <v>24</v>
      </c>
      <c r="E2771" t="s">
        <v>25</v>
      </c>
      <c r="F2771">
        <v>1</v>
      </c>
      <c r="G2771">
        <v>9791136928443</v>
      </c>
      <c r="H2771" t="s">
        <v>26</v>
      </c>
      <c r="I2771" t="s">
        <v>2933</v>
      </c>
      <c r="J2771" t="s">
        <v>1348</v>
      </c>
      <c r="K2771" t="s">
        <v>29</v>
      </c>
      <c r="L2771">
        <v>0</v>
      </c>
      <c r="M2771" t="s">
        <v>29</v>
      </c>
      <c r="N2771">
        <v>0</v>
      </c>
      <c r="O2771">
        <v>0</v>
      </c>
      <c r="P2771" t="s">
        <v>30</v>
      </c>
      <c r="Q2771" s="2">
        <v>0.7</v>
      </c>
      <c r="R2771">
        <v>0</v>
      </c>
      <c r="V2771" t="str">
        <f>VLOOKUP(H2771,'[1]팀별 출판사'!A:B,2,0)</f>
        <v>소설1팀</v>
      </c>
      <c r="W2771" s="6">
        <f t="shared" si="86"/>
        <v>0</v>
      </c>
      <c r="X2771" s="6">
        <f t="shared" si="87"/>
        <v>0</v>
      </c>
    </row>
    <row r="2772" spans="1:24" x14ac:dyDescent="0.3">
      <c r="A2772" t="s">
        <v>4036</v>
      </c>
      <c r="B2772" t="s">
        <v>4126</v>
      </c>
      <c r="C2772" t="s">
        <v>23</v>
      </c>
      <c r="D2772" t="s">
        <v>24</v>
      </c>
      <c r="E2772" t="s">
        <v>25</v>
      </c>
      <c r="F2772">
        <v>1</v>
      </c>
      <c r="G2772" t="s">
        <v>797</v>
      </c>
      <c r="H2772" t="s">
        <v>32</v>
      </c>
      <c r="I2772" t="s">
        <v>798</v>
      </c>
      <c r="J2772" t="s">
        <v>43</v>
      </c>
      <c r="K2772" t="s">
        <v>29</v>
      </c>
      <c r="L2772">
        <v>0</v>
      </c>
      <c r="M2772" t="s">
        <v>29</v>
      </c>
      <c r="N2772">
        <v>0</v>
      </c>
      <c r="O2772">
        <v>0</v>
      </c>
      <c r="P2772" t="s">
        <v>30</v>
      </c>
      <c r="Q2772" s="2">
        <v>0.7</v>
      </c>
      <c r="R2772">
        <v>0</v>
      </c>
      <c r="V2772" t="str">
        <f>VLOOKUP(H2772,'[1]팀별 출판사'!A:B,2,0)</f>
        <v>소설1팀</v>
      </c>
      <c r="W2772" s="6">
        <f t="shared" si="86"/>
        <v>0</v>
      </c>
      <c r="X2772" s="6">
        <f t="shared" si="87"/>
        <v>0</v>
      </c>
    </row>
    <row r="2773" spans="1:24" x14ac:dyDescent="0.3">
      <c r="A2773" t="s">
        <v>4036</v>
      </c>
      <c r="B2773" t="s">
        <v>4127</v>
      </c>
      <c r="C2773" t="s">
        <v>23</v>
      </c>
      <c r="D2773" t="s">
        <v>24</v>
      </c>
      <c r="E2773" t="s">
        <v>25</v>
      </c>
      <c r="F2773">
        <v>1</v>
      </c>
      <c r="G2773">
        <v>9791170107309</v>
      </c>
      <c r="H2773" t="s">
        <v>67</v>
      </c>
      <c r="I2773" t="s">
        <v>3712</v>
      </c>
      <c r="J2773" t="s">
        <v>3334</v>
      </c>
      <c r="K2773" t="s">
        <v>29</v>
      </c>
      <c r="L2773">
        <v>0</v>
      </c>
      <c r="M2773" t="s">
        <v>29</v>
      </c>
      <c r="N2773">
        <v>0</v>
      </c>
      <c r="O2773">
        <v>0</v>
      </c>
      <c r="P2773" t="s">
        <v>30</v>
      </c>
      <c r="Q2773" s="2">
        <v>0.7</v>
      </c>
      <c r="R2773">
        <v>0</v>
      </c>
      <c r="V2773" t="str">
        <f>VLOOKUP(H2773,'[1]팀별 출판사'!A:B,2,0)</f>
        <v>소설1팀</v>
      </c>
      <c r="W2773" s="6">
        <f t="shared" si="86"/>
        <v>0</v>
      </c>
      <c r="X2773" s="6">
        <f t="shared" si="87"/>
        <v>0</v>
      </c>
    </row>
    <row r="2774" spans="1:24" x14ac:dyDescent="0.3">
      <c r="A2774" t="s">
        <v>4036</v>
      </c>
      <c r="B2774" t="s">
        <v>4128</v>
      </c>
      <c r="C2774" t="s">
        <v>23</v>
      </c>
      <c r="D2774" t="s">
        <v>24</v>
      </c>
      <c r="E2774" t="s">
        <v>25</v>
      </c>
      <c r="F2774">
        <v>1</v>
      </c>
      <c r="G2774">
        <v>9791133171941</v>
      </c>
      <c r="H2774" t="s">
        <v>26</v>
      </c>
      <c r="I2774" t="s">
        <v>4129</v>
      </c>
      <c r="J2774" t="s">
        <v>311</v>
      </c>
      <c r="K2774" t="s">
        <v>29</v>
      </c>
      <c r="L2774" s="1">
        <v>2500</v>
      </c>
      <c r="M2774" t="s">
        <v>29</v>
      </c>
      <c r="N2774" s="1">
        <v>2500</v>
      </c>
      <c r="O2774" s="1">
        <v>2500</v>
      </c>
      <c r="P2774" t="s">
        <v>30</v>
      </c>
      <c r="Q2774" s="2">
        <v>0.7</v>
      </c>
      <c r="R2774" s="1">
        <v>1750</v>
      </c>
      <c r="S2774" t="s">
        <v>29</v>
      </c>
      <c r="T2774" s="1">
        <v>1750</v>
      </c>
      <c r="V2774" t="str">
        <f>VLOOKUP(H2774,'[1]팀별 출판사'!A:B,2,0)</f>
        <v>소설1팀</v>
      </c>
      <c r="W2774" s="6">
        <f t="shared" si="86"/>
        <v>0</v>
      </c>
      <c r="X2774" s="6">
        <f t="shared" si="87"/>
        <v>1750</v>
      </c>
    </row>
    <row r="2775" spans="1:24" x14ac:dyDescent="0.3">
      <c r="A2775" t="s">
        <v>4036</v>
      </c>
      <c r="B2775" t="s">
        <v>4130</v>
      </c>
      <c r="C2775" t="s">
        <v>23</v>
      </c>
      <c r="D2775" t="s">
        <v>24</v>
      </c>
      <c r="E2775" t="s">
        <v>25</v>
      </c>
      <c r="F2775">
        <v>1</v>
      </c>
      <c r="G2775">
        <v>9791172920937</v>
      </c>
      <c r="H2775" t="s">
        <v>79</v>
      </c>
      <c r="I2775" t="s">
        <v>80</v>
      </c>
      <c r="J2775" t="s">
        <v>81</v>
      </c>
      <c r="K2775" t="s">
        <v>29</v>
      </c>
      <c r="L2775">
        <v>0</v>
      </c>
      <c r="M2775" t="s">
        <v>29</v>
      </c>
      <c r="N2775">
        <v>0</v>
      </c>
      <c r="O2775">
        <v>0</v>
      </c>
      <c r="P2775" t="s">
        <v>30</v>
      </c>
      <c r="Q2775" s="2">
        <v>0.7</v>
      </c>
      <c r="R2775">
        <v>0</v>
      </c>
      <c r="V2775" t="str">
        <f>VLOOKUP(H2775,'[1]팀별 출판사'!A:B,2,0)</f>
        <v>소설1팀</v>
      </c>
      <c r="W2775" s="6">
        <f t="shared" si="86"/>
        <v>0</v>
      </c>
      <c r="X2775" s="6">
        <f t="shared" si="87"/>
        <v>0</v>
      </c>
    </row>
    <row r="2776" spans="1:24" x14ac:dyDescent="0.3">
      <c r="A2776" t="s">
        <v>4036</v>
      </c>
      <c r="B2776" t="s">
        <v>4131</v>
      </c>
      <c r="C2776" t="s">
        <v>23</v>
      </c>
      <c r="D2776" t="s">
        <v>24</v>
      </c>
      <c r="E2776" t="s">
        <v>25</v>
      </c>
      <c r="F2776">
        <v>1</v>
      </c>
      <c r="G2776">
        <v>9791157533589</v>
      </c>
      <c r="H2776" t="s">
        <v>32</v>
      </c>
      <c r="I2776" t="s">
        <v>4132</v>
      </c>
      <c r="J2776" t="s">
        <v>187</v>
      </c>
      <c r="K2776" t="s">
        <v>29</v>
      </c>
      <c r="L2776" s="1">
        <v>3200</v>
      </c>
      <c r="M2776" t="s">
        <v>29</v>
      </c>
      <c r="N2776" s="1">
        <v>3200</v>
      </c>
      <c r="O2776" s="1">
        <v>3200</v>
      </c>
      <c r="P2776" t="s">
        <v>30</v>
      </c>
      <c r="Q2776" s="2">
        <v>0.7</v>
      </c>
      <c r="R2776" s="1">
        <v>2240</v>
      </c>
      <c r="S2776" t="s">
        <v>29</v>
      </c>
      <c r="T2776" s="1">
        <v>2240</v>
      </c>
      <c r="V2776" t="str">
        <f>VLOOKUP(H2776,'[1]팀별 출판사'!A:B,2,0)</f>
        <v>소설1팀</v>
      </c>
      <c r="W2776" s="6">
        <f t="shared" si="86"/>
        <v>0</v>
      </c>
      <c r="X2776" s="6">
        <f t="shared" si="87"/>
        <v>2240</v>
      </c>
    </row>
    <row r="2777" spans="1:24" x14ac:dyDescent="0.3">
      <c r="A2777" t="s">
        <v>4036</v>
      </c>
      <c r="B2777" t="s">
        <v>4133</v>
      </c>
      <c r="C2777" t="s">
        <v>23</v>
      </c>
      <c r="D2777" t="s">
        <v>24</v>
      </c>
      <c r="E2777" t="s">
        <v>25</v>
      </c>
      <c r="F2777">
        <v>1</v>
      </c>
      <c r="G2777">
        <v>9791170106715</v>
      </c>
      <c r="H2777" t="s">
        <v>67</v>
      </c>
      <c r="I2777" t="s">
        <v>68</v>
      </c>
      <c r="J2777" t="s">
        <v>69</v>
      </c>
      <c r="K2777" t="s">
        <v>29</v>
      </c>
      <c r="L2777">
        <v>0</v>
      </c>
      <c r="M2777" t="s">
        <v>4134</v>
      </c>
      <c r="N2777">
        <v>0</v>
      </c>
      <c r="O2777">
        <v>0</v>
      </c>
      <c r="P2777" t="s">
        <v>4135</v>
      </c>
      <c r="Q2777" s="2">
        <v>0.7</v>
      </c>
      <c r="R2777">
        <v>0</v>
      </c>
      <c r="V2777" t="str">
        <f>VLOOKUP(H2777,'[1]팀별 출판사'!A:B,2,0)</f>
        <v>소설1팀</v>
      </c>
      <c r="W2777" s="6">
        <f t="shared" si="86"/>
        <v>0</v>
      </c>
      <c r="X2777" s="6">
        <f t="shared" si="87"/>
        <v>0</v>
      </c>
    </row>
    <row r="2778" spans="1:24" x14ac:dyDescent="0.3">
      <c r="A2778" t="s">
        <v>4036</v>
      </c>
      <c r="B2778" t="s">
        <v>4136</v>
      </c>
      <c r="C2778" t="s">
        <v>23</v>
      </c>
      <c r="D2778" t="s">
        <v>24</v>
      </c>
      <c r="E2778" t="s">
        <v>25</v>
      </c>
      <c r="F2778">
        <v>1</v>
      </c>
      <c r="G2778">
        <v>9791136927248</v>
      </c>
      <c r="H2778" t="s">
        <v>36</v>
      </c>
      <c r="I2778" t="s">
        <v>2320</v>
      </c>
      <c r="J2778" t="s">
        <v>38</v>
      </c>
      <c r="K2778" t="s">
        <v>29</v>
      </c>
      <c r="L2778" s="1">
        <v>3300</v>
      </c>
      <c r="M2778" t="s">
        <v>252</v>
      </c>
      <c r="N2778">
        <v>75</v>
      </c>
      <c r="O2778">
        <v>71</v>
      </c>
      <c r="P2778" t="s">
        <v>253</v>
      </c>
      <c r="Q2778" s="2">
        <v>0.7</v>
      </c>
      <c r="R2778">
        <v>49.7</v>
      </c>
      <c r="S2778" t="s">
        <v>29</v>
      </c>
      <c r="T2778" s="1">
        <v>2298</v>
      </c>
      <c r="U2778">
        <v>45.921700000000001</v>
      </c>
      <c r="V2778" t="str">
        <f>VLOOKUP(H2778,'[1]팀별 출판사'!A:B,2,0)</f>
        <v>소설2팀</v>
      </c>
      <c r="W2778" s="6">
        <f t="shared" si="86"/>
        <v>0</v>
      </c>
      <c r="X2778" s="6">
        <f t="shared" si="87"/>
        <v>2298</v>
      </c>
    </row>
    <row r="2779" spans="1:24" x14ac:dyDescent="0.3">
      <c r="A2779" t="s">
        <v>4036</v>
      </c>
      <c r="B2779" t="s">
        <v>4137</v>
      </c>
      <c r="C2779" t="s">
        <v>23</v>
      </c>
      <c r="D2779" t="s">
        <v>24</v>
      </c>
      <c r="E2779" t="s">
        <v>25</v>
      </c>
      <c r="F2779">
        <v>1</v>
      </c>
      <c r="G2779">
        <v>9791136927255</v>
      </c>
      <c r="H2779" t="s">
        <v>36</v>
      </c>
      <c r="I2779" t="s">
        <v>90</v>
      </c>
      <c r="J2779" t="s">
        <v>38</v>
      </c>
      <c r="K2779" t="s">
        <v>29</v>
      </c>
      <c r="L2779" s="1">
        <v>3300</v>
      </c>
      <c r="M2779" t="s">
        <v>252</v>
      </c>
      <c r="N2779">
        <v>75</v>
      </c>
      <c r="O2779">
        <v>71</v>
      </c>
      <c r="P2779" t="s">
        <v>253</v>
      </c>
      <c r="Q2779" s="2">
        <v>0.7</v>
      </c>
      <c r="R2779">
        <v>49.7</v>
      </c>
      <c r="S2779" t="s">
        <v>29</v>
      </c>
      <c r="T2779" s="1">
        <v>2298</v>
      </c>
      <c r="U2779">
        <v>45.921700000000001</v>
      </c>
      <c r="V2779" t="str">
        <f>VLOOKUP(H2779,'[1]팀별 출판사'!A:B,2,0)</f>
        <v>소설2팀</v>
      </c>
      <c r="W2779" s="6">
        <f t="shared" si="86"/>
        <v>0</v>
      </c>
      <c r="X2779" s="6">
        <f t="shared" si="87"/>
        <v>2298</v>
      </c>
    </row>
    <row r="2780" spans="1:24" x14ac:dyDescent="0.3">
      <c r="A2780" t="s">
        <v>4036</v>
      </c>
      <c r="B2780" t="s">
        <v>4138</v>
      </c>
      <c r="C2780" t="s">
        <v>23</v>
      </c>
      <c r="D2780" t="s">
        <v>24</v>
      </c>
      <c r="E2780" t="s">
        <v>25</v>
      </c>
      <c r="F2780">
        <v>1</v>
      </c>
      <c r="G2780">
        <v>9791136931375</v>
      </c>
      <c r="H2780" t="s">
        <v>32</v>
      </c>
      <c r="I2780" t="s">
        <v>189</v>
      </c>
      <c r="J2780" t="s">
        <v>46</v>
      </c>
      <c r="K2780" t="s">
        <v>29</v>
      </c>
      <c r="L2780">
        <v>0</v>
      </c>
      <c r="M2780" t="s">
        <v>152</v>
      </c>
      <c r="N2780">
        <v>0</v>
      </c>
      <c r="O2780">
        <v>0</v>
      </c>
      <c r="P2780" t="s">
        <v>153</v>
      </c>
      <c r="Q2780" s="2">
        <v>0.7</v>
      </c>
      <c r="R2780">
        <v>0</v>
      </c>
      <c r="V2780" t="str">
        <f>VLOOKUP(H2780,'[1]팀별 출판사'!A:B,2,0)</f>
        <v>소설1팀</v>
      </c>
      <c r="W2780" s="6">
        <f t="shared" si="86"/>
        <v>0</v>
      </c>
      <c r="X2780" s="6">
        <f t="shared" si="87"/>
        <v>0</v>
      </c>
    </row>
    <row r="2781" spans="1:24" x14ac:dyDescent="0.3">
      <c r="A2781" t="s">
        <v>4036</v>
      </c>
      <c r="B2781" t="s">
        <v>4139</v>
      </c>
      <c r="C2781" t="s">
        <v>23</v>
      </c>
      <c r="D2781" t="s">
        <v>24</v>
      </c>
      <c r="E2781" t="s">
        <v>25</v>
      </c>
      <c r="F2781">
        <v>1</v>
      </c>
      <c r="G2781">
        <v>9791170101321</v>
      </c>
      <c r="H2781" t="s">
        <v>67</v>
      </c>
      <c r="I2781" t="s">
        <v>848</v>
      </c>
      <c r="J2781" t="s">
        <v>414</v>
      </c>
      <c r="K2781" t="s">
        <v>29</v>
      </c>
      <c r="L2781">
        <v>0</v>
      </c>
      <c r="M2781" t="s">
        <v>1482</v>
      </c>
      <c r="N2781">
        <v>0</v>
      </c>
      <c r="O2781">
        <v>0</v>
      </c>
      <c r="P2781" t="s">
        <v>1483</v>
      </c>
      <c r="Q2781" s="2">
        <v>0.7</v>
      </c>
      <c r="R2781">
        <v>0</v>
      </c>
      <c r="V2781" t="str">
        <f>VLOOKUP(H2781,'[1]팀별 출판사'!A:B,2,0)</f>
        <v>소설1팀</v>
      </c>
      <c r="W2781" s="6">
        <f t="shared" si="86"/>
        <v>0</v>
      </c>
      <c r="X2781" s="6">
        <f t="shared" si="87"/>
        <v>0</v>
      </c>
    </row>
    <row r="2782" spans="1:24" x14ac:dyDescent="0.3">
      <c r="A2782" t="s">
        <v>4036</v>
      </c>
      <c r="B2782" t="s">
        <v>4140</v>
      </c>
      <c r="C2782" t="s">
        <v>23</v>
      </c>
      <c r="D2782" t="s">
        <v>24</v>
      </c>
      <c r="E2782" t="s">
        <v>25</v>
      </c>
      <c r="F2782">
        <v>1</v>
      </c>
      <c r="G2782">
        <v>9791173783722</v>
      </c>
      <c r="H2782" t="s">
        <v>36</v>
      </c>
      <c r="I2782" t="s">
        <v>3228</v>
      </c>
      <c r="J2782" t="s">
        <v>119</v>
      </c>
      <c r="K2782" t="s">
        <v>29</v>
      </c>
      <c r="L2782" s="1">
        <v>3600</v>
      </c>
      <c r="M2782" t="s">
        <v>362</v>
      </c>
      <c r="N2782">
        <v>164.33</v>
      </c>
      <c r="O2782">
        <v>146.72</v>
      </c>
      <c r="P2782" t="s">
        <v>363</v>
      </c>
      <c r="Q2782" s="2">
        <v>0.7</v>
      </c>
      <c r="R2782">
        <v>102.7</v>
      </c>
      <c r="S2782" t="s">
        <v>29</v>
      </c>
      <c r="T2782" s="1">
        <v>2568</v>
      </c>
      <c r="U2782">
        <v>24.976489999999998</v>
      </c>
      <c r="V2782" t="str">
        <f>VLOOKUP(H2782,'[1]팀별 출판사'!A:B,2,0)</f>
        <v>소설2팀</v>
      </c>
      <c r="W2782" s="6">
        <f t="shared" si="86"/>
        <v>0</v>
      </c>
      <c r="X2782" s="6">
        <f t="shared" si="87"/>
        <v>2568</v>
      </c>
    </row>
    <row r="2783" spans="1:24" x14ac:dyDescent="0.3">
      <c r="A2783" t="s">
        <v>4036</v>
      </c>
      <c r="B2783" t="s">
        <v>4141</v>
      </c>
      <c r="C2783" t="s">
        <v>23</v>
      </c>
      <c r="D2783" t="s">
        <v>24</v>
      </c>
      <c r="E2783" t="s">
        <v>25</v>
      </c>
      <c r="F2783">
        <v>1</v>
      </c>
      <c r="G2783">
        <v>9791133171460</v>
      </c>
      <c r="H2783" t="s">
        <v>26</v>
      </c>
      <c r="I2783" t="s">
        <v>1048</v>
      </c>
      <c r="J2783" t="s">
        <v>287</v>
      </c>
      <c r="K2783" t="s">
        <v>29</v>
      </c>
      <c r="L2783">
        <v>0</v>
      </c>
      <c r="M2783" t="s">
        <v>29</v>
      </c>
      <c r="N2783">
        <v>0</v>
      </c>
      <c r="O2783">
        <v>0</v>
      </c>
      <c r="P2783" t="s">
        <v>30</v>
      </c>
      <c r="Q2783" s="2">
        <v>0.7</v>
      </c>
      <c r="R2783">
        <v>0</v>
      </c>
      <c r="V2783" t="str">
        <f>VLOOKUP(H2783,'[1]팀별 출판사'!A:B,2,0)</f>
        <v>소설1팀</v>
      </c>
      <c r="W2783" s="6">
        <f t="shared" si="86"/>
        <v>0</v>
      </c>
      <c r="X2783" s="6">
        <f t="shared" si="87"/>
        <v>0</v>
      </c>
    </row>
    <row r="2784" spans="1:24" x14ac:dyDescent="0.3">
      <c r="A2784" t="s">
        <v>4036</v>
      </c>
      <c r="B2784" t="s">
        <v>4142</v>
      </c>
      <c r="C2784" t="s">
        <v>23</v>
      </c>
      <c r="D2784" t="s">
        <v>24</v>
      </c>
      <c r="E2784" t="s">
        <v>25</v>
      </c>
      <c r="F2784">
        <v>1</v>
      </c>
      <c r="G2784">
        <v>9791172925789</v>
      </c>
      <c r="H2784" t="s">
        <v>26</v>
      </c>
      <c r="I2784" t="s">
        <v>3032</v>
      </c>
      <c r="J2784" t="s">
        <v>937</v>
      </c>
      <c r="K2784" t="s">
        <v>29</v>
      </c>
      <c r="L2784">
        <v>0</v>
      </c>
      <c r="M2784" t="s">
        <v>29</v>
      </c>
      <c r="N2784">
        <v>0</v>
      </c>
      <c r="O2784">
        <v>0</v>
      </c>
      <c r="P2784" t="s">
        <v>30</v>
      </c>
      <c r="Q2784" s="2">
        <v>0.7</v>
      </c>
      <c r="R2784">
        <v>0</v>
      </c>
      <c r="V2784" t="str">
        <f>VLOOKUP(H2784,'[1]팀별 출판사'!A:B,2,0)</f>
        <v>소설1팀</v>
      </c>
      <c r="W2784" s="6">
        <f t="shared" si="86"/>
        <v>0</v>
      </c>
      <c r="X2784" s="6">
        <f t="shared" si="87"/>
        <v>0</v>
      </c>
    </row>
    <row r="2785" spans="1:24" x14ac:dyDescent="0.3">
      <c r="A2785" t="s">
        <v>4036</v>
      </c>
      <c r="B2785" t="s">
        <v>4143</v>
      </c>
      <c r="C2785" t="s">
        <v>23</v>
      </c>
      <c r="D2785" t="s">
        <v>24</v>
      </c>
      <c r="E2785" t="s">
        <v>25</v>
      </c>
      <c r="F2785">
        <v>1</v>
      </c>
      <c r="G2785">
        <v>9791170106944</v>
      </c>
      <c r="H2785" t="s">
        <v>67</v>
      </c>
      <c r="I2785" t="s">
        <v>2582</v>
      </c>
      <c r="J2785" t="s">
        <v>2583</v>
      </c>
      <c r="K2785" t="s">
        <v>29</v>
      </c>
      <c r="L2785">
        <v>0</v>
      </c>
      <c r="M2785" t="s">
        <v>29</v>
      </c>
      <c r="N2785">
        <v>0</v>
      </c>
      <c r="O2785">
        <v>0</v>
      </c>
      <c r="P2785" t="s">
        <v>30</v>
      </c>
      <c r="Q2785" s="2">
        <v>0.7</v>
      </c>
      <c r="R2785">
        <v>0</v>
      </c>
      <c r="V2785" t="str">
        <f>VLOOKUP(H2785,'[1]팀별 출판사'!A:B,2,0)</f>
        <v>소설1팀</v>
      </c>
      <c r="W2785" s="6">
        <f t="shared" si="86"/>
        <v>0</v>
      </c>
      <c r="X2785" s="6">
        <f t="shared" si="87"/>
        <v>0</v>
      </c>
    </row>
    <row r="2786" spans="1:24" x14ac:dyDescent="0.3">
      <c r="A2786" t="s">
        <v>4036</v>
      </c>
      <c r="B2786" t="s">
        <v>4144</v>
      </c>
      <c r="C2786" t="s">
        <v>23</v>
      </c>
      <c r="D2786" t="s">
        <v>24</v>
      </c>
      <c r="E2786" t="s">
        <v>25</v>
      </c>
      <c r="F2786">
        <v>1</v>
      </c>
      <c r="G2786">
        <v>9791170100041</v>
      </c>
      <c r="H2786" t="s">
        <v>67</v>
      </c>
      <c r="I2786" t="s">
        <v>346</v>
      </c>
      <c r="J2786" t="s">
        <v>347</v>
      </c>
      <c r="K2786" t="s">
        <v>29</v>
      </c>
      <c r="L2786">
        <v>0</v>
      </c>
      <c r="M2786" t="s">
        <v>29</v>
      </c>
      <c r="N2786">
        <v>0</v>
      </c>
      <c r="O2786">
        <v>0</v>
      </c>
      <c r="P2786" t="s">
        <v>30</v>
      </c>
      <c r="Q2786" s="2">
        <v>0.7</v>
      </c>
      <c r="R2786">
        <v>0</v>
      </c>
      <c r="V2786" t="str">
        <f>VLOOKUP(H2786,'[1]팀별 출판사'!A:B,2,0)</f>
        <v>소설1팀</v>
      </c>
      <c r="W2786" s="6">
        <f t="shared" si="86"/>
        <v>0</v>
      </c>
      <c r="X2786" s="6">
        <f t="shared" si="87"/>
        <v>0</v>
      </c>
    </row>
    <row r="2787" spans="1:24" x14ac:dyDescent="0.3">
      <c r="A2787" t="s">
        <v>4036</v>
      </c>
      <c r="B2787" t="s">
        <v>4145</v>
      </c>
      <c r="C2787" t="s">
        <v>23</v>
      </c>
      <c r="D2787" t="s">
        <v>24</v>
      </c>
      <c r="E2787" t="s">
        <v>25</v>
      </c>
      <c r="F2787">
        <v>1</v>
      </c>
      <c r="G2787" t="s">
        <v>4146</v>
      </c>
      <c r="H2787" t="s">
        <v>32</v>
      </c>
      <c r="I2787" t="s">
        <v>4147</v>
      </c>
      <c r="J2787" t="s">
        <v>1938</v>
      </c>
      <c r="K2787" t="s">
        <v>29</v>
      </c>
      <c r="L2787">
        <v>0</v>
      </c>
      <c r="M2787" t="s">
        <v>29</v>
      </c>
      <c r="N2787">
        <v>0</v>
      </c>
      <c r="O2787">
        <v>0</v>
      </c>
      <c r="P2787" t="s">
        <v>30</v>
      </c>
      <c r="Q2787" s="2">
        <v>0.7</v>
      </c>
      <c r="R2787">
        <v>0</v>
      </c>
      <c r="V2787" t="str">
        <f>VLOOKUP(H2787,'[1]팀별 출판사'!A:B,2,0)</f>
        <v>소설1팀</v>
      </c>
      <c r="W2787" s="6">
        <f t="shared" si="86"/>
        <v>0</v>
      </c>
      <c r="X2787" s="6">
        <f t="shared" si="87"/>
        <v>0</v>
      </c>
    </row>
    <row r="2788" spans="1:24" x14ac:dyDescent="0.3">
      <c r="A2788" t="s">
        <v>4036</v>
      </c>
      <c r="B2788" t="s">
        <v>4148</v>
      </c>
      <c r="C2788" t="s">
        <v>23</v>
      </c>
      <c r="D2788" t="s">
        <v>24</v>
      </c>
      <c r="E2788" t="s">
        <v>25</v>
      </c>
      <c r="F2788">
        <v>1</v>
      </c>
      <c r="G2788">
        <v>9791172927844</v>
      </c>
      <c r="H2788" t="s">
        <v>79</v>
      </c>
      <c r="I2788" t="s">
        <v>1168</v>
      </c>
      <c r="J2788" t="s">
        <v>81</v>
      </c>
      <c r="K2788" t="s">
        <v>29</v>
      </c>
      <c r="L2788">
        <v>0</v>
      </c>
      <c r="M2788" t="s">
        <v>29</v>
      </c>
      <c r="N2788">
        <v>0</v>
      </c>
      <c r="O2788">
        <v>0</v>
      </c>
      <c r="P2788" t="s">
        <v>30</v>
      </c>
      <c r="Q2788" s="2">
        <v>0.7</v>
      </c>
      <c r="R2788">
        <v>0</v>
      </c>
      <c r="V2788" t="str">
        <f>VLOOKUP(H2788,'[1]팀별 출판사'!A:B,2,0)</f>
        <v>소설1팀</v>
      </c>
      <c r="W2788" s="6">
        <f t="shared" si="86"/>
        <v>0</v>
      </c>
      <c r="X2788" s="6">
        <f t="shared" si="87"/>
        <v>0</v>
      </c>
    </row>
    <row r="2789" spans="1:24" x14ac:dyDescent="0.3">
      <c r="A2789" t="s">
        <v>4036</v>
      </c>
      <c r="B2789" t="s">
        <v>4149</v>
      </c>
      <c r="C2789" t="s">
        <v>23</v>
      </c>
      <c r="D2789" t="s">
        <v>24</v>
      </c>
      <c r="E2789" t="s">
        <v>25</v>
      </c>
      <c r="F2789">
        <v>1</v>
      </c>
      <c r="G2789" t="s">
        <v>2689</v>
      </c>
      <c r="H2789" t="s">
        <v>32</v>
      </c>
      <c r="I2789" t="s">
        <v>2690</v>
      </c>
      <c r="J2789" t="s">
        <v>311</v>
      </c>
      <c r="K2789" t="s">
        <v>29</v>
      </c>
      <c r="L2789">
        <v>0</v>
      </c>
      <c r="M2789" t="s">
        <v>29</v>
      </c>
      <c r="N2789">
        <v>0</v>
      </c>
      <c r="O2789">
        <v>0</v>
      </c>
      <c r="P2789" t="s">
        <v>30</v>
      </c>
      <c r="Q2789" s="2">
        <v>0.7</v>
      </c>
      <c r="R2789">
        <v>0</v>
      </c>
      <c r="V2789" t="str">
        <f>VLOOKUP(H2789,'[1]팀별 출판사'!A:B,2,0)</f>
        <v>소설1팀</v>
      </c>
      <c r="W2789" s="6">
        <f t="shared" si="86"/>
        <v>0</v>
      </c>
      <c r="X2789" s="6">
        <f t="shared" si="87"/>
        <v>0</v>
      </c>
    </row>
    <row r="2790" spans="1:24" x14ac:dyDescent="0.3">
      <c r="A2790" t="s">
        <v>4036</v>
      </c>
      <c r="B2790" t="s">
        <v>4150</v>
      </c>
      <c r="C2790" t="s">
        <v>23</v>
      </c>
      <c r="D2790" t="s">
        <v>24</v>
      </c>
      <c r="E2790" t="s">
        <v>25</v>
      </c>
      <c r="F2790">
        <v>1</v>
      </c>
      <c r="G2790" t="s">
        <v>4151</v>
      </c>
      <c r="H2790" t="s">
        <v>32</v>
      </c>
      <c r="I2790" t="s">
        <v>4152</v>
      </c>
      <c r="J2790" t="s">
        <v>166</v>
      </c>
      <c r="K2790" t="s">
        <v>29</v>
      </c>
      <c r="L2790" s="1">
        <v>3500</v>
      </c>
      <c r="M2790" t="s">
        <v>29</v>
      </c>
      <c r="N2790" s="1">
        <v>3500</v>
      </c>
      <c r="O2790" s="1">
        <v>3500</v>
      </c>
      <c r="P2790" t="s">
        <v>30</v>
      </c>
      <c r="Q2790" s="2">
        <v>0.7</v>
      </c>
      <c r="R2790" s="1">
        <v>2450</v>
      </c>
      <c r="S2790" t="s">
        <v>29</v>
      </c>
      <c r="T2790" s="1">
        <v>2450</v>
      </c>
      <c r="V2790" t="str">
        <f>VLOOKUP(H2790,'[1]팀별 출판사'!A:B,2,0)</f>
        <v>소설1팀</v>
      </c>
      <c r="W2790" s="6">
        <f t="shared" si="86"/>
        <v>0</v>
      </c>
      <c r="X2790" s="6">
        <f t="shared" si="87"/>
        <v>2450</v>
      </c>
    </row>
    <row r="2791" spans="1:24" x14ac:dyDescent="0.3">
      <c r="A2791" t="s">
        <v>4036</v>
      </c>
      <c r="B2791" t="s">
        <v>4153</v>
      </c>
      <c r="C2791" t="s">
        <v>23</v>
      </c>
      <c r="D2791" t="s">
        <v>24</v>
      </c>
      <c r="E2791" t="s">
        <v>25</v>
      </c>
      <c r="F2791">
        <v>1</v>
      </c>
      <c r="G2791">
        <v>9791133188277</v>
      </c>
      <c r="H2791" t="s">
        <v>26</v>
      </c>
      <c r="I2791" t="s">
        <v>4154</v>
      </c>
      <c r="J2791" t="s">
        <v>743</v>
      </c>
      <c r="K2791" t="s">
        <v>29</v>
      </c>
      <c r="L2791" s="1">
        <v>2500</v>
      </c>
      <c r="M2791" t="s">
        <v>29</v>
      </c>
      <c r="N2791" s="1">
        <v>2500</v>
      </c>
      <c r="O2791" s="1">
        <v>2500</v>
      </c>
      <c r="P2791" t="s">
        <v>30</v>
      </c>
      <c r="Q2791" s="2">
        <v>0.7</v>
      </c>
      <c r="R2791" s="1">
        <v>1750</v>
      </c>
      <c r="S2791" t="s">
        <v>29</v>
      </c>
      <c r="T2791" s="1">
        <v>1750</v>
      </c>
      <c r="V2791" t="str">
        <f>VLOOKUP(H2791,'[1]팀별 출판사'!A:B,2,0)</f>
        <v>소설1팀</v>
      </c>
      <c r="W2791" s="6">
        <f t="shared" si="86"/>
        <v>0</v>
      </c>
      <c r="X2791" s="6">
        <f t="shared" si="87"/>
        <v>1750</v>
      </c>
    </row>
    <row r="2792" spans="1:24" x14ac:dyDescent="0.3">
      <c r="A2792" t="s">
        <v>4036</v>
      </c>
      <c r="B2792" t="s">
        <v>4155</v>
      </c>
      <c r="C2792" t="s">
        <v>23</v>
      </c>
      <c r="D2792" t="s">
        <v>24</v>
      </c>
      <c r="E2792" t="s">
        <v>25</v>
      </c>
      <c r="F2792">
        <v>1</v>
      </c>
      <c r="G2792">
        <v>9791173783739</v>
      </c>
      <c r="H2792" t="s">
        <v>36</v>
      </c>
      <c r="I2792" t="s">
        <v>3229</v>
      </c>
      <c r="J2792" t="s">
        <v>119</v>
      </c>
      <c r="K2792" t="s">
        <v>29</v>
      </c>
      <c r="L2792" s="1">
        <v>3600</v>
      </c>
      <c r="M2792" t="s">
        <v>362</v>
      </c>
      <c r="N2792">
        <v>164.33</v>
      </c>
      <c r="O2792">
        <v>146.72</v>
      </c>
      <c r="P2792" t="s">
        <v>363</v>
      </c>
      <c r="Q2792" s="2">
        <v>0.7</v>
      </c>
      <c r="R2792">
        <v>102.7</v>
      </c>
      <c r="S2792" t="s">
        <v>29</v>
      </c>
      <c r="T2792" s="1">
        <v>2568</v>
      </c>
      <c r="U2792">
        <v>24.976489999999998</v>
      </c>
      <c r="V2792" t="str">
        <f>VLOOKUP(H2792,'[1]팀별 출판사'!A:B,2,0)</f>
        <v>소설2팀</v>
      </c>
      <c r="W2792" s="6">
        <f t="shared" si="86"/>
        <v>0</v>
      </c>
      <c r="X2792" s="6">
        <f t="shared" si="87"/>
        <v>2568</v>
      </c>
    </row>
    <row r="2793" spans="1:24" x14ac:dyDescent="0.3">
      <c r="A2793" t="s">
        <v>4036</v>
      </c>
      <c r="B2793" t="s">
        <v>4156</v>
      </c>
      <c r="C2793" t="s">
        <v>23</v>
      </c>
      <c r="D2793" t="s">
        <v>24</v>
      </c>
      <c r="E2793" t="s">
        <v>25</v>
      </c>
      <c r="F2793">
        <v>1</v>
      </c>
      <c r="G2793">
        <v>9791136942142</v>
      </c>
      <c r="H2793" t="s">
        <v>26</v>
      </c>
      <c r="I2793" t="s">
        <v>180</v>
      </c>
      <c r="J2793" t="s">
        <v>46</v>
      </c>
      <c r="K2793" t="s">
        <v>29</v>
      </c>
      <c r="L2793">
        <v>0</v>
      </c>
      <c r="M2793" t="s">
        <v>47</v>
      </c>
      <c r="N2793">
        <v>0</v>
      </c>
      <c r="O2793">
        <v>0</v>
      </c>
      <c r="P2793" t="s">
        <v>48</v>
      </c>
      <c r="Q2793" s="2">
        <v>0.7</v>
      </c>
      <c r="R2793">
        <v>0</v>
      </c>
      <c r="V2793" t="str">
        <f>VLOOKUP(H2793,'[1]팀별 출판사'!A:B,2,0)</f>
        <v>소설1팀</v>
      </c>
      <c r="W2793" s="6">
        <f t="shared" si="86"/>
        <v>0</v>
      </c>
      <c r="X2793" s="6">
        <f t="shared" si="87"/>
        <v>0</v>
      </c>
    </row>
    <row r="2794" spans="1:24" x14ac:dyDescent="0.3">
      <c r="A2794" t="s">
        <v>4036</v>
      </c>
      <c r="B2794" t="s">
        <v>4157</v>
      </c>
      <c r="C2794" t="s">
        <v>23</v>
      </c>
      <c r="D2794" t="s">
        <v>24</v>
      </c>
      <c r="E2794" t="s">
        <v>25</v>
      </c>
      <c r="F2794">
        <v>1</v>
      </c>
      <c r="G2794">
        <v>9791133144792</v>
      </c>
      <c r="H2794" t="s">
        <v>32</v>
      </c>
      <c r="I2794" t="s">
        <v>223</v>
      </c>
      <c r="J2794" t="s">
        <v>88</v>
      </c>
      <c r="K2794" t="s">
        <v>29</v>
      </c>
      <c r="L2794">
        <v>0</v>
      </c>
      <c r="M2794" t="s">
        <v>29</v>
      </c>
      <c r="N2794">
        <v>0</v>
      </c>
      <c r="O2794">
        <v>0</v>
      </c>
      <c r="P2794" t="s">
        <v>30</v>
      </c>
      <c r="Q2794" s="2">
        <v>0.7</v>
      </c>
      <c r="R2794">
        <v>0</v>
      </c>
      <c r="V2794" t="str">
        <f>VLOOKUP(H2794,'[1]팀별 출판사'!A:B,2,0)</f>
        <v>소설1팀</v>
      </c>
      <c r="W2794" s="6">
        <f t="shared" si="86"/>
        <v>0</v>
      </c>
      <c r="X2794" s="6">
        <f t="shared" si="87"/>
        <v>0</v>
      </c>
    </row>
    <row r="2795" spans="1:24" x14ac:dyDescent="0.3">
      <c r="A2795" t="s">
        <v>4036</v>
      </c>
      <c r="B2795" t="s">
        <v>4158</v>
      </c>
      <c r="C2795" t="s">
        <v>23</v>
      </c>
      <c r="D2795" t="s">
        <v>24</v>
      </c>
      <c r="E2795" t="s">
        <v>25</v>
      </c>
      <c r="F2795">
        <v>1</v>
      </c>
      <c r="G2795">
        <v>9791133108879</v>
      </c>
      <c r="H2795" t="s">
        <v>32</v>
      </c>
      <c r="I2795" t="s">
        <v>143</v>
      </c>
      <c r="J2795" t="s">
        <v>144</v>
      </c>
      <c r="K2795" t="s">
        <v>29</v>
      </c>
      <c r="L2795">
        <v>0</v>
      </c>
      <c r="M2795" t="s">
        <v>29</v>
      </c>
      <c r="N2795">
        <v>0</v>
      </c>
      <c r="O2795">
        <v>0</v>
      </c>
      <c r="P2795" t="s">
        <v>30</v>
      </c>
      <c r="Q2795" s="2">
        <v>0.7</v>
      </c>
      <c r="R2795">
        <v>0</v>
      </c>
      <c r="V2795" t="str">
        <f>VLOOKUP(H2795,'[1]팀별 출판사'!A:B,2,0)</f>
        <v>소설1팀</v>
      </c>
      <c r="W2795" s="6">
        <f t="shared" si="86"/>
        <v>0</v>
      </c>
      <c r="X2795" s="6">
        <f t="shared" si="87"/>
        <v>0</v>
      </c>
    </row>
    <row r="2796" spans="1:24" x14ac:dyDescent="0.3">
      <c r="A2796" t="s">
        <v>4036</v>
      </c>
      <c r="B2796" t="s">
        <v>4159</v>
      </c>
      <c r="C2796" t="s">
        <v>23</v>
      </c>
      <c r="D2796" t="s">
        <v>24</v>
      </c>
      <c r="E2796" t="s">
        <v>25</v>
      </c>
      <c r="F2796">
        <v>1</v>
      </c>
      <c r="G2796">
        <v>9791133101801</v>
      </c>
      <c r="H2796" t="s">
        <v>32</v>
      </c>
      <c r="I2796" t="s">
        <v>1173</v>
      </c>
      <c r="J2796" t="s">
        <v>160</v>
      </c>
      <c r="K2796" t="s">
        <v>29</v>
      </c>
      <c r="L2796">
        <v>0</v>
      </c>
      <c r="M2796" t="s">
        <v>29</v>
      </c>
      <c r="N2796">
        <v>0</v>
      </c>
      <c r="O2796">
        <v>0</v>
      </c>
      <c r="P2796" t="s">
        <v>30</v>
      </c>
      <c r="Q2796" s="2">
        <v>0.7</v>
      </c>
      <c r="R2796">
        <v>0</v>
      </c>
      <c r="V2796" t="str">
        <f>VLOOKUP(H2796,'[1]팀별 출판사'!A:B,2,0)</f>
        <v>소설1팀</v>
      </c>
      <c r="W2796" s="6">
        <f t="shared" si="86"/>
        <v>0</v>
      </c>
      <c r="X2796" s="6">
        <f t="shared" si="87"/>
        <v>0</v>
      </c>
    </row>
    <row r="2797" spans="1:24" x14ac:dyDescent="0.3">
      <c r="A2797" t="s">
        <v>4036</v>
      </c>
      <c r="B2797" t="s">
        <v>4160</v>
      </c>
      <c r="C2797" t="s">
        <v>23</v>
      </c>
      <c r="D2797" t="s">
        <v>24</v>
      </c>
      <c r="E2797" t="s">
        <v>25</v>
      </c>
      <c r="F2797">
        <v>1</v>
      </c>
      <c r="G2797">
        <v>9791133102662</v>
      </c>
      <c r="H2797" t="s">
        <v>32</v>
      </c>
      <c r="I2797" t="s">
        <v>675</v>
      </c>
      <c r="J2797" t="s">
        <v>51</v>
      </c>
      <c r="K2797" t="s">
        <v>29</v>
      </c>
      <c r="L2797">
        <v>0</v>
      </c>
      <c r="M2797" t="s">
        <v>29</v>
      </c>
      <c r="N2797">
        <v>0</v>
      </c>
      <c r="O2797">
        <v>0</v>
      </c>
      <c r="P2797" t="s">
        <v>30</v>
      </c>
      <c r="Q2797" s="2">
        <v>0.7</v>
      </c>
      <c r="R2797">
        <v>0</v>
      </c>
      <c r="V2797" t="str">
        <f>VLOOKUP(H2797,'[1]팀별 출판사'!A:B,2,0)</f>
        <v>소설1팀</v>
      </c>
      <c r="W2797" s="6">
        <f t="shared" si="86"/>
        <v>0</v>
      </c>
      <c r="X2797" s="6">
        <f t="shared" si="87"/>
        <v>0</v>
      </c>
    </row>
    <row r="2798" spans="1:24" x14ac:dyDescent="0.3">
      <c r="A2798" t="s">
        <v>4036</v>
      </c>
      <c r="B2798" t="s">
        <v>4161</v>
      </c>
      <c r="C2798" t="s">
        <v>23</v>
      </c>
      <c r="D2798" t="s">
        <v>24</v>
      </c>
      <c r="E2798" t="s">
        <v>25</v>
      </c>
      <c r="F2798">
        <v>1</v>
      </c>
      <c r="G2798">
        <v>9791136988768</v>
      </c>
      <c r="H2798" t="s">
        <v>26</v>
      </c>
      <c r="I2798" t="s">
        <v>3758</v>
      </c>
      <c r="J2798" t="s">
        <v>28</v>
      </c>
      <c r="K2798" t="s">
        <v>29</v>
      </c>
      <c r="L2798" s="1">
        <v>3200</v>
      </c>
      <c r="M2798" t="s">
        <v>29</v>
      </c>
      <c r="N2798" s="1">
        <v>3200</v>
      </c>
      <c r="O2798" s="1">
        <v>3200</v>
      </c>
      <c r="P2798" t="s">
        <v>30</v>
      </c>
      <c r="Q2798" s="2">
        <v>0.7</v>
      </c>
      <c r="R2798" s="1">
        <v>2240</v>
      </c>
      <c r="S2798" t="s">
        <v>29</v>
      </c>
      <c r="T2798" s="1">
        <v>2240</v>
      </c>
      <c r="V2798" t="str">
        <f>VLOOKUP(H2798,'[1]팀별 출판사'!A:B,2,0)</f>
        <v>소설1팀</v>
      </c>
      <c r="W2798" s="6">
        <f t="shared" si="86"/>
        <v>0</v>
      </c>
      <c r="X2798" s="6">
        <f t="shared" si="87"/>
        <v>2240</v>
      </c>
    </row>
    <row r="2799" spans="1:24" x14ac:dyDescent="0.3">
      <c r="A2799" t="s">
        <v>4036</v>
      </c>
      <c r="B2799" t="s">
        <v>4162</v>
      </c>
      <c r="C2799" t="s">
        <v>23</v>
      </c>
      <c r="D2799" t="s">
        <v>24</v>
      </c>
      <c r="E2799" t="s">
        <v>25</v>
      </c>
      <c r="F2799">
        <v>1</v>
      </c>
      <c r="G2799">
        <v>9791133167227</v>
      </c>
      <c r="H2799" t="s">
        <v>32</v>
      </c>
      <c r="I2799" t="s">
        <v>313</v>
      </c>
      <c r="J2799" t="s">
        <v>160</v>
      </c>
      <c r="K2799" t="s">
        <v>29</v>
      </c>
      <c r="L2799">
        <v>0</v>
      </c>
      <c r="M2799" t="s">
        <v>29</v>
      </c>
      <c r="N2799">
        <v>0</v>
      </c>
      <c r="O2799">
        <v>0</v>
      </c>
      <c r="P2799" t="s">
        <v>30</v>
      </c>
      <c r="Q2799" s="2">
        <v>0.7</v>
      </c>
      <c r="R2799">
        <v>0</v>
      </c>
      <c r="V2799" t="str">
        <f>VLOOKUP(H2799,'[1]팀별 출판사'!A:B,2,0)</f>
        <v>소설1팀</v>
      </c>
      <c r="W2799" s="6">
        <f t="shared" si="86"/>
        <v>0</v>
      </c>
      <c r="X2799" s="6">
        <f t="shared" si="87"/>
        <v>0</v>
      </c>
    </row>
    <row r="2800" spans="1:24" x14ac:dyDescent="0.3">
      <c r="A2800" t="s">
        <v>4036</v>
      </c>
      <c r="B2800" t="s">
        <v>4163</v>
      </c>
      <c r="C2800" t="s">
        <v>23</v>
      </c>
      <c r="D2800" t="s">
        <v>24</v>
      </c>
      <c r="E2800" t="s">
        <v>25</v>
      </c>
      <c r="F2800">
        <v>1</v>
      </c>
      <c r="G2800">
        <v>9791133184507</v>
      </c>
      <c r="H2800" t="s">
        <v>26</v>
      </c>
      <c r="I2800" t="s">
        <v>4164</v>
      </c>
      <c r="J2800" t="s">
        <v>284</v>
      </c>
      <c r="K2800" t="s">
        <v>29</v>
      </c>
      <c r="L2800" s="1">
        <v>3200</v>
      </c>
      <c r="M2800" t="s">
        <v>29</v>
      </c>
      <c r="N2800" s="1">
        <v>3200</v>
      </c>
      <c r="O2800" s="1">
        <v>3200</v>
      </c>
      <c r="P2800" t="s">
        <v>30</v>
      </c>
      <c r="Q2800" s="2">
        <v>0.7</v>
      </c>
      <c r="R2800" s="1">
        <v>2240</v>
      </c>
      <c r="S2800" t="s">
        <v>29</v>
      </c>
      <c r="T2800" s="1">
        <v>2240</v>
      </c>
      <c r="V2800" t="str">
        <f>VLOOKUP(H2800,'[1]팀별 출판사'!A:B,2,0)</f>
        <v>소설1팀</v>
      </c>
      <c r="W2800" s="6">
        <f t="shared" si="86"/>
        <v>0</v>
      </c>
      <c r="X2800" s="6">
        <f t="shared" si="87"/>
        <v>2240</v>
      </c>
    </row>
    <row r="2801" spans="1:24" x14ac:dyDescent="0.3">
      <c r="A2801" t="s">
        <v>4036</v>
      </c>
      <c r="B2801" t="s">
        <v>4165</v>
      </c>
      <c r="C2801" t="s">
        <v>23</v>
      </c>
      <c r="D2801" t="s">
        <v>24</v>
      </c>
      <c r="E2801" t="s">
        <v>25</v>
      </c>
      <c r="F2801">
        <v>1</v>
      </c>
      <c r="G2801">
        <v>9791133167234</v>
      </c>
      <c r="H2801" t="s">
        <v>32</v>
      </c>
      <c r="I2801" t="s">
        <v>1953</v>
      </c>
      <c r="J2801" t="s">
        <v>160</v>
      </c>
      <c r="K2801" t="s">
        <v>29</v>
      </c>
      <c r="L2801" s="1">
        <v>2500</v>
      </c>
      <c r="M2801" t="s">
        <v>29</v>
      </c>
      <c r="N2801" s="1">
        <v>2500</v>
      </c>
      <c r="O2801" s="1">
        <v>2500</v>
      </c>
      <c r="P2801" t="s">
        <v>30</v>
      </c>
      <c r="Q2801" s="2">
        <v>0.7</v>
      </c>
      <c r="R2801" s="1">
        <v>1750</v>
      </c>
      <c r="S2801" t="s">
        <v>29</v>
      </c>
      <c r="T2801" s="1">
        <v>1750</v>
      </c>
      <c r="V2801" t="str">
        <f>VLOOKUP(H2801,'[1]팀별 출판사'!A:B,2,0)</f>
        <v>소설1팀</v>
      </c>
      <c r="W2801" s="6">
        <f t="shared" si="86"/>
        <v>0</v>
      </c>
      <c r="X2801" s="6">
        <f t="shared" si="87"/>
        <v>1750</v>
      </c>
    </row>
    <row r="2802" spans="1:24" x14ac:dyDescent="0.3">
      <c r="A2802" t="s">
        <v>4036</v>
      </c>
      <c r="B2802" t="s">
        <v>4166</v>
      </c>
      <c r="C2802" t="s">
        <v>23</v>
      </c>
      <c r="D2802" t="s">
        <v>24</v>
      </c>
      <c r="E2802" t="s">
        <v>25</v>
      </c>
      <c r="F2802">
        <v>1</v>
      </c>
      <c r="G2802">
        <v>9791136942036</v>
      </c>
      <c r="H2802" t="s">
        <v>26</v>
      </c>
      <c r="I2802" t="s">
        <v>1941</v>
      </c>
      <c r="J2802" t="s">
        <v>81</v>
      </c>
      <c r="K2802" t="s">
        <v>29</v>
      </c>
      <c r="L2802">
        <v>0</v>
      </c>
      <c r="M2802" t="s">
        <v>29</v>
      </c>
      <c r="N2802">
        <v>0</v>
      </c>
      <c r="O2802">
        <v>0</v>
      </c>
      <c r="P2802" t="s">
        <v>30</v>
      </c>
      <c r="Q2802" s="2">
        <v>0.7</v>
      </c>
      <c r="R2802">
        <v>0</v>
      </c>
      <c r="V2802" t="str">
        <f>VLOOKUP(H2802,'[1]팀별 출판사'!A:B,2,0)</f>
        <v>소설1팀</v>
      </c>
      <c r="W2802" s="6">
        <f t="shared" si="86"/>
        <v>0</v>
      </c>
      <c r="X2802" s="6">
        <f t="shared" si="87"/>
        <v>0</v>
      </c>
    </row>
    <row r="2803" spans="1:24" x14ac:dyDescent="0.3">
      <c r="A2803" t="s">
        <v>4036</v>
      </c>
      <c r="B2803" t="s">
        <v>4167</v>
      </c>
      <c r="C2803" t="s">
        <v>23</v>
      </c>
      <c r="D2803" t="s">
        <v>24</v>
      </c>
      <c r="E2803" t="s">
        <v>25</v>
      </c>
      <c r="F2803">
        <v>1</v>
      </c>
      <c r="G2803">
        <v>9791136931375</v>
      </c>
      <c r="H2803" t="s">
        <v>32</v>
      </c>
      <c r="I2803" t="s">
        <v>189</v>
      </c>
      <c r="J2803" t="s">
        <v>46</v>
      </c>
      <c r="K2803" t="s">
        <v>29</v>
      </c>
      <c r="L2803">
        <v>0</v>
      </c>
      <c r="M2803" t="s">
        <v>152</v>
      </c>
      <c r="N2803">
        <v>0</v>
      </c>
      <c r="O2803">
        <v>0</v>
      </c>
      <c r="P2803" t="s">
        <v>153</v>
      </c>
      <c r="Q2803" s="2">
        <v>0.7</v>
      </c>
      <c r="R2803">
        <v>0</v>
      </c>
      <c r="V2803" t="str">
        <f>VLOOKUP(H2803,'[1]팀별 출판사'!A:B,2,0)</f>
        <v>소설1팀</v>
      </c>
      <c r="W2803" s="6">
        <f t="shared" si="86"/>
        <v>0</v>
      </c>
      <c r="X2803" s="6">
        <f t="shared" si="87"/>
        <v>0</v>
      </c>
    </row>
    <row r="2804" spans="1:24" x14ac:dyDescent="0.3">
      <c r="A2804" t="s">
        <v>4036</v>
      </c>
      <c r="B2804" t="s">
        <v>4168</v>
      </c>
      <c r="C2804" t="s">
        <v>23</v>
      </c>
      <c r="D2804" t="s">
        <v>24</v>
      </c>
      <c r="E2804" t="s">
        <v>25</v>
      </c>
      <c r="F2804">
        <v>1</v>
      </c>
      <c r="G2804">
        <v>9791136958662</v>
      </c>
      <c r="H2804" t="s">
        <v>79</v>
      </c>
      <c r="I2804" t="s">
        <v>396</v>
      </c>
      <c r="J2804" t="s">
        <v>81</v>
      </c>
      <c r="K2804" t="s">
        <v>29</v>
      </c>
      <c r="L2804">
        <v>0</v>
      </c>
      <c r="M2804" t="s">
        <v>29</v>
      </c>
      <c r="N2804">
        <v>0</v>
      </c>
      <c r="O2804">
        <v>0</v>
      </c>
      <c r="P2804" t="s">
        <v>30</v>
      </c>
      <c r="Q2804" s="2">
        <v>0.7</v>
      </c>
      <c r="R2804">
        <v>0</v>
      </c>
      <c r="V2804" t="str">
        <f>VLOOKUP(H2804,'[1]팀별 출판사'!A:B,2,0)</f>
        <v>소설1팀</v>
      </c>
      <c r="W2804" s="6">
        <f t="shared" si="86"/>
        <v>0</v>
      </c>
      <c r="X2804" s="6">
        <f t="shared" si="87"/>
        <v>0</v>
      </c>
    </row>
    <row r="2805" spans="1:24" x14ac:dyDescent="0.3">
      <c r="A2805" t="s">
        <v>4036</v>
      </c>
      <c r="B2805" t="s">
        <v>4169</v>
      </c>
      <c r="C2805" t="s">
        <v>23</v>
      </c>
      <c r="D2805" t="s">
        <v>24</v>
      </c>
      <c r="E2805" t="s">
        <v>25</v>
      </c>
      <c r="F2805">
        <v>1</v>
      </c>
      <c r="G2805" t="s">
        <v>2512</v>
      </c>
      <c r="H2805" t="s">
        <v>32</v>
      </c>
      <c r="I2805" t="s">
        <v>2513</v>
      </c>
      <c r="J2805" t="s">
        <v>311</v>
      </c>
      <c r="K2805" t="s">
        <v>29</v>
      </c>
      <c r="L2805" s="1">
        <v>3200</v>
      </c>
      <c r="M2805" t="s">
        <v>29</v>
      </c>
      <c r="N2805" s="1">
        <v>3200</v>
      </c>
      <c r="O2805" s="1">
        <v>3200</v>
      </c>
      <c r="P2805" t="s">
        <v>30</v>
      </c>
      <c r="Q2805" s="2">
        <v>0.7</v>
      </c>
      <c r="R2805" s="1">
        <v>2240</v>
      </c>
      <c r="S2805" t="s">
        <v>29</v>
      </c>
      <c r="T2805" s="1">
        <v>2240</v>
      </c>
      <c r="V2805" t="str">
        <f>VLOOKUP(H2805,'[1]팀별 출판사'!A:B,2,0)</f>
        <v>소설1팀</v>
      </c>
      <c r="W2805" s="6">
        <f t="shared" si="86"/>
        <v>0</v>
      </c>
      <c r="X2805" s="6">
        <f t="shared" si="87"/>
        <v>2240</v>
      </c>
    </row>
    <row r="2806" spans="1:24" x14ac:dyDescent="0.3">
      <c r="A2806" t="s">
        <v>4036</v>
      </c>
      <c r="B2806" t="s">
        <v>4170</v>
      </c>
      <c r="C2806" t="s">
        <v>23</v>
      </c>
      <c r="D2806" t="s">
        <v>24</v>
      </c>
      <c r="E2806" t="s">
        <v>25</v>
      </c>
      <c r="F2806">
        <v>1</v>
      </c>
      <c r="G2806">
        <v>9791172920937</v>
      </c>
      <c r="H2806" t="s">
        <v>79</v>
      </c>
      <c r="I2806" t="s">
        <v>80</v>
      </c>
      <c r="J2806" t="s">
        <v>81</v>
      </c>
      <c r="K2806" t="s">
        <v>29</v>
      </c>
      <c r="L2806">
        <v>0</v>
      </c>
      <c r="M2806" t="s">
        <v>29</v>
      </c>
      <c r="N2806">
        <v>0</v>
      </c>
      <c r="O2806">
        <v>0</v>
      </c>
      <c r="P2806" t="s">
        <v>30</v>
      </c>
      <c r="Q2806" s="2">
        <v>0.7</v>
      </c>
      <c r="R2806">
        <v>0</v>
      </c>
      <c r="V2806" t="str">
        <f>VLOOKUP(H2806,'[1]팀별 출판사'!A:B,2,0)</f>
        <v>소설1팀</v>
      </c>
      <c r="W2806" s="6">
        <f t="shared" si="86"/>
        <v>0</v>
      </c>
      <c r="X2806" s="6">
        <f t="shared" si="87"/>
        <v>0</v>
      </c>
    </row>
    <row r="2807" spans="1:24" x14ac:dyDescent="0.3">
      <c r="A2807" t="s">
        <v>4036</v>
      </c>
      <c r="B2807" t="s">
        <v>4171</v>
      </c>
      <c r="C2807" t="s">
        <v>23</v>
      </c>
      <c r="D2807" t="s">
        <v>24</v>
      </c>
      <c r="E2807" t="s">
        <v>25</v>
      </c>
      <c r="F2807">
        <v>1</v>
      </c>
      <c r="G2807">
        <v>9791136927255</v>
      </c>
      <c r="H2807" t="s">
        <v>36</v>
      </c>
      <c r="I2807" t="s">
        <v>90</v>
      </c>
      <c r="J2807" t="s">
        <v>38</v>
      </c>
      <c r="K2807" t="s">
        <v>29</v>
      </c>
      <c r="L2807" s="1">
        <v>3300</v>
      </c>
      <c r="M2807" t="s">
        <v>886</v>
      </c>
      <c r="N2807">
        <v>3.13</v>
      </c>
      <c r="O2807">
        <v>3.13</v>
      </c>
      <c r="P2807" t="s">
        <v>887</v>
      </c>
      <c r="Q2807" s="2">
        <v>0.7</v>
      </c>
      <c r="R2807">
        <v>2.19</v>
      </c>
      <c r="S2807" t="s">
        <v>29</v>
      </c>
      <c r="T2807" s="1">
        <v>2321</v>
      </c>
      <c r="U2807" s="3">
        <v>1058.7339899999999</v>
      </c>
      <c r="V2807" t="str">
        <f>VLOOKUP(H2807,'[1]팀별 출판사'!A:B,2,0)</f>
        <v>소설2팀</v>
      </c>
      <c r="W2807" s="6">
        <f t="shared" si="86"/>
        <v>0</v>
      </c>
      <c r="X2807" s="6">
        <f t="shared" si="87"/>
        <v>2321</v>
      </c>
    </row>
    <row r="2808" spans="1:24" x14ac:dyDescent="0.3">
      <c r="A2808" t="s">
        <v>4036</v>
      </c>
      <c r="B2808" t="s">
        <v>4172</v>
      </c>
      <c r="C2808" t="s">
        <v>23</v>
      </c>
      <c r="D2808" t="s">
        <v>24</v>
      </c>
      <c r="E2808" t="s">
        <v>25</v>
      </c>
      <c r="F2808">
        <v>1</v>
      </c>
      <c r="G2808">
        <v>9791136927675</v>
      </c>
      <c r="H2808" t="s">
        <v>36</v>
      </c>
      <c r="I2808" t="s">
        <v>2259</v>
      </c>
      <c r="J2808" t="s">
        <v>38</v>
      </c>
      <c r="K2808" t="s">
        <v>29</v>
      </c>
      <c r="L2808" s="1">
        <v>3300</v>
      </c>
      <c r="M2808" t="s">
        <v>886</v>
      </c>
      <c r="N2808">
        <v>3.13</v>
      </c>
      <c r="O2808">
        <v>3.13</v>
      </c>
      <c r="P2808" t="s">
        <v>887</v>
      </c>
      <c r="Q2808" s="2">
        <v>0.7</v>
      </c>
      <c r="R2808">
        <v>2.19</v>
      </c>
      <c r="S2808" t="s">
        <v>29</v>
      </c>
      <c r="T2808" s="1">
        <v>2318</v>
      </c>
      <c r="U2808" s="3">
        <v>1058.7339899999999</v>
      </c>
      <c r="V2808" t="str">
        <f>VLOOKUP(H2808,'[1]팀별 출판사'!A:B,2,0)</f>
        <v>소설2팀</v>
      </c>
      <c r="W2808" s="6">
        <f t="shared" si="86"/>
        <v>0</v>
      </c>
      <c r="X2808" s="6">
        <f t="shared" si="87"/>
        <v>2318</v>
      </c>
    </row>
    <row r="2809" spans="1:24" x14ac:dyDescent="0.3">
      <c r="A2809" t="s">
        <v>4036</v>
      </c>
      <c r="B2809" t="s">
        <v>4172</v>
      </c>
      <c r="C2809" t="s">
        <v>23</v>
      </c>
      <c r="D2809" t="s">
        <v>24</v>
      </c>
      <c r="E2809" t="s">
        <v>25</v>
      </c>
      <c r="F2809">
        <v>1</v>
      </c>
      <c r="G2809">
        <v>9791136940704</v>
      </c>
      <c r="H2809" t="s">
        <v>36</v>
      </c>
      <c r="I2809" t="s">
        <v>2260</v>
      </c>
      <c r="J2809" t="s">
        <v>38</v>
      </c>
      <c r="K2809" t="s">
        <v>29</v>
      </c>
      <c r="L2809" s="1">
        <v>3300</v>
      </c>
      <c r="M2809" t="s">
        <v>886</v>
      </c>
      <c r="N2809">
        <v>3.13</v>
      </c>
      <c r="O2809">
        <v>3.13</v>
      </c>
      <c r="P2809" t="s">
        <v>887</v>
      </c>
      <c r="Q2809" s="2">
        <v>0.7</v>
      </c>
      <c r="R2809">
        <v>2.19</v>
      </c>
      <c r="S2809" t="s">
        <v>29</v>
      </c>
      <c r="T2809" s="1">
        <v>2318</v>
      </c>
      <c r="U2809" s="3">
        <v>1058.7339899999999</v>
      </c>
      <c r="V2809" t="str">
        <f>VLOOKUP(H2809,'[1]팀별 출판사'!A:B,2,0)</f>
        <v>소설2팀</v>
      </c>
      <c r="W2809" s="6">
        <f t="shared" si="86"/>
        <v>0</v>
      </c>
      <c r="X2809" s="6">
        <f t="shared" si="87"/>
        <v>2318</v>
      </c>
    </row>
    <row r="2810" spans="1:24" x14ac:dyDescent="0.3">
      <c r="A2810" t="s">
        <v>4036</v>
      </c>
      <c r="B2810" t="s">
        <v>4172</v>
      </c>
      <c r="C2810" t="s">
        <v>23</v>
      </c>
      <c r="D2810" t="s">
        <v>24</v>
      </c>
      <c r="E2810" t="s">
        <v>25</v>
      </c>
      <c r="F2810">
        <v>1</v>
      </c>
      <c r="G2810">
        <v>9791136940728</v>
      </c>
      <c r="H2810" t="s">
        <v>36</v>
      </c>
      <c r="I2810" t="s">
        <v>2019</v>
      </c>
      <c r="J2810" t="s">
        <v>38</v>
      </c>
      <c r="K2810" t="s">
        <v>29</v>
      </c>
      <c r="L2810" s="1">
        <v>3300</v>
      </c>
      <c r="M2810" t="s">
        <v>886</v>
      </c>
      <c r="N2810">
        <v>3.13</v>
      </c>
      <c r="O2810">
        <v>3.13</v>
      </c>
      <c r="P2810" t="s">
        <v>887</v>
      </c>
      <c r="Q2810" s="2">
        <v>0.7</v>
      </c>
      <c r="R2810">
        <v>2.19</v>
      </c>
      <c r="S2810" t="s">
        <v>29</v>
      </c>
      <c r="T2810" s="1">
        <v>2318</v>
      </c>
      <c r="U2810" s="3">
        <v>1058.7339899999999</v>
      </c>
      <c r="V2810" t="str">
        <f>VLOOKUP(H2810,'[1]팀별 출판사'!A:B,2,0)</f>
        <v>소설2팀</v>
      </c>
      <c r="W2810" s="6">
        <f t="shared" si="86"/>
        <v>0</v>
      </c>
      <c r="X2810" s="6">
        <f t="shared" si="87"/>
        <v>2318</v>
      </c>
    </row>
    <row r="2811" spans="1:24" x14ac:dyDescent="0.3">
      <c r="A2811" t="s">
        <v>4036</v>
      </c>
      <c r="B2811" t="s">
        <v>4172</v>
      </c>
      <c r="C2811" t="s">
        <v>23</v>
      </c>
      <c r="D2811" t="s">
        <v>24</v>
      </c>
      <c r="E2811" t="s">
        <v>25</v>
      </c>
      <c r="F2811">
        <v>1</v>
      </c>
      <c r="G2811">
        <v>9791173786648</v>
      </c>
      <c r="H2811" t="s">
        <v>36</v>
      </c>
      <c r="I2811" t="s">
        <v>2003</v>
      </c>
      <c r="J2811" t="s">
        <v>38</v>
      </c>
      <c r="K2811" t="s">
        <v>29</v>
      </c>
      <c r="L2811" s="1">
        <v>1800</v>
      </c>
      <c r="M2811" t="s">
        <v>886</v>
      </c>
      <c r="N2811">
        <v>1.71</v>
      </c>
      <c r="O2811">
        <v>1.71</v>
      </c>
      <c r="P2811" t="s">
        <v>887</v>
      </c>
      <c r="Q2811" s="2">
        <v>0.7</v>
      </c>
      <c r="R2811">
        <v>1.2</v>
      </c>
      <c r="S2811" t="s">
        <v>29</v>
      </c>
      <c r="T2811" s="1">
        <v>1270</v>
      </c>
      <c r="U2811" s="3">
        <v>1058.7339899999999</v>
      </c>
      <c r="V2811" t="str">
        <f>VLOOKUP(H2811,'[1]팀별 출판사'!A:B,2,0)</f>
        <v>소설2팀</v>
      </c>
      <c r="W2811" s="6">
        <f t="shared" si="86"/>
        <v>0</v>
      </c>
      <c r="X2811" s="6">
        <f t="shared" si="87"/>
        <v>1270</v>
      </c>
    </row>
    <row r="2812" spans="1:24" x14ac:dyDescent="0.3">
      <c r="A2812" t="s">
        <v>4036</v>
      </c>
      <c r="B2812" t="s">
        <v>4173</v>
      </c>
      <c r="C2812" t="s">
        <v>23</v>
      </c>
      <c r="D2812" t="s">
        <v>24</v>
      </c>
      <c r="E2812" t="s">
        <v>25</v>
      </c>
      <c r="F2812">
        <v>1</v>
      </c>
      <c r="G2812">
        <v>9791136927248</v>
      </c>
      <c r="H2812" t="s">
        <v>36</v>
      </c>
      <c r="I2812" t="s">
        <v>2320</v>
      </c>
      <c r="J2812" t="s">
        <v>38</v>
      </c>
      <c r="K2812" t="s">
        <v>29</v>
      </c>
      <c r="L2812" s="1">
        <v>3300</v>
      </c>
      <c r="M2812" t="s">
        <v>886</v>
      </c>
      <c r="N2812">
        <v>3.13</v>
      </c>
      <c r="O2812">
        <v>3.13</v>
      </c>
      <c r="P2812" t="s">
        <v>887</v>
      </c>
      <c r="Q2812" s="2">
        <v>0.7</v>
      </c>
      <c r="R2812">
        <v>2.19</v>
      </c>
      <c r="S2812" t="s">
        <v>29</v>
      </c>
      <c r="T2812" s="1">
        <v>2318</v>
      </c>
      <c r="U2812" s="3">
        <v>1058.7339899999999</v>
      </c>
      <c r="V2812" t="str">
        <f>VLOOKUP(H2812,'[1]팀별 출판사'!A:B,2,0)</f>
        <v>소설2팀</v>
      </c>
      <c r="W2812" s="6">
        <f t="shared" si="86"/>
        <v>0</v>
      </c>
      <c r="X2812" s="6">
        <f t="shared" si="87"/>
        <v>2318</v>
      </c>
    </row>
    <row r="2813" spans="1:24" x14ac:dyDescent="0.3">
      <c r="A2813" t="s">
        <v>4036</v>
      </c>
      <c r="B2813" t="s">
        <v>4174</v>
      </c>
      <c r="C2813" t="s">
        <v>23</v>
      </c>
      <c r="D2813" t="s">
        <v>24</v>
      </c>
      <c r="E2813" t="s">
        <v>25</v>
      </c>
      <c r="F2813">
        <v>1</v>
      </c>
      <c r="G2813">
        <v>9791157539741</v>
      </c>
      <c r="H2813" t="s">
        <v>32</v>
      </c>
      <c r="I2813" t="s">
        <v>4175</v>
      </c>
      <c r="J2813" t="s">
        <v>88</v>
      </c>
      <c r="K2813" t="s">
        <v>29</v>
      </c>
      <c r="L2813" s="1">
        <v>3200</v>
      </c>
      <c r="M2813" t="s">
        <v>29</v>
      </c>
      <c r="N2813" s="1">
        <v>3200</v>
      </c>
      <c r="O2813" s="1">
        <v>3200</v>
      </c>
      <c r="P2813" t="s">
        <v>30</v>
      </c>
      <c r="Q2813" s="2">
        <v>0.7</v>
      </c>
      <c r="R2813" s="1">
        <v>2240</v>
      </c>
      <c r="S2813" t="s">
        <v>29</v>
      </c>
      <c r="T2813" s="1">
        <v>2240</v>
      </c>
      <c r="V2813" t="str">
        <f>VLOOKUP(H2813,'[1]팀별 출판사'!A:B,2,0)</f>
        <v>소설1팀</v>
      </c>
      <c r="W2813" s="6">
        <f t="shared" si="86"/>
        <v>0</v>
      </c>
      <c r="X2813" s="6">
        <f t="shared" si="87"/>
        <v>2240</v>
      </c>
    </row>
    <row r="2814" spans="1:24" x14ac:dyDescent="0.3">
      <c r="A2814" t="s">
        <v>4036</v>
      </c>
      <c r="B2814" t="s">
        <v>4176</v>
      </c>
      <c r="C2814" t="s">
        <v>23</v>
      </c>
      <c r="D2814" t="s">
        <v>24</v>
      </c>
      <c r="E2814" t="s">
        <v>25</v>
      </c>
      <c r="F2814">
        <v>1</v>
      </c>
      <c r="G2814">
        <v>9791172927844</v>
      </c>
      <c r="H2814" t="s">
        <v>79</v>
      </c>
      <c r="I2814" t="s">
        <v>1168</v>
      </c>
      <c r="J2814" t="s">
        <v>81</v>
      </c>
      <c r="K2814" t="s">
        <v>29</v>
      </c>
      <c r="L2814">
        <v>0</v>
      </c>
      <c r="M2814" t="s">
        <v>29</v>
      </c>
      <c r="N2814">
        <v>0</v>
      </c>
      <c r="O2814">
        <v>0</v>
      </c>
      <c r="P2814" t="s">
        <v>30</v>
      </c>
      <c r="Q2814" s="2">
        <v>0.7</v>
      </c>
      <c r="R2814">
        <v>0</v>
      </c>
      <c r="V2814" t="str">
        <f>VLOOKUP(H2814,'[1]팀별 출판사'!A:B,2,0)</f>
        <v>소설1팀</v>
      </c>
      <c r="W2814" s="6">
        <f t="shared" si="86"/>
        <v>0</v>
      </c>
      <c r="X2814" s="6">
        <f t="shared" si="87"/>
        <v>0</v>
      </c>
    </row>
    <row r="2815" spans="1:24" x14ac:dyDescent="0.3">
      <c r="A2815" t="s">
        <v>4036</v>
      </c>
      <c r="B2815" t="s">
        <v>4177</v>
      </c>
      <c r="C2815" t="s">
        <v>23</v>
      </c>
      <c r="D2815" t="s">
        <v>24</v>
      </c>
      <c r="E2815" t="s">
        <v>25</v>
      </c>
      <c r="F2815">
        <v>1</v>
      </c>
      <c r="G2815">
        <v>9791136932594</v>
      </c>
      <c r="H2815" t="s">
        <v>32</v>
      </c>
      <c r="I2815" t="s">
        <v>2808</v>
      </c>
      <c r="J2815" t="s">
        <v>1082</v>
      </c>
      <c r="K2815" t="s">
        <v>29</v>
      </c>
      <c r="L2815">
        <v>0</v>
      </c>
      <c r="M2815" t="s">
        <v>29</v>
      </c>
      <c r="N2815">
        <v>0</v>
      </c>
      <c r="O2815">
        <v>0</v>
      </c>
      <c r="P2815" t="s">
        <v>30</v>
      </c>
      <c r="Q2815" s="2">
        <v>0.7</v>
      </c>
      <c r="R2815">
        <v>0</v>
      </c>
      <c r="V2815" t="str">
        <f>VLOOKUP(H2815,'[1]팀별 출판사'!A:B,2,0)</f>
        <v>소설1팀</v>
      </c>
      <c r="W2815" s="6">
        <f t="shared" si="86"/>
        <v>0</v>
      </c>
      <c r="X2815" s="6">
        <f t="shared" si="87"/>
        <v>0</v>
      </c>
    </row>
    <row r="2816" spans="1:24" x14ac:dyDescent="0.3">
      <c r="A2816" t="s">
        <v>4036</v>
      </c>
      <c r="B2816" t="s">
        <v>4178</v>
      </c>
      <c r="C2816" t="s">
        <v>23</v>
      </c>
      <c r="D2816" t="s">
        <v>24</v>
      </c>
      <c r="E2816" t="s">
        <v>25</v>
      </c>
      <c r="F2816">
        <v>1</v>
      </c>
      <c r="G2816">
        <v>9791136909398</v>
      </c>
      <c r="H2816" t="s">
        <v>26</v>
      </c>
      <c r="I2816" t="s">
        <v>779</v>
      </c>
      <c r="J2816" t="s">
        <v>588</v>
      </c>
      <c r="K2816" t="s">
        <v>29</v>
      </c>
      <c r="L2816">
        <v>0</v>
      </c>
      <c r="M2816" t="s">
        <v>29</v>
      </c>
      <c r="N2816">
        <v>0</v>
      </c>
      <c r="O2816">
        <v>0</v>
      </c>
      <c r="P2816" t="s">
        <v>30</v>
      </c>
      <c r="Q2816" s="2">
        <v>0.7</v>
      </c>
      <c r="R2816">
        <v>0</v>
      </c>
      <c r="V2816" t="str">
        <f>VLOOKUP(H2816,'[1]팀별 출판사'!A:B,2,0)</f>
        <v>소설1팀</v>
      </c>
      <c r="W2816" s="6">
        <f t="shared" si="86"/>
        <v>0</v>
      </c>
      <c r="X2816" s="6">
        <f t="shared" si="87"/>
        <v>0</v>
      </c>
    </row>
    <row r="2817" spans="1:24" x14ac:dyDescent="0.3">
      <c r="A2817" t="s">
        <v>4036</v>
      </c>
      <c r="B2817" t="s">
        <v>4179</v>
      </c>
      <c r="C2817" t="s">
        <v>23</v>
      </c>
      <c r="D2817" t="s">
        <v>24</v>
      </c>
      <c r="E2817" t="s">
        <v>25</v>
      </c>
      <c r="F2817">
        <v>1</v>
      </c>
      <c r="G2817">
        <v>9791133167241</v>
      </c>
      <c r="H2817" t="s">
        <v>32</v>
      </c>
      <c r="I2817" t="s">
        <v>1976</v>
      </c>
      <c r="J2817" t="s">
        <v>160</v>
      </c>
      <c r="K2817" t="s">
        <v>29</v>
      </c>
      <c r="L2817" s="1">
        <v>2500</v>
      </c>
      <c r="M2817" t="s">
        <v>29</v>
      </c>
      <c r="N2817" s="1">
        <v>2500</v>
      </c>
      <c r="O2817" s="1">
        <v>2500</v>
      </c>
      <c r="P2817" t="s">
        <v>30</v>
      </c>
      <c r="Q2817" s="2">
        <v>0.7</v>
      </c>
      <c r="R2817" s="1">
        <v>1750</v>
      </c>
      <c r="S2817" t="s">
        <v>29</v>
      </c>
      <c r="T2817" s="1">
        <v>1750</v>
      </c>
      <c r="V2817" t="str">
        <f>VLOOKUP(H2817,'[1]팀별 출판사'!A:B,2,0)</f>
        <v>소설1팀</v>
      </c>
      <c r="W2817" s="6">
        <f t="shared" si="86"/>
        <v>0</v>
      </c>
      <c r="X2817" s="6">
        <f t="shared" si="87"/>
        <v>1750</v>
      </c>
    </row>
    <row r="2818" spans="1:24" x14ac:dyDescent="0.3">
      <c r="A2818" t="s">
        <v>4036</v>
      </c>
      <c r="B2818" t="s">
        <v>4180</v>
      </c>
      <c r="C2818" t="s">
        <v>23</v>
      </c>
      <c r="D2818" t="s">
        <v>24</v>
      </c>
      <c r="E2818" t="s">
        <v>25</v>
      </c>
      <c r="F2818">
        <v>1</v>
      </c>
      <c r="G2818">
        <v>9791133184514</v>
      </c>
      <c r="H2818" t="s">
        <v>26</v>
      </c>
      <c r="I2818" t="s">
        <v>4181</v>
      </c>
      <c r="J2818" t="s">
        <v>284</v>
      </c>
      <c r="K2818" t="s">
        <v>29</v>
      </c>
      <c r="L2818" s="1">
        <v>3200</v>
      </c>
      <c r="M2818" t="s">
        <v>29</v>
      </c>
      <c r="N2818" s="1">
        <v>3200</v>
      </c>
      <c r="O2818" s="1">
        <v>3200</v>
      </c>
      <c r="P2818" t="s">
        <v>30</v>
      </c>
      <c r="Q2818" s="2">
        <v>0.7</v>
      </c>
      <c r="R2818" s="1">
        <v>2240</v>
      </c>
      <c r="S2818" t="s">
        <v>29</v>
      </c>
      <c r="T2818" s="1">
        <v>2240</v>
      </c>
      <c r="V2818" t="str">
        <f>VLOOKUP(H2818,'[1]팀별 출판사'!A:B,2,0)</f>
        <v>소설1팀</v>
      </c>
      <c r="W2818" s="6">
        <f t="shared" ref="W2818:W2881" si="88">IF(P2818="US", T2818*30%, 0)</f>
        <v>0</v>
      </c>
      <c r="X2818" s="6">
        <f t="shared" ref="X2818:X2881" si="89">T2818-W2818</f>
        <v>2240</v>
      </c>
    </row>
    <row r="2819" spans="1:24" x14ac:dyDescent="0.3">
      <c r="A2819" t="s">
        <v>4036</v>
      </c>
      <c r="B2819" t="s">
        <v>4182</v>
      </c>
      <c r="C2819" t="s">
        <v>23</v>
      </c>
      <c r="D2819" t="s">
        <v>24</v>
      </c>
      <c r="E2819" t="s">
        <v>25</v>
      </c>
      <c r="F2819">
        <v>1</v>
      </c>
      <c r="G2819">
        <v>9791136907233</v>
      </c>
      <c r="H2819" t="s">
        <v>26</v>
      </c>
      <c r="I2819" t="s">
        <v>4183</v>
      </c>
      <c r="J2819" t="s">
        <v>1348</v>
      </c>
      <c r="K2819" t="s">
        <v>29</v>
      </c>
      <c r="L2819">
        <v>0</v>
      </c>
      <c r="M2819" t="s">
        <v>29</v>
      </c>
      <c r="N2819">
        <v>0</v>
      </c>
      <c r="O2819">
        <v>0</v>
      </c>
      <c r="P2819" t="s">
        <v>30</v>
      </c>
      <c r="Q2819" s="2">
        <v>0.7</v>
      </c>
      <c r="R2819">
        <v>0</v>
      </c>
      <c r="V2819" t="str">
        <f>VLOOKUP(H2819,'[1]팀별 출판사'!A:B,2,0)</f>
        <v>소설1팀</v>
      </c>
      <c r="W2819" s="6">
        <f t="shared" si="88"/>
        <v>0</v>
      </c>
      <c r="X2819" s="6">
        <f t="shared" si="89"/>
        <v>0</v>
      </c>
    </row>
    <row r="2820" spans="1:24" x14ac:dyDescent="0.3">
      <c r="A2820" t="s">
        <v>4036</v>
      </c>
      <c r="B2820" t="s">
        <v>4184</v>
      </c>
      <c r="C2820" t="s">
        <v>23</v>
      </c>
      <c r="D2820" t="s">
        <v>24</v>
      </c>
      <c r="E2820" t="s">
        <v>25</v>
      </c>
      <c r="F2820">
        <v>1</v>
      </c>
      <c r="G2820">
        <v>9791136903754</v>
      </c>
      <c r="H2820" t="s">
        <v>26</v>
      </c>
      <c r="I2820" t="s">
        <v>361</v>
      </c>
      <c r="J2820" t="s">
        <v>256</v>
      </c>
      <c r="K2820" t="s">
        <v>29</v>
      </c>
      <c r="L2820">
        <v>0</v>
      </c>
      <c r="M2820" t="s">
        <v>29</v>
      </c>
      <c r="N2820">
        <v>0</v>
      </c>
      <c r="O2820">
        <v>0</v>
      </c>
      <c r="P2820" t="s">
        <v>30</v>
      </c>
      <c r="Q2820" s="2">
        <v>0.7</v>
      </c>
      <c r="R2820">
        <v>0</v>
      </c>
      <c r="V2820" t="str">
        <f>VLOOKUP(H2820,'[1]팀별 출판사'!A:B,2,0)</f>
        <v>소설1팀</v>
      </c>
      <c r="W2820" s="6">
        <f t="shared" si="88"/>
        <v>0</v>
      </c>
      <c r="X2820" s="6">
        <f t="shared" si="89"/>
        <v>0</v>
      </c>
    </row>
    <row r="2821" spans="1:24" x14ac:dyDescent="0.3">
      <c r="A2821" t="s">
        <v>4036</v>
      </c>
      <c r="B2821" t="s">
        <v>4185</v>
      </c>
      <c r="C2821" t="s">
        <v>23</v>
      </c>
      <c r="D2821" t="s">
        <v>24</v>
      </c>
      <c r="E2821" t="s">
        <v>25</v>
      </c>
      <c r="F2821">
        <v>1</v>
      </c>
      <c r="G2821">
        <v>9791133144792</v>
      </c>
      <c r="H2821" t="s">
        <v>32</v>
      </c>
      <c r="I2821" t="s">
        <v>223</v>
      </c>
      <c r="J2821" t="s">
        <v>88</v>
      </c>
      <c r="K2821" t="s">
        <v>29</v>
      </c>
      <c r="L2821">
        <v>0</v>
      </c>
      <c r="M2821" t="s">
        <v>29</v>
      </c>
      <c r="N2821">
        <v>0</v>
      </c>
      <c r="O2821">
        <v>0</v>
      </c>
      <c r="P2821" t="s">
        <v>30</v>
      </c>
      <c r="Q2821" s="2">
        <v>0.7</v>
      </c>
      <c r="R2821">
        <v>0</v>
      </c>
      <c r="V2821" t="str">
        <f>VLOOKUP(H2821,'[1]팀별 출판사'!A:B,2,0)</f>
        <v>소설1팀</v>
      </c>
      <c r="W2821" s="6">
        <f t="shared" si="88"/>
        <v>0</v>
      </c>
      <c r="X2821" s="6">
        <f t="shared" si="89"/>
        <v>0</v>
      </c>
    </row>
    <row r="2822" spans="1:24" x14ac:dyDescent="0.3">
      <c r="A2822" t="s">
        <v>4036</v>
      </c>
      <c r="B2822" t="s">
        <v>4186</v>
      </c>
      <c r="C2822" t="s">
        <v>23</v>
      </c>
      <c r="D2822" t="s">
        <v>24</v>
      </c>
      <c r="E2822" t="s">
        <v>25</v>
      </c>
      <c r="F2822">
        <v>1</v>
      </c>
      <c r="G2822">
        <v>9791157531912</v>
      </c>
      <c r="H2822" t="s">
        <v>32</v>
      </c>
      <c r="I2822" t="s">
        <v>1449</v>
      </c>
      <c r="J2822" t="s">
        <v>88</v>
      </c>
      <c r="K2822" t="s">
        <v>29</v>
      </c>
      <c r="L2822">
        <v>0</v>
      </c>
      <c r="M2822" t="s">
        <v>29</v>
      </c>
      <c r="N2822">
        <v>0</v>
      </c>
      <c r="O2822">
        <v>0</v>
      </c>
      <c r="P2822" t="s">
        <v>30</v>
      </c>
      <c r="Q2822" s="2">
        <v>0.7</v>
      </c>
      <c r="R2822">
        <v>0</v>
      </c>
      <c r="V2822" t="str">
        <f>VLOOKUP(H2822,'[1]팀별 출판사'!A:B,2,0)</f>
        <v>소설1팀</v>
      </c>
      <c r="W2822" s="6">
        <f t="shared" si="88"/>
        <v>0</v>
      </c>
      <c r="X2822" s="6">
        <f t="shared" si="89"/>
        <v>0</v>
      </c>
    </row>
    <row r="2823" spans="1:24" x14ac:dyDescent="0.3">
      <c r="A2823" t="s">
        <v>4036</v>
      </c>
      <c r="B2823" t="s">
        <v>4187</v>
      </c>
      <c r="C2823" t="s">
        <v>23</v>
      </c>
      <c r="D2823" t="s">
        <v>24</v>
      </c>
      <c r="E2823" t="s">
        <v>25</v>
      </c>
      <c r="F2823">
        <v>1</v>
      </c>
      <c r="G2823">
        <v>9791133126422</v>
      </c>
      <c r="H2823" t="s">
        <v>32</v>
      </c>
      <c r="I2823" t="s">
        <v>4188</v>
      </c>
      <c r="J2823" t="s">
        <v>160</v>
      </c>
      <c r="K2823" t="s">
        <v>29</v>
      </c>
      <c r="L2823" s="1">
        <v>3500</v>
      </c>
      <c r="M2823" t="s">
        <v>29</v>
      </c>
      <c r="N2823" s="1">
        <v>3500</v>
      </c>
      <c r="O2823" s="1">
        <v>3500</v>
      </c>
      <c r="P2823" t="s">
        <v>30</v>
      </c>
      <c r="Q2823" s="2">
        <v>0.7</v>
      </c>
      <c r="R2823" s="1">
        <v>2450</v>
      </c>
      <c r="S2823" t="s">
        <v>29</v>
      </c>
      <c r="T2823" s="1">
        <v>2450</v>
      </c>
      <c r="V2823" t="str">
        <f>VLOOKUP(H2823,'[1]팀별 출판사'!A:B,2,0)</f>
        <v>소설1팀</v>
      </c>
      <c r="W2823" s="6">
        <f t="shared" si="88"/>
        <v>0</v>
      </c>
      <c r="X2823" s="6">
        <f t="shared" si="89"/>
        <v>2450</v>
      </c>
    </row>
    <row r="2824" spans="1:24" x14ac:dyDescent="0.3">
      <c r="A2824" t="s">
        <v>4036</v>
      </c>
      <c r="B2824" t="s">
        <v>4189</v>
      </c>
      <c r="C2824" t="s">
        <v>23</v>
      </c>
      <c r="D2824" t="s">
        <v>24</v>
      </c>
      <c r="E2824" t="s">
        <v>25</v>
      </c>
      <c r="F2824">
        <v>1</v>
      </c>
      <c r="G2824" t="s">
        <v>2646</v>
      </c>
      <c r="H2824" t="s">
        <v>32</v>
      </c>
      <c r="I2824" t="s">
        <v>2647</v>
      </c>
      <c r="J2824" t="s">
        <v>311</v>
      </c>
      <c r="K2824" t="s">
        <v>29</v>
      </c>
      <c r="L2824" s="1">
        <v>3200</v>
      </c>
      <c r="M2824" t="s">
        <v>29</v>
      </c>
      <c r="N2824" s="1">
        <v>3200</v>
      </c>
      <c r="O2824" s="1">
        <v>3200</v>
      </c>
      <c r="P2824" t="s">
        <v>30</v>
      </c>
      <c r="Q2824" s="2">
        <v>0.7</v>
      </c>
      <c r="R2824" s="1">
        <v>2240</v>
      </c>
      <c r="S2824" t="s">
        <v>29</v>
      </c>
      <c r="T2824" s="1">
        <v>2240</v>
      </c>
      <c r="V2824" t="str">
        <f>VLOOKUP(H2824,'[1]팀별 출판사'!A:B,2,0)</f>
        <v>소설1팀</v>
      </c>
      <c r="W2824" s="6">
        <f t="shared" si="88"/>
        <v>0</v>
      </c>
      <c r="X2824" s="6">
        <f t="shared" si="89"/>
        <v>2240</v>
      </c>
    </row>
    <row r="2825" spans="1:24" x14ac:dyDescent="0.3">
      <c r="A2825" t="s">
        <v>4036</v>
      </c>
      <c r="B2825" t="s">
        <v>4190</v>
      </c>
      <c r="C2825" t="s">
        <v>23</v>
      </c>
      <c r="D2825" t="s">
        <v>24</v>
      </c>
      <c r="E2825" t="s">
        <v>25</v>
      </c>
      <c r="F2825">
        <v>1</v>
      </c>
      <c r="G2825">
        <v>9791172920166</v>
      </c>
      <c r="H2825" t="s">
        <v>26</v>
      </c>
      <c r="I2825" t="s">
        <v>2516</v>
      </c>
      <c r="J2825" t="s">
        <v>276</v>
      </c>
      <c r="K2825" t="s">
        <v>29</v>
      </c>
      <c r="L2825" s="1">
        <v>3200</v>
      </c>
      <c r="M2825" t="s">
        <v>29</v>
      </c>
      <c r="N2825" s="1">
        <v>3200</v>
      </c>
      <c r="O2825" s="1">
        <v>3200</v>
      </c>
      <c r="P2825" t="s">
        <v>30</v>
      </c>
      <c r="Q2825" s="2">
        <v>0.7</v>
      </c>
      <c r="R2825" s="1">
        <v>2240</v>
      </c>
      <c r="S2825" t="s">
        <v>29</v>
      </c>
      <c r="T2825" s="1">
        <v>2240</v>
      </c>
      <c r="V2825" t="str">
        <f>VLOOKUP(H2825,'[1]팀별 출판사'!A:B,2,0)</f>
        <v>소설1팀</v>
      </c>
      <c r="W2825" s="6">
        <f t="shared" si="88"/>
        <v>0</v>
      </c>
      <c r="X2825" s="6">
        <f t="shared" si="89"/>
        <v>2240</v>
      </c>
    </row>
    <row r="2826" spans="1:24" x14ac:dyDescent="0.3">
      <c r="A2826" t="s">
        <v>4036</v>
      </c>
      <c r="B2826" t="s">
        <v>4191</v>
      </c>
      <c r="C2826" t="s">
        <v>23</v>
      </c>
      <c r="D2826" t="s">
        <v>24</v>
      </c>
      <c r="E2826" t="s">
        <v>25</v>
      </c>
      <c r="F2826">
        <v>1</v>
      </c>
      <c r="G2826">
        <v>9791170100041</v>
      </c>
      <c r="H2826" t="s">
        <v>67</v>
      </c>
      <c r="I2826" t="s">
        <v>346</v>
      </c>
      <c r="J2826" t="s">
        <v>347</v>
      </c>
      <c r="K2826" t="s">
        <v>29</v>
      </c>
      <c r="L2826">
        <v>0</v>
      </c>
      <c r="M2826" t="s">
        <v>29</v>
      </c>
      <c r="N2826">
        <v>0</v>
      </c>
      <c r="O2826">
        <v>0</v>
      </c>
      <c r="P2826" t="s">
        <v>30</v>
      </c>
      <c r="Q2826" s="2">
        <v>0.7</v>
      </c>
      <c r="R2826">
        <v>0</v>
      </c>
      <c r="V2826" t="str">
        <f>VLOOKUP(H2826,'[1]팀별 출판사'!A:B,2,0)</f>
        <v>소설1팀</v>
      </c>
      <c r="W2826" s="6">
        <f t="shared" si="88"/>
        <v>0</v>
      </c>
      <c r="X2826" s="6">
        <f t="shared" si="89"/>
        <v>0</v>
      </c>
    </row>
    <row r="2827" spans="1:24" x14ac:dyDescent="0.3">
      <c r="A2827" t="s">
        <v>4036</v>
      </c>
      <c r="B2827" t="s">
        <v>4192</v>
      </c>
      <c r="C2827" t="s">
        <v>23</v>
      </c>
      <c r="D2827" t="s">
        <v>24</v>
      </c>
      <c r="E2827" t="s">
        <v>25</v>
      </c>
      <c r="F2827">
        <v>1</v>
      </c>
      <c r="G2827">
        <v>9791173785092</v>
      </c>
      <c r="H2827" t="s">
        <v>26</v>
      </c>
      <c r="I2827" t="s">
        <v>327</v>
      </c>
      <c r="J2827" t="s">
        <v>62</v>
      </c>
      <c r="K2827" t="s">
        <v>29</v>
      </c>
      <c r="L2827">
        <v>0</v>
      </c>
      <c r="M2827" t="s">
        <v>29</v>
      </c>
      <c r="N2827">
        <v>0</v>
      </c>
      <c r="O2827">
        <v>0</v>
      </c>
      <c r="P2827" t="s">
        <v>30</v>
      </c>
      <c r="Q2827" s="2">
        <v>0.7</v>
      </c>
      <c r="R2827">
        <v>0</v>
      </c>
      <c r="V2827" t="str">
        <f>VLOOKUP(H2827,'[1]팀별 출판사'!A:B,2,0)</f>
        <v>소설1팀</v>
      </c>
      <c r="W2827" s="6">
        <f t="shared" si="88"/>
        <v>0</v>
      </c>
      <c r="X2827" s="6">
        <f t="shared" si="89"/>
        <v>0</v>
      </c>
    </row>
    <row r="2828" spans="1:24" x14ac:dyDescent="0.3">
      <c r="A2828" t="s">
        <v>4036</v>
      </c>
      <c r="B2828" t="s">
        <v>4193</v>
      </c>
      <c r="C2828" t="s">
        <v>23</v>
      </c>
      <c r="D2828" t="s">
        <v>24</v>
      </c>
      <c r="E2828" t="s">
        <v>25</v>
      </c>
      <c r="F2828">
        <v>1</v>
      </c>
      <c r="G2828">
        <v>9791133184521</v>
      </c>
      <c r="H2828" t="s">
        <v>26</v>
      </c>
      <c r="I2828" t="s">
        <v>4194</v>
      </c>
      <c r="J2828" t="s">
        <v>284</v>
      </c>
      <c r="K2828" t="s">
        <v>29</v>
      </c>
      <c r="L2828" s="1">
        <v>3200</v>
      </c>
      <c r="M2828" t="s">
        <v>29</v>
      </c>
      <c r="N2828" s="1">
        <v>3200</v>
      </c>
      <c r="O2828" s="1">
        <v>3200</v>
      </c>
      <c r="P2828" t="s">
        <v>30</v>
      </c>
      <c r="Q2828" s="2">
        <v>0.7</v>
      </c>
      <c r="R2828" s="1">
        <v>2240</v>
      </c>
      <c r="S2828" t="s">
        <v>29</v>
      </c>
      <c r="T2828" s="1">
        <v>2240</v>
      </c>
      <c r="V2828" t="str">
        <f>VLOOKUP(H2828,'[1]팀별 출판사'!A:B,2,0)</f>
        <v>소설1팀</v>
      </c>
      <c r="W2828" s="6">
        <f t="shared" si="88"/>
        <v>0</v>
      </c>
      <c r="X2828" s="6">
        <f t="shared" si="89"/>
        <v>2240</v>
      </c>
    </row>
    <row r="2829" spans="1:24" x14ac:dyDescent="0.3">
      <c r="A2829" t="s">
        <v>4036</v>
      </c>
      <c r="B2829" t="s">
        <v>4195</v>
      </c>
      <c r="C2829" t="s">
        <v>23</v>
      </c>
      <c r="D2829" t="s">
        <v>24</v>
      </c>
      <c r="E2829" t="s">
        <v>25</v>
      </c>
      <c r="F2829">
        <v>1</v>
      </c>
      <c r="G2829">
        <v>9791136930361</v>
      </c>
      <c r="H2829" t="s">
        <v>32</v>
      </c>
      <c r="I2829" t="s">
        <v>33</v>
      </c>
      <c r="J2829" t="s">
        <v>34</v>
      </c>
      <c r="K2829" t="s">
        <v>29</v>
      </c>
      <c r="L2829">
        <v>0</v>
      </c>
      <c r="M2829" t="s">
        <v>29</v>
      </c>
      <c r="N2829">
        <v>0</v>
      </c>
      <c r="O2829">
        <v>0</v>
      </c>
      <c r="P2829" t="s">
        <v>30</v>
      </c>
      <c r="Q2829" s="2">
        <v>0.7</v>
      </c>
      <c r="R2829">
        <v>0</v>
      </c>
      <c r="V2829" t="str">
        <f>VLOOKUP(H2829,'[1]팀별 출판사'!A:B,2,0)</f>
        <v>소설1팀</v>
      </c>
      <c r="W2829" s="6">
        <f t="shared" si="88"/>
        <v>0</v>
      </c>
      <c r="X2829" s="6">
        <f t="shared" si="89"/>
        <v>0</v>
      </c>
    </row>
    <row r="2830" spans="1:24" x14ac:dyDescent="0.3">
      <c r="A2830" t="s">
        <v>4036</v>
      </c>
      <c r="B2830" t="s">
        <v>4196</v>
      </c>
      <c r="C2830" t="s">
        <v>23</v>
      </c>
      <c r="D2830" t="s">
        <v>24</v>
      </c>
      <c r="E2830" t="s">
        <v>25</v>
      </c>
      <c r="F2830">
        <v>1</v>
      </c>
      <c r="G2830">
        <v>9791133186501</v>
      </c>
      <c r="H2830" t="s">
        <v>26</v>
      </c>
      <c r="I2830" t="s">
        <v>64</v>
      </c>
      <c r="J2830" t="s">
        <v>65</v>
      </c>
      <c r="K2830" t="s">
        <v>29</v>
      </c>
      <c r="L2830">
        <v>0</v>
      </c>
      <c r="M2830" t="s">
        <v>29</v>
      </c>
      <c r="N2830">
        <v>0</v>
      </c>
      <c r="O2830">
        <v>0</v>
      </c>
      <c r="P2830" t="s">
        <v>30</v>
      </c>
      <c r="Q2830" s="2">
        <v>0.7</v>
      </c>
      <c r="R2830">
        <v>0</v>
      </c>
      <c r="V2830" t="str">
        <f>VLOOKUP(H2830,'[1]팀별 출판사'!A:B,2,0)</f>
        <v>소설1팀</v>
      </c>
      <c r="W2830" s="6">
        <f t="shared" si="88"/>
        <v>0</v>
      </c>
      <c r="X2830" s="6">
        <f t="shared" si="89"/>
        <v>0</v>
      </c>
    </row>
    <row r="2831" spans="1:24" x14ac:dyDescent="0.3">
      <c r="A2831" t="s">
        <v>4036</v>
      </c>
      <c r="B2831" t="s">
        <v>4197</v>
      </c>
      <c r="C2831" t="s">
        <v>23</v>
      </c>
      <c r="D2831" t="s">
        <v>24</v>
      </c>
      <c r="E2831" t="s">
        <v>25</v>
      </c>
      <c r="F2831">
        <v>1</v>
      </c>
      <c r="G2831">
        <v>9791157533596</v>
      </c>
      <c r="H2831" t="s">
        <v>32</v>
      </c>
      <c r="I2831" t="s">
        <v>4198</v>
      </c>
      <c r="J2831" t="s">
        <v>187</v>
      </c>
      <c r="K2831" t="s">
        <v>29</v>
      </c>
      <c r="L2831" s="1">
        <v>3200</v>
      </c>
      <c r="M2831" t="s">
        <v>29</v>
      </c>
      <c r="N2831" s="1">
        <v>3200</v>
      </c>
      <c r="O2831" s="1">
        <v>3200</v>
      </c>
      <c r="P2831" t="s">
        <v>30</v>
      </c>
      <c r="Q2831" s="2">
        <v>0.7</v>
      </c>
      <c r="R2831" s="1">
        <v>2240</v>
      </c>
      <c r="S2831" t="s">
        <v>29</v>
      </c>
      <c r="T2831" s="1">
        <v>2240</v>
      </c>
      <c r="V2831" t="str">
        <f>VLOOKUP(H2831,'[1]팀별 출판사'!A:B,2,0)</f>
        <v>소설1팀</v>
      </c>
      <c r="W2831" s="6">
        <f t="shared" si="88"/>
        <v>0</v>
      </c>
      <c r="X2831" s="6">
        <f t="shared" si="89"/>
        <v>2240</v>
      </c>
    </row>
    <row r="2832" spans="1:24" x14ac:dyDescent="0.3">
      <c r="A2832" t="s">
        <v>4036</v>
      </c>
      <c r="B2832" t="s">
        <v>4199</v>
      </c>
      <c r="C2832" t="s">
        <v>23</v>
      </c>
      <c r="D2832" t="s">
        <v>24</v>
      </c>
      <c r="E2832" t="s">
        <v>25</v>
      </c>
      <c r="F2832">
        <v>1</v>
      </c>
      <c r="G2832">
        <v>9791136916969</v>
      </c>
      <c r="H2832" t="s">
        <v>26</v>
      </c>
      <c r="I2832" t="s">
        <v>1228</v>
      </c>
      <c r="J2832" t="s">
        <v>436</v>
      </c>
      <c r="K2832" t="s">
        <v>29</v>
      </c>
      <c r="L2832">
        <v>0</v>
      </c>
      <c r="M2832" t="s">
        <v>29</v>
      </c>
      <c r="N2832">
        <v>0</v>
      </c>
      <c r="O2832">
        <v>0</v>
      </c>
      <c r="P2832" t="s">
        <v>30</v>
      </c>
      <c r="Q2832" s="2">
        <v>0.7</v>
      </c>
      <c r="R2832">
        <v>0</v>
      </c>
      <c r="V2832" t="str">
        <f>VLOOKUP(H2832,'[1]팀별 출판사'!A:B,2,0)</f>
        <v>소설1팀</v>
      </c>
      <c r="W2832" s="6">
        <f t="shared" si="88"/>
        <v>0</v>
      </c>
      <c r="X2832" s="6">
        <f t="shared" si="89"/>
        <v>0</v>
      </c>
    </row>
    <row r="2833" spans="1:24" x14ac:dyDescent="0.3">
      <c r="A2833" t="s">
        <v>4036</v>
      </c>
      <c r="B2833" t="s">
        <v>4200</v>
      </c>
      <c r="C2833" t="s">
        <v>23</v>
      </c>
      <c r="D2833" t="s">
        <v>24</v>
      </c>
      <c r="E2833" t="s">
        <v>25</v>
      </c>
      <c r="F2833">
        <v>1</v>
      </c>
      <c r="G2833">
        <v>9791133102891</v>
      </c>
      <c r="H2833" t="s">
        <v>32</v>
      </c>
      <c r="I2833" t="s">
        <v>3008</v>
      </c>
      <c r="J2833" t="s">
        <v>51</v>
      </c>
      <c r="K2833" t="s">
        <v>29</v>
      </c>
      <c r="L2833">
        <v>0</v>
      </c>
      <c r="M2833" t="s">
        <v>29</v>
      </c>
      <c r="N2833">
        <v>0</v>
      </c>
      <c r="O2833">
        <v>0</v>
      </c>
      <c r="P2833" t="s">
        <v>30</v>
      </c>
      <c r="Q2833" s="2">
        <v>0.7</v>
      </c>
      <c r="R2833">
        <v>0</v>
      </c>
      <c r="V2833" t="str">
        <f>VLOOKUP(H2833,'[1]팀별 출판사'!A:B,2,0)</f>
        <v>소설1팀</v>
      </c>
      <c r="W2833" s="6">
        <f t="shared" si="88"/>
        <v>0</v>
      </c>
      <c r="X2833" s="6">
        <f t="shared" si="89"/>
        <v>0</v>
      </c>
    </row>
    <row r="2834" spans="1:24" x14ac:dyDescent="0.3">
      <c r="A2834" t="s">
        <v>4036</v>
      </c>
      <c r="B2834" t="s">
        <v>4201</v>
      </c>
      <c r="C2834" t="s">
        <v>23</v>
      </c>
      <c r="D2834" t="s">
        <v>24</v>
      </c>
      <c r="E2834" t="s">
        <v>25</v>
      </c>
      <c r="F2834">
        <v>1</v>
      </c>
      <c r="G2834">
        <v>9791172927844</v>
      </c>
      <c r="H2834" t="s">
        <v>79</v>
      </c>
      <c r="I2834" t="s">
        <v>1168</v>
      </c>
      <c r="J2834" t="s">
        <v>81</v>
      </c>
      <c r="K2834" t="s">
        <v>29</v>
      </c>
      <c r="L2834">
        <v>0</v>
      </c>
      <c r="M2834" t="s">
        <v>29</v>
      </c>
      <c r="N2834">
        <v>0</v>
      </c>
      <c r="O2834">
        <v>0</v>
      </c>
      <c r="P2834" t="s">
        <v>30</v>
      </c>
      <c r="Q2834" s="2">
        <v>0.7</v>
      </c>
      <c r="R2834">
        <v>0</v>
      </c>
      <c r="V2834" t="str">
        <f>VLOOKUP(H2834,'[1]팀별 출판사'!A:B,2,0)</f>
        <v>소설1팀</v>
      </c>
      <c r="W2834" s="6">
        <f t="shared" si="88"/>
        <v>0</v>
      </c>
      <c r="X2834" s="6">
        <f t="shared" si="89"/>
        <v>0</v>
      </c>
    </row>
    <row r="2835" spans="1:24" x14ac:dyDescent="0.3">
      <c r="A2835" t="s">
        <v>4036</v>
      </c>
      <c r="B2835" t="s">
        <v>4202</v>
      </c>
      <c r="C2835" t="s">
        <v>23</v>
      </c>
      <c r="D2835" t="s">
        <v>24</v>
      </c>
      <c r="E2835" t="s">
        <v>25</v>
      </c>
      <c r="F2835">
        <v>1</v>
      </c>
      <c r="G2835">
        <v>9791157532100</v>
      </c>
      <c r="H2835" t="s">
        <v>32</v>
      </c>
      <c r="I2835" t="s">
        <v>1432</v>
      </c>
      <c r="J2835" t="s">
        <v>112</v>
      </c>
      <c r="K2835" t="s">
        <v>29</v>
      </c>
      <c r="L2835">
        <v>0</v>
      </c>
      <c r="M2835" t="s">
        <v>29</v>
      </c>
      <c r="N2835">
        <v>0</v>
      </c>
      <c r="O2835">
        <v>0</v>
      </c>
      <c r="P2835" t="s">
        <v>30</v>
      </c>
      <c r="Q2835" s="2">
        <v>0.7</v>
      </c>
      <c r="R2835">
        <v>0</v>
      </c>
      <c r="V2835" t="str">
        <f>VLOOKUP(H2835,'[1]팀별 출판사'!A:B,2,0)</f>
        <v>소설1팀</v>
      </c>
      <c r="W2835" s="6">
        <f t="shared" si="88"/>
        <v>0</v>
      </c>
      <c r="X2835" s="6">
        <f t="shared" si="89"/>
        <v>0</v>
      </c>
    </row>
    <row r="2836" spans="1:24" x14ac:dyDescent="0.3">
      <c r="A2836" t="s">
        <v>4036</v>
      </c>
      <c r="B2836" t="s">
        <v>4203</v>
      </c>
      <c r="C2836" t="s">
        <v>23</v>
      </c>
      <c r="D2836" t="s">
        <v>24</v>
      </c>
      <c r="E2836" t="s">
        <v>25</v>
      </c>
      <c r="F2836">
        <v>1</v>
      </c>
      <c r="G2836">
        <v>9791136930552</v>
      </c>
      <c r="H2836" t="s">
        <v>26</v>
      </c>
      <c r="I2836" t="s">
        <v>45</v>
      </c>
      <c r="J2836" t="s">
        <v>46</v>
      </c>
      <c r="K2836" t="s">
        <v>29</v>
      </c>
      <c r="L2836">
        <v>0</v>
      </c>
      <c r="M2836" t="s">
        <v>47</v>
      </c>
      <c r="N2836">
        <v>0</v>
      </c>
      <c r="O2836">
        <v>0</v>
      </c>
      <c r="P2836" t="s">
        <v>48</v>
      </c>
      <c r="Q2836" s="2">
        <v>0.7</v>
      </c>
      <c r="R2836">
        <v>0</v>
      </c>
      <c r="V2836" t="str">
        <f>VLOOKUP(H2836,'[1]팀별 출판사'!A:B,2,0)</f>
        <v>소설1팀</v>
      </c>
      <c r="W2836" s="6">
        <f t="shared" si="88"/>
        <v>0</v>
      </c>
      <c r="X2836" s="6">
        <f t="shared" si="89"/>
        <v>0</v>
      </c>
    </row>
    <row r="2837" spans="1:24" x14ac:dyDescent="0.3">
      <c r="A2837" t="s">
        <v>4036</v>
      </c>
      <c r="B2837" t="s">
        <v>4204</v>
      </c>
      <c r="C2837" t="s">
        <v>23</v>
      </c>
      <c r="D2837" t="s">
        <v>24</v>
      </c>
      <c r="E2837" t="s">
        <v>25</v>
      </c>
      <c r="F2837">
        <v>1</v>
      </c>
      <c r="G2837">
        <v>9791136930491</v>
      </c>
      <c r="H2837" t="s">
        <v>26</v>
      </c>
      <c r="I2837" t="s">
        <v>151</v>
      </c>
      <c r="J2837" t="s">
        <v>46</v>
      </c>
      <c r="K2837" t="s">
        <v>29</v>
      </c>
      <c r="L2837">
        <v>0</v>
      </c>
      <c r="M2837" t="s">
        <v>47</v>
      </c>
      <c r="N2837">
        <v>0</v>
      </c>
      <c r="O2837">
        <v>0</v>
      </c>
      <c r="P2837" t="s">
        <v>48</v>
      </c>
      <c r="Q2837" s="2">
        <v>0.7</v>
      </c>
      <c r="R2837">
        <v>0</v>
      </c>
      <c r="V2837" t="str">
        <f>VLOOKUP(H2837,'[1]팀별 출판사'!A:B,2,0)</f>
        <v>소설1팀</v>
      </c>
      <c r="W2837" s="6">
        <f t="shared" si="88"/>
        <v>0</v>
      </c>
      <c r="X2837" s="6">
        <f t="shared" si="89"/>
        <v>0</v>
      </c>
    </row>
    <row r="2838" spans="1:24" x14ac:dyDescent="0.3">
      <c r="A2838" t="s">
        <v>4036</v>
      </c>
      <c r="B2838" t="s">
        <v>4205</v>
      </c>
      <c r="C2838" t="s">
        <v>23</v>
      </c>
      <c r="D2838" t="s">
        <v>24</v>
      </c>
      <c r="E2838" t="s">
        <v>25</v>
      </c>
      <c r="F2838">
        <v>1</v>
      </c>
      <c r="G2838" t="s">
        <v>4206</v>
      </c>
      <c r="H2838" t="s">
        <v>32</v>
      </c>
      <c r="I2838" t="s">
        <v>4207</v>
      </c>
      <c r="J2838" t="s">
        <v>2968</v>
      </c>
      <c r="K2838" t="s">
        <v>29</v>
      </c>
      <c r="L2838">
        <v>0</v>
      </c>
      <c r="M2838" t="s">
        <v>29</v>
      </c>
      <c r="N2838">
        <v>0</v>
      </c>
      <c r="O2838">
        <v>0</v>
      </c>
      <c r="P2838" t="s">
        <v>30</v>
      </c>
      <c r="Q2838" s="2">
        <v>0.7</v>
      </c>
      <c r="R2838">
        <v>0</v>
      </c>
      <c r="V2838" t="str">
        <f>VLOOKUP(H2838,'[1]팀별 출판사'!A:B,2,0)</f>
        <v>소설1팀</v>
      </c>
      <c r="W2838" s="6">
        <f t="shared" si="88"/>
        <v>0</v>
      </c>
      <c r="X2838" s="6">
        <f t="shared" si="89"/>
        <v>0</v>
      </c>
    </row>
    <row r="2839" spans="1:24" x14ac:dyDescent="0.3">
      <c r="A2839" t="s">
        <v>4036</v>
      </c>
      <c r="B2839" t="s">
        <v>4208</v>
      </c>
      <c r="C2839" t="s">
        <v>23</v>
      </c>
      <c r="D2839" t="s">
        <v>24</v>
      </c>
      <c r="E2839" t="s">
        <v>25</v>
      </c>
      <c r="F2839">
        <v>1</v>
      </c>
      <c r="G2839" t="s">
        <v>797</v>
      </c>
      <c r="H2839" t="s">
        <v>32</v>
      </c>
      <c r="I2839" t="s">
        <v>798</v>
      </c>
      <c r="J2839" t="s">
        <v>43</v>
      </c>
      <c r="K2839" t="s">
        <v>29</v>
      </c>
      <c r="L2839">
        <v>0</v>
      </c>
      <c r="M2839" t="s">
        <v>29</v>
      </c>
      <c r="N2839">
        <v>0</v>
      </c>
      <c r="O2839">
        <v>0</v>
      </c>
      <c r="P2839" t="s">
        <v>30</v>
      </c>
      <c r="Q2839" s="2">
        <v>0.7</v>
      </c>
      <c r="R2839">
        <v>0</v>
      </c>
      <c r="V2839" t="str">
        <f>VLOOKUP(H2839,'[1]팀별 출판사'!A:B,2,0)</f>
        <v>소설1팀</v>
      </c>
      <c r="W2839" s="6">
        <f t="shared" si="88"/>
        <v>0</v>
      </c>
      <c r="X2839" s="6">
        <f t="shared" si="89"/>
        <v>0</v>
      </c>
    </row>
    <row r="2840" spans="1:24" x14ac:dyDescent="0.3">
      <c r="A2840" t="s">
        <v>4036</v>
      </c>
      <c r="B2840" t="s">
        <v>4209</v>
      </c>
      <c r="C2840" t="s">
        <v>23</v>
      </c>
      <c r="D2840" t="s">
        <v>24</v>
      </c>
      <c r="E2840" t="s">
        <v>25</v>
      </c>
      <c r="F2840">
        <v>1</v>
      </c>
      <c r="G2840">
        <v>9791170100546</v>
      </c>
      <c r="H2840" t="s">
        <v>67</v>
      </c>
      <c r="I2840" t="s">
        <v>428</v>
      </c>
      <c r="J2840" t="s">
        <v>429</v>
      </c>
      <c r="K2840" t="s">
        <v>29</v>
      </c>
      <c r="L2840">
        <v>0</v>
      </c>
      <c r="M2840" t="s">
        <v>29</v>
      </c>
      <c r="N2840">
        <v>0</v>
      </c>
      <c r="O2840">
        <v>0</v>
      </c>
      <c r="P2840" t="s">
        <v>30</v>
      </c>
      <c r="Q2840" s="2">
        <v>0.7</v>
      </c>
      <c r="R2840">
        <v>0</v>
      </c>
      <c r="V2840" t="str">
        <f>VLOOKUP(H2840,'[1]팀별 출판사'!A:B,2,0)</f>
        <v>소설1팀</v>
      </c>
      <c r="W2840" s="6">
        <f t="shared" si="88"/>
        <v>0</v>
      </c>
      <c r="X2840" s="6">
        <f t="shared" si="89"/>
        <v>0</v>
      </c>
    </row>
    <row r="2841" spans="1:24" x14ac:dyDescent="0.3">
      <c r="A2841" t="s">
        <v>4036</v>
      </c>
      <c r="B2841" t="s">
        <v>4210</v>
      </c>
      <c r="C2841" t="s">
        <v>23</v>
      </c>
      <c r="D2841" t="s">
        <v>24</v>
      </c>
      <c r="E2841" t="s">
        <v>25</v>
      </c>
      <c r="F2841">
        <v>1</v>
      </c>
      <c r="G2841">
        <v>9791133184538</v>
      </c>
      <c r="H2841" t="s">
        <v>26</v>
      </c>
      <c r="I2841" t="s">
        <v>4211</v>
      </c>
      <c r="J2841" t="s">
        <v>284</v>
      </c>
      <c r="K2841" t="s">
        <v>29</v>
      </c>
      <c r="L2841" s="1">
        <v>3200</v>
      </c>
      <c r="M2841" t="s">
        <v>29</v>
      </c>
      <c r="N2841" s="1">
        <v>3200</v>
      </c>
      <c r="O2841" s="1">
        <v>3200</v>
      </c>
      <c r="P2841" t="s">
        <v>30</v>
      </c>
      <c r="Q2841" s="2">
        <v>0.7</v>
      </c>
      <c r="R2841" s="1">
        <v>2240</v>
      </c>
      <c r="S2841" t="s">
        <v>29</v>
      </c>
      <c r="T2841" s="1">
        <v>2240</v>
      </c>
      <c r="V2841" t="str">
        <f>VLOOKUP(H2841,'[1]팀별 출판사'!A:B,2,0)</f>
        <v>소설1팀</v>
      </c>
      <c r="W2841" s="6">
        <f t="shared" si="88"/>
        <v>0</v>
      </c>
      <c r="X2841" s="6">
        <f t="shared" si="89"/>
        <v>2240</v>
      </c>
    </row>
    <row r="2842" spans="1:24" x14ac:dyDescent="0.3">
      <c r="A2842" t="s">
        <v>4036</v>
      </c>
      <c r="B2842" t="s">
        <v>4212</v>
      </c>
      <c r="C2842" t="s">
        <v>23</v>
      </c>
      <c r="D2842" t="s">
        <v>24</v>
      </c>
      <c r="E2842" t="s">
        <v>25</v>
      </c>
      <c r="F2842">
        <v>1</v>
      </c>
      <c r="G2842">
        <v>9791133188284</v>
      </c>
      <c r="H2842" t="s">
        <v>26</v>
      </c>
      <c r="I2842" t="s">
        <v>4213</v>
      </c>
      <c r="J2842" t="s">
        <v>743</v>
      </c>
      <c r="K2842" t="s">
        <v>29</v>
      </c>
      <c r="L2842" s="1">
        <v>2500</v>
      </c>
      <c r="M2842" t="s">
        <v>29</v>
      </c>
      <c r="N2842" s="1">
        <v>2500</v>
      </c>
      <c r="O2842" s="1">
        <v>2500</v>
      </c>
      <c r="P2842" t="s">
        <v>30</v>
      </c>
      <c r="Q2842" s="2">
        <v>0.7</v>
      </c>
      <c r="R2842" s="1">
        <v>1750</v>
      </c>
      <c r="S2842" t="s">
        <v>29</v>
      </c>
      <c r="T2842" s="1">
        <v>1750</v>
      </c>
      <c r="V2842" t="str">
        <f>VLOOKUP(H2842,'[1]팀별 출판사'!A:B,2,0)</f>
        <v>소설1팀</v>
      </c>
      <c r="W2842" s="6">
        <f t="shared" si="88"/>
        <v>0</v>
      </c>
      <c r="X2842" s="6">
        <f t="shared" si="89"/>
        <v>1750</v>
      </c>
    </row>
    <row r="2843" spans="1:24" x14ac:dyDescent="0.3">
      <c r="A2843" t="s">
        <v>4036</v>
      </c>
      <c r="B2843" t="s">
        <v>4214</v>
      </c>
      <c r="C2843" t="s">
        <v>23</v>
      </c>
      <c r="D2843" t="s">
        <v>24</v>
      </c>
      <c r="E2843" t="s">
        <v>25</v>
      </c>
      <c r="F2843">
        <v>1</v>
      </c>
      <c r="G2843">
        <v>9791133167234</v>
      </c>
      <c r="H2843" t="s">
        <v>32</v>
      </c>
      <c r="I2843" t="s">
        <v>1953</v>
      </c>
      <c r="J2843" t="s">
        <v>160</v>
      </c>
      <c r="K2843" t="s">
        <v>29</v>
      </c>
      <c r="L2843" s="1">
        <v>2500</v>
      </c>
      <c r="M2843" t="s">
        <v>29</v>
      </c>
      <c r="N2843" s="1">
        <v>2500</v>
      </c>
      <c r="O2843" s="1">
        <v>2500</v>
      </c>
      <c r="P2843" t="s">
        <v>30</v>
      </c>
      <c r="Q2843" s="2">
        <v>0.7</v>
      </c>
      <c r="R2843" s="1">
        <v>1750</v>
      </c>
      <c r="S2843" t="s">
        <v>29</v>
      </c>
      <c r="T2843" s="1">
        <v>1750</v>
      </c>
      <c r="V2843" t="str">
        <f>VLOOKUP(H2843,'[1]팀별 출판사'!A:B,2,0)</f>
        <v>소설1팀</v>
      </c>
      <c r="W2843" s="6">
        <f t="shared" si="88"/>
        <v>0</v>
      </c>
      <c r="X2843" s="6">
        <f t="shared" si="89"/>
        <v>1750</v>
      </c>
    </row>
    <row r="2844" spans="1:24" x14ac:dyDescent="0.3">
      <c r="A2844" t="s">
        <v>4036</v>
      </c>
      <c r="B2844" t="s">
        <v>4215</v>
      </c>
      <c r="C2844" t="s">
        <v>23</v>
      </c>
      <c r="D2844" t="s">
        <v>24</v>
      </c>
      <c r="E2844" t="s">
        <v>25</v>
      </c>
      <c r="F2844">
        <v>1</v>
      </c>
      <c r="G2844">
        <v>9791133167241</v>
      </c>
      <c r="H2844" t="s">
        <v>32</v>
      </c>
      <c r="I2844" t="s">
        <v>1976</v>
      </c>
      <c r="J2844" t="s">
        <v>160</v>
      </c>
      <c r="K2844" t="s">
        <v>29</v>
      </c>
      <c r="L2844" s="1">
        <v>2500</v>
      </c>
      <c r="M2844" t="s">
        <v>29</v>
      </c>
      <c r="N2844" s="1">
        <v>2500</v>
      </c>
      <c r="O2844" s="1">
        <v>2500</v>
      </c>
      <c r="P2844" t="s">
        <v>30</v>
      </c>
      <c r="Q2844" s="2">
        <v>0.7</v>
      </c>
      <c r="R2844" s="1">
        <v>1750</v>
      </c>
      <c r="S2844" t="s">
        <v>29</v>
      </c>
      <c r="T2844" s="1">
        <v>1750</v>
      </c>
      <c r="V2844" t="str">
        <f>VLOOKUP(H2844,'[1]팀별 출판사'!A:B,2,0)</f>
        <v>소설1팀</v>
      </c>
      <c r="W2844" s="6">
        <f t="shared" si="88"/>
        <v>0</v>
      </c>
      <c r="X2844" s="6">
        <f t="shared" si="89"/>
        <v>1750</v>
      </c>
    </row>
    <row r="2845" spans="1:24" x14ac:dyDescent="0.3">
      <c r="A2845" t="s">
        <v>4036</v>
      </c>
      <c r="B2845" t="s">
        <v>4216</v>
      </c>
      <c r="C2845" t="s">
        <v>23</v>
      </c>
      <c r="D2845" t="s">
        <v>24</v>
      </c>
      <c r="E2845" t="s">
        <v>25</v>
      </c>
      <c r="F2845">
        <v>1</v>
      </c>
      <c r="G2845">
        <v>9791133167258</v>
      </c>
      <c r="H2845" t="s">
        <v>32</v>
      </c>
      <c r="I2845" t="s">
        <v>1977</v>
      </c>
      <c r="J2845" t="s">
        <v>160</v>
      </c>
      <c r="K2845" t="s">
        <v>29</v>
      </c>
      <c r="L2845" s="1">
        <v>2500</v>
      </c>
      <c r="M2845" t="s">
        <v>29</v>
      </c>
      <c r="N2845" s="1">
        <v>2500</v>
      </c>
      <c r="O2845" s="1">
        <v>2500</v>
      </c>
      <c r="P2845" t="s">
        <v>30</v>
      </c>
      <c r="Q2845" s="2">
        <v>0.7</v>
      </c>
      <c r="R2845" s="1">
        <v>1750</v>
      </c>
      <c r="S2845" t="s">
        <v>29</v>
      </c>
      <c r="T2845" s="1">
        <v>1750</v>
      </c>
      <c r="V2845" t="str">
        <f>VLOOKUP(H2845,'[1]팀별 출판사'!A:B,2,0)</f>
        <v>소설1팀</v>
      </c>
      <c r="W2845" s="6">
        <f t="shared" si="88"/>
        <v>0</v>
      </c>
      <c r="X2845" s="6">
        <f t="shared" si="89"/>
        <v>1750</v>
      </c>
    </row>
    <row r="2846" spans="1:24" x14ac:dyDescent="0.3">
      <c r="A2846" t="s">
        <v>4036</v>
      </c>
      <c r="B2846" t="s">
        <v>4217</v>
      </c>
      <c r="C2846" t="s">
        <v>23</v>
      </c>
      <c r="D2846" t="s">
        <v>24</v>
      </c>
      <c r="E2846" t="s">
        <v>25</v>
      </c>
      <c r="F2846">
        <v>1</v>
      </c>
      <c r="G2846">
        <v>9791133167272</v>
      </c>
      <c r="H2846" t="s">
        <v>32</v>
      </c>
      <c r="I2846" t="s">
        <v>2235</v>
      </c>
      <c r="J2846" t="s">
        <v>160</v>
      </c>
      <c r="K2846" t="s">
        <v>29</v>
      </c>
      <c r="L2846" s="1">
        <v>2500</v>
      </c>
      <c r="M2846" t="s">
        <v>29</v>
      </c>
      <c r="N2846" s="1">
        <v>2500</v>
      </c>
      <c r="O2846" s="1">
        <v>2500</v>
      </c>
      <c r="P2846" t="s">
        <v>30</v>
      </c>
      <c r="Q2846" s="2">
        <v>0.7</v>
      </c>
      <c r="R2846" s="1">
        <v>1750</v>
      </c>
      <c r="S2846" t="s">
        <v>29</v>
      </c>
      <c r="T2846" s="1">
        <v>1750</v>
      </c>
      <c r="V2846" t="str">
        <f>VLOOKUP(H2846,'[1]팀별 출판사'!A:B,2,0)</f>
        <v>소설1팀</v>
      </c>
      <c r="W2846" s="6">
        <f t="shared" si="88"/>
        <v>0</v>
      </c>
      <c r="X2846" s="6">
        <f t="shared" si="89"/>
        <v>1750</v>
      </c>
    </row>
    <row r="2847" spans="1:24" x14ac:dyDescent="0.3">
      <c r="A2847" t="s">
        <v>4036</v>
      </c>
      <c r="B2847" t="s">
        <v>4218</v>
      </c>
      <c r="C2847" t="s">
        <v>23</v>
      </c>
      <c r="D2847" t="s">
        <v>24</v>
      </c>
      <c r="E2847" t="s">
        <v>25</v>
      </c>
      <c r="F2847">
        <v>1</v>
      </c>
      <c r="G2847">
        <v>9791133167289</v>
      </c>
      <c r="H2847" t="s">
        <v>32</v>
      </c>
      <c r="I2847" t="s">
        <v>2236</v>
      </c>
      <c r="J2847" t="s">
        <v>160</v>
      </c>
      <c r="K2847" t="s">
        <v>29</v>
      </c>
      <c r="L2847" s="1">
        <v>2500</v>
      </c>
      <c r="M2847" t="s">
        <v>29</v>
      </c>
      <c r="N2847" s="1">
        <v>2500</v>
      </c>
      <c r="O2847" s="1">
        <v>2500</v>
      </c>
      <c r="P2847" t="s">
        <v>30</v>
      </c>
      <c r="Q2847" s="2">
        <v>0.7</v>
      </c>
      <c r="R2847" s="1">
        <v>1750</v>
      </c>
      <c r="S2847" t="s">
        <v>29</v>
      </c>
      <c r="T2847" s="1">
        <v>1750</v>
      </c>
      <c r="V2847" t="str">
        <f>VLOOKUP(H2847,'[1]팀별 출판사'!A:B,2,0)</f>
        <v>소설1팀</v>
      </c>
      <c r="W2847" s="6">
        <f t="shared" si="88"/>
        <v>0</v>
      </c>
      <c r="X2847" s="6">
        <f t="shared" si="89"/>
        <v>1750</v>
      </c>
    </row>
    <row r="2848" spans="1:24" x14ac:dyDescent="0.3">
      <c r="A2848" t="s">
        <v>4036</v>
      </c>
      <c r="B2848" t="s">
        <v>4219</v>
      </c>
      <c r="C2848" t="s">
        <v>23</v>
      </c>
      <c r="D2848" t="s">
        <v>24</v>
      </c>
      <c r="E2848" t="s">
        <v>25</v>
      </c>
      <c r="F2848">
        <v>1</v>
      </c>
      <c r="G2848">
        <v>9791133167296</v>
      </c>
      <c r="H2848" t="s">
        <v>32</v>
      </c>
      <c r="I2848" t="s">
        <v>2237</v>
      </c>
      <c r="J2848" t="s">
        <v>160</v>
      </c>
      <c r="K2848" t="s">
        <v>29</v>
      </c>
      <c r="L2848" s="1">
        <v>2500</v>
      </c>
      <c r="M2848" t="s">
        <v>29</v>
      </c>
      <c r="N2848" s="1">
        <v>2500</v>
      </c>
      <c r="O2848" s="1">
        <v>2500</v>
      </c>
      <c r="P2848" t="s">
        <v>30</v>
      </c>
      <c r="Q2848" s="2">
        <v>0.7</v>
      </c>
      <c r="R2848" s="1">
        <v>1750</v>
      </c>
      <c r="S2848" t="s">
        <v>29</v>
      </c>
      <c r="T2848" s="1">
        <v>1750</v>
      </c>
      <c r="V2848" t="str">
        <f>VLOOKUP(H2848,'[1]팀별 출판사'!A:B,2,0)</f>
        <v>소설1팀</v>
      </c>
      <c r="W2848" s="6">
        <f t="shared" si="88"/>
        <v>0</v>
      </c>
      <c r="X2848" s="6">
        <f t="shared" si="89"/>
        <v>1750</v>
      </c>
    </row>
    <row r="2849" spans="1:24" x14ac:dyDescent="0.3">
      <c r="A2849" t="s">
        <v>4036</v>
      </c>
      <c r="B2849" t="s">
        <v>4220</v>
      </c>
      <c r="C2849" t="s">
        <v>23</v>
      </c>
      <c r="D2849" t="s">
        <v>24</v>
      </c>
      <c r="E2849" t="s">
        <v>25</v>
      </c>
      <c r="F2849">
        <v>1</v>
      </c>
      <c r="G2849">
        <v>9791133167302</v>
      </c>
      <c r="H2849" t="s">
        <v>32</v>
      </c>
      <c r="I2849" t="s">
        <v>2238</v>
      </c>
      <c r="J2849" t="s">
        <v>160</v>
      </c>
      <c r="K2849" t="s">
        <v>29</v>
      </c>
      <c r="L2849" s="1">
        <v>2500</v>
      </c>
      <c r="M2849" t="s">
        <v>29</v>
      </c>
      <c r="N2849" s="1">
        <v>2500</v>
      </c>
      <c r="O2849" s="1">
        <v>2500</v>
      </c>
      <c r="P2849" t="s">
        <v>30</v>
      </c>
      <c r="Q2849" s="2">
        <v>0.7</v>
      </c>
      <c r="R2849" s="1">
        <v>1750</v>
      </c>
      <c r="S2849" t="s">
        <v>29</v>
      </c>
      <c r="T2849" s="1">
        <v>1750</v>
      </c>
      <c r="V2849" t="str">
        <f>VLOOKUP(H2849,'[1]팀별 출판사'!A:B,2,0)</f>
        <v>소설1팀</v>
      </c>
      <c r="W2849" s="6">
        <f t="shared" si="88"/>
        <v>0</v>
      </c>
      <c r="X2849" s="6">
        <f t="shared" si="89"/>
        <v>1750</v>
      </c>
    </row>
    <row r="2850" spans="1:24" x14ac:dyDescent="0.3">
      <c r="A2850" t="s">
        <v>4036</v>
      </c>
      <c r="B2850" t="s">
        <v>4221</v>
      </c>
      <c r="C2850" t="s">
        <v>23</v>
      </c>
      <c r="D2850" t="s">
        <v>24</v>
      </c>
      <c r="E2850" t="s">
        <v>25</v>
      </c>
      <c r="F2850">
        <v>1</v>
      </c>
      <c r="G2850">
        <v>9791136934925</v>
      </c>
      <c r="H2850" t="s">
        <v>32</v>
      </c>
      <c r="I2850" t="s">
        <v>385</v>
      </c>
      <c r="J2850" t="s">
        <v>126</v>
      </c>
      <c r="K2850" t="s">
        <v>29</v>
      </c>
      <c r="L2850">
        <v>0</v>
      </c>
      <c r="M2850" t="s">
        <v>29</v>
      </c>
      <c r="N2850">
        <v>0</v>
      </c>
      <c r="O2850">
        <v>0</v>
      </c>
      <c r="P2850" t="s">
        <v>30</v>
      </c>
      <c r="Q2850" s="2">
        <v>0.7</v>
      </c>
      <c r="R2850">
        <v>0</v>
      </c>
      <c r="V2850" t="str">
        <f>VLOOKUP(H2850,'[1]팀별 출판사'!A:B,2,0)</f>
        <v>소설1팀</v>
      </c>
      <c r="W2850" s="6">
        <f t="shared" si="88"/>
        <v>0</v>
      </c>
      <c r="X2850" s="6">
        <f t="shared" si="89"/>
        <v>0</v>
      </c>
    </row>
    <row r="2851" spans="1:24" x14ac:dyDescent="0.3">
      <c r="A2851" t="s">
        <v>4222</v>
      </c>
      <c r="B2851" t="s">
        <v>4223</v>
      </c>
      <c r="C2851" t="s">
        <v>23</v>
      </c>
      <c r="D2851" t="s">
        <v>24</v>
      </c>
      <c r="E2851" t="s">
        <v>25</v>
      </c>
      <c r="F2851">
        <v>1</v>
      </c>
      <c r="G2851" t="s">
        <v>2830</v>
      </c>
      <c r="H2851" t="s">
        <v>32</v>
      </c>
      <c r="I2851" t="s">
        <v>2831</v>
      </c>
      <c r="J2851" t="s">
        <v>311</v>
      </c>
      <c r="K2851" t="s">
        <v>29</v>
      </c>
      <c r="L2851" s="1">
        <v>3200</v>
      </c>
      <c r="M2851" t="s">
        <v>29</v>
      </c>
      <c r="N2851" s="1">
        <v>3200</v>
      </c>
      <c r="O2851" s="1">
        <v>3200</v>
      </c>
      <c r="P2851" t="s">
        <v>30</v>
      </c>
      <c r="Q2851" s="2">
        <v>0.7</v>
      </c>
      <c r="R2851" s="1">
        <v>2240</v>
      </c>
      <c r="S2851" t="s">
        <v>29</v>
      </c>
      <c r="T2851" s="1">
        <v>2240</v>
      </c>
      <c r="V2851" t="str">
        <f>VLOOKUP(H2851,'[1]팀별 출판사'!A:B,2,0)</f>
        <v>소설1팀</v>
      </c>
      <c r="W2851" s="6">
        <f t="shared" si="88"/>
        <v>0</v>
      </c>
      <c r="X2851" s="6">
        <f t="shared" si="89"/>
        <v>2240</v>
      </c>
    </row>
    <row r="2852" spans="1:24" x14ac:dyDescent="0.3">
      <c r="A2852" t="s">
        <v>4222</v>
      </c>
      <c r="B2852" t="s">
        <v>4224</v>
      </c>
      <c r="C2852" t="s">
        <v>23</v>
      </c>
      <c r="D2852" t="s">
        <v>24</v>
      </c>
      <c r="E2852" t="s">
        <v>25</v>
      </c>
      <c r="F2852">
        <v>1</v>
      </c>
      <c r="G2852" t="s">
        <v>1163</v>
      </c>
      <c r="H2852" t="s">
        <v>32</v>
      </c>
      <c r="I2852" t="s">
        <v>1164</v>
      </c>
      <c r="J2852" t="s">
        <v>166</v>
      </c>
      <c r="K2852" t="s">
        <v>29</v>
      </c>
      <c r="L2852">
        <v>0</v>
      </c>
      <c r="M2852" t="s">
        <v>29</v>
      </c>
      <c r="N2852">
        <v>0</v>
      </c>
      <c r="O2852">
        <v>0</v>
      </c>
      <c r="P2852" t="s">
        <v>30</v>
      </c>
      <c r="Q2852" s="2">
        <v>0.7</v>
      </c>
      <c r="R2852">
        <v>0</v>
      </c>
      <c r="V2852" t="str">
        <f>VLOOKUP(H2852,'[1]팀별 출판사'!A:B,2,0)</f>
        <v>소설1팀</v>
      </c>
      <c r="W2852" s="6">
        <f t="shared" si="88"/>
        <v>0</v>
      </c>
      <c r="X2852" s="6">
        <f t="shared" si="89"/>
        <v>0</v>
      </c>
    </row>
    <row r="2853" spans="1:24" x14ac:dyDescent="0.3">
      <c r="A2853" t="s">
        <v>4222</v>
      </c>
      <c r="B2853" t="s">
        <v>4225</v>
      </c>
      <c r="C2853" t="s">
        <v>23</v>
      </c>
      <c r="D2853" t="s">
        <v>24</v>
      </c>
      <c r="E2853" t="s">
        <v>25</v>
      </c>
      <c r="F2853">
        <v>1</v>
      </c>
      <c r="G2853">
        <v>9791136904782</v>
      </c>
      <c r="H2853" t="s">
        <v>26</v>
      </c>
      <c r="I2853" t="s">
        <v>1549</v>
      </c>
      <c r="J2853" t="s">
        <v>166</v>
      </c>
      <c r="K2853" t="s">
        <v>29</v>
      </c>
      <c r="L2853">
        <v>0</v>
      </c>
      <c r="M2853" t="s">
        <v>29</v>
      </c>
      <c r="N2853">
        <v>0</v>
      </c>
      <c r="O2853">
        <v>0</v>
      </c>
      <c r="P2853" t="s">
        <v>30</v>
      </c>
      <c r="Q2853" s="2">
        <v>0.7</v>
      </c>
      <c r="R2853">
        <v>0</v>
      </c>
      <c r="V2853" t="str">
        <f>VLOOKUP(H2853,'[1]팀별 출판사'!A:B,2,0)</f>
        <v>소설1팀</v>
      </c>
      <c r="W2853" s="6">
        <f t="shared" si="88"/>
        <v>0</v>
      </c>
      <c r="X2853" s="6">
        <f t="shared" si="89"/>
        <v>0</v>
      </c>
    </row>
    <row r="2854" spans="1:24" x14ac:dyDescent="0.3">
      <c r="A2854" t="s">
        <v>4222</v>
      </c>
      <c r="B2854" t="s">
        <v>4226</v>
      </c>
      <c r="C2854" t="s">
        <v>23</v>
      </c>
      <c r="D2854" t="s">
        <v>24</v>
      </c>
      <c r="E2854" t="s">
        <v>25</v>
      </c>
      <c r="F2854">
        <v>1</v>
      </c>
      <c r="G2854">
        <v>9791133156764</v>
      </c>
      <c r="H2854" t="s">
        <v>32</v>
      </c>
      <c r="I2854" t="s">
        <v>4227</v>
      </c>
      <c r="J2854" t="s">
        <v>51</v>
      </c>
      <c r="K2854" t="s">
        <v>29</v>
      </c>
      <c r="L2854" s="1">
        <v>3000</v>
      </c>
      <c r="M2854" t="s">
        <v>29</v>
      </c>
      <c r="N2854" s="1">
        <v>3000</v>
      </c>
      <c r="O2854" s="1">
        <v>3000</v>
      </c>
      <c r="P2854" t="s">
        <v>30</v>
      </c>
      <c r="Q2854" s="2">
        <v>0.7</v>
      </c>
      <c r="R2854" s="1">
        <v>2100</v>
      </c>
      <c r="S2854" t="s">
        <v>29</v>
      </c>
      <c r="T2854" s="1">
        <v>2100</v>
      </c>
      <c r="V2854" t="str">
        <f>VLOOKUP(H2854,'[1]팀별 출판사'!A:B,2,0)</f>
        <v>소설1팀</v>
      </c>
      <c r="W2854" s="6">
        <f t="shared" si="88"/>
        <v>0</v>
      </c>
      <c r="X2854" s="6">
        <f t="shared" si="89"/>
        <v>2100</v>
      </c>
    </row>
    <row r="2855" spans="1:24" x14ac:dyDescent="0.3">
      <c r="A2855" t="s">
        <v>4222</v>
      </c>
      <c r="B2855" t="s">
        <v>4228</v>
      </c>
      <c r="C2855" t="s">
        <v>23</v>
      </c>
      <c r="D2855" t="s">
        <v>24</v>
      </c>
      <c r="E2855" t="s">
        <v>25</v>
      </c>
      <c r="F2855">
        <v>1</v>
      </c>
      <c r="G2855">
        <v>9791133198924</v>
      </c>
      <c r="H2855" t="s">
        <v>26</v>
      </c>
      <c r="I2855" t="s">
        <v>96</v>
      </c>
      <c r="J2855" t="s">
        <v>97</v>
      </c>
      <c r="K2855" t="s">
        <v>29</v>
      </c>
      <c r="L2855">
        <v>0</v>
      </c>
      <c r="M2855" t="s">
        <v>29</v>
      </c>
      <c r="N2855">
        <v>0</v>
      </c>
      <c r="O2855">
        <v>0</v>
      </c>
      <c r="P2855" t="s">
        <v>30</v>
      </c>
      <c r="Q2855" s="2">
        <v>0.7</v>
      </c>
      <c r="R2855">
        <v>0</v>
      </c>
      <c r="V2855" t="str">
        <f>VLOOKUP(H2855,'[1]팀별 출판사'!A:B,2,0)</f>
        <v>소설1팀</v>
      </c>
      <c r="W2855" s="6">
        <f t="shared" si="88"/>
        <v>0</v>
      </c>
      <c r="X2855" s="6">
        <f t="shared" si="89"/>
        <v>0</v>
      </c>
    </row>
    <row r="2856" spans="1:24" x14ac:dyDescent="0.3">
      <c r="A2856" t="s">
        <v>4222</v>
      </c>
      <c r="B2856" t="s">
        <v>4229</v>
      </c>
      <c r="C2856" t="s">
        <v>23</v>
      </c>
      <c r="D2856" t="s">
        <v>24</v>
      </c>
      <c r="E2856" t="s">
        <v>25</v>
      </c>
      <c r="F2856">
        <v>1</v>
      </c>
      <c r="G2856">
        <v>9791172924850</v>
      </c>
      <c r="H2856" t="s">
        <v>26</v>
      </c>
      <c r="I2856" t="s">
        <v>61</v>
      </c>
      <c r="J2856" t="s">
        <v>62</v>
      </c>
      <c r="K2856" t="s">
        <v>29</v>
      </c>
      <c r="L2856">
        <v>0</v>
      </c>
      <c r="M2856" t="s">
        <v>29</v>
      </c>
      <c r="N2856">
        <v>0</v>
      </c>
      <c r="O2856">
        <v>0</v>
      </c>
      <c r="P2856" t="s">
        <v>30</v>
      </c>
      <c r="Q2856" s="2">
        <v>0.7</v>
      </c>
      <c r="R2856">
        <v>0</v>
      </c>
      <c r="V2856" t="str">
        <f>VLOOKUP(H2856,'[1]팀별 출판사'!A:B,2,0)</f>
        <v>소설1팀</v>
      </c>
      <c r="W2856" s="6">
        <f t="shared" si="88"/>
        <v>0</v>
      </c>
      <c r="X2856" s="6">
        <f t="shared" si="89"/>
        <v>0</v>
      </c>
    </row>
    <row r="2857" spans="1:24" x14ac:dyDescent="0.3">
      <c r="A2857" t="s">
        <v>4222</v>
      </c>
      <c r="B2857" t="s">
        <v>4230</v>
      </c>
      <c r="C2857" t="s">
        <v>23</v>
      </c>
      <c r="D2857" t="s">
        <v>24</v>
      </c>
      <c r="E2857" t="s">
        <v>25</v>
      </c>
      <c r="F2857">
        <v>1</v>
      </c>
      <c r="G2857">
        <v>9791133184545</v>
      </c>
      <c r="H2857" t="s">
        <v>26</v>
      </c>
      <c r="I2857" t="s">
        <v>4231</v>
      </c>
      <c r="J2857" t="s">
        <v>284</v>
      </c>
      <c r="K2857" t="s">
        <v>29</v>
      </c>
      <c r="L2857" s="1">
        <v>3200</v>
      </c>
      <c r="M2857" t="s">
        <v>29</v>
      </c>
      <c r="N2857" s="1">
        <v>3200</v>
      </c>
      <c r="O2857" s="1">
        <v>3200</v>
      </c>
      <c r="P2857" t="s">
        <v>30</v>
      </c>
      <c r="Q2857" s="2">
        <v>0.7</v>
      </c>
      <c r="R2857" s="1">
        <v>2240</v>
      </c>
      <c r="S2857" t="s">
        <v>29</v>
      </c>
      <c r="T2857" s="1">
        <v>2240</v>
      </c>
      <c r="V2857" t="str">
        <f>VLOOKUP(H2857,'[1]팀별 출판사'!A:B,2,0)</f>
        <v>소설1팀</v>
      </c>
      <c r="W2857" s="6">
        <f t="shared" si="88"/>
        <v>0</v>
      </c>
      <c r="X2857" s="6">
        <f t="shared" si="89"/>
        <v>2240</v>
      </c>
    </row>
    <row r="2858" spans="1:24" x14ac:dyDescent="0.3">
      <c r="A2858" t="s">
        <v>4222</v>
      </c>
      <c r="B2858" t="s">
        <v>4232</v>
      </c>
      <c r="C2858" t="s">
        <v>23</v>
      </c>
      <c r="D2858" t="s">
        <v>24</v>
      </c>
      <c r="E2858" t="s">
        <v>25</v>
      </c>
      <c r="F2858">
        <v>1</v>
      </c>
      <c r="G2858">
        <v>9791157532735</v>
      </c>
      <c r="H2858" t="s">
        <v>32</v>
      </c>
      <c r="I2858" t="s">
        <v>1166</v>
      </c>
      <c r="J2858" t="s">
        <v>187</v>
      </c>
      <c r="K2858" t="s">
        <v>29</v>
      </c>
      <c r="L2858">
        <v>0</v>
      </c>
      <c r="M2858" t="s">
        <v>29</v>
      </c>
      <c r="N2858">
        <v>0</v>
      </c>
      <c r="O2858">
        <v>0</v>
      </c>
      <c r="P2858" t="s">
        <v>30</v>
      </c>
      <c r="Q2858" s="2">
        <v>0.7</v>
      </c>
      <c r="R2858">
        <v>0</v>
      </c>
      <c r="V2858" t="str">
        <f>VLOOKUP(H2858,'[1]팀별 출판사'!A:B,2,0)</f>
        <v>소설1팀</v>
      </c>
      <c r="W2858" s="6">
        <f t="shared" si="88"/>
        <v>0</v>
      </c>
      <c r="X2858" s="6">
        <f t="shared" si="89"/>
        <v>0</v>
      </c>
    </row>
    <row r="2859" spans="1:24" x14ac:dyDescent="0.3">
      <c r="A2859" t="s">
        <v>4222</v>
      </c>
      <c r="B2859" t="s">
        <v>4233</v>
      </c>
      <c r="C2859" t="s">
        <v>23</v>
      </c>
      <c r="D2859" t="s">
        <v>24</v>
      </c>
      <c r="E2859" t="s">
        <v>25</v>
      </c>
      <c r="F2859">
        <v>1</v>
      </c>
      <c r="G2859">
        <v>9791136930880</v>
      </c>
      <c r="H2859" t="s">
        <v>32</v>
      </c>
      <c r="I2859" t="s">
        <v>59</v>
      </c>
      <c r="J2859" t="s">
        <v>34</v>
      </c>
      <c r="K2859" t="s">
        <v>29</v>
      </c>
      <c r="L2859">
        <v>0</v>
      </c>
      <c r="M2859" t="s">
        <v>29</v>
      </c>
      <c r="N2859">
        <v>0</v>
      </c>
      <c r="O2859">
        <v>0</v>
      </c>
      <c r="P2859" t="s">
        <v>30</v>
      </c>
      <c r="Q2859" s="2">
        <v>0.7</v>
      </c>
      <c r="R2859">
        <v>0</v>
      </c>
      <c r="V2859" t="str">
        <f>VLOOKUP(H2859,'[1]팀별 출판사'!A:B,2,0)</f>
        <v>소설1팀</v>
      </c>
      <c r="W2859" s="6">
        <f t="shared" si="88"/>
        <v>0</v>
      </c>
      <c r="X2859" s="6">
        <f t="shared" si="89"/>
        <v>0</v>
      </c>
    </row>
    <row r="2860" spans="1:24" x14ac:dyDescent="0.3">
      <c r="A2860" t="s">
        <v>4222</v>
      </c>
      <c r="B2860" t="s">
        <v>4234</v>
      </c>
      <c r="C2860" t="s">
        <v>23</v>
      </c>
      <c r="D2860" t="s">
        <v>24</v>
      </c>
      <c r="E2860" t="s">
        <v>25</v>
      </c>
      <c r="F2860">
        <v>1</v>
      </c>
      <c r="G2860">
        <v>9791157532100</v>
      </c>
      <c r="H2860" t="s">
        <v>32</v>
      </c>
      <c r="I2860" t="s">
        <v>1432</v>
      </c>
      <c r="J2860" t="s">
        <v>112</v>
      </c>
      <c r="K2860" t="s">
        <v>29</v>
      </c>
      <c r="L2860">
        <v>0</v>
      </c>
      <c r="M2860" t="s">
        <v>29</v>
      </c>
      <c r="N2860">
        <v>0</v>
      </c>
      <c r="O2860">
        <v>0</v>
      </c>
      <c r="P2860" t="s">
        <v>30</v>
      </c>
      <c r="Q2860" s="2">
        <v>0.7</v>
      </c>
      <c r="R2860">
        <v>0</v>
      </c>
      <c r="V2860" t="str">
        <f>VLOOKUP(H2860,'[1]팀별 출판사'!A:B,2,0)</f>
        <v>소설1팀</v>
      </c>
      <c r="W2860" s="6">
        <f t="shared" si="88"/>
        <v>0</v>
      </c>
      <c r="X2860" s="6">
        <f t="shared" si="89"/>
        <v>0</v>
      </c>
    </row>
    <row r="2861" spans="1:24" x14ac:dyDescent="0.3">
      <c r="A2861" t="s">
        <v>4222</v>
      </c>
      <c r="B2861" t="s">
        <v>4235</v>
      </c>
      <c r="C2861" t="s">
        <v>23</v>
      </c>
      <c r="D2861" t="s">
        <v>24</v>
      </c>
      <c r="E2861" t="s">
        <v>25</v>
      </c>
      <c r="F2861">
        <v>1</v>
      </c>
      <c r="G2861" t="s">
        <v>1138</v>
      </c>
      <c r="H2861" t="s">
        <v>32</v>
      </c>
      <c r="I2861" t="s">
        <v>1139</v>
      </c>
      <c r="J2861" t="s">
        <v>311</v>
      </c>
      <c r="K2861" t="s">
        <v>29</v>
      </c>
      <c r="L2861">
        <v>0</v>
      </c>
      <c r="M2861" t="s">
        <v>29</v>
      </c>
      <c r="N2861">
        <v>0</v>
      </c>
      <c r="O2861">
        <v>0</v>
      </c>
      <c r="P2861" t="s">
        <v>30</v>
      </c>
      <c r="Q2861" s="2">
        <v>0.7</v>
      </c>
      <c r="R2861">
        <v>0</v>
      </c>
      <c r="V2861" t="str">
        <f>VLOOKUP(H2861,'[1]팀별 출판사'!A:B,2,0)</f>
        <v>소설1팀</v>
      </c>
      <c r="W2861" s="6">
        <f t="shared" si="88"/>
        <v>0</v>
      </c>
      <c r="X2861" s="6">
        <f t="shared" si="89"/>
        <v>0</v>
      </c>
    </row>
    <row r="2862" spans="1:24" x14ac:dyDescent="0.3">
      <c r="A2862" t="s">
        <v>4222</v>
      </c>
      <c r="B2862" t="s">
        <v>4236</v>
      </c>
      <c r="C2862" t="s">
        <v>23</v>
      </c>
      <c r="D2862" t="s">
        <v>24</v>
      </c>
      <c r="E2862" t="s">
        <v>25</v>
      </c>
      <c r="F2862">
        <v>1</v>
      </c>
      <c r="G2862">
        <v>9791133108992</v>
      </c>
      <c r="H2862" t="s">
        <v>32</v>
      </c>
      <c r="I2862" t="s">
        <v>4237</v>
      </c>
      <c r="J2862" t="s">
        <v>144</v>
      </c>
      <c r="K2862" t="s">
        <v>29</v>
      </c>
      <c r="L2862" s="1">
        <v>3200</v>
      </c>
      <c r="M2862" t="s">
        <v>29</v>
      </c>
      <c r="N2862" s="1">
        <v>3200</v>
      </c>
      <c r="O2862" s="1">
        <v>3200</v>
      </c>
      <c r="P2862" t="s">
        <v>30</v>
      </c>
      <c r="Q2862" s="2">
        <v>0.7</v>
      </c>
      <c r="R2862" s="1">
        <v>2240</v>
      </c>
      <c r="S2862" t="s">
        <v>29</v>
      </c>
      <c r="T2862" s="1">
        <v>2240</v>
      </c>
      <c r="V2862" t="str">
        <f>VLOOKUP(H2862,'[1]팀별 출판사'!A:B,2,0)</f>
        <v>소설1팀</v>
      </c>
      <c r="W2862" s="6">
        <f t="shared" si="88"/>
        <v>0</v>
      </c>
      <c r="X2862" s="6">
        <f t="shared" si="89"/>
        <v>2240</v>
      </c>
    </row>
    <row r="2863" spans="1:24" x14ac:dyDescent="0.3">
      <c r="A2863" t="s">
        <v>4222</v>
      </c>
      <c r="B2863" t="s">
        <v>4238</v>
      </c>
      <c r="C2863" t="s">
        <v>23</v>
      </c>
      <c r="D2863" t="s">
        <v>24</v>
      </c>
      <c r="E2863" t="s">
        <v>25</v>
      </c>
      <c r="F2863">
        <v>1</v>
      </c>
      <c r="G2863" t="s">
        <v>1177</v>
      </c>
      <c r="H2863" t="s">
        <v>32</v>
      </c>
      <c r="I2863" t="s">
        <v>1178</v>
      </c>
      <c r="J2863" t="s">
        <v>88</v>
      </c>
      <c r="K2863" t="s">
        <v>29</v>
      </c>
      <c r="L2863">
        <v>0</v>
      </c>
      <c r="M2863" t="s">
        <v>29</v>
      </c>
      <c r="N2863">
        <v>0</v>
      </c>
      <c r="O2863">
        <v>0</v>
      </c>
      <c r="P2863" t="s">
        <v>30</v>
      </c>
      <c r="Q2863" s="2">
        <v>0.7</v>
      </c>
      <c r="R2863">
        <v>0</v>
      </c>
      <c r="V2863" t="str">
        <f>VLOOKUP(H2863,'[1]팀별 출판사'!A:B,2,0)</f>
        <v>소설1팀</v>
      </c>
      <c r="W2863" s="6">
        <f t="shared" si="88"/>
        <v>0</v>
      </c>
      <c r="X2863" s="6">
        <f t="shared" si="89"/>
        <v>0</v>
      </c>
    </row>
    <row r="2864" spans="1:24" x14ac:dyDescent="0.3">
      <c r="A2864" t="s">
        <v>4222</v>
      </c>
      <c r="B2864" t="s">
        <v>4239</v>
      </c>
      <c r="C2864" t="s">
        <v>23</v>
      </c>
      <c r="D2864" t="s">
        <v>24</v>
      </c>
      <c r="E2864" t="s">
        <v>25</v>
      </c>
      <c r="F2864">
        <v>1</v>
      </c>
      <c r="G2864">
        <v>9791136988829</v>
      </c>
      <c r="H2864" t="s">
        <v>26</v>
      </c>
      <c r="I2864" t="s">
        <v>4240</v>
      </c>
      <c r="J2864" t="s">
        <v>28</v>
      </c>
      <c r="K2864" t="s">
        <v>29</v>
      </c>
      <c r="L2864" s="1">
        <v>3200</v>
      </c>
      <c r="M2864" t="s">
        <v>29</v>
      </c>
      <c r="N2864" s="1">
        <v>3200</v>
      </c>
      <c r="O2864" s="1">
        <v>3200</v>
      </c>
      <c r="P2864" t="s">
        <v>30</v>
      </c>
      <c r="Q2864" s="2">
        <v>0.7</v>
      </c>
      <c r="R2864" s="1">
        <v>2240</v>
      </c>
      <c r="S2864" t="s">
        <v>29</v>
      </c>
      <c r="T2864" s="1">
        <v>2240</v>
      </c>
      <c r="V2864" t="str">
        <f>VLOOKUP(H2864,'[1]팀별 출판사'!A:B,2,0)</f>
        <v>소설1팀</v>
      </c>
      <c r="W2864" s="6">
        <f t="shared" si="88"/>
        <v>0</v>
      </c>
      <c r="X2864" s="6">
        <f t="shared" si="89"/>
        <v>2240</v>
      </c>
    </row>
    <row r="2865" spans="1:24" x14ac:dyDescent="0.3">
      <c r="A2865" t="s">
        <v>4222</v>
      </c>
      <c r="B2865" t="s">
        <v>4239</v>
      </c>
      <c r="C2865" t="s">
        <v>23</v>
      </c>
      <c r="D2865" t="s">
        <v>24</v>
      </c>
      <c r="E2865" t="s">
        <v>25</v>
      </c>
      <c r="F2865">
        <v>1</v>
      </c>
      <c r="G2865">
        <v>9791136988836</v>
      </c>
      <c r="H2865" t="s">
        <v>26</v>
      </c>
      <c r="I2865" t="s">
        <v>4241</v>
      </c>
      <c r="J2865" t="s">
        <v>28</v>
      </c>
      <c r="K2865" t="s">
        <v>29</v>
      </c>
      <c r="L2865" s="1">
        <v>3200</v>
      </c>
      <c r="M2865" t="s">
        <v>29</v>
      </c>
      <c r="N2865" s="1">
        <v>3200</v>
      </c>
      <c r="O2865" s="1">
        <v>3200</v>
      </c>
      <c r="P2865" t="s">
        <v>30</v>
      </c>
      <c r="Q2865" s="2">
        <v>0.7</v>
      </c>
      <c r="R2865" s="1">
        <v>2240</v>
      </c>
      <c r="S2865" t="s">
        <v>29</v>
      </c>
      <c r="T2865" s="1">
        <v>2240</v>
      </c>
      <c r="V2865" t="str">
        <f>VLOOKUP(H2865,'[1]팀별 출판사'!A:B,2,0)</f>
        <v>소설1팀</v>
      </c>
      <c r="W2865" s="6">
        <f t="shared" si="88"/>
        <v>0</v>
      </c>
      <c r="X2865" s="6">
        <f t="shared" si="89"/>
        <v>2240</v>
      </c>
    </row>
    <row r="2866" spans="1:24" x14ac:dyDescent="0.3">
      <c r="A2866" t="s">
        <v>4222</v>
      </c>
      <c r="B2866" t="s">
        <v>4239</v>
      </c>
      <c r="C2866" t="s">
        <v>23</v>
      </c>
      <c r="D2866" t="s">
        <v>24</v>
      </c>
      <c r="E2866" t="s">
        <v>25</v>
      </c>
      <c r="F2866">
        <v>1</v>
      </c>
      <c r="G2866">
        <v>9791136988966</v>
      </c>
      <c r="H2866" t="s">
        <v>26</v>
      </c>
      <c r="I2866" t="s">
        <v>4242</v>
      </c>
      <c r="J2866" t="s">
        <v>28</v>
      </c>
      <c r="K2866" t="s">
        <v>29</v>
      </c>
      <c r="L2866" s="1">
        <v>3200</v>
      </c>
      <c r="M2866" t="s">
        <v>29</v>
      </c>
      <c r="N2866" s="1">
        <v>3200</v>
      </c>
      <c r="O2866" s="1">
        <v>3200</v>
      </c>
      <c r="P2866" t="s">
        <v>30</v>
      </c>
      <c r="Q2866" s="2">
        <v>0.7</v>
      </c>
      <c r="R2866" s="1">
        <v>2240</v>
      </c>
      <c r="S2866" t="s">
        <v>29</v>
      </c>
      <c r="T2866" s="1">
        <v>2240</v>
      </c>
      <c r="V2866" t="str">
        <f>VLOOKUP(H2866,'[1]팀별 출판사'!A:B,2,0)</f>
        <v>소설1팀</v>
      </c>
      <c r="W2866" s="6">
        <f t="shared" si="88"/>
        <v>0</v>
      </c>
      <c r="X2866" s="6">
        <f t="shared" si="89"/>
        <v>2240</v>
      </c>
    </row>
    <row r="2867" spans="1:24" x14ac:dyDescent="0.3">
      <c r="A2867" t="s">
        <v>4222</v>
      </c>
      <c r="B2867" t="s">
        <v>4239</v>
      </c>
      <c r="C2867" t="s">
        <v>23</v>
      </c>
      <c r="D2867" t="s">
        <v>24</v>
      </c>
      <c r="E2867" t="s">
        <v>25</v>
      </c>
      <c r="F2867">
        <v>1</v>
      </c>
      <c r="G2867">
        <v>9791136988973</v>
      </c>
      <c r="H2867" t="s">
        <v>26</v>
      </c>
      <c r="I2867" t="s">
        <v>4243</v>
      </c>
      <c r="J2867" t="s">
        <v>28</v>
      </c>
      <c r="K2867" t="s">
        <v>29</v>
      </c>
      <c r="L2867" s="1">
        <v>3200</v>
      </c>
      <c r="M2867" t="s">
        <v>29</v>
      </c>
      <c r="N2867" s="1">
        <v>3200</v>
      </c>
      <c r="O2867" s="1">
        <v>3200</v>
      </c>
      <c r="P2867" t="s">
        <v>30</v>
      </c>
      <c r="Q2867" s="2">
        <v>0.7</v>
      </c>
      <c r="R2867" s="1">
        <v>2240</v>
      </c>
      <c r="S2867" t="s">
        <v>29</v>
      </c>
      <c r="T2867" s="1">
        <v>2240</v>
      </c>
      <c r="V2867" t="str">
        <f>VLOOKUP(H2867,'[1]팀별 출판사'!A:B,2,0)</f>
        <v>소설1팀</v>
      </c>
      <c r="W2867" s="6">
        <f t="shared" si="88"/>
        <v>0</v>
      </c>
      <c r="X2867" s="6">
        <f t="shared" si="89"/>
        <v>2240</v>
      </c>
    </row>
    <row r="2868" spans="1:24" x14ac:dyDescent="0.3">
      <c r="A2868" t="s">
        <v>4222</v>
      </c>
      <c r="B2868" t="s">
        <v>4244</v>
      </c>
      <c r="C2868" t="s">
        <v>23</v>
      </c>
      <c r="D2868" t="s">
        <v>24</v>
      </c>
      <c r="E2868" t="s">
        <v>25</v>
      </c>
      <c r="F2868">
        <v>1</v>
      </c>
      <c r="G2868">
        <v>9791136907295</v>
      </c>
      <c r="H2868" t="s">
        <v>26</v>
      </c>
      <c r="I2868" t="s">
        <v>4245</v>
      </c>
      <c r="J2868" t="s">
        <v>1348</v>
      </c>
      <c r="K2868" t="s">
        <v>29</v>
      </c>
      <c r="L2868" s="1">
        <v>3200</v>
      </c>
      <c r="M2868" t="s">
        <v>29</v>
      </c>
      <c r="N2868" s="1">
        <v>3200</v>
      </c>
      <c r="O2868" s="1">
        <v>3200</v>
      </c>
      <c r="P2868" t="s">
        <v>30</v>
      </c>
      <c r="Q2868" s="2">
        <v>0.7</v>
      </c>
      <c r="R2868" s="1">
        <v>2240</v>
      </c>
      <c r="S2868" t="s">
        <v>29</v>
      </c>
      <c r="T2868" s="1">
        <v>2240</v>
      </c>
      <c r="V2868" t="str">
        <f>VLOOKUP(H2868,'[1]팀별 출판사'!A:B,2,0)</f>
        <v>소설1팀</v>
      </c>
      <c r="W2868" s="6">
        <f t="shared" si="88"/>
        <v>0</v>
      </c>
      <c r="X2868" s="6">
        <f t="shared" si="89"/>
        <v>2240</v>
      </c>
    </row>
    <row r="2869" spans="1:24" x14ac:dyDescent="0.3">
      <c r="A2869" t="s">
        <v>4222</v>
      </c>
      <c r="B2869" t="s">
        <v>4246</v>
      </c>
      <c r="C2869" t="s">
        <v>23</v>
      </c>
      <c r="D2869" t="s">
        <v>24</v>
      </c>
      <c r="E2869" t="s">
        <v>25</v>
      </c>
      <c r="F2869">
        <v>1</v>
      </c>
      <c r="G2869">
        <v>9791172920937</v>
      </c>
      <c r="H2869" t="s">
        <v>79</v>
      </c>
      <c r="I2869" t="s">
        <v>80</v>
      </c>
      <c r="J2869" t="s">
        <v>81</v>
      </c>
      <c r="K2869" t="s">
        <v>29</v>
      </c>
      <c r="L2869">
        <v>0</v>
      </c>
      <c r="M2869" t="s">
        <v>29</v>
      </c>
      <c r="N2869">
        <v>0</v>
      </c>
      <c r="O2869">
        <v>0</v>
      </c>
      <c r="P2869" t="s">
        <v>30</v>
      </c>
      <c r="Q2869" s="2">
        <v>0.7</v>
      </c>
      <c r="R2869">
        <v>0</v>
      </c>
      <c r="V2869" t="str">
        <f>VLOOKUP(H2869,'[1]팀별 출판사'!A:B,2,0)</f>
        <v>소설1팀</v>
      </c>
      <c r="W2869" s="6">
        <f t="shared" si="88"/>
        <v>0</v>
      </c>
      <c r="X2869" s="6">
        <f t="shared" si="89"/>
        <v>0</v>
      </c>
    </row>
    <row r="2870" spans="1:24" x14ac:dyDescent="0.3">
      <c r="A2870" t="s">
        <v>4222</v>
      </c>
      <c r="B2870" t="s">
        <v>4247</v>
      </c>
      <c r="C2870" t="s">
        <v>23</v>
      </c>
      <c r="D2870" t="s">
        <v>24</v>
      </c>
      <c r="E2870" t="s">
        <v>25</v>
      </c>
      <c r="F2870">
        <v>1</v>
      </c>
      <c r="G2870">
        <v>9791172925789</v>
      </c>
      <c r="H2870" t="s">
        <v>26</v>
      </c>
      <c r="I2870" t="s">
        <v>3032</v>
      </c>
      <c r="J2870" t="s">
        <v>937</v>
      </c>
      <c r="K2870" t="s">
        <v>29</v>
      </c>
      <c r="L2870">
        <v>0</v>
      </c>
      <c r="M2870" t="s">
        <v>29</v>
      </c>
      <c r="N2870">
        <v>0</v>
      </c>
      <c r="O2870">
        <v>0</v>
      </c>
      <c r="P2870" t="s">
        <v>30</v>
      </c>
      <c r="Q2870" s="2">
        <v>0.7</v>
      </c>
      <c r="R2870">
        <v>0</v>
      </c>
      <c r="V2870" t="str">
        <f>VLOOKUP(H2870,'[1]팀별 출판사'!A:B,2,0)</f>
        <v>소설1팀</v>
      </c>
      <c r="W2870" s="6">
        <f t="shared" si="88"/>
        <v>0</v>
      </c>
      <c r="X2870" s="6">
        <f t="shared" si="89"/>
        <v>0</v>
      </c>
    </row>
    <row r="2871" spans="1:24" x14ac:dyDescent="0.3">
      <c r="A2871" t="s">
        <v>4222</v>
      </c>
      <c r="B2871" t="s">
        <v>4248</v>
      </c>
      <c r="C2871" t="s">
        <v>23</v>
      </c>
      <c r="D2871" t="s">
        <v>24</v>
      </c>
      <c r="E2871" t="s">
        <v>25</v>
      </c>
      <c r="F2871">
        <v>1</v>
      </c>
      <c r="G2871">
        <v>9791133198931</v>
      </c>
      <c r="H2871" t="s">
        <v>26</v>
      </c>
      <c r="I2871" t="s">
        <v>4249</v>
      </c>
      <c r="J2871" t="s">
        <v>97</v>
      </c>
      <c r="K2871" t="s">
        <v>29</v>
      </c>
      <c r="L2871" s="1">
        <v>3200</v>
      </c>
      <c r="M2871" t="s">
        <v>29</v>
      </c>
      <c r="N2871" s="1">
        <v>3200</v>
      </c>
      <c r="O2871" s="1">
        <v>3200</v>
      </c>
      <c r="P2871" t="s">
        <v>30</v>
      </c>
      <c r="Q2871" s="2">
        <v>0.7</v>
      </c>
      <c r="R2871" s="1">
        <v>2240</v>
      </c>
      <c r="S2871" t="s">
        <v>29</v>
      </c>
      <c r="T2871" s="1">
        <v>2240</v>
      </c>
      <c r="V2871" t="str">
        <f>VLOOKUP(H2871,'[1]팀별 출판사'!A:B,2,0)</f>
        <v>소설1팀</v>
      </c>
      <c r="W2871" s="6">
        <f t="shared" si="88"/>
        <v>0</v>
      </c>
      <c r="X2871" s="6">
        <f t="shared" si="89"/>
        <v>2240</v>
      </c>
    </row>
    <row r="2872" spans="1:24" x14ac:dyDescent="0.3">
      <c r="A2872" t="s">
        <v>4222</v>
      </c>
      <c r="B2872" t="s">
        <v>4248</v>
      </c>
      <c r="C2872" t="s">
        <v>23</v>
      </c>
      <c r="D2872" t="s">
        <v>24</v>
      </c>
      <c r="E2872" t="s">
        <v>25</v>
      </c>
      <c r="F2872">
        <v>1</v>
      </c>
      <c r="G2872">
        <v>9791133198948</v>
      </c>
      <c r="H2872" t="s">
        <v>26</v>
      </c>
      <c r="I2872" t="s">
        <v>4250</v>
      </c>
      <c r="J2872" t="s">
        <v>97</v>
      </c>
      <c r="K2872" t="s">
        <v>29</v>
      </c>
      <c r="L2872" s="1">
        <v>3200</v>
      </c>
      <c r="M2872" t="s">
        <v>29</v>
      </c>
      <c r="N2872" s="1">
        <v>3200</v>
      </c>
      <c r="O2872" s="1">
        <v>3200</v>
      </c>
      <c r="P2872" t="s">
        <v>30</v>
      </c>
      <c r="Q2872" s="2">
        <v>0.7</v>
      </c>
      <c r="R2872" s="1">
        <v>2240</v>
      </c>
      <c r="S2872" t="s">
        <v>29</v>
      </c>
      <c r="T2872" s="1">
        <v>2240</v>
      </c>
      <c r="V2872" t="str">
        <f>VLOOKUP(H2872,'[1]팀별 출판사'!A:B,2,0)</f>
        <v>소설1팀</v>
      </c>
      <c r="W2872" s="6">
        <f t="shared" si="88"/>
        <v>0</v>
      </c>
      <c r="X2872" s="6">
        <f t="shared" si="89"/>
        <v>2240</v>
      </c>
    </row>
    <row r="2873" spans="1:24" x14ac:dyDescent="0.3">
      <c r="A2873" t="s">
        <v>4222</v>
      </c>
      <c r="B2873" t="s">
        <v>4248</v>
      </c>
      <c r="C2873" t="s">
        <v>23</v>
      </c>
      <c r="D2873" t="s">
        <v>24</v>
      </c>
      <c r="E2873" t="s">
        <v>25</v>
      </c>
      <c r="F2873">
        <v>1</v>
      </c>
      <c r="G2873">
        <v>9791133198955</v>
      </c>
      <c r="H2873" t="s">
        <v>26</v>
      </c>
      <c r="I2873" t="s">
        <v>4251</v>
      </c>
      <c r="J2873" t="s">
        <v>97</v>
      </c>
      <c r="K2873" t="s">
        <v>29</v>
      </c>
      <c r="L2873" s="1">
        <v>3200</v>
      </c>
      <c r="M2873" t="s">
        <v>29</v>
      </c>
      <c r="N2873" s="1">
        <v>3200</v>
      </c>
      <c r="O2873" s="1">
        <v>3200</v>
      </c>
      <c r="P2873" t="s">
        <v>30</v>
      </c>
      <c r="Q2873" s="2">
        <v>0.7</v>
      </c>
      <c r="R2873" s="1">
        <v>2240</v>
      </c>
      <c r="S2873" t="s">
        <v>29</v>
      </c>
      <c r="T2873" s="1">
        <v>2240</v>
      </c>
      <c r="V2873" t="str">
        <f>VLOOKUP(H2873,'[1]팀별 출판사'!A:B,2,0)</f>
        <v>소설1팀</v>
      </c>
      <c r="W2873" s="6">
        <f t="shared" si="88"/>
        <v>0</v>
      </c>
      <c r="X2873" s="6">
        <f t="shared" si="89"/>
        <v>2240</v>
      </c>
    </row>
    <row r="2874" spans="1:24" x14ac:dyDescent="0.3">
      <c r="A2874" t="s">
        <v>4222</v>
      </c>
      <c r="B2874" t="s">
        <v>4252</v>
      </c>
      <c r="C2874" t="s">
        <v>23</v>
      </c>
      <c r="D2874" t="s">
        <v>24</v>
      </c>
      <c r="E2874" t="s">
        <v>25</v>
      </c>
      <c r="F2874">
        <v>1</v>
      </c>
      <c r="G2874">
        <v>9791173786884</v>
      </c>
      <c r="H2874" t="s">
        <v>26</v>
      </c>
      <c r="I2874" t="s">
        <v>556</v>
      </c>
      <c r="J2874" t="s">
        <v>256</v>
      </c>
      <c r="K2874" t="s">
        <v>29</v>
      </c>
      <c r="L2874">
        <v>0</v>
      </c>
      <c r="M2874" t="s">
        <v>29</v>
      </c>
      <c r="N2874">
        <v>0</v>
      </c>
      <c r="O2874">
        <v>0</v>
      </c>
      <c r="P2874" t="s">
        <v>30</v>
      </c>
      <c r="Q2874" s="2">
        <v>0.7</v>
      </c>
      <c r="R2874">
        <v>0</v>
      </c>
      <c r="V2874" t="str">
        <f>VLOOKUP(H2874,'[1]팀별 출판사'!A:B,2,0)</f>
        <v>소설1팀</v>
      </c>
      <c r="W2874" s="6">
        <f t="shared" si="88"/>
        <v>0</v>
      </c>
      <c r="X2874" s="6">
        <f t="shared" si="89"/>
        <v>0</v>
      </c>
    </row>
    <row r="2875" spans="1:24" x14ac:dyDescent="0.3">
      <c r="A2875" t="s">
        <v>4222</v>
      </c>
      <c r="B2875" t="s">
        <v>4253</v>
      </c>
      <c r="C2875" t="s">
        <v>23</v>
      </c>
      <c r="D2875" t="s">
        <v>24</v>
      </c>
      <c r="E2875" t="s">
        <v>25</v>
      </c>
      <c r="F2875">
        <v>1</v>
      </c>
      <c r="G2875">
        <v>9791173787027</v>
      </c>
      <c r="H2875" t="s">
        <v>26</v>
      </c>
      <c r="I2875" t="s">
        <v>255</v>
      </c>
      <c r="J2875" t="s">
        <v>256</v>
      </c>
      <c r="K2875" t="s">
        <v>29</v>
      </c>
      <c r="L2875">
        <v>0</v>
      </c>
      <c r="M2875" t="s">
        <v>29</v>
      </c>
      <c r="N2875">
        <v>0</v>
      </c>
      <c r="O2875">
        <v>0</v>
      </c>
      <c r="P2875" t="s">
        <v>30</v>
      </c>
      <c r="Q2875" s="2">
        <v>0.7</v>
      </c>
      <c r="R2875">
        <v>0</v>
      </c>
      <c r="V2875" t="str">
        <f>VLOOKUP(H2875,'[1]팀별 출판사'!A:B,2,0)</f>
        <v>소설1팀</v>
      </c>
      <c r="W2875" s="6">
        <f t="shared" si="88"/>
        <v>0</v>
      </c>
      <c r="X2875" s="6">
        <f t="shared" si="89"/>
        <v>0</v>
      </c>
    </row>
    <row r="2876" spans="1:24" x14ac:dyDescent="0.3">
      <c r="A2876" t="s">
        <v>4222</v>
      </c>
      <c r="B2876" t="s">
        <v>4254</v>
      </c>
      <c r="C2876" t="s">
        <v>23</v>
      </c>
      <c r="D2876" t="s">
        <v>24</v>
      </c>
      <c r="E2876" t="s">
        <v>25</v>
      </c>
      <c r="F2876">
        <v>1</v>
      </c>
      <c r="G2876">
        <v>9791136930491</v>
      </c>
      <c r="H2876" t="s">
        <v>26</v>
      </c>
      <c r="I2876" t="s">
        <v>151</v>
      </c>
      <c r="J2876" t="s">
        <v>46</v>
      </c>
      <c r="K2876" t="s">
        <v>29</v>
      </c>
      <c r="L2876">
        <v>0</v>
      </c>
      <c r="M2876" t="s">
        <v>47</v>
      </c>
      <c r="N2876">
        <v>0</v>
      </c>
      <c r="O2876">
        <v>0</v>
      </c>
      <c r="P2876" t="s">
        <v>48</v>
      </c>
      <c r="Q2876" s="2">
        <v>0.7</v>
      </c>
      <c r="R2876">
        <v>0</v>
      </c>
      <c r="V2876" t="str">
        <f>VLOOKUP(H2876,'[1]팀별 출판사'!A:B,2,0)</f>
        <v>소설1팀</v>
      </c>
      <c r="W2876" s="6">
        <f t="shared" si="88"/>
        <v>0</v>
      </c>
      <c r="X2876" s="6">
        <f t="shared" si="89"/>
        <v>0</v>
      </c>
    </row>
    <row r="2877" spans="1:24" x14ac:dyDescent="0.3">
      <c r="A2877" t="s">
        <v>4222</v>
      </c>
      <c r="B2877" t="s">
        <v>4255</v>
      </c>
      <c r="C2877" t="s">
        <v>23</v>
      </c>
      <c r="D2877" t="s">
        <v>24</v>
      </c>
      <c r="E2877" t="s">
        <v>25</v>
      </c>
      <c r="F2877">
        <v>1</v>
      </c>
      <c r="G2877">
        <v>9791133186570</v>
      </c>
      <c r="H2877" t="s">
        <v>32</v>
      </c>
      <c r="I2877" t="s">
        <v>4256</v>
      </c>
      <c r="J2877" t="s">
        <v>166</v>
      </c>
      <c r="K2877" t="s">
        <v>29</v>
      </c>
      <c r="L2877">
        <v>0</v>
      </c>
      <c r="M2877" t="s">
        <v>29</v>
      </c>
      <c r="N2877">
        <v>0</v>
      </c>
      <c r="O2877">
        <v>0</v>
      </c>
      <c r="P2877" t="s">
        <v>30</v>
      </c>
      <c r="Q2877" s="2">
        <v>0.7</v>
      </c>
      <c r="R2877">
        <v>0</v>
      </c>
      <c r="V2877" t="str">
        <f>VLOOKUP(H2877,'[1]팀별 출판사'!A:B,2,0)</f>
        <v>소설1팀</v>
      </c>
      <c r="W2877" s="6">
        <f t="shared" si="88"/>
        <v>0</v>
      </c>
      <c r="X2877" s="6">
        <f t="shared" si="89"/>
        <v>0</v>
      </c>
    </row>
    <row r="2878" spans="1:24" x14ac:dyDescent="0.3">
      <c r="A2878" t="s">
        <v>4222</v>
      </c>
      <c r="B2878" t="s">
        <v>4257</v>
      </c>
      <c r="C2878" t="s">
        <v>23</v>
      </c>
      <c r="D2878" t="s">
        <v>24</v>
      </c>
      <c r="E2878" t="s">
        <v>25</v>
      </c>
      <c r="F2878">
        <v>1</v>
      </c>
      <c r="G2878">
        <v>9791157533602</v>
      </c>
      <c r="H2878" t="s">
        <v>32</v>
      </c>
      <c r="I2878" t="s">
        <v>2038</v>
      </c>
      <c r="J2878" t="s">
        <v>187</v>
      </c>
      <c r="K2878" t="s">
        <v>29</v>
      </c>
      <c r="L2878" s="1">
        <v>3200</v>
      </c>
      <c r="M2878" t="s">
        <v>29</v>
      </c>
      <c r="N2878" s="1">
        <v>3200</v>
      </c>
      <c r="O2878" s="1">
        <v>3200</v>
      </c>
      <c r="P2878" t="s">
        <v>30</v>
      </c>
      <c r="Q2878" s="2">
        <v>0.7</v>
      </c>
      <c r="R2878" s="1">
        <v>2240</v>
      </c>
      <c r="S2878" t="s">
        <v>29</v>
      </c>
      <c r="T2878" s="1">
        <v>2240</v>
      </c>
      <c r="V2878" t="str">
        <f>VLOOKUP(H2878,'[1]팀별 출판사'!A:B,2,0)</f>
        <v>소설1팀</v>
      </c>
      <c r="W2878" s="6">
        <f t="shared" si="88"/>
        <v>0</v>
      </c>
      <c r="X2878" s="6">
        <f t="shared" si="89"/>
        <v>2240</v>
      </c>
    </row>
    <row r="2879" spans="1:24" x14ac:dyDescent="0.3">
      <c r="A2879" t="s">
        <v>4222</v>
      </c>
      <c r="B2879" t="s">
        <v>4258</v>
      </c>
      <c r="C2879" t="s">
        <v>23</v>
      </c>
      <c r="D2879" t="s">
        <v>24</v>
      </c>
      <c r="E2879" t="s">
        <v>25</v>
      </c>
      <c r="F2879">
        <v>1</v>
      </c>
      <c r="G2879" t="s">
        <v>1369</v>
      </c>
      <c r="H2879" t="s">
        <v>32</v>
      </c>
      <c r="I2879" t="s">
        <v>4259</v>
      </c>
      <c r="J2879" t="s">
        <v>311</v>
      </c>
      <c r="K2879" t="s">
        <v>29</v>
      </c>
      <c r="L2879" s="1">
        <v>3200</v>
      </c>
      <c r="M2879" t="s">
        <v>29</v>
      </c>
      <c r="N2879" s="1">
        <v>3200</v>
      </c>
      <c r="O2879" s="1">
        <v>3200</v>
      </c>
      <c r="P2879" t="s">
        <v>30</v>
      </c>
      <c r="Q2879" s="2">
        <v>0.7</v>
      </c>
      <c r="R2879" s="1">
        <v>2240</v>
      </c>
      <c r="S2879" t="s">
        <v>29</v>
      </c>
      <c r="T2879" s="1">
        <v>2240</v>
      </c>
      <c r="V2879" t="str">
        <f>VLOOKUP(H2879,'[1]팀별 출판사'!A:B,2,0)</f>
        <v>소설1팀</v>
      </c>
      <c r="W2879" s="6">
        <f t="shared" si="88"/>
        <v>0</v>
      </c>
      <c r="X2879" s="6">
        <f t="shared" si="89"/>
        <v>2240</v>
      </c>
    </row>
    <row r="2880" spans="1:24" x14ac:dyDescent="0.3">
      <c r="A2880" t="s">
        <v>4222</v>
      </c>
      <c r="B2880" t="s">
        <v>4260</v>
      </c>
      <c r="C2880" t="s">
        <v>23</v>
      </c>
      <c r="D2880" t="s">
        <v>24</v>
      </c>
      <c r="E2880" t="s">
        <v>25</v>
      </c>
      <c r="F2880">
        <v>1</v>
      </c>
      <c r="G2880">
        <v>9791172924850</v>
      </c>
      <c r="H2880" t="s">
        <v>26</v>
      </c>
      <c r="I2880" t="s">
        <v>61</v>
      </c>
      <c r="J2880" t="s">
        <v>62</v>
      </c>
      <c r="K2880" t="s">
        <v>29</v>
      </c>
      <c r="L2880">
        <v>0</v>
      </c>
      <c r="M2880" t="s">
        <v>29</v>
      </c>
      <c r="N2880">
        <v>0</v>
      </c>
      <c r="O2880">
        <v>0</v>
      </c>
      <c r="P2880" t="s">
        <v>30</v>
      </c>
      <c r="Q2880" s="2">
        <v>0.7</v>
      </c>
      <c r="R2880">
        <v>0</v>
      </c>
      <c r="V2880" t="str">
        <f>VLOOKUP(H2880,'[1]팀별 출판사'!A:B,2,0)</f>
        <v>소설1팀</v>
      </c>
      <c r="W2880" s="6">
        <f t="shared" si="88"/>
        <v>0</v>
      </c>
      <c r="X2880" s="6">
        <f t="shared" si="89"/>
        <v>0</v>
      </c>
    </row>
    <row r="2881" spans="1:24" x14ac:dyDescent="0.3">
      <c r="A2881" t="s">
        <v>4222</v>
      </c>
      <c r="B2881" t="s">
        <v>4261</v>
      </c>
      <c r="C2881" t="s">
        <v>23</v>
      </c>
      <c r="D2881" t="s">
        <v>24</v>
      </c>
      <c r="E2881" t="s">
        <v>25</v>
      </c>
      <c r="F2881">
        <v>1</v>
      </c>
      <c r="G2881">
        <v>9791136931375</v>
      </c>
      <c r="H2881" t="s">
        <v>32</v>
      </c>
      <c r="I2881" t="s">
        <v>189</v>
      </c>
      <c r="J2881" t="s">
        <v>46</v>
      </c>
      <c r="K2881" t="s">
        <v>29</v>
      </c>
      <c r="L2881">
        <v>0</v>
      </c>
      <c r="M2881" t="s">
        <v>152</v>
      </c>
      <c r="N2881">
        <v>0</v>
      </c>
      <c r="O2881">
        <v>0</v>
      </c>
      <c r="P2881" t="s">
        <v>153</v>
      </c>
      <c r="Q2881" s="2">
        <v>0.7</v>
      </c>
      <c r="R2881">
        <v>0</v>
      </c>
      <c r="V2881" t="str">
        <f>VLOOKUP(H2881,'[1]팀별 출판사'!A:B,2,0)</f>
        <v>소설1팀</v>
      </c>
      <c r="W2881" s="6">
        <f t="shared" si="88"/>
        <v>0</v>
      </c>
      <c r="X2881" s="6">
        <f t="shared" si="89"/>
        <v>0</v>
      </c>
    </row>
    <row r="2882" spans="1:24" x14ac:dyDescent="0.3">
      <c r="A2882" t="s">
        <v>4222</v>
      </c>
      <c r="B2882" t="s">
        <v>4262</v>
      </c>
      <c r="C2882" t="s">
        <v>23</v>
      </c>
      <c r="D2882" t="s">
        <v>24</v>
      </c>
      <c r="E2882" t="s">
        <v>25</v>
      </c>
      <c r="F2882">
        <v>1</v>
      </c>
      <c r="G2882">
        <v>9791170105619</v>
      </c>
      <c r="H2882" t="s">
        <v>67</v>
      </c>
      <c r="I2882" t="s">
        <v>174</v>
      </c>
      <c r="J2882" t="s">
        <v>175</v>
      </c>
      <c r="K2882" t="s">
        <v>29</v>
      </c>
      <c r="L2882">
        <v>0</v>
      </c>
      <c r="M2882" t="s">
        <v>47</v>
      </c>
      <c r="N2882">
        <v>0</v>
      </c>
      <c r="O2882">
        <v>0</v>
      </c>
      <c r="P2882" t="s">
        <v>48</v>
      </c>
      <c r="Q2882" s="2">
        <v>0.7</v>
      </c>
      <c r="R2882">
        <v>0</v>
      </c>
      <c r="V2882" t="str">
        <f>VLOOKUP(H2882,'[1]팀별 출판사'!A:B,2,0)</f>
        <v>소설1팀</v>
      </c>
      <c r="W2882" s="6">
        <f t="shared" ref="W2882:W2945" si="90">IF(P2882="US", T2882*30%, 0)</f>
        <v>0</v>
      </c>
      <c r="X2882" s="6">
        <f t="shared" ref="X2882:X2945" si="91">T2882-W2882</f>
        <v>0</v>
      </c>
    </row>
    <row r="2883" spans="1:24" x14ac:dyDescent="0.3">
      <c r="A2883" t="s">
        <v>4222</v>
      </c>
      <c r="B2883" t="s">
        <v>4263</v>
      </c>
      <c r="C2883" t="s">
        <v>23</v>
      </c>
      <c r="D2883" t="s">
        <v>24</v>
      </c>
      <c r="E2883" t="s">
        <v>25</v>
      </c>
      <c r="F2883">
        <v>1</v>
      </c>
      <c r="G2883">
        <v>9791136910448</v>
      </c>
      <c r="H2883" t="s">
        <v>26</v>
      </c>
      <c r="I2883" t="s">
        <v>4264</v>
      </c>
      <c r="J2883" t="s">
        <v>355</v>
      </c>
      <c r="K2883" t="s">
        <v>29</v>
      </c>
      <c r="L2883" s="1">
        <v>3200</v>
      </c>
      <c r="M2883" t="s">
        <v>29</v>
      </c>
      <c r="N2883" s="1">
        <v>3200</v>
      </c>
      <c r="O2883" s="1">
        <v>3200</v>
      </c>
      <c r="P2883" t="s">
        <v>30</v>
      </c>
      <c r="Q2883" s="2">
        <v>0.7</v>
      </c>
      <c r="R2883" s="1">
        <v>2240</v>
      </c>
      <c r="S2883" t="s">
        <v>29</v>
      </c>
      <c r="T2883" s="1">
        <v>2240</v>
      </c>
      <c r="V2883" t="str">
        <f>VLOOKUP(H2883,'[1]팀별 출판사'!A:B,2,0)</f>
        <v>소설1팀</v>
      </c>
      <c r="W2883" s="6">
        <f t="shared" si="90"/>
        <v>0</v>
      </c>
      <c r="X2883" s="6">
        <f t="shared" si="91"/>
        <v>2240</v>
      </c>
    </row>
    <row r="2884" spans="1:24" x14ac:dyDescent="0.3">
      <c r="A2884" t="s">
        <v>4222</v>
      </c>
      <c r="B2884" t="s">
        <v>4265</v>
      </c>
      <c r="C2884" t="s">
        <v>23</v>
      </c>
      <c r="D2884" t="s">
        <v>24</v>
      </c>
      <c r="E2884" t="s">
        <v>25</v>
      </c>
      <c r="F2884">
        <v>1</v>
      </c>
      <c r="G2884" t="s">
        <v>2247</v>
      </c>
      <c r="H2884" t="s">
        <v>32</v>
      </c>
      <c r="I2884" t="s">
        <v>2248</v>
      </c>
      <c r="J2884" t="s">
        <v>1271</v>
      </c>
      <c r="K2884" t="s">
        <v>29</v>
      </c>
      <c r="L2884">
        <v>0</v>
      </c>
      <c r="M2884" t="s">
        <v>29</v>
      </c>
      <c r="N2884">
        <v>0</v>
      </c>
      <c r="O2884">
        <v>0</v>
      </c>
      <c r="P2884" t="s">
        <v>30</v>
      </c>
      <c r="Q2884" s="2">
        <v>0.7</v>
      </c>
      <c r="R2884">
        <v>0</v>
      </c>
      <c r="V2884" t="str">
        <f>VLOOKUP(H2884,'[1]팀별 출판사'!A:B,2,0)</f>
        <v>소설1팀</v>
      </c>
      <c r="W2884" s="6">
        <f t="shared" si="90"/>
        <v>0</v>
      </c>
      <c r="X2884" s="6">
        <f t="shared" si="91"/>
        <v>0</v>
      </c>
    </row>
    <row r="2885" spans="1:24" x14ac:dyDescent="0.3">
      <c r="A2885" t="s">
        <v>4222</v>
      </c>
      <c r="B2885" t="s">
        <v>4266</v>
      </c>
      <c r="C2885" t="s">
        <v>23</v>
      </c>
      <c r="D2885" t="s">
        <v>24</v>
      </c>
      <c r="E2885" t="s">
        <v>25</v>
      </c>
      <c r="F2885">
        <v>1</v>
      </c>
      <c r="G2885" t="s">
        <v>1269</v>
      </c>
      <c r="H2885" t="s">
        <v>32</v>
      </c>
      <c r="I2885" t="s">
        <v>1270</v>
      </c>
      <c r="J2885" t="s">
        <v>1271</v>
      </c>
      <c r="K2885" t="s">
        <v>29</v>
      </c>
      <c r="L2885">
        <v>0</v>
      </c>
      <c r="M2885" t="s">
        <v>29</v>
      </c>
      <c r="N2885">
        <v>0</v>
      </c>
      <c r="O2885">
        <v>0</v>
      </c>
      <c r="P2885" t="s">
        <v>30</v>
      </c>
      <c r="Q2885" s="2">
        <v>0.7</v>
      </c>
      <c r="R2885">
        <v>0</v>
      </c>
      <c r="V2885" t="str">
        <f>VLOOKUP(H2885,'[1]팀별 출판사'!A:B,2,0)</f>
        <v>소설1팀</v>
      </c>
      <c r="W2885" s="6">
        <f t="shared" si="90"/>
        <v>0</v>
      </c>
      <c r="X2885" s="6">
        <f t="shared" si="91"/>
        <v>0</v>
      </c>
    </row>
    <row r="2886" spans="1:24" x14ac:dyDescent="0.3">
      <c r="A2886" t="s">
        <v>4222</v>
      </c>
      <c r="B2886" t="s">
        <v>4267</v>
      </c>
      <c r="C2886" t="s">
        <v>23</v>
      </c>
      <c r="D2886" t="s">
        <v>24</v>
      </c>
      <c r="E2886" t="s">
        <v>25</v>
      </c>
      <c r="F2886">
        <v>1</v>
      </c>
      <c r="G2886" t="s">
        <v>2966</v>
      </c>
      <c r="H2886" t="s">
        <v>32</v>
      </c>
      <c r="I2886" t="s">
        <v>2967</v>
      </c>
      <c r="J2886" t="s">
        <v>2968</v>
      </c>
      <c r="K2886" t="s">
        <v>29</v>
      </c>
      <c r="L2886">
        <v>0</v>
      </c>
      <c r="M2886" t="s">
        <v>29</v>
      </c>
      <c r="N2886">
        <v>0</v>
      </c>
      <c r="O2886">
        <v>0</v>
      </c>
      <c r="P2886" t="s">
        <v>30</v>
      </c>
      <c r="Q2886" s="2">
        <v>0.7</v>
      </c>
      <c r="R2886">
        <v>0</v>
      </c>
      <c r="V2886" t="str">
        <f>VLOOKUP(H2886,'[1]팀별 출판사'!A:B,2,0)</f>
        <v>소설1팀</v>
      </c>
      <c r="W2886" s="6">
        <f t="shared" si="90"/>
        <v>0</v>
      </c>
      <c r="X2886" s="6">
        <f t="shared" si="91"/>
        <v>0</v>
      </c>
    </row>
    <row r="2887" spans="1:24" x14ac:dyDescent="0.3">
      <c r="A2887" t="s">
        <v>4222</v>
      </c>
      <c r="B2887" t="s">
        <v>4268</v>
      </c>
      <c r="C2887" t="s">
        <v>23</v>
      </c>
      <c r="D2887" t="s">
        <v>24</v>
      </c>
      <c r="E2887" t="s">
        <v>25</v>
      </c>
      <c r="F2887">
        <v>1</v>
      </c>
      <c r="G2887" t="s">
        <v>4269</v>
      </c>
      <c r="H2887" t="s">
        <v>32</v>
      </c>
      <c r="I2887" t="s">
        <v>4270</v>
      </c>
      <c r="J2887" t="s">
        <v>2968</v>
      </c>
      <c r="K2887" t="s">
        <v>29</v>
      </c>
      <c r="L2887">
        <v>0</v>
      </c>
      <c r="M2887" t="s">
        <v>29</v>
      </c>
      <c r="N2887">
        <v>0</v>
      </c>
      <c r="O2887">
        <v>0</v>
      </c>
      <c r="P2887" t="s">
        <v>30</v>
      </c>
      <c r="Q2887" s="2">
        <v>0.7</v>
      </c>
      <c r="R2887">
        <v>0</v>
      </c>
      <c r="V2887" t="str">
        <f>VLOOKUP(H2887,'[1]팀별 출판사'!A:B,2,0)</f>
        <v>소설1팀</v>
      </c>
      <c r="W2887" s="6">
        <f t="shared" si="90"/>
        <v>0</v>
      </c>
      <c r="X2887" s="6">
        <f t="shared" si="91"/>
        <v>0</v>
      </c>
    </row>
    <row r="2888" spans="1:24" x14ac:dyDescent="0.3">
      <c r="A2888" t="s">
        <v>4222</v>
      </c>
      <c r="B2888" t="s">
        <v>4271</v>
      </c>
      <c r="C2888" t="s">
        <v>23</v>
      </c>
      <c r="D2888" t="s">
        <v>24</v>
      </c>
      <c r="E2888" t="s">
        <v>25</v>
      </c>
      <c r="F2888">
        <v>1</v>
      </c>
      <c r="G2888">
        <v>9791136903754</v>
      </c>
      <c r="H2888" t="s">
        <v>26</v>
      </c>
      <c r="I2888" t="s">
        <v>361</v>
      </c>
      <c r="J2888" t="s">
        <v>256</v>
      </c>
      <c r="K2888" t="s">
        <v>29</v>
      </c>
      <c r="L2888">
        <v>0</v>
      </c>
      <c r="M2888" t="s">
        <v>47</v>
      </c>
      <c r="N2888">
        <v>0</v>
      </c>
      <c r="O2888">
        <v>0</v>
      </c>
      <c r="P2888" t="s">
        <v>48</v>
      </c>
      <c r="Q2888" s="2">
        <v>0.7</v>
      </c>
      <c r="R2888">
        <v>0</v>
      </c>
      <c r="V2888" t="str">
        <f>VLOOKUP(H2888,'[1]팀별 출판사'!A:B,2,0)</f>
        <v>소설1팀</v>
      </c>
      <c r="W2888" s="6">
        <f t="shared" si="90"/>
        <v>0</v>
      </c>
      <c r="X2888" s="6">
        <f t="shared" si="91"/>
        <v>0</v>
      </c>
    </row>
    <row r="2889" spans="1:24" x14ac:dyDescent="0.3">
      <c r="A2889" t="s">
        <v>4222</v>
      </c>
      <c r="B2889" t="s">
        <v>4272</v>
      </c>
      <c r="C2889" t="s">
        <v>23</v>
      </c>
      <c r="D2889" t="s">
        <v>24</v>
      </c>
      <c r="E2889" t="s">
        <v>25</v>
      </c>
      <c r="F2889">
        <v>1</v>
      </c>
      <c r="G2889" t="s">
        <v>4273</v>
      </c>
      <c r="H2889" t="s">
        <v>32</v>
      </c>
      <c r="I2889" t="s">
        <v>4274</v>
      </c>
      <c r="J2889" t="s">
        <v>3956</v>
      </c>
      <c r="K2889" t="s">
        <v>29</v>
      </c>
      <c r="L2889">
        <v>0</v>
      </c>
      <c r="M2889" t="s">
        <v>29</v>
      </c>
      <c r="N2889">
        <v>0</v>
      </c>
      <c r="O2889">
        <v>0</v>
      </c>
      <c r="P2889" t="s">
        <v>30</v>
      </c>
      <c r="Q2889" s="2">
        <v>0.7</v>
      </c>
      <c r="R2889">
        <v>0</v>
      </c>
      <c r="V2889" t="str">
        <f>VLOOKUP(H2889,'[1]팀별 출판사'!A:B,2,0)</f>
        <v>소설1팀</v>
      </c>
      <c r="W2889" s="6">
        <f t="shared" si="90"/>
        <v>0</v>
      </c>
      <c r="X2889" s="6">
        <f t="shared" si="91"/>
        <v>0</v>
      </c>
    </row>
    <row r="2890" spans="1:24" x14ac:dyDescent="0.3">
      <c r="A2890" t="s">
        <v>4222</v>
      </c>
      <c r="B2890" t="s">
        <v>4275</v>
      </c>
      <c r="C2890" t="s">
        <v>23</v>
      </c>
      <c r="D2890" t="s">
        <v>24</v>
      </c>
      <c r="E2890" t="s">
        <v>25</v>
      </c>
      <c r="F2890">
        <v>1</v>
      </c>
      <c r="G2890">
        <v>9791172927851</v>
      </c>
      <c r="H2890" t="s">
        <v>79</v>
      </c>
      <c r="I2890" t="s">
        <v>4276</v>
      </c>
      <c r="J2890" t="s">
        <v>81</v>
      </c>
      <c r="K2890" t="s">
        <v>29</v>
      </c>
      <c r="L2890" s="1">
        <v>3200</v>
      </c>
      <c r="M2890" t="s">
        <v>29</v>
      </c>
      <c r="N2890" s="1">
        <v>3200</v>
      </c>
      <c r="O2890" s="1">
        <v>3200</v>
      </c>
      <c r="P2890" t="s">
        <v>30</v>
      </c>
      <c r="Q2890" s="2">
        <v>0.7</v>
      </c>
      <c r="R2890" s="1">
        <v>2240</v>
      </c>
      <c r="S2890" t="s">
        <v>29</v>
      </c>
      <c r="T2890" s="1">
        <v>2240</v>
      </c>
      <c r="V2890" t="str">
        <f>VLOOKUP(H2890,'[1]팀별 출판사'!A:B,2,0)</f>
        <v>소설1팀</v>
      </c>
      <c r="W2890" s="6">
        <f t="shared" si="90"/>
        <v>0</v>
      </c>
      <c r="X2890" s="6">
        <f t="shared" si="91"/>
        <v>2240</v>
      </c>
    </row>
    <row r="2891" spans="1:24" x14ac:dyDescent="0.3">
      <c r="A2891" t="s">
        <v>4222</v>
      </c>
      <c r="B2891" t="s">
        <v>4277</v>
      </c>
      <c r="C2891" t="s">
        <v>23</v>
      </c>
      <c r="D2891" t="s">
        <v>24</v>
      </c>
      <c r="E2891" t="s">
        <v>25</v>
      </c>
      <c r="F2891">
        <v>1</v>
      </c>
      <c r="G2891">
        <v>9791170100522</v>
      </c>
      <c r="H2891" t="s">
        <v>67</v>
      </c>
      <c r="I2891" t="s">
        <v>682</v>
      </c>
      <c r="J2891" t="s">
        <v>683</v>
      </c>
      <c r="K2891" t="s">
        <v>29</v>
      </c>
      <c r="L2891">
        <v>0</v>
      </c>
      <c r="M2891" t="s">
        <v>29</v>
      </c>
      <c r="N2891">
        <v>0</v>
      </c>
      <c r="O2891">
        <v>0</v>
      </c>
      <c r="P2891" t="s">
        <v>30</v>
      </c>
      <c r="Q2891" s="2">
        <v>0.7</v>
      </c>
      <c r="R2891">
        <v>0</v>
      </c>
      <c r="V2891" t="str">
        <f>VLOOKUP(H2891,'[1]팀별 출판사'!A:B,2,0)</f>
        <v>소설1팀</v>
      </c>
      <c r="W2891" s="6">
        <f t="shared" si="90"/>
        <v>0</v>
      </c>
      <c r="X2891" s="6">
        <f t="shared" si="91"/>
        <v>0</v>
      </c>
    </row>
    <row r="2892" spans="1:24" x14ac:dyDescent="0.3">
      <c r="A2892" t="s">
        <v>4222</v>
      </c>
      <c r="B2892" t="s">
        <v>4278</v>
      </c>
      <c r="C2892" t="s">
        <v>23</v>
      </c>
      <c r="D2892" t="s">
        <v>24</v>
      </c>
      <c r="E2892" t="s">
        <v>25</v>
      </c>
      <c r="F2892">
        <v>1</v>
      </c>
      <c r="G2892">
        <v>9791170106715</v>
      </c>
      <c r="H2892" t="s">
        <v>67</v>
      </c>
      <c r="I2892" t="s">
        <v>68</v>
      </c>
      <c r="J2892" t="s">
        <v>69</v>
      </c>
      <c r="K2892" t="s">
        <v>29</v>
      </c>
      <c r="L2892">
        <v>0</v>
      </c>
      <c r="M2892" t="s">
        <v>193</v>
      </c>
      <c r="N2892">
        <v>0</v>
      </c>
      <c r="O2892">
        <v>0</v>
      </c>
      <c r="P2892" t="s">
        <v>194</v>
      </c>
      <c r="Q2892" s="2">
        <v>0.7</v>
      </c>
      <c r="R2892">
        <v>0</v>
      </c>
      <c r="V2892" t="str">
        <f>VLOOKUP(H2892,'[1]팀별 출판사'!A:B,2,0)</f>
        <v>소설1팀</v>
      </c>
      <c r="W2892" s="6">
        <f t="shared" si="90"/>
        <v>0</v>
      </c>
      <c r="X2892" s="6">
        <f t="shared" si="91"/>
        <v>0</v>
      </c>
    </row>
    <row r="2893" spans="1:24" x14ac:dyDescent="0.3">
      <c r="A2893" t="s">
        <v>4222</v>
      </c>
      <c r="B2893" t="s">
        <v>4279</v>
      </c>
      <c r="C2893" t="s">
        <v>23</v>
      </c>
      <c r="D2893" t="s">
        <v>24</v>
      </c>
      <c r="E2893" t="s">
        <v>25</v>
      </c>
      <c r="F2893">
        <v>1</v>
      </c>
      <c r="G2893">
        <v>9791170107064</v>
      </c>
      <c r="H2893" t="s">
        <v>67</v>
      </c>
      <c r="I2893" t="s">
        <v>901</v>
      </c>
      <c r="J2893" t="s">
        <v>902</v>
      </c>
      <c r="K2893" t="s">
        <v>29</v>
      </c>
      <c r="L2893">
        <v>0</v>
      </c>
      <c r="M2893" t="s">
        <v>193</v>
      </c>
      <c r="N2893">
        <v>0</v>
      </c>
      <c r="O2893">
        <v>0</v>
      </c>
      <c r="P2893" t="s">
        <v>194</v>
      </c>
      <c r="Q2893" s="2">
        <v>0.7</v>
      </c>
      <c r="R2893">
        <v>0</v>
      </c>
      <c r="V2893" t="str">
        <f>VLOOKUP(H2893,'[1]팀별 출판사'!A:B,2,0)</f>
        <v>소설1팀</v>
      </c>
      <c r="W2893" s="6">
        <f t="shared" si="90"/>
        <v>0</v>
      </c>
      <c r="X2893" s="6">
        <f t="shared" si="91"/>
        <v>0</v>
      </c>
    </row>
    <row r="2894" spans="1:24" x14ac:dyDescent="0.3">
      <c r="A2894" t="s">
        <v>4222</v>
      </c>
      <c r="B2894" t="s">
        <v>4280</v>
      </c>
      <c r="C2894" t="s">
        <v>23</v>
      </c>
      <c r="D2894" t="s">
        <v>24</v>
      </c>
      <c r="E2894" t="s">
        <v>25</v>
      </c>
      <c r="F2894">
        <v>1</v>
      </c>
      <c r="G2894">
        <v>9791170106715</v>
      </c>
      <c r="H2894" t="s">
        <v>67</v>
      </c>
      <c r="I2894" t="s">
        <v>68</v>
      </c>
      <c r="J2894" t="s">
        <v>69</v>
      </c>
      <c r="K2894" t="s">
        <v>29</v>
      </c>
      <c r="L2894">
        <v>0</v>
      </c>
      <c r="M2894" t="s">
        <v>538</v>
      </c>
      <c r="N2894">
        <v>0</v>
      </c>
      <c r="O2894">
        <v>0</v>
      </c>
      <c r="P2894" t="s">
        <v>539</v>
      </c>
      <c r="Q2894" s="2">
        <v>0.7</v>
      </c>
      <c r="R2894">
        <v>0</v>
      </c>
      <c r="V2894" t="str">
        <f>VLOOKUP(H2894,'[1]팀별 출판사'!A:B,2,0)</f>
        <v>소설1팀</v>
      </c>
      <c r="W2894" s="6">
        <f t="shared" si="90"/>
        <v>0</v>
      </c>
      <c r="X2894" s="6">
        <f t="shared" si="91"/>
        <v>0</v>
      </c>
    </row>
    <row r="2895" spans="1:24" x14ac:dyDescent="0.3">
      <c r="A2895" t="s">
        <v>4222</v>
      </c>
      <c r="B2895" t="s">
        <v>4281</v>
      </c>
      <c r="C2895" t="s">
        <v>23</v>
      </c>
      <c r="D2895" t="s">
        <v>24</v>
      </c>
      <c r="E2895" t="s">
        <v>25</v>
      </c>
      <c r="F2895">
        <v>1</v>
      </c>
      <c r="G2895">
        <v>9791136912732</v>
      </c>
      <c r="H2895" t="s">
        <v>26</v>
      </c>
      <c r="I2895" t="s">
        <v>1125</v>
      </c>
      <c r="J2895" t="s">
        <v>256</v>
      </c>
      <c r="K2895" t="s">
        <v>29</v>
      </c>
      <c r="L2895">
        <v>0</v>
      </c>
      <c r="M2895" t="s">
        <v>29</v>
      </c>
      <c r="N2895">
        <v>0</v>
      </c>
      <c r="O2895">
        <v>0</v>
      </c>
      <c r="P2895" t="s">
        <v>30</v>
      </c>
      <c r="Q2895" s="2">
        <v>0.7</v>
      </c>
      <c r="R2895">
        <v>0</v>
      </c>
      <c r="V2895" t="str">
        <f>VLOOKUP(H2895,'[1]팀별 출판사'!A:B,2,0)</f>
        <v>소설1팀</v>
      </c>
      <c r="W2895" s="6">
        <f t="shared" si="90"/>
        <v>0</v>
      </c>
      <c r="X2895" s="6">
        <f t="shared" si="91"/>
        <v>0</v>
      </c>
    </row>
    <row r="2896" spans="1:24" x14ac:dyDescent="0.3">
      <c r="A2896" t="s">
        <v>4222</v>
      </c>
      <c r="B2896" t="s">
        <v>4282</v>
      </c>
      <c r="C2896" t="s">
        <v>23</v>
      </c>
      <c r="D2896" t="s">
        <v>24</v>
      </c>
      <c r="E2896" t="s">
        <v>25</v>
      </c>
      <c r="F2896">
        <v>1</v>
      </c>
      <c r="G2896">
        <v>9791133101795</v>
      </c>
      <c r="H2896" t="s">
        <v>32</v>
      </c>
      <c r="I2896" t="s">
        <v>566</v>
      </c>
      <c r="J2896" t="s">
        <v>160</v>
      </c>
      <c r="K2896" t="s">
        <v>29</v>
      </c>
      <c r="L2896">
        <v>0</v>
      </c>
      <c r="M2896" t="s">
        <v>29</v>
      </c>
      <c r="N2896">
        <v>0</v>
      </c>
      <c r="O2896">
        <v>0</v>
      </c>
      <c r="P2896" t="s">
        <v>30</v>
      </c>
      <c r="Q2896" s="2">
        <v>0.7</v>
      </c>
      <c r="R2896">
        <v>0</v>
      </c>
      <c r="V2896" t="str">
        <f>VLOOKUP(H2896,'[1]팀별 출판사'!A:B,2,0)</f>
        <v>소설1팀</v>
      </c>
      <c r="W2896" s="6">
        <f t="shared" si="90"/>
        <v>0</v>
      </c>
      <c r="X2896" s="6">
        <f t="shared" si="91"/>
        <v>0</v>
      </c>
    </row>
    <row r="2897" spans="1:24" x14ac:dyDescent="0.3">
      <c r="A2897" t="s">
        <v>4222</v>
      </c>
      <c r="B2897" t="s">
        <v>4283</v>
      </c>
      <c r="C2897" t="s">
        <v>23</v>
      </c>
      <c r="D2897" t="s">
        <v>24</v>
      </c>
      <c r="E2897" t="s">
        <v>25</v>
      </c>
      <c r="F2897">
        <v>1</v>
      </c>
      <c r="G2897">
        <v>9791136935007</v>
      </c>
      <c r="H2897" t="s">
        <v>32</v>
      </c>
      <c r="I2897" t="s">
        <v>1081</v>
      </c>
      <c r="J2897" t="s">
        <v>1082</v>
      </c>
      <c r="K2897" t="s">
        <v>29</v>
      </c>
      <c r="L2897">
        <v>0</v>
      </c>
      <c r="M2897" t="s">
        <v>252</v>
      </c>
      <c r="N2897">
        <v>0</v>
      </c>
      <c r="O2897">
        <v>0</v>
      </c>
      <c r="P2897" t="s">
        <v>253</v>
      </c>
      <c r="Q2897" s="2">
        <v>0.7</v>
      </c>
      <c r="R2897">
        <v>0</v>
      </c>
      <c r="V2897" t="str">
        <f>VLOOKUP(H2897,'[1]팀별 출판사'!A:B,2,0)</f>
        <v>소설1팀</v>
      </c>
      <c r="W2897" s="6">
        <f t="shared" si="90"/>
        <v>0</v>
      </c>
      <c r="X2897" s="6">
        <f t="shared" si="91"/>
        <v>0</v>
      </c>
    </row>
    <row r="2898" spans="1:24" x14ac:dyDescent="0.3">
      <c r="A2898" t="s">
        <v>4222</v>
      </c>
      <c r="B2898" t="s">
        <v>4284</v>
      </c>
      <c r="C2898" t="s">
        <v>23</v>
      </c>
      <c r="D2898" t="s">
        <v>24</v>
      </c>
      <c r="E2898" t="s">
        <v>25</v>
      </c>
      <c r="F2898">
        <v>1</v>
      </c>
      <c r="G2898">
        <v>9791173786914</v>
      </c>
      <c r="H2898" t="s">
        <v>26</v>
      </c>
      <c r="I2898" t="s">
        <v>4285</v>
      </c>
      <c r="J2898" t="s">
        <v>256</v>
      </c>
      <c r="K2898" t="s">
        <v>29</v>
      </c>
      <c r="L2898" s="1">
        <v>3200</v>
      </c>
      <c r="M2898" t="s">
        <v>29</v>
      </c>
      <c r="N2898" s="1">
        <v>3200</v>
      </c>
      <c r="O2898" s="1">
        <v>3200</v>
      </c>
      <c r="P2898" t="s">
        <v>30</v>
      </c>
      <c r="Q2898" s="2">
        <v>0.7</v>
      </c>
      <c r="R2898" s="1">
        <v>2240</v>
      </c>
      <c r="S2898" t="s">
        <v>29</v>
      </c>
      <c r="T2898" s="1">
        <v>2240</v>
      </c>
      <c r="V2898" t="str">
        <f>VLOOKUP(H2898,'[1]팀별 출판사'!A:B,2,0)</f>
        <v>소설1팀</v>
      </c>
      <c r="W2898" s="6">
        <f t="shared" si="90"/>
        <v>0</v>
      </c>
      <c r="X2898" s="6">
        <f t="shared" si="91"/>
        <v>2240</v>
      </c>
    </row>
    <row r="2899" spans="1:24" x14ac:dyDescent="0.3">
      <c r="A2899" t="s">
        <v>4222</v>
      </c>
      <c r="B2899" t="s">
        <v>4286</v>
      </c>
      <c r="C2899" t="s">
        <v>23</v>
      </c>
      <c r="D2899" t="s">
        <v>24</v>
      </c>
      <c r="E2899" t="s">
        <v>25</v>
      </c>
      <c r="F2899">
        <v>1</v>
      </c>
      <c r="G2899">
        <v>9791172923471</v>
      </c>
      <c r="H2899" t="s">
        <v>1617</v>
      </c>
      <c r="I2899" t="s">
        <v>4287</v>
      </c>
      <c r="J2899" t="s">
        <v>4288</v>
      </c>
      <c r="K2899" t="s">
        <v>29</v>
      </c>
      <c r="L2899" s="1">
        <v>3500</v>
      </c>
      <c r="M2899" t="s">
        <v>193</v>
      </c>
      <c r="N2899">
        <v>13.31</v>
      </c>
      <c r="O2899">
        <v>13.31</v>
      </c>
      <c r="P2899" t="s">
        <v>194</v>
      </c>
      <c r="Q2899" s="2">
        <v>0.7</v>
      </c>
      <c r="R2899">
        <v>9.32</v>
      </c>
      <c r="S2899" t="s">
        <v>29</v>
      </c>
      <c r="T2899" s="1">
        <v>2592</v>
      </c>
      <c r="U2899">
        <v>278.85966999999999</v>
      </c>
      <c r="V2899" t="str">
        <f>VLOOKUP(H2899,'[1]팀별 출판사'!A:B,2,0)</f>
        <v>소설2팀</v>
      </c>
      <c r="W2899" s="6">
        <f t="shared" si="90"/>
        <v>0</v>
      </c>
      <c r="X2899" s="6">
        <f t="shared" si="91"/>
        <v>2592</v>
      </c>
    </row>
    <row r="2900" spans="1:24" x14ac:dyDescent="0.3">
      <c r="A2900" t="s">
        <v>4222</v>
      </c>
      <c r="B2900" t="s">
        <v>4289</v>
      </c>
      <c r="C2900" t="s">
        <v>23</v>
      </c>
      <c r="D2900" t="s">
        <v>24</v>
      </c>
      <c r="E2900" t="s">
        <v>25</v>
      </c>
      <c r="F2900">
        <v>1</v>
      </c>
      <c r="G2900">
        <v>9791170106715</v>
      </c>
      <c r="H2900" t="s">
        <v>67</v>
      </c>
      <c r="I2900" t="s">
        <v>68</v>
      </c>
      <c r="J2900" t="s">
        <v>69</v>
      </c>
      <c r="K2900" t="s">
        <v>29</v>
      </c>
      <c r="L2900">
        <v>0</v>
      </c>
      <c r="M2900" t="s">
        <v>1379</v>
      </c>
      <c r="N2900">
        <v>0</v>
      </c>
      <c r="O2900">
        <v>0</v>
      </c>
      <c r="P2900" t="s">
        <v>1380</v>
      </c>
      <c r="Q2900" s="2">
        <v>0.7</v>
      </c>
      <c r="R2900">
        <v>0</v>
      </c>
      <c r="V2900" t="str">
        <f>VLOOKUP(H2900,'[1]팀별 출판사'!A:B,2,0)</f>
        <v>소설1팀</v>
      </c>
      <c r="W2900" s="6">
        <f t="shared" si="90"/>
        <v>0</v>
      </c>
      <c r="X2900" s="6">
        <f t="shared" si="91"/>
        <v>0</v>
      </c>
    </row>
    <row r="2901" spans="1:24" x14ac:dyDescent="0.3">
      <c r="A2901" t="s">
        <v>4222</v>
      </c>
      <c r="B2901" t="s">
        <v>4290</v>
      </c>
      <c r="C2901" t="s">
        <v>23</v>
      </c>
      <c r="D2901" t="s">
        <v>24</v>
      </c>
      <c r="E2901" t="s">
        <v>25</v>
      </c>
      <c r="F2901">
        <v>1</v>
      </c>
      <c r="G2901">
        <v>9791136927309</v>
      </c>
      <c r="H2901" t="s">
        <v>26</v>
      </c>
      <c r="I2901" t="s">
        <v>4291</v>
      </c>
      <c r="J2901" t="s">
        <v>459</v>
      </c>
      <c r="K2901" t="s">
        <v>29</v>
      </c>
      <c r="L2901" s="1">
        <v>3200</v>
      </c>
      <c r="M2901" t="s">
        <v>29</v>
      </c>
      <c r="N2901" s="1">
        <v>3200</v>
      </c>
      <c r="O2901" s="1">
        <v>3200</v>
      </c>
      <c r="P2901" t="s">
        <v>30</v>
      </c>
      <c r="Q2901" s="2">
        <v>0.7</v>
      </c>
      <c r="R2901" s="1">
        <v>2240</v>
      </c>
      <c r="S2901" t="s">
        <v>29</v>
      </c>
      <c r="T2901" s="1">
        <v>2240</v>
      </c>
      <c r="V2901" t="str">
        <f>VLOOKUP(H2901,'[1]팀별 출판사'!A:B,2,0)</f>
        <v>소설1팀</v>
      </c>
      <c r="W2901" s="6">
        <f t="shared" si="90"/>
        <v>0</v>
      </c>
      <c r="X2901" s="6">
        <f t="shared" si="91"/>
        <v>2240</v>
      </c>
    </row>
    <row r="2902" spans="1:24" x14ac:dyDescent="0.3">
      <c r="A2902" t="s">
        <v>4222</v>
      </c>
      <c r="B2902" t="s">
        <v>4292</v>
      </c>
      <c r="C2902" t="s">
        <v>23</v>
      </c>
      <c r="D2902" t="s">
        <v>24</v>
      </c>
      <c r="E2902" t="s">
        <v>25</v>
      </c>
      <c r="F2902">
        <v>1</v>
      </c>
      <c r="G2902">
        <v>9791133101511</v>
      </c>
      <c r="H2902" t="s">
        <v>32</v>
      </c>
      <c r="I2902" t="s">
        <v>2822</v>
      </c>
      <c r="J2902" t="s">
        <v>160</v>
      </c>
      <c r="K2902" t="s">
        <v>29</v>
      </c>
      <c r="L2902" s="1">
        <v>3000</v>
      </c>
      <c r="M2902" t="s">
        <v>29</v>
      </c>
      <c r="N2902" s="1">
        <v>3000</v>
      </c>
      <c r="O2902" s="1">
        <v>3000</v>
      </c>
      <c r="P2902" t="s">
        <v>30</v>
      </c>
      <c r="Q2902" s="2">
        <v>0.7</v>
      </c>
      <c r="R2902" s="1">
        <v>2100</v>
      </c>
      <c r="S2902" t="s">
        <v>29</v>
      </c>
      <c r="T2902" s="1">
        <v>2100</v>
      </c>
      <c r="V2902" t="str">
        <f>VLOOKUP(H2902,'[1]팀별 출판사'!A:B,2,0)</f>
        <v>소설1팀</v>
      </c>
      <c r="W2902" s="6">
        <f t="shared" si="90"/>
        <v>0</v>
      </c>
      <c r="X2902" s="6">
        <f t="shared" si="91"/>
        <v>2100</v>
      </c>
    </row>
    <row r="2903" spans="1:24" x14ac:dyDescent="0.3">
      <c r="A2903" t="s">
        <v>4222</v>
      </c>
      <c r="B2903" t="s">
        <v>4293</v>
      </c>
      <c r="C2903" t="s">
        <v>23</v>
      </c>
      <c r="D2903" t="s">
        <v>24</v>
      </c>
      <c r="E2903" t="s">
        <v>25</v>
      </c>
      <c r="F2903">
        <v>1</v>
      </c>
      <c r="G2903">
        <v>9791136957986</v>
      </c>
      <c r="H2903" t="s">
        <v>26</v>
      </c>
      <c r="I2903" t="s">
        <v>4294</v>
      </c>
      <c r="J2903" t="s">
        <v>4295</v>
      </c>
      <c r="K2903" t="s">
        <v>29</v>
      </c>
      <c r="L2903">
        <v>0</v>
      </c>
      <c r="M2903" t="s">
        <v>29</v>
      </c>
      <c r="N2903">
        <v>0</v>
      </c>
      <c r="O2903">
        <v>0</v>
      </c>
      <c r="P2903" t="s">
        <v>30</v>
      </c>
      <c r="Q2903" s="2">
        <v>0.7</v>
      </c>
      <c r="R2903">
        <v>0</v>
      </c>
      <c r="V2903" t="str">
        <f>VLOOKUP(H2903,'[1]팀별 출판사'!A:B,2,0)</f>
        <v>소설1팀</v>
      </c>
      <c r="W2903" s="6">
        <f t="shared" si="90"/>
        <v>0</v>
      </c>
      <c r="X2903" s="6">
        <f t="shared" si="91"/>
        <v>0</v>
      </c>
    </row>
    <row r="2904" spans="1:24" x14ac:dyDescent="0.3">
      <c r="A2904" t="s">
        <v>4222</v>
      </c>
      <c r="B2904" t="s">
        <v>4296</v>
      </c>
      <c r="C2904" t="s">
        <v>23</v>
      </c>
      <c r="D2904" t="s">
        <v>24</v>
      </c>
      <c r="E2904" t="s">
        <v>25</v>
      </c>
      <c r="F2904">
        <v>1</v>
      </c>
      <c r="G2904">
        <v>9791173788925</v>
      </c>
      <c r="H2904" t="s">
        <v>26</v>
      </c>
      <c r="I2904" t="s">
        <v>4297</v>
      </c>
      <c r="J2904" t="s">
        <v>256</v>
      </c>
      <c r="K2904" t="s">
        <v>29</v>
      </c>
      <c r="L2904" s="1">
        <v>3200</v>
      </c>
      <c r="M2904" t="s">
        <v>29</v>
      </c>
      <c r="N2904" s="1">
        <v>3200</v>
      </c>
      <c r="O2904" s="1">
        <v>3200</v>
      </c>
      <c r="P2904" t="s">
        <v>30</v>
      </c>
      <c r="Q2904" s="2">
        <v>0.7</v>
      </c>
      <c r="R2904" s="1">
        <v>2240</v>
      </c>
      <c r="S2904" t="s">
        <v>29</v>
      </c>
      <c r="T2904" s="1">
        <v>2240</v>
      </c>
      <c r="V2904" t="str">
        <f>VLOOKUP(H2904,'[1]팀별 출판사'!A:B,2,0)</f>
        <v>소설1팀</v>
      </c>
      <c r="W2904" s="6">
        <f t="shared" si="90"/>
        <v>0</v>
      </c>
      <c r="X2904" s="6">
        <f t="shared" si="91"/>
        <v>2240</v>
      </c>
    </row>
    <row r="2905" spans="1:24" x14ac:dyDescent="0.3">
      <c r="A2905" t="s">
        <v>4222</v>
      </c>
      <c r="B2905" t="s">
        <v>4298</v>
      </c>
      <c r="C2905" t="s">
        <v>23</v>
      </c>
      <c r="D2905" t="s">
        <v>24</v>
      </c>
      <c r="E2905" t="s">
        <v>25</v>
      </c>
      <c r="F2905">
        <v>1</v>
      </c>
      <c r="G2905">
        <v>9791136928870</v>
      </c>
      <c r="H2905" t="s">
        <v>26</v>
      </c>
      <c r="I2905" t="s">
        <v>3235</v>
      </c>
      <c r="J2905" t="s">
        <v>62</v>
      </c>
      <c r="K2905" t="s">
        <v>29</v>
      </c>
      <c r="L2905" s="1">
        <v>3200</v>
      </c>
      <c r="M2905" t="s">
        <v>29</v>
      </c>
      <c r="N2905" s="1">
        <v>3200</v>
      </c>
      <c r="O2905" s="1">
        <v>3200</v>
      </c>
      <c r="P2905" t="s">
        <v>30</v>
      </c>
      <c r="Q2905" s="2">
        <v>0.7</v>
      </c>
      <c r="R2905" s="1">
        <v>2240</v>
      </c>
      <c r="S2905" t="s">
        <v>29</v>
      </c>
      <c r="T2905" s="1">
        <v>2240</v>
      </c>
      <c r="V2905" t="str">
        <f>VLOOKUP(H2905,'[1]팀별 출판사'!A:B,2,0)</f>
        <v>소설1팀</v>
      </c>
      <c r="W2905" s="6">
        <f t="shared" si="90"/>
        <v>0</v>
      </c>
      <c r="X2905" s="6">
        <f t="shared" si="91"/>
        <v>2240</v>
      </c>
    </row>
    <row r="2906" spans="1:24" x14ac:dyDescent="0.3">
      <c r="A2906" t="s">
        <v>4222</v>
      </c>
      <c r="B2906" t="s">
        <v>4299</v>
      </c>
      <c r="C2906" t="s">
        <v>23</v>
      </c>
      <c r="D2906" t="s">
        <v>24</v>
      </c>
      <c r="E2906" t="s">
        <v>25</v>
      </c>
      <c r="F2906">
        <v>1</v>
      </c>
      <c r="G2906">
        <v>9791136930156</v>
      </c>
      <c r="H2906" t="s">
        <v>32</v>
      </c>
      <c r="I2906" t="s">
        <v>702</v>
      </c>
      <c r="J2906" t="s">
        <v>34</v>
      </c>
      <c r="K2906" t="s">
        <v>29</v>
      </c>
      <c r="L2906">
        <v>0</v>
      </c>
      <c r="M2906" t="s">
        <v>29</v>
      </c>
      <c r="N2906">
        <v>0</v>
      </c>
      <c r="O2906">
        <v>0</v>
      </c>
      <c r="P2906" t="s">
        <v>30</v>
      </c>
      <c r="Q2906" s="2">
        <v>0.7</v>
      </c>
      <c r="R2906">
        <v>0</v>
      </c>
      <c r="V2906" t="str">
        <f>VLOOKUP(H2906,'[1]팀별 출판사'!A:B,2,0)</f>
        <v>소설1팀</v>
      </c>
      <c r="W2906" s="6">
        <f t="shared" si="90"/>
        <v>0</v>
      </c>
      <c r="X2906" s="6">
        <f t="shared" si="91"/>
        <v>0</v>
      </c>
    </row>
    <row r="2907" spans="1:24" x14ac:dyDescent="0.3">
      <c r="A2907" t="s">
        <v>4222</v>
      </c>
      <c r="B2907" t="s">
        <v>4300</v>
      </c>
      <c r="C2907" t="s">
        <v>23</v>
      </c>
      <c r="D2907" t="s">
        <v>24</v>
      </c>
      <c r="E2907" t="s">
        <v>25</v>
      </c>
      <c r="F2907">
        <v>1</v>
      </c>
      <c r="G2907">
        <v>9791133126590</v>
      </c>
      <c r="H2907" t="s">
        <v>32</v>
      </c>
      <c r="I2907" t="s">
        <v>4301</v>
      </c>
      <c r="J2907" t="s">
        <v>160</v>
      </c>
      <c r="K2907" t="s">
        <v>29</v>
      </c>
      <c r="L2907" s="1">
        <v>3500</v>
      </c>
      <c r="M2907" t="s">
        <v>29</v>
      </c>
      <c r="N2907" s="1">
        <v>3500</v>
      </c>
      <c r="O2907" s="1">
        <v>3500</v>
      </c>
      <c r="P2907" t="s">
        <v>30</v>
      </c>
      <c r="Q2907" s="2">
        <v>0.7</v>
      </c>
      <c r="R2907" s="1">
        <v>2450</v>
      </c>
      <c r="S2907" t="s">
        <v>29</v>
      </c>
      <c r="T2907" s="1">
        <v>2450</v>
      </c>
      <c r="V2907" t="str">
        <f>VLOOKUP(H2907,'[1]팀별 출판사'!A:B,2,0)</f>
        <v>소설1팀</v>
      </c>
      <c r="W2907" s="6">
        <f t="shared" si="90"/>
        <v>0</v>
      </c>
      <c r="X2907" s="6">
        <f t="shared" si="91"/>
        <v>2450</v>
      </c>
    </row>
    <row r="2908" spans="1:24" x14ac:dyDescent="0.3">
      <c r="A2908" t="s">
        <v>4222</v>
      </c>
      <c r="B2908" t="s">
        <v>4302</v>
      </c>
      <c r="C2908" t="s">
        <v>23</v>
      </c>
      <c r="D2908" t="s">
        <v>24</v>
      </c>
      <c r="E2908" t="s">
        <v>25</v>
      </c>
      <c r="F2908">
        <v>1</v>
      </c>
      <c r="G2908">
        <v>9791136930118</v>
      </c>
      <c r="H2908" t="s">
        <v>32</v>
      </c>
      <c r="I2908" t="s">
        <v>828</v>
      </c>
      <c r="J2908" t="s">
        <v>157</v>
      </c>
      <c r="K2908" t="s">
        <v>29</v>
      </c>
      <c r="L2908">
        <v>0</v>
      </c>
      <c r="M2908" t="s">
        <v>29</v>
      </c>
      <c r="N2908">
        <v>0</v>
      </c>
      <c r="O2908">
        <v>0</v>
      </c>
      <c r="P2908" t="s">
        <v>30</v>
      </c>
      <c r="Q2908" s="2">
        <v>0.7</v>
      </c>
      <c r="R2908">
        <v>0</v>
      </c>
      <c r="V2908" t="str">
        <f>VLOOKUP(H2908,'[1]팀별 출판사'!A:B,2,0)</f>
        <v>소설1팀</v>
      </c>
      <c r="W2908" s="6">
        <f t="shared" si="90"/>
        <v>0</v>
      </c>
      <c r="X2908" s="6">
        <f t="shared" si="91"/>
        <v>0</v>
      </c>
    </row>
    <row r="2909" spans="1:24" x14ac:dyDescent="0.3">
      <c r="A2909" t="s">
        <v>4222</v>
      </c>
      <c r="B2909" t="s">
        <v>4303</v>
      </c>
      <c r="C2909" t="s">
        <v>23</v>
      </c>
      <c r="D2909" t="s">
        <v>24</v>
      </c>
      <c r="E2909" t="s">
        <v>25</v>
      </c>
      <c r="F2909">
        <v>1</v>
      </c>
      <c r="G2909">
        <v>9791136930750</v>
      </c>
      <c r="H2909" t="s">
        <v>32</v>
      </c>
      <c r="I2909" t="s">
        <v>656</v>
      </c>
      <c r="J2909" t="s">
        <v>157</v>
      </c>
      <c r="K2909" t="s">
        <v>29</v>
      </c>
      <c r="L2909">
        <v>0</v>
      </c>
      <c r="M2909" t="s">
        <v>29</v>
      </c>
      <c r="N2909">
        <v>0</v>
      </c>
      <c r="O2909">
        <v>0</v>
      </c>
      <c r="P2909" t="s">
        <v>30</v>
      </c>
      <c r="Q2909" s="2">
        <v>0.7</v>
      </c>
      <c r="R2909">
        <v>0</v>
      </c>
      <c r="V2909" t="str">
        <f>VLOOKUP(H2909,'[1]팀별 출판사'!A:B,2,0)</f>
        <v>소설1팀</v>
      </c>
      <c r="W2909" s="6">
        <f t="shared" si="90"/>
        <v>0</v>
      </c>
      <c r="X2909" s="6">
        <f t="shared" si="91"/>
        <v>0</v>
      </c>
    </row>
    <row r="2910" spans="1:24" x14ac:dyDescent="0.3">
      <c r="A2910" t="s">
        <v>4222</v>
      </c>
      <c r="B2910" t="s">
        <v>4304</v>
      </c>
      <c r="C2910" t="s">
        <v>23</v>
      </c>
      <c r="D2910" t="s">
        <v>24</v>
      </c>
      <c r="E2910" t="s">
        <v>25</v>
      </c>
      <c r="F2910">
        <v>1</v>
      </c>
      <c r="G2910" t="s">
        <v>1454</v>
      </c>
      <c r="H2910" t="s">
        <v>32</v>
      </c>
      <c r="I2910" t="s">
        <v>4305</v>
      </c>
      <c r="J2910" t="s">
        <v>311</v>
      </c>
      <c r="K2910" t="s">
        <v>29</v>
      </c>
      <c r="L2910" s="1">
        <v>3200</v>
      </c>
      <c r="M2910" t="s">
        <v>29</v>
      </c>
      <c r="N2910" s="1">
        <v>3200</v>
      </c>
      <c r="O2910" s="1">
        <v>3200</v>
      </c>
      <c r="P2910" t="s">
        <v>30</v>
      </c>
      <c r="Q2910" s="2">
        <v>0.7</v>
      </c>
      <c r="R2910" s="1">
        <v>2240</v>
      </c>
      <c r="S2910" t="s">
        <v>29</v>
      </c>
      <c r="T2910" s="1">
        <v>2240</v>
      </c>
      <c r="V2910" t="str">
        <f>VLOOKUP(H2910,'[1]팀별 출판사'!A:B,2,0)</f>
        <v>소설1팀</v>
      </c>
      <c r="W2910" s="6">
        <f t="shared" si="90"/>
        <v>0</v>
      </c>
      <c r="X2910" s="6">
        <f t="shared" si="91"/>
        <v>2240</v>
      </c>
    </row>
    <row r="2911" spans="1:24" x14ac:dyDescent="0.3">
      <c r="A2911" t="s">
        <v>4222</v>
      </c>
      <c r="B2911" t="s">
        <v>4306</v>
      </c>
      <c r="C2911" t="s">
        <v>23</v>
      </c>
      <c r="D2911" t="s">
        <v>24</v>
      </c>
      <c r="E2911" t="s">
        <v>25</v>
      </c>
      <c r="F2911">
        <v>1</v>
      </c>
      <c r="G2911">
        <v>9791136910455</v>
      </c>
      <c r="H2911" t="s">
        <v>26</v>
      </c>
      <c r="I2911" t="s">
        <v>4307</v>
      </c>
      <c r="J2911" t="s">
        <v>355</v>
      </c>
      <c r="K2911" t="s">
        <v>29</v>
      </c>
      <c r="L2911" s="1">
        <v>3200</v>
      </c>
      <c r="M2911" t="s">
        <v>29</v>
      </c>
      <c r="N2911" s="1">
        <v>3200</v>
      </c>
      <c r="O2911" s="1">
        <v>3200</v>
      </c>
      <c r="P2911" t="s">
        <v>30</v>
      </c>
      <c r="Q2911" s="2">
        <v>0.7</v>
      </c>
      <c r="R2911" s="1">
        <v>2240</v>
      </c>
      <c r="S2911" t="s">
        <v>29</v>
      </c>
      <c r="T2911" s="1">
        <v>2240</v>
      </c>
      <c r="V2911" t="str">
        <f>VLOOKUP(H2911,'[1]팀별 출판사'!A:B,2,0)</f>
        <v>소설1팀</v>
      </c>
      <c r="W2911" s="6">
        <f t="shared" si="90"/>
        <v>0</v>
      </c>
      <c r="X2911" s="6">
        <f t="shared" si="91"/>
        <v>2240</v>
      </c>
    </row>
    <row r="2912" spans="1:24" x14ac:dyDescent="0.3">
      <c r="A2912" t="s">
        <v>4222</v>
      </c>
      <c r="B2912" t="s">
        <v>4308</v>
      </c>
      <c r="C2912" t="s">
        <v>23</v>
      </c>
      <c r="D2912" t="s">
        <v>24</v>
      </c>
      <c r="E2912" t="s">
        <v>25</v>
      </c>
      <c r="F2912">
        <v>1</v>
      </c>
      <c r="G2912">
        <v>9791136934925</v>
      </c>
      <c r="H2912" t="s">
        <v>32</v>
      </c>
      <c r="I2912" t="s">
        <v>385</v>
      </c>
      <c r="J2912" t="s">
        <v>126</v>
      </c>
      <c r="K2912" t="s">
        <v>29</v>
      </c>
      <c r="L2912">
        <v>0</v>
      </c>
      <c r="M2912" t="s">
        <v>127</v>
      </c>
      <c r="N2912">
        <v>0</v>
      </c>
      <c r="O2912">
        <v>0</v>
      </c>
      <c r="P2912" t="s">
        <v>128</v>
      </c>
      <c r="Q2912" s="2">
        <v>0.7</v>
      </c>
      <c r="R2912">
        <v>0</v>
      </c>
      <c r="V2912" t="str">
        <f>VLOOKUP(H2912,'[1]팀별 출판사'!A:B,2,0)</f>
        <v>소설1팀</v>
      </c>
      <c r="W2912" s="6">
        <f t="shared" si="90"/>
        <v>0</v>
      </c>
      <c r="X2912" s="6">
        <f t="shared" si="91"/>
        <v>0</v>
      </c>
    </row>
    <row r="2913" spans="1:24" x14ac:dyDescent="0.3">
      <c r="A2913" t="s">
        <v>4222</v>
      </c>
      <c r="B2913" t="s">
        <v>4309</v>
      </c>
      <c r="C2913" t="s">
        <v>23</v>
      </c>
      <c r="D2913" t="s">
        <v>24</v>
      </c>
      <c r="E2913" t="s">
        <v>25</v>
      </c>
      <c r="F2913">
        <v>1</v>
      </c>
      <c r="G2913">
        <v>9791136930491</v>
      </c>
      <c r="H2913" t="s">
        <v>26</v>
      </c>
      <c r="I2913" t="s">
        <v>151</v>
      </c>
      <c r="J2913" t="s">
        <v>46</v>
      </c>
      <c r="K2913" t="s">
        <v>29</v>
      </c>
      <c r="L2913">
        <v>0</v>
      </c>
      <c r="M2913" t="s">
        <v>47</v>
      </c>
      <c r="N2913">
        <v>0</v>
      </c>
      <c r="O2913">
        <v>0</v>
      </c>
      <c r="P2913" t="s">
        <v>48</v>
      </c>
      <c r="Q2913" s="2">
        <v>0.7</v>
      </c>
      <c r="R2913">
        <v>0</v>
      </c>
      <c r="V2913" t="str">
        <f>VLOOKUP(H2913,'[1]팀별 출판사'!A:B,2,0)</f>
        <v>소설1팀</v>
      </c>
      <c r="W2913" s="6">
        <f t="shared" si="90"/>
        <v>0</v>
      </c>
      <c r="X2913" s="6">
        <f t="shared" si="91"/>
        <v>0</v>
      </c>
    </row>
    <row r="2914" spans="1:24" x14ac:dyDescent="0.3">
      <c r="A2914" t="s">
        <v>4222</v>
      </c>
      <c r="B2914" t="s">
        <v>4310</v>
      </c>
      <c r="C2914" t="s">
        <v>23</v>
      </c>
      <c r="D2914" t="s">
        <v>24</v>
      </c>
      <c r="E2914" t="s">
        <v>25</v>
      </c>
      <c r="F2914">
        <v>1</v>
      </c>
      <c r="G2914">
        <v>9791136931375</v>
      </c>
      <c r="H2914" t="s">
        <v>32</v>
      </c>
      <c r="I2914" t="s">
        <v>189</v>
      </c>
      <c r="J2914" t="s">
        <v>46</v>
      </c>
      <c r="K2914" t="s">
        <v>29</v>
      </c>
      <c r="L2914">
        <v>0</v>
      </c>
      <c r="M2914" t="s">
        <v>29</v>
      </c>
      <c r="N2914">
        <v>0</v>
      </c>
      <c r="O2914">
        <v>0</v>
      </c>
      <c r="P2914" t="s">
        <v>30</v>
      </c>
      <c r="Q2914" s="2">
        <v>0.7</v>
      </c>
      <c r="R2914">
        <v>0</v>
      </c>
      <c r="V2914" t="str">
        <f>VLOOKUP(H2914,'[1]팀별 출판사'!A:B,2,0)</f>
        <v>소설1팀</v>
      </c>
      <c r="W2914" s="6">
        <f t="shared" si="90"/>
        <v>0</v>
      </c>
      <c r="X2914" s="6">
        <f t="shared" si="91"/>
        <v>0</v>
      </c>
    </row>
    <row r="2915" spans="1:24" x14ac:dyDescent="0.3">
      <c r="A2915" t="s">
        <v>4222</v>
      </c>
      <c r="B2915" t="s">
        <v>4311</v>
      </c>
      <c r="C2915" t="s">
        <v>23</v>
      </c>
      <c r="D2915" t="s">
        <v>24</v>
      </c>
      <c r="E2915" t="s">
        <v>25</v>
      </c>
      <c r="F2915">
        <v>1</v>
      </c>
      <c r="G2915">
        <v>9791136930286</v>
      </c>
      <c r="H2915" t="s">
        <v>32</v>
      </c>
      <c r="I2915" t="s">
        <v>818</v>
      </c>
      <c r="J2915" t="s">
        <v>157</v>
      </c>
      <c r="K2915" t="s">
        <v>29</v>
      </c>
      <c r="L2915">
        <v>0</v>
      </c>
      <c r="M2915" t="s">
        <v>29</v>
      </c>
      <c r="N2915">
        <v>0</v>
      </c>
      <c r="O2915">
        <v>0</v>
      </c>
      <c r="P2915" t="s">
        <v>30</v>
      </c>
      <c r="Q2915" s="2">
        <v>0.7</v>
      </c>
      <c r="R2915">
        <v>0</v>
      </c>
      <c r="V2915" t="str">
        <f>VLOOKUP(H2915,'[1]팀별 출판사'!A:B,2,0)</f>
        <v>소설1팀</v>
      </c>
      <c r="W2915" s="6">
        <f t="shared" si="90"/>
        <v>0</v>
      </c>
      <c r="X2915" s="6">
        <f t="shared" si="91"/>
        <v>0</v>
      </c>
    </row>
    <row r="2916" spans="1:24" x14ac:dyDescent="0.3">
      <c r="A2916" t="s">
        <v>4222</v>
      </c>
      <c r="B2916" t="s">
        <v>4312</v>
      </c>
      <c r="C2916" t="s">
        <v>23</v>
      </c>
      <c r="D2916" t="s">
        <v>24</v>
      </c>
      <c r="E2916" t="s">
        <v>25</v>
      </c>
      <c r="F2916">
        <v>1</v>
      </c>
      <c r="G2916">
        <v>9791172921033</v>
      </c>
      <c r="H2916" t="s">
        <v>79</v>
      </c>
      <c r="I2916" t="s">
        <v>738</v>
      </c>
      <c r="J2916" t="s">
        <v>46</v>
      </c>
      <c r="K2916" t="s">
        <v>29</v>
      </c>
      <c r="L2916">
        <v>0</v>
      </c>
      <c r="M2916" t="s">
        <v>29</v>
      </c>
      <c r="N2916">
        <v>0</v>
      </c>
      <c r="O2916">
        <v>0</v>
      </c>
      <c r="P2916" t="s">
        <v>30</v>
      </c>
      <c r="Q2916" s="2">
        <v>0.7</v>
      </c>
      <c r="R2916">
        <v>0</v>
      </c>
      <c r="V2916" t="str">
        <f>VLOOKUP(H2916,'[1]팀별 출판사'!A:B,2,0)</f>
        <v>소설1팀</v>
      </c>
      <c r="W2916" s="6">
        <f t="shared" si="90"/>
        <v>0</v>
      </c>
      <c r="X2916" s="6">
        <f t="shared" si="91"/>
        <v>0</v>
      </c>
    </row>
    <row r="2917" spans="1:24" x14ac:dyDescent="0.3">
      <c r="A2917" t="s">
        <v>4222</v>
      </c>
      <c r="B2917" t="s">
        <v>4313</v>
      </c>
      <c r="C2917" t="s">
        <v>23</v>
      </c>
      <c r="D2917" t="s">
        <v>24</v>
      </c>
      <c r="E2917" t="s">
        <v>25</v>
      </c>
      <c r="F2917">
        <v>1</v>
      </c>
      <c r="G2917">
        <v>9791136932648</v>
      </c>
      <c r="H2917" t="s">
        <v>32</v>
      </c>
      <c r="I2917" t="s">
        <v>832</v>
      </c>
      <c r="J2917" t="s">
        <v>34</v>
      </c>
      <c r="K2917" t="s">
        <v>29</v>
      </c>
      <c r="L2917">
        <v>0</v>
      </c>
      <c r="M2917" t="s">
        <v>29</v>
      </c>
      <c r="N2917">
        <v>0</v>
      </c>
      <c r="O2917">
        <v>0</v>
      </c>
      <c r="P2917" t="s">
        <v>30</v>
      </c>
      <c r="Q2917" s="2">
        <v>0.7</v>
      </c>
      <c r="R2917">
        <v>0</v>
      </c>
      <c r="V2917" t="str">
        <f>VLOOKUP(H2917,'[1]팀별 출판사'!A:B,2,0)</f>
        <v>소설1팀</v>
      </c>
      <c r="W2917" s="6">
        <f t="shared" si="90"/>
        <v>0</v>
      </c>
      <c r="X2917" s="6">
        <f t="shared" si="91"/>
        <v>0</v>
      </c>
    </row>
    <row r="2918" spans="1:24" x14ac:dyDescent="0.3">
      <c r="A2918" t="s">
        <v>4222</v>
      </c>
      <c r="B2918" t="s">
        <v>4314</v>
      </c>
      <c r="C2918" t="s">
        <v>23</v>
      </c>
      <c r="D2918" t="s">
        <v>24</v>
      </c>
      <c r="E2918" t="s">
        <v>25</v>
      </c>
      <c r="F2918">
        <v>1</v>
      </c>
      <c r="G2918">
        <v>9791136931399</v>
      </c>
      <c r="H2918" t="s">
        <v>32</v>
      </c>
      <c r="I2918" t="s">
        <v>482</v>
      </c>
      <c r="J2918" t="s">
        <v>46</v>
      </c>
      <c r="K2918" t="s">
        <v>29</v>
      </c>
      <c r="L2918">
        <v>0</v>
      </c>
      <c r="M2918" t="s">
        <v>29</v>
      </c>
      <c r="N2918">
        <v>0</v>
      </c>
      <c r="O2918">
        <v>0</v>
      </c>
      <c r="P2918" t="s">
        <v>30</v>
      </c>
      <c r="Q2918" s="2">
        <v>0.7</v>
      </c>
      <c r="R2918">
        <v>0</v>
      </c>
      <c r="V2918" t="str">
        <f>VLOOKUP(H2918,'[1]팀별 출판사'!A:B,2,0)</f>
        <v>소설1팀</v>
      </c>
      <c r="W2918" s="6">
        <f t="shared" si="90"/>
        <v>0</v>
      </c>
      <c r="X2918" s="6">
        <f t="shared" si="91"/>
        <v>0</v>
      </c>
    </row>
    <row r="2919" spans="1:24" x14ac:dyDescent="0.3">
      <c r="A2919" t="s">
        <v>4222</v>
      </c>
      <c r="B2919" t="s">
        <v>4315</v>
      </c>
      <c r="C2919" t="s">
        <v>23</v>
      </c>
      <c r="D2919" t="s">
        <v>24</v>
      </c>
      <c r="E2919" t="s">
        <v>25</v>
      </c>
      <c r="F2919">
        <v>1</v>
      </c>
      <c r="G2919">
        <v>9791136931382</v>
      </c>
      <c r="H2919" t="s">
        <v>32</v>
      </c>
      <c r="I2919" t="s">
        <v>523</v>
      </c>
      <c r="J2919" t="s">
        <v>46</v>
      </c>
      <c r="K2919" t="s">
        <v>29</v>
      </c>
      <c r="L2919">
        <v>0</v>
      </c>
      <c r="M2919" t="s">
        <v>29</v>
      </c>
      <c r="N2919">
        <v>0</v>
      </c>
      <c r="O2919">
        <v>0</v>
      </c>
      <c r="P2919" t="s">
        <v>30</v>
      </c>
      <c r="Q2919" s="2">
        <v>0.7</v>
      </c>
      <c r="R2919">
        <v>0</v>
      </c>
      <c r="V2919" t="str">
        <f>VLOOKUP(H2919,'[1]팀별 출판사'!A:B,2,0)</f>
        <v>소설1팀</v>
      </c>
      <c r="W2919" s="6">
        <f t="shared" si="90"/>
        <v>0</v>
      </c>
      <c r="X2919" s="6">
        <f t="shared" si="91"/>
        <v>0</v>
      </c>
    </row>
    <row r="2920" spans="1:24" x14ac:dyDescent="0.3">
      <c r="A2920" t="s">
        <v>4222</v>
      </c>
      <c r="B2920" t="s">
        <v>4316</v>
      </c>
      <c r="C2920" t="s">
        <v>23</v>
      </c>
      <c r="D2920" t="s">
        <v>24</v>
      </c>
      <c r="E2920" t="s">
        <v>25</v>
      </c>
      <c r="F2920">
        <v>1</v>
      </c>
      <c r="G2920">
        <v>9791172927868</v>
      </c>
      <c r="H2920" t="s">
        <v>79</v>
      </c>
      <c r="I2920" t="s">
        <v>4317</v>
      </c>
      <c r="J2920" t="s">
        <v>81</v>
      </c>
      <c r="K2920" t="s">
        <v>29</v>
      </c>
      <c r="L2920" s="1">
        <v>3200</v>
      </c>
      <c r="M2920" t="s">
        <v>29</v>
      </c>
      <c r="N2920" s="1">
        <v>3200</v>
      </c>
      <c r="O2920" s="1">
        <v>3200</v>
      </c>
      <c r="P2920" t="s">
        <v>30</v>
      </c>
      <c r="Q2920" s="2">
        <v>0.7</v>
      </c>
      <c r="R2920" s="1">
        <v>2240</v>
      </c>
      <c r="S2920" t="s">
        <v>29</v>
      </c>
      <c r="T2920" s="1">
        <v>2240</v>
      </c>
      <c r="V2920" t="str">
        <f>VLOOKUP(H2920,'[1]팀별 출판사'!A:B,2,0)</f>
        <v>소설1팀</v>
      </c>
      <c r="W2920" s="6">
        <f t="shared" si="90"/>
        <v>0</v>
      </c>
      <c r="X2920" s="6">
        <f t="shared" si="91"/>
        <v>2240</v>
      </c>
    </row>
    <row r="2921" spans="1:24" x14ac:dyDescent="0.3">
      <c r="A2921" t="s">
        <v>4222</v>
      </c>
      <c r="B2921" t="s">
        <v>4318</v>
      </c>
      <c r="C2921" t="s">
        <v>23</v>
      </c>
      <c r="D2921" t="s">
        <v>24</v>
      </c>
      <c r="E2921" t="s">
        <v>25</v>
      </c>
      <c r="F2921">
        <v>1</v>
      </c>
      <c r="G2921">
        <v>9791133125937</v>
      </c>
      <c r="H2921" t="s">
        <v>32</v>
      </c>
      <c r="I2921" t="s">
        <v>4319</v>
      </c>
      <c r="J2921" t="s">
        <v>160</v>
      </c>
      <c r="K2921" t="s">
        <v>29</v>
      </c>
      <c r="L2921" s="1">
        <v>3500</v>
      </c>
      <c r="M2921" t="s">
        <v>29</v>
      </c>
      <c r="N2921" s="1">
        <v>3500</v>
      </c>
      <c r="O2921" s="1">
        <v>3500</v>
      </c>
      <c r="P2921" t="s">
        <v>30</v>
      </c>
      <c r="Q2921" s="2">
        <v>0.7</v>
      </c>
      <c r="R2921" s="1">
        <v>2450</v>
      </c>
      <c r="S2921" t="s">
        <v>29</v>
      </c>
      <c r="T2921" s="1">
        <v>2450</v>
      </c>
      <c r="V2921" t="str">
        <f>VLOOKUP(H2921,'[1]팀별 출판사'!A:B,2,0)</f>
        <v>소설1팀</v>
      </c>
      <c r="W2921" s="6">
        <f t="shared" si="90"/>
        <v>0</v>
      </c>
      <c r="X2921" s="6">
        <f t="shared" si="91"/>
        <v>2450</v>
      </c>
    </row>
    <row r="2922" spans="1:24" x14ac:dyDescent="0.3">
      <c r="A2922" t="s">
        <v>4222</v>
      </c>
      <c r="B2922" t="s">
        <v>4320</v>
      </c>
      <c r="C2922" t="s">
        <v>23</v>
      </c>
      <c r="D2922" t="s">
        <v>24</v>
      </c>
      <c r="E2922" t="s">
        <v>25</v>
      </c>
      <c r="F2922">
        <v>1</v>
      </c>
      <c r="G2922">
        <v>9791136988799</v>
      </c>
      <c r="H2922" t="s">
        <v>26</v>
      </c>
      <c r="I2922" t="s">
        <v>3759</v>
      </c>
      <c r="J2922" t="s">
        <v>28</v>
      </c>
      <c r="K2922" t="s">
        <v>29</v>
      </c>
      <c r="L2922" s="1">
        <v>3200</v>
      </c>
      <c r="M2922" t="s">
        <v>29</v>
      </c>
      <c r="N2922" s="1">
        <v>3200</v>
      </c>
      <c r="O2922" s="1">
        <v>3200</v>
      </c>
      <c r="P2922" t="s">
        <v>30</v>
      </c>
      <c r="Q2922" s="2">
        <v>0.7</v>
      </c>
      <c r="R2922" s="1">
        <v>2240</v>
      </c>
      <c r="S2922" t="s">
        <v>29</v>
      </c>
      <c r="T2922" s="1">
        <v>2240</v>
      </c>
      <c r="V2922" t="str">
        <f>VLOOKUP(H2922,'[1]팀별 출판사'!A:B,2,0)</f>
        <v>소설1팀</v>
      </c>
      <c r="W2922" s="6">
        <f t="shared" si="90"/>
        <v>0</v>
      </c>
      <c r="X2922" s="6">
        <f t="shared" si="91"/>
        <v>2240</v>
      </c>
    </row>
    <row r="2923" spans="1:24" x14ac:dyDescent="0.3">
      <c r="A2923" t="s">
        <v>4222</v>
      </c>
      <c r="B2923" t="s">
        <v>4321</v>
      </c>
      <c r="C2923" t="s">
        <v>23</v>
      </c>
      <c r="D2923" t="s">
        <v>24</v>
      </c>
      <c r="E2923" t="s">
        <v>25</v>
      </c>
      <c r="F2923">
        <v>1</v>
      </c>
      <c r="G2923">
        <v>9791175301955</v>
      </c>
      <c r="H2923" t="s">
        <v>26</v>
      </c>
      <c r="I2923" t="s">
        <v>591</v>
      </c>
      <c r="J2923" t="s">
        <v>256</v>
      </c>
      <c r="K2923" t="s">
        <v>29</v>
      </c>
      <c r="L2923">
        <v>0</v>
      </c>
      <c r="M2923" t="s">
        <v>29</v>
      </c>
      <c r="N2923">
        <v>0</v>
      </c>
      <c r="O2923">
        <v>0</v>
      </c>
      <c r="P2923" t="s">
        <v>30</v>
      </c>
      <c r="Q2923" s="2">
        <v>0.7</v>
      </c>
      <c r="R2923">
        <v>0</v>
      </c>
      <c r="V2923" t="str">
        <f>VLOOKUP(H2923,'[1]팀별 출판사'!A:B,2,0)</f>
        <v>소설1팀</v>
      </c>
      <c r="W2923" s="6">
        <f t="shared" si="90"/>
        <v>0</v>
      </c>
      <c r="X2923" s="6">
        <f t="shared" si="91"/>
        <v>0</v>
      </c>
    </row>
    <row r="2924" spans="1:24" x14ac:dyDescent="0.3">
      <c r="A2924" t="s">
        <v>4222</v>
      </c>
      <c r="B2924" t="s">
        <v>4322</v>
      </c>
      <c r="C2924" t="s">
        <v>23</v>
      </c>
      <c r="D2924" t="s">
        <v>24</v>
      </c>
      <c r="E2924" t="s">
        <v>25</v>
      </c>
      <c r="F2924">
        <v>1</v>
      </c>
      <c r="G2924">
        <v>9791136926814</v>
      </c>
      <c r="H2924" t="s">
        <v>26</v>
      </c>
      <c r="I2924" t="s">
        <v>2095</v>
      </c>
      <c r="J2924" t="s">
        <v>62</v>
      </c>
      <c r="K2924" t="s">
        <v>29</v>
      </c>
      <c r="L2924" s="1">
        <v>3200</v>
      </c>
      <c r="M2924" t="s">
        <v>29</v>
      </c>
      <c r="N2924" s="1">
        <v>3200</v>
      </c>
      <c r="O2924" s="1">
        <v>3200</v>
      </c>
      <c r="P2924" t="s">
        <v>30</v>
      </c>
      <c r="Q2924" s="2">
        <v>0.7</v>
      </c>
      <c r="R2924" s="1">
        <v>2240</v>
      </c>
      <c r="S2924" t="s">
        <v>29</v>
      </c>
      <c r="T2924" s="1">
        <v>2240</v>
      </c>
      <c r="V2924" t="str">
        <f>VLOOKUP(H2924,'[1]팀별 출판사'!A:B,2,0)</f>
        <v>소설1팀</v>
      </c>
      <c r="W2924" s="6">
        <f t="shared" si="90"/>
        <v>0</v>
      </c>
      <c r="X2924" s="6">
        <f t="shared" si="91"/>
        <v>2240</v>
      </c>
    </row>
    <row r="2925" spans="1:24" x14ac:dyDescent="0.3">
      <c r="A2925" t="s">
        <v>4222</v>
      </c>
      <c r="B2925" t="s">
        <v>4323</v>
      </c>
      <c r="C2925" t="s">
        <v>23</v>
      </c>
      <c r="D2925" t="s">
        <v>24</v>
      </c>
      <c r="E2925" t="s">
        <v>25</v>
      </c>
      <c r="F2925">
        <v>1</v>
      </c>
      <c r="G2925">
        <v>9791136916655</v>
      </c>
      <c r="H2925" t="s">
        <v>26</v>
      </c>
      <c r="I2925" t="s">
        <v>305</v>
      </c>
      <c r="J2925" t="s">
        <v>62</v>
      </c>
      <c r="K2925" t="s">
        <v>29</v>
      </c>
      <c r="L2925">
        <v>0</v>
      </c>
      <c r="M2925" t="s">
        <v>29</v>
      </c>
      <c r="N2925">
        <v>0</v>
      </c>
      <c r="O2925">
        <v>0</v>
      </c>
      <c r="P2925" t="s">
        <v>30</v>
      </c>
      <c r="Q2925" s="2">
        <v>0.7</v>
      </c>
      <c r="R2925">
        <v>0</v>
      </c>
      <c r="V2925" t="str">
        <f>VLOOKUP(H2925,'[1]팀별 출판사'!A:B,2,0)</f>
        <v>소설1팀</v>
      </c>
      <c r="W2925" s="6">
        <f t="shared" si="90"/>
        <v>0</v>
      </c>
      <c r="X2925" s="6">
        <f t="shared" si="91"/>
        <v>0</v>
      </c>
    </row>
    <row r="2926" spans="1:24" x14ac:dyDescent="0.3">
      <c r="A2926" t="s">
        <v>4222</v>
      </c>
      <c r="B2926" t="s">
        <v>4324</v>
      </c>
      <c r="C2926" t="s">
        <v>23</v>
      </c>
      <c r="D2926" t="s">
        <v>24</v>
      </c>
      <c r="E2926" t="s">
        <v>25</v>
      </c>
      <c r="F2926">
        <v>1</v>
      </c>
      <c r="G2926">
        <v>9791133126316</v>
      </c>
      <c r="H2926" t="s">
        <v>32</v>
      </c>
      <c r="I2926" t="s">
        <v>4325</v>
      </c>
      <c r="J2926" t="s">
        <v>160</v>
      </c>
      <c r="K2926" t="s">
        <v>29</v>
      </c>
      <c r="L2926" s="1">
        <v>3500</v>
      </c>
      <c r="M2926" t="s">
        <v>29</v>
      </c>
      <c r="N2926" s="1">
        <v>3500</v>
      </c>
      <c r="O2926" s="1">
        <v>3500</v>
      </c>
      <c r="P2926" t="s">
        <v>30</v>
      </c>
      <c r="Q2926" s="2">
        <v>0.7</v>
      </c>
      <c r="R2926" s="1">
        <v>2450</v>
      </c>
      <c r="S2926" t="s">
        <v>29</v>
      </c>
      <c r="T2926" s="1">
        <v>2450</v>
      </c>
      <c r="V2926" t="str">
        <f>VLOOKUP(H2926,'[1]팀별 출판사'!A:B,2,0)</f>
        <v>소설1팀</v>
      </c>
      <c r="W2926" s="6">
        <f t="shared" si="90"/>
        <v>0</v>
      </c>
      <c r="X2926" s="6">
        <f t="shared" si="91"/>
        <v>2450</v>
      </c>
    </row>
    <row r="2927" spans="1:24" x14ac:dyDescent="0.3">
      <c r="A2927" t="s">
        <v>4222</v>
      </c>
      <c r="B2927" t="s">
        <v>4326</v>
      </c>
      <c r="C2927" t="s">
        <v>23</v>
      </c>
      <c r="D2927" t="s">
        <v>24</v>
      </c>
      <c r="E2927" t="s">
        <v>25</v>
      </c>
      <c r="F2927">
        <v>1</v>
      </c>
      <c r="G2927">
        <v>9791136946782</v>
      </c>
      <c r="H2927" t="s">
        <v>26</v>
      </c>
      <c r="I2927" t="s">
        <v>291</v>
      </c>
      <c r="J2927" t="s">
        <v>28</v>
      </c>
      <c r="K2927" t="s">
        <v>29</v>
      </c>
      <c r="L2927">
        <v>0</v>
      </c>
      <c r="M2927" t="s">
        <v>29</v>
      </c>
      <c r="N2927">
        <v>0</v>
      </c>
      <c r="O2927">
        <v>0</v>
      </c>
      <c r="P2927" t="s">
        <v>30</v>
      </c>
      <c r="Q2927" s="2">
        <v>0.7</v>
      </c>
      <c r="R2927">
        <v>0</v>
      </c>
      <c r="V2927" t="str">
        <f>VLOOKUP(H2927,'[1]팀별 출판사'!A:B,2,0)</f>
        <v>소설1팀</v>
      </c>
      <c r="W2927" s="6">
        <f t="shared" si="90"/>
        <v>0</v>
      </c>
      <c r="X2927" s="6">
        <f t="shared" si="91"/>
        <v>0</v>
      </c>
    </row>
    <row r="2928" spans="1:24" x14ac:dyDescent="0.3">
      <c r="A2928" t="s">
        <v>4222</v>
      </c>
      <c r="B2928" t="s">
        <v>4327</v>
      </c>
      <c r="C2928" t="s">
        <v>23</v>
      </c>
      <c r="D2928" t="s">
        <v>24</v>
      </c>
      <c r="E2928" t="s">
        <v>25</v>
      </c>
      <c r="F2928">
        <v>1</v>
      </c>
      <c r="G2928" t="s">
        <v>207</v>
      </c>
      <c r="H2928" t="s">
        <v>208</v>
      </c>
      <c r="I2928" t="s">
        <v>4328</v>
      </c>
      <c r="J2928" t="s">
        <v>210</v>
      </c>
      <c r="K2928" t="s">
        <v>29</v>
      </c>
      <c r="L2928" s="1">
        <v>2000</v>
      </c>
      <c r="M2928" t="s">
        <v>29</v>
      </c>
      <c r="N2928" s="1">
        <v>2000</v>
      </c>
      <c r="O2928" s="1">
        <v>2000</v>
      </c>
      <c r="P2928" t="s">
        <v>30</v>
      </c>
      <c r="Q2928" s="2">
        <v>0.7</v>
      </c>
      <c r="R2928" s="1">
        <v>1400</v>
      </c>
      <c r="S2928" t="s">
        <v>29</v>
      </c>
      <c r="T2928" s="1">
        <v>1400</v>
      </c>
      <c r="V2928" t="str">
        <f>VLOOKUP(H2928,'[1]팀별 출판사'!A:B,2,0)</f>
        <v>소설1팀</v>
      </c>
      <c r="W2928" s="6">
        <f t="shared" si="90"/>
        <v>0</v>
      </c>
      <c r="X2928" s="6">
        <f t="shared" si="91"/>
        <v>1400</v>
      </c>
    </row>
    <row r="2929" spans="1:24" x14ac:dyDescent="0.3">
      <c r="A2929" t="s">
        <v>4222</v>
      </c>
      <c r="B2929" t="s">
        <v>4329</v>
      </c>
      <c r="C2929" t="s">
        <v>23</v>
      </c>
      <c r="D2929" t="s">
        <v>24</v>
      </c>
      <c r="E2929" t="s">
        <v>25</v>
      </c>
      <c r="F2929">
        <v>1</v>
      </c>
      <c r="G2929">
        <v>9791136931375</v>
      </c>
      <c r="H2929" t="s">
        <v>32</v>
      </c>
      <c r="I2929" t="s">
        <v>189</v>
      </c>
      <c r="J2929" t="s">
        <v>46</v>
      </c>
      <c r="K2929" t="s">
        <v>29</v>
      </c>
      <c r="L2929">
        <v>0</v>
      </c>
      <c r="M2929" t="s">
        <v>152</v>
      </c>
      <c r="N2929">
        <v>0</v>
      </c>
      <c r="O2929">
        <v>0</v>
      </c>
      <c r="P2929" t="s">
        <v>153</v>
      </c>
      <c r="Q2929" s="2">
        <v>0.7</v>
      </c>
      <c r="R2929">
        <v>0</v>
      </c>
      <c r="V2929" t="str">
        <f>VLOOKUP(H2929,'[1]팀별 출판사'!A:B,2,0)</f>
        <v>소설1팀</v>
      </c>
      <c r="W2929" s="6">
        <f t="shared" si="90"/>
        <v>0</v>
      </c>
      <c r="X2929" s="6">
        <f t="shared" si="91"/>
        <v>0</v>
      </c>
    </row>
    <row r="2930" spans="1:24" x14ac:dyDescent="0.3">
      <c r="A2930" t="s">
        <v>4222</v>
      </c>
      <c r="B2930" t="s">
        <v>4330</v>
      </c>
      <c r="C2930" t="s">
        <v>23</v>
      </c>
      <c r="D2930" t="s">
        <v>24</v>
      </c>
      <c r="E2930" t="s">
        <v>25</v>
      </c>
      <c r="F2930">
        <v>1</v>
      </c>
      <c r="G2930" t="s">
        <v>1720</v>
      </c>
      <c r="H2930" t="s">
        <v>32</v>
      </c>
      <c r="I2930" t="s">
        <v>4331</v>
      </c>
      <c r="J2930" t="s">
        <v>311</v>
      </c>
      <c r="K2930" t="s">
        <v>29</v>
      </c>
      <c r="L2930" s="1">
        <v>3200</v>
      </c>
      <c r="M2930" t="s">
        <v>29</v>
      </c>
      <c r="N2930" s="1">
        <v>3200</v>
      </c>
      <c r="O2930" s="1">
        <v>3200</v>
      </c>
      <c r="P2930" t="s">
        <v>30</v>
      </c>
      <c r="Q2930" s="2">
        <v>0.7</v>
      </c>
      <c r="R2930" s="1">
        <v>2240</v>
      </c>
      <c r="S2930" t="s">
        <v>29</v>
      </c>
      <c r="T2930" s="1">
        <v>2240</v>
      </c>
      <c r="V2930" t="str">
        <f>VLOOKUP(H2930,'[1]팀별 출판사'!A:B,2,0)</f>
        <v>소설1팀</v>
      </c>
      <c r="W2930" s="6">
        <f t="shared" si="90"/>
        <v>0</v>
      </c>
      <c r="X2930" s="6">
        <f t="shared" si="91"/>
        <v>2240</v>
      </c>
    </row>
    <row r="2931" spans="1:24" x14ac:dyDescent="0.3">
      <c r="A2931" t="s">
        <v>4222</v>
      </c>
      <c r="B2931" t="s">
        <v>4332</v>
      </c>
      <c r="C2931" t="s">
        <v>23</v>
      </c>
      <c r="D2931" t="s">
        <v>24</v>
      </c>
      <c r="E2931" t="s">
        <v>25</v>
      </c>
      <c r="F2931">
        <v>1</v>
      </c>
      <c r="G2931">
        <v>9791136931375</v>
      </c>
      <c r="H2931" t="s">
        <v>32</v>
      </c>
      <c r="I2931" t="s">
        <v>189</v>
      </c>
      <c r="J2931" t="s">
        <v>46</v>
      </c>
      <c r="K2931" t="s">
        <v>29</v>
      </c>
      <c r="L2931">
        <v>0</v>
      </c>
      <c r="M2931" t="s">
        <v>152</v>
      </c>
      <c r="N2931">
        <v>0</v>
      </c>
      <c r="O2931">
        <v>0</v>
      </c>
      <c r="P2931" t="s">
        <v>153</v>
      </c>
      <c r="Q2931" s="2">
        <v>0.7</v>
      </c>
      <c r="R2931">
        <v>0</v>
      </c>
      <c r="V2931" t="str">
        <f>VLOOKUP(H2931,'[1]팀별 출판사'!A:B,2,0)</f>
        <v>소설1팀</v>
      </c>
      <c r="W2931" s="6">
        <f t="shared" si="90"/>
        <v>0</v>
      </c>
      <c r="X2931" s="6">
        <f t="shared" si="91"/>
        <v>0</v>
      </c>
    </row>
    <row r="2932" spans="1:24" x14ac:dyDescent="0.3">
      <c r="A2932" t="s">
        <v>4222</v>
      </c>
      <c r="B2932" t="s">
        <v>4333</v>
      </c>
      <c r="C2932" t="s">
        <v>23</v>
      </c>
      <c r="D2932" t="s">
        <v>24</v>
      </c>
      <c r="E2932" t="s">
        <v>25</v>
      </c>
      <c r="F2932">
        <v>1</v>
      </c>
      <c r="G2932">
        <v>9791172920029</v>
      </c>
      <c r="H2932" t="s">
        <v>26</v>
      </c>
      <c r="I2932" t="s">
        <v>369</v>
      </c>
      <c r="J2932" t="s">
        <v>276</v>
      </c>
      <c r="K2932" t="s">
        <v>29</v>
      </c>
      <c r="L2932">
        <v>0</v>
      </c>
      <c r="M2932" t="s">
        <v>29</v>
      </c>
      <c r="N2932">
        <v>0</v>
      </c>
      <c r="O2932">
        <v>0</v>
      </c>
      <c r="P2932" t="s">
        <v>30</v>
      </c>
      <c r="Q2932" s="2">
        <v>0.7</v>
      </c>
      <c r="R2932">
        <v>0</v>
      </c>
      <c r="V2932" t="str">
        <f>VLOOKUP(H2932,'[1]팀별 출판사'!A:B,2,0)</f>
        <v>소설1팀</v>
      </c>
      <c r="W2932" s="6">
        <f t="shared" si="90"/>
        <v>0</v>
      </c>
      <c r="X2932" s="6">
        <f t="shared" si="91"/>
        <v>0</v>
      </c>
    </row>
    <row r="2933" spans="1:24" x14ac:dyDescent="0.3">
      <c r="A2933" t="s">
        <v>4222</v>
      </c>
      <c r="B2933" t="s">
        <v>4334</v>
      </c>
      <c r="C2933" t="s">
        <v>23</v>
      </c>
      <c r="D2933" t="s">
        <v>24</v>
      </c>
      <c r="E2933" t="s">
        <v>25</v>
      </c>
      <c r="F2933">
        <v>1</v>
      </c>
      <c r="G2933">
        <v>9791136941589</v>
      </c>
      <c r="H2933" t="s">
        <v>26</v>
      </c>
      <c r="I2933" t="s">
        <v>275</v>
      </c>
      <c r="J2933" t="s">
        <v>276</v>
      </c>
      <c r="K2933" t="s">
        <v>29</v>
      </c>
      <c r="L2933">
        <v>0</v>
      </c>
      <c r="M2933" t="s">
        <v>29</v>
      </c>
      <c r="N2933">
        <v>0</v>
      </c>
      <c r="O2933">
        <v>0</v>
      </c>
      <c r="P2933" t="s">
        <v>30</v>
      </c>
      <c r="Q2933" s="2">
        <v>0.7</v>
      </c>
      <c r="R2933">
        <v>0</v>
      </c>
      <c r="V2933" t="str">
        <f>VLOOKUP(H2933,'[1]팀별 출판사'!A:B,2,0)</f>
        <v>소설1팀</v>
      </c>
      <c r="W2933" s="6">
        <f t="shared" si="90"/>
        <v>0</v>
      </c>
      <c r="X2933" s="6">
        <f t="shared" si="91"/>
        <v>0</v>
      </c>
    </row>
    <row r="2934" spans="1:24" x14ac:dyDescent="0.3">
      <c r="A2934" t="s">
        <v>4222</v>
      </c>
      <c r="B2934" t="s">
        <v>4335</v>
      </c>
      <c r="C2934" t="s">
        <v>23</v>
      </c>
      <c r="D2934" t="s">
        <v>24</v>
      </c>
      <c r="E2934" t="s">
        <v>25</v>
      </c>
      <c r="F2934">
        <v>1</v>
      </c>
      <c r="G2934">
        <v>9791136931375</v>
      </c>
      <c r="H2934" t="s">
        <v>32</v>
      </c>
      <c r="I2934" t="s">
        <v>189</v>
      </c>
      <c r="J2934" t="s">
        <v>46</v>
      </c>
      <c r="K2934" t="s">
        <v>29</v>
      </c>
      <c r="L2934">
        <v>0</v>
      </c>
      <c r="M2934" t="s">
        <v>152</v>
      </c>
      <c r="N2934">
        <v>0</v>
      </c>
      <c r="O2934">
        <v>0</v>
      </c>
      <c r="P2934" t="s">
        <v>153</v>
      </c>
      <c r="Q2934" s="2">
        <v>0.7</v>
      </c>
      <c r="R2934">
        <v>0</v>
      </c>
      <c r="V2934" t="str">
        <f>VLOOKUP(H2934,'[1]팀별 출판사'!A:B,2,0)</f>
        <v>소설1팀</v>
      </c>
      <c r="W2934" s="6">
        <f t="shared" si="90"/>
        <v>0</v>
      </c>
      <c r="X2934" s="6">
        <f t="shared" si="91"/>
        <v>0</v>
      </c>
    </row>
    <row r="2935" spans="1:24" x14ac:dyDescent="0.3">
      <c r="A2935" t="s">
        <v>4222</v>
      </c>
      <c r="B2935" t="s">
        <v>4336</v>
      </c>
      <c r="C2935" t="s">
        <v>23</v>
      </c>
      <c r="D2935" t="s">
        <v>24</v>
      </c>
      <c r="E2935" t="s">
        <v>25</v>
      </c>
      <c r="F2935">
        <v>1</v>
      </c>
      <c r="G2935">
        <v>9791136988829</v>
      </c>
      <c r="H2935" t="s">
        <v>26</v>
      </c>
      <c r="I2935" t="s">
        <v>4240</v>
      </c>
      <c r="J2935" t="s">
        <v>28</v>
      </c>
      <c r="K2935" t="s">
        <v>29</v>
      </c>
      <c r="L2935" s="1">
        <v>3200</v>
      </c>
      <c r="M2935" t="s">
        <v>29</v>
      </c>
      <c r="N2935" s="1">
        <v>3200</v>
      </c>
      <c r="O2935" s="1">
        <v>3200</v>
      </c>
      <c r="P2935" t="s">
        <v>30</v>
      </c>
      <c r="Q2935" s="2">
        <v>0.7</v>
      </c>
      <c r="R2935" s="1">
        <v>2240</v>
      </c>
      <c r="S2935" t="s">
        <v>29</v>
      </c>
      <c r="T2935" s="1">
        <v>2240</v>
      </c>
      <c r="V2935" t="str">
        <f>VLOOKUP(H2935,'[1]팀별 출판사'!A:B,2,0)</f>
        <v>소설1팀</v>
      </c>
      <c r="W2935" s="6">
        <f t="shared" si="90"/>
        <v>0</v>
      </c>
      <c r="X2935" s="6">
        <f t="shared" si="91"/>
        <v>2240</v>
      </c>
    </row>
    <row r="2936" spans="1:24" x14ac:dyDescent="0.3">
      <c r="A2936" t="s">
        <v>4222</v>
      </c>
      <c r="B2936" t="s">
        <v>4337</v>
      </c>
      <c r="C2936" t="s">
        <v>23</v>
      </c>
      <c r="D2936" t="s">
        <v>24</v>
      </c>
      <c r="E2936" t="s">
        <v>25</v>
      </c>
      <c r="F2936">
        <v>1</v>
      </c>
      <c r="G2936">
        <v>9791170106715</v>
      </c>
      <c r="H2936" t="s">
        <v>67</v>
      </c>
      <c r="I2936" t="s">
        <v>68</v>
      </c>
      <c r="J2936" t="s">
        <v>69</v>
      </c>
      <c r="K2936" t="s">
        <v>29</v>
      </c>
      <c r="L2936">
        <v>0</v>
      </c>
      <c r="M2936" t="s">
        <v>70</v>
      </c>
      <c r="N2936">
        <v>0</v>
      </c>
      <c r="O2936">
        <v>0</v>
      </c>
      <c r="P2936" t="s">
        <v>71</v>
      </c>
      <c r="Q2936" s="2">
        <v>0.7</v>
      </c>
      <c r="R2936">
        <v>0</v>
      </c>
      <c r="V2936" t="str">
        <f>VLOOKUP(H2936,'[1]팀별 출판사'!A:B,2,0)</f>
        <v>소설1팀</v>
      </c>
      <c r="W2936" s="6">
        <f t="shared" si="90"/>
        <v>0</v>
      </c>
      <c r="X2936" s="6">
        <f t="shared" si="91"/>
        <v>0</v>
      </c>
    </row>
    <row r="2937" spans="1:24" x14ac:dyDescent="0.3">
      <c r="A2937" t="s">
        <v>4222</v>
      </c>
      <c r="B2937" t="s">
        <v>4338</v>
      </c>
      <c r="C2937" t="s">
        <v>23</v>
      </c>
      <c r="D2937" t="s">
        <v>24</v>
      </c>
      <c r="E2937" t="s">
        <v>25</v>
      </c>
      <c r="F2937">
        <v>1</v>
      </c>
      <c r="G2937">
        <v>9791194664369</v>
      </c>
      <c r="H2937" t="s">
        <v>79</v>
      </c>
      <c r="I2937" t="s">
        <v>156</v>
      </c>
      <c r="J2937" t="s">
        <v>157</v>
      </c>
      <c r="K2937" t="s">
        <v>29</v>
      </c>
      <c r="L2937">
        <v>0</v>
      </c>
      <c r="M2937" t="s">
        <v>127</v>
      </c>
      <c r="N2937">
        <v>0</v>
      </c>
      <c r="O2937">
        <v>0</v>
      </c>
      <c r="P2937" t="s">
        <v>128</v>
      </c>
      <c r="Q2937" s="2">
        <v>0.7</v>
      </c>
      <c r="R2937">
        <v>0</v>
      </c>
      <c r="V2937" t="str">
        <f>VLOOKUP(H2937,'[1]팀별 출판사'!A:B,2,0)</f>
        <v>소설1팀</v>
      </c>
      <c r="W2937" s="6">
        <f t="shared" si="90"/>
        <v>0</v>
      </c>
      <c r="X2937" s="6">
        <f t="shared" si="91"/>
        <v>0</v>
      </c>
    </row>
    <row r="2938" spans="1:24" x14ac:dyDescent="0.3">
      <c r="A2938" t="s">
        <v>4222</v>
      </c>
      <c r="B2938" t="s">
        <v>4339</v>
      </c>
      <c r="C2938" t="s">
        <v>23</v>
      </c>
      <c r="D2938" t="s">
        <v>24</v>
      </c>
      <c r="E2938" t="s">
        <v>25</v>
      </c>
      <c r="F2938">
        <v>1</v>
      </c>
      <c r="G2938">
        <v>9791157539680</v>
      </c>
      <c r="H2938" t="s">
        <v>32</v>
      </c>
      <c r="I2938" t="s">
        <v>2752</v>
      </c>
      <c r="J2938" t="s">
        <v>88</v>
      </c>
      <c r="K2938" t="s">
        <v>29</v>
      </c>
      <c r="L2938" s="1">
        <v>3200</v>
      </c>
      <c r="M2938" t="s">
        <v>29</v>
      </c>
      <c r="N2938" s="1">
        <v>3200</v>
      </c>
      <c r="O2938" s="1">
        <v>3200</v>
      </c>
      <c r="P2938" t="s">
        <v>30</v>
      </c>
      <c r="Q2938" s="2">
        <v>0.7</v>
      </c>
      <c r="R2938" s="1">
        <v>2240</v>
      </c>
      <c r="S2938" t="s">
        <v>29</v>
      </c>
      <c r="T2938" s="1">
        <v>2240</v>
      </c>
      <c r="V2938" t="str">
        <f>VLOOKUP(H2938,'[1]팀별 출판사'!A:B,2,0)</f>
        <v>소설1팀</v>
      </c>
      <c r="W2938" s="6">
        <f t="shared" si="90"/>
        <v>0</v>
      </c>
      <c r="X2938" s="6">
        <f t="shared" si="91"/>
        <v>2240</v>
      </c>
    </row>
    <row r="2939" spans="1:24" x14ac:dyDescent="0.3">
      <c r="A2939" t="s">
        <v>4222</v>
      </c>
      <c r="B2939" t="s">
        <v>4340</v>
      </c>
      <c r="C2939" t="s">
        <v>23</v>
      </c>
      <c r="D2939" t="s">
        <v>24</v>
      </c>
      <c r="E2939" t="s">
        <v>25</v>
      </c>
      <c r="F2939">
        <v>1</v>
      </c>
      <c r="G2939">
        <v>9791157533503</v>
      </c>
      <c r="H2939" t="s">
        <v>32</v>
      </c>
      <c r="I2939" t="s">
        <v>383</v>
      </c>
      <c r="J2939" t="s">
        <v>187</v>
      </c>
      <c r="K2939" t="s">
        <v>29</v>
      </c>
      <c r="L2939">
        <v>0</v>
      </c>
      <c r="M2939" t="s">
        <v>29</v>
      </c>
      <c r="N2939">
        <v>0</v>
      </c>
      <c r="O2939">
        <v>0</v>
      </c>
      <c r="P2939" t="s">
        <v>30</v>
      </c>
      <c r="Q2939" s="2">
        <v>0.7</v>
      </c>
      <c r="R2939">
        <v>0</v>
      </c>
      <c r="V2939" t="str">
        <f>VLOOKUP(H2939,'[1]팀별 출판사'!A:B,2,0)</f>
        <v>소설1팀</v>
      </c>
      <c r="W2939" s="6">
        <f t="shared" si="90"/>
        <v>0</v>
      </c>
      <c r="X2939" s="6">
        <f t="shared" si="91"/>
        <v>0</v>
      </c>
    </row>
    <row r="2940" spans="1:24" x14ac:dyDescent="0.3">
      <c r="A2940" t="s">
        <v>4222</v>
      </c>
      <c r="B2940" t="s">
        <v>4341</v>
      </c>
      <c r="C2940" t="s">
        <v>23</v>
      </c>
      <c r="D2940" t="s">
        <v>24</v>
      </c>
      <c r="E2940" t="s">
        <v>25</v>
      </c>
      <c r="F2940">
        <v>1</v>
      </c>
      <c r="G2940">
        <v>9791136934925</v>
      </c>
      <c r="H2940" t="s">
        <v>32</v>
      </c>
      <c r="I2940" t="s">
        <v>385</v>
      </c>
      <c r="J2940" t="s">
        <v>126</v>
      </c>
      <c r="K2940" t="s">
        <v>29</v>
      </c>
      <c r="L2940">
        <v>0</v>
      </c>
      <c r="M2940" t="s">
        <v>127</v>
      </c>
      <c r="N2940">
        <v>0</v>
      </c>
      <c r="O2940">
        <v>0</v>
      </c>
      <c r="P2940" t="s">
        <v>128</v>
      </c>
      <c r="Q2940" s="2">
        <v>0.7</v>
      </c>
      <c r="R2940">
        <v>0</v>
      </c>
      <c r="V2940" t="str">
        <f>VLOOKUP(H2940,'[1]팀별 출판사'!A:B,2,0)</f>
        <v>소설1팀</v>
      </c>
      <c r="W2940" s="6">
        <f t="shared" si="90"/>
        <v>0</v>
      </c>
      <c r="X2940" s="6">
        <f t="shared" si="91"/>
        <v>0</v>
      </c>
    </row>
    <row r="2941" spans="1:24" x14ac:dyDescent="0.3">
      <c r="A2941" t="s">
        <v>4222</v>
      </c>
      <c r="B2941" t="s">
        <v>4342</v>
      </c>
      <c r="C2941" t="s">
        <v>23</v>
      </c>
      <c r="D2941" t="s">
        <v>24</v>
      </c>
      <c r="E2941" t="s">
        <v>25</v>
      </c>
      <c r="F2941">
        <v>1</v>
      </c>
      <c r="G2941">
        <v>9791170103226</v>
      </c>
      <c r="H2941" t="s">
        <v>67</v>
      </c>
      <c r="I2941" t="s">
        <v>698</v>
      </c>
      <c r="J2941" t="s">
        <v>399</v>
      </c>
      <c r="K2941" t="s">
        <v>29</v>
      </c>
      <c r="L2941">
        <v>0</v>
      </c>
      <c r="M2941" t="s">
        <v>29</v>
      </c>
      <c r="N2941">
        <v>0</v>
      </c>
      <c r="O2941">
        <v>0</v>
      </c>
      <c r="P2941" t="s">
        <v>30</v>
      </c>
      <c r="Q2941" s="2">
        <v>0.7</v>
      </c>
      <c r="R2941">
        <v>0</v>
      </c>
      <c r="V2941" t="str">
        <f>VLOOKUP(H2941,'[1]팀별 출판사'!A:B,2,0)</f>
        <v>소설1팀</v>
      </c>
      <c r="W2941" s="6">
        <f t="shared" si="90"/>
        <v>0</v>
      </c>
      <c r="X2941" s="6">
        <f t="shared" si="91"/>
        <v>0</v>
      </c>
    </row>
    <row r="2942" spans="1:24" x14ac:dyDescent="0.3">
      <c r="A2942" t="s">
        <v>4222</v>
      </c>
      <c r="B2942" t="s">
        <v>4343</v>
      </c>
      <c r="C2942" t="s">
        <v>23</v>
      </c>
      <c r="D2942" t="s">
        <v>24</v>
      </c>
      <c r="E2942" t="s">
        <v>25</v>
      </c>
      <c r="F2942">
        <v>1</v>
      </c>
      <c r="G2942">
        <v>9791136930224</v>
      </c>
      <c r="H2942" t="s">
        <v>32</v>
      </c>
      <c r="I2942" t="s">
        <v>172</v>
      </c>
      <c r="J2942" t="s">
        <v>46</v>
      </c>
      <c r="K2942" t="s">
        <v>29</v>
      </c>
      <c r="L2942">
        <v>0</v>
      </c>
      <c r="M2942" t="s">
        <v>29</v>
      </c>
      <c r="N2942">
        <v>0</v>
      </c>
      <c r="O2942">
        <v>0</v>
      </c>
      <c r="P2942" t="s">
        <v>30</v>
      </c>
      <c r="Q2942" s="2">
        <v>0.7</v>
      </c>
      <c r="R2942">
        <v>0</v>
      </c>
      <c r="V2942" t="str">
        <f>VLOOKUP(H2942,'[1]팀별 출판사'!A:B,2,0)</f>
        <v>소설1팀</v>
      </c>
      <c r="W2942" s="6">
        <f t="shared" si="90"/>
        <v>0</v>
      </c>
      <c r="X2942" s="6">
        <f t="shared" si="91"/>
        <v>0</v>
      </c>
    </row>
    <row r="2943" spans="1:24" x14ac:dyDescent="0.3">
      <c r="A2943" t="s">
        <v>4222</v>
      </c>
      <c r="B2943" t="s">
        <v>4344</v>
      </c>
      <c r="C2943" t="s">
        <v>23</v>
      </c>
      <c r="D2943" t="s">
        <v>24</v>
      </c>
      <c r="E2943" t="s">
        <v>25</v>
      </c>
      <c r="F2943">
        <v>1</v>
      </c>
      <c r="G2943">
        <v>9791133188291</v>
      </c>
      <c r="H2943" t="s">
        <v>26</v>
      </c>
      <c r="I2943" t="s">
        <v>4345</v>
      </c>
      <c r="J2943" t="s">
        <v>743</v>
      </c>
      <c r="K2943" t="s">
        <v>29</v>
      </c>
      <c r="L2943" s="1">
        <v>2500</v>
      </c>
      <c r="M2943" t="s">
        <v>29</v>
      </c>
      <c r="N2943" s="1">
        <v>2500</v>
      </c>
      <c r="O2943" s="1">
        <v>2500</v>
      </c>
      <c r="P2943" t="s">
        <v>30</v>
      </c>
      <c r="Q2943" s="2">
        <v>0.7</v>
      </c>
      <c r="R2943" s="1">
        <v>1750</v>
      </c>
      <c r="S2943" t="s">
        <v>29</v>
      </c>
      <c r="T2943" s="1">
        <v>1750</v>
      </c>
      <c r="V2943" t="str">
        <f>VLOOKUP(H2943,'[1]팀별 출판사'!A:B,2,0)</f>
        <v>소설1팀</v>
      </c>
      <c r="W2943" s="6">
        <f t="shared" si="90"/>
        <v>0</v>
      </c>
      <c r="X2943" s="6">
        <f t="shared" si="91"/>
        <v>1750</v>
      </c>
    </row>
    <row r="2944" spans="1:24" x14ac:dyDescent="0.3">
      <c r="A2944" t="s">
        <v>4222</v>
      </c>
      <c r="B2944" t="s">
        <v>4346</v>
      </c>
      <c r="C2944" t="s">
        <v>23</v>
      </c>
      <c r="D2944" t="s">
        <v>24</v>
      </c>
      <c r="E2944" t="s">
        <v>25</v>
      </c>
      <c r="F2944">
        <v>1</v>
      </c>
      <c r="G2944">
        <v>9791133171347</v>
      </c>
      <c r="H2944" t="s">
        <v>26</v>
      </c>
      <c r="I2944" t="s">
        <v>2303</v>
      </c>
      <c r="J2944" t="s">
        <v>51</v>
      </c>
      <c r="K2944" t="s">
        <v>29</v>
      </c>
      <c r="L2944">
        <v>0</v>
      </c>
      <c r="M2944" t="s">
        <v>29</v>
      </c>
      <c r="N2944">
        <v>0</v>
      </c>
      <c r="O2944">
        <v>0</v>
      </c>
      <c r="P2944" t="s">
        <v>30</v>
      </c>
      <c r="Q2944" s="2">
        <v>0.7</v>
      </c>
      <c r="R2944">
        <v>0</v>
      </c>
      <c r="V2944" t="str">
        <f>VLOOKUP(H2944,'[1]팀별 출판사'!A:B,2,0)</f>
        <v>소설1팀</v>
      </c>
      <c r="W2944" s="6">
        <f t="shared" si="90"/>
        <v>0</v>
      </c>
      <c r="X2944" s="6">
        <f t="shared" si="91"/>
        <v>0</v>
      </c>
    </row>
    <row r="2945" spans="1:24" x14ac:dyDescent="0.3">
      <c r="A2945" t="s">
        <v>4222</v>
      </c>
      <c r="B2945" t="s">
        <v>4347</v>
      </c>
      <c r="C2945" t="s">
        <v>23</v>
      </c>
      <c r="D2945" t="s">
        <v>24</v>
      </c>
      <c r="E2945" t="s">
        <v>25</v>
      </c>
      <c r="F2945">
        <v>1</v>
      </c>
      <c r="G2945">
        <v>9791136942906</v>
      </c>
      <c r="H2945" t="s">
        <v>26</v>
      </c>
      <c r="I2945" t="s">
        <v>2900</v>
      </c>
      <c r="J2945" t="s">
        <v>284</v>
      </c>
      <c r="K2945" t="s">
        <v>29</v>
      </c>
      <c r="L2945">
        <v>0</v>
      </c>
      <c r="M2945" t="s">
        <v>29</v>
      </c>
      <c r="N2945">
        <v>0</v>
      </c>
      <c r="O2945">
        <v>0</v>
      </c>
      <c r="P2945" t="s">
        <v>30</v>
      </c>
      <c r="Q2945" s="2">
        <v>0.7</v>
      </c>
      <c r="R2945">
        <v>0</v>
      </c>
      <c r="V2945" t="str">
        <f>VLOOKUP(H2945,'[1]팀별 출판사'!A:B,2,0)</f>
        <v>소설1팀</v>
      </c>
      <c r="W2945" s="6">
        <f t="shared" si="90"/>
        <v>0</v>
      </c>
      <c r="X2945" s="6">
        <f t="shared" si="91"/>
        <v>0</v>
      </c>
    </row>
    <row r="2946" spans="1:24" x14ac:dyDescent="0.3">
      <c r="A2946" t="s">
        <v>4222</v>
      </c>
      <c r="B2946" t="s">
        <v>4348</v>
      </c>
      <c r="C2946" t="s">
        <v>23</v>
      </c>
      <c r="D2946" t="s">
        <v>24</v>
      </c>
      <c r="E2946" t="s">
        <v>25</v>
      </c>
      <c r="F2946">
        <v>1</v>
      </c>
      <c r="G2946">
        <v>9791170100638</v>
      </c>
      <c r="H2946" t="s">
        <v>67</v>
      </c>
      <c r="I2946" t="s">
        <v>1342</v>
      </c>
      <c r="J2946" t="s">
        <v>1343</v>
      </c>
      <c r="K2946" t="s">
        <v>29</v>
      </c>
      <c r="L2946">
        <v>0</v>
      </c>
      <c r="M2946" t="s">
        <v>29</v>
      </c>
      <c r="N2946">
        <v>0</v>
      </c>
      <c r="O2946">
        <v>0</v>
      </c>
      <c r="P2946" t="s">
        <v>30</v>
      </c>
      <c r="Q2946" s="2">
        <v>0.7</v>
      </c>
      <c r="R2946">
        <v>0</v>
      </c>
      <c r="V2946" t="str">
        <f>VLOOKUP(H2946,'[1]팀별 출판사'!A:B,2,0)</f>
        <v>소설1팀</v>
      </c>
      <c r="W2946" s="6">
        <f t="shared" ref="W2946:W3009" si="92">IF(P2946="US", T2946*30%, 0)</f>
        <v>0</v>
      </c>
      <c r="X2946" s="6">
        <f t="shared" ref="X2946:X3009" si="93">T2946-W2946</f>
        <v>0</v>
      </c>
    </row>
    <row r="2947" spans="1:24" x14ac:dyDescent="0.3">
      <c r="A2947" t="s">
        <v>4222</v>
      </c>
      <c r="B2947" t="s">
        <v>4349</v>
      </c>
      <c r="C2947" t="s">
        <v>23</v>
      </c>
      <c r="D2947" t="s">
        <v>24</v>
      </c>
      <c r="E2947" t="s">
        <v>25</v>
      </c>
      <c r="F2947">
        <v>1</v>
      </c>
      <c r="G2947">
        <v>9791136946782</v>
      </c>
      <c r="H2947" t="s">
        <v>26</v>
      </c>
      <c r="I2947" t="s">
        <v>291</v>
      </c>
      <c r="J2947" t="s">
        <v>28</v>
      </c>
      <c r="K2947" t="s">
        <v>29</v>
      </c>
      <c r="L2947">
        <v>0</v>
      </c>
      <c r="M2947" t="s">
        <v>29</v>
      </c>
      <c r="N2947">
        <v>0</v>
      </c>
      <c r="O2947">
        <v>0</v>
      </c>
      <c r="P2947" t="s">
        <v>30</v>
      </c>
      <c r="Q2947" s="2">
        <v>0.7</v>
      </c>
      <c r="R2947">
        <v>0</v>
      </c>
      <c r="V2947" t="str">
        <f>VLOOKUP(H2947,'[1]팀별 출판사'!A:B,2,0)</f>
        <v>소설1팀</v>
      </c>
      <c r="W2947" s="6">
        <f t="shared" si="92"/>
        <v>0</v>
      </c>
      <c r="X2947" s="6">
        <f t="shared" si="93"/>
        <v>0</v>
      </c>
    </row>
    <row r="2948" spans="1:24" x14ac:dyDescent="0.3">
      <c r="A2948" t="s">
        <v>4222</v>
      </c>
      <c r="B2948" t="s">
        <v>4350</v>
      </c>
      <c r="C2948" t="s">
        <v>23</v>
      </c>
      <c r="D2948" t="s">
        <v>24</v>
      </c>
      <c r="E2948" t="s">
        <v>25</v>
      </c>
      <c r="F2948">
        <v>1</v>
      </c>
      <c r="G2948">
        <v>9791170103479</v>
      </c>
      <c r="H2948" t="s">
        <v>67</v>
      </c>
      <c r="I2948" t="s">
        <v>2927</v>
      </c>
      <c r="J2948" t="s">
        <v>2928</v>
      </c>
      <c r="K2948" t="s">
        <v>29</v>
      </c>
      <c r="L2948">
        <v>0</v>
      </c>
      <c r="M2948" t="s">
        <v>29</v>
      </c>
      <c r="N2948">
        <v>0</v>
      </c>
      <c r="O2948">
        <v>0</v>
      </c>
      <c r="P2948" t="s">
        <v>30</v>
      </c>
      <c r="Q2948" s="2">
        <v>0.7</v>
      </c>
      <c r="R2948">
        <v>0</v>
      </c>
      <c r="V2948" t="str">
        <f>VLOOKUP(H2948,'[1]팀별 출판사'!A:B,2,0)</f>
        <v>소설1팀</v>
      </c>
      <c r="W2948" s="6">
        <f t="shared" si="92"/>
        <v>0</v>
      </c>
      <c r="X2948" s="6">
        <f t="shared" si="93"/>
        <v>0</v>
      </c>
    </row>
    <row r="2949" spans="1:24" x14ac:dyDescent="0.3">
      <c r="A2949" t="s">
        <v>4222</v>
      </c>
      <c r="B2949" t="s">
        <v>4351</v>
      </c>
      <c r="C2949" t="s">
        <v>23</v>
      </c>
      <c r="D2949" t="s">
        <v>24</v>
      </c>
      <c r="E2949" t="s">
        <v>25</v>
      </c>
      <c r="F2949">
        <v>1</v>
      </c>
      <c r="G2949">
        <v>9791133184552</v>
      </c>
      <c r="H2949" t="s">
        <v>26</v>
      </c>
      <c r="I2949" t="s">
        <v>4352</v>
      </c>
      <c r="J2949" t="s">
        <v>284</v>
      </c>
      <c r="K2949" t="s">
        <v>29</v>
      </c>
      <c r="L2949" s="1">
        <v>3200</v>
      </c>
      <c r="M2949" t="s">
        <v>29</v>
      </c>
      <c r="N2949" s="1">
        <v>3200</v>
      </c>
      <c r="O2949" s="1">
        <v>3200</v>
      </c>
      <c r="P2949" t="s">
        <v>30</v>
      </c>
      <c r="Q2949" s="2">
        <v>0.7</v>
      </c>
      <c r="R2949" s="1">
        <v>2240</v>
      </c>
      <c r="S2949" t="s">
        <v>29</v>
      </c>
      <c r="T2949" s="1">
        <v>2240</v>
      </c>
      <c r="V2949" t="str">
        <f>VLOOKUP(H2949,'[1]팀별 출판사'!A:B,2,0)</f>
        <v>소설1팀</v>
      </c>
      <c r="W2949" s="6">
        <f t="shared" si="92"/>
        <v>0</v>
      </c>
      <c r="X2949" s="6">
        <f t="shared" si="93"/>
        <v>2240</v>
      </c>
    </row>
    <row r="2950" spans="1:24" x14ac:dyDescent="0.3">
      <c r="A2950" t="s">
        <v>4222</v>
      </c>
      <c r="B2950" t="s">
        <v>4353</v>
      </c>
      <c r="C2950" t="s">
        <v>23</v>
      </c>
      <c r="D2950" t="s">
        <v>24</v>
      </c>
      <c r="E2950" t="s">
        <v>25</v>
      </c>
      <c r="F2950">
        <v>1</v>
      </c>
      <c r="G2950">
        <v>9791136931375</v>
      </c>
      <c r="H2950" t="s">
        <v>32</v>
      </c>
      <c r="I2950" t="s">
        <v>189</v>
      </c>
      <c r="J2950" t="s">
        <v>46</v>
      </c>
      <c r="K2950" t="s">
        <v>29</v>
      </c>
      <c r="L2950">
        <v>0</v>
      </c>
      <c r="M2950" t="s">
        <v>152</v>
      </c>
      <c r="N2950">
        <v>0</v>
      </c>
      <c r="O2950">
        <v>0</v>
      </c>
      <c r="P2950" t="s">
        <v>153</v>
      </c>
      <c r="Q2950" s="2">
        <v>0.7</v>
      </c>
      <c r="R2950">
        <v>0</v>
      </c>
      <c r="V2950" t="str">
        <f>VLOOKUP(H2950,'[1]팀별 출판사'!A:B,2,0)</f>
        <v>소설1팀</v>
      </c>
      <c r="W2950" s="6">
        <f t="shared" si="92"/>
        <v>0</v>
      </c>
      <c r="X2950" s="6">
        <f t="shared" si="93"/>
        <v>0</v>
      </c>
    </row>
    <row r="2951" spans="1:24" x14ac:dyDescent="0.3">
      <c r="A2951" t="s">
        <v>4222</v>
      </c>
      <c r="B2951" t="s">
        <v>4354</v>
      </c>
      <c r="C2951" t="s">
        <v>23</v>
      </c>
      <c r="D2951" t="s">
        <v>24</v>
      </c>
      <c r="E2951" t="s">
        <v>25</v>
      </c>
      <c r="F2951">
        <v>1</v>
      </c>
      <c r="G2951">
        <v>9791136928887</v>
      </c>
      <c r="H2951" t="s">
        <v>26</v>
      </c>
      <c r="I2951" t="s">
        <v>3166</v>
      </c>
      <c r="J2951" t="s">
        <v>62</v>
      </c>
      <c r="K2951" t="s">
        <v>29</v>
      </c>
      <c r="L2951" s="1">
        <v>3200</v>
      </c>
      <c r="M2951" t="s">
        <v>29</v>
      </c>
      <c r="N2951" s="1">
        <v>3200</v>
      </c>
      <c r="O2951" s="1">
        <v>3200</v>
      </c>
      <c r="P2951" t="s">
        <v>30</v>
      </c>
      <c r="Q2951" s="2">
        <v>0.7</v>
      </c>
      <c r="R2951" s="1">
        <v>2240</v>
      </c>
      <c r="S2951" t="s">
        <v>29</v>
      </c>
      <c r="T2951" s="1">
        <v>2240</v>
      </c>
      <c r="V2951" t="str">
        <f>VLOOKUP(H2951,'[1]팀별 출판사'!A:B,2,0)</f>
        <v>소설1팀</v>
      </c>
      <c r="W2951" s="6">
        <f t="shared" si="92"/>
        <v>0</v>
      </c>
      <c r="X2951" s="6">
        <f t="shared" si="93"/>
        <v>2240</v>
      </c>
    </row>
    <row r="2952" spans="1:24" x14ac:dyDescent="0.3">
      <c r="A2952" t="s">
        <v>4222</v>
      </c>
      <c r="B2952" t="s">
        <v>4355</v>
      </c>
      <c r="C2952" t="s">
        <v>23</v>
      </c>
      <c r="D2952" t="s">
        <v>24</v>
      </c>
      <c r="E2952" t="s">
        <v>25</v>
      </c>
      <c r="F2952">
        <v>1</v>
      </c>
      <c r="G2952">
        <v>9791136988836</v>
      </c>
      <c r="H2952" t="s">
        <v>26</v>
      </c>
      <c r="I2952" t="s">
        <v>4241</v>
      </c>
      <c r="J2952" t="s">
        <v>28</v>
      </c>
      <c r="K2952" t="s">
        <v>29</v>
      </c>
      <c r="L2952" s="1">
        <v>3200</v>
      </c>
      <c r="M2952" t="s">
        <v>29</v>
      </c>
      <c r="N2952" s="1">
        <v>3200</v>
      </c>
      <c r="O2952" s="1">
        <v>3200</v>
      </c>
      <c r="P2952" t="s">
        <v>30</v>
      </c>
      <c r="Q2952" s="2">
        <v>0.7</v>
      </c>
      <c r="R2952" s="1">
        <v>2240</v>
      </c>
      <c r="S2952" t="s">
        <v>29</v>
      </c>
      <c r="T2952" s="1">
        <v>2240</v>
      </c>
      <c r="V2952" t="str">
        <f>VLOOKUP(H2952,'[1]팀별 출판사'!A:B,2,0)</f>
        <v>소설1팀</v>
      </c>
      <c r="W2952" s="6">
        <f t="shared" si="92"/>
        <v>0</v>
      </c>
      <c r="X2952" s="6">
        <f t="shared" si="93"/>
        <v>2240</v>
      </c>
    </row>
    <row r="2953" spans="1:24" x14ac:dyDescent="0.3">
      <c r="A2953" t="s">
        <v>4222</v>
      </c>
      <c r="B2953" t="s">
        <v>4356</v>
      </c>
      <c r="C2953" t="s">
        <v>23</v>
      </c>
      <c r="D2953" t="s">
        <v>24</v>
      </c>
      <c r="E2953" t="s">
        <v>25</v>
      </c>
      <c r="F2953">
        <v>1</v>
      </c>
      <c r="G2953">
        <v>9791136931399</v>
      </c>
      <c r="H2953" t="s">
        <v>32</v>
      </c>
      <c r="I2953" t="s">
        <v>482</v>
      </c>
      <c r="J2953" t="s">
        <v>46</v>
      </c>
      <c r="K2953" t="s">
        <v>29</v>
      </c>
      <c r="L2953">
        <v>0</v>
      </c>
      <c r="M2953" t="s">
        <v>47</v>
      </c>
      <c r="N2953">
        <v>0</v>
      </c>
      <c r="O2953">
        <v>0</v>
      </c>
      <c r="P2953" t="s">
        <v>48</v>
      </c>
      <c r="Q2953" s="2">
        <v>0.7</v>
      </c>
      <c r="R2953">
        <v>0</v>
      </c>
      <c r="V2953" t="str">
        <f>VLOOKUP(H2953,'[1]팀별 출판사'!A:B,2,0)</f>
        <v>소설1팀</v>
      </c>
      <c r="W2953" s="6">
        <f t="shared" si="92"/>
        <v>0</v>
      </c>
      <c r="X2953" s="6">
        <f t="shared" si="93"/>
        <v>0</v>
      </c>
    </row>
    <row r="2954" spans="1:24" x14ac:dyDescent="0.3">
      <c r="A2954" t="s">
        <v>4222</v>
      </c>
      <c r="B2954" t="s">
        <v>4357</v>
      </c>
      <c r="C2954" t="s">
        <v>23</v>
      </c>
      <c r="D2954" t="s">
        <v>24</v>
      </c>
      <c r="E2954" t="s">
        <v>25</v>
      </c>
      <c r="F2954">
        <v>1</v>
      </c>
      <c r="G2954" t="s">
        <v>2867</v>
      </c>
      <c r="H2954" t="s">
        <v>32</v>
      </c>
      <c r="I2954" t="s">
        <v>2868</v>
      </c>
      <c r="J2954" t="s">
        <v>166</v>
      </c>
      <c r="K2954" t="s">
        <v>29</v>
      </c>
      <c r="L2954">
        <v>0</v>
      </c>
      <c r="M2954" t="s">
        <v>29</v>
      </c>
      <c r="N2954">
        <v>0</v>
      </c>
      <c r="O2954">
        <v>0</v>
      </c>
      <c r="P2954" t="s">
        <v>30</v>
      </c>
      <c r="Q2954" s="2">
        <v>0.7</v>
      </c>
      <c r="R2954">
        <v>0</v>
      </c>
      <c r="V2954" t="str">
        <f>VLOOKUP(H2954,'[1]팀별 출판사'!A:B,2,0)</f>
        <v>소설1팀</v>
      </c>
      <c r="W2954" s="6">
        <f t="shared" si="92"/>
        <v>0</v>
      </c>
      <c r="X2954" s="6">
        <f t="shared" si="93"/>
        <v>0</v>
      </c>
    </row>
    <row r="2955" spans="1:24" x14ac:dyDescent="0.3">
      <c r="A2955" t="s">
        <v>4222</v>
      </c>
      <c r="B2955" t="s">
        <v>4358</v>
      </c>
      <c r="C2955" t="s">
        <v>23</v>
      </c>
      <c r="D2955" t="s">
        <v>24</v>
      </c>
      <c r="E2955" t="s">
        <v>25</v>
      </c>
      <c r="F2955">
        <v>1</v>
      </c>
      <c r="G2955">
        <v>9791136928443</v>
      </c>
      <c r="H2955" t="s">
        <v>26</v>
      </c>
      <c r="I2955" t="s">
        <v>2933</v>
      </c>
      <c r="J2955" t="s">
        <v>1348</v>
      </c>
      <c r="K2955" t="s">
        <v>29</v>
      </c>
      <c r="L2955">
        <v>0</v>
      </c>
      <c r="M2955" t="s">
        <v>29</v>
      </c>
      <c r="N2955">
        <v>0</v>
      </c>
      <c r="O2955">
        <v>0</v>
      </c>
      <c r="P2955" t="s">
        <v>30</v>
      </c>
      <c r="Q2955" s="2">
        <v>0.7</v>
      </c>
      <c r="R2955">
        <v>0</v>
      </c>
      <c r="V2955" t="str">
        <f>VLOOKUP(H2955,'[1]팀별 출판사'!A:B,2,0)</f>
        <v>소설1팀</v>
      </c>
      <c r="W2955" s="6">
        <f t="shared" si="92"/>
        <v>0</v>
      </c>
      <c r="X2955" s="6">
        <f t="shared" si="93"/>
        <v>0</v>
      </c>
    </row>
    <row r="2956" spans="1:24" x14ac:dyDescent="0.3">
      <c r="A2956" t="s">
        <v>4222</v>
      </c>
      <c r="B2956" t="s">
        <v>4359</v>
      </c>
      <c r="C2956" t="s">
        <v>23</v>
      </c>
      <c r="D2956" t="s">
        <v>24</v>
      </c>
      <c r="E2956" t="s">
        <v>25</v>
      </c>
      <c r="F2956">
        <v>1</v>
      </c>
      <c r="G2956">
        <v>9791136934055</v>
      </c>
      <c r="H2956" t="s">
        <v>26</v>
      </c>
      <c r="I2956" t="s">
        <v>1971</v>
      </c>
      <c r="J2956" t="s">
        <v>1348</v>
      </c>
      <c r="K2956" t="s">
        <v>29</v>
      </c>
      <c r="L2956">
        <v>0</v>
      </c>
      <c r="M2956" t="s">
        <v>29</v>
      </c>
      <c r="N2956">
        <v>0</v>
      </c>
      <c r="O2956">
        <v>0</v>
      </c>
      <c r="P2956" t="s">
        <v>30</v>
      </c>
      <c r="Q2956" s="2">
        <v>0.7</v>
      </c>
      <c r="R2956">
        <v>0</v>
      </c>
      <c r="V2956" t="str">
        <f>VLOOKUP(H2956,'[1]팀별 출판사'!A:B,2,0)</f>
        <v>소설1팀</v>
      </c>
      <c r="W2956" s="6">
        <f t="shared" si="92"/>
        <v>0</v>
      </c>
      <c r="X2956" s="6">
        <f t="shared" si="93"/>
        <v>0</v>
      </c>
    </row>
    <row r="2957" spans="1:24" x14ac:dyDescent="0.3">
      <c r="A2957" t="s">
        <v>4222</v>
      </c>
      <c r="B2957" t="s">
        <v>4360</v>
      </c>
      <c r="C2957" t="s">
        <v>23</v>
      </c>
      <c r="D2957" t="s">
        <v>24</v>
      </c>
      <c r="E2957" t="s">
        <v>25</v>
      </c>
      <c r="F2957">
        <v>1</v>
      </c>
      <c r="G2957">
        <v>9791136907103</v>
      </c>
      <c r="H2957" t="s">
        <v>26</v>
      </c>
      <c r="I2957" t="s">
        <v>4361</v>
      </c>
      <c r="J2957" t="s">
        <v>1348</v>
      </c>
      <c r="K2957" t="s">
        <v>29</v>
      </c>
      <c r="L2957">
        <v>0</v>
      </c>
      <c r="M2957" t="s">
        <v>29</v>
      </c>
      <c r="N2957">
        <v>0</v>
      </c>
      <c r="O2957">
        <v>0</v>
      </c>
      <c r="P2957" t="s">
        <v>30</v>
      </c>
      <c r="Q2957" s="2">
        <v>0.7</v>
      </c>
      <c r="R2957">
        <v>0</v>
      </c>
      <c r="V2957" t="str">
        <f>VLOOKUP(H2957,'[1]팀별 출판사'!A:B,2,0)</f>
        <v>소설1팀</v>
      </c>
      <c r="W2957" s="6">
        <f t="shared" si="92"/>
        <v>0</v>
      </c>
      <c r="X2957" s="6">
        <f t="shared" si="93"/>
        <v>0</v>
      </c>
    </row>
    <row r="2958" spans="1:24" x14ac:dyDescent="0.3">
      <c r="A2958" t="s">
        <v>4222</v>
      </c>
      <c r="B2958" t="s">
        <v>4362</v>
      </c>
      <c r="C2958" t="s">
        <v>23</v>
      </c>
      <c r="D2958" t="s">
        <v>24</v>
      </c>
      <c r="E2958" t="s">
        <v>25</v>
      </c>
      <c r="F2958">
        <v>1</v>
      </c>
      <c r="G2958">
        <v>9791133188796</v>
      </c>
      <c r="H2958" t="s">
        <v>26</v>
      </c>
      <c r="I2958" t="s">
        <v>4363</v>
      </c>
      <c r="J2958" t="s">
        <v>3381</v>
      </c>
      <c r="K2958" t="s">
        <v>29</v>
      </c>
      <c r="L2958">
        <v>0</v>
      </c>
      <c r="M2958" t="s">
        <v>29</v>
      </c>
      <c r="N2958">
        <v>0</v>
      </c>
      <c r="O2958">
        <v>0</v>
      </c>
      <c r="P2958" t="s">
        <v>30</v>
      </c>
      <c r="Q2958" s="2">
        <v>0.7</v>
      </c>
      <c r="R2958">
        <v>0</v>
      </c>
      <c r="V2958" t="str">
        <f>VLOOKUP(H2958,'[1]팀별 출판사'!A:B,2,0)</f>
        <v>소설1팀</v>
      </c>
      <c r="W2958" s="6">
        <f t="shared" si="92"/>
        <v>0</v>
      </c>
      <c r="X2958" s="6">
        <f t="shared" si="93"/>
        <v>0</v>
      </c>
    </row>
    <row r="2959" spans="1:24" x14ac:dyDescent="0.3">
      <c r="A2959" t="s">
        <v>4222</v>
      </c>
      <c r="B2959" t="s">
        <v>4364</v>
      </c>
      <c r="C2959" t="s">
        <v>23</v>
      </c>
      <c r="D2959" t="s">
        <v>24</v>
      </c>
      <c r="E2959" t="s">
        <v>25</v>
      </c>
      <c r="F2959">
        <v>1</v>
      </c>
      <c r="G2959">
        <v>9791136988966</v>
      </c>
      <c r="H2959" t="s">
        <v>26</v>
      </c>
      <c r="I2959" t="s">
        <v>4242</v>
      </c>
      <c r="J2959" t="s">
        <v>28</v>
      </c>
      <c r="K2959" t="s">
        <v>29</v>
      </c>
      <c r="L2959" s="1">
        <v>3200</v>
      </c>
      <c r="M2959" t="s">
        <v>29</v>
      </c>
      <c r="N2959" s="1">
        <v>3200</v>
      </c>
      <c r="O2959" s="1">
        <v>3200</v>
      </c>
      <c r="P2959" t="s">
        <v>30</v>
      </c>
      <c r="Q2959" s="2">
        <v>0.7</v>
      </c>
      <c r="R2959" s="1">
        <v>2240</v>
      </c>
      <c r="S2959" t="s">
        <v>29</v>
      </c>
      <c r="T2959" s="1">
        <v>2240</v>
      </c>
      <c r="V2959" t="str">
        <f>VLOOKUP(H2959,'[1]팀별 출판사'!A:B,2,0)</f>
        <v>소설1팀</v>
      </c>
      <c r="W2959" s="6">
        <f t="shared" si="92"/>
        <v>0</v>
      </c>
      <c r="X2959" s="6">
        <f t="shared" si="93"/>
        <v>2240</v>
      </c>
    </row>
    <row r="2960" spans="1:24" x14ac:dyDescent="0.3">
      <c r="A2960" t="s">
        <v>4222</v>
      </c>
      <c r="B2960" t="s">
        <v>4365</v>
      </c>
      <c r="C2960" t="s">
        <v>23</v>
      </c>
      <c r="D2960" t="s">
        <v>24</v>
      </c>
      <c r="E2960" t="s">
        <v>25</v>
      </c>
      <c r="F2960">
        <v>1</v>
      </c>
      <c r="G2960">
        <v>9791173786136</v>
      </c>
      <c r="H2960" t="s">
        <v>79</v>
      </c>
      <c r="I2960" t="s">
        <v>1476</v>
      </c>
      <c r="J2960" t="s">
        <v>81</v>
      </c>
      <c r="K2960" t="s">
        <v>29</v>
      </c>
      <c r="L2960">
        <v>0</v>
      </c>
      <c r="M2960" t="s">
        <v>29</v>
      </c>
      <c r="N2960">
        <v>0</v>
      </c>
      <c r="O2960">
        <v>0</v>
      </c>
      <c r="P2960" t="s">
        <v>30</v>
      </c>
      <c r="Q2960" s="2">
        <v>0.7</v>
      </c>
      <c r="R2960">
        <v>0</v>
      </c>
      <c r="V2960" t="str">
        <f>VLOOKUP(H2960,'[1]팀별 출판사'!A:B,2,0)</f>
        <v>소설1팀</v>
      </c>
      <c r="W2960" s="6">
        <f t="shared" si="92"/>
        <v>0</v>
      </c>
      <c r="X2960" s="6">
        <f t="shared" si="93"/>
        <v>0</v>
      </c>
    </row>
    <row r="2961" spans="1:24" x14ac:dyDescent="0.3">
      <c r="A2961" t="s">
        <v>4222</v>
      </c>
      <c r="B2961" t="s">
        <v>4366</v>
      </c>
      <c r="C2961" t="s">
        <v>23</v>
      </c>
      <c r="D2961" t="s">
        <v>24</v>
      </c>
      <c r="E2961" t="s">
        <v>25</v>
      </c>
      <c r="F2961">
        <v>1</v>
      </c>
      <c r="G2961">
        <v>9791133181810</v>
      </c>
      <c r="H2961" t="s">
        <v>32</v>
      </c>
      <c r="I2961" t="s">
        <v>317</v>
      </c>
      <c r="J2961" t="s">
        <v>318</v>
      </c>
      <c r="K2961" t="s">
        <v>29</v>
      </c>
      <c r="L2961">
        <v>0</v>
      </c>
      <c r="M2961" t="s">
        <v>29</v>
      </c>
      <c r="N2961">
        <v>0</v>
      </c>
      <c r="O2961">
        <v>0</v>
      </c>
      <c r="P2961" t="s">
        <v>30</v>
      </c>
      <c r="Q2961" s="2">
        <v>0.7</v>
      </c>
      <c r="R2961">
        <v>0</v>
      </c>
      <c r="V2961" t="str">
        <f>VLOOKUP(H2961,'[1]팀별 출판사'!A:B,2,0)</f>
        <v>소설1팀</v>
      </c>
      <c r="W2961" s="6">
        <f t="shared" si="92"/>
        <v>0</v>
      </c>
      <c r="X2961" s="6">
        <f t="shared" si="93"/>
        <v>0</v>
      </c>
    </row>
    <row r="2962" spans="1:24" x14ac:dyDescent="0.3">
      <c r="A2962" t="s">
        <v>4222</v>
      </c>
      <c r="B2962" t="s">
        <v>4367</v>
      </c>
      <c r="C2962" t="s">
        <v>23</v>
      </c>
      <c r="D2962" t="s">
        <v>24</v>
      </c>
      <c r="E2962" t="s">
        <v>25</v>
      </c>
      <c r="F2962">
        <v>1</v>
      </c>
      <c r="G2962">
        <v>9791173785108</v>
      </c>
      <c r="H2962" t="s">
        <v>26</v>
      </c>
      <c r="I2962" t="s">
        <v>4368</v>
      </c>
      <c r="J2962" t="s">
        <v>62</v>
      </c>
      <c r="K2962" t="s">
        <v>29</v>
      </c>
      <c r="L2962" s="1">
        <v>3200</v>
      </c>
      <c r="M2962" t="s">
        <v>29</v>
      </c>
      <c r="N2962" s="1">
        <v>3200</v>
      </c>
      <c r="O2962" s="1">
        <v>3200</v>
      </c>
      <c r="P2962" t="s">
        <v>30</v>
      </c>
      <c r="Q2962" s="2">
        <v>0.7</v>
      </c>
      <c r="R2962" s="1">
        <v>2240</v>
      </c>
      <c r="S2962" t="s">
        <v>29</v>
      </c>
      <c r="T2962" s="1">
        <v>2240</v>
      </c>
      <c r="V2962" t="str">
        <f>VLOOKUP(H2962,'[1]팀별 출판사'!A:B,2,0)</f>
        <v>소설1팀</v>
      </c>
      <c r="W2962" s="6">
        <f t="shared" si="92"/>
        <v>0</v>
      </c>
      <c r="X2962" s="6">
        <f t="shared" si="93"/>
        <v>2240</v>
      </c>
    </row>
    <row r="2963" spans="1:24" x14ac:dyDescent="0.3">
      <c r="A2963" t="s">
        <v>4222</v>
      </c>
      <c r="B2963" t="s">
        <v>4369</v>
      </c>
      <c r="C2963" t="s">
        <v>23</v>
      </c>
      <c r="D2963" t="s">
        <v>24</v>
      </c>
      <c r="E2963" t="s">
        <v>25</v>
      </c>
      <c r="F2963">
        <v>1</v>
      </c>
      <c r="G2963">
        <v>9791136942418</v>
      </c>
      <c r="H2963" t="s">
        <v>26</v>
      </c>
      <c r="I2963" t="s">
        <v>2055</v>
      </c>
      <c r="J2963" t="s">
        <v>284</v>
      </c>
      <c r="K2963" t="s">
        <v>29</v>
      </c>
      <c r="L2963">
        <v>0</v>
      </c>
      <c r="M2963" t="s">
        <v>29</v>
      </c>
      <c r="N2963">
        <v>0</v>
      </c>
      <c r="O2963">
        <v>0</v>
      </c>
      <c r="P2963" t="s">
        <v>30</v>
      </c>
      <c r="Q2963" s="2">
        <v>0.7</v>
      </c>
      <c r="R2963">
        <v>0</v>
      </c>
      <c r="V2963" t="str">
        <f>VLOOKUP(H2963,'[1]팀별 출판사'!A:B,2,0)</f>
        <v>소설1팀</v>
      </c>
      <c r="W2963" s="6">
        <f t="shared" si="92"/>
        <v>0</v>
      </c>
      <c r="X2963" s="6">
        <f t="shared" si="93"/>
        <v>0</v>
      </c>
    </row>
    <row r="2964" spans="1:24" x14ac:dyDescent="0.3">
      <c r="A2964" t="s">
        <v>4222</v>
      </c>
      <c r="B2964" t="s">
        <v>4370</v>
      </c>
      <c r="C2964" t="s">
        <v>23</v>
      </c>
      <c r="D2964" t="s">
        <v>24</v>
      </c>
      <c r="E2964" t="s">
        <v>25</v>
      </c>
      <c r="F2964">
        <v>1</v>
      </c>
      <c r="G2964">
        <v>9791172927875</v>
      </c>
      <c r="H2964" t="s">
        <v>79</v>
      </c>
      <c r="I2964" t="s">
        <v>4371</v>
      </c>
      <c r="J2964" t="s">
        <v>81</v>
      </c>
      <c r="K2964" t="s">
        <v>29</v>
      </c>
      <c r="L2964" s="1">
        <v>3200</v>
      </c>
      <c r="M2964" t="s">
        <v>29</v>
      </c>
      <c r="N2964" s="1">
        <v>3200</v>
      </c>
      <c r="O2964" s="1">
        <v>3200</v>
      </c>
      <c r="P2964" t="s">
        <v>30</v>
      </c>
      <c r="Q2964" s="2">
        <v>0.7</v>
      </c>
      <c r="R2964" s="1">
        <v>2240</v>
      </c>
      <c r="S2964" t="s">
        <v>29</v>
      </c>
      <c r="T2964" s="1">
        <v>2240</v>
      </c>
      <c r="V2964" t="str">
        <f>VLOOKUP(H2964,'[1]팀별 출판사'!A:B,2,0)</f>
        <v>소설1팀</v>
      </c>
      <c r="W2964" s="6">
        <f t="shared" si="92"/>
        <v>0</v>
      </c>
      <c r="X2964" s="6">
        <f t="shared" si="93"/>
        <v>2240</v>
      </c>
    </row>
    <row r="2965" spans="1:24" x14ac:dyDescent="0.3">
      <c r="A2965" t="s">
        <v>4222</v>
      </c>
      <c r="B2965" t="s">
        <v>4372</v>
      </c>
      <c r="C2965" t="s">
        <v>23</v>
      </c>
      <c r="D2965" t="s">
        <v>24</v>
      </c>
      <c r="E2965" t="s">
        <v>25</v>
      </c>
      <c r="F2965">
        <v>1</v>
      </c>
      <c r="G2965">
        <v>9791136988973</v>
      </c>
      <c r="H2965" t="s">
        <v>26</v>
      </c>
      <c r="I2965" t="s">
        <v>4243</v>
      </c>
      <c r="J2965" t="s">
        <v>28</v>
      </c>
      <c r="K2965" t="s">
        <v>29</v>
      </c>
      <c r="L2965" s="1">
        <v>3200</v>
      </c>
      <c r="M2965" t="s">
        <v>29</v>
      </c>
      <c r="N2965" s="1">
        <v>3200</v>
      </c>
      <c r="O2965" s="1">
        <v>3200</v>
      </c>
      <c r="P2965" t="s">
        <v>30</v>
      </c>
      <c r="Q2965" s="2">
        <v>0.7</v>
      </c>
      <c r="R2965" s="1">
        <v>2240</v>
      </c>
      <c r="S2965" t="s">
        <v>29</v>
      </c>
      <c r="T2965" s="1">
        <v>2240</v>
      </c>
      <c r="V2965" t="str">
        <f>VLOOKUP(H2965,'[1]팀별 출판사'!A:B,2,0)</f>
        <v>소설1팀</v>
      </c>
      <c r="W2965" s="6">
        <f t="shared" si="92"/>
        <v>0</v>
      </c>
      <c r="X2965" s="6">
        <f t="shared" si="93"/>
        <v>2240</v>
      </c>
    </row>
    <row r="2966" spans="1:24" x14ac:dyDescent="0.3">
      <c r="A2966" t="s">
        <v>4222</v>
      </c>
      <c r="B2966" t="s">
        <v>4373</v>
      </c>
      <c r="C2966" t="s">
        <v>23</v>
      </c>
      <c r="D2966" t="s">
        <v>24</v>
      </c>
      <c r="E2966" t="s">
        <v>25</v>
      </c>
      <c r="F2966">
        <v>1</v>
      </c>
      <c r="G2966">
        <v>9791173786143</v>
      </c>
      <c r="H2966" t="s">
        <v>79</v>
      </c>
      <c r="I2966" t="s">
        <v>4374</v>
      </c>
      <c r="J2966" t="s">
        <v>81</v>
      </c>
      <c r="K2966" t="s">
        <v>29</v>
      </c>
      <c r="L2966" s="1">
        <v>3200</v>
      </c>
      <c r="M2966" t="s">
        <v>29</v>
      </c>
      <c r="N2966" s="1">
        <v>3200</v>
      </c>
      <c r="O2966" s="1">
        <v>3200</v>
      </c>
      <c r="P2966" t="s">
        <v>30</v>
      </c>
      <c r="Q2966" s="2">
        <v>0.7</v>
      </c>
      <c r="R2966" s="1">
        <v>2240</v>
      </c>
      <c r="S2966" t="s">
        <v>29</v>
      </c>
      <c r="T2966" s="1">
        <v>2240</v>
      </c>
      <c r="V2966" t="str">
        <f>VLOOKUP(H2966,'[1]팀별 출판사'!A:B,2,0)</f>
        <v>소설1팀</v>
      </c>
      <c r="W2966" s="6">
        <f t="shared" si="92"/>
        <v>0</v>
      </c>
      <c r="X2966" s="6">
        <f t="shared" si="93"/>
        <v>2240</v>
      </c>
    </row>
    <row r="2967" spans="1:24" x14ac:dyDescent="0.3">
      <c r="A2967" t="s">
        <v>4222</v>
      </c>
      <c r="B2967" t="s">
        <v>4375</v>
      </c>
      <c r="C2967" t="s">
        <v>23</v>
      </c>
      <c r="D2967" t="s">
        <v>24</v>
      </c>
      <c r="E2967" t="s">
        <v>25</v>
      </c>
      <c r="F2967">
        <v>1</v>
      </c>
      <c r="G2967" t="s">
        <v>2689</v>
      </c>
      <c r="H2967" t="s">
        <v>32</v>
      </c>
      <c r="I2967" t="s">
        <v>2690</v>
      </c>
      <c r="J2967" t="s">
        <v>311</v>
      </c>
      <c r="K2967" t="s">
        <v>29</v>
      </c>
      <c r="L2967">
        <v>0</v>
      </c>
      <c r="M2967" t="s">
        <v>29</v>
      </c>
      <c r="N2967">
        <v>0</v>
      </c>
      <c r="O2967">
        <v>0</v>
      </c>
      <c r="P2967" t="s">
        <v>30</v>
      </c>
      <c r="Q2967" s="2">
        <v>0.7</v>
      </c>
      <c r="R2967">
        <v>0</v>
      </c>
      <c r="V2967" t="str">
        <f>VLOOKUP(H2967,'[1]팀별 출판사'!A:B,2,0)</f>
        <v>소설1팀</v>
      </c>
      <c r="W2967" s="6">
        <f t="shared" si="92"/>
        <v>0</v>
      </c>
      <c r="X2967" s="6">
        <f t="shared" si="93"/>
        <v>0</v>
      </c>
    </row>
    <row r="2968" spans="1:24" x14ac:dyDescent="0.3">
      <c r="A2968" t="s">
        <v>4222</v>
      </c>
      <c r="B2968" t="s">
        <v>4376</v>
      </c>
      <c r="C2968" t="s">
        <v>23</v>
      </c>
      <c r="D2968" t="s">
        <v>24</v>
      </c>
      <c r="E2968" t="s">
        <v>25</v>
      </c>
      <c r="F2968">
        <v>1</v>
      </c>
      <c r="G2968">
        <v>9791175301955</v>
      </c>
      <c r="H2968" t="s">
        <v>26</v>
      </c>
      <c r="I2968" t="s">
        <v>591</v>
      </c>
      <c r="J2968" t="s">
        <v>256</v>
      </c>
      <c r="K2968" t="s">
        <v>29</v>
      </c>
      <c r="L2968">
        <v>0</v>
      </c>
      <c r="M2968" t="s">
        <v>29</v>
      </c>
      <c r="N2968">
        <v>0</v>
      </c>
      <c r="O2968">
        <v>0</v>
      </c>
      <c r="P2968" t="s">
        <v>30</v>
      </c>
      <c r="Q2968" s="2">
        <v>0.7</v>
      </c>
      <c r="R2968">
        <v>0</v>
      </c>
      <c r="V2968" t="str">
        <f>VLOOKUP(H2968,'[1]팀별 출판사'!A:B,2,0)</f>
        <v>소설1팀</v>
      </c>
      <c r="W2968" s="6">
        <f t="shared" si="92"/>
        <v>0</v>
      </c>
      <c r="X2968" s="6">
        <f t="shared" si="93"/>
        <v>0</v>
      </c>
    </row>
    <row r="2969" spans="1:24" x14ac:dyDescent="0.3">
      <c r="A2969" t="s">
        <v>4222</v>
      </c>
      <c r="B2969" t="s">
        <v>4377</v>
      </c>
      <c r="C2969" t="s">
        <v>23</v>
      </c>
      <c r="D2969" t="s">
        <v>24</v>
      </c>
      <c r="E2969" t="s">
        <v>25</v>
      </c>
      <c r="F2969">
        <v>1</v>
      </c>
      <c r="G2969">
        <v>9791133188642</v>
      </c>
      <c r="H2969" t="s">
        <v>26</v>
      </c>
      <c r="I2969" t="s">
        <v>1437</v>
      </c>
      <c r="J2969" t="s">
        <v>743</v>
      </c>
      <c r="K2969" t="s">
        <v>29</v>
      </c>
      <c r="L2969">
        <v>0</v>
      </c>
      <c r="M2969" t="s">
        <v>478</v>
      </c>
      <c r="N2969">
        <v>0</v>
      </c>
      <c r="O2969">
        <v>0</v>
      </c>
      <c r="P2969" t="s">
        <v>479</v>
      </c>
      <c r="Q2969" s="2">
        <v>0.7</v>
      </c>
      <c r="R2969">
        <v>0</v>
      </c>
      <c r="V2969" t="str">
        <f>VLOOKUP(H2969,'[1]팀별 출판사'!A:B,2,0)</f>
        <v>소설1팀</v>
      </c>
      <c r="W2969" s="6">
        <f t="shared" si="92"/>
        <v>0</v>
      </c>
      <c r="X2969" s="6">
        <f t="shared" si="93"/>
        <v>0</v>
      </c>
    </row>
    <row r="2970" spans="1:24" x14ac:dyDescent="0.3">
      <c r="A2970" t="s">
        <v>4222</v>
      </c>
      <c r="B2970" t="s">
        <v>4378</v>
      </c>
      <c r="C2970" t="s">
        <v>23</v>
      </c>
      <c r="D2970" t="s">
        <v>24</v>
      </c>
      <c r="E2970" t="s">
        <v>25</v>
      </c>
      <c r="F2970">
        <v>1</v>
      </c>
      <c r="G2970">
        <v>9791133173068</v>
      </c>
      <c r="H2970" t="s">
        <v>26</v>
      </c>
      <c r="I2970" t="s">
        <v>4379</v>
      </c>
      <c r="J2970" t="s">
        <v>287</v>
      </c>
      <c r="K2970" t="s">
        <v>29</v>
      </c>
      <c r="L2970" s="1">
        <v>2500</v>
      </c>
      <c r="M2970" t="s">
        <v>29</v>
      </c>
      <c r="N2970" s="1">
        <v>2500</v>
      </c>
      <c r="O2970" s="1">
        <v>2500</v>
      </c>
      <c r="P2970" t="s">
        <v>30</v>
      </c>
      <c r="Q2970" s="2">
        <v>0.7</v>
      </c>
      <c r="R2970" s="1">
        <v>1750</v>
      </c>
      <c r="S2970" t="s">
        <v>29</v>
      </c>
      <c r="T2970" s="1">
        <v>1750</v>
      </c>
      <c r="V2970" t="str">
        <f>VLOOKUP(H2970,'[1]팀별 출판사'!A:B,2,0)</f>
        <v>소설1팀</v>
      </c>
      <c r="W2970" s="6">
        <f t="shared" si="92"/>
        <v>0</v>
      </c>
      <c r="X2970" s="6">
        <f t="shared" si="93"/>
        <v>1750</v>
      </c>
    </row>
    <row r="2971" spans="1:24" x14ac:dyDescent="0.3">
      <c r="A2971" t="s">
        <v>4222</v>
      </c>
      <c r="B2971" t="s">
        <v>4380</v>
      </c>
      <c r="C2971" t="s">
        <v>23</v>
      </c>
      <c r="D2971" t="s">
        <v>24</v>
      </c>
      <c r="E2971" t="s">
        <v>25</v>
      </c>
      <c r="F2971">
        <v>1</v>
      </c>
      <c r="G2971">
        <v>9791172926991</v>
      </c>
      <c r="H2971" t="s">
        <v>26</v>
      </c>
      <c r="I2971" t="s">
        <v>330</v>
      </c>
      <c r="J2971" t="s">
        <v>28</v>
      </c>
      <c r="K2971" t="s">
        <v>29</v>
      </c>
      <c r="L2971">
        <v>0</v>
      </c>
      <c r="M2971" t="s">
        <v>29</v>
      </c>
      <c r="N2971">
        <v>0</v>
      </c>
      <c r="O2971">
        <v>0</v>
      </c>
      <c r="P2971" t="s">
        <v>30</v>
      </c>
      <c r="Q2971" s="2">
        <v>0.7</v>
      </c>
      <c r="R2971">
        <v>0</v>
      </c>
      <c r="V2971" t="str">
        <f>VLOOKUP(H2971,'[1]팀별 출판사'!A:B,2,0)</f>
        <v>소설1팀</v>
      </c>
      <c r="W2971" s="6">
        <f t="shared" si="92"/>
        <v>0</v>
      </c>
      <c r="X2971" s="6">
        <f t="shared" si="93"/>
        <v>0</v>
      </c>
    </row>
    <row r="2972" spans="1:24" x14ac:dyDescent="0.3">
      <c r="A2972" t="s">
        <v>4222</v>
      </c>
      <c r="B2972" t="s">
        <v>4381</v>
      </c>
      <c r="C2972" t="s">
        <v>23</v>
      </c>
      <c r="D2972" t="s">
        <v>24</v>
      </c>
      <c r="E2972" t="s">
        <v>25</v>
      </c>
      <c r="F2972">
        <v>1</v>
      </c>
      <c r="G2972">
        <v>9791133184569</v>
      </c>
      <c r="H2972" t="s">
        <v>26</v>
      </c>
      <c r="I2972" t="s">
        <v>4382</v>
      </c>
      <c r="J2972" t="s">
        <v>284</v>
      </c>
      <c r="K2972" t="s">
        <v>29</v>
      </c>
      <c r="L2972" s="1">
        <v>3200</v>
      </c>
      <c r="M2972" t="s">
        <v>29</v>
      </c>
      <c r="N2972" s="1">
        <v>3200</v>
      </c>
      <c r="O2972" s="1">
        <v>3200</v>
      </c>
      <c r="P2972" t="s">
        <v>30</v>
      </c>
      <c r="Q2972" s="2">
        <v>0.7</v>
      </c>
      <c r="R2972" s="1">
        <v>2240</v>
      </c>
      <c r="S2972" t="s">
        <v>29</v>
      </c>
      <c r="T2972" s="1">
        <v>2240</v>
      </c>
      <c r="V2972" t="str">
        <f>VLOOKUP(H2972,'[1]팀별 출판사'!A:B,2,0)</f>
        <v>소설1팀</v>
      </c>
      <c r="W2972" s="6">
        <f t="shared" si="92"/>
        <v>0</v>
      </c>
      <c r="X2972" s="6">
        <f t="shared" si="93"/>
        <v>2240</v>
      </c>
    </row>
    <row r="2973" spans="1:24" x14ac:dyDescent="0.3">
      <c r="A2973" t="s">
        <v>4222</v>
      </c>
      <c r="B2973" t="s">
        <v>4383</v>
      </c>
      <c r="C2973" t="s">
        <v>23</v>
      </c>
      <c r="D2973" t="s">
        <v>24</v>
      </c>
      <c r="E2973" t="s">
        <v>25</v>
      </c>
      <c r="F2973">
        <v>1</v>
      </c>
      <c r="G2973">
        <v>9791157539758</v>
      </c>
      <c r="H2973" t="s">
        <v>32</v>
      </c>
      <c r="I2973" t="s">
        <v>4384</v>
      </c>
      <c r="J2973" t="s">
        <v>88</v>
      </c>
      <c r="K2973" t="s">
        <v>29</v>
      </c>
      <c r="L2973" s="1">
        <v>3200</v>
      </c>
      <c r="M2973" t="s">
        <v>29</v>
      </c>
      <c r="N2973" s="1">
        <v>3200</v>
      </c>
      <c r="O2973" s="1">
        <v>3200</v>
      </c>
      <c r="P2973" t="s">
        <v>30</v>
      </c>
      <c r="Q2973" s="2">
        <v>0.7</v>
      </c>
      <c r="R2973" s="1">
        <v>2240</v>
      </c>
      <c r="S2973" t="s">
        <v>29</v>
      </c>
      <c r="T2973" s="1">
        <v>2240</v>
      </c>
      <c r="V2973" t="str">
        <f>VLOOKUP(H2973,'[1]팀별 출판사'!A:B,2,0)</f>
        <v>소설1팀</v>
      </c>
      <c r="W2973" s="6">
        <f t="shared" si="92"/>
        <v>0</v>
      </c>
      <c r="X2973" s="6">
        <f t="shared" si="93"/>
        <v>2240</v>
      </c>
    </row>
    <row r="2974" spans="1:24" x14ac:dyDescent="0.3">
      <c r="A2974" t="s">
        <v>4222</v>
      </c>
      <c r="B2974" t="s">
        <v>4385</v>
      </c>
      <c r="C2974" t="s">
        <v>23</v>
      </c>
      <c r="D2974" t="s">
        <v>24</v>
      </c>
      <c r="E2974" t="s">
        <v>25</v>
      </c>
      <c r="F2974">
        <v>1</v>
      </c>
      <c r="G2974">
        <v>9791133188307</v>
      </c>
      <c r="H2974" t="s">
        <v>26</v>
      </c>
      <c r="I2974" t="s">
        <v>4386</v>
      </c>
      <c r="J2974" t="s">
        <v>743</v>
      </c>
      <c r="K2974" t="s">
        <v>29</v>
      </c>
      <c r="L2974" s="1">
        <v>2500</v>
      </c>
      <c r="M2974" t="s">
        <v>29</v>
      </c>
      <c r="N2974" s="1">
        <v>2500</v>
      </c>
      <c r="O2974" s="1">
        <v>2500</v>
      </c>
      <c r="P2974" t="s">
        <v>30</v>
      </c>
      <c r="Q2974" s="2">
        <v>0.7</v>
      </c>
      <c r="R2974" s="1">
        <v>1750</v>
      </c>
      <c r="S2974" t="s">
        <v>29</v>
      </c>
      <c r="T2974" s="1">
        <v>1750</v>
      </c>
      <c r="V2974" t="str">
        <f>VLOOKUP(H2974,'[1]팀별 출판사'!A:B,2,0)</f>
        <v>소설1팀</v>
      </c>
      <c r="W2974" s="6">
        <f t="shared" si="92"/>
        <v>0</v>
      </c>
      <c r="X2974" s="6">
        <f t="shared" si="93"/>
        <v>1750</v>
      </c>
    </row>
    <row r="2975" spans="1:24" x14ac:dyDescent="0.3">
      <c r="A2975" t="s">
        <v>4222</v>
      </c>
      <c r="B2975" t="s">
        <v>4387</v>
      </c>
      <c r="C2975" t="s">
        <v>23</v>
      </c>
      <c r="D2975" t="s">
        <v>24</v>
      </c>
      <c r="E2975" t="s">
        <v>25</v>
      </c>
      <c r="F2975">
        <v>1</v>
      </c>
      <c r="G2975">
        <v>9791133180066</v>
      </c>
      <c r="H2975" t="s">
        <v>26</v>
      </c>
      <c r="I2975" t="s">
        <v>320</v>
      </c>
      <c r="J2975" t="s">
        <v>321</v>
      </c>
      <c r="K2975" t="s">
        <v>29</v>
      </c>
      <c r="L2975">
        <v>0</v>
      </c>
      <c r="M2975" t="s">
        <v>29</v>
      </c>
      <c r="N2975">
        <v>0</v>
      </c>
      <c r="O2975">
        <v>0</v>
      </c>
      <c r="P2975" t="s">
        <v>30</v>
      </c>
      <c r="Q2975" s="2">
        <v>0.7</v>
      </c>
      <c r="R2975">
        <v>0</v>
      </c>
      <c r="V2975" t="str">
        <f>VLOOKUP(H2975,'[1]팀별 출판사'!A:B,2,0)</f>
        <v>소설1팀</v>
      </c>
      <c r="W2975" s="6">
        <f t="shared" si="92"/>
        <v>0</v>
      </c>
      <c r="X2975" s="6">
        <f t="shared" si="93"/>
        <v>0</v>
      </c>
    </row>
    <row r="2976" spans="1:24" x14ac:dyDescent="0.3">
      <c r="A2976" t="s">
        <v>4222</v>
      </c>
      <c r="B2976" t="s">
        <v>4388</v>
      </c>
      <c r="C2976" t="s">
        <v>23</v>
      </c>
      <c r="D2976" t="s">
        <v>24</v>
      </c>
      <c r="E2976" t="s">
        <v>25</v>
      </c>
      <c r="F2976">
        <v>1</v>
      </c>
      <c r="G2976">
        <v>9791172927844</v>
      </c>
      <c r="H2976" t="s">
        <v>79</v>
      </c>
      <c r="I2976" t="s">
        <v>1168</v>
      </c>
      <c r="J2976" t="s">
        <v>81</v>
      </c>
      <c r="K2976" t="s">
        <v>29</v>
      </c>
      <c r="L2976">
        <v>0</v>
      </c>
      <c r="M2976" t="s">
        <v>29</v>
      </c>
      <c r="N2976">
        <v>0</v>
      </c>
      <c r="O2976">
        <v>0</v>
      </c>
      <c r="P2976" t="s">
        <v>30</v>
      </c>
      <c r="Q2976" s="2">
        <v>0.7</v>
      </c>
      <c r="R2976">
        <v>0</v>
      </c>
      <c r="V2976" t="str">
        <f>VLOOKUP(H2976,'[1]팀별 출판사'!A:B,2,0)</f>
        <v>소설1팀</v>
      </c>
      <c r="W2976" s="6">
        <f t="shared" si="92"/>
        <v>0</v>
      </c>
      <c r="X2976" s="6">
        <f t="shared" si="93"/>
        <v>0</v>
      </c>
    </row>
    <row r="2977" spans="1:24" x14ac:dyDescent="0.3">
      <c r="A2977" t="s">
        <v>4222</v>
      </c>
      <c r="B2977" t="s">
        <v>4389</v>
      </c>
      <c r="C2977" t="s">
        <v>23</v>
      </c>
      <c r="D2977" t="s">
        <v>24</v>
      </c>
      <c r="E2977" t="s">
        <v>25</v>
      </c>
      <c r="F2977">
        <v>1</v>
      </c>
      <c r="G2977">
        <v>9791133154845</v>
      </c>
      <c r="H2977" t="s">
        <v>32</v>
      </c>
      <c r="I2977" t="s">
        <v>4390</v>
      </c>
      <c r="J2977" t="s">
        <v>160</v>
      </c>
      <c r="K2977" t="s">
        <v>29</v>
      </c>
      <c r="L2977" s="1">
        <v>3500</v>
      </c>
      <c r="M2977" t="s">
        <v>29</v>
      </c>
      <c r="N2977" s="1">
        <v>3500</v>
      </c>
      <c r="O2977" s="1">
        <v>3500</v>
      </c>
      <c r="P2977" t="s">
        <v>30</v>
      </c>
      <c r="Q2977" s="2">
        <v>0.7</v>
      </c>
      <c r="R2977" s="1">
        <v>2450</v>
      </c>
      <c r="S2977" t="s">
        <v>29</v>
      </c>
      <c r="T2977" s="1">
        <v>2450</v>
      </c>
      <c r="V2977" t="str">
        <f>VLOOKUP(H2977,'[1]팀별 출판사'!A:B,2,0)</f>
        <v>소설1팀</v>
      </c>
      <c r="W2977" s="6">
        <f t="shared" si="92"/>
        <v>0</v>
      </c>
      <c r="X2977" s="6">
        <f t="shared" si="93"/>
        <v>2450</v>
      </c>
    </row>
    <row r="2978" spans="1:24" x14ac:dyDescent="0.3">
      <c r="A2978" t="s">
        <v>4222</v>
      </c>
      <c r="B2978" t="s">
        <v>4391</v>
      </c>
      <c r="C2978" t="s">
        <v>23</v>
      </c>
      <c r="D2978" t="s">
        <v>24</v>
      </c>
      <c r="E2978" t="s">
        <v>25</v>
      </c>
      <c r="F2978">
        <v>1</v>
      </c>
      <c r="G2978">
        <v>9791133105441</v>
      </c>
      <c r="H2978" t="s">
        <v>32</v>
      </c>
      <c r="I2978" t="s">
        <v>116</v>
      </c>
      <c r="J2978" t="s">
        <v>88</v>
      </c>
      <c r="K2978" t="s">
        <v>29</v>
      </c>
      <c r="L2978">
        <v>0</v>
      </c>
      <c r="M2978" t="s">
        <v>29</v>
      </c>
      <c r="N2978">
        <v>0</v>
      </c>
      <c r="O2978">
        <v>0</v>
      </c>
      <c r="P2978" t="s">
        <v>30</v>
      </c>
      <c r="Q2978" s="2">
        <v>0.7</v>
      </c>
      <c r="R2978">
        <v>0</v>
      </c>
      <c r="V2978" t="str">
        <f>VLOOKUP(H2978,'[1]팀별 출판사'!A:B,2,0)</f>
        <v>소설1팀</v>
      </c>
      <c r="W2978" s="6">
        <f t="shared" si="92"/>
        <v>0</v>
      </c>
      <c r="X2978" s="6">
        <f t="shared" si="93"/>
        <v>0</v>
      </c>
    </row>
    <row r="2979" spans="1:24" x14ac:dyDescent="0.3">
      <c r="A2979" t="s">
        <v>4222</v>
      </c>
      <c r="B2979" t="s">
        <v>4392</v>
      </c>
      <c r="C2979" t="s">
        <v>23</v>
      </c>
      <c r="D2979" t="s">
        <v>24</v>
      </c>
      <c r="E2979" t="s">
        <v>25</v>
      </c>
      <c r="F2979">
        <v>1</v>
      </c>
      <c r="G2979">
        <v>9791133150298</v>
      </c>
      <c r="H2979" t="s">
        <v>32</v>
      </c>
      <c r="I2979" t="s">
        <v>1079</v>
      </c>
      <c r="J2979" t="s">
        <v>178</v>
      </c>
      <c r="K2979" t="s">
        <v>29</v>
      </c>
      <c r="L2979">
        <v>0</v>
      </c>
      <c r="M2979" t="s">
        <v>29</v>
      </c>
      <c r="N2979">
        <v>0</v>
      </c>
      <c r="O2979">
        <v>0</v>
      </c>
      <c r="P2979" t="s">
        <v>30</v>
      </c>
      <c r="Q2979" s="2">
        <v>0.7</v>
      </c>
      <c r="R2979">
        <v>0</v>
      </c>
      <c r="V2979" t="str">
        <f>VLOOKUP(H2979,'[1]팀별 출판사'!A:B,2,0)</f>
        <v>소설1팀</v>
      </c>
      <c r="W2979" s="6">
        <f t="shared" si="92"/>
        <v>0</v>
      </c>
      <c r="X2979" s="6">
        <f t="shared" si="93"/>
        <v>0</v>
      </c>
    </row>
    <row r="2980" spans="1:24" x14ac:dyDescent="0.3">
      <c r="A2980" t="s">
        <v>4222</v>
      </c>
      <c r="B2980" t="s">
        <v>4393</v>
      </c>
      <c r="C2980" t="s">
        <v>23</v>
      </c>
      <c r="D2980" t="s">
        <v>24</v>
      </c>
      <c r="E2980" t="s">
        <v>25</v>
      </c>
      <c r="F2980">
        <v>1</v>
      </c>
      <c r="G2980">
        <v>9791136943446</v>
      </c>
      <c r="H2980" t="s">
        <v>26</v>
      </c>
      <c r="I2980" t="s">
        <v>1651</v>
      </c>
      <c r="J2980" t="s">
        <v>284</v>
      </c>
      <c r="K2980" t="s">
        <v>29</v>
      </c>
      <c r="L2980">
        <v>0</v>
      </c>
      <c r="M2980" t="s">
        <v>29</v>
      </c>
      <c r="N2980">
        <v>0</v>
      </c>
      <c r="O2980">
        <v>0</v>
      </c>
      <c r="P2980" t="s">
        <v>30</v>
      </c>
      <c r="Q2980" s="2">
        <v>0.7</v>
      </c>
      <c r="R2980">
        <v>0</v>
      </c>
      <c r="V2980" t="str">
        <f>VLOOKUP(H2980,'[1]팀별 출판사'!A:B,2,0)</f>
        <v>소설1팀</v>
      </c>
      <c r="W2980" s="6">
        <f t="shared" si="92"/>
        <v>0</v>
      </c>
      <c r="X2980" s="6">
        <f t="shared" si="93"/>
        <v>0</v>
      </c>
    </row>
    <row r="2981" spans="1:24" x14ac:dyDescent="0.3">
      <c r="A2981" t="s">
        <v>4222</v>
      </c>
      <c r="B2981" t="s">
        <v>4394</v>
      </c>
      <c r="C2981" t="s">
        <v>23</v>
      </c>
      <c r="D2981" t="s">
        <v>24</v>
      </c>
      <c r="E2981" t="s">
        <v>25</v>
      </c>
      <c r="F2981">
        <v>1</v>
      </c>
      <c r="G2981">
        <v>9791170104643</v>
      </c>
      <c r="H2981" t="s">
        <v>67</v>
      </c>
      <c r="I2981" t="s">
        <v>407</v>
      </c>
      <c r="J2981" t="s">
        <v>408</v>
      </c>
      <c r="K2981" t="s">
        <v>29</v>
      </c>
      <c r="L2981">
        <v>0</v>
      </c>
      <c r="M2981" t="s">
        <v>29</v>
      </c>
      <c r="N2981">
        <v>0</v>
      </c>
      <c r="O2981">
        <v>0</v>
      </c>
      <c r="P2981" t="s">
        <v>30</v>
      </c>
      <c r="Q2981" s="2">
        <v>0.7</v>
      </c>
      <c r="R2981">
        <v>0</v>
      </c>
      <c r="V2981" t="str">
        <f>VLOOKUP(H2981,'[1]팀별 출판사'!A:B,2,0)</f>
        <v>소설1팀</v>
      </c>
      <c r="W2981" s="6">
        <f t="shared" si="92"/>
        <v>0</v>
      </c>
      <c r="X2981" s="6">
        <f t="shared" si="93"/>
        <v>0</v>
      </c>
    </row>
    <row r="2982" spans="1:24" x14ac:dyDescent="0.3">
      <c r="A2982" t="s">
        <v>4222</v>
      </c>
      <c r="B2982" t="s">
        <v>4395</v>
      </c>
      <c r="C2982" t="s">
        <v>23</v>
      </c>
      <c r="D2982" t="s">
        <v>24</v>
      </c>
      <c r="E2982" t="s">
        <v>25</v>
      </c>
      <c r="F2982">
        <v>1</v>
      </c>
      <c r="G2982">
        <v>9791133107483</v>
      </c>
      <c r="H2982" t="s">
        <v>32</v>
      </c>
      <c r="I2982" t="s">
        <v>3952</v>
      </c>
      <c r="J2982" t="s">
        <v>311</v>
      </c>
      <c r="K2982" t="s">
        <v>29</v>
      </c>
      <c r="L2982">
        <v>0</v>
      </c>
      <c r="M2982" t="s">
        <v>29</v>
      </c>
      <c r="N2982">
        <v>0</v>
      </c>
      <c r="O2982">
        <v>0</v>
      </c>
      <c r="P2982" t="s">
        <v>30</v>
      </c>
      <c r="Q2982" s="2">
        <v>0.7</v>
      </c>
      <c r="R2982">
        <v>0</v>
      </c>
      <c r="V2982" t="str">
        <f>VLOOKUP(H2982,'[1]팀별 출판사'!A:B,2,0)</f>
        <v>소설1팀</v>
      </c>
      <c r="W2982" s="6">
        <f t="shared" si="92"/>
        <v>0</v>
      </c>
      <c r="X2982" s="6">
        <f t="shared" si="93"/>
        <v>0</v>
      </c>
    </row>
    <row r="2983" spans="1:24" x14ac:dyDescent="0.3">
      <c r="A2983" t="s">
        <v>4222</v>
      </c>
      <c r="B2983" t="s">
        <v>4396</v>
      </c>
      <c r="C2983" t="s">
        <v>23</v>
      </c>
      <c r="D2983" t="s">
        <v>24</v>
      </c>
      <c r="E2983" t="s">
        <v>25</v>
      </c>
      <c r="F2983">
        <v>1</v>
      </c>
      <c r="G2983">
        <v>9791172927844</v>
      </c>
      <c r="H2983" t="s">
        <v>79</v>
      </c>
      <c r="I2983" t="s">
        <v>1168</v>
      </c>
      <c r="J2983" t="s">
        <v>81</v>
      </c>
      <c r="K2983" t="s">
        <v>29</v>
      </c>
      <c r="L2983">
        <v>0</v>
      </c>
      <c r="M2983" t="s">
        <v>29</v>
      </c>
      <c r="N2983">
        <v>0</v>
      </c>
      <c r="O2983">
        <v>0</v>
      </c>
      <c r="P2983" t="s">
        <v>30</v>
      </c>
      <c r="Q2983" s="2">
        <v>0.7</v>
      </c>
      <c r="R2983">
        <v>0</v>
      </c>
      <c r="V2983" t="str">
        <f>VLOOKUP(H2983,'[1]팀별 출판사'!A:B,2,0)</f>
        <v>소설1팀</v>
      </c>
      <c r="W2983" s="6">
        <f t="shared" si="92"/>
        <v>0</v>
      </c>
      <c r="X2983" s="6">
        <f t="shared" si="93"/>
        <v>0</v>
      </c>
    </row>
    <row r="2984" spans="1:24" x14ac:dyDescent="0.3">
      <c r="A2984" t="s">
        <v>4222</v>
      </c>
      <c r="B2984" t="s">
        <v>4397</v>
      </c>
      <c r="C2984" t="s">
        <v>23</v>
      </c>
      <c r="D2984" t="s">
        <v>24</v>
      </c>
      <c r="E2984" t="s">
        <v>25</v>
      </c>
      <c r="F2984">
        <v>1</v>
      </c>
      <c r="G2984">
        <v>9791133184576</v>
      </c>
      <c r="H2984" t="s">
        <v>26</v>
      </c>
      <c r="I2984" t="s">
        <v>4398</v>
      </c>
      <c r="J2984" t="s">
        <v>284</v>
      </c>
      <c r="K2984" t="s">
        <v>29</v>
      </c>
      <c r="L2984" s="1">
        <v>3200</v>
      </c>
      <c r="M2984" t="s">
        <v>29</v>
      </c>
      <c r="N2984" s="1">
        <v>3200</v>
      </c>
      <c r="O2984" s="1">
        <v>3200</v>
      </c>
      <c r="P2984" t="s">
        <v>30</v>
      </c>
      <c r="Q2984" s="2">
        <v>0.7</v>
      </c>
      <c r="R2984" s="1">
        <v>2240</v>
      </c>
      <c r="S2984" t="s">
        <v>29</v>
      </c>
      <c r="T2984" s="1">
        <v>2240</v>
      </c>
      <c r="V2984" t="str">
        <f>VLOOKUP(H2984,'[1]팀별 출판사'!A:B,2,0)</f>
        <v>소설1팀</v>
      </c>
      <c r="W2984" s="6">
        <f t="shared" si="92"/>
        <v>0</v>
      </c>
      <c r="X2984" s="6">
        <f t="shared" si="93"/>
        <v>2240</v>
      </c>
    </row>
    <row r="2985" spans="1:24" x14ac:dyDescent="0.3">
      <c r="A2985" t="s">
        <v>4222</v>
      </c>
      <c r="B2985" t="s">
        <v>4399</v>
      </c>
      <c r="C2985" t="s">
        <v>23</v>
      </c>
      <c r="D2985" t="s">
        <v>24</v>
      </c>
      <c r="E2985" t="s">
        <v>25</v>
      </c>
      <c r="F2985">
        <v>1</v>
      </c>
      <c r="G2985">
        <v>9791157533107</v>
      </c>
      <c r="H2985" t="s">
        <v>32</v>
      </c>
      <c r="I2985" t="s">
        <v>4071</v>
      </c>
      <c r="J2985" t="s">
        <v>187</v>
      </c>
      <c r="K2985" t="s">
        <v>29</v>
      </c>
      <c r="L2985">
        <v>0</v>
      </c>
      <c r="M2985" t="s">
        <v>29</v>
      </c>
      <c r="N2985">
        <v>0</v>
      </c>
      <c r="O2985">
        <v>0</v>
      </c>
      <c r="P2985" t="s">
        <v>30</v>
      </c>
      <c r="Q2985" s="2">
        <v>0.7</v>
      </c>
      <c r="R2985">
        <v>0</v>
      </c>
      <c r="V2985" t="str">
        <f>VLOOKUP(H2985,'[1]팀별 출판사'!A:B,2,0)</f>
        <v>소설1팀</v>
      </c>
      <c r="W2985" s="6">
        <f t="shared" si="92"/>
        <v>0</v>
      </c>
      <c r="X2985" s="6">
        <f t="shared" si="93"/>
        <v>0</v>
      </c>
    </row>
    <row r="2986" spans="1:24" x14ac:dyDescent="0.3">
      <c r="A2986" t="s">
        <v>4222</v>
      </c>
      <c r="B2986" t="s">
        <v>4400</v>
      </c>
      <c r="C2986" t="s">
        <v>23</v>
      </c>
      <c r="D2986" t="s">
        <v>24</v>
      </c>
      <c r="E2986" t="s">
        <v>25</v>
      </c>
      <c r="F2986">
        <v>1</v>
      </c>
      <c r="G2986">
        <v>9791173787638</v>
      </c>
      <c r="H2986" t="s">
        <v>26</v>
      </c>
      <c r="I2986" t="s">
        <v>3807</v>
      </c>
      <c r="J2986" t="s">
        <v>3808</v>
      </c>
      <c r="K2986" t="s">
        <v>29</v>
      </c>
      <c r="L2986">
        <v>0</v>
      </c>
      <c r="M2986" t="s">
        <v>29</v>
      </c>
      <c r="N2986">
        <v>0</v>
      </c>
      <c r="O2986">
        <v>0</v>
      </c>
      <c r="P2986" t="s">
        <v>30</v>
      </c>
      <c r="Q2986" s="2">
        <v>0.7</v>
      </c>
      <c r="R2986">
        <v>0</v>
      </c>
      <c r="V2986" t="str">
        <f>VLOOKUP(H2986,'[1]팀별 출판사'!A:B,2,0)</f>
        <v>소설1팀</v>
      </c>
      <c r="W2986" s="6">
        <f t="shared" si="92"/>
        <v>0</v>
      </c>
      <c r="X2986" s="6">
        <f t="shared" si="93"/>
        <v>0</v>
      </c>
    </row>
    <row r="2987" spans="1:24" x14ac:dyDescent="0.3">
      <c r="A2987" t="s">
        <v>4222</v>
      </c>
      <c r="B2987" t="s">
        <v>4400</v>
      </c>
      <c r="C2987" t="s">
        <v>23</v>
      </c>
      <c r="D2987" t="s">
        <v>24</v>
      </c>
      <c r="E2987" t="s">
        <v>25</v>
      </c>
      <c r="F2987">
        <v>1</v>
      </c>
      <c r="G2987">
        <v>9791173787645</v>
      </c>
      <c r="H2987" t="s">
        <v>26</v>
      </c>
      <c r="I2987" t="s">
        <v>4401</v>
      </c>
      <c r="J2987" t="s">
        <v>3808</v>
      </c>
      <c r="K2987" t="s">
        <v>29</v>
      </c>
      <c r="L2987" s="1">
        <v>3200</v>
      </c>
      <c r="M2987" t="s">
        <v>29</v>
      </c>
      <c r="N2987" s="1">
        <v>3200</v>
      </c>
      <c r="O2987" s="1">
        <v>3200</v>
      </c>
      <c r="P2987" t="s">
        <v>30</v>
      </c>
      <c r="Q2987" s="2">
        <v>0.7</v>
      </c>
      <c r="R2987" s="1">
        <v>2240</v>
      </c>
      <c r="S2987" t="s">
        <v>29</v>
      </c>
      <c r="T2987" s="1">
        <v>2240</v>
      </c>
      <c r="V2987" t="str">
        <f>VLOOKUP(H2987,'[1]팀별 출판사'!A:B,2,0)</f>
        <v>소설1팀</v>
      </c>
      <c r="W2987" s="6">
        <f t="shared" si="92"/>
        <v>0</v>
      </c>
      <c r="X2987" s="6">
        <f t="shared" si="93"/>
        <v>2240</v>
      </c>
    </row>
    <row r="2988" spans="1:24" x14ac:dyDescent="0.3">
      <c r="A2988" t="s">
        <v>4222</v>
      </c>
      <c r="B2988" t="s">
        <v>4400</v>
      </c>
      <c r="C2988" t="s">
        <v>23</v>
      </c>
      <c r="D2988" t="s">
        <v>24</v>
      </c>
      <c r="E2988" t="s">
        <v>25</v>
      </c>
      <c r="F2988">
        <v>1</v>
      </c>
      <c r="G2988">
        <v>9791173787652</v>
      </c>
      <c r="H2988" t="s">
        <v>26</v>
      </c>
      <c r="I2988" t="s">
        <v>4402</v>
      </c>
      <c r="J2988" t="s">
        <v>3808</v>
      </c>
      <c r="K2988" t="s">
        <v>29</v>
      </c>
      <c r="L2988" s="1">
        <v>3200</v>
      </c>
      <c r="M2988" t="s">
        <v>29</v>
      </c>
      <c r="N2988" s="1">
        <v>3200</v>
      </c>
      <c r="O2988" s="1">
        <v>3200</v>
      </c>
      <c r="P2988" t="s">
        <v>30</v>
      </c>
      <c r="Q2988" s="2">
        <v>0.7</v>
      </c>
      <c r="R2988" s="1">
        <v>2240</v>
      </c>
      <c r="S2988" t="s">
        <v>29</v>
      </c>
      <c r="T2988" s="1">
        <v>2240</v>
      </c>
      <c r="V2988" t="str">
        <f>VLOOKUP(H2988,'[1]팀별 출판사'!A:B,2,0)</f>
        <v>소설1팀</v>
      </c>
      <c r="W2988" s="6">
        <f t="shared" si="92"/>
        <v>0</v>
      </c>
      <c r="X2988" s="6">
        <f t="shared" si="93"/>
        <v>2240</v>
      </c>
    </row>
    <row r="2989" spans="1:24" x14ac:dyDescent="0.3">
      <c r="A2989" t="s">
        <v>4222</v>
      </c>
      <c r="B2989" t="s">
        <v>4400</v>
      </c>
      <c r="C2989" t="s">
        <v>23</v>
      </c>
      <c r="D2989" t="s">
        <v>24</v>
      </c>
      <c r="E2989" t="s">
        <v>25</v>
      </c>
      <c r="F2989">
        <v>1</v>
      </c>
      <c r="G2989">
        <v>9791173787669</v>
      </c>
      <c r="H2989" t="s">
        <v>26</v>
      </c>
      <c r="I2989" t="s">
        <v>4403</v>
      </c>
      <c r="J2989" t="s">
        <v>3808</v>
      </c>
      <c r="K2989" t="s">
        <v>29</v>
      </c>
      <c r="L2989" s="1">
        <v>3200</v>
      </c>
      <c r="M2989" t="s">
        <v>29</v>
      </c>
      <c r="N2989" s="1">
        <v>3200</v>
      </c>
      <c r="O2989" s="1">
        <v>3200</v>
      </c>
      <c r="P2989" t="s">
        <v>30</v>
      </c>
      <c r="Q2989" s="2">
        <v>0.7</v>
      </c>
      <c r="R2989" s="1">
        <v>2240</v>
      </c>
      <c r="S2989" t="s">
        <v>29</v>
      </c>
      <c r="T2989" s="1">
        <v>2240</v>
      </c>
      <c r="V2989" t="str">
        <f>VLOOKUP(H2989,'[1]팀별 출판사'!A:B,2,0)</f>
        <v>소설1팀</v>
      </c>
      <c r="W2989" s="6">
        <f t="shared" si="92"/>
        <v>0</v>
      </c>
      <c r="X2989" s="6">
        <f t="shared" si="93"/>
        <v>2240</v>
      </c>
    </row>
    <row r="2990" spans="1:24" x14ac:dyDescent="0.3">
      <c r="A2990" t="s">
        <v>4222</v>
      </c>
      <c r="B2990" t="s">
        <v>4400</v>
      </c>
      <c r="C2990" t="s">
        <v>23</v>
      </c>
      <c r="D2990" t="s">
        <v>24</v>
      </c>
      <c r="E2990" t="s">
        <v>25</v>
      </c>
      <c r="F2990">
        <v>1</v>
      </c>
      <c r="G2990">
        <v>9791173787676</v>
      </c>
      <c r="H2990" t="s">
        <v>26</v>
      </c>
      <c r="I2990" t="s">
        <v>4404</v>
      </c>
      <c r="J2990" t="s">
        <v>3808</v>
      </c>
      <c r="K2990" t="s">
        <v>29</v>
      </c>
      <c r="L2990" s="1">
        <v>3200</v>
      </c>
      <c r="M2990" t="s">
        <v>29</v>
      </c>
      <c r="N2990" s="1">
        <v>3200</v>
      </c>
      <c r="O2990" s="1">
        <v>3200</v>
      </c>
      <c r="P2990" t="s">
        <v>30</v>
      </c>
      <c r="Q2990" s="2">
        <v>0.7</v>
      </c>
      <c r="R2990" s="1">
        <v>2240</v>
      </c>
      <c r="S2990" t="s">
        <v>29</v>
      </c>
      <c r="T2990" s="1">
        <v>2240</v>
      </c>
      <c r="V2990" t="str">
        <f>VLOOKUP(H2990,'[1]팀별 출판사'!A:B,2,0)</f>
        <v>소설1팀</v>
      </c>
      <c r="W2990" s="6">
        <f t="shared" si="92"/>
        <v>0</v>
      </c>
      <c r="X2990" s="6">
        <f t="shared" si="93"/>
        <v>2240</v>
      </c>
    </row>
    <row r="2991" spans="1:24" x14ac:dyDescent="0.3">
      <c r="A2991" t="s">
        <v>4222</v>
      </c>
      <c r="B2991" t="s">
        <v>4400</v>
      </c>
      <c r="C2991" t="s">
        <v>23</v>
      </c>
      <c r="D2991" t="s">
        <v>24</v>
      </c>
      <c r="E2991" t="s">
        <v>25</v>
      </c>
      <c r="F2991">
        <v>1</v>
      </c>
      <c r="G2991">
        <v>9791173787683</v>
      </c>
      <c r="H2991" t="s">
        <v>26</v>
      </c>
      <c r="I2991" t="s">
        <v>4405</v>
      </c>
      <c r="J2991" t="s">
        <v>3808</v>
      </c>
      <c r="K2991" t="s">
        <v>29</v>
      </c>
      <c r="L2991" s="1">
        <v>3200</v>
      </c>
      <c r="M2991" t="s">
        <v>29</v>
      </c>
      <c r="N2991" s="1">
        <v>3200</v>
      </c>
      <c r="O2991" s="1">
        <v>3200</v>
      </c>
      <c r="P2991" t="s">
        <v>30</v>
      </c>
      <c r="Q2991" s="2">
        <v>0.7</v>
      </c>
      <c r="R2991" s="1">
        <v>2240</v>
      </c>
      <c r="S2991" t="s">
        <v>29</v>
      </c>
      <c r="T2991" s="1">
        <v>2240</v>
      </c>
      <c r="V2991" t="str">
        <f>VLOOKUP(H2991,'[1]팀별 출판사'!A:B,2,0)</f>
        <v>소설1팀</v>
      </c>
      <c r="W2991" s="6">
        <f t="shared" si="92"/>
        <v>0</v>
      </c>
      <c r="X2991" s="6">
        <f t="shared" si="93"/>
        <v>2240</v>
      </c>
    </row>
    <row r="2992" spans="1:24" x14ac:dyDescent="0.3">
      <c r="A2992" t="s">
        <v>4222</v>
      </c>
      <c r="B2992" t="s">
        <v>4406</v>
      </c>
      <c r="C2992" t="s">
        <v>23</v>
      </c>
      <c r="D2992" t="s">
        <v>24</v>
      </c>
      <c r="E2992" t="s">
        <v>25</v>
      </c>
      <c r="F2992">
        <v>1</v>
      </c>
      <c r="G2992">
        <v>9791172927943</v>
      </c>
      <c r="H2992" t="s">
        <v>79</v>
      </c>
      <c r="I2992" t="s">
        <v>4407</v>
      </c>
      <c r="J2992" t="s">
        <v>81</v>
      </c>
      <c r="K2992" t="s">
        <v>29</v>
      </c>
      <c r="L2992" s="1">
        <v>3200</v>
      </c>
      <c r="M2992" t="s">
        <v>29</v>
      </c>
      <c r="N2992" s="1">
        <v>3200</v>
      </c>
      <c r="O2992" s="1">
        <v>3200</v>
      </c>
      <c r="P2992" t="s">
        <v>30</v>
      </c>
      <c r="Q2992" s="2">
        <v>0.7</v>
      </c>
      <c r="R2992" s="1">
        <v>2240</v>
      </c>
      <c r="S2992" t="s">
        <v>29</v>
      </c>
      <c r="T2992" s="1">
        <v>2240</v>
      </c>
      <c r="V2992" t="str">
        <f>VLOOKUP(H2992,'[1]팀별 출판사'!A:B,2,0)</f>
        <v>소설1팀</v>
      </c>
      <c r="W2992" s="6">
        <f t="shared" si="92"/>
        <v>0</v>
      </c>
      <c r="X2992" s="6">
        <f t="shared" si="93"/>
        <v>2240</v>
      </c>
    </row>
    <row r="2993" spans="1:24" x14ac:dyDescent="0.3">
      <c r="A2993" t="s">
        <v>4222</v>
      </c>
      <c r="B2993" t="s">
        <v>4408</v>
      </c>
      <c r="C2993" t="s">
        <v>23</v>
      </c>
      <c r="D2993" t="s">
        <v>24</v>
      </c>
      <c r="E2993" t="s">
        <v>25</v>
      </c>
      <c r="F2993">
        <v>1</v>
      </c>
      <c r="G2993">
        <v>9791133167227</v>
      </c>
      <c r="H2993" t="s">
        <v>32</v>
      </c>
      <c r="I2993" t="s">
        <v>313</v>
      </c>
      <c r="J2993" t="s">
        <v>160</v>
      </c>
      <c r="K2993" t="s">
        <v>29</v>
      </c>
      <c r="L2993">
        <v>0</v>
      </c>
      <c r="M2993" t="s">
        <v>29</v>
      </c>
      <c r="N2993">
        <v>0</v>
      </c>
      <c r="O2993">
        <v>0</v>
      </c>
      <c r="P2993" t="s">
        <v>30</v>
      </c>
      <c r="Q2993" s="2">
        <v>0.7</v>
      </c>
      <c r="R2993">
        <v>0</v>
      </c>
      <c r="V2993" t="str">
        <f>VLOOKUP(H2993,'[1]팀별 출판사'!A:B,2,0)</f>
        <v>소설1팀</v>
      </c>
      <c r="W2993" s="6">
        <f t="shared" si="92"/>
        <v>0</v>
      </c>
      <c r="X2993" s="6">
        <f t="shared" si="93"/>
        <v>0</v>
      </c>
    </row>
    <row r="2994" spans="1:24" x14ac:dyDescent="0.3">
      <c r="A2994" t="s">
        <v>4222</v>
      </c>
      <c r="B2994" t="s">
        <v>4409</v>
      </c>
      <c r="C2994" t="s">
        <v>23</v>
      </c>
      <c r="D2994" t="s">
        <v>24</v>
      </c>
      <c r="E2994" t="s">
        <v>25</v>
      </c>
      <c r="F2994">
        <v>1</v>
      </c>
      <c r="G2994">
        <v>9791136930699</v>
      </c>
      <c r="H2994" t="s">
        <v>32</v>
      </c>
      <c r="I2994" t="s">
        <v>1735</v>
      </c>
      <c r="J2994" t="s">
        <v>34</v>
      </c>
      <c r="K2994" t="s">
        <v>29</v>
      </c>
      <c r="L2994">
        <v>0</v>
      </c>
      <c r="M2994" t="s">
        <v>29</v>
      </c>
      <c r="N2994">
        <v>0</v>
      </c>
      <c r="O2994">
        <v>0</v>
      </c>
      <c r="P2994" t="s">
        <v>30</v>
      </c>
      <c r="Q2994" s="2">
        <v>0.7</v>
      </c>
      <c r="R2994">
        <v>0</v>
      </c>
      <c r="V2994" t="str">
        <f>VLOOKUP(H2994,'[1]팀별 출판사'!A:B,2,0)</f>
        <v>소설1팀</v>
      </c>
      <c r="W2994" s="6">
        <f t="shared" si="92"/>
        <v>0</v>
      </c>
      <c r="X2994" s="6">
        <f t="shared" si="93"/>
        <v>0</v>
      </c>
    </row>
    <row r="2995" spans="1:24" x14ac:dyDescent="0.3">
      <c r="A2995" t="s">
        <v>4222</v>
      </c>
      <c r="B2995" t="s">
        <v>4410</v>
      </c>
      <c r="C2995" t="s">
        <v>23</v>
      </c>
      <c r="D2995" t="s">
        <v>24</v>
      </c>
      <c r="E2995" t="s">
        <v>25</v>
      </c>
      <c r="F2995">
        <v>1</v>
      </c>
      <c r="G2995">
        <v>9791173786150</v>
      </c>
      <c r="H2995" t="s">
        <v>79</v>
      </c>
      <c r="I2995" t="s">
        <v>4411</v>
      </c>
      <c r="J2995" t="s">
        <v>81</v>
      </c>
      <c r="K2995" t="s">
        <v>29</v>
      </c>
      <c r="L2995" s="1">
        <v>3200</v>
      </c>
      <c r="M2995" t="s">
        <v>29</v>
      </c>
      <c r="N2995" s="1">
        <v>3200</v>
      </c>
      <c r="O2995" s="1">
        <v>3200</v>
      </c>
      <c r="P2995" t="s">
        <v>30</v>
      </c>
      <c r="Q2995" s="2">
        <v>0.7</v>
      </c>
      <c r="R2995" s="1">
        <v>2240</v>
      </c>
      <c r="S2995" t="s">
        <v>29</v>
      </c>
      <c r="T2995" s="1">
        <v>2240</v>
      </c>
      <c r="V2995" t="str">
        <f>VLOOKUP(H2995,'[1]팀별 출판사'!A:B,2,0)</f>
        <v>소설1팀</v>
      </c>
      <c r="W2995" s="6">
        <f t="shared" si="92"/>
        <v>0</v>
      </c>
      <c r="X2995" s="6">
        <f t="shared" si="93"/>
        <v>2240</v>
      </c>
    </row>
    <row r="2996" spans="1:24" x14ac:dyDescent="0.3">
      <c r="A2996" t="s">
        <v>4222</v>
      </c>
      <c r="B2996" t="s">
        <v>4412</v>
      </c>
      <c r="C2996" t="s">
        <v>23</v>
      </c>
      <c r="D2996" t="s">
        <v>24</v>
      </c>
      <c r="E2996" t="s">
        <v>25</v>
      </c>
      <c r="F2996">
        <v>1</v>
      </c>
      <c r="G2996">
        <v>9791136905116</v>
      </c>
      <c r="H2996" t="s">
        <v>26</v>
      </c>
      <c r="I2996" t="s">
        <v>3380</v>
      </c>
      <c r="J2996" t="s">
        <v>3381</v>
      </c>
      <c r="K2996" t="s">
        <v>29</v>
      </c>
      <c r="L2996">
        <v>0</v>
      </c>
      <c r="M2996" t="s">
        <v>29</v>
      </c>
      <c r="N2996">
        <v>0</v>
      </c>
      <c r="O2996">
        <v>0</v>
      </c>
      <c r="P2996" t="s">
        <v>30</v>
      </c>
      <c r="Q2996" s="2">
        <v>0.7</v>
      </c>
      <c r="R2996">
        <v>0</v>
      </c>
      <c r="V2996" t="str">
        <f>VLOOKUP(H2996,'[1]팀별 출판사'!A:B,2,0)</f>
        <v>소설1팀</v>
      </c>
      <c r="W2996" s="6">
        <f t="shared" si="92"/>
        <v>0</v>
      </c>
      <c r="X2996" s="6">
        <f t="shared" si="93"/>
        <v>0</v>
      </c>
    </row>
    <row r="2997" spans="1:24" x14ac:dyDescent="0.3">
      <c r="A2997" t="s">
        <v>4222</v>
      </c>
      <c r="B2997" t="s">
        <v>4413</v>
      </c>
      <c r="C2997" t="s">
        <v>23</v>
      </c>
      <c r="D2997" t="s">
        <v>24</v>
      </c>
      <c r="E2997" t="s">
        <v>25</v>
      </c>
      <c r="F2997">
        <v>1</v>
      </c>
      <c r="G2997">
        <v>9791133152742</v>
      </c>
      <c r="H2997" t="s">
        <v>32</v>
      </c>
      <c r="I2997" t="s">
        <v>4414</v>
      </c>
      <c r="J2997" t="s">
        <v>810</v>
      </c>
      <c r="K2997" t="s">
        <v>29</v>
      </c>
      <c r="L2997" s="1">
        <v>3200</v>
      </c>
      <c r="M2997" t="s">
        <v>29</v>
      </c>
      <c r="N2997" s="1">
        <v>3200</v>
      </c>
      <c r="O2997" s="1">
        <v>3200</v>
      </c>
      <c r="P2997" t="s">
        <v>30</v>
      </c>
      <c r="Q2997" s="2">
        <v>0.7</v>
      </c>
      <c r="R2997" s="1">
        <v>2240</v>
      </c>
      <c r="S2997" t="s">
        <v>29</v>
      </c>
      <c r="T2997" s="1">
        <v>2240</v>
      </c>
      <c r="V2997" t="str">
        <f>VLOOKUP(H2997,'[1]팀별 출판사'!A:B,2,0)</f>
        <v>소설1팀</v>
      </c>
      <c r="W2997" s="6">
        <f t="shared" si="92"/>
        <v>0</v>
      </c>
      <c r="X2997" s="6">
        <f t="shared" si="93"/>
        <v>2240</v>
      </c>
    </row>
    <row r="2998" spans="1:24" x14ac:dyDescent="0.3">
      <c r="A2998" t="s">
        <v>4222</v>
      </c>
      <c r="B2998" t="s">
        <v>4415</v>
      </c>
      <c r="C2998" t="s">
        <v>23</v>
      </c>
      <c r="D2998" t="s">
        <v>24</v>
      </c>
      <c r="E2998" t="s">
        <v>25</v>
      </c>
      <c r="F2998">
        <v>1</v>
      </c>
      <c r="G2998">
        <v>9791136931382</v>
      </c>
      <c r="H2998" t="s">
        <v>32</v>
      </c>
      <c r="I2998" t="s">
        <v>523</v>
      </c>
      <c r="J2998" t="s">
        <v>46</v>
      </c>
      <c r="K2998" t="s">
        <v>29</v>
      </c>
      <c r="L2998">
        <v>0</v>
      </c>
      <c r="M2998" t="s">
        <v>29</v>
      </c>
      <c r="N2998">
        <v>0</v>
      </c>
      <c r="O2998">
        <v>0</v>
      </c>
      <c r="P2998" t="s">
        <v>30</v>
      </c>
      <c r="Q2998" s="2">
        <v>0.7</v>
      </c>
      <c r="R2998">
        <v>0</v>
      </c>
      <c r="V2998" t="str">
        <f>VLOOKUP(H2998,'[1]팀별 출판사'!A:B,2,0)</f>
        <v>소설1팀</v>
      </c>
      <c r="W2998" s="6">
        <f t="shared" si="92"/>
        <v>0</v>
      </c>
      <c r="X2998" s="6">
        <f t="shared" si="93"/>
        <v>0</v>
      </c>
    </row>
    <row r="2999" spans="1:24" x14ac:dyDescent="0.3">
      <c r="A2999" t="s">
        <v>4222</v>
      </c>
      <c r="B2999" t="s">
        <v>4416</v>
      </c>
      <c r="C2999" t="s">
        <v>23</v>
      </c>
      <c r="D2999" t="s">
        <v>24</v>
      </c>
      <c r="E2999" t="s">
        <v>25</v>
      </c>
      <c r="F2999">
        <v>1</v>
      </c>
      <c r="G2999">
        <v>9791173786136</v>
      </c>
      <c r="H2999" t="s">
        <v>79</v>
      </c>
      <c r="I2999" t="s">
        <v>1476</v>
      </c>
      <c r="J2999" t="s">
        <v>81</v>
      </c>
      <c r="K2999" t="s">
        <v>29</v>
      </c>
      <c r="L2999">
        <v>0</v>
      </c>
      <c r="M2999" t="s">
        <v>29</v>
      </c>
      <c r="N2999">
        <v>0</v>
      </c>
      <c r="O2999">
        <v>0</v>
      </c>
      <c r="P2999" t="s">
        <v>30</v>
      </c>
      <c r="Q2999" s="2">
        <v>0.7</v>
      </c>
      <c r="R2999">
        <v>0</v>
      </c>
      <c r="V2999" t="str">
        <f>VLOOKUP(H2999,'[1]팀별 출판사'!A:B,2,0)</f>
        <v>소설1팀</v>
      </c>
      <c r="W2999" s="6">
        <f t="shared" si="92"/>
        <v>0</v>
      </c>
      <c r="X2999" s="6">
        <f t="shared" si="93"/>
        <v>0</v>
      </c>
    </row>
    <row r="3000" spans="1:24" x14ac:dyDescent="0.3">
      <c r="A3000" t="s">
        <v>4222</v>
      </c>
      <c r="B3000" t="s">
        <v>4417</v>
      </c>
      <c r="C3000" t="s">
        <v>23</v>
      </c>
      <c r="D3000" t="s">
        <v>24</v>
      </c>
      <c r="E3000" t="s">
        <v>25</v>
      </c>
      <c r="F3000">
        <v>1</v>
      </c>
      <c r="G3000">
        <v>9791136941862</v>
      </c>
      <c r="H3000" t="s">
        <v>26</v>
      </c>
      <c r="I3000" t="s">
        <v>894</v>
      </c>
      <c r="J3000" t="s">
        <v>81</v>
      </c>
      <c r="K3000" t="s">
        <v>29</v>
      </c>
      <c r="L3000">
        <v>0</v>
      </c>
      <c r="M3000" t="s">
        <v>29</v>
      </c>
      <c r="N3000">
        <v>0</v>
      </c>
      <c r="O3000">
        <v>0</v>
      </c>
      <c r="P3000" t="s">
        <v>30</v>
      </c>
      <c r="Q3000" s="2">
        <v>0.7</v>
      </c>
      <c r="R3000">
        <v>0</v>
      </c>
      <c r="V3000" t="str">
        <f>VLOOKUP(H3000,'[1]팀별 출판사'!A:B,2,0)</f>
        <v>소설1팀</v>
      </c>
      <c r="W3000" s="6">
        <f t="shared" si="92"/>
        <v>0</v>
      </c>
      <c r="X3000" s="6">
        <f t="shared" si="93"/>
        <v>0</v>
      </c>
    </row>
    <row r="3001" spans="1:24" x14ac:dyDescent="0.3">
      <c r="A3001" t="s">
        <v>4222</v>
      </c>
      <c r="B3001" t="s">
        <v>4418</v>
      </c>
      <c r="C3001" t="s">
        <v>23</v>
      </c>
      <c r="D3001" t="s">
        <v>24</v>
      </c>
      <c r="E3001" t="s">
        <v>25</v>
      </c>
      <c r="F3001">
        <v>1</v>
      </c>
      <c r="G3001">
        <v>9791136942036</v>
      </c>
      <c r="H3001" t="s">
        <v>26</v>
      </c>
      <c r="I3001" t="s">
        <v>1941</v>
      </c>
      <c r="J3001" t="s">
        <v>81</v>
      </c>
      <c r="K3001" t="s">
        <v>29</v>
      </c>
      <c r="L3001">
        <v>0</v>
      </c>
      <c r="M3001" t="s">
        <v>29</v>
      </c>
      <c r="N3001">
        <v>0</v>
      </c>
      <c r="O3001">
        <v>0</v>
      </c>
      <c r="P3001" t="s">
        <v>30</v>
      </c>
      <c r="Q3001" s="2">
        <v>0.7</v>
      </c>
      <c r="R3001">
        <v>0</v>
      </c>
      <c r="V3001" t="str">
        <f>VLOOKUP(H3001,'[1]팀별 출판사'!A:B,2,0)</f>
        <v>소설1팀</v>
      </c>
      <c r="W3001" s="6">
        <f t="shared" si="92"/>
        <v>0</v>
      </c>
      <c r="X3001" s="6">
        <f t="shared" si="93"/>
        <v>0</v>
      </c>
    </row>
    <row r="3002" spans="1:24" x14ac:dyDescent="0.3">
      <c r="A3002" t="s">
        <v>4222</v>
      </c>
      <c r="B3002" t="s">
        <v>4419</v>
      </c>
      <c r="C3002" t="s">
        <v>23</v>
      </c>
      <c r="D3002" t="s">
        <v>24</v>
      </c>
      <c r="E3002" t="s">
        <v>25</v>
      </c>
      <c r="F3002">
        <v>1</v>
      </c>
      <c r="G3002">
        <v>9791172920937</v>
      </c>
      <c r="H3002" t="s">
        <v>79</v>
      </c>
      <c r="I3002" t="s">
        <v>80</v>
      </c>
      <c r="J3002" t="s">
        <v>81</v>
      </c>
      <c r="K3002" t="s">
        <v>29</v>
      </c>
      <c r="L3002">
        <v>0</v>
      </c>
      <c r="M3002" t="s">
        <v>29</v>
      </c>
      <c r="N3002">
        <v>0</v>
      </c>
      <c r="O3002">
        <v>0</v>
      </c>
      <c r="P3002" t="s">
        <v>30</v>
      </c>
      <c r="Q3002" s="2">
        <v>0.7</v>
      </c>
      <c r="R3002">
        <v>0</v>
      </c>
      <c r="V3002" t="str">
        <f>VLOOKUP(H3002,'[1]팀별 출판사'!A:B,2,0)</f>
        <v>소설1팀</v>
      </c>
      <c r="W3002" s="6">
        <f t="shared" si="92"/>
        <v>0</v>
      </c>
      <c r="X3002" s="6">
        <f t="shared" si="93"/>
        <v>0</v>
      </c>
    </row>
    <row r="3003" spans="1:24" x14ac:dyDescent="0.3">
      <c r="A3003" t="s">
        <v>4222</v>
      </c>
      <c r="B3003" t="s">
        <v>4420</v>
      </c>
      <c r="C3003" t="s">
        <v>23</v>
      </c>
      <c r="D3003" t="s">
        <v>24</v>
      </c>
      <c r="E3003" t="s">
        <v>25</v>
      </c>
      <c r="F3003">
        <v>1</v>
      </c>
      <c r="G3003">
        <v>9791136958662</v>
      </c>
      <c r="H3003" t="s">
        <v>79</v>
      </c>
      <c r="I3003" t="s">
        <v>396</v>
      </c>
      <c r="J3003" t="s">
        <v>81</v>
      </c>
      <c r="K3003" t="s">
        <v>29</v>
      </c>
      <c r="L3003">
        <v>0</v>
      </c>
      <c r="M3003" t="s">
        <v>29</v>
      </c>
      <c r="N3003">
        <v>0</v>
      </c>
      <c r="O3003">
        <v>0</v>
      </c>
      <c r="P3003" t="s">
        <v>30</v>
      </c>
      <c r="Q3003" s="2">
        <v>0.7</v>
      </c>
      <c r="R3003">
        <v>0</v>
      </c>
      <c r="V3003" t="str">
        <f>VLOOKUP(H3003,'[1]팀별 출판사'!A:B,2,0)</f>
        <v>소설1팀</v>
      </c>
      <c r="W3003" s="6">
        <f t="shared" si="92"/>
        <v>0</v>
      </c>
      <c r="X3003" s="6">
        <f t="shared" si="93"/>
        <v>0</v>
      </c>
    </row>
    <row r="3004" spans="1:24" x14ac:dyDescent="0.3">
      <c r="A3004" t="s">
        <v>4421</v>
      </c>
      <c r="B3004" t="s">
        <v>4422</v>
      </c>
      <c r="C3004" t="s">
        <v>23</v>
      </c>
      <c r="D3004" t="s">
        <v>24</v>
      </c>
      <c r="E3004" t="s">
        <v>25</v>
      </c>
      <c r="F3004">
        <v>1</v>
      </c>
      <c r="G3004">
        <v>9791172927844</v>
      </c>
      <c r="H3004" t="s">
        <v>79</v>
      </c>
      <c r="I3004" t="s">
        <v>1168</v>
      </c>
      <c r="J3004" t="s">
        <v>81</v>
      </c>
      <c r="K3004" t="s">
        <v>29</v>
      </c>
      <c r="L3004">
        <v>0</v>
      </c>
      <c r="M3004" t="s">
        <v>29</v>
      </c>
      <c r="N3004">
        <v>0</v>
      </c>
      <c r="O3004">
        <v>0</v>
      </c>
      <c r="P3004" t="s">
        <v>30</v>
      </c>
      <c r="Q3004" s="2">
        <v>0.7</v>
      </c>
      <c r="R3004">
        <v>0</v>
      </c>
      <c r="V3004" t="str">
        <f>VLOOKUP(H3004,'[1]팀별 출판사'!A:B,2,0)</f>
        <v>소설1팀</v>
      </c>
      <c r="W3004" s="6">
        <f t="shared" si="92"/>
        <v>0</v>
      </c>
      <c r="X3004" s="6">
        <f t="shared" si="93"/>
        <v>0</v>
      </c>
    </row>
    <row r="3005" spans="1:24" x14ac:dyDescent="0.3">
      <c r="A3005" t="s">
        <v>4421</v>
      </c>
      <c r="B3005" t="s">
        <v>4423</v>
      </c>
      <c r="C3005" t="s">
        <v>23</v>
      </c>
      <c r="D3005" t="s">
        <v>24</v>
      </c>
      <c r="E3005" t="s">
        <v>25</v>
      </c>
      <c r="F3005">
        <v>1</v>
      </c>
      <c r="G3005" t="s">
        <v>350</v>
      </c>
      <c r="H3005" t="s">
        <v>208</v>
      </c>
      <c r="I3005" t="s">
        <v>2112</v>
      </c>
      <c r="J3005" t="s">
        <v>210</v>
      </c>
      <c r="K3005" t="s">
        <v>29</v>
      </c>
      <c r="L3005" s="1">
        <v>2000</v>
      </c>
      <c r="M3005" t="s">
        <v>29</v>
      </c>
      <c r="N3005" s="1">
        <v>2000</v>
      </c>
      <c r="O3005" s="1">
        <v>2000</v>
      </c>
      <c r="P3005" t="s">
        <v>30</v>
      </c>
      <c r="Q3005" s="2">
        <v>0.7</v>
      </c>
      <c r="R3005" s="1">
        <v>1400</v>
      </c>
      <c r="S3005" t="s">
        <v>29</v>
      </c>
      <c r="T3005" s="1">
        <v>1400</v>
      </c>
      <c r="V3005" t="str">
        <f>VLOOKUP(H3005,'[1]팀별 출판사'!A:B,2,0)</f>
        <v>소설1팀</v>
      </c>
      <c r="W3005" s="6">
        <f t="shared" si="92"/>
        <v>0</v>
      </c>
      <c r="X3005" s="6">
        <f t="shared" si="93"/>
        <v>1400</v>
      </c>
    </row>
    <row r="3006" spans="1:24" x14ac:dyDescent="0.3">
      <c r="A3006" t="s">
        <v>4421</v>
      </c>
      <c r="B3006" t="s">
        <v>4424</v>
      </c>
      <c r="C3006" t="s">
        <v>23</v>
      </c>
      <c r="D3006" t="s">
        <v>24</v>
      </c>
      <c r="E3006" t="s">
        <v>25</v>
      </c>
      <c r="F3006">
        <v>1</v>
      </c>
      <c r="G3006">
        <v>9791170100188</v>
      </c>
      <c r="H3006" t="s">
        <v>67</v>
      </c>
      <c r="I3006" t="s">
        <v>2098</v>
      </c>
      <c r="J3006" t="s">
        <v>107</v>
      </c>
      <c r="K3006" t="s">
        <v>29</v>
      </c>
      <c r="L3006" s="1">
        <v>2500</v>
      </c>
      <c r="M3006" t="s">
        <v>29</v>
      </c>
      <c r="N3006" s="1">
        <v>2500</v>
      </c>
      <c r="O3006" s="1">
        <v>2500</v>
      </c>
      <c r="P3006" t="s">
        <v>30</v>
      </c>
      <c r="Q3006" s="2">
        <v>0.7</v>
      </c>
      <c r="R3006" s="1">
        <v>1750</v>
      </c>
      <c r="S3006" t="s">
        <v>29</v>
      </c>
      <c r="T3006" s="1">
        <v>1750</v>
      </c>
      <c r="V3006" t="str">
        <f>VLOOKUP(H3006,'[1]팀별 출판사'!A:B,2,0)</f>
        <v>소설1팀</v>
      </c>
      <c r="W3006" s="6">
        <f t="shared" si="92"/>
        <v>0</v>
      </c>
      <c r="X3006" s="6">
        <f t="shared" si="93"/>
        <v>1750</v>
      </c>
    </row>
    <row r="3007" spans="1:24" x14ac:dyDescent="0.3">
      <c r="A3007" t="s">
        <v>4421</v>
      </c>
      <c r="B3007" t="s">
        <v>4425</v>
      </c>
      <c r="C3007" t="s">
        <v>23</v>
      </c>
      <c r="D3007" t="s">
        <v>24</v>
      </c>
      <c r="E3007" t="s">
        <v>25</v>
      </c>
      <c r="F3007">
        <v>1</v>
      </c>
      <c r="G3007">
        <v>9791172920029</v>
      </c>
      <c r="H3007" t="s">
        <v>26</v>
      </c>
      <c r="I3007" t="s">
        <v>369</v>
      </c>
      <c r="J3007" t="s">
        <v>276</v>
      </c>
      <c r="K3007" t="s">
        <v>29</v>
      </c>
      <c r="L3007">
        <v>0</v>
      </c>
      <c r="M3007" t="s">
        <v>29</v>
      </c>
      <c r="N3007">
        <v>0</v>
      </c>
      <c r="O3007">
        <v>0</v>
      </c>
      <c r="P3007" t="s">
        <v>30</v>
      </c>
      <c r="Q3007" s="2">
        <v>0.7</v>
      </c>
      <c r="R3007">
        <v>0</v>
      </c>
      <c r="V3007" t="str">
        <f>VLOOKUP(H3007,'[1]팀별 출판사'!A:B,2,0)</f>
        <v>소설1팀</v>
      </c>
      <c r="W3007" s="6">
        <f t="shared" si="92"/>
        <v>0</v>
      </c>
      <c r="X3007" s="6">
        <f t="shared" si="93"/>
        <v>0</v>
      </c>
    </row>
    <row r="3008" spans="1:24" x14ac:dyDescent="0.3">
      <c r="A3008" t="s">
        <v>4421</v>
      </c>
      <c r="B3008" t="s">
        <v>4426</v>
      </c>
      <c r="C3008" t="s">
        <v>23</v>
      </c>
      <c r="D3008" t="s">
        <v>24</v>
      </c>
      <c r="E3008" t="s">
        <v>25</v>
      </c>
      <c r="F3008">
        <v>1</v>
      </c>
      <c r="G3008">
        <v>9791133188642</v>
      </c>
      <c r="H3008" t="s">
        <v>26</v>
      </c>
      <c r="I3008" t="s">
        <v>1437</v>
      </c>
      <c r="J3008" t="s">
        <v>743</v>
      </c>
      <c r="K3008" t="s">
        <v>29</v>
      </c>
      <c r="L3008">
        <v>0</v>
      </c>
      <c r="M3008" t="s">
        <v>29</v>
      </c>
      <c r="N3008">
        <v>0</v>
      </c>
      <c r="O3008">
        <v>0</v>
      </c>
      <c r="P3008" t="s">
        <v>30</v>
      </c>
      <c r="Q3008" s="2">
        <v>0.7</v>
      </c>
      <c r="R3008">
        <v>0</v>
      </c>
      <c r="V3008" t="str">
        <f>VLOOKUP(H3008,'[1]팀별 출판사'!A:B,2,0)</f>
        <v>소설1팀</v>
      </c>
      <c r="W3008" s="6">
        <f t="shared" si="92"/>
        <v>0</v>
      </c>
      <c r="X3008" s="6">
        <f t="shared" si="93"/>
        <v>0</v>
      </c>
    </row>
    <row r="3009" spans="1:24" x14ac:dyDescent="0.3">
      <c r="A3009" t="s">
        <v>4421</v>
      </c>
      <c r="B3009" t="s">
        <v>4427</v>
      </c>
      <c r="C3009" t="s">
        <v>23</v>
      </c>
      <c r="D3009" t="s">
        <v>24</v>
      </c>
      <c r="E3009" t="s">
        <v>25</v>
      </c>
      <c r="F3009">
        <v>1</v>
      </c>
      <c r="G3009" t="s">
        <v>4428</v>
      </c>
      <c r="H3009" t="s">
        <v>32</v>
      </c>
      <c r="I3009" t="s">
        <v>4429</v>
      </c>
      <c r="J3009" t="s">
        <v>4430</v>
      </c>
      <c r="K3009" t="s">
        <v>29</v>
      </c>
      <c r="L3009">
        <v>0</v>
      </c>
      <c r="M3009" t="s">
        <v>29</v>
      </c>
      <c r="N3009">
        <v>0</v>
      </c>
      <c r="O3009">
        <v>0</v>
      </c>
      <c r="P3009" t="s">
        <v>30</v>
      </c>
      <c r="Q3009" s="2">
        <v>0.7</v>
      </c>
      <c r="R3009">
        <v>0</v>
      </c>
      <c r="V3009" t="str">
        <f>VLOOKUP(H3009,'[1]팀별 출판사'!A:B,2,0)</f>
        <v>소설1팀</v>
      </c>
      <c r="W3009" s="6">
        <f t="shared" si="92"/>
        <v>0</v>
      </c>
      <c r="X3009" s="6">
        <f t="shared" si="93"/>
        <v>0</v>
      </c>
    </row>
    <row r="3010" spans="1:24" x14ac:dyDescent="0.3">
      <c r="A3010" t="s">
        <v>4421</v>
      </c>
      <c r="B3010" t="s">
        <v>4431</v>
      </c>
      <c r="C3010" t="s">
        <v>23</v>
      </c>
      <c r="D3010" t="s">
        <v>24</v>
      </c>
      <c r="E3010" t="s">
        <v>25</v>
      </c>
      <c r="F3010">
        <v>1</v>
      </c>
      <c r="G3010" t="s">
        <v>448</v>
      </c>
      <c r="H3010" t="s">
        <v>32</v>
      </c>
      <c r="I3010" t="s">
        <v>449</v>
      </c>
      <c r="J3010" t="s">
        <v>311</v>
      </c>
      <c r="K3010" t="s">
        <v>29</v>
      </c>
      <c r="L3010">
        <v>0</v>
      </c>
      <c r="M3010" t="s">
        <v>29</v>
      </c>
      <c r="N3010">
        <v>0</v>
      </c>
      <c r="O3010">
        <v>0</v>
      </c>
      <c r="P3010" t="s">
        <v>30</v>
      </c>
      <c r="Q3010" s="2">
        <v>0.7</v>
      </c>
      <c r="R3010">
        <v>0</v>
      </c>
      <c r="V3010" t="str">
        <f>VLOOKUP(H3010,'[1]팀별 출판사'!A:B,2,0)</f>
        <v>소설1팀</v>
      </c>
      <c r="W3010" s="6">
        <f t="shared" ref="W3010:W3073" si="94">IF(P3010="US", T3010*30%, 0)</f>
        <v>0</v>
      </c>
      <c r="X3010" s="6">
        <f t="shared" ref="X3010:X3073" si="95">T3010-W3010</f>
        <v>0</v>
      </c>
    </row>
    <row r="3011" spans="1:24" x14ac:dyDescent="0.3">
      <c r="A3011" t="s">
        <v>4421</v>
      </c>
      <c r="B3011" t="s">
        <v>4432</v>
      </c>
      <c r="C3011" t="s">
        <v>23</v>
      </c>
      <c r="D3011" t="s">
        <v>24</v>
      </c>
      <c r="E3011" t="s">
        <v>25</v>
      </c>
      <c r="F3011">
        <v>1</v>
      </c>
      <c r="G3011">
        <v>9791136927248</v>
      </c>
      <c r="H3011" t="s">
        <v>36</v>
      </c>
      <c r="I3011" t="s">
        <v>2320</v>
      </c>
      <c r="J3011" t="s">
        <v>38</v>
      </c>
      <c r="K3011" t="s">
        <v>29</v>
      </c>
      <c r="L3011" s="1">
        <v>3300</v>
      </c>
      <c r="M3011" t="s">
        <v>193</v>
      </c>
      <c r="N3011">
        <v>12.55</v>
      </c>
      <c r="O3011">
        <v>12.55</v>
      </c>
      <c r="P3011" t="s">
        <v>194</v>
      </c>
      <c r="Q3011" s="2">
        <v>0.7</v>
      </c>
      <c r="R3011">
        <v>8.7799999999999994</v>
      </c>
      <c r="S3011" t="s">
        <v>29</v>
      </c>
      <c r="T3011" s="1">
        <v>2454</v>
      </c>
      <c r="U3011">
        <v>279.45895999999999</v>
      </c>
      <c r="V3011" t="str">
        <f>VLOOKUP(H3011,'[1]팀별 출판사'!A:B,2,0)</f>
        <v>소설2팀</v>
      </c>
      <c r="W3011" s="6">
        <f t="shared" si="94"/>
        <v>0</v>
      </c>
      <c r="X3011" s="6">
        <f t="shared" si="95"/>
        <v>2454</v>
      </c>
    </row>
    <row r="3012" spans="1:24" x14ac:dyDescent="0.3">
      <c r="A3012" t="s">
        <v>4421</v>
      </c>
      <c r="B3012" t="s">
        <v>4433</v>
      </c>
      <c r="C3012" t="s">
        <v>23</v>
      </c>
      <c r="D3012" t="s">
        <v>24</v>
      </c>
      <c r="E3012" t="s">
        <v>25</v>
      </c>
      <c r="F3012">
        <v>1</v>
      </c>
      <c r="G3012">
        <v>9791133156474</v>
      </c>
      <c r="H3012" t="s">
        <v>32</v>
      </c>
      <c r="I3012" t="s">
        <v>1215</v>
      </c>
      <c r="J3012" t="s">
        <v>51</v>
      </c>
      <c r="K3012" t="s">
        <v>29</v>
      </c>
      <c r="L3012">
        <v>0</v>
      </c>
      <c r="M3012" t="s">
        <v>29</v>
      </c>
      <c r="N3012">
        <v>0</v>
      </c>
      <c r="O3012">
        <v>0</v>
      </c>
      <c r="P3012" t="s">
        <v>30</v>
      </c>
      <c r="Q3012" s="2">
        <v>0.7</v>
      </c>
      <c r="R3012">
        <v>0</v>
      </c>
      <c r="V3012" t="str">
        <f>VLOOKUP(H3012,'[1]팀별 출판사'!A:B,2,0)</f>
        <v>소설1팀</v>
      </c>
      <c r="W3012" s="6">
        <f t="shared" si="94"/>
        <v>0</v>
      </c>
      <c r="X3012" s="6">
        <f t="shared" si="95"/>
        <v>0</v>
      </c>
    </row>
    <row r="3013" spans="1:24" x14ac:dyDescent="0.3">
      <c r="A3013" t="s">
        <v>4421</v>
      </c>
      <c r="B3013" t="s">
        <v>4434</v>
      </c>
      <c r="C3013" t="s">
        <v>23</v>
      </c>
      <c r="D3013" t="s">
        <v>24</v>
      </c>
      <c r="E3013" t="s">
        <v>25</v>
      </c>
      <c r="F3013">
        <v>1</v>
      </c>
      <c r="G3013">
        <v>9791173783883</v>
      </c>
      <c r="H3013" t="s">
        <v>26</v>
      </c>
      <c r="I3013" t="s">
        <v>936</v>
      </c>
      <c r="J3013" t="s">
        <v>937</v>
      </c>
      <c r="K3013" t="s">
        <v>29</v>
      </c>
      <c r="L3013">
        <v>0</v>
      </c>
      <c r="M3013" t="s">
        <v>29</v>
      </c>
      <c r="N3013">
        <v>0</v>
      </c>
      <c r="O3013">
        <v>0</v>
      </c>
      <c r="P3013" t="s">
        <v>30</v>
      </c>
      <c r="Q3013" s="2">
        <v>0.7</v>
      </c>
      <c r="R3013">
        <v>0</v>
      </c>
      <c r="V3013" t="str">
        <f>VLOOKUP(H3013,'[1]팀별 출판사'!A:B,2,0)</f>
        <v>소설1팀</v>
      </c>
      <c r="W3013" s="6">
        <f t="shared" si="94"/>
        <v>0</v>
      </c>
      <c r="X3013" s="6">
        <f t="shared" si="95"/>
        <v>0</v>
      </c>
    </row>
    <row r="3014" spans="1:24" x14ac:dyDescent="0.3">
      <c r="A3014" t="s">
        <v>4421</v>
      </c>
      <c r="B3014" t="s">
        <v>4435</v>
      </c>
      <c r="C3014" t="s">
        <v>23</v>
      </c>
      <c r="D3014" t="s">
        <v>24</v>
      </c>
      <c r="E3014" t="s">
        <v>25</v>
      </c>
      <c r="F3014">
        <v>1</v>
      </c>
      <c r="G3014">
        <v>9791133150298</v>
      </c>
      <c r="H3014" t="s">
        <v>32</v>
      </c>
      <c r="I3014" t="s">
        <v>1079</v>
      </c>
      <c r="J3014" t="s">
        <v>178</v>
      </c>
      <c r="K3014" t="s">
        <v>29</v>
      </c>
      <c r="L3014">
        <v>0</v>
      </c>
      <c r="M3014" t="s">
        <v>29</v>
      </c>
      <c r="N3014">
        <v>0</v>
      </c>
      <c r="O3014">
        <v>0</v>
      </c>
      <c r="P3014" t="s">
        <v>30</v>
      </c>
      <c r="Q3014" s="2">
        <v>0.7</v>
      </c>
      <c r="R3014">
        <v>0</v>
      </c>
      <c r="V3014" t="str">
        <f>VLOOKUP(H3014,'[1]팀별 출판사'!A:B,2,0)</f>
        <v>소설1팀</v>
      </c>
      <c r="W3014" s="6">
        <f t="shared" si="94"/>
        <v>0</v>
      </c>
      <c r="X3014" s="6">
        <f t="shared" si="95"/>
        <v>0</v>
      </c>
    </row>
    <row r="3015" spans="1:24" x14ac:dyDescent="0.3">
      <c r="A3015" t="s">
        <v>4421</v>
      </c>
      <c r="B3015" t="s">
        <v>4436</v>
      </c>
      <c r="C3015" t="s">
        <v>23</v>
      </c>
      <c r="D3015" t="s">
        <v>24</v>
      </c>
      <c r="E3015" t="s">
        <v>25</v>
      </c>
      <c r="F3015">
        <v>1</v>
      </c>
      <c r="G3015">
        <v>9791157539765</v>
      </c>
      <c r="H3015" t="s">
        <v>32</v>
      </c>
      <c r="I3015" t="s">
        <v>4437</v>
      </c>
      <c r="J3015" t="s">
        <v>88</v>
      </c>
      <c r="K3015" t="s">
        <v>29</v>
      </c>
      <c r="L3015" s="1">
        <v>3200</v>
      </c>
      <c r="M3015" t="s">
        <v>29</v>
      </c>
      <c r="N3015" s="1">
        <v>3200</v>
      </c>
      <c r="O3015" s="1">
        <v>3200</v>
      </c>
      <c r="P3015" t="s">
        <v>30</v>
      </c>
      <c r="Q3015" s="2">
        <v>0.7</v>
      </c>
      <c r="R3015" s="1">
        <v>2240</v>
      </c>
      <c r="S3015" t="s">
        <v>29</v>
      </c>
      <c r="T3015" s="1">
        <v>2240</v>
      </c>
      <c r="V3015" t="str">
        <f>VLOOKUP(H3015,'[1]팀별 출판사'!A:B,2,0)</f>
        <v>소설1팀</v>
      </c>
      <c r="W3015" s="6">
        <f t="shared" si="94"/>
        <v>0</v>
      </c>
      <c r="X3015" s="6">
        <f t="shared" si="95"/>
        <v>2240</v>
      </c>
    </row>
    <row r="3016" spans="1:24" x14ac:dyDescent="0.3">
      <c r="A3016" t="s">
        <v>4421</v>
      </c>
      <c r="B3016" t="s">
        <v>4438</v>
      </c>
      <c r="C3016" t="s">
        <v>23</v>
      </c>
      <c r="D3016" t="s">
        <v>24</v>
      </c>
      <c r="E3016" t="s">
        <v>25</v>
      </c>
      <c r="F3016">
        <v>1</v>
      </c>
      <c r="G3016" t="s">
        <v>581</v>
      </c>
      <c r="H3016" t="s">
        <v>32</v>
      </c>
      <c r="I3016" t="s">
        <v>582</v>
      </c>
      <c r="J3016" t="s">
        <v>583</v>
      </c>
      <c r="K3016" t="s">
        <v>29</v>
      </c>
      <c r="L3016">
        <v>0</v>
      </c>
      <c r="M3016" t="s">
        <v>29</v>
      </c>
      <c r="N3016">
        <v>0</v>
      </c>
      <c r="O3016">
        <v>0</v>
      </c>
      <c r="P3016" t="s">
        <v>30</v>
      </c>
      <c r="Q3016" s="2">
        <v>0.7</v>
      </c>
      <c r="R3016">
        <v>0</v>
      </c>
      <c r="V3016" t="str">
        <f>VLOOKUP(H3016,'[1]팀별 출판사'!A:B,2,0)</f>
        <v>소설1팀</v>
      </c>
      <c r="W3016" s="6">
        <f t="shared" si="94"/>
        <v>0</v>
      </c>
      <c r="X3016" s="6">
        <f t="shared" si="95"/>
        <v>0</v>
      </c>
    </row>
    <row r="3017" spans="1:24" x14ac:dyDescent="0.3">
      <c r="A3017" t="s">
        <v>4421</v>
      </c>
      <c r="B3017" t="s">
        <v>4439</v>
      </c>
      <c r="C3017" t="s">
        <v>23</v>
      </c>
      <c r="D3017" t="s">
        <v>24</v>
      </c>
      <c r="E3017" t="s">
        <v>25</v>
      </c>
      <c r="F3017">
        <v>1</v>
      </c>
      <c r="G3017">
        <v>9791136927255</v>
      </c>
      <c r="H3017" t="s">
        <v>36</v>
      </c>
      <c r="I3017" t="s">
        <v>90</v>
      </c>
      <c r="J3017" t="s">
        <v>38</v>
      </c>
      <c r="K3017" t="s">
        <v>29</v>
      </c>
      <c r="L3017" s="1">
        <v>3300</v>
      </c>
      <c r="M3017" t="s">
        <v>193</v>
      </c>
      <c r="N3017">
        <v>12.55</v>
      </c>
      <c r="O3017">
        <v>12.55</v>
      </c>
      <c r="P3017" t="s">
        <v>194</v>
      </c>
      <c r="Q3017" s="2">
        <v>0.7</v>
      </c>
      <c r="R3017">
        <v>8.7799999999999994</v>
      </c>
      <c r="S3017" t="s">
        <v>29</v>
      </c>
      <c r="T3017" s="1">
        <v>2454</v>
      </c>
      <c r="U3017">
        <v>279.45895999999999</v>
      </c>
      <c r="V3017" t="str">
        <f>VLOOKUP(H3017,'[1]팀별 출판사'!A:B,2,0)</f>
        <v>소설2팀</v>
      </c>
      <c r="W3017" s="6">
        <f t="shared" si="94"/>
        <v>0</v>
      </c>
      <c r="X3017" s="6">
        <f t="shared" si="95"/>
        <v>2454</v>
      </c>
    </row>
    <row r="3018" spans="1:24" x14ac:dyDescent="0.3">
      <c r="A3018" t="s">
        <v>4421</v>
      </c>
      <c r="B3018" t="s">
        <v>4440</v>
      </c>
      <c r="C3018" t="s">
        <v>23</v>
      </c>
      <c r="D3018" t="s">
        <v>24</v>
      </c>
      <c r="E3018" t="s">
        <v>25</v>
      </c>
      <c r="F3018">
        <v>1</v>
      </c>
      <c r="G3018">
        <v>9791172927950</v>
      </c>
      <c r="H3018" t="s">
        <v>79</v>
      </c>
      <c r="I3018" t="s">
        <v>4441</v>
      </c>
      <c r="J3018" t="s">
        <v>81</v>
      </c>
      <c r="K3018" t="s">
        <v>29</v>
      </c>
      <c r="L3018" s="1">
        <v>3200</v>
      </c>
      <c r="M3018" t="s">
        <v>29</v>
      </c>
      <c r="N3018" s="1">
        <v>3200</v>
      </c>
      <c r="O3018" s="1">
        <v>3200</v>
      </c>
      <c r="P3018" t="s">
        <v>30</v>
      </c>
      <c r="Q3018" s="2">
        <v>0.7</v>
      </c>
      <c r="R3018" s="1">
        <v>2240</v>
      </c>
      <c r="S3018" t="s">
        <v>29</v>
      </c>
      <c r="T3018" s="1">
        <v>2240</v>
      </c>
      <c r="V3018" t="str">
        <f>VLOOKUP(H3018,'[1]팀별 출판사'!A:B,2,0)</f>
        <v>소설1팀</v>
      </c>
      <c r="W3018" s="6">
        <f t="shared" si="94"/>
        <v>0</v>
      </c>
      <c r="X3018" s="6">
        <f t="shared" si="95"/>
        <v>2240</v>
      </c>
    </row>
    <row r="3019" spans="1:24" x14ac:dyDescent="0.3">
      <c r="A3019" t="s">
        <v>4421</v>
      </c>
      <c r="B3019" t="s">
        <v>4442</v>
      </c>
      <c r="C3019" t="s">
        <v>23</v>
      </c>
      <c r="D3019" t="s">
        <v>24</v>
      </c>
      <c r="E3019" t="s">
        <v>25</v>
      </c>
      <c r="F3019">
        <v>1</v>
      </c>
      <c r="G3019">
        <v>9791136931375</v>
      </c>
      <c r="H3019" t="s">
        <v>32</v>
      </c>
      <c r="I3019" t="s">
        <v>189</v>
      </c>
      <c r="J3019" t="s">
        <v>46</v>
      </c>
      <c r="K3019" t="s">
        <v>29</v>
      </c>
      <c r="L3019">
        <v>0</v>
      </c>
      <c r="M3019" t="s">
        <v>152</v>
      </c>
      <c r="N3019">
        <v>0</v>
      </c>
      <c r="O3019">
        <v>0</v>
      </c>
      <c r="P3019" t="s">
        <v>153</v>
      </c>
      <c r="Q3019" s="2">
        <v>0.7</v>
      </c>
      <c r="R3019">
        <v>0</v>
      </c>
      <c r="V3019" t="str">
        <f>VLOOKUP(H3019,'[1]팀별 출판사'!A:B,2,0)</f>
        <v>소설1팀</v>
      </c>
      <c r="W3019" s="6">
        <f t="shared" si="94"/>
        <v>0</v>
      </c>
      <c r="X3019" s="6">
        <f t="shared" si="95"/>
        <v>0</v>
      </c>
    </row>
    <row r="3020" spans="1:24" x14ac:dyDescent="0.3">
      <c r="A3020" t="s">
        <v>4421</v>
      </c>
      <c r="B3020" t="s">
        <v>4443</v>
      </c>
      <c r="C3020" t="s">
        <v>23</v>
      </c>
      <c r="D3020" t="s">
        <v>24</v>
      </c>
      <c r="E3020" t="s">
        <v>25</v>
      </c>
      <c r="F3020">
        <v>1</v>
      </c>
      <c r="G3020">
        <v>9791136930491</v>
      </c>
      <c r="H3020" t="s">
        <v>26</v>
      </c>
      <c r="I3020" t="s">
        <v>151</v>
      </c>
      <c r="J3020" t="s">
        <v>46</v>
      </c>
      <c r="K3020" t="s">
        <v>29</v>
      </c>
      <c r="L3020">
        <v>0</v>
      </c>
      <c r="M3020" t="s">
        <v>152</v>
      </c>
      <c r="N3020">
        <v>0</v>
      </c>
      <c r="O3020">
        <v>0</v>
      </c>
      <c r="P3020" t="s">
        <v>153</v>
      </c>
      <c r="Q3020" s="2">
        <v>0.7</v>
      </c>
      <c r="R3020">
        <v>0</v>
      </c>
      <c r="V3020" t="str">
        <f>VLOOKUP(H3020,'[1]팀별 출판사'!A:B,2,0)</f>
        <v>소설1팀</v>
      </c>
      <c r="W3020" s="6">
        <f t="shared" si="94"/>
        <v>0</v>
      </c>
      <c r="X3020" s="6">
        <f t="shared" si="95"/>
        <v>0</v>
      </c>
    </row>
    <row r="3021" spans="1:24" x14ac:dyDescent="0.3">
      <c r="A3021" t="s">
        <v>4421</v>
      </c>
      <c r="B3021" t="s">
        <v>4444</v>
      </c>
      <c r="C3021" t="s">
        <v>23</v>
      </c>
      <c r="D3021" t="s">
        <v>24</v>
      </c>
      <c r="E3021" t="s">
        <v>25</v>
      </c>
      <c r="F3021">
        <v>1</v>
      </c>
      <c r="G3021">
        <v>9791136942142</v>
      </c>
      <c r="H3021" t="s">
        <v>26</v>
      </c>
      <c r="I3021" t="s">
        <v>180</v>
      </c>
      <c r="J3021" t="s">
        <v>46</v>
      </c>
      <c r="K3021" t="s">
        <v>29</v>
      </c>
      <c r="L3021">
        <v>0</v>
      </c>
      <c r="M3021" t="s">
        <v>152</v>
      </c>
      <c r="N3021">
        <v>0</v>
      </c>
      <c r="O3021">
        <v>0</v>
      </c>
      <c r="P3021" t="s">
        <v>153</v>
      </c>
      <c r="Q3021" s="2">
        <v>0.7</v>
      </c>
      <c r="R3021">
        <v>0</v>
      </c>
      <c r="V3021" t="str">
        <f>VLOOKUP(H3021,'[1]팀별 출판사'!A:B,2,0)</f>
        <v>소설1팀</v>
      </c>
      <c r="W3021" s="6">
        <f t="shared" si="94"/>
        <v>0</v>
      </c>
      <c r="X3021" s="6">
        <f t="shared" si="95"/>
        <v>0</v>
      </c>
    </row>
    <row r="3022" spans="1:24" x14ac:dyDescent="0.3">
      <c r="A3022" t="s">
        <v>4421</v>
      </c>
      <c r="B3022" t="s">
        <v>4445</v>
      </c>
      <c r="C3022" t="s">
        <v>23</v>
      </c>
      <c r="D3022" t="s">
        <v>24</v>
      </c>
      <c r="E3022" t="s">
        <v>25</v>
      </c>
      <c r="F3022">
        <v>1</v>
      </c>
      <c r="G3022">
        <v>9791136930224</v>
      </c>
      <c r="H3022" t="s">
        <v>32</v>
      </c>
      <c r="I3022" t="s">
        <v>172</v>
      </c>
      <c r="J3022" t="s">
        <v>46</v>
      </c>
      <c r="K3022" t="s">
        <v>29</v>
      </c>
      <c r="L3022">
        <v>0</v>
      </c>
      <c r="M3022" t="s">
        <v>152</v>
      </c>
      <c r="N3022">
        <v>0</v>
      </c>
      <c r="O3022">
        <v>0</v>
      </c>
      <c r="P3022" t="s">
        <v>153</v>
      </c>
      <c r="Q3022" s="2">
        <v>0.7</v>
      </c>
      <c r="R3022">
        <v>0</v>
      </c>
      <c r="V3022" t="str">
        <f>VLOOKUP(H3022,'[1]팀별 출판사'!A:B,2,0)</f>
        <v>소설1팀</v>
      </c>
      <c r="W3022" s="6">
        <f t="shared" si="94"/>
        <v>0</v>
      </c>
      <c r="X3022" s="6">
        <f t="shared" si="95"/>
        <v>0</v>
      </c>
    </row>
    <row r="3023" spans="1:24" x14ac:dyDescent="0.3">
      <c r="A3023" t="s">
        <v>4421</v>
      </c>
      <c r="B3023" t="s">
        <v>4446</v>
      </c>
      <c r="C3023" t="s">
        <v>23</v>
      </c>
      <c r="D3023" t="s">
        <v>24</v>
      </c>
      <c r="E3023" t="s">
        <v>25</v>
      </c>
      <c r="F3023">
        <v>1</v>
      </c>
      <c r="G3023">
        <v>9791136940728</v>
      </c>
      <c r="H3023" t="s">
        <v>36</v>
      </c>
      <c r="I3023" t="s">
        <v>2019</v>
      </c>
      <c r="J3023" t="s">
        <v>38</v>
      </c>
      <c r="K3023" t="s">
        <v>29</v>
      </c>
      <c r="L3023" s="1">
        <v>3300</v>
      </c>
      <c r="M3023" t="s">
        <v>193</v>
      </c>
      <c r="N3023">
        <v>12.55</v>
      </c>
      <c r="O3023">
        <v>12.55</v>
      </c>
      <c r="P3023" t="s">
        <v>194</v>
      </c>
      <c r="Q3023" s="2">
        <v>0.7</v>
      </c>
      <c r="R3023">
        <v>8.7799999999999994</v>
      </c>
      <c r="S3023" t="s">
        <v>29</v>
      </c>
      <c r="T3023" s="1">
        <v>2454</v>
      </c>
      <c r="U3023">
        <v>279.45895999999999</v>
      </c>
      <c r="V3023" t="str">
        <f>VLOOKUP(H3023,'[1]팀별 출판사'!A:B,2,0)</f>
        <v>소설2팀</v>
      </c>
      <c r="W3023" s="6">
        <f t="shared" si="94"/>
        <v>0</v>
      </c>
      <c r="X3023" s="6">
        <f t="shared" si="95"/>
        <v>2454</v>
      </c>
    </row>
    <row r="3024" spans="1:24" x14ac:dyDescent="0.3">
      <c r="A3024" t="s">
        <v>4421</v>
      </c>
      <c r="B3024" t="s">
        <v>4447</v>
      </c>
      <c r="C3024" t="s">
        <v>23</v>
      </c>
      <c r="D3024" t="s">
        <v>24</v>
      </c>
      <c r="E3024" t="s">
        <v>25</v>
      </c>
      <c r="F3024">
        <v>1</v>
      </c>
      <c r="G3024">
        <v>9791173786648</v>
      </c>
      <c r="H3024" t="s">
        <v>36</v>
      </c>
      <c r="I3024" t="s">
        <v>2003</v>
      </c>
      <c r="J3024" t="s">
        <v>38</v>
      </c>
      <c r="K3024" t="s">
        <v>29</v>
      </c>
      <c r="L3024" s="1">
        <v>1800</v>
      </c>
      <c r="M3024" t="s">
        <v>193</v>
      </c>
      <c r="N3024">
        <v>6.85</v>
      </c>
      <c r="O3024">
        <v>6.85</v>
      </c>
      <c r="P3024" t="s">
        <v>194</v>
      </c>
      <c r="Q3024" s="2">
        <v>0.7</v>
      </c>
      <c r="R3024">
        <v>4.79</v>
      </c>
      <c r="S3024" t="s">
        <v>29</v>
      </c>
      <c r="T3024" s="1">
        <v>1339</v>
      </c>
      <c r="U3024">
        <v>279.45895999999999</v>
      </c>
      <c r="V3024" t="str">
        <f>VLOOKUP(H3024,'[1]팀별 출판사'!A:B,2,0)</f>
        <v>소설2팀</v>
      </c>
      <c r="W3024" s="6">
        <f t="shared" si="94"/>
        <v>0</v>
      </c>
      <c r="X3024" s="6">
        <f t="shared" si="95"/>
        <v>1339</v>
      </c>
    </row>
    <row r="3025" spans="1:24" x14ac:dyDescent="0.3">
      <c r="A3025" t="s">
        <v>4421</v>
      </c>
      <c r="B3025" t="s">
        <v>4448</v>
      </c>
      <c r="C3025" t="s">
        <v>23</v>
      </c>
      <c r="D3025" t="s">
        <v>24</v>
      </c>
      <c r="E3025" t="s">
        <v>25</v>
      </c>
      <c r="F3025">
        <v>1</v>
      </c>
      <c r="G3025">
        <v>9791172920050</v>
      </c>
      <c r="H3025" t="s">
        <v>26</v>
      </c>
      <c r="I3025" t="s">
        <v>4449</v>
      </c>
      <c r="J3025" t="s">
        <v>276</v>
      </c>
      <c r="K3025" t="s">
        <v>29</v>
      </c>
      <c r="L3025" s="1">
        <v>3200</v>
      </c>
      <c r="M3025" t="s">
        <v>29</v>
      </c>
      <c r="N3025" s="1">
        <v>3200</v>
      </c>
      <c r="O3025" s="1">
        <v>3200</v>
      </c>
      <c r="P3025" t="s">
        <v>30</v>
      </c>
      <c r="Q3025" s="2">
        <v>0.7</v>
      </c>
      <c r="R3025" s="1">
        <v>2240</v>
      </c>
      <c r="S3025" t="s">
        <v>29</v>
      </c>
      <c r="T3025" s="1">
        <v>2240</v>
      </c>
      <c r="V3025" t="str">
        <f>VLOOKUP(H3025,'[1]팀별 출판사'!A:B,2,0)</f>
        <v>소설1팀</v>
      </c>
      <c r="W3025" s="6">
        <f t="shared" si="94"/>
        <v>0</v>
      </c>
      <c r="X3025" s="6">
        <f t="shared" si="95"/>
        <v>2240</v>
      </c>
    </row>
    <row r="3026" spans="1:24" x14ac:dyDescent="0.3">
      <c r="A3026" t="s">
        <v>4421</v>
      </c>
      <c r="B3026" t="s">
        <v>4450</v>
      </c>
      <c r="C3026" t="s">
        <v>23</v>
      </c>
      <c r="D3026" t="s">
        <v>24</v>
      </c>
      <c r="E3026" t="s">
        <v>25</v>
      </c>
      <c r="F3026">
        <v>1</v>
      </c>
      <c r="G3026" t="s">
        <v>1779</v>
      </c>
      <c r="H3026" t="s">
        <v>32</v>
      </c>
      <c r="I3026" t="s">
        <v>1780</v>
      </c>
      <c r="J3026" t="s">
        <v>220</v>
      </c>
      <c r="K3026" t="s">
        <v>29</v>
      </c>
      <c r="L3026">
        <v>0</v>
      </c>
      <c r="M3026" t="s">
        <v>29</v>
      </c>
      <c r="N3026">
        <v>0</v>
      </c>
      <c r="O3026">
        <v>0</v>
      </c>
      <c r="P3026" t="s">
        <v>30</v>
      </c>
      <c r="Q3026" s="2">
        <v>0.7</v>
      </c>
      <c r="R3026">
        <v>0</v>
      </c>
      <c r="V3026" t="str">
        <f>VLOOKUP(H3026,'[1]팀별 출판사'!A:B,2,0)</f>
        <v>소설1팀</v>
      </c>
      <c r="W3026" s="6">
        <f t="shared" si="94"/>
        <v>0</v>
      </c>
      <c r="X3026" s="6">
        <f t="shared" si="95"/>
        <v>0</v>
      </c>
    </row>
    <row r="3027" spans="1:24" x14ac:dyDescent="0.3">
      <c r="A3027" t="s">
        <v>4421</v>
      </c>
      <c r="B3027" t="s">
        <v>4451</v>
      </c>
      <c r="C3027" t="s">
        <v>23</v>
      </c>
      <c r="D3027" t="s">
        <v>24</v>
      </c>
      <c r="E3027" t="s">
        <v>25</v>
      </c>
      <c r="F3027">
        <v>1</v>
      </c>
      <c r="G3027" t="s">
        <v>4452</v>
      </c>
      <c r="H3027" t="s">
        <v>32</v>
      </c>
      <c r="I3027" t="s">
        <v>4453</v>
      </c>
      <c r="J3027" t="s">
        <v>220</v>
      </c>
      <c r="K3027" t="s">
        <v>29</v>
      </c>
      <c r="L3027">
        <v>0</v>
      </c>
      <c r="M3027" t="s">
        <v>29</v>
      </c>
      <c r="N3027">
        <v>0</v>
      </c>
      <c r="O3027">
        <v>0</v>
      </c>
      <c r="P3027" t="s">
        <v>30</v>
      </c>
      <c r="Q3027" s="2">
        <v>0.7</v>
      </c>
      <c r="R3027">
        <v>0</v>
      </c>
      <c r="V3027" t="str">
        <f>VLOOKUP(H3027,'[1]팀별 출판사'!A:B,2,0)</f>
        <v>소설1팀</v>
      </c>
      <c r="W3027" s="6">
        <f t="shared" si="94"/>
        <v>0</v>
      </c>
      <c r="X3027" s="6">
        <f t="shared" si="95"/>
        <v>0</v>
      </c>
    </row>
    <row r="3028" spans="1:24" x14ac:dyDescent="0.3">
      <c r="A3028" t="s">
        <v>4421</v>
      </c>
      <c r="B3028" t="s">
        <v>4454</v>
      </c>
      <c r="C3028" t="s">
        <v>23</v>
      </c>
      <c r="D3028" t="s">
        <v>24</v>
      </c>
      <c r="E3028" t="s">
        <v>25</v>
      </c>
      <c r="F3028">
        <v>1</v>
      </c>
      <c r="G3028">
        <v>9791136907301</v>
      </c>
      <c r="H3028" t="s">
        <v>26</v>
      </c>
      <c r="I3028" t="s">
        <v>4455</v>
      </c>
      <c r="J3028" t="s">
        <v>1348</v>
      </c>
      <c r="K3028" t="s">
        <v>29</v>
      </c>
      <c r="L3028" s="1">
        <v>3200</v>
      </c>
      <c r="M3028" t="s">
        <v>29</v>
      </c>
      <c r="N3028" s="1">
        <v>3200</v>
      </c>
      <c r="O3028" s="1">
        <v>3200</v>
      </c>
      <c r="P3028" t="s">
        <v>30</v>
      </c>
      <c r="Q3028" s="2">
        <v>0.7</v>
      </c>
      <c r="R3028" s="1">
        <v>2240</v>
      </c>
      <c r="S3028" t="s">
        <v>29</v>
      </c>
      <c r="T3028" s="1">
        <v>2240</v>
      </c>
      <c r="V3028" t="str">
        <f>VLOOKUP(H3028,'[1]팀별 출판사'!A:B,2,0)</f>
        <v>소설1팀</v>
      </c>
      <c r="W3028" s="6">
        <f t="shared" si="94"/>
        <v>0</v>
      </c>
      <c r="X3028" s="6">
        <f t="shared" si="95"/>
        <v>2240</v>
      </c>
    </row>
    <row r="3029" spans="1:24" x14ac:dyDescent="0.3">
      <c r="A3029" t="s">
        <v>4421</v>
      </c>
      <c r="B3029" t="s">
        <v>4456</v>
      </c>
      <c r="C3029" t="s">
        <v>23</v>
      </c>
      <c r="D3029" t="s">
        <v>24</v>
      </c>
      <c r="E3029" t="s">
        <v>25</v>
      </c>
      <c r="F3029">
        <v>1</v>
      </c>
      <c r="G3029">
        <v>9791136921758</v>
      </c>
      <c r="H3029" t="s">
        <v>26</v>
      </c>
      <c r="I3029" t="s">
        <v>875</v>
      </c>
      <c r="J3029" t="s">
        <v>876</v>
      </c>
      <c r="K3029" t="s">
        <v>29</v>
      </c>
      <c r="L3029">
        <v>0</v>
      </c>
      <c r="M3029" t="s">
        <v>29</v>
      </c>
      <c r="N3029">
        <v>0</v>
      </c>
      <c r="O3029">
        <v>0</v>
      </c>
      <c r="P3029" t="s">
        <v>30</v>
      </c>
      <c r="Q3029" s="2">
        <v>0.7</v>
      </c>
      <c r="R3029">
        <v>0</v>
      </c>
      <c r="V3029" t="str">
        <f>VLOOKUP(H3029,'[1]팀별 출판사'!A:B,2,0)</f>
        <v>소설1팀</v>
      </c>
      <c r="W3029" s="6">
        <f t="shared" si="94"/>
        <v>0</v>
      </c>
      <c r="X3029" s="6">
        <f t="shared" si="95"/>
        <v>0</v>
      </c>
    </row>
    <row r="3030" spans="1:24" x14ac:dyDescent="0.3">
      <c r="A3030" t="s">
        <v>4421</v>
      </c>
      <c r="B3030" t="s">
        <v>4457</v>
      </c>
      <c r="C3030" t="s">
        <v>23</v>
      </c>
      <c r="D3030" t="s">
        <v>24</v>
      </c>
      <c r="E3030" t="s">
        <v>25</v>
      </c>
      <c r="F3030">
        <v>1</v>
      </c>
      <c r="G3030">
        <v>9791157533619</v>
      </c>
      <c r="H3030" t="s">
        <v>32</v>
      </c>
      <c r="I3030" t="s">
        <v>4458</v>
      </c>
      <c r="J3030" t="s">
        <v>187</v>
      </c>
      <c r="K3030" t="s">
        <v>29</v>
      </c>
      <c r="L3030" s="1">
        <v>3200</v>
      </c>
      <c r="M3030" t="s">
        <v>29</v>
      </c>
      <c r="N3030" s="1">
        <v>3200</v>
      </c>
      <c r="O3030" s="1">
        <v>3200</v>
      </c>
      <c r="P3030" t="s">
        <v>30</v>
      </c>
      <c r="Q3030" s="2">
        <v>0.7</v>
      </c>
      <c r="R3030" s="1">
        <v>2240</v>
      </c>
      <c r="S3030" t="s">
        <v>29</v>
      </c>
      <c r="T3030" s="1">
        <v>2240</v>
      </c>
      <c r="V3030" t="str">
        <f>VLOOKUP(H3030,'[1]팀별 출판사'!A:B,2,0)</f>
        <v>소설1팀</v>
      </c>
      <c r="W3030" s="6">
        <f t="shared" si="94"/>
        <v>0</v>
      </c>
      <c r="X3030" s="6">
        <f t="shared" si="95"/>
        <v>2240</v>
      </c>
    </row>
    <row r="3031" spans="1:24" x14ac:dyDescent="0.3">
      <c r="A3031" t="s">
        <v>4421</v>
      </c>
      <c r="B3031" t="s">
        <v>4459</v>
      </c>
      <c r="C3031" t="s">
        <v>23</v>
      </c>
      <c r="D3031" t="s">
        <v>24</v>
      </c>
      <c r="E3031" t="s">
        <v>25</v>
      </c>
      <c r="F3031">
        <v>1</v>
      </c>
      <c r="G3031">
        <v>9791136907189</v>
      </c>
      <c r="H3031" t="s">
        <v>26</v>
      </c>
      <c r="I3031" t="s">
        <v>4460</v>
      </c>
      <c r="J3031" t="s">
        <v>1348</v>
      </c>
      <c r="K3031" t="s">
        <v>29</v>
      </c>
      <c r="L3031" s="1">
        <v>3200</v>
      </c>
      <c r="M3031" t="s">
        <v>29</v>
      </c>
      <c r="N3031" s="1">
        <v>3200</v>
      </c>
      <c r="O3031" s="1">
        <v>3200</v>
      </c>
      <c r="P3031" t="s">
        <v>30</v>
      </c>
      <c r="Q3031" s="2">
        <v>0.7</v>
      </c>
      <c r="R3031" s="1">
        <v>2240</v>
      </c>
      <c r="S3031" t="s">
        <v>29</v>
      </c>
      <c r="T3031" s="1">
        <v>2240</v>
      </c>
      <c r="V3031" t="str">
        <f>VLOOKUP(H3031,'[1]팀별 출판사'!A:B,2,0)</f>
        <v>소설1팀</v>
      </c>
      <c r="W3031" s="6">
        <f t="shared" si="94"/>
        <v>0</v>
      </c>
      <c r="X3031" s="6">
        <f t="shared" si="95"/>
        <v>2240</v>
      </c>
    </row>
    <row r="3032" spans="1:24" x14ac:dyDescent="0.3">
      <c r="A3032" t="s">
        <v>4421</v>
      </c>
      <c r="B3032" t="s">
        <v>4461</v>
      </c>
      <c r="C3032" t="s">
        <v>23</v>
      </c>
      <c r="D3032" t="s">
        <v>24</v>
      </c>
      <c r="E3032" t="s">
        <v>25</v>
      </c>
      <c r="F3032">
        <v>1</v>
      </c>
      <c r="G3032">
        <v>9791170101321</v>
      </c>
      <c r="H3032" t="s">
        <v>67</v>
      </c>
      <c r="I3032" t="s">
        <v>848</v>
      </c>
      <c r="J3032" t="s">
        <v>414</v>
      </c>
      <c r="K3032" t="s">
        <v>29</v>
      </c>
      <c r="L3032">
        <v>0</v>
      </c>
      <c r="M3032" t="s">
        <v>29</v>
      </c>
      <c r="N3032">
        <v>0</v>
      </c>
      <c r="O3032">
        <v>0</v>
      </c>
      <c r="P3032" t="s">
        <v>30</v>
      </c>
      <c r="Q3032" s="2">
        <v>0.7</v>
      </c>
      <c r="R3032">
        <v>0</v>
      </c>
      <c r="V3032" t="str">
        <f>VLOOKUP(H3032,'[1]팀별 출판사'!A:B,2,0)</f>
        <v>소설1팀</v>
      </c>
      <c r="W3032" s="6">
        <f t="shared" si="94"/>
        <v>0</v>
      </c>
      <c r="X3032" s="6">
        <f t="shared" si="95"/>
        <v>0</v>
      </c>
    </row>
    <row r="3033" spans="1:24" x14ac:dyDescent="0.3">
      <c r="A3033" t="s">
        <v>4421</v>
      </c>
      <c r="B3033" t="s">
        <v>4462</v>
      </c>
      <c r="C3033" t="s">
        <v>23</v>
      </c>
      <c r="D3033" t="s">
        <v>24</v>
      </c>
      <c r="E3033" t="s">
        <v>25</v>
      </c>
      <c r="F3033">
        <v>1</v>
      </c>
      <c r="G3033">
        <v>9791136928894</v>
      </c>
      <c r="H3033" t="s">
        <v>26</v>
      </c>
      <c r="I3033" t="s">
        <v>3236</v>
      </c>
      <c r="J3033" t="s">
        <v>62</v>
      </c>
      <c r="K3033" t="s">
        <v>29</v>
      </c>
      <c r="L3033" s="1">
        <v>3200</v>
      </c>
      <c r="M3033" t="s">
        <v>29</v>
      </c>
      <c r="N3033" s="1">
        <v>3200</v>
      </c>
      <c r="O3033" s="1">
        <v>3200</v>
      </c>
      <c r="P3033" t="s">
        <v>30</v>
      </c>
      <c r="Q3033" s="2">
        <v>0.7</v>
      </c>
      <c r="R3033" s="1">
        <v>2240</v>
      </c>
      <c r="S3033" t="s">
        <v>29</v>
      </c>
      <c r="T3033" s="1">
        <v>2240</v>
      </c>
      <c r="V3033" t="str">
        <f>VLOOKUP(H3033,'[1]팀별 출판사'!A:B,2,0)</f>
        <v>소설1팀</v>
      </c>
      <c r="W3033" s="6">
        <f t="shared" si="94"/>
        <v>0</v>
      </c>
      <c r="X3033" s="6">
        <f t="shared" si="95"/>
        <v>2240</v>
      </c>
    </row>
    <row r="3034" spans="1:24" x14ac:dyDescent="0.3">
      <c r="A3034" t="s">
        <v>4421</v>
      </c>
      <c r="B3034" t="s">
        <v>4463</v>
      </c>
      <c r="C3034" t="s">
        <v>23</v>
      </c>
      <c r="D3034" t="s">
        <v>24</v>
      </c>
      <c r="E3034" t="s">
        <v>25</v>
      </c>
      <c r="F3034">
        <v>1</v>
      </c>
      <c r="G3034" t="s">
        <v>581</v>
      </c>
      <c r="H3034" t="s">
        <v>32</v>
      </c>
      <c r="I3034" t="s">
        <v>582</v>
      </c>
      <c r="J3034" t="s">
        <v>583</v>
      </c>
      <c r="K3034" t="s">
        <v>29</v>
      </c>
      <c r="L3034">
        <v>0</v>
      </c>
      <c r="M3034" t="s">
        <v>29</v>
      </c>
      <c r="N3034">
        <v>0</v>
      </c>
      <c r="O3034">
        <v>0</v>
      </c>
      <c r="P3034" t="s">
        <v>30</v>
      </c>
      <c r="Q3034" s="2">
        <v>0.7</v>
      </c>
      <c r="R3034">
        <v>0</v>
      </c>
      <c r="V3034" t="str">
        <f>VLOOKUP(H3034,'[1]팀별 출판사'!A:B,2,0)</f>
        <v>소설1팀</v>
      </c>
      <c r="W3034" s="6">
        <f t="shared" si="94"/>
        <v>0</v>
      </c>
      <c r="X3034" s="6">
        <f t="shared" si="95"/>
        <v>0</v>
      </c>
    </row>
    <row r="3035" spans="1:24" x14ac:dyDescent="0.3">
      <c r="A3035" t="s">
        <v>4421</v>
      </c>
      <c r="B3035" t="s">
        <v>4464</v>
      </c>
      <c r="C3035" t="s">
        <v>23</v>
      </c>
      <c r="D3035" t="s">
        <v>24</v>
      </c>
      <c r="E3035" t="s">
        <v>25</v>
      </c>
      <c r="F3035">
        <v>1</v>
      </c>
      <c r="G3035">
        <v>9791133101788</v>
      </c>
      <c r="H3035" t="s">
        <v>32</v>
      </c>
      <c r="I3035" t="s">
        <v>870</v>
      </c>
      <c r="J3035" t="s">
        <v>160</v>
      </c>
      <c r="K3035" t="s">
        <v>29</v>
      </c>
      <c r="L3035">
        <v>0</v>
      </c>
      <c r="M3035" t="s">
        <v>29</v>
      </c>
      <c r="N3035">
        <v>0</v>
      </c>
      <c r="O3035">
        <v>0</v>
      </c>
      <c r="P3035" t="s">
        <v>30</v>
      </c>
      <c r="Q3035" s="2">
        <v>0.7</v>
      </c>
      <c r="R3035">
        <v>0</v>
      </c>
      <c r="V3035" t="str">
        <f>VLOOKUP(H3035,'[1]팀별 출판사'!A:B,2,0)</f>
        <v>소설1팀</v>
      </c>
      <c r="W3035" s="6">
        <f t="shared" si="94"/>
        <v>0</v>
      </c>
      <c r="X3035" s="6">
        <f t="shared" si="95"/>
        <v>0</v>
      </c>
    </row>
    <row r="3036" spans="1:24" x14ac:dyDescent="0.3">
      <c r="A3036" t="s">
        <v>4421</v>
      </c>
      <c r="B3036" t="s">
        <v>4465</v>
      </c>
      <c r="C3036" t="s">
        <v>23</v>
      </c>
      <c r="D3036" t="s">
        <v>24</v>
      </c>
      <c r="E3036" t="s">
        <v>25</v>
      </c>
      <c r="F3036">
        <v>1</v>
      </c>
      <c r="G3036">
        <v>9791170106715</v>
      </c>
      <c r="H3036" t="s">
        <v>67</v>
      </c>
      <c r="I3036" t="s">
        <v>68</v>
      </c>
      <c r="J3036" t="s">
        <v>69</v>
      </c>
      <c r="K3036" t="s">
        <v>29</v>
      </c>
      <c r="L3036">
        <v>0</v>
      </c>
      <c r="M3036" t="s">
        <v>1379</v>
      </c>
      <c r="N3036">
        <v>0</v>
      </c>
      <c r="O3036">
        <v>0</v>
      </c>
      <c r="P3036" t="s">
        <v>1380</v>
      </c>
      <c r="Q3036" s="2">
        <v>0.7</v>
      </c>
      <c r="R3036">
        <v>0</v>
      </c>
      <c r="V3036" t="str">
        <f>VLOOKUP(H3036,'[1]팀별 출판사'!A:B,2,0)</f>
        <v>소설1팀</v>
      </c>
      <c r="W3036" s="6">
        <f t="shared" si="94"/>
        <v>0</v>
      </c>
      <c r="X3036" s="6">
        <f t="shared" si="95"/>
        <v>0</v>
      </c>
    </row>
    <row r="3037" spans="1:24" x14ac:dyDescent="0.3">
      <c r="A3037" t="s">
        <v>4421</v>
      </c>
      <c r="B3037" t="s">
        <v>4466</v>
      </c>
      <c r="C3037" t="s">
        <v>23</v>
      </c>
      <c r="D3037" t="s">
        <v>24</v>
      </c>
      <c r="E3037" t="s">
        <v>25</v>
      </c>
      <c r="F3037">
        <v>1</v>
      </c>
      <c r="G3037">
        <v>9791133141913</v>
      </c>
      <c r="H3037" t="s">
        <v>32</v>
      </c>
      <c r="I3037" t="s">
        <v>510</v>
      </c>
      <c r="J3037" t="s">
        <v>511</v>
      </c>
      <c r="K3037" t="s">
        <v>29</v>
      </c>
      <c r="L3037">
        <v>0</v>
      </c>
      <c r="M3037" t="s">
        <v>29</v>
      </c>
      <c r="N3037">
        <v>0</v>
      </c>
      <c r="O3037">
        <v>0</v>
      </c>
      <c r="P3037" t="s">
        <v>30</v>
      </c>
      <c r="Q3037" s="2">
        <v>0.7</v>
      </c>
      <c r="R3037">
        <v>0</v>
      </c>
      <c r="V3037" t="str">
        <f>VLOOKUP(H3037,'[1]팀별 출판사'!A:B,2,0)</f>
        <v>소설1팀</v>
      </c>
      <c r="W3037" s="6">
        <f t="shared" si="94"/>
        <v>0</v>
      </c>
      <c r="X3037" s="6">
        <f t="shared" si="95"/>
        <v>0</v>
      </c>
    </row>
    <row r="3038" spans="1:24" x14ac:dyDescent="0.3">
      <c r="A3038" t="s">
        <v>4421</v>
      </c>
      <c r="B3038" t="s">
        <v>4467</v>
      </c>
      <c r="C3038" t="s">
        <v>23</v>
      </c>
      <c r="D3038" t="s">
        <v>24</v>
      </c>
      <c r="E3038" t="s">
        <v>25</v>
      </c>
      <c r="F3038">
        <v>1</v>
      </c>
      <c r="G3038">
        <v>9791133143832</v>
      </c>
      <c r="H3038" t="s">
        <v>32</v>
      </c>
      <c r="I3038" t="s">
        <v>2813</v>
      </c>
      <c r="J3038" t="s">
        <v>88</v>
      </c>
      <c r="K3038" t="s">
        <v>29</v>
      </c>
      <c r="L3038" s="1">
        <v>3200</v>
      </c>
      <c r="M3038" t="s">
        <v>29</v>
      </c>
      <c r="N3038" s="1">
        <v>3200</v>
      </c>
      <c r="O3038" s="1">
        <v>3200</v>
      </c>
      <c r="P3038" t="s">
        <v>30</v>
      </c>
      <c r="Q3038" s="2">
        <v>0.7</v>
      </c>
      <c r="R3038" s="1">
        <v>2240</v>
      </c>
      <c r="S3038" t="s">
        <v>29</v>
      </c>
      <c r="T3038" s="1">
        <v>2240</v>
      </c>
      <c r="V3038" t="str">
        <f>VLOOKUP(H3038,'[1]팀별 출판사'!A:B,2,0)</f>
        <v>소설1팀</v>
      </c>
      <c r="W3038" s="6">
        <f t="shared" si="94"/>
        <v>0</v>
      </c>
      <c r="X3038" s="6">
        <f t="shared" si="95"/>
        <v>2240</v>
      </c>
    </row>
    <row r="3039" spans="1:24" x14ac:dyDescent="0.3">
      <c r="A3039" t="s">
        <v>4421</v>
      </c>
      <c r="B3039" t="s">
        <v>4468</v>
      </c>
      <c r="C3039" t="s">
        <v>23</v>
      </c>
      <c r="D3039" t="s">
        <v>24</v>
      </c>
      <c r="E3039" t="s">
        <v>25</v>
      </c>
      <c r="F3039">
        <v>1</v>
      </c>
      <c r="G3039">
        <v>9791136927316</v>
      </c>
      <c r="H3039" t="s">
        <v>26</v>
      </c>
      <c r="I3039" t="s">
        <v>4469</v>
      </c>
      <c r="J3039" t="s">
        <v>459</v>
      </c>
      <c r="K3039" t="s">
        <v>29</v>
      </c>
      <c r="L3039" s="1">
        <v>3200</v>
      </c>
      <c r="M3039" t="s">
        <v>29</v>
      </c>
      <c r="N3039" s="1">
        <v>3200</v>
      </c>
      <c r="O3039" s="1">
        <v>3200</v>
      </c>
      <c r="P3039" t="s">
        <v>30</v>
      </c>
      <c r="Q3039" s="2">
        <v>0.7</v>
      </c>
      <c r="R3039" s="1">
        <v>2240</v>
      </c>
      <c r="S3039" t="s">
        <v>29</v>
      </c>
      <c r="T3039" s="1">
        <v>2240</v>
      </c>
      <c r="V3039" t="str">
        <f>VLOOKUP(H3039,'[1]팀별 출판사'!A:B,2,0)</f>
        <v>소설1팀</v>
      </c>
      <c r="W3039" s="6">
        <f t="shared" si="94"/>
        <v>0</v>
      </c>
      <c r="X3039" s="6">
        <f t="shared" si="95"/>
        <v>2240</v>
      </c>
    </row>
    <row r="3040" spans="1:24" x14ac:dyDescent="0.3">
      <c r="A3040" t="s">
        <v>4421</v>
      </c>
      <c r="B3040" t="s">
        <v>4470</v>
      </c>
      <c r="C3040" t="s">
        <v>23</v>
      </c>
      <c r="D3040" t="s">
        <v>24</v>
      </c>
      <c r="E3040" t="s">
        <v>25</v>
      </c>
      <c r="F3040">
        <v>1</v>
      </c>
      <c r="G3040">
        <v>9791136946775</v>
      </c>
      <c r="H3040" t="s">
        <v>26</v>
      </c>
      <c r="I3040" t="s">
        <v>238</v>
      </c>
      <c r="J3040" t="s">
        <v>28</v>
      </c>
      <c r="K3040" t="s">
        <v>29</v>
      </c>
      <c r="L3040">
        <v>0</v>
      </c>
      <c r="M3040" t="s">
        <v>29</v>
      </c>
      <c r="N3040">
        <v>0</v>
      </c>
      <c r="O3040">
        <v>0</v>
      </c>
      <c r="P3040" t="s">
        <v>30</v>
      </c>
      <c r="Q3040" s="2">
        <v>0.7</v>
      </c>
      <c r="R3040">
        <v>0</v>
      </c>
      <c r="V3040" t="str">
        <f>VLOOKUP(H3040,'[1]팀별 출판사'!A:B,2,0)</f>
        <v>소설1팀</v>
      </c>
      <c r="W3040" s="6">
        <f t="shared" si="94"/>
        <v>0</v>
      </c>
      <c r="X3040" s="6">
        <f t="shared" si="95"/>
        <v>0</v>
      </c>
    </row>
    <row r="3041" spans="1:24" x14ac:dyDescent="0.3">
      <c r="A3041" t="s">
        <v>4421</v>
      </c>
      <c r="B3041" t="s">
        <v>4471</v>
      </c>
      <c r="C3041" t="s">
        <v>23</v>
      </c>
      <c r="D3041" t="s">
        <v>24</v>
      </c>
      <c r="E3041" t="s">
        <v>25</v>
      </c>
      <c r="F3041">
        <v>1</v>
      </c>
      <c r="G3041">
        <v>9791136946782</v>
      </c>
      <c r="H3041" t="s">
        <v>26</v>
      </c>
      <c r="I3041" t="s">
        <v>291</v>
      </c>
      <c r="J3041" t="s">
        <v>28</v>
      </c>
      <c r="K3041" t="s">
        <v>29</v>
      </c>
      <c r="L3041">
        <v>0</v>
      </c>
      <c r="M3041" t="s">
        <v>29</v>
      </c>
      <c r="N3041">
        <v>0</v>
      </c>
      <c r="O3041">
        <v>0</v>
      </c>
      <c r="P3041" t="s">
        <v>30</v>
      </c>
      <c r="Q3041" s="2">
        <v>0.7</v>
      </c>
      <c r="R3041">
        <v>0</v>
      </c>
      <c r="V3041" t="str">
        <f>VLOOKUP(H3041,'[1]팀별 출판사'!A:B,2,0)</f>
        <v>소설1팀</v>
      </c>
      <c r="W3041" s="6">
        <f t="shared" si="94"/>
        <v>0</v>
      </c>
      <c r="X3041" s="6">
        <f t="shared" si="95"/>
        <v>0</v>
      </c>
    </row>
    <row r="3042" spans="1:24" x14ac:dyDescent="0.3">
      <c r="A3042" t="s">
        <v>4421</v>
      </c>
      <c r="B3042" t="s">
        <v>4472</v>
      </c>
      <c r="C3042" t="s">
        <v>23</v>
      </c>
      <c r="D3042" t="s">
        <v>24</v>
      </c>
      <c r="E3042" t="s">
        <v>25</v>
      </c>
      <c r="F3042">
        <v>1</v>
      </c>
      <c r="G3042" t="s">
        <v>1036</v>
      </c>
      <c r="H3042" t="s">
        <v>32</v>
      </c>
      <c r="I3042" t="s">
        <v>1037</v>
      </c>
      <c r="J3042" t="s">
        <v>311</v>
      </c>
      <c r="K3042" t="s">
        <v>29</v>
      </c>
      <c r="L3042">
        <v>0</v>
      </c>
      <c r="M3042" t="s">
        <v>29</v>
      </c>
      <c r="N3042">
        <v>0</v>
      </c>
      <c r="O3042">
        <v>0</v>
      </c>
      <c r="P3042" t="s">
        <v>30</v>
      </c>
      <c r="Q3042" s="2">
        <v>0.7</v>
      </c>
      <c r="R3042">
        <v>0</v>
      </c>
      <c r="V3042" t="str">
        <f>VLOOKUP(H3042,'[1]팀별 출판사'!A:B,2,0)</f>
        <v>소설1팀</v>
      </c>
      <c r="W3042" s="6">
        <f t="shared" si="94"/>
        <v>0</v>
      </c>
      <c r="X3042" s="6">
        <f t="shared" si="95"/>
        <v>0</v>
      </c>
    </row>
    <row r="3043" spans="1:24" x14ac:dyDescent="0.3">
      <c r="A3043" t="s">
        <v>4421</v>
      </c>
      <c r="B3043" t="s">
        <v>4473</v>
      </c>
      <c r="C3043" t="s">
        <v>23</v>
      </c>
      <c r="D3043" t="s">
        <v>24</v>
      </c>
      <c r="E3043" t="s">
        <v>25</v>
      </c>
      <c r="F3043">
        <v>1</v>
      </c>
      <c r="G3043">
        <v>9791172927967</v>
      </c>
      <c r="H3043" t="s">
        <v>79</v>
      </c>
      <c r="I3043" t="s">
        <v>4474</v>
      </c>
      <c r="J3043" t="s">
        <v>81</v>
      </c>
      <c r="K3043" t="s">
        <v>29</v>
      </c>
      <c r="L3043" s="1">
        <v>3200</v>
      </c>
      <c r="M3043" t="s">
        <v>29</v>
      </c>
      <c r="N3043" s="1">
        <v>3200</v>
      </c>
      <c r="O3043" s="1">
        <v>3200</v>
      </c>
      <c r="P3043" t="s">
        <v>30</v>
      </c>
      <c r="Q3043" s="2">
        <v>0.7</v>
      </c>
      <c r="R3043" s="1">
        <v>2240</v>
      </c>
      <c r="S3043" t="s">
        <v>29</v>
      </c>
      <c r="T3043" s="1">
        <v>2240</v>
      </c>
      <c r="V3043" t="str">
        <f>VLOOKUP(H3043,'[1]팀별 출판사'!A:B,2,0)</f>
        <v>소설1팀</v>
      </c>
      <c r="W3043" s="6">
        <f t="shared" si="94"/>
        <v>0</v>
      </c>
      <c r="X3043" s="6">
        <f t="shared" si="95"/>
        <v>2240</v>
      </c>
    </row>
    <row r="3044" spans="1:24" x14ac:dyDescent="0.3">
      <c r="A3044" t="s">
        <v>4421</v>
      </c>
      <c r="B3044" t="s">
        <v>4475</v>
      </c>
      <c r="C3044" t="s">
        <v>23</v>
      </c>
      <c r="D3044" t="s">
        <v>24</v>
      </c>
      <c r="E3044" t="s">
        <v>25</v>
      </c>
      <c r="F3044">
        <v>1</v>
      </c>
      <c r="G3044">
        <v>9791173788932</v>
      </c>
      <c r="H3044" t="s">
        <v>26</v>
      </c>
      <c r="I3044" t="s">
        <v>4476</v>
      </c>
      <c r="J3044" t="s">
        <v>256</v>
      </c>
      <c r="K3044" t="s">
        <v>29</v>
      </c>
      <c r="L3044" s="1">
        <v>3200</v>
      </c>
      <c r="M3044" t="s">
        <v>29</v>
      </c>
      <c r="N3044" s="1">
        <v>3200</v>
      </c>
      <c r="O3044" s="1">
        <v>3200</v>
      </c>
      <c r="P3044" t="s">
        <v>30</v>
      </c>
      <c r="Q3044" s="2">
        <v>0.7</v>
      </c>
      <c r="R3044" s="1">
        <v>2240</v>
      </c>
      <c r="S3044" t="s">
        <v>29</v>
      </c>
      <c r="T3044" s="1">
        <v>2240</v>
      </c>
      <c r="V3044" t="str">
        <f>VLOOKUP(H3044,'[1]팀별 출판사'!A:B,2,0)</f>
        <v>소설1팀</v>
      </c>
      <c r="W3044" s="6">
        <f t="shared" si="94"/>
        <v>0</v>
      </c>
      <c r="X3044" s="6">
        <f t="shared" si="95"/>
        <v>2240</v>
      </c>
    </row>
    <row r="3045" spans="1:24" x14ac:dyDescent="0.3">
      <c r="A3045" t="s">
        <v>4421</v>
      </c>
      <c r="B3045" t="s">
        <v>4477</v>
      </c>
      <c r="C3045" t="s">
        <v>23</v>
      </c>
      <c r="D3045" t="s">
        <v>24</v>
      </c>
      <c r="E3045" t="s">
        <v>25</v>
      </c>
      <c r="F3045">
        <v>1</v>
      </c>
      <c r="G3045">
        <v>9791136930286</v>
      </c>
      <c r="H3045" t="s">
        <v>32</v>
      </c>
      <c r="I3045" t="s">
        <v>818</v>
      </c>
      <c r="J3045" t="s">
        <v>157</v>
      </c>
      <c r="K3045" t="s">
        <v>29</v>
      </c>
      <c r="L3045">
        <v>0</v>
      </c>
      <c r="M3045" t="s">
        <v>29</v>
      </c>
      <c r="N3045">
        <v>0</v>
      </c>
      <c r="O3045">
        <v>0</v>
      </c>
      <c r="P3045" t="s">
        <v>30</v>
      </c>
      <c r="Q3045" s="2">
        <v>0.7</v>
      </c>
      <c r="R3045">
        <v>0</v>
      </c>
      <c r="V3045" t="str">
        <f>VLOOKUP(H3045,'[1]팀별 출판사'!A:B,2,0)</f>
        <v>소설1팀</v>
      </c>
      <c r="W3045" s="6">
        <f t="shared" si="94"/>
        <v>0</v>
      </c>
      <c r="X3045" s="6">
        <f t="shared" si="95"/>
        <v>0</v>
      </c>
    </row>
    <row r="3046" spans="1:24" x14ac:dyDescent="0.3">
      <c r="A3046" t="s">
        <v>4421</v>
      </c>
      <c r="B3046" t="s">
        <v>4478</v>
      </c>
      <c r="C3046" t="s">
        <v>23</v>
      </c>
      <c r="D3046" t="s">
        <v>24</v>
      </c>
      <c r="E3046" t="s">
        <v>25</v>
      </c>
      <c r="F3046">
        <v>1</v>
      </c>
      <c r="G3046">
        <v>9791136930750</v>
      </c>
      <c r="H3046" t="s">
        <v>32</v>
      </c>
      <c r="I3046" t="s">
        <v>656</v>
      </c>
      <c r="J3046" t="s">
        <v>157</v>
      </c>
      <c r="K3046" t="s">
        <v>29</v>
      </c>
      <c r="L3046">
        <v>0</v>
      </c>
      <c r="M3046" t="s">
        <v>29</v>
      </c>
      <c r="N3046">
        <v>0</v>
      </c>
      <c r="O3046">
        <v>0</v>
      </c>
      <c r="P3046" t="s">
        <v>30</v>
      </c>
      <c r="Q3046" s="2">
        <v>0.7</v>
      </c>
      <c r="R3046">
        <v>0</v>
      </c>
      <c r="V3046" t="str">
        <f>VLOOKUP(H3046,'[1]팀별 출판사'!A:B,2,0)</f>
        <v>소설1팀</v>
      </c>
      <c r="W3046" s="6">
        <f t="shared" si="94"/>
        <v>0</v>
      </c>
      <c r="X3046" s="6">
        <f t="shared" si="95"/>
        <v>0</v>
      </c>
    </row>
    <row r="3047" spans="1:24" x14ac:dyDescent="0.3">
      <c r="A3047" t="s">
        <v>4421</v>
      </c>
      <c r="B3047" t="s">
        <v>4479</v>
      </c>
      <c r="C3047" t="s">
        <v>23</v>
      </c>
      <c r="D3047" t="s">
        <v>24</v>
      </c>
      <c r="E3047" t="s">
        <v>25</v>
      </c>
      <c r="F3047">
        <v>1</v>
      </c>
      <c r="G3047">
        <v>9791136930491</v>
      </c>
      <c r="H3047" t="s">
        <v>26</v>
      </c>
      <c r="I3047" t="s">
        <v>151</v>
      </c>
      <c r="J3047" t="s">
        <v>46</v>
      </c>
      <c r="K3047" t="s">
        <v>29</v>
      </c>
      <c r="L3047">
        <v>0</v>
      </c>
      <c r="M3047" t="s">
        <v>47</v>
      </c>
      <c r="N3047">
        <v>0</v>
      </c>
      <c r="O3047">
        <v>0</v>
      </c>
      <c r="P3047" t="s">
        <v>48</v>
      </c>
      <c r="Q3047" s="2">
        <v>0.7</v>
      </c>
      <c r="R3047">
        <v>0</v>
      </c>
      <c r="V3047" t="str">
        <f>VLOOKUP(H3047,'[1]팀별 출판사'!A:B,2,0)</f>
        <v>소설1팀</v>
      </c>
      <c r="W3047" s="6">
        <f t="shared" si="94"/>
        <v>0</v>
      </c>
      <c r="X3047" s="6">
        <f t="shared" si="95"/>
        <v>0</v>
      </c>
    </row>
    <row r="3048" spans="1:24" x14ac:dyDescent="0.3">
      <c r="A3048" t="s">
        <v>4421</v>
      </c>
      <c r="B3048" t="s">
        <v>4480</v>
      </c>
      <c r="C3048" t="s">
        <v>23</v>
      </c>
      <c r="D3048" t="s">
        <v>24</v>
      </c>
      <c r="E3048" t="s">
        <v>25</v>
      </c>
      <c r="F3048">
        <v>1</v>
      </c>
      <c r="G3048">
        <v>9791136931375</v>
      </c>
      <c r="H3048" t="s">
        <v>32</v>
      </c>
      <c r="I3048" t="s">
        <v>189</v>
      </c>
      <c r="J3048" t="s">
        <v>46</v>
      </c>
      <c r="K3048" t="s">
        <v>29</v>
      </c>
      <c r="L3048">
        <v>0</v>
      </c>
      <c r="M3048" t="s">
        <v>47</v>
      </c>
      <c r="N3048">
        <v>0</v>
      </c>
      <c r="O3048">
        <v>0</v>
      </c>
      <c r="P3048" t="s">
        <v>48</v>
      </c>
      <c r="Q3048" s="2">
        <v>0.7</v>
      </c>
      <c r="R3048">
        <v>0</v>
      </c>
      <c r="V3048" t="str">
        <f>VLOOKUP(H3048,'[1]팀별 출판사'!A:B,2,0)</f>
        <v>소설1팀</v>
      </c>
      <c r="W3048" s="6">
        <f t="shared" si="94"/>
        <v>0</v>
      </c>
      <c r="X3048" s="6">
        <f t="shared" si="95"/>
        <v>0</v>
      </c>
    </row>
    <row r="3049" spans="1:24" x14ac:dyDescent="0.3">
      <c r="A3049" t="s">
        <v>4421</v>
      </c>
      <c r="B3049" t="s">
        <v>4481</v>
      </c>
      <c r="C3049" t="s">
        <v>23</v>
      </c>
      <c r="D3049" t="s">
        <v>24</v>
      </c>
      <c r="E3049" t="s">
        <v>25</v>
      </c>
      <c r="F3049">
        <v>1</v>
      </c>
      <c r="G3049">
        <v>9791133101528</v>
      </c>
      <c r="H3049" t="s">
        <v>32</v>
      </c>
      <c r="I3049" t="s">
        <v>2823</v>
      </c>
      <c r="J3049" t="s">
        <v>160</v>
      </c>
      <c r="K3049" t="s">
        <v>29</v>
      </c>
      <c r="L3049" s="1">
        <v>3000</v>
      </c>
      <c r="M3049" t="s">
        <v>29</v>
      </c>
      <c r="N3049" s="1">
        <v>3000</v>
      </c>
      <c r="O3049" s="1">
        <v>3000</v>
      </c>
      <c r="P3049" t="s">
        <v>30</v>
      </c>
      <c r="Q3049" s="2">
        <v>0.7</v>
      </c>
      <c r="R3049" s="1">
        <v>2100</v>
      </c>
      <c r="S3049" t="s">
        <v>29</v>
      </c>
      <c r="T3049" s="1">
        <v>2100</v>
      </c>
      <c r="V3049" t="str">
        <f>VLOOKUP(H3049,'[1]팀별 출판사'!A:B,2,0)</f>
        <v>소설1팀</v>
      </c>
      <c r="W3049" s="6">
        <f t="shared" si="94"/>
        <v>0</v>
      </c>
      <c r="X3049" s="6">
        <f t="shared" si="95"/>
        <v>2100</v>
      </c>
    </row>
    <row r="3050" spans="1:24" x14ac:dyDescent="0.3">
      <c r="A3050" t="s">
        <v>4421</v>
      </c>
      <c r="B3050" t="s">
        <v>4482</v>
      </c>
      <c r="C3050" t="s">
        <v>23</v>
      </c>
      <c r="D3050" t="s">
        <v>24</v>
      </c>
      <c r="E3050" t="s">
        <v>25</v>
      </c>
      <c r="F3050">
        <v>1</v>
      </c>
      <c r="G3050">
        <v>9791133183975</v>
      </c>
      <c r="H3050" t="s">
        <v>26</v>
      </c>
      <c r="I3050" t="s">
        <v>1715</v>
      </c>
      <c r="J3050" t="s">
        <v>1716</v>
      </c>
      <c r="K3050" t="s">
        <v>29</v>
      </c>
      <c r="L3050">
        <v>0</v>
      </c>
      <c r="M3050" t="s">
        <v>136</v>
      </c>
      <c r="N3050">
        <v>0</v>
      </c>
      <c r="O3050">
        <v>0</v>
      </c>
      <c r="P3050" t="s">
        <v>137</v>
      </c>
      <c r="Q3050" s="2">
        <v>0.7</v>
      </c>
      <c r="R3050">
        <v>0</v>
      </c>
      <c r="V3050" t="str">
        <f>VLOOKUP(H3050,'[1]팀별 출판사'!A:B,2,0)</f>
        <v>소설1팀</v>
      </c>
      <c r="W3050" s="6">
        <f t="shared" si="94"/>
        <v>0</v>
      </c>
      <c r="X3050" s="6">
        <f t="shared" si="95"/>
        <v>0</v>
      </c>
    </row>
    <row r="3051" spans="1:24" x14ac:dyDescent="0.3">
      <c r="A3051" t="s">
        <v>4421</v>
      </c>
      <c r="B3051" t="s">
        <v>4483</v>
      </c>
      <c r="C3051" t="s">
        <v>23</v>
      </c>
      <c r="D3051" t="s">
        <v>24</v>
      </c>
      <c r="E3051" t="s">
        <v>25</v>
      </c>
      <c r="F3051">
        <v>1</v>
      </c>
      <c r="G3051">
        <v>9791133101863</v>
      </c>
      <c r="H3051" t="s">
        <v>32</v>
      </c>
      <c r="I3051" t="s">
        <v>159</v>
      </c>
      <c r="J3051" t="s">
        <v>160</v>
      </c>
      <c r="K3051" t="s">
        <v>29</v>
      </c>
      <c r="L3051">
        <v>0</v>
      </c>
      <c r="M3051" t="s">
        <v>29</v>
      </c>
      <c r="N3051">
        <v>0</v>
      </c>
      <c r="O3051">
        <v>0</v>
      </c>
      <c r="P3051" t="s">
        <v>30</v>
      </c>
      <c r="Q3051" s="2">
        <v>0.7</v>
      </c>
      <c r="R3051">
        <v>0</v>
      </c>
      <c r="V3051" t="str">
        <f>VLOOKUP(H3051,'[1]팀별 출판사'!A:B,2,0)</f>
        <v>소설1팀</v>
      </c>
      <c r="W3051" s="6">
        <f t="shared" si="94"/>
        <v>0</v>
      </c>
      <c r="X3051" s="6">
        <f t="shared" si="95"/>
        <v>0</v>
      </c>
    </row>
    <row r="3052" spans="1:24" x14ac:dyDescent="0.3">
      <c r="A3052" t="s">
        <v>4421</v>
      </c>
      <c r="B3052" t="s">
        <v>4484</v>
      </c>
      <c r="C3052" t="s">
        <v>23</v>
      </c>
      <c r="D3052" t="s">
        <v>24</v>
      </c>
      <c r="E3052" t="s">
        <v>25</v>
      </c>
      <c r="F3052">
        <v>1</v>
      </c>
      <c r="G3052">
        <v>9791173786167</v>
      </c>
      <c r="H3052" t="s">
        <v>79</v>
      </c>
      <c r="I3052" t="s">
        <v>2839</v>
      </c>
      <c r="J3052" t="s">
        <v>81</v>
      </c>
      <c r="K3052" t="s">
        <v>29</v>
      </c>
      <c r="L3052" s="1">
        <v>3200</v>
      </c>
      <c r="M3052" t="s">
        <v>29</v>
      </c>
      <c r="N3052" s="1">
        <v>3200</v>
      </c>
      <c r="O3052" s="1">
        <v>3200</v>
      </c>
      <c r="P3052" t="s">
        <v>30</v>
      </c>
      <c r="Q3052" s="2">
        <v>0.7</v>
      </c>
      <c r="R3052" s="1">
        <v>2240</v>
      </c>
      <c r="S3052" t="s">
        <v>29</v>
      </c>
      <c r="T3052" s="1">
        <v>2240</v>
      </c>
      <c r="V3052" t="str">
        <f>VLOOKUP(H3052,'[1]팀별 출판사'!A:B,2,0)</f>
        <v>소설1팀</v>
      </c>
      <c r="W3052" s="6">
        <f t="shared" si="94"/>
        <v>0</v>
      </c>
      <c r="X3052" s="6">
        <f t="shared" si="95"/>
        <v>2240</v>
      </c>
    </row>
    <row r="3053" spans="1:24" x14ac:dyDescent="0.3">
      <c r="A3053" t="s">
        <v>4421</v>
      </c>
      <c r="B3053" t="s">
        <v>4485</v>
      </c>
      <c r="C3053" t="s">
        <v>23</v>
      </c>
      <c r="D3053" t="s">
        <v>24</v>
      </c>
      <c r="E3053" t="s">
        <v>25</v>
      </c>
      <c r="F3053">
        <v>1</v>
      </c>
      <c r="G3053">
        <v>9791136910462</v>
      </c>
      <c r="H3053" t="s">
        <v>26</v>
      </c>
      <c r="I3053" t="s">
        <v>4486</v>
      </c>
      <c r="J3053" t="s">
        <v>355</v>
      </c>
      <c r="K3053" t="s">
        <v>29</v>
      </c>
      <c r="L3053" s="1">
        <v>3200</v>
      </c>
      <c r="M3053" t="s">
        <v>29</v>
      </c>
      <c r="N3053" s="1">
        <v>3200</v>
      </c>
      <c r="O3053" s="1">
        <v>3200</v>
      </c>
      <c r="P3053" t="s">
        <v>30</v>
      </c>
      <c r="Q3053" s="2">
        <v>0.7</v>
      </c>
      <c r="R3053" s="1">
        <v>2240</v>
      </c>
      <c r="S3053" t="s">
        <v>29</v>
      </c>
      <c r="T3053" s="1">
        <v>2240</v>
      </c>
      <c r="V3053" t="str">
        <f>VLOOKUP(H3053,'[1]팀별 출판사'!A:B,2,0)</f>
        <v>소설1팀</v>
      </c>
      <c r="W3053" s="6">
        <f t="shared" si="94"/>
        <v>0</v>
      </c>
      <c r="X3053" s="6">
        <f t="shared" si="95"/>
        <v>2240</v>
      </c>
    </row>
    <row r="3054" spans="1:24" x14ac:dyDescent="0.3">
      <c r="A3054" t="s">
        <v>4421</v>
      </c>
      <c r="B3054" t="s">
        <v>4487</v>
      </c>
      <c r="C3054" t="s">
        <v>23</v>
      </c>
      <c r="D3054" t="s">
        <v>24</v>
      </c>
      <c r="E3054" t="s">
        <v>25</v>
      </c>
      <c r="F3054">
        <v>1</v>
      </c>
      <c r="G3054">
        <v>9791170107682</v>
      </c>
      <c r="H3054" t="s">
        <v>67</v>
      </c>
      <c r="I3054" t="s">
        <v>4488</v>
      </c>
      <c r="J3054" t="s">
        <v>4489</v>
      </c>
      <c r="K3054" t="s">
        <v>29</v>
      </c>
      <c r="L3054">
        <v>0</v>
      </c>
      <c r="M3054" t="s">
        <v>29</v>
      </c>
      <c r="N3054">
        <v>0</v>
      </c>
      <c r="O3054">
        <v>0</v>
      </c>
      <c r="P3054" t="s">
        <v>30</v>
      </c>
      <c r="Q3054" s="2">
        <v>0.7</v>
      </c>
      <c r="R3054">
        <v>0</v>
      </c>
      <c r="V3054" t="str">
        <f>VLOOKUP(H3054,'[1]팀별 출판사'!A:B,2,0)</f>
        <v>소설1팀</v>
      </c>
      <c r="W3054" s="6">
        <f t="shared" si="94"/>
        <v>0</v>
      </c>
      <c r="X3054" s="6">
        <f t="shared" si="95"/>
        <v>0</v>
      </c>
    </row>
    <row r="3055" spans="1:24" x14ac:dyDescent="0.3">
      <c r="A3055" t="s">
        <v>4421</v>
      </c>
      <c r="B3055" t="s">
        <v>4490</v>
      </c>
      <c r="C3055" t="s">
        <v>23</v>
      </c>
      <c r="D3055" t="s">
        <v>24</v>
      </c>
      <c r="E3055" t="s">
        <v>25</v>
      </c>
      <c r="F3055">
        <v>1</v>
      </c>
      <c r="G3055">
        <v>9791133102662</v>
      </c>
      <c r="H3055" t="s">
        <v>32</v>
      </c>
      <c r="I3055" t="s">
        <v>675</v>
      </c>
      <c r="J3055" t="s">
        <v>51</v>
      </c>
      <c r="K3055" t="s">
        <v>29</v>
      </c>
      <c r="L3055">
        <v>0</v>
      </c>
      <c r="M3055" t="s">
        <v>29</v>
      </c>
      <c r="N3055">
        <v>0</v>
      </c>
      <c r="O3055">
        <v>0</v>
      </c>
      <c r="P3055" t="s">
        <v>30</v>
      </c>
      <c r="Q3055" s="2">
        <v>0.7</v>
      </c>
      <c r="R3055">
        <v>0</v>
      </c>
      <c r="V3055" t="str">
        <f>VLOOKUP(H3055,'[1]팀별 출판사'!A:B,2,0)</f>
        <v>소설1팀</v>
      </c>
      <c r="W3055" s="6">
        <f t="shared" si="94"/>
        <v>0</v>
      </c>
      <c r="X3055" s="6">
        <f t="shared" si="95"/>
        <v>0</v>
      </c>
    </row>
    <row r="3056" spans="1:24" x14ac:dyDescent="0.3">
      <c r="A3056" t="s">
        <v>4421</v>
      </c>
      <c r="B3056" t="s">
        <v>4491</v>
      </c>
      <c r="C3056" t="s">
        <v>23</v>
      </c>
      <c r="D3056" t="s">
        <v>24</v>
      </c>
      <c r="E3056" t="s">
        <v>25</v>
      </c>
      <c r="F3056">
        <v>1</v>
      </c>
      <c r="G3056">
        <v>9791172924850</v>
      </c>
      <c r="H3056" t="s">
        <v>26</v>
      </c>
      <c r="I3056" t="s">
        <v>61</v>
      </c>
      <c r="J3056" t="s">
        <v>62</v>
      </c>
      <c r="K3056" t="s">
        <v>29</v>
      </c>
      <c r="L3056">
        <v>0</v>
      </c>
      <c r="M3056" t="s">
        <v>29</v>
      </c>
      <c r="N3056">
        <v>0</v>
      </c>
      <c r="O3056">
        <v>0</v>
      </c>
      <c r="P3056" t="s">
        <v>30</v>
      </c>
      <c r="Q3056" s="2">
        <v>0.7</v>
      </c>
      <c r="R3056">
        <v>0</v>
      </c>
      <c r="V3056" t="str">
        <f>VLOOKUP(H3056,'[1]팀별 출판사'!A:B,2,0)</f>
        <v>소설1팀</v>
      </c>
      <c r="W3056" s="6">
        <f t="shared" si="94"/>
        <v>0</v>
      </c>
      <c r="X3056" s="6">
        <f t="shared" si="95"/>
        <v>0</v>
      </c>
    </row>
    <row r="3057" spans="1:24" x14ac:dyDescent="0.3">
      <c r="A3057" t="s">
        <v>4421</v>
      </c>
      <c r="B3057" t="s">
        <v>4492</v>
      </c>
      <c r="C3057" t="s">
        <v>23</v>
      </c>
      <c r="D3057" t="s">
        <v>24</v>
      </c>
      <c r="E3057" t="s">
        <v>25</v>
      </c>
      <c r="F3057">
        <v>1</v>
      </c>
      <c r="G3057">
        <v>9791136931375</v>
      </c>
      <c r="H3057" t="s">
        <v>32</v>
      </c>
      <c r="I3057" t="s">
        <v>189</v>
      </c>
      <c r="J3057" t="s">
        <v>46</v>
      </c>
      <c r="K3057" t="s">
        <v>29</v>
      </c>
      <c r="L3057">
        <v>0</v>
      </c>
      <c r="M3057" t="s">
        <v>152</v>
      </c>
      <c r="N3057">
        <v>0</v>
      </c>
      <c r="O3057">
        <v>0</v>
      </c>
      <c r="P3057" t="s">
        <v>153</v>
      </c>
      <c r="Q3057" s="2">
        <v>0.7</v>
      </c>
      <c r="R3057">
        <v>0</v>
      </c>
      <c r="V3057" t="str">
        <f>VLOOKUP(H3057,'[1]팀별 출판사'!A:B,2,0)</f>
        <v>소설1팀</v>
      </c>
      <c r="W3057" s="6">
        <f t="shared" si="94"/>
        <v>0</v>
      </c>
      <c r="X3057" s="6">
        <f t="shared" si="95"/>
        <v>0</v>
      </c>
    </row>
    <row r="3058" spans="1:24" x14ac:dyDescent="0.3">
      <c r="A3058" t="s">
        <v>4421</v>
      </c>
      <c r="B3058" t="s">
        <v>4493</v>
      </c>
      <c r="C3058" t="s">
        <v>23</v>
      </c>
      <c r="D3058" t="s">
        <v>24</v>
      </c>
      <c r="E3058" t="s">
        <v>25</v>
      </c>
      <c r="F3058">
        <v>1</v>
      </c>
      <c r="G3058">
        <v>9791136935007</v>
      </c>
      <c r="H3058" t="s">
        <v>32</v>
      </c>
      <c r="I3058" t="s">
        <v>1081</v>
      </c>
      <c r="J3058" t="s">
        <v>1082</v>
      </c>
      <c r="K3058" t="s">
        <v>29</v>
      </c>
      <c r="L3058">
        <v>0</v>
      </c>
      <c r="M3058" t="s">
        <v>29</v>
      </c>
      <c r="N3058">
        <v>0</v>
      </c>
      <c r="O3058">
        <v>0</v>
      </c>
      <c r="P3058" t="s">
        <v>30</v>
      </c>
      <c r="Q3058" s="2">
        <v>0.7</v>
      </c>
      <c r="R3058">
        <v>0</v>
      </c>
      <c r="V3058" t="str">
        <f>VLOOKUP(H3058,'[1]팀별 출판사'!A:B,2,0)</f>
        <v>소설1팀</v>
      </c>
      <c r="W3058" s="6">
        <f t="shared" si="94"/>
        <v>0</v>
      </c>
      <c r="X3058" s="6">
        <f t="shared" si="95"/>
        <v>0</v>
      </c>
    </row>
    <row r="3059" spans="1:24" x14ac:dyDescent="0.3">
      <c r="A3059" t="s">
        <v>4421</v>
      </c>
      <c r="B3059" t="s">
        <v>4494</v>
      </c>
      <c r="C3059" t="s">
        <v>23</v>
      </c>
      <c r="D3059" t="s">
        <v>24</v>
      </c>
      <c r="E3059" t="s">
        <v>25</v>
      </c>
      <c r="F3059">
        <v>1</v>
      </c>
      <c r="G3059">
        <v>9791133130375</v>
      </c>
      <c r="H3059" t="s">
        <v>32</v>
      </c>
      <c r="I3059" t="s">
        <v>536</v>
      </c>
      <c r="J3059" t="s">
        <v>160</v>
      </c>
      <c r="K3059" t="s">
        <v>29</v>
      </c>
      <c r="L3059">
        <v>0</v>
      </c>
      <c r="M3059" t="s">
        <v>29</v>
      </c>
      <c r="N3059">
        <v>0</v>
      </c>
      <c r="O3059">
        <v>0</v>
      </c>
      <c r="P3059" t="s">
        <v>30</v>
      </c>
      <c r="Q3059" s="2">
        <v>0.7</v>
      </c>
      <c r="R3059">
        <v>0</v>
      </c>
      <c r="V3059" t="str">
        <f>VLOOKUP(H3059,'[1]팀별 출판사'!A:B,2,0)</f>
        <v>소설1팀</v>
      </c>
      <c r="W3059" s="6">
        <f t="shared" si="94"/>
        <v>0</v>
      </c>
      <c r="X3059" s="6">
        <f t="shared" si="95"/>
        <v>0</v>
      </c>
    </row>
    <row r="3060" spans="1:24" x14ac:dyDescent="0.3">
      <c r="A3060" t="s">
        <v>4421</v>
      </c>
      <c r="B3060" t="s">
        <v>4495</v>
      </c>
      <c r="C3060" t="s">
        <v>23</v>
      </c>
      <c r="D3060" t="s">
        <v>24</v>
      </c>
      <c r="E3060" t="s">
        <v>25</v>
      </c>
      <c r="F3060">
        <v>1</v>
      </c>
      <c r="G3060">
        <v>9791133138104</v>
      </c>
      <c r="H3060" t="s">
        <v>32</v>
      </c>
      <c r="I3060" t="s">
        <v>1204</v>
      </c>
      <c r="J3060" t="s">
        <v>88</v>
      </c>
      <c r="K3060" t="s">
        <v>29</v>
      </c>
      <c r="L3060">
        <v>0</v>
      </c>
      <c r="M3060" t="s">
        <v>29</v>
      </c>
      <c r="N3060">
        <v>0</v>
      </c>
      <c r="O3060">
        <v>0</v>
      </c>
      <c r="P3060" t="s">
        <v>30</v>
      </c>
      <c r="Q3060" s="2">
        <v>0.7</v>
      </c>
      <c r="R3060">
        <v>0</v>
      </c>
      <c r="V3060" t="str">
        <f>VLOOKUP(H3060,'[1]팀별 출판사'!A:B,2,0)</f>
        <v>소설1팀</v>
      </c>
      <c r="W3060" s="6">
        <f t="shared" si="94"/>
        <v>0</v>
      </c>
      <c r="X3060" s="6">
        <f t="shared" si="95"/>
        <v>0</v>
      </c>
    </row>
    <row r="3061" spans="1:24" x14ac:dyDescent="0.3">
      <c r="A3061" t="s">
        <v>4421</v>
      </c>
      <c r="B3061" t="s">
        <v>4496</v>
      </c>
      <c r="C3061" t="s">
        <v>23</v>
      </c>
      <c r="D3061" t="s">
        <v>24</v>
      </c>
      <c r="E3061" t="s">
        <v>25</v>
      </c>
      <c r="F3061">
        <v>1</v>
      </c>
      <c r="G3061">
        <v>9791136934925</v>
      </c>
      <c r="H3061" t="s">
        <v>32</v>
      </c>
      <c r="I3061" t="s">
        <v>385</v>
      </c>
      <c r="J3061" t="s">
        <v>126</v>
      </c>
      <c r="K3061" t="s">
        <v>29</v>
      </c>
      <c r="L3061">
        <v>0</v>
      </c>
      <c r="M3061" t="s">
        <v>127</v>
      </c>
      <c r="N3061">
        <v>0</v>
      </c>
      <c r="O3061">
        <v>0</v>
      </c>
      <c r="P3061" t="s">
        <v>128</v>
      </c>
      <c r="Q3061" s="2">
        <v>0.7</v>
      </c>
      <c r="R3061">
        <v>0</v>
      </c>
      <c r="V3061" t="str">
        <f>VLOOKUP(H3061,'[1]팀별 출판사'!A:B,2,0)</f>
        <v>소설1팀</v>
      </c>
      <c r="W3061" s="6">
        <f t="shared" si="94"/>
        <v>0</v>
      </c>
      <c r="X3061" s="6">
        <f t="shared" si="95"/>
        <v>0</v>
      </c>
    </row>
    <row r="3062" spans="1:24" x14ac:dyDescent="0.3">
      <c r="A3062" t="s">
        <v>4421</v>
      </c>
      <c r="B3062" t="s">
        <v>4497</v>
      </c>
      <c r="C3062" t="s">
        <v>23</v>
      </c>
      <c r="D3062" t="s">
        <v>24</v>
      </c>
      <c r="E3062" t="s">
        <v>25</v>
      </c>
      <c r="F3062">
        <v>1</v>
      </c>
      <c r="G3062">
        <v>9791136988133</v>
      </c>
      <c r="H3062" t="s">
        <v>26</v>
      </c>
      <c r="I3062" t="s">
        <v>614</v>
      </c>
      <c r="J3062" t="s">
        <v>28</v>
      </c>
      <c r="K3062" t="s">
        <v>29</v>
      </c>
      <c r="L3062">
        <v>0</v>
      </c>
      <c r="M3062" t="s">
        <v>29</v>
      </c>
      <c r="N3062">
        <v>0</v>
      </c>
      <c r="O3062">
        <v>0</v>
      </c>
      <c r="P3062" t="s">
        <v>30</v>
      </c>
      <c r="Q3062" s="2">
        <v>0.7</v>
      </c>
      <c r="R3062">
        <v>0</v>
      </c>
      <c r="V3062" t="str">
        <f>VLOOKUP(H3062,'[1]팀별 출판사'!A:B,2,0)</f>
        <v>소설1팀</v>
      </c>
      <c r="W3062" s="6">
        <f t="shared" si="94"/>
        <v>0</v>
      </c>
      <c r="X3062" s="6">
        <f t="shared" si="95"/>
        <v>0</v>
      </c>
    </row>
    <row r="3063" spans="1:24" x14ac:dyDescent="0.3">
      <c r="A3063" t="s">
        <v>4421</v>
      </c>
      <c r="B3063" t="s">
        <v>4498</v>
      </c>
      <c r="C3063" t="s">
        <v>23</v>
      </c>
      <c r="D3063" t="s">
        <v>24</v>
      </c>
      <c r="E3063" t="s">
        <v>25</v>
      </c>
      <c r="F3063">
        <v>1</v>
      </c>
      <c r="G3063" t="s">
        <v>549</v>
      </c>
      <c r="H3063" t="s">
        <v>208</v>
      </c>
      <c r="I3063" t="s">
        <v>2540</v>
      </c>
      <c r="J3063" t="s">
        <v>210</v>
      </c>
      <c r="K3063" t="s">
        <v>29</v>
      </c>
      <c r="L3063" s="1">
        <v>2000</v>
      </c>
      <c r="M3063" t="s">
        <v>29</v>
      </c>
      <c r="N3063" s="1">
        <v>2000</v>
      </c>
      <c r="O3063" s="1">
        <v>2000</v>
      </c>
      <c r="P3063" t="s">
        <v>30</v>
      </c>
      <c r="Q3063" s="2">
        <v>0.7</v>
      </c>
      <c r="R3063" s="1">
        <v>1400</v>
      </c>
      <c r="S3063" t="s">
        <v>29</v>
      </c>
      <c r="T3063" s="1">
        <v>1400</v>
      </c>
      <c r="V3063" t="str">
        <f>VLOOKUP(H3063,'[1]팀별 출판사'!A:B,2,0)</f>
        <v>소설1팀</v>
      </c>
      <c r="W3063" s="6">
        <f t="shared" si="94"/>
        <v>0</v>
      </c>
      <c r="X3063" s="6">
        <f t="shared" si="95"/>
        <v>1400</v>
      </c>
    </row>
    <row r="3064" spans="1:24" x14ac:dyDescent="0.3">
      <c r="A3064" t="s">
        <v>4421</v>
      </c>
      <c r="B3064" t="s">
        <v>4499</v>
      </c>
      <c r="C3064" t="s">
        <v>23</v>
      </c>
      <c r="D3064" t="s">
        <v>24</v>
      </c>
      <c r="E3064" t="s">
        <v>25</v>
      </c>
      <c r="F3064">
        <v>1</v>
      </c>
      <c r="G3064" t="s">
        <v>4500</v>
      </c>
      <c r="H3064" t="s">
        <v>32</v>
      </c>
      <c r="I3064" t="s">
        <v>4501</v>
      </c>
      <c r="J3064" t="s">
        <v>311</v>
      </c>
      <c r="K3064" t="s">
        <v>29</v>
      </c>
      <c r="L3064" s="1">
        <v>3200</v>
      </c>
      <c r="M3064" t="s">
        <v>29</v>
      </c>
      <c r="N3064" s="1">
        <v>3200</v>
      </c>
      <c r="O3064" s="1">
        <v>3200</v>
      </c>
      <c r="P3064" t="s">
        <v>30</v>
      </c>
      <c r="Q3064" s="2">
        <v>0.7</v>
      </c>
      <c r="R3064" s="1">
        <v>2240</v>
      </c>
      <c r="S3064" t="s">
        <v>29</v>
      </c>
      <c r="T3064" s="1">
        <v>2240</v>
      </c>
      <c r="V3064" t="str">
        <f>VLOOKUP(H3064,'[1]팀별 출판사'!A:B,2,0)</f>
        <v>소설1팀</v>
      </c>
      <c r="W3064" s="6">
        <f t="shared" si="94"/>
        <v>0</v>
      </c>
      <c r="X3064" s="6">
        <f t="shared" si="95"/>
        <v>2240</v>
      </c>
    </row>
    <row r="3065" spans="1:24" x14ac:dyDescent="0.3">
      <c r="A3065" t="s">
        <v>4421</v>
      </c>
      <c r="B3065" t="s">
        <v>4502</v>
      </c>
      <c r="C3065" t="s">
        <v>23</v>
      </c>
      <c r="D3065" t="s">
        <v>24</v>
      </c>
      <c r="E3065" t="s">
        <v>25</v>
      </c>
      <c r="F3065">
        <v>1</v>
      </c>
      <c r="G3065">
        <v>9791136935496</v>
      </c>
      <c r="H3065" t="s">
        <v>32</v>
      </c>
      <c r="I3065" t="s">
        <v>441</v>
      </c>
      <c r="J3065" t="s">
        <v>442</v>
      </c>
      <c r="K3065" t="s">
        <v>29</v>
      </c>
      <c r="L3065">
        <v>0</v>
      </c>
      <c r="M3065" t="s">
        <v>127</v>
      </c>
      <c r="N3065">
        <v>0</v>
      </c>
      <c r="O3065">
        <v>0</v>
      </c>
      <c r="P3065" t="s">
        <v>128</v>
      </c>
      <c r="Q3065" s="2">
        <v>0.7</v>
      </c>
      <c r="R3065">
        <v>0</v>
      </c>
      <c r="V3065" t="str">
        <f>VLOOKUP(H3065,'[1]팀별 출판사'!A:B,2,0)</f>
        <v>소설1팀</v>
      </c>
      <c r="W3065" s="6">
        <f t="shared" si="94"/>
        <v>0</v>
      </c>
      <c r="X3065" s="6">
        <f t="shared" si="95"/>
        <v>0</v>
      </c>
    </row>
    <row r="3066" spans="1:24" x14ac:dyDescent="0.3">
      <c r="A3066" t="s">
        <v>4421</v>
      </c>
      <c r="B3066" t="s">
        <v>4503</v>
      </c>
      <c r="C3066" t="s">
        <v>23</v>
      </c>
      <c r="D3066" t="s">
        <v>24</v>
      </c>
      <c r="E3066" t="s">
        <v>25</v>
      </c>
      <c r="F3066">
        <v>1</v>
      </c>
      <c r="G3066">
        <v>9791136930156</v>
      </c>
      <c r="H3066" t="s">
        <v>32</v>
      </c>
      <c r="I3066" t="s">
        <v>702</v>
      </c>
      <c r="J3066" t="s">
        <v>34</v>
      </c>
      <c r="K3066" t="s">
        <v>29</v>
      </c>
      <c r="L3066">
        <v>0</v>
      </c>
      <c r="M3066" t="s">
        <v>127</v>
      </c>
      <c r="N3066">
        <v>0</v>
      </c>
      <c r="O3066">
        <v>0</v>
      </c>
      <c r="P3066" t="s">
        <v>128</v>
      </c>
      <c r="Q3066" s="2">
        <v>0.7</v>
      </c>
      <c r="R3066">
        <v>0</v>
      </c>
      <c r="V3066" t="str">
        <f>VLOOKUP(H3066,'[1]팀별 출판사'!A:B,2,0)</f>
        <v>소설1팀</v>
      </c>
      <c r="W3066" s="6">
        <f t="shared" si="94"/>
        <v>0</v>
      </c>
      <c r="X3066" s="6">
        <f t="shared" si="95"/>
        <v>0</v>
      </c>
    </row>
    <row r="3067" spans="1:24" x14ac:dyDescent="0.3">
      <c r="A3067" t="s">
        <v>4421</v>
      </c>
      <c r="B3067" t="s">
        <v>4504</v>
      </c>
      <c r="C3067" t="s">
        <v>23</v>
      </c>
      <c r="D3067" t="s">
        <v>24</v>
      </c>
      <c r="E3067" t="s">
        <v>25</v>
      </c>
      <c r="F3067">
        <v>1</v>
      </c>
      <c r="G3067">
        <v>9791170100041</v>
      </c>
      <c r="H3067" t="s">
        <v>67</v>
      </c>
      <c r="I3067" t="s">
        <v>346</v>
      </c>
      <c r="J3067" t="s">
        <v>347</v>
      </c>
      <c r="K3067" t="s">
        <v>29</v>
      </c>
      <c r="L3067">
        <v>0</v>
      </c>
      <c r="M3067" t="s">
        <v>29</v>
      </c>
      <c r="N3067">
        <v>0</v>
      </c>
      <c r="O3067">
        <v>0</v>
      </c>
      <c r="P3067" t="s">
        <v>30</v>
      </c>
      <c r="Q3067" s="2">
        <v>0.7</v>
      </c>
      <c r="R3067">
        <v>0</v>
      </c>
      <c r="V3067" t="str">
        <f>VLOOKUP(H3067,'[1]팀별 출판사'!A:B,2,0)</f>
        <v>소설1팀</v>
      </c>
      <c r="W3067" s="6">
        <f t="shared" si="94"/>
        <v>0</v>
      </c>
      <c r="X3067" s="6">
        <f t="shared" si="95"/>
        <v>0</v>
      </c>
    </row>
    <row r="3068" spans="1:24" x14ac:dyDescent="0.3">
      <c r="A3068" t="s">
        <v>4421</v>
      </c>
      <c r="B3068" t="s">
        <v>4505</v>
      </c>
      <c r="C3068" t="s">
        <v>23</v>
      </c>
      <c r="D3068" t="s">
        <v>24</v>
      </c>
      <c r="E3068" t="s">
        <v>25</v>
      </c>
      <c r="F3068">
        <v>1</v>
      </c>
      <c r="G3068">
        <v>9791136931382</v>
      </c>
      <c r="H3068" t="s">
        <v>32</v>
      </c>
      <c r="I3068" t="s">
        <v>523</v>
      </c>
      <c r="J3068" t="s">
        <v>46</v>
      </c>
      <c r="K3068" t="s">
        <v>29</v>
      </c>
      <c r="L3068">
        <v>0</v>
      </c>
      <c r="M3068" t="s">
        <v>127</v>
      </c>
      <c r="N3068">
        <v>0</v>
      </c>
      <c r="O3068">
        <v>0</v>
      </c>
      <c r="P3068" t="s">
        <v>128</v>
      </c>
      <c r="Q3068" s="2">
        <v>0.7</v>
      </c>
      <c r="R3068">
        <v>0</v>
      </c>
      <c r="V3068" t="str">
        <f>VLOOKUP(H3068,'[1]팀별 출판사'!A:B,2,0)</f>
        <v>소설1팀</v>
      </c>
      <c r="W3068" s="6">
        <f t="shared" si="94"/>
        <v>0</v>
      </c>
      <c r="X3068" s="6">
        <f t="shared" si="95"/>
        <v>0</v>
      </c>
    </row>
    <row r="3069" spans="1:24" x14ac:dyDescent="0.3">
      <c r="A3069" t="s">
        <v>4421</v>
      </c>
      <c r="B3069" t="s">
        <v>4506</v>
      </c>
      <c r="C3069" t="s">
        <v>23</v>
      </c>
      <c r="D3069" t="s">
        <v>24</v>
      </c>
      <c r="E3069" t="s">
        <v>25</v>
      </c>
      <c r="F3069">
        <v>1</v>
      </c>
      <c r="G3069">
        <v>9791136930811</v>
      </c>
      <c r="H3069" t="s">
        <v>32</v>
      </c>
      <c r="I3069" t="s">
        <v>1011</v>
      </c>
      <c r="J3069" t="s">
        <v>34</v>
      </c>
      <c r="K3069" t="s">
        <v>29</v>
      </c>
      <c r="L3069">
        <v>0</v>
      </c>
      <c r="M3069" t="s">
        <v>127</v>
      </c>
      <c r="N3069">
        <v>0</v>
      </c>
      <c r="O3069">
        <v>0</v>
      </c>
      <c r="P3069" t="s">
        <v>128</v>
      </c>
      <c r="Q3069" s="2">
        <v>0.7</v>
      </c>
      <c r="R3069">
        <v>0</v>
      </c>
      <c r="V3069" t="str">
        <f>VLOOKUP(H3069,'[1]팀별 출판사'!A:B,2,0)</f>
        <v>소설1팀</v>
      </c>
      <c r="W3069" s="6">
        <f t="shared" si="94"/>
        <v>0</v>
      </c>
      <c r="X3069" s="6">
        <f t="shared" si="95"/>
        <v>0</v>
      </c>
    </row>
    <row r="3070" spans="1:24" x14ac:dyDescent="0.3">
      <c r="A3070" t="s">
        <v>4421</v>
      </c>
      <c r="B3070" t="s">
        <v>4507</v>
      </c>
      <c r="C3070" t="s">
        <v>23</v>
      </c>
      <c r="D3070" t="s">
        <v>24</v>
      </c>
      <c r="E3070" t="s">
        <v>25</v>
      </c>
      <c r="F3070">
        <v>1</v>
      </c>
      <c r="G3070">
        <v>9791136932648</v>
      </c>
      <c r="H3070" t="s">
        <v>32</v>
      </c>
      <c r="I3070" t="s">
        <v>832</v>
      </c>
      <c r="J3070" t="s">
        <v>34</v>
      </c>
      <c r="K3070" t="s">
        <v>29</v>
      </c>
      <c r="L3070">
        <v>0</v>
      </c>
      <c r="M3070" t="s">
        <v>29</v>
      </c>
      <c r="N3070">
        <v>0</v>
      </c>
      <c r="O3070">
        <v>0</v>
      </c>
      <c r="P3070" t="s">
        <v>30</v>
      </c>
      <c r="Q3070" s="2">
        <v>0.7</v>
      </c>
      <c r="R3070">
        <v>0</v>
      </c>
      <c r="V3070" t="str">
        <f>VLOOKUP(H3070,'[1]팀별 출판사'!A:B,2,0)</f>
        <v>소설1팀</v>
      </c>
      <c r="W3070" s="6">
        <f t="shared" si="94"/>
        <v>0</v>
      </c>
      <c r="X3070" s="6">
        <f t="shared" si="95"/>
        <v>0</v>
      </c>
    </row>
    <row r="3071" spans="1:24" x14ac:dyDescent="0.3">
      <c r="A3071" t="s">
        <v>4421</v>
      </c>
      <c r="B3071" t="s">
        <v>4508</v>
      </c>
      <c r="C3071" t="s">
        <v>23</v>
      </c>
      <c r="D3071" t="s">
        <v>24</v>
      </c>
      <c r="E3071" t="s">
        <v>25</v>
      </c>
      <c r="F3071">
        <v>1</v>
      </c>
      <c r="G3071">
        <v>9791136930361</v>
      </c>
      <c r="H3071" t="s">
        <v>32</v>
      </c>
      <c r="I3071" t="s">
        <v>33</v>
      </c>
      <c r="J3071" t="s">
        <v>34</v>
      </c>
      <c r="K3071" t="s">
        <v>29</v>
      </c>
      <c r="L3071">
        <v>0</v>
      </c>
      <c r="M3071" t="s">
        <v>127</v>
      </c>
      <c r="N3071">
        <v>0</v>
      </c>
      <c r="O3071">
        <v>0</v>
      </c>
      <c r="P3071" t="s">
        <v>128</v>
      </c>
      <c r="Q3071" s="2">
        <v>0.7</v>
      </c>
      <c r="R3071">
        <v>0</v>
      </c>
      <c r="V3071" t="str">
        <f>VLOOKUP(H3071,'[1]팀별 출판사'!A:B,2,0)</f>
        <v>소설1팀</v>
      </c>
      <c r="W3071" s="6">
        <f t="shared" si="94"/>
        <v>0</v>
      </c>
      <c r="X3071" s="6">
        <f t="shared" si="95"/>
        <v>0</v>
      </c>
    </row>
    <row r="3072" spans="1:24" x14ac:dyDescent="0.3">
      <c r="A3072" t="s">
        <v>4421</v>
      </c>
      <c r="B3072" t="s">
        <v>4509</v>
      </c>
      <c r="C3072" t="s">
        <v>23</v>
      </c>
      <c r="D3072" t="s">
        <v>24</v>
      </c>
      <c r="E3072" t="s">
        <v>25</v>
      </c>
      <c r="F3072">
        <v>1</v>
      </c>
      <c r="G3072">
        <v>9791133183968</v>
      </c>
      <c r="H3072" t="s">
        <v>26</v>
      </c>
      <c r="I3072" t="s">
        <v>2770</v>
      </c>
      <c r="J3072" t="s">
        <v>2771</v>
      </c>
      <c r="K3072" t="s">
        <v>29</v>
      </c>
      <c r="L3072">
        <v>0</v>
      </c>
      <c r="M3072" t="s">
        <v>70</v>
      </c>
      <c r="N3072">
        <v>0</v>
      </c>
      <c r="O3072">
        <v>0</v>
      </c>
      <c r="P3072" t="s">
        <v>4510</v>
      </c>
      <c r="Q3072" s="2">
        <v>0.7</v>
      </c>
      <c r="R3072">
        <v>0</v>
      </c>
      <c r="V3072" t="str">
        <f>VLOOKUP(H3072,'[1]팀별 출판사'!A:B,2,0)</f>
        <v>소설1팀</v>
      </c>
      <c r="W3072" s="6">
        <f t="shared" si="94"/>
        <v>0</v>
      </c>
      <c r="X3072" s="6">
        <f t="shared" si="95"/>
        <v>0</v>
      </c>
    </row>
    <row r="3073" spans="1:24" x14ac:dyDescent="0.3">
      <c r="A3073" t="s">
        <v>4421</v>
      </c>
      <c r="B3073" t="s">
        <v>4511</v>
      </c>
      <c r="C3073" t="s">
        <v>23</v>
      </c>
      <c r="D3073" t="s">
        <v>24</v>
      </c>
      <c r="E3073" t="s">
        <v>25</v>
      </c>
      <c r="F3073">
        <v>1</v>
      </c>
      <c r="G3073">
        <v>9791173786082</v>
      </c>
      <c r="H3073" t="s">
        <v>26</v>
      </c>
      <c r="I3073" t="s">
        <v>4512</v>
      </c>
      <c r="J3073" t="s">
        <v>4513</v>
      </c>
      <c r="K3073" t="s">
        <v>29</v>
      </c>
      <c r="L3073">
        <v>0</v>
      </c>
      <c r="M3073" t="s">
        <v>29</v>
      </c>
      <c r="N3073">
        <v>0</v>
      </c>
      <c r="O3073">
        <v>0</v>
      </c>
      <c r="P3073" t="s">
        <v>30</v>
      </c>
      <c r="Q3073" s="2">
        <v>0.7</v>
      </c>
      <c r="R3073">
        <v>0</v>
      </c>
      <c r="V3073" t="str">
        <f>VLOOKUP(H3073,'[1]팀별 출판사'!A:B,2,0)</f>
        <v>소설1팀</v>
      </c>
      <c r="W3073" s="6">
        <f t="shared" si="94"/>
        <v>0</v>
      </c>
      <c r="X3073" s="6">
        <f t="shared" si="95"/>
        <v>0</v>
      </c>
    </row>
    <row r="3074" spans="1:24" x14ac:dyDescent="0.3">
      <c r="A3074" t="s">
        <v>4421</v>
      </c>
      <c r="B3074" t="s">
        <v>4514</v>
      </c>
      <c r="C3074" t="s">
        <v>23</v>
      </c>
      <c r="D3074" t="s">
        <v>24</v>
      </c>
      <c r="E3074" t="s">
        <v>25</v>
      </c>
      <c r="F3074">
        <v>1</v>
      </c>
      <c r="G3074">
        <v>9791136930156</v>
      </c>
      <c r="H3074" t="s">
        <v>32</v>
      </c>
      <c r="I3074" t="s">
        <v>702</v>
      </c>
      <c r="J3074" t="s">
        <v>34</v>
      </c>
      <c r="K3074" t="s">
        <v>29</v>
      </c>
      <c r="L3074">
        <v>0</v>
      </c>
      <c r="M3074" t="s">
        <v>29</v>
      </c>
      <c r="N3074">
        <v>0</v>
      </c>
      <c r="O3074">
        <v>0</v>
      </c>
      <c r="P3074" t="s">
        <v>30</v>
      </c>
      <c r="Q3074" s="2">
        <v>0.7</v>
      </c>
      <c r="R3074">
        <v>0</v>
      </c>
      <c r="V3074" t="str">
        <f>VLOOKUP(H3074,'[1]팀별 출판사'!A:B,2,0)</f>
        <v>소설1팀</v>
      </c>
      <c r="W3074" s="6">
        <f t="shared" ref="W3074:W3137" si="96">IF(P3074="US", T3074*30%, 0)</f>
        <v>0</v>
      </c>
      <c r="X3074" s="6">
        <f t="shared" ref="X3074:X3137" si="97">T3074-W3074</f>
        <v>0</v>
      </c>
    </row>
    <row r="3075" spans="1:24" x14ac:dyDescent="0.3">
      <c r="A3075" t="s">
        <v>4421</v>
      </c>
      <c r="B3075" t="s">
        <v>4515</v>
      </c>
      <c r="C3075" t="s">
        <v>23</v>
      </c>
      <c r="D3075" t="s">
        <v>24</v>
      </c>
      <c r="E3075" t="s">
        <v>25</v>
      </c>
      <c r="F3075">
        <v>1</v>
      </c>
      <c r="G3075">
        <v>9791136946782</v>
      </c>
      <c r="H3075" t="s">
        <v>26</v>
      </c>
      <c r="I3075" t="s">
        <v>291</v>
      </c>
      <c r="J3075" t="s">
        <v>28</v>
      </c>
      <c r="K3075" t="s">
        <v>29</v>
      </c>
      <c r="L3075">
        <v>0</v>
      </c>
      <c r="M3075" t="s">
        <v>29</v>
      </c>
      <c r="N3075">
        <v>0</v>
      </c>
      <c r="O3075">
        <v>0</v>
      </c>
      <c r="P3075" t="s">
        <v>30</v>
      </c>
      <c r="Q3075" s="2">
        <v>0.7</v>
      </c>
      <c r="R3075">
        <v>0</v>
      </c>
      <c r="V3075" t="str">
        <f>VLOOKUP(H3075,'[1]팀별 출판사'!A:B,2,0)</f>
        <v>소설1팀</v>
      </c>
      <c r="W3075" s="6">
        <f t="shared" si="96"/>
        <v>0</v>
      </c>
      <c r="X3075" s="6">
        <f t="shared" si="97"/>
        <v>0</v>
      </c>
    </row>
    <row r="3076" spans="1:24" x14ac:dyDescent="0.3">
      <c r="A3076" t="s">
        <v>4421</v>
      </c>
      <c r="B3076" t="s">
        <v>4516</v>
      </c>
      <c r="C3076" t="s">
        <v>23</v>
      </c>
      <c r="D3076" t="s">
        <v>24</v>
      </c>
      <c r="E3076" t="s">
        <v>25</v>
      </c>
      <c r="F3076">
        <v>1</v>
      </c>
      <c r="G3076" t="s">
        <v>2083</v>
      </c>
      <c r="H3076" t="s">
        <v>208</v>
      </c>
      <c r="I3076" t="s">
        <v>2084</v>
      </c>
      <c r="J3076" t="s">
        <v>210</v>
      </c>
      <c r="K3076" t="s">
        <v>29</v>
      </c>
      <c r="L3076" s="1">
        <v>2000</v>
      </c>
      <c r="M3076" t="s">
        <v>29</v>
      </c>
      <c r="N3076" s="1">
        <v>2000</v>
      </c>
      <c r="O3076" s="1">
        <v>2000</v>
      </c>
      <c r="P3076" t="s">
        <v>30</v>
      </c>
      <c r="Q3076" s="2">
        <v>0.7</v>
      </c>
      <c r="R3076" s="1">
        <v>1400</v>
      </c>
      <c r="S3076" t="s">
        <v>29</v>
      </c>
      <c r="T3076" s="1">
        <v>1400</v>
      </c>
      <c r="V3076" t="str">
        <f>VLOOKUP(H3076,'[1]팀별 출판사'!A:B,2,0)</f>
        <v>소설1팀</v>
      </c>
      <c r="W3076" s="6">
        <f t="shared" si="96"/>
        <v>0</v>
      </c>
      <c r="X3076" s="6">
        <f t="shared" si="97"/>
        <v>1400</v>
      </c>
    </row>
    <row r="3077" spans="1:24" x14ac:dyDescent="0.3">
      <c r="A3077" t="s">
        <v>4421</v>
      </c>
      <c r="B3077" t="s">
        <v>4517</v>
      </c>
      <c r="C3077" t="s">
        <v>23</v>
      </c>
      <c r="D3077" t="s">
        <v>24</v>
      </c>
      <c r="E3077" t="s">
        <v>25</v>
      </c>
      <c r="F3077">
        <v>1</v>
      </c>
      <c r="G3077">
        <v>9791157533626</v>
      </c>
      <c r="H3077" t="s">
        <v>32</v>
      </c>
      <c r="I3077" t="s">
        <v>4518</v>
      </c>
      <c r="J3077" t="s">
        <v>187</v>
      </c>
      <c r="K3077" t="s">
        <v>29</v>
      </c>
      <c r="L3077" s="1">
        <v>3200</v>
      </c>
      <c r="M3077" t="s">
        <v>29</v>
      </c>
      <c r="N3077" s="1">
        <v>3200</v>
      </c>
      <c r="O3077" s="1">
        <v>3200</v>
      </c>
      <c r="P3077" t="s">
        <v>30</v>
      </c>
      <c r="Q3077" s="2">
        <v>0.7</v>
      </c>
      <c r="R3077" s="1">
        <v>2240</v>
      </c>
      <c r="S3077" t="s">
        <v>29</v>
      </c>
      <c r="T3077" s="1">
        <v>2240</v>
      </c>
      <c r="V3077" t="str">
        <f>VLOOKUP(H3077,'[1]팀별 출판사'!A:B,2,0)</f>
        <v>소설1팀</v>
      </c>
      <c r="W3077" s="6">
        <f t="shared" si="96"/>
        <v>0</v>
      </c>
      <c r="X3077" s="6">
        <f t="shared" si="97"/>
        <v>2240</v>
      </c>
    </row>
    <row r="3078" spans="1:24" x14ac:dyDescent="0.3">
      <c r="A3078" t="s">
        <v>4421</v>
      </c>
      <c r="B3078" t="s">
        <v>4519</v>
      </c>
      <c r="C3078" t="s">
        <v>23</v>
      </c>
      <c r="D3078" t="s">
        <v>24</v>
      </c>
      <c r="E3078" t="s">
        <v>25</v>
      </c>
      <c r="F3078">
        <v>1</v>
      </c>
      <c r="G3078">
        <v>9791136931375</v>
      </c>
      <c r="H3078" t="s">
        <v>32</v>
      </c>
      <c r="I3078" t="s">
        <v>189</v>
      </c>
      <c r="J3078" t="s">
        <v>46</v>
      </c>
      <c r="K3078" t="s">
        <v>29</v>
      </c>
      <c r="L3078">
        <v>0</v>
      </c>
      <c r="M3078" t="s">
        <v>47</v>
      </c>
      <c r="N3078">
        <v>0</v>
      </c>
      <c r="O3078">
        <v>0</v>
      </c>
      <c r="P3078" t="s">
        <v>48</v>
      </c>
      <c r="Q3078" s="2">
        <v>0.7</v>
      </c>
      <c r="R3078">
        <v>0</v>
      </c>
      <c r="V3078" t="str">
        <f>VLOOKUP(H3078,'[1]팀별 출판사'!A:B,2,0)</f>
        <v>소설1팀</v>
      </c>
      <c r="W3078" s="6">
        <f t="shared" si="96"/>
        <v>0</v>
      </c>
      <c r="X3078" s="6">
        <f t="shared" si="97"/>
        <v>0</v>
      </c>
    </row>
    <row r="3079" spans="1:24" x14ac:dyDescent="0.3">
      <c r="A3079" t="s">
        <v>4421</v>
      </c>
      <c r="B3079" t="s">
        <v>4520</v>
      </c>
      <c r="C3079" t="s">
        <v>23</v>
      </c>
      <c r="D3079" t="s">
        <v>24</v>
      </c>
      <c r="E3079" t="s">
        <v>25</v>
      </c>
      <c r="F3079">
        <v>1</v>
      </c>
      <c r="G3079">
        <v>9791136931382</v>
      </c>
      <c r="H3079" t="s">
        <v>32</v>
      </c>
      <c r="I3079" t="s">
        <v>523</v>
      </c>
      <c r="J3079" t="s">
        <v>46</v>
      </c>
      <c r="K3079" t="s">
        <v>29</v>
      </c>
      <c r="L3079">
        <v>0</v>
      </c>
      <c r="M3079" t="s">
        <v>47</v>
      </c>
      <c r="N3079">
        <v>0</v>
      </c>
      <c r="O3079">
        <v>0</v>
      </c>
      <c r="P3079" t="s">
        <v>48</v>
      </c>
      <c r="Q3079" s="2">
        <v>0.7</v>
      </c>
      <c r="R3079">
        <v>0</v>
      </c>
      <c r="V3079" t="str">
        <f>VLOOKUP(H3079,'[1]팀별 출판사'!A:B,2,0)</f>
        <v>소설1팀</v>
      </c>
      <c r="W3079" s="6">
        <f t="shared" si="96"/>
        <v>0</v>
      </c>
      <c r="X3079" s="6">
        <f t="shared" si="97"/>
        <v>0</v>
      </c>
    </row>
    <row r="3080" spans="1:24" x14ac:dyDescent="0.3">
      <c r="A3080" t="s">
        <v>4421</v>
      </c>
      <c r="B3080" t="s">
        <v>4521</v>
      </c>
      <c r="C3080" t="s">
        <v>23</v>
      </c>
      <c r="D3080" t="s">
        <v>24</v>
      </c>
      <c r="E3080" t="s">
        <v>25</v>
      </c>
      <c r="F3080">
        <v>1</v>
      </c>
      <c r="G3080">
        <v>9791157533978</v>
      </c>
      <c r="H3080" t="s">
        <v>32</v>
      </c>
      <c r="I3080" t="s">
        <v>4522</v>
      </c>
      <c r="J3080" t="s">
        <v>187</v>
      </c>
      <c r="K3080" t="s">
        <v>29</v>
      </c>
      <c r="L3080">
        <v>0</v>
      </c>
      <c r="M3080" t="s">
        <v>29</v>
      </c>
      <c r="N3080">
        <v>0</v>
      </c>
      <c r="O3080">
        <v>0</v>
      </c>
      <c r="P3080" t="s">
        <v>30</v>
      </c>
      <c r="Q3080" s="2">
        <v>0.7</v>
      </c>
      <c r="R3080">
        <v>0</v>
      </c>
      <c r="V3080" t="str">
        <f>VLOOKUP(H3080,'[1]팀별 출판사'!A:B,2,0)</f>
        <v>소설1팀</v>
      </c>
      <c r="W3080" s="6">
        <f t="shared" si="96"/>
        <v>0</v>
      </c>
      <c r="X3080" s="6">
        <f t="shared" si="97"/>
        <v>0</v>
      </c>
    </row>
    <row r="3081" spans="1:24" x14ac:dyDescent="0.3">
      <c r="A3081" t="s">
        <v>4421</v>
      </c>
      <c r="B3081" t="s">
        <v>4523</v>
      </c>
      <c r="C3081" t="s">
        <v>23</v>
      </c>
      <c r="D3081" t="s">
        <v>24</v>
      </c>
      <c r="E3081" t="s">
        <v>25</v>
      </c>
      <c r="F3081">
        <v>1</v>
      </c>
      <c r="G3081">
        <v>9791136931382</v>
      </c>
      <c r="H3081" t="s">
        <v>32</v>
      </c>
      <c r="I3081" t="s">
        <v>523</v>
      </c>
      <c r="J3081" t="s">
        <v>46</v>
      </c>
      <c r="K3081" t="s">
        <v>29</v>
      </c>
      <c r="L3081">
        <v>0</v>
      </c>
      <c r="M3081" t="s">
        <v>47</v>
      </c>
      <c r="N3081">
        <v>0</v>
      </c>
      <c r="O3081">
        <v>0</v>
      </c>
      <c r="P3081" t="s">
        <v>48</v>
      </c>
      <c r="Q3081" s="2">
        <v>0.7</v>
      </c>
      <c r="R3081">
        <v>0</v>
      </c>
      <c r="V3081" t="str">
        <f>VLOOKUP(H3081,'[1]팀별 출판사'!A:B,2,0)</f>
        <v>소설1팀</v>
      </c>
      <c r="W3081" s="6">
        <f t="shared" si="96"/>
        <v>0</v>
      </c>
      <c r="X3081" s="6">
        <f t="shared" si="97"/>
        <v>0</v>
      </c>
    </row>
    <row r="3082" spans="1:24" x14ac:dyDescent="0.3">
      <c r="A3082" t="s">
        <v>4421</v>
      </c>
      <c r="B3082" t="s">
        <v>4524</v>
      </c>
      <c r="C3082" t="s">
        <v>23</v>
      </c>
      <c r="D3082" t="s">
        <v>24</v>
      </c>
      <c r="E3082" t="s">
        <v>25</v>
      </c>
      <c r="F3082">
        <v>1</v>
      </c>
      <c r="G3082">
        <v>9791170104599</v>
      </c>
      <c r="H3082" t="s">
        <v>67</v>
      </c>
      <c r="I3082" t="s">
        <v>1562</v>
      </c>
      <c r="J3082" t="s">
        <v>241</v>
      </c>
      <c r="K3082" t="s">
        <v>29</v>
      </c>
      <c r="L3082">
        <v>0</v>
      </c>
      <c r="M3082" t="s">
        <v>29</v>
      </c>
      <c r="N3082">
        <v>0</v>
      </c>
      <c r="O3082">
        <v>0</v>
      </c>
      <c r="P3082" t="s">
        <v>30</v>
      </c>
      <c r="Q3082" s="2">
        <v>0.7</v>
      </c>
      <c r="R3082">
        <v>0</v>
      </c>
      <c r="V3082" t="str">
        <f>VLOOKUP(H3082,'[1]팀별 출판사'!A:B,2,0)</f>
        <v>소설1팀</v>
      </c>
      <c r="W3082" s="6">
        <f t="shared" si="96"/>
        <v>0</v>
      </c>
      <c r="X3082" s="6">
        <f t="shared" si="97"/>
        <v>0</v>
      </c>
    </row>
    <row r="3083" spans="1:24" x14ac:dyDescent="0.3">
      <c r="A3083" t="s">
        <v>4421</v>
      </c>
      <c r="B3083" t="s">
        <v>4525</v>
      </c>
      <c r="C3083" t="s">
        <v>23</v>
      </c>
      <c r="D3083" t="s">
        <v>24</v>
      </c>
      <c r="E3083" t="s">
        <v>25</v>
      </c>
      <c r="F3083">
        <v>1</v>
      </c>
      <c r="G3083" t="s">
        <v>4526</v>
      </c>
      <c r="H3083" t="s">
        <v>32</v>
      </c>
      <c r="I3083" t="s">
        <v>4527</v>
      </c>
      <c r="J3083" t="s">
        <v>311</v>
      </c>
      <c r="K3083" t="s">
        <v>29</v>
      </c>
      <c r="L3083" s="1">
        <v>3200</v>
      </c>
      <c r="M3083" t="s">
        <v>29</v>
      </c>
      <c r="N3083" s="1">
        <v>3200</v>
      </c>
      <c r="O3083" s="1">
        <v>3200</v>
      </c>
      <c r="P3083" t="s">
        <v>30</v>
      </c>
      <c r="Q3083" s="2">
        <v>0.7</v>
      </c>
      <c r="R3083" s="1">
        <v>2240</v>
      </c>
      <c r="S3083" t="s">
        <v>29</v>
      </c>
      <c r="T3083" s="1">
        <v>2240</v>
      </c>
      <c r="V3083" t="str">
        <f>VLOOKUP(H3083,'[1]팀별 출판사'!A:B,2,0)</f>
        <v>소설1팀</v>
      </c>
      <c r="W3083" s="6">
        <f t="shared" si="96"/>
        <v>0</v>
      </c>
      <c r="X3083" s="6">
        <f t="shared" si="97"/>
        <v>2240</v>
      </c>
    </row>
    <row r="3084" spans="1:24" x14ac:dyDescent="0.3">
      <c r="A3084" t="s">
        <v>4421</v>
      </c>
      <c r="B3084" t="s">
        <v>4528</v>
      </c>
      <c r="C3084" t="s">
        <v>23</v>
      </c>
      <c r="D3084" t="s">
        <v>24</v>
      </c>
      <c r="E3084" t="s">
        <v>25</v>
      </c>
      <c r="F3084">
        <v>1</v>
      </c>
      <c r="G3084">
        <v>9791136907554</v>
      </c>
      <c r="H3084" t="s">
        <v>26</v>
      </c>
      <c r="I3084" t="s">
        <v>3877</v>
      </c>
      <c r="J3084" t="s">
        <v>1348</v>
      </c>
      <c r="K3084" t="s">
        <v>29</v>
      </c>
      <c r="L3084">
        <v>0</v>
      </c>
      <c r="M3084" t="s">
        <v>70</v>
      </c>
      <c r="N3084">
        <v>0</v>
      </c>
      <c r="O3084">
        <v>0</v>
      </c>
      <c r="P3084" t="s">
        <v>71</v>
      </c>
      <c r="Q3084" s="2">
        <v>0.7</v>
      </c>
      <c r="R3084">
        <v>0</v>
      </c>
      <c r="V3084" t="str">
        <f>VLOOKUP(H3084,'[1]팀별 출판사'!A:B,2,0)</f>
        <v>소설1팀</v>
      </c>
      <c r="W3084" s="6">
        <f t="shared" si="96"/>
        <v>0</v>
      </c>
      <c r="X3084" s="6">
        <f t="shared" si="97"/>
        <v>0</v>
      </c>
    </row>
    <row r="3085" spans="1:24" x14ac:dyDescent="0.3">
      <c r="A3085" t="s">
        <v>4421</v>
      </c>
      <c r="B3085" t="s">
        <v>4529</v>
      </c>
      <c r="C3085" t="s">
        <v>23</v>
      </c>
      <c r="D3085" t="s">
        <v>24</v>
      </c>
      <c r="E3085" t="s">
        <v>25</v>
      </c>
      <c r="F3085">
        <v>1</v>
      </c>
      <c r="G3085" t="s">
        <v>4530</v>
      </c>
      <c r="H3085" t="s">
        <v>32</v>
      </c>
      <c r="I3085" t="s">
        <v>4531</v>
      </c>
      <c r="J3085" t="s">
        <v>311</v>
      </c>
      <c r="K3085" t="s">
        <v>29</v>
      </c>
      <c r="L3085" s="1">
        <v>3200</v>
      </c>
      <c r="M3085" t="s">
        <v>29</v>
      </c>
      <c r="N3085" s="1">
        <v>3200</v>
      </c>
      <c r="O3085" s="1">
        <v>3200</v>
      </c>
      <c r="P3085" t="s">
        <v>30</v>
      </c>
      <c r="Q3085" s="2">
        <v>0.7</v>
      </c>
      <c r="R3085" s="1">
        <v>2240</v>
      </c>
      <c r="S3085" t="s">
        <v>29</v>
      </c>
      <c r="T3085" s="1">
        <v>2240</v>
      </c>
      <c r="V3085" t="str">
        <f>VLOOKUP(H3085,'[1]팀별 출판사'!A:B,2,0)</f>
        <v>소설1팀</v>
      </c>
      <c r="W3085" s="6">
        <f t="shared" si="96"/>
        <v>0</v>
      </c>
      <c r="X3085" s="6">
        <f t="shared" si="97"/>
        <v>2240</v>
      </c>
    </row>
    <row r="3086" spans="1:24" x14ac:dyDescent="0.3">
      <c r="A3086" t="s">
        <v>4421</v>
      </c>
      <c r="B3086" t="s">
        <v>4532</v>
      </c>
      <c r="C3086" t="s">
        <v>23</v>
      </c>
      <c r="D3086" t="s">
        <v>24</v>
      </c>
      <c r="E3086" t="s">
        <v>25</v>
      </c>
      <c r="F3086">
        <v>1</v>
      </c>
      <c r="G3086">
        <v>9791173783739</v>
      </c>
      <c r="H3086" t="s">
        <v>36</v>
      </c>
      <c r="I3086" t="s">
        <v>3229</v>
      </c>
      <c r="J3086" t="s">
        <v>119</v>
      </c>
      <c r="K3086" t="s">
        <v>29</v>
      </c>
      <c r="L3086" s="1">
        <v>3600</v>
      </c>
      <c r="M3086" t="s">
        <v>1379</v>
      </c>
      <c r="N3086" s="1">
        <v>46157</v>
      </c>
      <c r="O3086" s="1">
        <v>41583</v>
      </c>
      <c r="P3086" t="s">
        <v>1380</v>
      </c>
      <c r="Q3086" s="2">
        <v>0.7</v>
      </c>
      <c r="R3086" s="1">
        <v>29108</v>
      </c>
      <c r="S3086" t="s">
        <v>29</v>
      </c>
      <c r="T3086" s="1">
        <v>2493</v>
      </c>
      <c r="U3086">
        <v>8.5639999999999994E-2</v>
      </c>
      <c r="V3086" t="str">
        <f>VLOOKUP(H3086,'[1]팀별 출판사'!A:B,2,0)</f>
        <v>소설2팀</v>
      </c>
      <c r="W3086" s="6">
        <f t="shared" si="96"/>
        <v>0</v>
      </c>
      <c r="X3086" s="6">
        <f t="shared" si="97"/>
        <v>2493</v>
      </c>
    </row>
    <row r="3087" spans="1:24" x14ac:dyDescent="0.3">
      <c r="A3087" t="s">
        <v>4421</v>
      </c>
      <c r="B3087" t="s">
        <v>4533</v>
      </c>
      <c r="C3087" t="s">
        <v>23</v>
      </c>
      <c r="D3087" t="s">
        <v>24</v>
      </c>
      <c r="E3087" t="s">
        <v>25</v>
      </c>
      <c r="F3087">
        <v>1</v>
      </c>
      <c r="G3087" t="s">
        <v>4534</v>
      </c>
      <c r="H3087" t="s">
        <v>32</v>
      </c>
      <c r="I3087" t="s">
        <v>4535</v>
      </c>
      <c r="J3087" t="s">
        <v>4056</v>
      </c>
      <c r="K3087" t="s">
        <v>29</v>
      </c>
      <c r="L3087">
        <v>0</v>
      </c>
      <c r="M3087" t="s">
        <v>29</v>
      </c>
      <c r="N3087">
        <v>0</v>
      </c>
      <c r="O3087">
        <v>0</v>
      </c>
      <c r="P3087" t="s">
        <v>30</v>
      </c>
      <c r="Q3087" s="2">
        <v>0.7</v>
      </c>
      <c r="R3087">
        <v>0</v>
      </c>
      <c r="V3087" t="str">
        <f>VLOOKUP(H3087,'[1]팀별 출판사'!A:B,2,0)</f>
        <v>소설1팀</v>
      </c>
      <c r="W3087" s="6">
        <f t="shared" si="96"/>
        <v>0</v>
      </c>
      <c r="X3087" s="6">
        <f t="shared" si="97"/>
        <v>0</v>
      </c>
    </row>
    <row r="3088" spans="1:24" x14ac:dyDescent="0.3">
      <c r="A3088" t="s">
        <v>4421</v>
      </c>
      <c r="B3088" t="s">
        <v>4536</v>
      </c>
      <c r="C3088" t="s">
        <v>23</v>
      </c>
      <c r="D3088" t="s">
        <v>24</v>
      </c>
      <c r="E3088" t="s">
        <v>25</v>
      </c>
      <c r="F3088">
        <v>1</v>
      </c>
      <c r="G3088" t="s">
        <v>1607</v>
      </c>
      <c r="H3088" t="s">
        <v>32</v>
      </c>
      <c r="I3088" t="s">
        <v>1608</v>
      </c>
      <c r="J3088" t="s">
        <v>166</v>
      </c>
      <c r="K3088" t="s">
        <v>29</v>
      </c>
      <c r="L3088">
        <v>0</v>
      </c>
      <c r="M3088" t="s">
        <v>70</v>
      </c>
      <c r="N3088">
        <v>0</v>
      </c>
      <c r="O3088">
        <v>0</v>
      </c>
      <c r="P3088" t="s">
        <v>71</v>
      </c>
      <c r="Q3088" s="2">
        <v>0.7</v>
      </c>
      <c r="R3088">
        <v>0</v>
      </c>
      <c r="V3088" t="str">
        <f>VLOOKUP(H3088,'[1]팀별 출판사'!A:B,2,0)</f>
        <v>소설1팀</v>
      </c>
      <c r="W3088" s="6">
        <f t="shared" si="96"/>
        <v>0</v>
      </c>
      <c r="X3088" s="6">
        <f t="shared" si="97"/>
        <v>0</v>
      </c>
    </row>
    <row r="3089" spans="1:24" x14ac:dyDescent="0.3">
      <c r="A3089" t="s">
        <v>4421</v>
      </c>
      <c r="B3089" t="s">
        <v>4537</v>
      </c>
      <c r="C3089" t="s">
        <v>23</v>
      </c>
      <c r="D3089" t="s">
        <v>24</v>
      </c>
      <c r="E3089" t="s">
        <v>25</v>
      </c>
      <c r="F3089">
        <v>1</v>
      </c>
      <c r="G3089">
        <v>9791157538034</v>
      </c>
      <c r="H3089" t="s">
        <v>32</v>
      </c>
      <c r="I3089" t="s">
        <v>3297</v>
      </c>
      <c r="J3089" t="s">
        <v>166</v>
      </c>
      <c r="K3089" t="s">
        <v>29</v>
      </c>
      <c r="L3089">
        <v>0</v>
      </c>
      <c r="M3089" t="s">
        <v>29</v>
      </c>
      <c r="N3089">
        <v>0</v>
      </c>
      <c r="O3089">
        <v>0</v>
      </c>
      <c r="P3089" t="s">
        <v>30</v>
      </c>
      <c r="Q3089" s="2">
        <v>0.7</v>
      </c>
      <c r="R3089">
        <v>0</v>
      </c>
      <c r="V3089" t="str">
        <f>VLOOKUP(H3089,'[1]팀별 출판사'!A:B,2,0)</f>
        <v>소설1팀</v>
      </c>
      <c r="W3089" s="6">
        <f t="shared" si="96"/>
        <v>0</v>
      </c>
      <c r="X3089" s="6">
        <f t="shared" si="97"/>
        <v>0</v>
      </c>
    </row>
    <row r="3090" spans="1:24" x14ac:dyDescent="0.3">
      <c r="A3090" t="s">
        <v>4421</v>
      </c>
      <c r="B3090" t="s">
        <v>4538</v>
      </c>
      <c r="C3090" t="s">
        <v>23</v>
      </c>
      <c r="D3090" t="s">
        <v>24</v>
      </c>
      <c r="E3090" t="s">
        <v>25</v>
      </c>
      <c r="F3090">
        <v>1</v>
      </c>
      <c r="G3090">
        <v>9791136942418</v>
      </c>
      <c r="H3090" t="s">
        <v>26</v>
      </c>
      <c r="I3090" t="s">
        <v>2055</v>
      </c>
      <c r="J3090" t="s">
        <v>284</v>
      </c>
      <c r="K3090" t="s">
        <v>29</v>
      </c>
      <c r="L3090">
        <v>0</v>
      </c>
      <c r="M3090" t="s">
        <v>29</v>
      </c>
      <c r="N3090">
        <v>0</v>
      </c>
      <c r="O3090">
        <v>0</v>
      </c>
      <c r="P3090" t="s">
        <v>30</v>
      </c>
      <c r="Q3090" s="2">
        <v>0.7</v>
      </c>
      <c r="R3090">
        <v>0</v>
      </c>
      <c r="V3090" t="str">
        <f>VLOOKUP(H3090,'[1]팀별 출판사'!A:B,2,0)</f>
        <v>소설1팀</v>
      </c>
      <c r="W3090" s="6">
        <f t="shared" si="96"/>
        <v>0</v>
      </c>
      <c r="X3090" s="6">
        <f t="shared" si="97"/>
        <v>0</v>
      </c>
    </row>
    <row r="3091" spans="1:24" x14ac:dyDescent="0.3">
      <c r="A3091" t="s">
        <v>4421</v>
      </c>
      <c r="B3091" t="s">
        <v>4539</v>
      </c>
      <c r="C3091" t="s">
        <v>23</v>
      </c>
      <c r="D3091" t="s">
        <v>24</v>
      </c>
      <c r="E3091" t="s">
        <v>25</v>
      </c>
      <c r="F3091">
        <v>1</v>
      </c>
      <c r="G3091">
        <v>9791172920937</v>
      </c>
      <c r="H3091" t="s">
        <v>79</v>
      </c>
      <c r="I3091" t="s">
        <v>80</v>
      </c>
      <c r="J3091" t="s">
        <v>81</v>
      </c>
      <c r="K3091" t="s">
        <v>29</v>
      </c>
      <c r="L3091">
        <v>0</v>
      </c>
      <c r="M3091" t="s">
        <v>29</v>
      </c>
      <c r="N3091">
        <v>0</v>
      </c>
      <c r="O3091">
        <v>0</v>
      </c>
      <c r="P3091" t="s">
        <v>30</v>
      </c>
      <c r="Q3091" s="2">
        <v>0.7</v>
      </c>
      <c r="R3091">
        <v>0</v>
      </c>
      <c r="V3091" t="str">
        <f>VLOOKUP(H3091,'[1]팀별 출판사'!A:B,2,0)</f>
        <v>소설1팀</v>
      </c>
      <c r="W3091" s="6">
        <f t="shared" si="96"/>
        <v>0</v>
      </c>
      <c r="X3091" s="6">
        <f t="shared" si="97"/>
        <v>0</v>
      </c>
    </row>
    <row r="3092" spans="1:24" x14ac:dyDescent="0.3">
      <c r="A3092" t="s">
        <v>4421</v>
      </c>
      <c r="B3092" t="s">
        <v>4540</v>
      </c>
      <c r="C3092" t="s">
        <v>23</v>
      </c>
      <c r="D3092" t="s">
        <v>24</v>
      </c>
      <c r="E3092" t="s">
        <v>25</v>
      </c>
      <c r="F3092">
        <v>1</v>
      </c>
      <c r="G3092">
        <v>9791173785092</v>
      </c>
      <c r="H3092" t="s">
        <v>26</v>
      </c>
      <c r="I3092" t="s">
        <v>327</v>
      </c>
      <c r="J3092" t="s">
        <v>62</v>
      </c>
      <c r="K3092" t="s">
        <v>29</v>
      </c>
      <c r="L3092">
        <v>0</v>
      </c>
      <c r="M3092" t="s">
        <v>29</v>
      </c>
      <c r="N3092">
        <v>0</v>
      </c>
      <c r="O3092">
        <v>0</v>
      </c>
      <c r="P3092" t="s">
        <v>30</v>
      </c>
      <c r="Q3092" s="2">
        <v>0.7</v>
      </c>
      <c r="R3092">
        <v>0</v>
      </c>
      <c r="V3092" t="str">
        <f>VLOOKUP(H3092,'[1]팀별 출판사'!A:B,2,0)</f>
        <v>소설1팀</v>
      </c>
      <c r="W3092" s="6">
        <f t="shared" si="96"/>
        <v>0</v>
      </c>
      <c r="X3092" s="6">
        <f t="shared" si="97"/>
        <v>0</v>
      </c>
    </row>
    <row r="3093" spans="1:24" x14ac:dyDescent="0.3">
      <c r="A3093" t="s">
        <v>4421</v>
      </c>
      <c r="B3093" t="s">
        <v>4541</v>
      </c>
      <c r="C3093" t="s">
        <v>23</v>
      </c>
      <c r="D3093" t="s">
        <v>24</v>
      </c>
      <c r="E3093" t="s">
        <v>25</v>
      </c>
      <c r="F3093">
        <v>1</v>
      </c>
      <c r="G3093">
        <v>9791133188994</v>
      </c>
      <c r="H3093" t="s">
        <v>26</v>
      </c>
      <c r="I3093" t="s">
        <v>2047</v>
      </c>
      <c r="J3093" t="s">
        <v>908</v>
      </c>
      <c r="K3093" t="s">
        <v>29</v>
      </c>
      <c r="L3093">
        <v>0</v>
      </c>
      <c r="M3093" t="s">
        <v>29</v>
      </c>
      <c r="N3093">
        <v>0</v>
      </c>
      <c r="O3093">
        <v>0</v>
      </c>
      <c r="P3093" t="s">
        <v>30</v>
      </c>
      <c r="Q3093" s="2">
        <v>0.7</v>
      </c>
      <c r="R3093">
        <v>0</v>
      </c>
      <c r="V3093" t="str">
        <f>VLOOKUP(H3093,'[1]팀별 출판사'!A:B,2,0)</f>
        <v>소설1팀</v>
      </c>
      <c r="W3093" s="6">
        <f t="shared" si="96"/>
        <v>0</v>
      </c>
      <c r="X3093" s="6">
        <f t="shared" si="97"/>
        <v>0</v>
      </c>
    </row>
    <row r="3094" spans="1:24" x14ac:dyDescent="0.3">
      <c r="A3094" t="s">
        <v>4421</v>
      </c>
      <c r="B3094" t="s">
        <v>4542</v>
      </c>
      <c r="C3094" t="s">
        <v>23</v>
      </c>
      <c r="D3094" t="s">
        <v>24</v>
      </c>
      <c r="E3094" t="s">
        <v>25</v>
      </c>
      <c r="F3094">
        <v>1</v>
      </c>
      <c r="G3094">
        <v>9791136910431</v>
      </c>
      <c r="H3094" t="s">
        <v>26</v>
      </c>
      <c r="I3094" t="s">
        <v>354</v>
      </c>
      <c r="J3094" t="s">
        <v>355</v>
      </c>
      <c r="K3094" t="s">
        <v>29</v>
      </c>
      <c r="L3094">
        <v>0</v>
      </c>
      <c r="M3094" t="s">
        <v>29</v>
      </c>
      <c r="N3094">
        <v>0</v>
      </c>
      <c r="O3094">
        <v>0</v>
      </c>
      <c r="P3094" t="s">
        <v>30</v>
      </c>
      <c r="Q3094" s="2">
        <v>0.7</v>
      </c>
      <c r="R3094">
        <v>0</v>
      </c>
      <c r="V3094" t="str">
        <f>VLOOKUP(H3094,'[1]팀별 출판사'!A:B,2,0)</f>
        <v>소설1팀</v>
      </c>
      <c r="W3094" s="6">
        <f t="shared" si="96"/>
        <v>0</v>
      </c>
      <c r="X3094" s="6">
        <f t="shared" si="97"/>
        <v>0</v>
      </c>
    </row>
    <row r="3095" spans="1:24" x14ac:dyDescent="0.3">
      <c r="A3095" t="s">
        <v>4421</v>
      </c>
      <c r="B3095" t="s">
        <v>4543</v>
      </c>
      <c r="C3095" t="s">
        <v>23</v>
      </c>
      <c r="D3095" t="s">
        <v>24</v>
      </c>
      <c r="E3095" t="s">
        <v>25</v>
      </c>
      <c r="F3095">
        <v>1</v>
      </c>
      <c r="G3095">
        <v>9791133196678</v>
      </c>
      <c r="H3095" t="s">
        <v>32</v>
      </c>
      <c r="I3095" t="s">
        <v>940</v>
      </c>
      <c r="J3095" t="s">
        <v>941</v>
      </c>
      <c r="K3095" t="s">
        <v>29</v>
      </c>
      <c r="L3095">
        <v>0</v>
      </c>
      <c r="M3095" t="s">
        <v>29</v>
      </c>
      <c r="N3095">
        <v>0</v>
      </c>
      <c r="O3095">
        <v>0</v>
      </c>
      <c r="P3095" t="s">
        <v>30</v>
      </c>
      <c r="Q3095" s="2">
        <v>0.7</v>
      </c>
      <c r="R3095">
        <v>0</v>
      </c>
      <c r="V3095" t="str">
        <f>VLOOKUP(H3095,'[1]팀별 출판사'!A:B,2,0)</f>
        <v>소설1팀</v>
      </c>
      <c r="W3095" s="6">
        <f t="shared" si="96"/>
        <v>0</v>
      </c>
      <c r="X3095" s="6">
        <f t="shared" si="97"/>
        <v>0</v>
      </c>
    </row>
    <row r="3096" spans="1:24" x14ac:dyDescent="0.3">
      <c r="A3096" t="s">
        <v>4421</v>
      </c>
      <c r="B3096" t="s">
        <v>4544</v>
      </c>
      <c r="C3096" t="s">
        <v>23</v>
      </c>
      <c r="D3096" t="s">
        <v>24</v>
      </c>
      <c r="E3096" t="s">
        <v>25</v>
      </c>
      <c r="F3096">
        <v>1</v>
      </c>
      <c r="G3096" t="s">
        <v>53</v>
      </c>
      <c r="H3096" t="s">
        <v>32</v>
      </c>
      <c r="I3096" t="s">
        <v>54</v>
      </c>
      <c r="J3096" t="s">
        <v>55</v>
      </c>
      <c r="K3096" t="s">
        <v>29</v>
      </c>
      <c r="L3096">
        <v>0</v>
      </c>
      <c r="M3096" t="s">
        <v>29</v>
      </c>
      <c r="N3096">
        <v>0</v>
      </c>
      <c r="O3096">
        <v>0</v>
      </c>
      <c r="P3096" t="s">
        <v>30</v>
      </c>
      <c r="Q3096" s="2">
        <v>0.7</v>
      </c>
      <c r="R3096">
        <v>0</v>
      </c>
      <c r="V3096" t="str">
        <f>VLOOKUP(H3096,'[1]팀별 출판사'!A:B,2,0)</f>
        <v>소설1팀</v>
      </c>
      <c r="W3096" s="6">
        <f t="shared" si="96"/>
        <v>0</v>
      </c>
      <c r="X3096" s="6">
        <f t="shared" si="97"/>
        <v>0</v>
      </c>
    </row>
    <row r="3097" spans="1:24" x14ac:dyDescent="0.3">
      <c r="A3097" t="s">
        <v>4421</v>
      </c>
      <c r="B3097" t="s">
        <v>4545</v>
      </c>
      <c r="C3097" t="s">
        <v>23</v>
      </c>
      <c r="D3097" t="s">
        <v>24</v>
      </c>
      <c r="E3097" t="s">
        <v>25</v>
      </c>
      <c r="F3097">
        <v>1</v>
      </c>
      <c r="G3097">
        <v>9791172925819</v>
      </c>
      <c r="H3097" t="s">
        <v>26</v>
      </c>
      <c r="I3097" t="s">
        <v>4546</v>
      </c>
      <c r="J3097" t="s">
        <v>937</v>
      </c>
      <c r="K3097" t="s">
        <v>29</v>
      </c>
      <c r="L3097" s="1">
        <v>3200</v>
      </c>
      <c r="M3097" t="s">
        <v>29</v>
      </c>
      <c r="N3097" s="1">
        <v>3200</v>
      </c>
      <c r="O3097" s="1">
        <v>3200</v>
      </c>
      <c r="P3097" t="s">
        <v>30</v>
      </c>
      <c r="Q3097" s="2">
        <v>0.7</v>
      </c>
      <c r="R3097" s="1">
        <v>2240</v>
      </c>
      <c r="S3097" t="s">
        <v>29</v>
      </c>
      <c r="T3097" s="1">
        <v>2240</v>
      </c>
      <c r="V3097" t="str">
        <f>VLOOKUP(H3097,'[1]팀별 출판사'!A:B,2,0)</f>
        <v>소설1팀</v>
      </c>
      <c r="W3097" s="6">
        <f t="shared" si="96"/>
        <v>0</v>
      </c>
      <c r="X3097" s="6">
        <f t="shared" si="97"/>
        <v>2240</v>
      </c>
    </row>
    <row r="3098" spans="1:24" x14ac:dyDescent="0.3">
      <c r="A3098" t="s">
        <v>4421</v>
      </c>
      <c r="B3098" t="s">
        <v>4547</v>
      </c>
      <c r="C3098" t="s">
        <v>23</v>
      </c>
      <c r="D3098" t="s">
        <v>24</v>
      </c>
      <c r="E3098" t="s">
        <v>25</v>
      </c>
      <c r="F3098">
        <v>1</v>
      </c>
      <c r="G3098">
        <v>9791170104735</v>
      </c>
      <c r="H3098" t="s">
        <v>67</v>
      </c>
      <c r="I3098" t="s">
        <v>1072</v>
      </c>
      <c r="J3098" t="s">
        <v>1073</v>
      </c>
      <c r="K3098" t="s">
        <v>29</v>
      </c>
      <c r="L3098">
        <v>0</v>
      </c>
      <c r="M3098" t="s">
        <v>29</v>
      </c>
      <c r="N3098">
        <v>0</v>
      </c>
      <c r="O3098">
        <v>0</v>
      </c>
      <c r="P3098" t="s">
        <v>30</v>
      </c>
      <c r="Q3098" s="2">
        <v>0.7</v>
      </c>
      <c r="R3098">
        <v>0</v>
      </c>
      <c r="V3098" t="str">
        <f>VLOOKUP(H3098,'[1]팀별 출판사'!A:B,2,0)</f>
        <v>소설1팀</v>
      </c>
      <c r="W3098" s="6">
        <f t="shared" si="96"/>
        <v>0</v>
      </c>
      <c r="X3098" s="6">
        <f t="shared" si="97"/>
        <v>0</v>
      </c>
    </row>
    <row r="3099" spans="1:24" x14ac:dyDescent="0.3">
      <c r="A3099" t="s">
        <v>4421</v>
      </c>
      <c r="B3099" t="s">
        <v>4548</v>
      </c>
      <c r="C3099" t="s">
        <v>23</v>
      </c>
      <c r="D3099" t="s">
        <v>24</v>
      </c>
      <c r="E3099" t="s">
        <v>25</v>
      </c>
      <c r="F3099">
        <v>1</v>
      </c>
      <c r="G3099">
        <v>9791133184583</v>
      </c>
      <c r="H3099" t="s">
        <v>26</v>
      </c>
      <c r="I3099" t="s">
        <v>4549</v>
      </c>
      <c r="J3099" t="s">
        <v>284</v>
      </c>
      <c r="K3099" t="s">
        <v>29</v>
      </c>
      <c r="L3099" s="1">
        <v>3200</v>
      </c>
      <c r="M3099" t="s">
        <v>29</v>
      </c>
      <c r="N3099" s="1">
        <v>3200</v>
      </c>
      <c r="O3099" s="1">
        <v>3200</v>
      </c>
      <c r="P3099" t="s">
        <v>30</v>
      </c>
      <c r="Q3099" s="2">
        <v>0.7</v>
      </c>
      <c r="R3099" s="1">
        <v>2240</v>
      </c>
      <c r="S3099" t="s">
        <v>29</v>
      </c>
      <c r="T3099" s="1">
        <v>2240</v>
      </c>
      <c r="V3099" t="str">
        <f>VLOOKUP(H3099,'[1]팀별 출판사'!A:B,2,0)</f>
        <v>소설1팀</v>
      </c>
      <c r="W3099" s="6">
        <f t="shared" si="96"/>
        <v>0</v>
      </c>
      <c r="X3099" s="6">
        <f t="shared" si="97"/>
        <v>2240</v>
      </c>
    </row>
    <row r="3100" spans="1:24" x14ac:dyDescent="0.3">
      <c r="A3100" t="s">
        <v>4421</v>
      </c>
      <c r="B3100" t="s">
        <v>4550</v>
      </c>
      <c r="C3100" t="s">
        <v>23</v>
      </c>
      <c r="D3100" t="s">
        <v>24</v>
      </c>
      <c r="E3100" t="s">
        <v>25</v>
      </c>
      <c r="F3100">
        <v>1</v>
      </c>
      <c r="G3100">
        <v>9791136912732</v>
      </c>
      <c r="H3100" t="s">
        <v>26</v>
      </c>
      <c r="I3100" t="s">
        <v>1125</v>
      </c>
      <c r="J3100" t="s">
        <v>256</v>
      </c>
      <c r="K3100" t="s">
        <v>29</v>
      </c>
      <c r="L3100">
        <v>0</v>
      </c>
      <c r="M3100" t="s">
        <v>29</v>
      </c>
      <c r="N3100">
        <v>0</v>
      </c>
      <c r="O3100">
        <v>0</v>
      </c>
      <c r="P3100" t="s">
        <v>30</v>
      </c>
      <c r="Q3100" s="2">
        <v>0.7</v>
      </c>
      <c r="R3100">
        <v>0</v>
      </c>
      <c r="V3100" t="str">
        <f>VLOOKUP(H3100,'[1]팀별 출판사'!A:B,2,0)</f>
        <v>소설1팀</v>
      </c>
      <c r="W3100" s="6">
        <f t="shared" si="96"/>
        <v>0</v>
      </c>
      <c r="X3100" s="6">
        <f t="shared" si="97"/>
        <v>0</v>
      </c>
    </row>
    <row r="3101" spans="1:24" x14ac:dyDescent="0.3">
      <c r="A3101" t="s">
        <v>4421</v>
      </c>
      <c r="B3101" t="s">
        <v>4551</v>
      </c>
      <c r="C3101" t="s">
        <v>23</v>
      </c>
      <c r="D3101" t="s">
        <v>24</v>
      </c>
      <c r="E3101" t="s">
        <v>25</v>
      </c>
      <c r="F3101">
        <v>1</v>
      </c>
      <c r="G3101">
        <v>9791170100126</v>
      </c>
      <c r="H3101" t="s">
        <v>67</v>
      </c>
      <c r="I3101" t="s">
        <v>1061</v>
      </c>
      <c r="J3101" t="s">
        <v>347</v>
      </c>
      <c r="K3101" t="s">
        <v>29</v>
      </c>
      <c r="L3101">
        <v>0</v>
      </c>
      <c r="M3101" t="s">
        <v>29</v>
      </c>
      <c r="N3101">
        <v>0</v>
      </c>
      <c r="O3101">
        <v>0</v>
      </c>
      <c r="P3101" t="s">
        <v>30</v>
      </c>
      <c r="Q3101" s="2">
        <v>0.7</v>
      </c>
      <c r="R3101">
        <v>0</v>
      </c>
      <c r="V3101" t="str">
        <f>VLOOKUP(H3101,'[1]팀별 출판사'!A:B,2,0)</f>
        <v>소설1팀</v>
      </c>
      <c r="W3101" s="6">
        <f t="shared" si="96"/>
        <v>0</v>
      </c>
      <c r="X3101" s="6">
        <f t="shared" si="97"/>
        <v>0</v>
      </c>
    </row>
    <row r="3102" spans="1:24" x14ac:dyDescent="0.3">
      <c r="A3102" t="s">
        <v>4421</v>
      </c>
      <c r="B3102" t="s">
        <v>4552</v>
      </c>
      <c r="C3102" t="s">
        <v>23</v>
      </c>
      <c r="D3102" t="s">
        <v>24</v>
      </c>
      <c r="E3102" t="s">
        <v>25</v>
      </c>
      <c r="F3102">
        <v>1</v>
      </c>
      <c r="G3102">
        <v>9791170107064</v>
      </c>
      <c r="H3102" t="s">
        <v>67</v>
      </c>
      <c r="I3102" t="s">
        <v>901</v>
      </c>
      <c r="J3102" t="s">
        <v>902</v>
      </c>
      <c r="K3102" t="s">
        <v>29</v>
      </c>
      <c r="L3102">
        <v>0</v>
      </c>
      <c r="M3102" t="s">
        <v>70</v>
      </c>
      <c r="N3102">
        <v>0</v>
      </c>
      <c r="O3102">
        <v>0</v>
      </c>
      <c r="P3102" t="s">
        <v>2908</v>
      </c>
      <c r="Q3102" s="2">
        <v>0.7</v>
      </c>
      <c r="R3102">
        <v>0</v>
      </c>
      <c r="V3102" t="str">
        <f>VLOOKUP(H3102,'[1]팀별 출판사'!A:B,2,0)</f>
        <v>소설1팀</v>
      </c>
      <c r="W3102" s="6">
        <f t="shared" si="96"/>
        <v>0</v>
      </c>
      <c r="X3102" s="6">
        <f t="shared" si="97"/>
        <v>0</v>
      </c>
    </row>
    <row r="3103" spans="1:24" x14ac:dyDescent="0.3">
      <c r="A3103" t="s">
        <v>4421</v>
      </c>
      <c r="B3103" t="s">
        <v>4553</v>
      </c>
      <c r="C3103" t="s">
        <v>23</v>
      </c>
      <c r="D3103" t="s">
        <v>24</v>
      </c>
      <c r="E3103" t="s">
        <v>25</v>
      </c>
      <c r="F3103">
        <v>1</v>
      </c>
      <c r="G3103" t="s">
        <v>3634</v>
      </c>
      <c r="H3103" t="s">
        <v>32</v>
      </c>
      <c r="I3103" t="s">
        <v>3635</v>
      </c>
      <c r="J3103" t="s">
        <v>311</v>
      </c>
      <c r="K3103" t="s">
        <v>29</v>
      </c>
      <c r="L3103">
        <v>0</v>
      </c>
      <c r="M3103" t="s">
        <v>29</v>
      </c>
      <c r="N3103">
        <v>0</v>
      </c>
      <c r="O3103">
        <v>0</v>
      </c>
      <c r="P3103" t="s">
        <v>30</v>
      </c>
      <c r="Q3103" s="2">
        <v>0.7</v>
      </c>
      <c r="R3103">
        <v>0</v>
      </c>
      <c r="V3103" t="str">
        <f>VLOOKUP(H3103,'[1]팀별 출판사'!A:B,2,0)</f>
        <v>소설1팀</v>
      </c>
      <c r="W3103" s="6">
        <f t="shared" si="96"/>
        <v>0</v>
      </c>
      <c r="X3103" s="6">
        <f t="shared" si="97"/>
        <v>0</v>
      </c>
    </row>
    <row r="3104" spans="1:24" x14ac:dyDescent="0.3">
      <c r="A3104" t="s">
        <v>4421</v>
      </c>
      <c r="B3104" t="s">
        <v>4554</v>
      </c>
      <c r="C3104" t="s">
        <v>23</v>
      </c>
      <c r="D3104" t="s">
        <v>24</v>
      </c>
      <c r="E3104" t="s">
        <v>25</v>
      </c>
      <c r="F3104">
        <v>1</v>
      </c>
      <c r="G3104">
        <v>9791172927974</v>
      </c>
      <c r="H3104" t="s">
        <v>79</v>
      </c>
      <c r="I3104" t="s">
        <v>4555</v>
      </c>
      <c r="J3104" t="s">
        <v>81</v>
      </c>
      <c r="K3104" t="s">
        <v>29</v>
      </c>
      <c r="L3104" s="1">
        <v>3200</v>
      </c>
      <c r="M3104" t="s">
        <v>29</v>
      </c>
      <c r="N3104" s="1">
        <v>3200</v>
      </c>
      <c r="O3104" s="1">
        <v>3200</v>
      </c>
      <c r="P3104" t="s">
        <v>30</v>
      </c>
      <c r="Q3104" s="2">
        <v>0.7</v>
      </c>
      <c r="R3104" s="1">
        <v>2240</v>
      </c>
      <c r="S3104" t="s">
        <v>29</v>
      </c>
      <c r="T3104" s="1">
        <v>2240</v>
      </c>
      <c r="V3104" t="str">
        <f>VLOOKUP(H3104,'[1]팀별 출판사'!A:B,2,0)</f>
        <v>소설1팀</v>
      </c>
      <c r="W3104" s="6">
        <f t="shared" si="96"/>
        <v>0</v>
      </c>
      <c r="X3104" s="6">
        <f t="shared" si="97"/>
        <v>2240</v>
      </c>
    </row>
    <row r="3105" spans="1:24" x14ac:dyDescent="0.3">
      <c r="A3105" t="s">
        <v>4421</v>
      </c>
      <c r="B3105" t="s">
        <v>4556</v>
      </c>
      <c r="C3105" t="s">
        <v>23</v>
      </c>
      <c r="D3105" t="s">
        <v>24</v>
      </c>
      <c r="E3105" t="s">
        <v>25</v>
      </c>
      <c r="F3105">
        <v>1</v>
      </c>
      <c r="G3105">
        <v>9791136910974</v>
      </c>
      <c r="H3105" t="s">
        <v>26</v>
      </c>
      <c r="I3105" t="s">
        <v>568</v>
      </c>
      <c r="J3105" t="s">
        <v>160</v>
      </c>
      <c r="K3105" t="s">
        <v>29</v>
      </c>
      <c r="L3105">
        <v>0</v>
      </c>
      <c r="M3105" t="s">
        <v>29</v>
      </c>
      <c r="N3105">
        <v>0</v>
      </c>
      <c r="O3105">
        <v>0</v>
      </c>
      <c r="P3105" t="s">
        <v>30</v>
      </c>
      <c r="Q3105" s="2">
        <v>0.7</v>
      </c>
      <c r="R3105">
        <v>0</v>
      </c>
      <c r="V3105" t="str">
        <f>VLOOKUP(H3105,'[1]팀별 출판사'!A:B,2,0)</f>
        <v>소설1팀</v>
      </c>
      <c r="W3105" s="6">
        <f t="shared" si="96"/>
        <v>0</v>
      </c>
      <c r="X3105" s="6">
        <f t="shared" si="97"/>
        <v>0</v>
      </c>
    </row>
    <row r="3106" spans="1:24" x14ac:dyDescent="0.3">
      <c r="A3106" t="s">
        <v>4421</v>
      </c>
      <c r="B3106" t="s">
        <v>4557</v>
      </c>
      <c r="C3106" t="s">
        <v>23</v>
      </c>
      <c r="D3106" t="s">
        <v>24</v>
      </c>
      <c r="E3106" t="s">
        <v>25</v>
      </c>
      <c r="F3106">
        <v>1</v>
      </c>
      <c r="G3106">
        <v>9791133140954</v>
      </c>
      <c r="H3106" t="s">
        <v>32</v>
      </c>
      <c r="I3106" t="s">
        <v>42</v>
      </c>
      <c r="J3106" t="s">
        <v>43</v>
      </c>
      <c r="K3106" t="s">
        <v>29</v>
      </c>
      <c r="L3106">
        <v>0</v>
      </c>
      <c r="M3106" t="s">
        <v>29</v>
      </c>
      <c r="N3106">
        <v>0</v>
      </c>
      <c r="O3106">
        <v>0</v>
      </c>
      <c r="P3106" t="s">
        <v>30</v>
      </c>
      <c r="Q3106" s="2">
        <v>0.7</v>
      </c>
      <c r="R3106">
        <v>0</v>
      </c>
      <c r="V3106" t="str">
        <f>VLOOKUP(H3106,'[1]팀별 출판사'!A:B,2,0)</f>
        <v>소설1팀</v>
      </c>
      <c r="W3106" s="6">
        <f t="shared" si="96"/>
        <v>0</v>
      </c>
      <c r="X3106" s="6">
        <f t="shared" si="97"/>
        <v>0</v>
      </c>
    </row>
    <row r="3107" spans="1:24" x14ac:dyDescent="0.3">
      <c r="A3107" t="s">
        <v>4421</v>
      </c>
      <c r="B3107" t="s">
        <v>4558</v>
      </c>
      <c r="C3107" t="s">
        <v>23</v>
      </c>
      <c r="D3107" t="s">
        <v>24</v>
      </c>
      <c r="E3107" t="s">
        <v>25</v>
      </c>
      <c r="F3107">
        <v>1</v>
      </c>
      <c r="G3107">
        <v>9791170101284</v>
      </c>
      <c r="H3107" t="s">
        <v>67</v>
      </c>
      <c r="I3107" t="s">
        <v>1187</v>
      </c>
      <c r="J3107" t="s">
        <v>414</v>
      </c>
      <c r="K3107" t="s">
        <v>29</v>
      </c>
      <c r="L3107">
        <v>0</v>
      </c>
      <c r="M3107" t="s">
        <v>29</v>
      </c>
      <c r="N3107">
        <v>0</v>
      </c>
      <c r="O3107">
        <v>0</v>
      </c>
      <c r="P3107" t="s">
        <v>30</v>
      </c>
      <c r="Q3107" s="2">
        <v>0.7</v>
      </c>
      <c r="R3107">
        <v>0</v>
      </c>
      <c r="V3107" t="str">
        <f>VLOOKUP(H3107,'[1]팀별 출판사'!A:B,2,0)</f>
        <v>소설1팀</v>
      </c>
      <c r="W3107" s="6">
        <f t="shared" si="96"/>
        <v>0</v>
      </c>
      <c r="X3107" s="6">
        <f t="shared" si="97"/>
        <v>0</v>
      </c>
    </row>
    <row r="3108" spans="1:24" x14ac:dyDescent="0.3">
      <c r="A3108" t="s">
        <v>4421</v>
      </c>
      <c r="B3108" t="s">
        <v>4559</v>
      </c>
      <c r="C3108" t="s">
        <v>23</v>
      </c>
      <c r="D3108" t="s">
        <v>24</v>
      </c>
      <c r="E3108" t="s">
        <v>25</v>
      </c>
      <c r="F3108">
        <v>1</v>
      </c>
      <c r="G3108">
        <v>9791136907318</v>
      </c>
      <c r="H3108" t="s">
        <v>26</v>
      </c>
      <c r="I3108" t="s">
        <v>4560</v>
      </c>
      <c r="J3108" t="s">
        <v>1348</v>
      </c>
      <c r="K3108" t="s">
        <v>29</v>
      </c>
      <c r="L3108" s="1">
        <v>3200</v>
      </c>
      <c r="M3108" t="s">
        <v>29</v>
      </c>
      <c r="N3108" s="1">
        <v>3200</v>
      </c>
      <c r="O3108" s="1">
        <v>3200</v>
      </c>
      <c r="P3108" t="s">
        <v>30</v>
      </c>
      <c r="Q3108" s="2">
        <v>0.7</v>
      </c>
      <c r="R3108" s="1">
        <v>2240</v>
      </c>
      <c r="S3108" t="s">
        <v>29</v>
      </c>
      <c r="T3108" s="1">
        <v>2240</v>
      </c>
      <c r="V3108" t="str">
        <f>VLOOKUP(H3108,'[1]팀별 출판사'!A:B,2,0)</f>
        <v>소설1팀</v>
      </c>
      <c r="W3108" s="6">
        <f t="shared" si="96"/>
        <v>0</v>
      </c>
      <c r="X3108" s="6">
        <f t="shared" si="97"/>
        <v>2240</v>
      </c>
    </row>
    <row r="3109" spans="1:24" x14ac:dyDescent="0.3">
      <c r="A3109" t="s">
        <v>4421</v>
      </c>
      <c r="B3109" t="s">
        <v>4561</v>
      </c>
      <c r="C3109" t="s">
        <v>23</v>
      </c>
      <c r="D3109" t="s">
        <v>24</v>
      </c>
      <c r="E3109" t="s">
        <v>25</v>
      </c>
      <c r="F3109">
        <v>1</v>
      </c>
      <c r="G3109">
        <v>9791170104032</v>
      </c>
      <c r="H3109" t="s">
        <v>67</v>
      </c>
      <c r="I3109" t="s">
        <v>4562</v>
      </c>
      <c r="J3109" t="s">
        <v>4563</v>
      </c>
      <c r="K3109" t="s">
        <v>29</v>
      </c>
      <c r="L3109">
        <v>0</v>
      </c>
      <c r="M3109" t="s">
        <v>29</v>
      </c>
      <c r="N3109">
        <v>0</v>
      </c>
      <c r="O3109">
        <v>0</v>
      </c>
      <c r="P3109" t="s">
        <v>30</v>
      </c>
      <c r="Q3109" s="2">
        <v>0.7</v>
      </c>
      <c r="R3109">
        <v>0</v>
      </c>
      <c r="V3109" t="str">
        <f>VLOOKUP(H3109,'[1]팀별 출판사'!A:B,2,0)</f>
        <v>소설1팀</v>
      </c>
      <c r="W3109" s="6">
        <f t="shared" si="96"/>
        <v>0</v>
      </c>
      <c r="X3109" s="6">
        <f t="shared" si="97"/>
        <v>0</v>
      </c>
    </row>
    <row r="3110" spans="1:24" x14ac:dyDescent="0.3">
      <c r="A3110" t="s">
        <v>4421</v>
      </c>
      <c r="B3110" t="s">
        <v>4564</v>
      </c>
      <c r="C3110" t="s">
        <v>23</v>
      </c>
      <c r="D3110" t="s">
        <v>24</v>
      </c>
      <c r="E3110" t="s">
        <v>25</v>
      </c>
      <c r="F3110">
        <v>1</v>
      </c>
      <c r="G3110">
        <v>9791136946782</v>
      </c>
      <c r="H3110" t="s">
        <v>26</v>
      </c>
      <c r="I3110" t="s">
        <v>291</v>
      </c>
      <c r="J3110" t="s">
        <v>28</v>
      </c>
      <c r="K3110" t="s">
        <v>29</v>
      </c>
      <c r="L3110">
        <v>0</v>
      </c>
      <c r="M3110" t="s">
        <v>29</v>
      </c>
      <c r="N3110">
        <v>0</v>
      </c>
      <c r="O3110">
        <v>0</v>
      </c>
      <c r="P3110" t="s">
        <v>30</v>
      </c>
      <c r="Q3110" s="2">
        <v>0.7</v>
      </c>
      <c r="R3110">
        <v>0</v>
      </c>
      <c r="V3110" t="str">
        <f>VLOOKUP(H3110,'[1]팀별 출판사'!A:B,2,0)</f>
        <v>소설1팀</v>
      </c>
      <c r="W3110" s="6">
        <f t="shared" si="96"/>
        <v>0</v>
      </c>
      <c r="X3110" s="6">
        <f t="shared" si="97"/>
        <v>0</v>
      </c>
    </row>
    <row r="3111" spans="1:24" x14ac:dyDescent="0.3">
      <c r="A3111" t="s">
        <v>4421</v>
      </c>
      <c r="B3111" t="s">
        <v>4565</v>
      </c>
      <c r="C3111" t="s">
        <v>23</v>
      </c>
      <c r="D3111" t="s">
        <v>24</v>
      </c>
      <c r="E3111" t="s">
        <v>25</v>
      </c>
      <c r="F3111">
        <v>1</v>
      </c>
      <c r="G3111">
        <v>9791170101321</v>
      </c>
      <c r="H3111" t="s">
        <v>67</v>
      </c>
      <c r="I3111" t="s">
        <v>848</v>
      </c>
      <c r="J3111" t="s">
        <v>414</v>
      </c>
      <c r="K3111" t="s">
        <v>29</v>
      </c>
      <c r="L3111">
        <v>0</v>
      </c>
      <c r="M3111" t="s">
        <v>29</v>
      </c>
      <c r="N3111">
        <v>0</v>
      </c>
      <c r="O3111">
        <v>0</v>
      </c>
      <c r="P3111" t="s">
        <v>30</v>
      </c>
      <c r="Q3111" s="2">
        <v>0.7</v>
      </c>
      <c r="R3111">
        <v>0</v>
      </c>
      <c r="V3111" t="str">
        <f>VLOOKUP(H3111,'[1]팀별 출판사'!A:B,2,0)</f>
        <v>소설1팀</v>
      </c>
      <c r="W3111" s="6">
        <f t="shared" si="96"/>
        <v>0</v>
      </c>
      <c r="X3111" s="6">
        <f t="shared" si="97"/>
        <v>0</v>
      </c>
    </row>
    <row r="3112" spans="1:24" x14ac:dyDescent="0.3">
      <c r="A3112" t="s">
        <v>4421</v>
      </c>
      <c r="B3112" t="s">
        <v>4566</v>
      </c>
      <c r="C3112" t="s">
        <v>23</v>
      </c>
      <c r="D3112" t="s">
        <v>24</v>
      </c>
      <c r="E3112" t="s">
        <v>25</v>
      </c>
      <c r="F3112">
        <v>1</v>
      </c>
      <c r="G3112">
        <v>9791173786174</v>
      </c>
      <c r="H3112" t="s">
        <v>79</v>
      </c>
      <c r="I3112" t="s">
        <v>4567</v>
      </c>
      <c r="J3112" t="s">
        <v>81</v>
      </c>
      <c r="K3112" t="s">
        <v>29</v>
      </c>
      <c r="L3112" s="1">
        <v>3200</v>
      </c>
      <c r="M3112" t="s">
        <v>29</v>
      </c>
      <c r="N3112" s="1">
        <v>3200</v>
      </c>
      <c r="O3112" s="1">
        <v>3200</v>
      </c>
      <c r="P3112" t="s">
        <v>30</v>
      </c>
      <c r="Q3112" s="2">
        <v>0.7</v>
      </c>
      <c r="R3112" s="1">
        <v>2240</v>
      </c>
      <c r="S3112" t="s">
        <v>29</v>
      </c>
      <c r="T3112" s="1">
        <v>2240</v>
      </c>
      <c r="V3112" t="str">
        <f>VLOOKUP(H3112,'[1]팀별 출판사'!A:B,2,0)</f>
        <v>소설1팀</v>
      </c>
      <c r="W3112" s="6">
        <f t="shared" si="96"/>
        <v>0</v>
      </c>
      <c r="X3112" s="6">
        <f t="shared" si="97"/>
        <v>2240</v>
      </c>
    </row>
    <row r="3113" spans="1:24" x14ac:dyDescent="0.3">
      <c r="A3113" t="s">
        <v>4421</v>
      </c>
      <c r="B3113" t="s">
        <v>4568</v>
      </c>
      <c r="C3113" t="s">
        <v>23</v>
      </c>
      <c r="D3113" t="s">
        <v>24</v>
      </c>
      <c r="E3113" t="s">
        <v>25</v>
      </c>
      <c r="F3113">
        <v>1</v>
      </c>
      <c r="G3113">
        <v>9791133186501</v>
      </c>
      <c r="H3113" t="s">
        <v>26</v>
      </c>
      <c r="I3113" t="s">
        <v>64</v>
      </c>
      <c r="J3113" t="s">
        <v>65</v>
      </c>
      <c r="K3113" t="s">
        <v>29</v>
      </c>
      <c r="L3113">
        <v>0</v>
      </c>
      <c r="M3113" t="s">
        <v>29</v>
      </c>
      <c r="N3113">
        <v>0</v>
      </c>
      <c r="O3113">
        <v>0</v>
      </c>
      <c r="P3113" t="s">
        <v>30</v>
      </c>
      <c r="Q3113" s="2">
        <v>0.7</v>
      </c>
      <c r="R3113">
        <v>0</v>
      </c>
      <c r="V3113" t="str">
        <f>VLOOKUP(H3113,'[1]팀별 출판사'!A:B,2,0)</f>
        <v>소설1팀</v>
      </c>
      <c r="W3113" s="6">
        <f t="shared" si="96"/>
        <v>0</v>
      </c>
      <c r="X3113" s="6">
        <f t="shared" si="97"/>
        <v>0</v>
      </c>
    </row>
    <row r="3114" spans="1:24" x14ac:dyDescent="0.3">
      <c r="A3114" t="s">
        <v>4421</v>
      </c>
      <c r="B3114" t="s">
        <v>4569</v>
      </c>
      <c r="C3114" t="s">
        <v>23</v>
      </c>
      <c r="D3114" t="s">
        <v>24</v>
      </c>
      <c r="E3114" t="s">
        <v>25</v>
      </c>
      <c r="F3114">
        <v>1</v>
      </c>
      <c r="G3114">
        <v>9791136921758</v>
      </c>
      <c r="H3114" t="s">
        <v>26</v>
      </c>
      <c r="I3114" t="s">
        <v>875</v>
      </c>
      <c r="J3114" t="s">
        <v>876</v>
      </c>
      <c r="K3114" t="s">
        <v>29</v>
      </c>
      <c r="L3114">
        <v>0</v>
      </c>
      <c r="M3114" t="s">
        <v>29</v>
      </c>
      <c r="N3114">
        <v>0</v>
      </c>
      <c r="O3114">
        <v>0</v>
      </c>
      <c r="P3114" t="s">
        <v>30</v>
      </c>
      <c r="Q3114" s="2">
        <v>0.7</v>
      </c>
      <c r="R3114">
        <v>0</v>
      </c>
      <c r="V3114" t="str">
        <f>VLOOKUP(H3114,'[1]팀별 출판사'!A:B,2,0)</f>
        <v>소설1팀</v>
      </c>
      <c r="W3114" s="6">
        <f t="shared" si="96"/>
        <v>0</v>
      </c>
      <c r="X3114" s="6">
        <f t="shared" si="97"/>
        <v>0</v>
      </c>
    </row>
    <row r="3115" spans="1:24" x14ac:dyDescent="0.3">
      <c r="A3115" t="s">
        <v>4421</v>
      </c>
      <c r="B3115" t="s">
        <v>4570</v>
      </c>
      <c r="C3115" t="s">
        <v>23</v>
      </c>
      <c r="D3115" t="s">
        <v>24</v>
      </c>
      <c r="E3115" t="s">
        <v>25</v>
      </c>
      <c r="F3115">
        <v>1</v>
      </c>
      <c r="G3115" t="s">
        <v>1001</v>
      </c>
      <c r="H3115" t="s">
        <v>32</v>
      </c>
      <c r="I3115" t="s">
        <v>2785</v>
      </c>
      <c r="J3115" t="s">
        <v>166</v>
      </c>
      <c r="K3115" t="s">
        <v>29</v>
      </c>
      <c r="L3115">
        <v>0</v>
      </c>
      <c r="M3115" t="s">
        <v>29</v>
      </c>
      <c r="N3115">
        <v>0</v>
      </c>
      <c r="O3115">
        <v>0</v>
      </c>
      <c r="P3115" t="s">
        <v>30</v>
      </c>
      <c r="Q3115" s="2">
        <v>0.7</v>
      </c>
      <c r="R3115">
        <v>0</v>
      </c>
      <c r="V3115" t="str">
        <f>VLOOKUP(H3115,'[1]팀별 출판사'!A:B,2,0)</f>
        <v>소설1팀</v>
      </c>
      <c r="W3115" s="6">
        <f t="shared" si="96"/>
        <v>0</v>
      </c>
      <c r="X3115" s="6">
        <f t="shared" si="97"/>
        <v>0</v>
      </c>
    </row>
    <row r="3116" spans="1:24" x14ac:dyDescent="0.3">
      <c r="A3116" t="s">
        <v>4421</v>
      </c>
      <c r="B3116" t="s">
        <v>4571</v>
      </c>
      <c r="C3116" t="s">
        <v>23</v>
      </c>
      <c r="D3116" t="s">
        <v>24</v>
      </c>
      <c r="E3116" t="s">
        <v>25</v>
      </c>
      <c r="F3116">
        <v>1</v>
      </c>
      <c r="G3116">
        <v>9791136907561</v>
      </c>
      <c r="H3116" t="s">
        <v>26</v>
      </c>
      <c r="I3116" t="s">
        <v>4572</v>
      </c>
      <c r="J3116" t="s">
        <v>1348</v>
      </c>
      <c r="K3116" t="s">
        <v>29</v>
      </c>
      <c r="L3116" s="1">
        <v>3200</v>
      </c>
      <c r="M3116" t="s">
        <v>70</v>
      </c>
      <c r="N3116">
        <v>2.2200000000000002</v>
      </c>
      <c r="O3116">
        <v>2.2200000000000002</v>
      </c>
      <c r="P3116" t="s">
        <v>71</v>
      </c>
      <c r="Q3116" s="2">
        <v>0.7</v>
      </c>
      <c r="R3116">
        <v>1.55</v>
      </c>
      <c r="S3116" t="s">
        <v>29</v>
      </c>
      <c r="T3116" s="1">
        <v>2242</v>
      </c>
      <c r="U3116" s="3">
        <v>1446.27</v>
      </c>
      <c r="V3116" t="str">
        <f>VLOOKUP(H3116,'[1]팀별 출판사'!A:B,2,0)</f>
        <v>소설1팀</v>
      </c>
      <c r="W3116" s="6">
        <f t="shared" si="96"/>
        <v>672.6</v>
      </c>
      <c r="X3116" s="6">
        <f t="shared" si="97"/>
        <v>1569.4</v>
      </c>
    </row>
    <row r="3117" spans="1:24" x14ac:dyDescent="0.3">
      <c r="A3117" t="s">
        <v>4421</v>
      </c>
      <c r="B3117" t="s">
        <v>4573</v>
      </c>
      <c r="C3117" t="s">
        <v>23</v>
      </c>
      <c r="D3117" t="s">
        <v>24</v>
      </c>
      <c r="E3117" t="s">
        <v>25</v>
      </c>
      <c r="F3117">
        <v>1</v>
      </c>
      <c r="G3117">
        <v>9791136958778</v>
      </c>
      <c r="H3117" t="s">
        <v>79</v>
      </c>
      <c r="I3117" t="s">
        <v>4574</v>
      </c>
      <c r="J3117" t="s">
        <v>81</v>
      </c>
      <c r="K3117" t="s">
        <v>29</v>
      </c>
      <c r="L3117" s="1">
        <v>3200</v>
      </c>
      <c r="M3117" t="s">
        <v>29</v>
      </c>
      <c r="N3117" s="1">
        <v>3200</v>
      </c>
      <c r="O3117" s="1">
        <v>3200</v>
      </c>
      <c r="P3117" t="s">
        <v>30</v>
      </c>
      <c r="Q3117" s="2">
        <v>0.7</v>
      </c>
      <c r="R3117" s="1">
        <v>2240</v>
      </c>
      <c r="S3117" t="s">
        <v>29</v>
      </c>
      <c r="T3117" s="1">
        <v>2240</v>
      </c>
      <c r="V3117" t="str">
        <f>VLOOKUP(H3117,'[1]팀별 출판사'!A:B,2,0)</f>
        <v>소설1팀</v>
      </c>
      <c r="W3117" s="6">
        <f t="shared" si="96"/>
        <v>0</v>
      </c>
      <c r="X3117" s="6">
        <f t="shared" si="97"/>
        <v>2240</v>
      </c>
    </row>
    <row r="3118" spans="1:24" x14ac:dyDescent="0.3">
      <c r="A3118" t="s">
        <v>4421</v>
      </c>
      <c r="B3118" t="s">
        <v>4575</v>
      </c>
      <c r="C3118" t="s">
        <v>23</v>
      </c>
      <c r="D3118" t="s">
        <v>24</v>
      </c>
      <c r="E3118" t="s">
        <v>25</v>
      </c>
      <c r="F3118">
        <v>1</v>
      </c>
      <c r="G3118">
        <v>9791157534548</v>
      </c>
      <c r="H3118" t="s">
        <v>32</v>
      </c>
      <c r="I3118" t="s">
        <v>1134</v>
      </c>
      <c r="J3118" t="s">
        <v>166</v>
      </c>
      <c r="K3118" t="s">
        <v>29</v>
      </c>
      <c r="L3118">
        <v>0</v>
      </c>
      <c r="M3118" t="s">
        <v>29</v>
      </c>
      <c r="N3118">
        <v>0</v>
      </c>
      <c r="O3118">
        <v>0</v>
      </c>
      <c r="P3118" t="s">
        <v>30</v>
      </c>
      <c r="Q3118" s="2">
        <v>0.7</v>
      </c>
      <c r="R3118">
        <v>0</v>
      </c>
      <c r="V3118" t="str">
        <f>VLOOKUP(H3118,'[1]팀별 출판사'!A:B,2,0)</f>
        <v>소설1팀</v>
      </c>
      <c r="W3118" s="6">
        <f t="shared" si="96"/>
        <v>0</v>
      </c>
      <c r="X3118" s="6">
        <f t="shared" si="97"/>
        <v>0</v>
      </c>
    </row>
    <row r="3119" spans="1:24" x14ac:dyDescent="0.3">
      <c r="A3119" t="s">
        <v>4421</v>
      </c>
      <c r="B3119" t="s">
        <v>4576</v>
      </c>
      <c r="C3119" t="s">
        <v>23</v>
      </c>
      <c r="D3119" t="s">
        <v>24</v>
      </c>
      <c r="E3119" t="s">
        <v>25</v>
      </c>
      <c r="F3119">
        <v>1</v>
      </c>
      <c r="G3119">
        <v>9791136931382</v>
      </c>
      <c r="H3119" t="s">
        <v>32</v>
      </c>
      <c r="I3119" t="s">
        <v>523</v>
      </c>
      <c r="J3119" t="s">
        <v>46</v>
      </c>
      <c r="K3119" t="s">
        <v>29</v>
      </c>
      <c r="L3119">
        <v>0</v>
      </c>
      <c r="M3119" t="s">
        <v>29</v>
      </c>
      <c r="N3119">
        <v>0</v>
      </c>
      <c r="O3119">
        <v>0</v>
      </c>
      <c r="P3119" t="s">
        <v>30</v>
      </c>
      <c r="Q3119" s="2">
        <v>0.7</v>
      </c>
      <c r="R3119">
        <v>0</v>
      </c>
      <c r="V3119" t="str">
        <f>VLOOKUP(H3119,'[1]팀별 출판사'!A:B,2,0)</f>
        <v>소설1팀</v>
      </c>
      <c r="W3119" s="6">
        <f t="shared" si="96"/>
        <v>0</v>
      </c>
      <c r="X3119" s="6">
        <f t="shared" si="97"/>
        <v>0</v>
      </c>
    </row>
    <row r="3120" spans="1:24" x14ac:dyDescent="0.3">
      <c r="A3120" t="s">
        <v>4421</v>
      </c>
      <c r="B3120" t="s">
        <v>4577</v>
      </c>
      <c r="C3120" t="s">
        <v>23</v>
      </c>
      <c r="D3120" t="s">
        <v>24</v>
      </c>
      <c r="E3120" t="s">
        <v>25</v>
      </c>
      <c r="F3120">
        <v>1</v>
      </c>
      <c r="G3120">
        <v>9791175303966</v>
      </c>
      <c r="H3120" t="s">
        <v>79</v>
      </c>
      <c r="I3120" t="s">
        <v>570</v>
      </c>
      <c r="J3120" t="s">
        <v>571</v>
      </c>
      <c r="K3120" t="s">
        <v>29</v>
      </c>
      <c r="L3120">
        <v>0</v>
      </c>
      <c r="M3120" t="s">
        <v>29</v>
      </c>
      <c r="N3120">
        <v>0</v>
      </c>
      <c r="O3120">
        <v>0</v>
      </c>
      <c r="P3120" t="s">
        <v>30</v>
      </c>
      <c r="Q3120" s="2">
        <v>0.7</v>
      </c>
      <c r="R3120">
        <v>0</v>
      </c>
      <c r="V3120" t="str">
        <f>VLOOKUP(H3120,'[1]팀별 출판사'!A:B,2,0)</f>
        <v>소설1팀</v>
      </c>
      <c r="W3120" s="6">
        <f t="shared" si="96"/>
        <v>0</v>
      </c>
      <c r="X3120" s="6">
        <f t="shared" si="97"/>
        <v>0</v>
      </c>
    </row>
    <row r="3121" spans="1:24" x14ac:dyDescent="0.3">
      <c r="A3121" t="s">
        <v>4421</v>
      </c>
      <c r="B3121" t="s">
        <v>4578</v>
      </c>
      <c r="C3121" t="s">
        <v>23</v>
      </c>
      <c r="D3121" t="s">
        <v>24</v>
      </c>
      <c r="E3121" t="s">
        <v>25</v>
      </c>
      <c r="F3121">
        <v>1</v>
      </c>
      <c r="G3121">
        <v>9791136909398</v>
      </c>
      <c r="H3121" t="s">
        <v>26</v>
      </c>
      <c r="I3121" t="s">
        <v>779</v>
      </c>
      <c r="J3121" t="s">
        <v>588</v>
      </c>
      <c r="K3121" t="s">
        <v>29</v>
      </c>
      <c r="L3121">
        <v>0</v>
      </c>
      <c r="M3121" t="s">
        <v>29</v>
      </c>
      <c r="N3121">
        <v>0</v>
      </c>
      <c r="O3121">
        <v>0</v>
      </c>
      <c r="P3121" t="s">
        <v>30</v>
      </c>
      <c r="Q3121" s="2">
        <v>0.7</v>
      </c>
      <c r="R3121">
        <v>0</v>
      </c>
      <c r="V3121" t="str">
        <f>VLOOKUP(H3121,'[1]팀별 출판사'!A:B,2,0)</f>
        <v>소설1팀</v>
      </c>
      <c r="W3121" s="6">
        <f t="shared" si="96"/>
        <v>0</v>
      </c>
      <c r="X3121" s="6">
        <f t="shared" si="97"/>
        <v>0</v>
      </c>
    </row>
    <row r="3122" spans="1:24" x14ac:dyDescent="0.3">
      <c r="A3122" t="s">
        <v>4421</v>
      </c>
      <c r="B3122" t="s">
        <v>4579</v>
      </c>
      <c r="C3122" t="s">
        <v>23</v>
      </c>
      <c r="D3122" t="s">
        <v>24</v>
      </c>
      <c r="E3122" t="s">
        <v>25</v>
      </c>
      <c r="F3122">
        <v>1</v>
      </c>
      <c r="G3122">
        <v>9791136942142</v>
      </c>
      <c r="H3122" t="s">
        <v>26</v>
      </c>
      <c r="I3122" t="s">
        <v>180</v>
      </c>
      <c r="J3122" t="s">
        <v>46</v>
      </c>
      <c r="K3122" t="s">
        <v>29</v>
      </c>
      <c r="L3122">
        <v>0</v>
      </c>
      <c r="M3122" t="s">
        <v>47</v>
      </c>
      <c r="N3122">
        <v>0</v>
      </c>
      <c r="O3122">
        <v>0</v>
      </c>
      <c r="P3122" t="s">
        <v>48</v>
      </c>
      <c r="Q3122" s="2">
        <v>0.7</v>
      </c>
      <c r="R3122">
        <v>0</v>
      </c>
      <c r="V3122" t="str">
        <f>VLOOKUP(H3122,'[1]팀별 출판사'!A:B,2,0)</f>
        <v>소설1팀</v>
      </c>
      <c r="W3122" s="6">
        <f t="shared" si="96"/>
        <v>0</v>
      </c>
      <c r="X3122" s="6">
        <f t="shared" si="97"/>
        <v>0</v>
      </c>
    </row>
    <row r="3123" spans="1:24" x14ac:dyDescent="0.3">
      <c r="A3123" t="s">
        <v>4421</v>
      </c>
      <c r="B3123" t="s">
        <v>4580</v>
      </c>
      <c r="C3123" t="s">
        <v>23</v>
      </c>
      <c r="D3123" t="s">
        <v>24</v>
      </c>
      <c r="E3123" t="s">
        <v>25</v>
      </c>
      <c r="F3123">
        <v>1</v>
      </c>
      <c r="G3123">
        <v>9791133144914</v>
      </c>
      <c r="H3123" t="s">
        <v>32</v>
      </c>
      <c r="I3123" t="s">
        <v>1822</v>
      </c>
      <c r="J3123" t="s">
        <v>1192</v>
      </c>
      <c r="K3123" t="s">
        <v>29</v>
      </c>
      <c r="L3123">
        <v>0</v>
      </c>
      <c r="M3123" t="s">
        <v>948</v>
      </c>
      <c r="N3123">
        <v>0</v>
      </c>
      <c r="O3123">
        <v>0</v>
      </c>
      <c r="P3123" t="s">
        <v>949</v>
      </c>
      <c r="Q3123" s="2">
        <v>0.7</v>
      </c>
      <c r="R3123">
        <v>0</v>
      </c>
      <c r="V3123" t="str">
        <f>VLOOKUP(H3123,'[1]팀별 출판사'!A:B,2,0)</f>
        <v>소설1팀</v>
      </c>
      <c r="W3123" s="6">
        <f t="shared" si="96"/>
        <v>0</v>
      </c>
      <c r="X3123" s="6">
        <f t="shared" si="97"/>
        <v>0</v>
      </c>
    </row>
    <row r="3124" spans="1:24" x14ac:dyDescent="0.3">
      <c r="A3124" t="s">
        <v>4421</v>
      </c>
      <c r="B3124" t="s">
        <v>4581</v>
      </c>
      <c r="C3124" t="s">
        <v>23</v>
      </c>
      <c r="D3124" t="s">
        <v>24</v>
      </c>
      <c r="E3124" t="s">
        <v>25</v>
      </c>
      <c r="F3124">
        <v>1</v>
      </c>
      <c r="G3124">
        <v>9791136912732</v>
      </c>
      <c r="H3124" t="s">
        <v>26</v>
      </c>
      <c r="I3124" t="s">
        <v>1125</v>
      </c>
      <c r="J3124" t="s">
        <v>256</v>
      </c>
      <c r="K3124" t="s">
        <v>29</v>
      </c>
      <c r="L3124">
        <v>0</v>
      </c>
      <c r="M3124" t="s">
        <v>29</v>
      </c>
      <c r="N3124">
        <v>0</v>
      </c>
      <c r="O3124">
        <v>0</v>
      </c>
      <c r="P3124" t="s">
        <v>30</v>
      </c>
      <c r="Q3124" s="2">
        <v>0.7</v>
      </c>
      <c r="R3124">
        <v>0</v>
      </c>
      <c r="V3124" t="str">
        <f>VLOOKUP(H3124,'[1]팀별 출판사'!A:B,2,0)</f>
        <v>소설1팀</v>
      </c>
      <c r="W3124" s="6">
        <f t="shared" si="96"/>
        <v>0</v>
      </c>
      <c r="X3124" s="6">
        <f t="shared" si="97"/>
        <v>0</v>
      </c>
    </row>
    <row r="3125" spans="1:24" x14ac:dyDescent="0.3">
      <c r="A3125" t="s">
        <v>4421</v>
      </c>
      <c r="B3125" t="s">
        <v>4582</v>
      </c>
      <c r="C3125" t="s">
        <v>23</v>
      </c>
      <c r="D3125" t="s">
        <v>24</v>
      </c>
      <c r="E3125" t="s">
        <v>25</v>
      </c>
      <c r="F3125">
        <v>1</v>
      </c>
      <c r="G3125">
        <v>9791173787027</v>
      </c>
      <c r="H3125" t="s">
        <v>26</v>
      </c>
      <c r="I3125" t="s">
        <v>255</v>
      </c>
      <c r="J3125" t="s">
        <v>256</v>
      </c>
      <c r="K3125" t="s">
        <v>29</v>
      </c>
      <c r="L3125">
        <v>0</v>
      </c>
      <c r="M3125" t="s">
        <v>29</v>
      </c>
      <c r="N3125">
        <v>0</v>
      </c>
      <c r="O3125">
        <v>0</v>
      </c>
      <c r="P3125" t="s">
        <v>30</v>
      </c>
      <c r="Q3125" s="2">
        <v>0.7</v>
      </c>
      <c r="R3125">
        <v>0</v>
      </c>
      <c r="V3125" t="str">
        <f>VLOOKUP(H3125,'[1]팀별 출판사'!A:B,2,0)</f>
        <v>소설1팀</v>
      </c>
      <c r="W3125" s="6">
        <f t="shared" si="96"/>
        <v>0</v>
      </c>
      <c r="X3125" s="6">
        <f t="shared" si="97"/>
        <v>0</v>
      </c>
    </row>
    <row r="3126" spans="1:24" x14ac:dyDescent="0.3">
      <c r="A3126" t="s">
        <v>4421</v>
      </c>
      <c r="B3126" t="s">
        <v>4583</v>
      </c>
      <c r="C3126" t="s">
        <v>23</v>
      </c>
      <c r="D3126" t="s">
        <v>24</v>
      </c>
      <c r="E3126" t="s">
        <v>25</v>
      </c>
      <c r="F3126">
        <v>1</v>
      </c>
      <c r="G3126">
        <v>9791170101307</v>
      </c>
      <c r="H3126" t="s">
        <v>67</v>
      </c>
      <c r="I3126" t="s">
        <v>413</v>
      </c>
      <c r="J3126" t="s">
        <v>414</v>
      </c>
      <c r="K3126" t="s">
        <v>29</v>
      </c>
      <c r="L3126">
        <v>0</v>
      </c>
      <c r="M3126" t="s">
        <v>29</v>
      </c>
      <c r="N3126">
        <v>0</v>
      </c>
      <c r="O3126">
        <v>0</v>
      </c>
      <c r="P3126" t="s">
        <v>30</v>
      </c>
      <c r="Q3126" s="2">
        <v>0.7</v>
      </c>
      <c r="R3126">
        <v>0</v>
      </c>
      <c r="V3126" t="str">
        <f>VLOOKUP(H3126,'[1]팀별 출판사'!A:B,2,0)</f>
        <v>소설1팀</v>
      </c>
      <c r="W3126" s="6">
        <f t="shared" si="96"/>
        <v>0</v>
      </c>
      <c r="X3126" s="6">
        <f t="shared" si="97"/>
        <v>0</v>
      </c>
    </row>
    <row r="3127" spans="1:24" x14ac:dyDescent="0.3">
      <c r="A3127" t="s">
        <v>4421</v>
      </c>
      <c r="B3127" t="s">
        <v>4584</v>
      </c>
      <c r="C3127" t="s">
        <v>23</v>
      </c>
      <c r="D3127" t="s">
        <v>24</v>
      </c>
      <c r="E3127" t="s">
        <v>25</v>
      </c>
      <c r="F3127">
        <v>1</v>
      </c>
      <c r="G3127" t="s">
        <v>500</v>
      </c>
      <c r="H3127" t="s">
        <v>32</v>
      </c>
      <c r="I3127" t="s">
        <v>501</v>
      </c>
      <c r="J3127" t="s">
        <v>88</v>
      </c>
      <c r="K3127" t="s">
        <v>29</v>
      </c>
      <c r="L3127">
        <v>0</v>
      </c>
      <c r="M3127" t="s">
        <v>29</v>
      </c>
      <c r="N3127">
        <v>0</v>
      </c>
      <c r="O3127">
        <v>0</v>
      </c>
      <c r="P3127" t="s">
        <v>30</v>
      </c>
      <c r="Q3127" s="2">
        <v>0.7</v>
      </c>
      <c r="R3127">
        <v>0</v>
      </c>
      <c r="V3127" t="str">
        <f>VLOOKUP(H3127,'[1]팀별 출판사'!A:B,2,0)</f>
        <v>소설1팀</v>
      </c>
      <c r="W3127" s="6">
        <f t="shared" si="96"/>
        <v>0</v>
      </c>
      <c r="X3127" s="6">
        <f t="shared" si="97"/>
        <v>0</v>
      </c>
    </row>
    <row r="3128" spans="1:24" x14ac:dyDescent="0.3">
      <c r="A3128" t="s">
        <v>4421</v>
      </c>
      <c r="B3128" t="s">
        <v>4585</v>
      </c>
      <c r="C3128" t="s">
        <v>23</v>
      </c>
      <c r="D3128" t="s">
        <v>24</v>
      </c>
      <c r="E3128" t="s">
        <v>25</v>
      </c>
      <c r="F3128">
        <v>1</v>
      </c>
      <c r="G3128">
        <v>9791136909985</v>
      </c>
      <c r="H3128" t="s">
        <v>26</v>
      </c>
      <c r="I3128" t="s">
        <v>1026</v>
      </c>
      <c r="J3128" t="s">
        <v>359</v>
      </c>
      <c r="K3128" t="s">
        <v>29</v>
      </c>
      <c r="L3128">
        <v>0</v>
      </c>
      <c r="M3128" t="s">
        <v>29</v>
      </c>
      <c r="N3128">
        <v>0</v>
      </c>
      <c r="O3128">
        <v>0</v>
      </c>
      <c r="P3128" t="s">
        <v>30</v>
      </c>
      <c r="Q3128" s="2">
        <v>0.7</v>
      </c>
      <c r="R3128">
        <v>0</v>
      </c>
      <c r="V3128" t="str">
        <f>VLOOKUP(H3128,'[1]팀별 출판사'!A:B,2,0)</f>
        <v>소설1팀</v>
      </c>
      <c r="W3128" s="6">
        <f t="shared" si="96"/>
        <v>0</v>
      </c>
      <c r="X3128" s="6">
        <f t="shared" si="97"/>
        <v>0</v>
      </c>
    </row>
    <row r="3129" spans="1:24" x14ac:dyDescent="0.3">
      <c r="A3129" t="s">
        <v>4421</v>
      </c>
      <c r="B3129" t="s">
        <v>4586</v>
      </c>
      <c r="C3129" t="s">
        <v>23</v>
      </c>
      <c r="D3129" t="s">
        <v>24</v>
      </c>
      <c r="E3129" t="s">
        <v>25</v>
      </c>
      <c r="F3129">
        <v>1</v>
      </c>
      <c r="G3129">
        <v>9791170103226</v>
      </c>
      <c r="H3129" t="s">
        <v>67</v>
      </c>
      <c r="I3129" t="s">
        <v>698</v>
      </c>
      <c r="J3129" t="s">
        <v>399</v>
      </c>
      <c r="K3129" t="s">
        <v>29</v>
      </c>
      <c r="L3129">
        <v>0</v>
      </c>
      <c r="M3129" t="s">
        <v>29</v>
      </c>
      <c r="N3129">
        <v>0</v>
      </c>
      <c r="O3129">
        <v>0</v>
      </c>
      <c r="P3129" t="s">
        <v>30</v>
      </c>
      <c r="Q3129" s="2">
        <v>0.7</v>
      </c>
      <c r="R3129">
        <v>0</v>
      </c>
      <c r="V3129" t="str">
        <f>VLOOKUP(H3129,'[1]팀별 출판사'!A:B,2,0)</f>
        <v>소설1팀</v>
      </c>
      <c r="W3129" s="6">
        <f t="shared" si="96"/>
        <v>0</v>
      </c>
      <c r="X3129" s="6">
        <f t="shared" si="97"/>
        <v>0</v>
      </c>
    </row>
    <row r="3130" spans="1:24" x14ac:dyDescent="0.3">
      <c r="A3130" t="s">
        <v>4421</v>
      </c>
      <c r="B3130" t="s">
        <v>4587</v>
      </c>
      <c r="C3130" t="s">
        <v>23</v>
      </c>
      <c r="D3130" t="s">
        <v>24</v>
      </c>
      <c r="E3130" t="s">
        <v>25</v>
      </c>
      <c r="F3130">
        <v>1</v>
      </c>
      <c r="G3130">
        <v>9791133109005</v>
      </c>
      <c r="H3130" t="s">
        <v>32</v>
      </c>
      <c r="I3130" t="s">
        <v>4588</v>
      </c>
      <c r="J3130" t="s">
        <v>144</v>
      </c>
      <c r="K3130" t="s">
        <v>29</v>
      </c>
      <c r="L3130" s="1">
        <v>3200</v>
      </c>
      <c r="M3130" t="s">
        <v>29</v>
      </c>
      <c r="N3130" s="1">
        <v>3200</v>
      </c>
      <c r="O3130" s="1">
        <v>3200</v>
      </c>
      <c r="P3130" t="s">
        <v>30</v>
      </c>
      <c r="Q3130" s="2">
        <v>0.7</v>
      </c>
      <c r="R3130" s="1">
        <v>2240</v>
      </c>
      <c r="S3130" t="s">
        <v>29</v>
      </c>
      <c r="T3130" s="1">
        <v>2240</v>
      </c>
      <c r="V3130" t="str">
        <f>VLOOKUP(H3130,'[1]팀별 출판사'!A:B,2,0)</f>
        <v>소설1팀</v>
      </c>
      <c r="W3130" s="6">
        <f t="shared" si="96"/>
        <v>0</v>
      </c>
      <c r="X3130" s="6">
        <f t="shared" si="97"/>
        <v>2240</v>
      </c>
    </row>
    <row r="3131" spans="1:24" x14ac:dyDescent="0.3">
      <c r="A3131" t="s">
        <v>4421</v>
      </c>
      <c r="B3131" t="s">
        <v>4589</v>
      </c>
      <c r="C3131" t="s">
        <v>23</v>
      </c>
      <c r="D3131" t="s">
        <v>24</v>
      </c>
      <c r="E3131" t="s">
        <v>25</v>
      </c>
      <c r="F3131">
        <v>1</v>
      </c>
      <c r="G3131">
        <v>9791133186488</v>
      </c>
      <c r="H3131" t="s">
        <v>32</v>
      </c>
      <c r="I3131" t="s">
        <v>4590</v>
      </c>
      <c r="J3131" t="s">
        <v>166</v>
      </c>
      <c r="K3131" t="s">
        <v>29</v>
      </c>
      <c r="L3131" s="1">
        <v>3200</v>
      </c>
      <c r="M3131" t="s">
        <v>29</v>
      </c>
      <c r="N3131" s="1">
        <v>3200</v>
      </c>
      <c r="O3131" s="1">
        <v>3200</v>
      </c>
      <c r="P3131" t="s">
        <v>30</v>
      </c>
      <c r="Q3131" s="2">
        <v>0.7</v>
      </c>
      <c r="R3131" s="1">
        <v>2240</v>
      </c>
      <c r="S3131" t="s">
        <v>29</v>
      </c>
      <c r="T3131" s="1">
        <v>2240</v>
      </c>
      <c r="V3131" t="str">
        <f>VLOOKUP(H3131,'[1]팀별 출판사'!A:B,2,0)</f>
        <v>소설1팀</v>
      </c>
      <c r="W3131" s="6">
        <f t="shared" si="96"/>
        <v>0</v>
      </c>
      <c r="X3131" s="6">
        <f t="shared" si="97"/>
        <v>2240</v>
      </c>
    </row>
    <row r="3132" spans="1:24" x14ac:dyDescent="0.3">
      <c r="A3132" t="s">
        <v>4421</v>
      </c>
      <c r="B3132" t="s">
        <v>4591</v>
      </c>
      <c r="C3132" t="s">
        <v>23</v>
      </c>
      <c r="D3132" t="s">
        <v>24</v>
      </c>
      <c r="E3132" t="s">
        <v>25</v>
      </c>
      <c r="F3132">
        <v>1</v>
      </c>
      <c r="G3132">
        <v>9791170106715</v>
      </c>
      <c r="H3132" t="s">
        <v>67</v>
      </c>
      <c r="I3132" t="s">
        <v>68</v>
      </c>
      <c r="J3132" t="s">
        <v>69</v>
      </c>
      <c r="K3132" t="s">
        <v>29</v>
      </c>
      <c r="L3132">
        <v>0</v>
      </c>
      <c r="M3132" t="s">
        <v>193</v>
      </c>
      <c r="N3132">
        <v>0</v>
      </c>
      <c r="O3132">
        <v>0</v>
      </c>
      <c r="P3132" t="s">
        <v>194</v>
      </c>
      <c r="Q3132" s="2">
        <v>0.7</v>
      </c>
      <c r="R3132">
        <v>0</v>
      </c>
      <c r="V3132" t="str">
        <f>VLOOKUP(H3132,'[1]팀별 출판사'!A:B,2,0)</f>
        <v>소설1팀</v>
      </c>
      <c r="W3132" s="6">
        <f t="shared" si="96"/>
        <v>0</v>
      </c>
      <c r="X3132" s="6">
        <f t="shared" si="97"/>
        <v>0</v>
      </c>
    </row>
    <row r="3133" spans="1:24" x14ac:dyDescent="0.3">
      <c r="A3133" t="s">
        <v>4421</v>
      </c>
      <c r="B3133" t="s">
        <v>4592</v>
      </c>
      <c r="C3133" t="s">
        <v>23</v>
      </c>
      <c r="D3133" t="s">
        <v>24</v>
      </c>
      <c r="E3133" t="s">
        <v>25</v>
      </c>
      <c r="F3133">
        <v>1</v>
      </c>
      <c r="G3133">
        <v>9791170101864</v>
      </c>
      <c r="H3133" t="s">
        <v>67</v>
      </c>
      <c r="I3133" t="s">
        <v>1985</v>
      </c>
      <c r="J3133" t="s">
        <v>402</v>
      </c>
      <c r="K3133" t="s">
        <v>29</v>
      </c>
      <c r="L3133">
        <v>0</v>
      </c>
      <c r="M3133" t="s">
        <v>29</v>
      </c>
      <c r="N3133">
        <v>0</v>
      </c>
      <c r="O3133">
        <v>0</v>
      </c>
      <c r="P3133" t="s">
        <v>30</v>
      </c>
      <c r="Q3133" s="2">
        <v>0.7</v>
      </c>
      <c r="R3133">
        <v>0</v>
      </c>
      <c r="V3133" t="str">
        <f>VLOOKUP(H3133,'[1]팀별 출판사'!A:B,2,0)</f>
        <v>소설1팀</v>
      </c>
      <c r="W3133" s="6">
        <f t="shared" si="96"/>
        <v>0</v>
      </c>
      <c r="X3133" s="6">
        <f t="shared" si="97"/>
        <v>0</v>
      </c>
    </row>
    <row r="3134" spans="1:24" x14ac:dyDescent="0.3">
      <c r="A3134" t="s">
        <v>4421</v>
      </c>
      <c r="B3134" t="s">
        <v>4593</v>
      </c>
      <c r="C3134" t="s">
        <v>23</v>
      </c>
      <c r="D3134" t="s">
        <v>24</v>
      </c>
      <c r="E3134" t="s">
        <v>25</v>
      </c>
      <c r="F3134">
        <v>1</v>
      </c>
      <c r="G3134">
        <v>9791170100164</v>
      </c>
      <c r="H3134" t="s">
        <v>67</v>
      </c>
      <c r="I3134" t="s">
        <v>106</v>
      </c>
      <c r="J3134" t="s">
        <v>107</v>
      </c>
      <c r="K3134" t="s">
        <v>29</v>
      </c>
      <c r="L3134">
        <v>0</v>
      </c>
      <c r="M3134" t="s">
        <v>29</v>
      </c>
      <c r="N3134">
        <v>0</v>
      </c>
      <c r="O3134">
        <v>0</v>
      </c>
      <c r="P3134" t="s">
        <v>30</v>
      </c>
      <c r="Q3134" s="2">
        <v>0.7</v>
      </c>
      <c r="R3134">
        <v>0</v>
      </c>
      <c r="V3134" t="str">
        <f>VLOOKUP(H3134,'[1]팀별 출판사'!A:B,2,0)</f>
        <v>소설1팀</v>
      </c>
      <c r="W3134" s="6">
        <f t="shared" si="96"/>
        <v>0</v>
      </c>
      <c r="X3134" s="6">
        <f t="shared" si="97"/>
        <v>0</v>
      </c>
    </row>
    <row r="3135" spans="1:24" x14ac:dyDescent="0.3">
      <c r="A3135" t="s">
        <v>4421</v>
      </c>
      <c r="B3135" t="s">
        <v>4594</v>
      </c>
      <c r="C3135" t="s">
        <v>23</v>
      </c>
      <c r="D3135" t="s">
        <v>24</v>
      </c>
      <c r="E3135" t="s">
        <v>25</v>
      </c>
      <c r="F3135">
        <v>1</v>
      </c>
      <c r="G3135">
        <v>9791136990600</v>
      </c>
      <c r="H3135" t="s">
        <v>26</v>
      </c>
      <c r="I3135" t="s">
        <v>1034</v>
      </c>
      <c r="J3135" t="s">
        <v>459</v>
      </c>
      <c r="K3135" t="s">
        <v>29</v>
      </c>
      <c r="L3135">
        <v>0</v>
      </c>
      <c r="M3135" t="s">
        <v>29</v>
      </c>
      <c r="N3135">
        <v>0</v>
      </c>
      <c r="O3135">
        <v>0</v>
      </c>
      <c r="P3135" t="s">
        <v>30</v>
      </c>
      <c r="Q3135" s="2">
        <v>0.7</v>
      </c>
      <c r="R3135">
        <v>0</v>
      </c>
      <c r="V3135" t="str">
        <f>VLOOKUP(H3135,'[1]팀별 출판사'!A:B,2,0)</f>
        <v>소설1팀</v>
      </c>
      <c r="W3135" s="6">
        <f t="shared" si="96"/>
        <v>0</v>
      </c>
      <c r="X3135" s="6">
        <f t="shared" si="97"/>
        <v>0</v>
      </c>
    </row>
    <row r="3136" spans="1:24" x14ac:dyDescent="0.3">
      <c r="A3136" t="s">
        <v>4421</v>
      </c>
      <c r="B3136" t="s">
        <v>4595</v>
      </c>
      <c r="C3136" t="s">
        <v>23</v>
      </c>
      <c r="D3136" t="s">
        <v>24</v>
      </c>
      <c r="E3136" t="s">
        <v>25</v>
      </c>
      <c r="F3136">
        <v>1</v>
      </c>
      <c r="G3136">
        <v>9791136930361</v>
      </c>
      <c r="H3136" t="s">
        <v>32</v>
      </c>
      <c r="I3136" t="s">
        <v>33</v>
      </c>
      <c r="J3136" t="s">
        <v>34</v>
      </c>
      <c r="K3136" t="s">
        <v>29</v>
      </c>
      <c r="L3136">
        <v>0</v>
      </c>
      <c r="M3136" t="s">
        <v>29</v>
      </c>
      <c r="N3136">
        <v>0</v>
      </c>
      <c r="O3136">
        <v>0</v>
      </c>
      <c r="P3136" t="s">
        <v>30</v>
      </c>
      <c r="Q3136" s="2">
        <v>0.7</v>
      </c>
      <c r="R3136">
        <v>0</v>
      </c>
      <c r="V3136" t="str">
        <f>VLOOKUP(H3136,'[1]팀별 출판사'!A:B,2,0)</f>
        <v>소설1팀</v>
      </c>
      <c r="W3136" s="6">
        <f t="shared" si="96"/>
        <v>0</v>
      </c>
      <c r="X3136" s="6">
        <f t="shared" si="97"/>
        <v>0</v>
      </c>
    </row>
    <row r="3137" spans="1:24" x14ac:dyDescent="0.3">
      <c r="A3137" t="s">
        <v>4421</v>
      </c>
      <c r="B3137" t="s">
        <v>4596</v>
      </c>
      <c r="C3137" t="s">
        <v>23</v>
      </c>
      <c r="D3137" t="s">
        <v>24</v>
      </c>
      <c r="E3137" t="s">
        <v>25</v>
      </c>
      <c r="F3137">
        <v>1</v>
      </c>
      <c r="G3137" t="s">
        <v>4146</v>
      </c>
      <c r="H3137" t="s">
        <v>32</v>
      </c>
      <c r="I3137" t="s">
        <v>4147</v>
      </c>
      <c r="J3137" t="s">
        <v>1938</v>
      </c>
      <c r="K3137" t="s">
        <v>29</v>
      </c>
      <c r="L3137">
        <v>0</v>
      </c>
      <c r="M3137" t="s">
        <v>948</v>
      </c>
      <c r="N3137">
        <v>0</v>
      </c>
      <c r="O3137">
        <v>0</v>
      </c>
      <c r="P3137" t="s">
        <v>949</v>
      </c>
      <c r="Q3137" s="2">
        <v>0.7</v>
      </c>
      <c r="R3137">
        <v>0</v>
      </c>
      <c r="V3137" t="str">
        <f>VLOOKUP(H3137,'[1]팀별 출판사'!A:B,2,0)</f>
        <v>소설1팀</v>
      </c>
      <c r="W3137" s="6">
        <f t="shared" si="96"/>
        <v>0</v>
      </c>
      <c r="X3137" s="6">
        <f t="shared" si="97"/>
        <v>0</v>
      </c>
    </row>
    <row r="3138" spans="1:24" x14ac:dyDescent="0.3">
      <c r="A3138" t="s">
        <v>4421</v>
      </c>
      <c r="B3138" t="s">
        <v>4597</v>
      </c>
      <c r="C3138" t="s">
        <v>23</v>
      </c>
      <c r="D3138" t="s">
        <v>24</v>
      </c>
      <c r="E3138" t="s">
        <v>25</v>
      </c>
      <c r="F3138">
        <v>1</v>
      </c>
      <c r="G3138">
        <v>9791133184590</v>
      </c>
      <c r="H3138" t="s">
        <v>26</v>
      </c>
      <c r="I3138" t="s">
        <v>4598</v>
      </c>
      <c r="J3138" t="s">
        <v>284</v>
      </c>
      <c r="K3138" t="s">
        <v>29</v>
      </c>
      <c r="L3138" s="1">
        <v>3200</v>
      </c>
      <c r="M3138" t="s">
        <v>29</v>
      </c>
      <c r="N3138" s="1">
        <v>3200</v>
      </c>
      <c r="O3138" s="1">
        <v>3200</v>
      </c>
      <c r="P3138" t="s">
        <v>30</v>
      </c>
      <c r="Q3138" s="2">
        <v>0.7</v>
      </c>
      <c r="R3138" s="1">
        <v>2240</v>
      </c>
      <c r="S3138" t="s">
        <v>29</v>
      </c>
      <c r="T3138" s="1">
        <v>2240</v>
      </c>
      <c r="V3138" t="str">
        <f>VLOOKUP(H3138,'[1]팀별 출판사'!A:B,2,0)</f>
        <v>소설1팀</v>
      </c>
      <c r="W3138" s="6">
        <f t="shared" ref="W3138:W3201" si="98">IF(P3138="US", T3138*30%, 0)</f>
        <v>0</v>
      </c>
      <c r="X3138" s="6">
        <f t="shared" ref="X3138:X3201" si="99">T3138-W3138</f>
        <v>2240</v>
      </c>
    </row>
    <row r="3139" spans="1:24" x14ac:dyDescent="0.3">
      <c r="A3139" t="s">
        <v>4421</v>
      </c>
      <c r="B3139" t="s">
        <v>4599</v>
      </c>
      <c r="C3139" t="s">
        <v>23</v>
      </c>
      <c r="D3139" t="s">
        <v>24</v>
      </c>
      <c r="E3139" t="s">
        <v>25</v>
      </c>
      <c r="F3139">
        <v>1</v>
      </c>
      <c r="G3139">
        <v>9791133190072</v>
      </c>
      <c r="H3139" t="s">
        <v>26</v>
      </c>
      <c r="I3139" t="s">
        <v>4600</v>
      </c>
      <c r="J3139" t="s">
        <v>1096</v>
      </c>
      <c r="K3139" t="s">
        <v>29</v>
      </c>
      <c r="L3139" s="1">
        <v>3200</v>
      </c>
      <c r="M3139" t="s">
        <v>29</v>
      </c>
      <c r="N3139" s="1">
        <v>3200</v>
      </c>
      <c r="O3139" s="1">
        <v>3200</v>
      </c>
      <c r="P3139" t="s">
        <v>30</v>
      </c>
      <c r="Q3139" s="2">
        <v>0.7</v>
      </c>
      <c r="R3139" s="1">
        <v>2240</v>
      </c>
      <c r="S3139" t="s">
        <v>29</v>
      </c>
      <c r="T3139" s="1">
        <v>2240</v>
      </c>
      <c r="V3139" t="str">
        <f>VLOOKUP(H3139,'[1]팀별 출판사'!A:B,2,0)</f>
        <v>소설1팀</v>
      </c>
      <c r="W3139" s="6">
        <f t="shared" si="98"/>
        <v>0</v>
      </c>
      <c r="X3139" s="6">
        <f t="shared" si="99"/>
        <v>2240</v>
      </c>
    </row>
    <row r="3140" spans="1:24" x14ac:dyDescent="0.3">
      <c r="A3140" t="s">
        <v>4421</v>
      </c>
      <c r="B3140" t="s">
        <v>4601</v>
      </c>
      <c r="C3140" t="s">
        <v>23</v>
      </c>
      <c r="D3140" t="s">
        <v>24</v>
      </c>
      <c r="E3140" t="s">
        <v>25</v>
      </c>
      <c r="F3140">
        <v>1</v>
      </c>
      <c r="G3140">
        <v>9791194664369</v>
      </c>
      <c r="H3140" t="s">
        <v>79</v>
      </c>
      <c r="I3140" t="s">
        <v>156</v>
      </c>
      <c r="J3140" t="s">
        <v>157</v>
      </c>
      <c r="K3140" t="s">
        <v>29</v>
      </c>
      <c r="L3140">
        <v>0</v>
      </c>
      <c r="M3140" t="s">
        <v>47</v>
      </c>
      <c r="N3140">
        <v>0</v>
      </c>
      <c r="O3140">
        <v>0</v>
      </c>
      <c r="P3140" t="s">
        <v>48</v>
      </c>
      <c r="Q3140" s="2">
        <v>0.7</v>
      </c>
      <c r="R3140">
        <v>0</v>
      </c>
      <c r="V3140" t="str">
        <f>VLOOKUP(H3140,'[1]팀별 출판사'!A:B,2,0)</f>
        <v>소설1팀</v>
      </c>
      <c r="W3140" s="6">
        <f t="shared" si="98"/>
        <v>0</v>
      </c>
      <c r="X3140" s="6">
        <f t="shared" si="99"/>
        <v>0</v>
      </c>
    </row>
    <row r="3141" spans="1:24" x14ac:dyDescent="0.3">
      <c r="A3141" t="s">
        <v>4421</v>
      </c>
      <c r="B3141" t="s">
        <v>4602</v>
      </c>
      <c r="C3141" t="s">
        <v>23</v>
      </c>
      <c r="D3141" t="s">
        <v>24</v>
      </c>
      <c r="E3141" t="s">
        <v>25</v>
      </c>
      <c r="F3141">
        <v>1</v>
      </c>
      <c r="G3141">
        <v>9791133186495</v>
      </c>
      <c r="H3141" t="s">
        <v>32</v>
      </c>
      <c r="I3141" t="s">
        <v>4603</v>
      </c>
      <c r="J3141" t="s">
        <v>166</v>
      </c>
      <c r="K3141" t="s">
        <v>29</v>
      </c>
      <c r="L3141" s="1">
        <v>3200</v>
      </c>
      <c r="M3141" t="s">
        <v>29</v>
      </c>
      <c r="N3141" s="1">
        <v>3200</v>
      </c>
      <c r="O3141" s="1">
        <v>3200</v>
      </c>
      <c r="P3141" t="s">
        <v>30</v>
      </c>
      <c r="Q3141" s="2">
        <v>0.7</v>
      </c>
      <c r="R3141" s="1">
        <v>2240</v>
      </c>
      <c r="S3141" t="s">
        <v>29</v>
      </c>
      <c r="T3141" s="1">
        <v>2240</v>
      </c>
      <c r="V3141" t="str">
        <f>VLOOKUP(H3141,'[1]팀별 출판사'!A:B,2,0)</f>
        <v>소설1팀</v>
      </c>
      <c r="W3141" s="6">
        <f t="shared" si="98"/>
        <v>0</v>
      </c>
      <c r="X3141" s="6">
        <f t="shared" si="99"/>
        <v>2240</v>
      </c>
    </row>
    <row r="3142" spans="1:24" x14ac:dyDescent="0.3">
      <c r="A3142" t="s">
        <v>4421</v>
      </c>
      <c r="B3142" t="s">
        <v>4604</v>
      </c>
      <c r="C3142" t="s">
        <v>23</v>
      </c>
      <c r="D3142" t="s">
        <v>24</v>
      </c>
      <c r="E3142" t="s">
        <v>25</v>
      </c>
      <c r="F3142">
        <v>1</v>
      </c>
      <c r="G3142">
        <v>9791170101307</v>
      </c>
      <c r="H3142" t="s">
        <v>67</v>
      </c>
      <c r="I3142" t="s">
        <v>413</v>
      </c>
      <c r="J3142" t="s">
        <v>414</v>
      </c>
      <c r="K3142" t="s">
        <v>29</v>
      </c>
      <c r="L3142">
        <v>0</v>
      </c>
      <c r="M3142" t="s">
        <v>29</v>
      </c>
      <c r="N3142">
        <v>0</v>
      </c>
      <c r="O3142">
        <v>0</v>
      </c>
      <c r="P3142" t="s">
        <v>30</v>
      </c>
      <c r="Q3142" s="2">
        <v>0.7</v>
      </c>
      <c r="R3142">
        <v>0</v>
      </c>
      <c r="V3142" t="str">
        <f>VLOOKUP(H3142,'[1]팀별 출판사'!A:B,2,0)</f>
        <v>소설1팀</v>
      </c>
      <c r="W3142" s="6">
        <f t="shared" si="98"/>
        <v>0</v>
      </c>
      <c r="X3142" s="6">
        <f t="shared" si="99"/>
        <v>0</v>
      </c>
    </row>
    <row r="3143" spans="1:24" x14ac:dyDescent="0.3">
      <c r="A3143" t="s">
        <v>4605</v>
      </c>
      <c r="B3143" t="s">
        <v>4606</v>
      </c>
      <c r="C3143" t="s">
        <v>23</v>
      </c>
      <c r="D3143" t="s">
        <v>24</v>
      </c>
      <c r="E3143" t="s">
        <v>25</v>
      </c>
      <c r="F3143">
        <v>1</v>
      </c>
      <c r="G3143">
        <v>9791136905642</v>
      </c>
      <c r="H3143" t="s">
        <v>26</v>
      </c>
      <c r="I3143" t="s">
        <v>374</v>
      </c>
      <c r="J3143" t="s">
        <v>311</v>
      </c>
      <c r="K3143" t="s">
        <v>29</v>
      </c>
      <c r="L3143">
        <v>0</v>
      </c>
      <c r="M3143" t="s">
        <v>29</v>
      </c>
      <c r="N3143">
        <v>0</v>
      </c>
      <c r="O3143">
        <v>0</v>
      </c>
      <c r="P3143" t="s">
        <v>30</v>
      </c>
      <c r="Q3143" s="2">
        <v>0.7</v>
      </c>
      <c r="R3143">
        <v>0</v>
      </c>
      <c r="V3143" t="str">
        <f>VLOOKUP(H3143,'[1]팀별 출판사'!A:B,2,0)</f>
        <v>소설1팀</v>
      </c>
      <c r="W3143" s="6">
        <f t="shared" si="98"/>
        <v>0</v>
      </c>
      <c r="X3143" s="6">
        <f t="shared" si="99"/>
        <v>0</v>
      </c>
    </row>
    <row r="3144" spans="1:24" x14ac:dyDescent="0.3">
      <c r="A3144" t="s">
        <v>4605</v>
      </c>
      <c r="B3144" t="s">
        <v>4607</v>
      </c>
      <c r="C3144" t="s">
        <v>23</v>
      </c>
      <c r="D3144" t="s">
        <v>24</v>
      </c>
      <c r="E3144" t="s">
        <v>25</v>
      </c>
      <c r="F3144">
        <v>1</v>
      </c>
      <c r="G3144">
        <v>9791136910479</v>
      </c>
      <c r="H3144" t="s">
        <v>26</v>
      </c>
      <c r="I3144" t="s">
        <v>4608</v>
      </c>
      <c r="J3144" t="s">
        <v>355</v>
      </c>
      <c r="K3144" t="s">
        <v>29</v>
      </c>
      <c r="L3144" s="1">
        <v>3200</v>
      </c>
      <c r="M3144" t="s">
        <v>29</v>
      </c>
      <c r="N3144" s="1">
        <v>3200</v>
      </c>
      <c r="O3144" s="1">
        <v>3200</v>
      </c>
      <c r="P3144" t="s">
        <v>30</v>
      </c>
      <c r="Q3144" s="2">
        <v>0.7</v>
      </c>
      <c r="R3144" s="1">
        <v>2240</v>
      </c>
      <c r="S3144" t="s">
        <v>29</v>
      </c>
      <c r="T3144" s="1">
        <v>2240</v>
      </c>
      <c r="V3144" t="str">
        <f>VLOOKUP(H3144,'[1]팀별 출판사'!A:B,2,0)</f>
        <v>소설1팀</v>
      </c>
      <c r="W3144" s="6">
        <f t="shared" si="98"/>
        <v>0</v>
      </c>
      <c r="X3144" s="6">
        <f t="shared" si="99"/>
        <v>2240</v>
      </c>
    </row>
    <row r="3145" spans="1:24" x14ac:dyDescent="0.3">
      <c r="A3145" t="s">
        <v>4605</v>
      </c>
      <c r="B3145" t="s">
        <v>4609</v>
      </c>
      <c r="C3145" t="s">
        <v>23</v>
      </c>
      <c r="D3145" t="s">
        <v>24</v>
      </c>
      <c r="E3145" t="s">
        <v>25</v>
      </c>
      <c r="F3145">
        <v>1</v>
      </c>
      <c r="G3145" t="s">
        <v>1108</v>
      </c>
      <c r="H3145" t="s">
        <v>32</v>
      </c>
      <c r="I3145" t="s">
        <v>1109</v>
      </c>
      <c r="J3145" t="s">
        <v>1110</v>
      </c>
      <c r="K3145" t="s">
        <v>29</v>
      </c>
      <c r="L3145">
        <v>0</v>
      </c>
      <c r="M3145" t="s">
        <v>29</v>
      </c>
      <c r="N3145">
        <v>0</v>
      </c>
      <c r="O3145">
        <v>0</v>
      </c>
      <c r="P3145" t="s">
        <v>30</v>
      </c>
      <c r="Q3145" s="2">
        <v>0.7</v>
      </c>
      <c r="R3145">
        <v>0</v>
      </c>
      <c r="V3145" t="str">
        <f>VLOOKUP(H3145,'[1]팀별 출판사'!A:B,2,0)</f>
        <v>소설1팀</v>
      </c>
      <c r="W3145" s="6">
        <f t="shared" si="98"/>
        <v>0</v>
      </c>
      <c r="X3145" s="6">
        <f t="shared" si="99"/>
        <v>0</v>
      </c>
    </row>
    <row r="3146" spans="1:24" x14ac:dyDescent="0.3">
      <c r="A3146" t="s">
        <v>4605</v>
      </c>
      <c r="B3146" t="s">
        <v>4610</v>
      </c>
      <c r="C3146" t="s">
        <v>23</v>
      </c>
      <c r="D3146" t="s">
        <v>24</v>
      </c>
      <c r="E3146" t="s">
        <v>25</v>
      </c>
      <c r="F3146">
        <v>1</v>
      </c>
      <c r="G3146">
        <v>9791170100959</v>
      </c>
      <c r="H3146" t="s">
        <v>67</v>
      </c>
      <c r="I3146" t="s">
        <v>423</v>
      </c>
      <c r="J3146" t="s">
        <v>424</v>
      </c>
      <c r="K3146" t="s">
        <v>29</v>
      </c>
      <c r="L3146">
        <v>0</v>
      </c>
      <c r="M3146" t="s">
        <v>29</v>
      </c>
      <c r="N3146">
        <v>0</v>
      </c>
      <c r="O3146">
        <v>0</v>
      </c>
      <c r="P3146" t="s">
        <v>30</v>
      </c>
      <c r="Q3146" s="2">
        <v>0.7</v>
      </c>
      <c r="R3146">
        <v>0</v>
      </c>
      <c r="V3146" t="str">
        <f>VLOOKUP(H3146,'[1]팀별 출판사'!A:B,2,0)</f>
        <v>소설1팀</v>
      </c>
      <c r="W3146" s="6">
        <f t="shared" si="98"/>
        <v>0</v>
      </c>
      <c r="X3146" s="6">
        <f t="shared" si="99"/>
        <v>0</v>
      </c>
    </row>
    <row r="3147" spans="1:24" x14ac:dyDescent="0.3">
      <c r="A3147" t="s">
        <v>4605</v>
      </c>
      <c r="B3147" t="s">
        <v>4611</v>
      </c>
      <c r="C3147" t="s">
        <v>23</v>
      </c>
      <c r="D3147" t="s">
        <v>24</v>
      </c>
      <c r="E3147" t="s">
        <v>25</v>
      </c>
      <c r="F3147">
        <v>1</v>
      </c>
      <c r="G3147">
        <v>9791136936080</v>
      </c>
      <c r="H3147" t="s">
        <v>36</v>
      </c>
      <c r="I3147" t="s">
        <v>4612</v>
      </c>
      <c r="J3147" t="s">
        <v>4613</v>
      </c>
      <c r="K3147" t="s">
        <v>29</v>
      </c>
      <c r="L3147" s="1">
        <v>3400</v>
      </c>
      <c r="M3147" t="s">
        <v>948</v>
      </c>
      <c r="N3147">
        <v>3.88</v>
      </c>
      <c r="O3147">
        <v>3.53</v>
      </c>
      <c r="P3147" t="s">
        <v>949</v>
      </c>
      <c r="Q3147" s="2">
        <v>0.7</v>
      </c>
      <c r="R3147">
        <v>2.4700000000000002</v>
      </c>
      <c r="S3147" t="s">
        <v>29</v>
      </c>
      <c r="T3147" s="1">
        <v>2530</v>
      </c>
      <c r="U3147" s="3">
        <v>1023.55472</v>
      </c>
      <c r="V3147" t="str">
        <f>VLOOKUP(H3147,'[1]팀별 출판사'!A:B,2,0)</f>
        <v>소설2팀</v>
      </c>
      <c r="W3147" s="6">
        <f t="shared" si="98"/>
        <v>0</v>
      </c>
      <c r="X3147" s="6">
        <f t="shared" si="99"/>
        <v>2530</v>
      </c>
    </row>
    <row r="3148" spans="1:24" x14ac:dyDescent="0.3">
      <c r="A3148" t="s">
        <v>4605</v>
      </c>
      <c r="B3148" t="s">
        <v>4611</v>
      </c>
      <c r="C3148" t="s">
        <v>23</v>
      </c>
      <c r="D3148" t="s">
        <v>24</v>
      </c>
      <c r="E3148" t="s">
        <v>25</v>
      </c>
      <c r="F3148">
        <v>1</v>
      </c>
      <c r="G3148">
        <v>9791136936240</v>
      </c>
      <c r="H3148" t="s">
        <v>36</v>
      </c>
      <c r="I3148" t="s">
        <v>4614</v>
      </c>
      <c r="J3148" t="s">
        <v>4613</v>
      </c>
      <c r="K3148" t="s">
        <v>29</v>
      </c>
      <c r="L3148" s="1">
        <v>3400</v>
      </c>
      <c r="M3148" t="s">
        <v>948</v>
      </c>
      <c r="N3148">
        <v>3.88</v>
      </c>
      <c r="O3148">
        <v>3.53</v>
      </c>
      <c r="P3148" t="s">
        <v>949</v>
      </c>
      <c r="Q3148" s="2">
        <v>0.7</v>
      </c>
      <c r="R3148">
        <v>2.4700000000000002</v>
      </c>
      <c r="S3148" t="s">
        <v>29</v>
      </c>
      <c r="T3148" s="1">
        <v>2530</v>
      </c>
      <c r="U3148" s="3">
        <v>1023.55472</v>
      </c>
      <c r="V3148" t="str">
        <f>VLOOKUP(H3148,'[1]팀별 출판사'!A:B,2,0)</f>
        <v>소설2팀</v>
      </c>
      <c r="W3148" s="6">
        <f t="shared" si="98"/>
        <v>0</v>
      </c>
      <c r="X3148" s="6">
        <f t="shared" si="99"/>
        <v>2530</v>
      </c>
    </row>
    <row r="3149" spans="1:24" x14ac:dyDescent="0.3">
      <c r="A3149" t="s">
        <v>4605</v>
      </c>
      <c r="B3149" t="s">
        <v>4611</v>
      </c>
      <c r="C3149" t="s">
        <v>23</v>
      </c>
      <c r="D3149" t="s">
        <v>24</v>
      </c>
      <c r="E3149" t="s">
        <v>25</v>
      </c>
      <c r="F3149">
        <v>1</v>
      </c>
      <c r="G3149">
        <v>9791136936257</v>
      </c>
      <c r="H3149" t="s">
        <v>36</v>
      </c>
      <c r="I3149" t="s">
        <v>4615</v>
      </c>
      <c r="J3149" t="s">
        <v>4613</v>
      </c>
      <c r="K3149" t="s">
        <v>29</v>
      </c>
      <c r="L3149" s="1">
        <v>3400</v>
      </c>
      <c r="M3149" t="s">
        <v>948</v>
      </c>
      <c r="N3149">
        <v>3.88</v>
      </c>
      <c r="O3149">
        <v>3.53</v>
      </c>
      <c r="P3149" t="s">
        <v>949</v>
      </c>
      <c r="Q3149" s="2">
        <v>0.7</v>
      </c>
      <c r="R3149">
        <v>2.4700000000000002</v>
      </c>
      <c r="S3149" t="s">
        <v>29</v>
      </c>
      <c r="T3149" s="1">
        <v>2530</v>
      </c>
      <c r="U3149" s="3">
        <v>1023.55472</v>
      </c>
      <c r="V3149" t="str">
        <f>VLOOKUP(H3149,'[1]팀별 출판사'!A:B,2,0)</f>
        <v>소설2팀</v>
      </c>
      <c r="W3149" s="6">
        <f t="shared" si="98"/>
        <v>0</v>
      </c>
      <c r="X3149" s="6">
        <f t="shared" si="99"/>
        <v>2530</v>
      </c>
    </row>
    <row r="3150" spans="1:24" x14ac:dyDescent="0.3">
      <c r="A3150" t="s">
        <v>4605</v>
      </c>
      <c r="B3150" t="s">
        <v>4611</v>
      </c>
      <c r="C3150" t="s">
        <v>23</v>
      </c>
      <c r="D3150" t="s">
        <v>24</v>
      </c>
      <c r="E3150" t="s">
        <v>25</v>
      </c>
      <c r="F3150">
        <v>1</v>
      </c>
      <c r="G3150">
        <v>9791136936264</v>
      </c>
      <c r="H3150" t="s">
        <v>36</v>
      </c>
      <c r="I3150" t="s">
        <v>4616</v>
      </c>
      <c r="J3150" t="s">
        <v>4613</v>
      </c>
      <c r="K3150" t="s">
        <v>29</v>
      </c>
      <c r="L3150" s="1">
        <v>1500</v>
      </c>
      <c r="M3150" t="s">
        <v>948</v>
      </c>
      <c r="N3150">
        <v>1.71</v>
      </c>
      <c r="O3150">
        <v>1.55</v>
      </c>
      <c r="P3150" t="s">
        <v>949</v>
      </c>
      <c r="Q3150" s="2">
        <v>0.7</v>
      </c>
      <c r="R3150">
        <v>1.08</v>
      </c>
      <c r="S3150" t="s">
        <v>29</v>
      </c>
      <c r="T3150" s="1">
        <v>1106</v>
      </c>
      <c r="U3150" s="3">
        <v>1023.55472</v>
      </c>
      <c r="V3150" t="str">
        <f>VLOOKUP(H3150,'[1]팀별 출판사'!A:B,2,0)</f>
        <v>소설2팀</v>
      </c>
      <c r="W3150" s="6">
        <f t="shared" si="98"/>
        <v>0</v>
      </c>
      <c r="X3150" s="6">
        <f t="shared" si="99"/>
        <v>1106</v>
      </c>
    </row>
    <row r="3151" spans="1:24" x14ac:dyDescent="0.3">
      <c r="A3151" t="s">
        <v>4605</v>
      </c>
      <c r="B3151" t="s">
        <v>4617</v>
      </c>
      <c r="C3151" t="s">
        <v>23</v>
      </c>
      <c r="D3151" t="s">
        <v>24</v>
      </c>
      <c r="E3151" t="s">
        <v>25</v>
      </c>
      <c r="F3151">
        <v>1</v>
      </c>
      <c r="G3151">
        <v>9791170106715</v>
      </c>
      <c r="H3151" t="s">
        <v>67</v>
      </c>
      <c r="I3151" t="s">
        <v>68</v>
      </c>
      <c r="J3151" t="s">
        <v>69</v>
      </c>
      <c r="K3151" t="s">
        <v>29</v>
      </c>
      <c r="L3151">
        <v>0</v>
      </c>
      <c r="M3151" t="s">
        <v>47</v>
      </c>
      <c r="N3151">
        <v>0</v>
      </c>
      <c r="O3151">
        <v>0</v>
      </c>
      <c r="P3151" t="s">
        <v>48</v>
      </c>
      <c r="Q3151" s="2">
        <v>0.7</v>
      </c>
      <c r="R3151">
        <v>0</v>
      </c>
      <c r="V3151" t="str">
        <f>VLOOKUP(H3151,'[1]팀별 출판사'!A:B,2,0)</f>
        <v>소설1팀</v>
      </c>
      <c r="W3151" s="6">
        <f t="shared" si="98"/>
        <v>0</v>
      </c>
      <c r="X3151" s="6">
        <f t="shared" si="99"/>
        <v>0</v>
      </c>
    </row>
    <row r="3152" spans="1:24" x14ac:dyDescent="0.3">
      <c r="A3152" t="s">
        <v>4605</v>
      </c>
      <c r="B3152" t="s">
        <v>4618</v>
      </c>
      <c r="C3152" t="s">
        <v>23</v>
      </c>
      <c r="D3152" t="s">
        <v>24</v>
      </c>
      <c r="E3152" t="s">
        <v>25</v>
      </c>
      <c r="F3152">
        <v>1</v>
      </c>
      <c r="G3152">
        <v>9791170106500</v>
      </c>
      <c r="H3152" t="s">
        <v>67</v>
      </c>
      <c r="I3152" t="s">
        <v>931</v>
      </c>
      <c r="J3152" t="s">
        <v>932</v>
      </c>
      <c r="K3152" t="s">
        <v>29</v>
      </c>
      <c r="L3152">
        <v>0</v>
      </c>
      <c r="M3152" t="s">
        <v>47</v>
      </c>
      <c r="N3152">
        <v>0</v>
      </c>
      <c r="O3152">
        <v>0</v>
      </c>
      <c r="P3152" t="s">
        <v>48</v>
      </c>
      <c r="Q3152" s="2">
        <v>0.7</v>
      </c>
      <c r="R3152">
        <v>0</v>
      </c>
      <c r="V3152" t="str">
        <f>VLOOKUP(H3152,'[1]팀별 출판사'!A:B,2,0)</f>
        <v>소설1팀</v>
      </c>
      <c r="W3152" s="6">
        <f t="shared" si="98"/>
        <v>0</v>
      </c>
      <c r="X3152" s="6">
        <f t="shared" si="99"/>
        <v>0</v>
      </c>
    </row>
    <row r="3153" spans="1:24" x14ac:dyDescent="0.3">
      <c r="A3153" t="s">
        <v>4605</v>
      </c>
      <c r="B3153" t="s">
        <v>4619</v>
      </c>
      <c r="C3153" t="s">
        <v>23</v>
      </c>
      <c r="D3153" t="s">
        <v>24</v>
      </c>
      <c r="E3153" t="s">
        <v>25</v>
      </c>
      <c r="F3153">
        <v>1</v>
      </c>
      <c r="G3153">
        <v>9791172924874</v>
      </c>
      <c r="H3153" t="s">
        <v>26</v>
      </c>
      <c r="I3153" t="s">
        <v>4620</v>
      </c>
      <c r="J3153" t="s">
        <v>62</v>
      </c>
      <c r="K3153" t="s">
        <v>29</v>
      </c>
      <c r="L3153" s="1">
        <v>3200</v>
      </c>
      <c r="M3153" t="s">
        <v>29</v>
      </c>
      <c r="N3153" s="1">
        <v>3200</v>
      </c>
      <c r="O3153" s="1">
        <v>3200</v>
      </c>
      <c r="P3153" t="s">
        <v>30</v>
      </c>
      <c r="Q3153" s="2">
        <v>0.7</v>
      </c>
      <c r="R3153" s="1">
        <v>2240</v>
      </c>
      <c r="S3153" t="s">
        <v>29</v>
      </c>
      <c r="T3153" s="1">
        <v>2240</v>
      </c>
      <c r="V3153" t="str">
        <f>VLOOKUP(H3153,'[1]팀별 출판사'!A:B,2,0)</f>
        <v>소설1팀</v>
      </c>
      <c r="W3153" s="6">
        <f t="shared" si="98"/>
        <v>0</v>
      </c>
      <c r="X3153" s="6">
        <f t="shared" si="99"/>
        <v>2240</v>
      </c>
    </row>
    <row r="3154" spans="1:24" x14ac:dyDescent="0.3">
      <c r="A3154" t="s">
        <v>4605</v>
      </c>
      <c r="B3154" t="s">
        <v>4621</v>
      </c>
      <c r="C3154" t="s">
        <v>23</v>
      </c>
      <c r="D3154" t="s">
        <v>24</v>
      </c>
      <c r="E3154" t="s">
        <v>25</v>
      </c>
      <c r="F3154">
        <v>1</v>
      </c>
      <c r="G3154">
        <v>9791136946782</v>
      </c>
      <c r="H3154" t="s">
        <v>26</v>
      </c>
      <c r="I3154" t="s">
        <v>291</v>
      </c>
      <c r="J3154" t="s">
        <v>28</v>
      </c>
      <c r="K3154" t="s">
        <v>29</v>
      </c>
      <c r="L3154">
        <v>0</v>
      </c>
      <c r="M3154" t="s">
        <v>29</v>
      </c>
      <c r="N3154">
        <v>0</v>
      </c>
      <c r="O3154">
        <v>0</v>
      </c>
      <c r="P3154" t="s">
        <v>30</v>
      </c>
      <c r="Q3154" s="2">
        <v>0.7</v>
      </c>
      <c r="R3154">
        <v>0</v>
      </c>
      <c r="V3154" t="str">
        <f>VLOOKUP(H3154,'[1]팀별 출판사'!A:B,2,0)</f>
        <v>소설1팀</v>
      </c>
      <c r="W3154" s="6">
        <f t="shared" si="98"/>
        <v>0</v>
      </c>
      <c r="X3154" s="6">
        <f t="shared" si="99"/>
        <v>0</v>
      </c>
    </row>
    <row r="3155" spans="1:24" x14ac:dyDescent="0.3">
      <c r="A3155" t="s">
        <v>4605</v>
      </c>
      <c r="B3155" t="s">
        <v>4622</v>
      </c>
      <c r="C3155" t="s">
        <v>23</v>
      </c>
      <c r="D3155" t="s">
        <v>24</v>
      </c>
      <c r="E3155" t="s">
        <v>25</v>
      </c>
      <c r="F3155">
        <v>1</v>
      </c>
      <c r="G3155">
        <v>9791136931382</v>
      </c>
      <c r="H3155" t="s">
        <v>32</v>
      </c>
      <c r="I3155" t="s">
        <v>523</v>
      </c>
      <c r="J3155" t="s">
        <v>46</v>
      </c>
      <c r="K3155" t="s">
        <v>29</v>
      </c>
      <c r="L3155">
        <v>0</v>
      </c>
      <c r="M3155" t="s">
        <v>47</v>
      </c>
      <c r="N3155">
        <v>0</v>
      </c>
      <c r="O3155">
        <v>0</v>
      </c>
      <c r="P3155" t="s">
        <v>48</v>
      </c>
      <c r="Q3155" s="2">
        <v>0.7</v>
      </c>
      <c r="R3155">
        <v>0</v>
      </c>
      <c r="V3155" t="str">
        <f>VLOOKUP(H3155,'[1]팀별 출판사'!A:B,2,0)</f>
        <v>소설1팀</v>
      </c>
      <c r="W3155" s="6">
        <f t="shared" si="98"/>
        <v>0</v>
      </c>
      <c r="X3155" s="6">
        <f t="shared" si="99"/>
        <v>0</v>
      </c>
    </row>
    <row r="3156" spans="1:24" x14ac:dyDescent="0.3">
      <c r="A3156" t="s">
        <v>4605</v>
      </c>
      <c r="B3156" t="s">
        <v>4623</v>
      </c>
      <c r="C3156" t="s">
        <v>23</v>
      </c>
      <c r="D3156" t="s">
        <v>24</v>
      </c>
      <c r="E3156" t="s">
        <v>25</v>
      </c>
      <c r="F3156">
        <v>1</v>
      </c>
      <c r="G3156">
        <v>9791136931375</v>
      </c>
      <c r="H3156" t="s">
        <v>32</v>
      </c>
      <c r="I3156" t="s">
        <v>189</v>
      </c>
      <c r="J3156" t="s">
        <v>46</v>
      </c>
      <c r="K3156" t="s">
        <v>29</v>
      </c>
      <c r="L3156">
        <v>0</v>
      </c>
      <c r="M3156" t="s">
        <v>47</v>
      </c>
      <c r="N3156">
        <v>0</v>
      </c>
      <c r="O3156">
        <v>0</v>
      </c>
      <c r="P3156" t="s">
        <v>48</v>
      </c>
      <c r="Q3156" s="2">
        <v>0.7</v>
      </c>
      <c r="R3156">
        <v>0</v>
      </c>
      <c r="V3156" t="str">
        <f>VLOOKUP(H3156,'[1]팀별 출판사'!A:B,2,0)</f>
        <v>소설1팀</v>
      </c>
      <c r="W3156" s="6">
        <f t="shared" si="98"/>
        <v>0</v>
      </c>
      <c r="X3156" s="6">
        <f t="shared" si="99"/>
        <v>0</v>
      </c>
    </row>
    <row r="3157" spans="1:24" x14ac:dyDescent="0.3">
      <c r="A3157" t="s">
        <v>4605</v>
      </c>
      <c r="B3157" t="s">
        <v>4624</v>
      </c>
      <c r="C3157" t="s">
        <v>23</v>
      </c>
      <c r="D3157" t="s">
        <v>24</v>
      </c>
      <c r="E3157" t="s">
        <v>25</v>
      </c>
      <c r="F3157">
        <v>1</v>
      </c>
      <c r="G3157">
        <v>9791133152759</v>
      </c>
      <c r="H3157" t="s">
        <v>32</v>
      </c>
      <c r="I3157" t="s">
        <v>809</v>
      </c>
      <c r="J3157" t="s">
        <v>810</v>
      </c>
      <c r="K3157" t="s">
        <v>29</v>
      </c>
      <c r="L3157">
        <v>0</v>
      </c>
      <c r="M3157" t="s">
        <v>29</v>
      </c>
      <c r="N3157">
        <v>0</v>
      </c>
      <c r="O3157">
        <v>0</v>
      </c>
      <c r="P3157" t="s">
        <v>30</v>
      </c>
      <c r="Q3157" s="2">
        <v>0.7</v>
      </c>
      <c r="R3157">
        <v>0</v>
      </c>
      <c r="V3157" t="str">
        <f>VLOOKUP(H3157,'[1]팀별 출판사'!A:B,2,0)</f>
        <v>소설1팀</v>
      </c>
      <c r="W3157" s="6">
        <f t="shared" si="98"/>
        <v>0</v>
      </c>
      <c r="X3157" s="6">
        <f t="shared" si="99"/>
        <v>0</v>
      </c>
    </row>
    <row r="3158" spans="1:24" x14ac:dyDescent="0.3">
      <c r="A3158" t="s">
        <v>4605</v>
      </c>
      <c r="B3158" t="s">
        <v>4625</v>
      </c>
      <c r="C3158" t="s">
        <v>23</v>
      </c>
      <c r="D3158" t="s">
        <v>24</v>
      </c>
      <c r="E3158" t="s">
        <v>25</v>
      </c>
      <c r="F3158">
        <v>1</v>
      </c>
      <c r="G3158">
        <v>9791170101505</v>
      </c>
      <c r="H3158" t="s">
        <v>67</v>
      </c>
      <c r="I3158" t="s">
        <v>4626</v>
      </c>
      <c r="J3158" t="s">
        <v>4627</v>
      </c>
      <c r="K3158" t="s">
        <v>29</v>
      </c>
      <c r="L3158">
        <v>0</v>
      </c>
      <c r="M3158" t="s">
        <v>29</v>
      </c>
      <c r="N3158">
        <v>0</v>
      </c>
      <c r="O3158">
        <v>0</v>
      </c>
      <c r="P3158" t="s">
        <v>30</v>
      </c>
      <c r="Q3158" s="2">
        <v>0.7</v>
      </c>
      <c r="R3158">
        <v>0</v>
      </c>
      <c r="V3158" t="str">
        <f>VLOOKUP(H3158,'[1]팀별 출판사'!A:B,2,0)</f>
        <v>소설1팀</v>
      </c>
      <c r="W3158" s="6">
        <f t="shared" si="98"/>
        <v>0</v>
      </c>
      <c r="X3158" s="6">
        <f t="shared" si="99"/>
        <v>0</v>
      </c>
    </row>
    <row r="3159" spans="1:24" x14ac:dyDescent="0.3">
      <c r="A3159" t="s">
        <v>4605</v>
      </c>
      <c r="B3159" t="s">
        <v>4628</v>
      </c>
      <c r="C3159" t="s">
        <v>23</v>
      </c>
      <c r="D3159" t="s">
        <v>24</v>
      </c>
      <c r="E3159" t="s">
        <v>25</v>
      </c>
      <c r="F3159">
        <v>1</v>
      </c>
      <c r="G3159">
        <v>9791170101147</v>
      </c>
      <c r="H3159" t="s">
        <v>67</v>
      </c>
      <c r="I3159" t="s">
        <v>4629</v>
      </c>
      <c r="J3159" t="s">
        <v>3580</v>
      </c>
      <c r="K3159" t="s">
        <v>29</v>
      </c>
      <c r="L3159">
        <v>0</v>
      </c>
      <c r="M3159" t="s">
        <v>29</v>
      </c>
      <c r="N3159">
        <v>0</v>
      </c>
      <c r="O3159">
        <v>0</v>
      </c>
      <c r="P3159" t="s">
        <v>30</v>
      </c>
      <c r="Q3159" s="2">
        <v>0.7</v>
      </c>
      <c r="R3159">
        <v>0</v>
      </c>
      <c r="V3159" t="str">
        <f>VLOOKUP(H3159,'[1]팀별 출판사'!A:B,2,0)</f>
        <v>소설1팀</v>
      </c>
      <c r="W3159" s="6">
        <f t="shared" si="98"/>
        <v>0</v>
      </c>
      <c r="X3159" s="6">
        <f t="shared" si="99"/>
        <v>0</v>
      </c>
    </row>
    <row r="3160" spans="1:24" x14ac:dyDescent="0.3">
      <c r="A3160" t="s">
        <v>4605</v>
      </c>
      <c r="B3160" t="s">
        <v>4630</v>
      </c>
      <c r="C3160" t="s">
        <v>23</v>
      </c>
      <c r="D3160" t="s">
        <v>24</v>
      </c>
      <c r="E3160" t="s">
        <v>25</v>
      </c>
      <c r="F3160">
        <v>1</v>
      </c>
      <c r="G3160">
        <v>9791170100126</v>
      </c>
      <c r="H3160" t="s">
        <v>67</v>
      </c>
      <c r="I3160" t="s">
        <v>1061</v>
      </c>
      <c r="J3160" t="s">
        <v>347</v>
      </c>
      <c r="K3160" t="s">
        <v>29</v>
      </c>
      <c r="L3160">
        <v>0</v>
      </c>
      <c r="M3160" t="s">
        <v>29</v>
      </c>
      <c r="N3160">
        <v>0</v>
      </c>
      <c r="O3160">
        <v>0</v>
      </c>
      <c r="P3160" t="s">
        <v>30</v>
      </c>
      <c r="Q3160" s="2">
        <v>0.7</v>
      </c>
      <c r="R3160">
        <v>0</v>
      </c>
      <c r="V3160" t="str">
        <f>VLOOKUP(H3160,'[1]팀별 출판사'!A:B,2,0)</f>
        <v>소설1팀</v>
      </c>
      <c r="W3160" s="6">
        <f t="shared" si="98"/>
        <v>0</v>
      </c>
      <c r="X3160" s="6">
        <f t="shared" si="99"/>
        <v>0</v>
      </c>
    </row>
    <row r="3161" spans="1:24" x14ac:dyDescent="0.3">
      <c r="A3161" t="s">
        <v>4605</v>
      </c>
      <c r="B3161" t="s">
        <v>4631</v>
      </c>
      <c r="C3161" t="s">
        <v>23</v>
      </c>
      <c r="D3161" t="s">
        <v>24</v>
      </c>
      <c r="E3161" t="s">
        <v>25</v>
      </c>
      <c r="F3161">
        <v>1</v>
      </c>
      <c r="G3161">
        <v>9791170101468</v>
      </c>
      <c r="H3161" t="s">
        <v>67</v>
      </c>
      <c r="I3161" t="s">
        <v>404</v>
      </c>
      <c r="J3161" t="s">
        <v>405</v>
      </c>
      <c r="K3161" t="s">
        <v>29</v>
      </c>
      <c r="L3161">
        <v>0</v>
      </c>
      <c r="M3161" t="s">
        <v>29</v>
      </c>
      <c r="N3161">
        <v>0</v>
      </c>
      <c r="O3161">
        <v>0</v>
      </c>
      <c r="P3161" t="s">
        <v>30</v>
      </c>
      <c r="Q3161" s="2">
        <v>0.7</v>
      </c>
      <c r="R3161">
        <v>0</v>
      </c>
      <c r="V3161" t="str">
        <f>VLOOKUP(H3161,'[1]팀별 출판사'!A:B,2,0)</f>
        <v>소설1팀</v>
      </c>
      <c r="W3161" s="6">
        <f t="shared" si="98"/>
        <v>0</v>
      </c>
      <c r="X3161" s="6">
        <f t="shared" si="99"/>
        <v>0</v>
      </c>
    </row>
    <row r="3162" spans="1:24" x14ac:dyDescent="0.3">
      <c r="A3162" t="s">
        <v>4605</v>
      </c>
      <c r="B3162" t="s">
        <v>4632</v>
      </c>
      <c r="C3162" t="s">
        <v>23</v>
      </c>
      <c r="D3162" t="s">
        <v>24</v>
      </c>
      <c r="E3162" t="s">
        <v>25</v>
      </c>
      <c r="F3162">
        <v>1</v>
      </c>
      <c r="G3162">
        <v>9791175302488</v>
      </c>
      <c r="H3162" t="s">
        <v>26</v>
      </c>
      <c r="I3162" t="s">
        <v>602</v>
      </c>
      <c r="J3162" t="s">
        <v>603</v>
      </c>
      <c r="K3162" t="s">
        <v>29</v>
      </c>
      <c r="L3162">
        <v>0</v>
      </c>
      <c r="M3162" t="s">
        <v>29</v>
      </c>
      <c r="N3162">
        <v>0</v>
      </c>
      <c r="O3162">
        <v>0</v>
      </c>
      <c r="P3162" t="s">
        <v>30</v>
      </c>
      <c r="Q3162" s="2">
        <v>0.7</v>
      </c>
      <c r="R3162">
        <v>0</v>
      </c>
      <c r="V3162" t="str">
        <f>VLOOKUP(H3162,'[1]팀별 출판사'!A:B,2,0)</f>
        <v>소설1팀</v>
      </c>
      <c r="W3162" s="6">
        <f t="shared" si="98"/>
        <v>0</v>
      </c>
      <c r="X3162" s="6">
        <f t="shared" si="99"/>
        <v>0</v>
      </c>
    </row>
    <row r="3163" spans="1:24" x14ac:dyDescent="0.3">
      <c r="A3163" t="s">
        <v>4605</v>
      </c>
      <c r="B3163" t="s">
        <v>4633</v>
      </c>
      <c r="C3163" t="s">
        <v>23</v>
      </c>
      <c r="D3163" t="s">
        <v>24</v>
      </c>
      <c r="E3163" t="s">
        <v>25</v>
      </c>
      <c r="F3163">
        <v>1</v>
      </c>
      <c r="G3163">
        <v>9791175302495</v>
      </c>
      <c r="H3163" t="s">
        <v>26</v>
      </c>
      <c r="I3163" t="s">
        <v>4634</v>
      </c>
      <c r="J3163" t="s">
        <v>603</v>
      </c>
      <c r="K3163" t="s">
        <v>29</v>
      </c>
      <c r="L3163" s="1">
        <v>3200</v>
      </c>
      <c r="M3163" t="s">
        <v>29</v>
      </c>
      <c r="N3163" s="1">
        <v>3200</v>
      </c>
      <c r="O3163" s="1">
        <v>3200</v>
      </c>
      <c r="P3163" t="s">
        <v>30</v>
      </c>
      <c r="Q3163" s="2">
        <v>0.7</v>
      </c>
      <c r="R3163" s="1">
        <v>2240</v>
      </c>
      <c r="S3163" t="s">
        <v>29</v>
      </c>
      <c r="T3163" s="1">
        <v>2240</v>
      </c>
      <c r="V3163" t="str">
        <f>VLOOKUP(H3163,'[1]팀별 출판사'!A:B,2,0)</f>
        <v>소설1팀</v>
      </c>
      <c r="W3163" s="6">
        <f t="shared" si="98"/>
        <v>0</v>
      </c>
      <c r="X3163" s="6">
        <f t="shared" si="99"/>
        <v>2240</v>
      </c>
    </row>
    <row r="3164" spans="1:24" x14ac:dyDescent="0.3">
      <c r="A3164" t="s">
        <v>4605</v>
      </c>
      <c r="B3164" t="s">
        <v>4633</v>
      </c>
      <c r="C3164" t="s">
        <v>23</v>
      </c>
      <c r="D3164" t="s">
        <v>24</v>
      </c>
      <c r="E3164" t="s">
        <v>25</v>
      </c>
      <c r="F3164">
        <v>1</v>
      </c>
      <c r="G3164">
        <v>9791175302501</v>
      </c>
      <c r="H3164" t="s">
        <v>26</v>
      </c>
      <c r="I3164" t="s">
        <v>4635</v>
      </c>
      <c r="J3164" t="s">
        <v>603</v>
      </c>
      <c r="K3164" t="s">
        <v>29</v>
      </c>
      <c r="L3164" s="1">
        <v>3200</v>
      </c>
      <c r="M3164" t="s">
        <v>29</v>
      </c>
      <c r="N3164" s="1">
        <v>3200</v>
      </c>
      <c r="O3164" s="1">
        <v>3200</v>
      </c>
      <c r="P3164" t="s">
        <v>30</v>
      </c>
      <c r="Q3164" s="2">
        <v>0.7</v>
      </c>
      <c r="R3164" s="1">
        <v>2240</v>
      </c>
      <c r="S3164" t="s">
        <v>29</v>
      </c>
      <c r="T3164" s="1">
        <v>2240</v>
      </c>
      <c r="V3164" t="str">
        <f>VLOOKUP(H3164,'[1]팀별 출판사'!A:B,2,0)</f>
        <v>소설1팀</v>
      </c>
      <c r="W3164" s="6">
        <f t="shared" si="98"/>
        <v>0</v>
      </c>
      <c r="X3164" s="6">
        <f t="shared" si="99"/>
        <v>2240</v>
      </c>
    </row>
    <row r="3165" spans="1:24" x14ac:dyDescent="0.3">
      <c r="A3165" t="s">
        <v>4605</v>
      </c>
      <c r="B3165" t="s">
        <v>4633</v>
      </c>
      <c r="C3165" t="s">
        <v>23</v>
      </c>
      <c r="D3165" t="s">
        <v>24</v>
      </c>
      <c r="E3165" t="s">
        <v>25</v>
      </c>
      <c r="F3165">
        <v>1</v>
      </c>
      <c r="G3165">
        <v>9791175302518</v>
      </c>
      <c r="H3165" t="s">
        <v>26</v>
      </c>
      <c r="I3165" t="s">
        <v>4636</v>
      </c>
      <c r="J3165" t="s">
        <v>603</v>
      </c>
      <c r="K3165" t="s">
        <v>29</v>
      </c>
      <c r="L3165" s="1">
        <v>3200</v>
      </c>
      <c r="M3165" t="s">
        <v>29</v>
      </c>
      <c r="N3165" s="1">
        <v>3200</v>
      </c>
      <c r="O3165" s="1">
        <v>3200</v>
      </c>
      <c r="P3165" t="s">
        <v>30</v>
      </c>
      <c r="Q3165" s="2">
        <v>0.7</v>
      </c>
      <c r="R3165" s="1">
        <v>2240</v>
      </c>
      <c r="S3165" t="s">
        <v>29</v>
      </c>
      <c r="T3165" s="1">
        <v>2240</v>
      </c>
      <c r="V3165" t="str">
        <f>VLOOKUP(H3165,'[1]팀별 출판사'!A:B,2,0)</f>
        <v>소설1팀</v>
      </c>
      <c r="W3165" s="6">
        <f t="shared" si="98"/>
        <v>0</v>
      </c>
      <c r="X3165" s="6">
        <f t="shared" si="99"/>
        <v>2240</v>
      </c>
    </row>
    <row r="3166" spans="1:24" x14ac:dyDescent="0.3">
      <c r="A3166" t="s">
        <v>4605</v>
      </c>
      <c r="B3166" t="s">
        <v>4633</v>
      </c>
      <c r="C3166" t="s">
        <v>23</v>
      </c>
      <c r="D3166" t="s">
        <v>24</v>
      </c>
      <c r="E3166" t="s">
        <v>25</v>
      </c>
      <c r="F3166">
        <v>1</v>
      </c>
      <c r="G3166">
        <v>9791175302525</v>
      </c>
      <c r="H3166" t="s">
        <v>26</v>
      </c>
      <c r="I3166" t="s">
        <v>4637</v>
      </c>
      <c r="J3166" t="s">
        <v>603</v>
      </c>
      <c r="K3166" t="s">
        <v>29</v>
      </c>
      <c r="L3166" s="1">
        <v>3200</v>
      </c>
      <c r="M3166" t="s">
        <v>29</v>
      </c>
      <c r="N3166" s="1">
        <v>3200</v>
      </c>
      <c r="O3166" s="1">
        <v>3200</v>
      </c>
      <c r="P3166" t="s">
        <v>30</v>
      </c>
      <c r="Q3166" s="2">
        <v>0.7</v>
      </c>
      <c r="R3166" s="1">
        <v>2240</v>
      </c>
      <c r="S3166" t="s">
        <v>29</v>
      </c>
      <c r="T3166" s="1">
        <v>2240</v>
      </c>
      <c r="V3166" t="str">
        <f>VLOOKUP(H3166,'[1]팀별 출판사'!A:B,2,0)</f>
        <v>소설1팀</v>
      </c>
      <c r="W3166" s="6">
        <f t="shared" si="98"/>
        <v>0</v>
      </c>
      <c r="X3166" s="6">
        <f t="shared" si="99"/>
        <v>2240</v>
      </c>
    </row>
    <row r="3167" spans="1:24" x14ac:dyDescent="0.3">
      <c r="A3167" t="s">
        <v>4605</v>
      </c>
      <c r="B3167" t="s">
        <v>4633</v>
      </c>
      <c r="C3167" t="s">
        <v>23</v>
      </c>
      <c r="D3167" t="s">
        <v>24</v>
      </c>
      <c r="E3167" t="s">
        <v>25</v>
      </c>
      <c r="F3167">
        <v>1</v>
      </c>
      <c r="G3167">
        <v>9791175302532</v>
      </c>
      <c r="H3167" t="s">
        <v>26</v>
      </c>
      <c r="I3167" t="s">
        <v>4638</v>
      </c>
      <c r="J3167" t="s">
        <v>603</v>
      </c>
      <c r="K3167" t="s">
        <v>29</v>
      </c>
      <c r="L3167" s="1">
        <v>3200</v>
      </c>
      <c r="M3167" t="s">
        <v>29</v>
      </c>
      <c r="N3167" s="1">
        <v>3200</v>
      </c>
      <c r="O3167" s="1">
        <v>3200</v>
      </c>
      <c r="P3167" t="s">
        <v>30</v>
      </c>
      <c r="Q3167" s="2">
        <v>0.7</v>
      </c>
      <c r="R3167" s="1">
        <v>2240</v>
      </c>
      <c r="S3167" t="s">
        <v>29</v>
      </c>
      <c r="T3167" s="1">
        <v>2240</v>
      </c>
      <c r="V3167" t="str">
        <f>VLOOKUP(H3167,'[1]팀별 출판사'!A:B,2,0)</f>
        <v>소설1팀</v>
      </c>
      <c r="W3167" s="6">
        <f t="shared" si="98"/>
        <v>0</v>
      </c>
      <c r="X3167" s="6">
        <f t="shared" si="99"/>
        <v>2240</v>
      </c>
    </row>
    <row r="3168" spans="1:24" x14ac:dyDescent="0.3">
      <c r="A3168" t="s">
        <v>4605</v>
      </c>
      <c r="B3168" t="s">
        <v>4633</v>
      </c>
      <c r="C3168" t="s">
        <v>23</v>
      </c>
      <c r="D3168" t="s">
        <v>24</v>
      </c>
      <c r="E3168" t="s">
        <v>25</v>
      </c>
      <c r="F3168">
        <v>1</v>
      </c>
      <c r="G3168">
        <v>9791175302549</v>
      </c>
      <c r="H3168" t="s">
        <v>26</v>
      </c>
      <c r="I3168" t="s">
        <v>4639</v>
      </c>
      <c r="J3168" t="s">
        <v>603</v>
      </c>
      <c r="K3168" t="s">
        <v>29</v>
      </c>
      <c r="L3168" s="1">
        <v>3200</v>
      </c>
      <c r="M3168" t="s">
        <v>29</v>
      </c>
      <c r="N3168" s="1">
        <v>3200</v>
      </c>
      <c r="O3168" s="1">
        <v>3200</v>
      </c>
      <c r="P3168" t="s">
        <v>30</v>
      </c>
      <c r="Q3168" s="2">
        <v>0.7</v>
      </c>
      <c r="R3168" s="1">
        <v>2240</v>
      </c>
      <c r="S3168" t="s">
        <v>29</v>
      </c>
      <c r="T3168" s="1">
        <v>2240</v>
      </c>
      <c r="V3168" t="str">
        <f>VLOOKUP(H3168,'[1]팀별 출판사'!A:B,2,0)</f>
        <v>소설1팀</v>
      </c>
      <c r="W3168" s="6">
        <f t="shared" si="98"/>
        <v>0</v>
      </c>
      <c r="X3168" s="6">
        <f t="shared" si="99"/>
        <v>2240</v>
      </c>
    </row>
    <row r="3169" spans="1:24" x14ac:dyDescent="0.3">
      <c r="A3169" t="s">
        <v>4605</v>
      </c>
      <c r="B3169" t="s">
        <v>4633</v>
      </c>
      <c r="C3169" t="s">
        <v>23</v>
      </c>
      <c r="D3169" t="s">
        <v>24</v>
      </c>
      <c r="E3169" t="s">
        <v>25</v>
      </c>
      <c r="F3169">
        <v>1</v>
      </c>
      <c r="G3169">
        <v>9791175302556</v>
      </c>
      <c r="H3169" t="s">
        <v>26</v>
      </c>
      <c r="I3169" t="s">
        <v>4640</v>
      </c>
      <c r="J3169" t="s">
        <v>603</v>
      </c>
      <c r="K3169" t="s">
        <v>29</v>
      </c>
      <c r="L3169" s="1">
        <v>3200</v>
      </c>
      <c r="M3169" t="s">
        <v>29</v>
      </c>
      <c r="N3169" s="1">
        <v>3200</v>
      </c>
      <c r="O3169" s="1">
        <v>3200</v>
      </c>
      <c r="P3169" t="s">
        <v>30</v>
      </c>
      <c r="Q3169" s="2">
        <v>0.7</v>
      </c>
      <c r="R3169" s="1">
        <v>2240</v>
      </c>
      <c r="S3169" t="s">
        <v>29</v>
      </c>
      <c r="T3169" s="1">
        <v>2240</v>
      </c>
      <c r="V3169" t="str">
        <f>VLOOKUP(H3169,'[1]팀별 출판사'!A:B,2,0)</f>
        <v>소설1팀</v>
      </c>
      <c r="W3169" s="6">
        <f t="shared" si="98"/>
        <v>0</v>
      </c>
      <c r="X3169" s="6">
        <f t="shared" si="99"/>
        <v>2240</v>
      </c>
    </row>
    <row r="3170" spans="1:24" x14ac:dyDescent="0.3">
      <c r="A3170" t="s">
        <v>4605</v>
      </c>
      <c r="B3170" t="s">
        <v>4641</v>
      </c>
      <c r="C3170" t="s">
        <v>23</v>
      </c>
      <c r="D3170" t="s">
        <v>24</v>
      </c>
      <c r="E3170" t="s">
        <v>25</v>
      </c>
      <c r="F3170">
        <v>1</v>
      </c>
      <c r="G3170">
        <v>9791133184606</v>
      </c>
      <c r="H3170" t="s">
        <v>26</v>
      </c>
      <c r="I3170" t="s">
        <v>4642</v>
      </c>
      <c r="J3170" t="s">
        <v>284</v>
      </c>
      <c r="K3170" t="s">
        <v>29</v>
      </c>
      <c r="L3170" s="1">
        <v>3200</v>
      </c>
      <c r="M3170" t="s">
        <v>29</v>
      </c>
      <c r="N3170" s="1">
        <v>3200</v>
      </c>
      <c r="O3170" s="1">
        <v>3200</v>
      </c>
      <c r="P3170" t="s">
        <v>30</v>
      </c>
      <c r="Q3170" s="2">
        <v>0.7</v>
      </c>
      <c r="R3170" s="1">
        <v>2240</v>
      </c>
      <c r="S3170" t="s">
        <v>29</v>
      </c>
      <c r="T3170" s="1">
        <v>2240</v>
      </c>
      <c r="V3170" t="str">
        <f>VLOOKUP(H3170,'[1]팀별 출판사'!A:B,2,0)</f>
        <v>소설1팀</v>
      </c>
      <c r="W3170" s="6">
        <f t="shared" si="98"/>
        <v>0</v>
      </c>
      <c r="X3170" s="6">
        <f t="shared" si="99"/>
        <v>2240</v>
      </c>
    </row>
    <row r="3171" spans="1:24" x14ac:dyDescent="0.3">
      <c r="A3171" t="s">
        <v>4605</v>
      </c>
      <c r="B3171" t="s">
        <v>4643</v>
      </c>
      <c r="C3171" t="s">
        <v>23</v>
      </c>
      <c r="D3171" t="s">
        <v>24</v>
      </c>
      <c r="E3171" t="s">
        <v>25</v>
      </c>
      <c r="F3171">
        <v>1</v>
      </c>
      <c r="G3171">
        <v>9791133143801</v>
      </c>
      <c r="H3171" t="s">
        <v>32</v>
      </c>
      <c r="I3171" t="s">
        <v>1056</v>
      </c>
      <c r="J3171" t="s">
        <v>88</v>
      </c>
      <c r="K3171" t="s">
        <v>29</v>
      </c>
      <c r="L3171">
        <v>0</v>
      </c>
      <c r="M3171" t="s">
        <v>29</v>
      </c>
      <c r="N3171">
        <v>0</v>
      </c>
      <c r="O3171">
        <v>0</v>
      </c>
      <c r="P3171" t="s">
        <v>30</v>
      </c>
      <c r="Q3171" s="2">
        <v>0.7</v>
      </c>
      <c r="R3171">
        <v>0</v>
      </c>
      <c r="V3171" t="str">
        <f>VLOOKUP(H3171,'[1]팀별 출판사'!A:B,2,0)</f>
        <v>소설1팀</v>
      </c>
      <c r="W3171" s="6">
        <f t="shared" si="98"/>
        <v>0</v>
      </c>
      <c r="X3171" s="6">
        <f t="shared" si="99"/>
        <v>0</v>
      </c>
    </row>
    <row r="3172" spans="1:24" x14ac:dyDescent="0.3">
      <c r="A3172" t="s">
        <v>4605</v>
      </c>
      <c r="B3172" t="s">
        <v>4644</v>
      </c>
      <c r="C3172" t="s">
        <v>23</v>
      </c>
      <c r="D3172" t="s">
        <v>24</v>
      </c>
      <c r="E3172" t="s">
        <v>25</v>
      </c>
      <c r="F3172">
        <v>1</v>
      </c>
      <c r="G3172">
        <v>9791173785993</v>
      </c>
      <c r="H3172" t="s">
        <v>26</v>
      </c>
      <c r="I3172" t="s">
        <v>769</v>
      </c>
      <c r="J3172" t="s">
        <v>81</v>
      </c>
      <c r="K3172" t="s">
        <v>29</v>
      </c>
      <c r="L3172">
        <v>0</v>
      </c>
      <c r="M3172" t="s">
        <v>29</v>
      </c>
      <c r="N3172">
        <v>0</v>
      </c>
      <c r="O3172">
        <v>0</v>
      </c>
      <c r="P3172" t="s">
        <v>30</v>
      </c>
      <c r="Q3172" s="2">
        <v>0.7</v>
      </c>
      <c r="R3172">
        <v>0</v>
      </c>
      <c r="V3172" t="str">
        <f>VLOOKUP(H3172,'[1]팀별 출판사'!A:B,2,0)</f>
        <v>소설1팀</v>
      </c>
      <c r="W3172" s="6">
        <f t="shared" si="98"/>
        <v>0</v>
      </c>
      <c r="X3172" s="6">
        <f t="shared" si="99"/>
        <v>0</v>
      </c>
    </row>
    <row r="3173" spans="1:24" x14ac:dyDescent="0.3">
      <c r="A3173" t="s">
        <v>4605</v>
      </c>
      <c r="B3173" t="s">
        <v>4645</v>
      </c>
      <c r="C3173" t="s">
        <v>23</v>
      </c>
      <c r="D3173" t="s">
        <v>24</v>
      </c>
      <c r="E3173" t="s">
        <v>25</v>
      </c>
      <c r="F3173">
        <v>1</v>
      </c>
      <c r="G3173">
        <v>9791136924513</v>
      </c>
      <c r="H3173" t="s">
        <v>36</v>
      </c>
      <c r="I3173" t="s">
        <v>4646</v>
      </c>
      <c r="J3173" t="s">
        <v>1575</v>
      </c>
      <c r="K3173" t="s">
        <v>29</v>
      </c>
      <c r="L3173" s="1">
        <v>4600</v>
      </c>
      <c r="M3173" t="s">
        <v>29</v>
      </c>
      <c r="N3173" s="1">
        <v>4600</v>
      </c>
      <c r="O3173" s="1">
        <v>4600</v>
      </c>
      <c r="P3173" t="s">
        <v>30</v>
      </c>
      <c r="Q3173" s="2">
        <v>0.7</v>
      </c>
      <c r="R3173" s="1">
        <v>3220</v>
      </c>
      <c r="S3173" t="s">
        <v>29</v>
      </c>
      <c r="T3173" s="1">
        <v>3220</v>
      </c>
      <c r="V3173" t="str">
        <f>VLOOKUP(H3173,'[1]팀별 출판사'!A:B,2,0)</f>
        <v>소설2팀</v>
      </c>
      <c r="W3173" s="6">
        <f t="shared" si="98"/>
        <v>0</v>
      </c>
      <c r="X3173" s="6">
        <f t="shared" si="99"/>
        <v>3220</v>
      </c>
    </row>
    <row r="3174" spans="1:24" x14ac:dyDescent="0.3">
      <c r="A3174" t="s">
        <v>4605</v>
      </c>
      <c r="B3174" t="s">
        <v>4647</v>
      </c>
      <c r="C3174" t="s">
        <v>23</v>
      </c>
      <c r="D3174" t="s">
        <v>24</v>
      </c>
      <c r="E3174" t="s">
        <v>25</v>
      </c>
      <c r="F3174">
        <v>1</v>
      </c>
      <c r="G3174">
        <v>9791136903754</v>
      </c>
      <c r="H3174" t="s">
        <v>26</v>
      </c>
      <c r="I3174" t="s">
        <v>361</v>
      </c>
      <c r="J3174" t="s">
        <v>256</v>
      </c>
      <c r="K3174" t="s">
        <v>29</v>
      </c>
      <c r="L3174">
        <v>0</v>
      </c>
      <c r="M3174" t="s">
        <v>29</v>
      </c>
      <c r="N3174">
        <v>0</v>
      </c>
      <c r="O3174">
        <v>0</v>
      </c>
      <c r="P3174" t="s">
        <v>30</v>
      </c>
      <c r="Q3174" s="2">
        <v>0.7</v>
      </c>
      <c r="R3174">
        <v>0</v>
      </c>
      <c r="V3174" t="str">
        <f>VLOOKUP(H3174,'[1]팀별 출판사'!A:B,2,0)</f>
        <v>소설1팀</v>
      </c>
      <c r="W3174" s="6">
        <f t="shared" si="98"/>
        <v>0</v>
      </c>
      <c r="X3174" s="6">
        <f t="shared" si="99"/>
        <v>0</v>
      </c>
    </row>
    <row r="3175" spans="1:24" x14ac:dyDescent="0.3">
      <c r="A3175" t="s">
        <v>4605</v>
      </c>
      <c r="B3175" t="s">
        <v>4648</v>
      </c>
      <c r="C3175" t="s">
        <v>23</v>
      </c>
      <c r="D3175" t="s">
        <v>24</v>
      </c>
      <c r="E3175" t="s">
        <v>25</v>
      </c>
      <c r="F3175">
        <v>1</v>
      </c>
      <c r="G3175">
        <v>9791136925664</v>
      </c>
      <c r="H3175" t="s">
        <v>26</v>
      </c>
      <c r="I3175" t="s">
        <v>453</v>
      </c>
      <c r="J3175" t="s">
        <v>62</v>
      </c>
      <c r="K3175" t="s">
        <v>29</v>
      </c>
      <c r="L3175">
        <v>0</v>
      </c>
      <c r="M3175" t="s">
        <v>29</v>
      </c>
      <c r="N3175">
        <v>0</v>
      </c>
      <c r="O3175">
        <v>0</v>
      </c>
      <c r="P3175" t="s">
        <v>30</v>
      </c>
      <c r="Q3175" s="2">
        <v>0.7</v>
      </c>
      <c r="R3175">
        <v>0</v>
      </c>
      <c r="V3175" t="str">
        <f>VLOOKUP(H3175,'[1]팀별 출판사'!A:B,2,0)</f>
        <v>소설1팀</v>
      </c>
      <c r="W3175" s="6">
        <f t="shared" si="98"/>
        <v>0</v>
      </c>
      <c r="X3175" s="6">
        <f t="shared" si="99"/>
        <v>0</v>
      </c>
    </row>
    <row r="3176" spans="1:24" x14ac:dyDescent="0.3">
      <c r="A3176" t="s">
        <v>4605</v>
      </c>
      <c r="B3176" t="s">
        <v>4649</v>
      </c>
      <c r="C3176" t="s">
        <v>23</v>
      </c>
      <c r="D3176" t="s">
        <v>24</v>
      </c>
      <c r="E3176" t="s">
        <v>25</v>
      </c>
      <c r="F3176">
        <v>1</v>
      </c>
      <c r="G3176">
        <v>9791136907325</v>
      </c>
      <c r="H3176" t="s">
        <v>26</v>
      </c>
      <c r="I3176" t="s">
        <v>4650</v>
      </c>
      <c r="J3176" t="s">
        <v>1348</v>
      </c>
      <c r="K3176" t="s">
        <v>29</v>
      </c>
      <c r="L3176" s="1">
        <v>3200</v>
      </c>
      <c r="M3176" t="s">
        <v>29</v>
      </c>
      <c r="N3176" s="1">
        <v>3200</v>
      </c>
      <c r="O3176" s="1">
        <v>3200</v>
      </c>
      <c r="P3176" t="s">
        <v>30</v>
      </c>
      <c r="Q3176" s="2">
        <v>0.7</v>
      </c>
      <c r="R3176" s="1">
        <v>2240</v>
      </c>
      <c r="S3176" t="s">
        <v>29</v>
      </c>
      <c r="T3176" s="1">
        <v>2240</v>
      </c>
      <c r="V3176" t="str">
        <f>VLOOKUP(H3176,'[1]팀별 출판사'!A:B,2,0)</f>
        <v>소설1팀</v>
      </c>
      <c r="W3176" s="6">
        <f t="shared" si="98"/>
        <v>0</v>
      </c>
      <c r="X3176" s="6">
        <f t="shared" si="99"/>
        <v>2240</v>
      </c>
    </row>
    <row r="3177" spans="1:24" x14ac:dyDescent="0.3">
      <c r="A3177" t="s">
        <v>4605</v>
      </c>
      <c r="B3177" t="s">
        <v>4651</v>
      </c>
      <c r="C3177" t="s">
        <v>23</v>
      </c>
      <c r="D3177" t="s">
        <v>24</v>
      </c>
      <c r="E3177" t="s">
        <v>25</v>
      </c>
      <c r="F3177">
        <v>1</v>
      </c>
      <c r="G3177">
        <v>9791136935496</v>
      </c>
      <c r="H3177" t="s">
        <v>32</v>
      </c>
      <c r="I3177" t="s">
        <v>441</v>
      </c>
      <c r="J3177" t="s">
        <v>442</v>
      </c>
      <c r="K3177" t="s">
        <v>29</v>
      </c>
      <c r="L3177">
        <v>0</v>
      </c>
      <c r="M3177" t="s">
        <v>127</v>
      </c>
      <c r="N3177">
        <v>0</v>
      </c>
      <c r="O3177">
        <v>0</v>
      </c>
      <c r="P3177" t="s">
        <v>128</v>
      </c>
      <c r="Q3177" s="2">
        <v>0.7</v>
      </c>
      <c r="R3177">
        <v>0</v>
      </c>
      <c r="V3177" t="str">
        <f>VLOOKUP(H3177,'[1]팀별 출판사'!A:B,2,0)</f>
        <v>소설1팀</v>
      </c>
      <c r="W3177" s="6">
        <f t="shared" si="98"/>
        <v>0</v>
      </c>
      <c r="X3177" s="6">
        <f t="shared" si="99"/>
        <v>0</v>
      </c>
    </row>
    <row r="3178" spans="1:24" x14ac:dyDescent="0.3">
      <c r="A3178" t="s">
        <v>4605</v>
      </c>
      <c r="B3178" t="s">
        <v>4652</v>
      </c>
      <c r="C3178" t="s">
        <v>23</v>
      </c>
      <c r="D3178" t="s">
        <v>24</v>
      </c>
      <c r="E3178" t="s">
        <v>25</v>
      </c>
      <c r="F3178">
        <v>1</v>
      </c>
      <c r="G3178">
        <v>9791136945013</v>
      </c>
      <c r="H3178" t="s">
        <v>26</v>
      </c>
      <c r="I3178" t="s">
        <v>125</v>
      </c>
      <c r="J3178" t="s">
        <v>126</v>
      </c>
      <c r="K3178" t="s">
        <v>29</v>
      </c>
      <c r="L3178">
        <v>0</v>
      </c>
      <c r="M3178" t="s">
        <v>127</v>
      </c>
      <c r="N3178">
        <v>0</v>
      </c>
      <c r="O3178">
        <v>0</v>
      </c>
      <c r="P3178" t="s">
        <v>128</v>
      </c>
      <c r="Q3178" s="2">
        <v>0.7</v>
      </c>
      <c r="R3178">
        <v>0</v>
      </c>
      <c r="V3178" t="str">
        <f>VLOOKUP(H3178,'[1]팀별 출판사'!A:B,2,0)</f>
        <v>소설1팀</v>
      </c>
      <c r="W3178" s="6">
        <f t="shared" si="98"/>
        <v>0</v>
      </c>
      <c r="X3178" s="6">
        <f t="shared" si="99"/>
        <v>0</v>
      </c>
    </row>
    <row r="3179" spans="1:24" x14ac:dyDescent="0.3">
      <c r="A3179" t="s">
        <v>4605</v>
      </c>
      <c r="B3179" t="s">
        <v>4653</v>
      </c>
      <c r="C3179" t="s">
        <v>23</v>
      </c>
      <c r="D3179" t="s">
        <v>24</v>
      </c>
      <c r="E3179" t="s">
        <v>25</v>
      </c>
      <c r="F3179">
        <v>1</v>
      </c>
      <c r="G3179">
        <v>9791136930224</v>
      </c>
      <c r="H3179" t="s">
        <v>32</v>
      </c>
      <c r="I3179" t="s">
        <v>172</v>
      </c>
      <c r="J3179" t="s">
        <v>46</v>
      </c>
      <c r="K3179" t="s">
        <v>29</v>
      </c>
      <c r="L3179">
        <v>0</v>
      </c>
      <c r="M3179" t="s">
        <v>29</v>
      </c>
      <c r="N3179">
        <v>0</v>
      </c>
      <c r="O3179">
        <v>0</v>
      </c>
      <c r="P3179" t="s">
        <v>30</v>
      </c>
      <c r="Q3179" s="2">
        <v>0.7</v>
      </c>
      <c r="R3179">
        <v>0</v>
      </c>
      <c r="V3179" t="str">
        <f>VLOOKUP(H3179,'[1]팀별 출판사'!A:B,2,0)</f>
        <v>소설1팀</v>
      </c>
      <c r="W3179" s="6">
        <f t="shared" si="98"/>
        <v>0</v>
      </c>
      <c r="X3179" s="6">
        <f t="shared" si="99"/>
        <v>0</v>
      </c>
    </row>
    <row r="3180" spans="1:24" x14ac:dyDescent="0.3">
      <c r="A3180" t="s">
        <v>4605</v>
      </c>
      <c r="B3180" t="s">
        <v>4654</v>
      </c>
      <c r="C3180" t="s">
        <v>23</v>
      </c>
      <c r="D3180" t="s">
        <v>24</v>
      </c>
      <c r="E3180" t="s">
        <v>25</v>
      </c>
      <c r="F3180">
        <v>1</v>
      </c>
      <c r="G3180">
        <v>9791133144792</v>
      </c>
      <c r="H3180" t="s">
        <v>32</v>
      </c>
      <c r="I3180" t="s">
        <v>223</v>
      </c>
      <c r="J3180" t="s">
        <v>88</v>
      </c>
      <c r="K3180" t="s">
        <v>29</v>
      </c>
      <c r="L3180">
        <v>0</v>
      </c>
      <c r="M3180" t="s">
        <v>29</v>
      </c>
      <c r="N3180">
        <v>0</v>
      </c>
      <c r="O3180">
        <v>0</v>
      </c>
      <c r="P3180" t="s">
        <v>30</v>
      </c>
      <c r="Q3180" s="2">
        <v>0.7</v>
      </c>
      <c r="R3180">
        <v>0</v>
      </c>
      <c r="V3180" t="str">
        <f>VLOOKUP(H3180,'[1]팀별 출판사'!A:B,2,0)</f>
        <v>소설1팀</v>
      </c>
      <c r="W3180" s="6">
        <f t="shared" si="98"/>
        <v>0</v>
      </c>
      <c r="X3180" s="6">
        <f t="shared" si="99"/>
        <v>0</v>
      </c>
    </row>
    <row r="3181" spans="1:24" x14ac:dyDescent="0.3">
      <c r="A3181" t="s">
        <v>4605</v>
      </c>
      <c r="B3181" t="s">
        <v>4655</v>
      </c>
      <c r="C3181" t="s">
        <v>23</v>
      </c>
      <c r="D3181" t="s">
        <v>24</v>
      </c>
      <c r="E3181" t="s">
        <v>25</v>
      </c>
      <c r="F3181">
        <v>1</v>
      </c>
      <c r="G3181">
        <v>9791133140589</v>
      </c>
      <c r="H3181" t="s">
        <v>32</v>
      </c>
      <c r="I3181" t="s">
        <v>1626</v>
      </c>
      <c r="J3181" t="s">
        <v>1627</v>
      </c>
      <c r="K3181" t="s">
        <v>29</v>
      </c>
      <c r="L3181">
        <v>0</v>
      </c>
      <c r="M3181" t="s">
        <v>29</v>
      </c>
      <c r="N3181">
        <v>0</v>
      </c>
      <c r="O3181">
        <v>0</v>
      </c>
      <c r="P3181" t="s">
        <v>30</v>
      </c>
      <c r="Q3181" s="2">
        <v>0.7</v>
      </c>
      <c r="R3181">
        <v>0</v>
      </c>
      <c r="V3181" t="str">
        <f>VLOOKUP(H3181,'[1]팀별 출판사'!A:B,2,0)</f>
        <v>소설1팀</v>
      </c>
      <c r="W3181" s="6">
        <f t="shared" si="98"/>
        <v>0</v>
      </c>
      <c r="X3181" s="6">
        <f t="shared" si="99"/>
        <v>0</v>
      </c>
    </row>
    <row r="3182" spans="1:24" x14ac:dyDescent="0.3">
      <c r="A3182" t="s">
        <v>4605</v>
      </c>
      <c r="B3182" t="s">
        <v>4656</v>
      </c>
      <c r="C3182" t="s">
        <v>23</v>
      </c>
      <c r="D3182" t="s">
        <v>24</v>
      </c>
      <c r="E3182" t="s">
        <v>25</v>
      </c>
      <c r="F3182">
        <v>1</v>
      </c>
      <c r="G3182">
        <v>9791133149117</v>
      </c>
      <c r="H3182" t="s">
        <v>32</v>
      </c>
      <c r="I3182" t="s">
        <v>3405</v>
      </c>
      <c r="J3182" t="s">
        <v>284</v>
      </c>
      <c r="K3182" t="s">
        <v>29</v>
      </c>
      <c r="L3182">
        <v>0</v>
      </c>
      <c r="M3182" t="s">
        <v>29</v>
      </c>
      <c r="N3182">
        <v>0</v>
      </c>
      <c r="O3182">
        <v>0</v>
      </c>
      <c r="P3182" t="s">
        <v>30</v>
      </c>
      <c r="Q3182" s="2">
        <v>0.7</v>
      </c>
      <c r="R3182">
        <v>0</v>
      </c>
      <c r="V3182" t="str">
        <f>VLOOKUP(H3182,'[1]팀별 출판사'!A:B,2,0)</f>
        <v>소설1팀</v>
      </c>
      <c r="W3182" s="6">
        <f t="shared" si="98"/>
        <v>0</v>
      </c>
      <c r="X3182" s="6">
        <f t="shared" si="99"/>
        <v>0</v>
      </c>
    </row>
    <row r="3183" spans="1:24" x14ac:dyDescent="0.3">
      <c r="A3183" t="s">
        <v>4605</v>
      </c>
      <c r="B3183" t="s">
        <v>4657</v>
      </c>
      <c r="C3183" t="s">
        <v>23</v>
      </c>
      <c r="D3183" t="s">
        <v>24</v>
      </c>
      <c r="E3183" t="s">
        <v>25</v>
      </c>
      <c r="F3183">
        <v>1</v>
      </c>
      <c r="G3183">
        <v>9791173783739</v>
      </c>
      <c r="H3183" t="s">
        <v>36</v>
      </c>
      <c r="I3183" t="s">
        <v>3229</v>
      </c>
      <c r="J3183" t="s">
        <v>119</v>
      </c>
      <c r="K3183" t="s">
        <v>29</v>
      </c>
      <c r="L3183" s="1">
        <v>3600</v>
      </c>
      <c r="M3183" t="s">
        <v>39</v>
      </c>
      <c r="N3183">
        <v>2.33</v>
      </c>
      <c r="O3183">
        <v>2.12</v>
      </c>
      <c r="P3183" t="s">
        <v>4658</v>
      </c>
      <c r="Q3183" s="2">
        <v>0.7</v>
      </c>
      <c r="R3183">
        <v>1.48</v>
      </c>
      <c r="S3183" t="s">
        <v>29</v>
      </c>
      <c r="T3183" s="1">
        <v>2522</v>
      </c>
      <c r="U3183" s="3">
        <v>1705.1569300000001</v>
      </c>
      <c r="V3183" t="str">
        <f>VLOOKUP(H3183,'[1]팀별 출판사'!A:B,2,0)</f>
        <v>소설2팀</v>
      </c>
      <c r="W3183" s="6">
        <f t="shared" si="98"/>
        <v>0</v>
      </c>
      <c r="X3183" s="6">
        <f t="shared" si="99"/>
        <v>2522</v>
      </c>
    </row>
    <row r="3184" spans="1:24" x14ac:dyDescent="0.3">
      <c r="A3184" t="s">
        <v>4605</v>
      </c>
      <c r="B3184" t="s">
        <v>4659</v>
      </c>
      <c r="C3184" t="s">
        <v>23</v>
      </c>
      <c r="D3184" t="s">
        <v>24</v>
      </c>
      <c r="E3184" t="s">
        <v>25</v>
      </c>
      <c r="F3184">
        <v>1</v>
      </c>
      <c r="G3184">
        <v>9791136930491</v>
      </c>
      <c r="H3184" t="s">
        <v>26</v>
      </c>
      <c r="I3184" t="s">
        <v>151</v>
      </c>
      <c r="J3184" t="s">
        <v>46</v>
      </c>
      <c r="K3184" t="s">
        <v>29</v>
      </c>
      <c r="L3184">
        <v>0</v>
      </c>
      <c r="M3184" t="s">
        <v>152</v>
      </c>
      <c r="N3184">
        <v>0</v>
      </c>
      <c r="O3184">
        <v>0</v>
      </c>
      <c r="P3184" t="s">
        <v>153</v>
      </c>
      <c r="Q3184" s="2">
        <v>0.7</v>
      </c>
      <c r="R3184">
        <v>0</v>
      </c>
      <c r="V3184" t="str">
        <f>VLOOKUP(H3184,'[1]팀별 출판사'!A:B,2,0)</f>
        <v>소설1팀</v>
      </c>
      <c r="W3184" s="6">
        <f t="shared" si="98"/>
        <v>0</v>
      </c>
      <c r="X3184" s="6">
        <f t="shared" si="99"/>
        <v>0</v>
      </c>
    </row>
    <row r="3185" spans="1:24" x14ac:dyDescent="0.3">
      <c r="A3185" t="s">
        <v>4605</v>
      </c>
      <c r="B3185" t="s">
        <v>4660</v>
      </c>
      <c r="C3185" t="s">
        <v>23</v>
      </c>
      <c r="D3185" t="s">
        <v>24</v>
      </c>
      <c r="E3185" t="s">
        <v>25</v>
      </c>
      <c r="F3185">
        <v>1</v>
      </c>
      <c r="G3185">
        <v>9791136926784</v>
      </c>
      <c r="H3185" t="s">
        <v>26</v>
      </c>
      <c r="I3185" t="s">
        <v>1421</v>
      </c>
      <c r="J3185" t="s">
        <v>62</v>
      </c>
      <c r="K3185" t="s">
        <v>29</v>
      </c>
      <c r="L3185">
        <v>0</v>
      </c>
      <c r="M3185" t="s">
        <v>29</v>
      </c>
      <c r="N3185">
        <v>0</v>
      </c>
      <c r="O3185">
        <v>0</v>
      </c>
      <c r="P3185" t="s">
        <v>30</v>
      </c>
      <c r="Q3185" s="2">
        <v>0.7</v>
      </c>
      <c r="R3185">
        <v>0</v>
      </c>
      <c r="V3185" t="str">
        <f>VLOOKUP(H3185,'[1]팀별 출판사'!A:B,2,0)</f>
        <v>소설1팀</v>
      </c>
      <c r="W3185" s="6">
        <f t="shared" si="98"/>
        <v>0</v>
      </c>
      <c r="X3185" s="6">
        <f t="shared" si="99"/>
        <v>0</v>
      </c>
    </row>
    <row r="3186" spans="1:24" x14ac:dyDescent="0.3">
      <c r="A3186" t="s">
        <v>4605</v>
      </c>
      <c r="B3186" t="s">
        <v>4661</v>
      </c>
      <c r="C3186" t="s">
        <v>23</v>
      </c>
      <c r="D3186" t="s">
        <v>24</v>
      </c>
      <c r="E3186" t="s">
        <v>25</v>
      </c>
      <c r="F3186">
        <v>1</v>
      </c>
      <c r="G3186">
        <v>9791136928863</v>
      </c>
      <c r="H3186" t="s">
        <v>26</v>
      </c>
      <c r="I3186" t="s">
        <v>2981</v>
      </c>
      <c r="J3186" t="s">
        <v>62</v>
      </c>
      <c r="K3186" t="s">
        <v>29</v>
      </c>
      <c r="L3186">
        <v>0</v>
      </c>
      <c r="M3186" t="s">
        <v>29</v>
      </c>
      <c r="N3186">
        <v>0</v>
      </c>
      <c r="O3186">
        <v>0</v>
      </c>
      <c r="P3186" t="s">
        <v>30</v>
      </c>
      <c r="Q3186" s="2">
        <v>0.7</v>
      </c>
      <c r="R3186">
        <v>0</v>
      </c>
      <c r="V3186" t="str">
        <f>VLOOKUP(H3186,'[1]팀별 출판사'!A:B,2,0)</f>
        <v>소설1팀</v>
      </c>
      <c r="W3186" s="6">
        <f t="shared" si="98"/>
        <v>0</v>
      </c>
      <c r="X3186" s="6">
        <f t="shared" si="99"/>
        <v>0</v>
      </c>
    </row>
    <row r="3187" spans="1:24" x14ac:dyDescent="0.3">
      <c r="A3187" t="s">
        <v>4605</v>
      </c>
      <c r="B3187" t="s">
        <v>4662</v>
      </c>
      <c r="C3187" t="s">
        <v>23</v>
      </c>
      <c r="D3187" t="s">
        <v>24</v>
      </c>
      <c r="E3187" t="s">
        <v>25</v>
      </c>
      <c r="F3187">
        <v>1</v>
      </c>
      <c r="G3187">
        <v>9791173783722</v>
      </c>
      <c r="H3187" t="s">
        <v>36</v>
      </c>
      <c r="I3187" t="s">
        <v>3228</v>
      </c>
      <c r="J3187" t="s">
        <v>119</v>
      </c>
      <c r="K3187" t="s">
        <v>29</v>
      </c>
      <c r="L3187" s="1">
        <v>3600</v>
      </c>
      <c r="M3187" t="s">
        <v>39</v>
      </c>
      <c r="N3187">
        <v>2.33</v>
      </c>
      <c r="O3187">
        <v>2.12</v>
      </c>
      <c r="P3187" t="s">
        <v>4658</v>
      </c>
      <c r="Q3187" s="2">
        <v>0.7</v>
      </c>
      <c r="R3187">
        <v>1.48</v>
      </c>
      <c r="S3187" t="s">
        <v>29</v>
      </c>
      <c r="T3187" s="1">
        <v>2522</v>
      </c>
      <c r="U3187" s="3">
        <v>1705.1569300000001</v>
      </c>
      <c r="V3187" t="str">
        <f>VLOOKUP(H3187,'[1]팀별 출판사'!A:B,2,0)</f>
        <v>소설2팀</v>
      </c>
      <c r="W3187" s="6">
        <f t="shared" si="98"/>
        <v>0</v>
      </c>
      <c r="X3187" s="6">
        <f t="shared" si="99"/>
        <v>2522</v>
      </c>
    </row>
    <row r="3188" spans="1:24" x14ac:dyDescent="0.3">
      <c r="A3188" t="s">
        <v>4605</v>
      </c>
      <c r="B3188" t="s">
        <v>4663</v>
      </c>
      <c r="C3188" t="s">
        <v>23</v>
      </c>
      <c r="D3188" t="s">
        <v>24</v>
      </c>
      <c r="E3188" t="s">
        <v>25</v>
      </c>
      <c r="F3188">
        <v>1</v>
      </c>
      <c r="G3188">
        <v>9791157538041</v>
      </c>
      <c r="H3188" t="s">
        <v>32</v>
      </c>
      <c r="I3188" t="s">
        <v>4664</v>
      </c>
      <c r="J3188" t="s">
        <v>166</v>
      </c>
      <c r="K3188" t="s">
        <v>29</v>
      </c>
      <c r="L3188" s="1">
        <v>3200</v>
      </c>
      <c r="M3188" t="s">
        <v>29</v>
      </c>
      <c r="N3188" s="1">
        <v>3200</v>
      </c>
      <c r="O3188" s="1">
        <v>3200</v>
      </c>
      <c r="P3188" t="s">
        <v>30</v>
      </c>
      <c r="Q3188" s="2">
        <v>0.7</v>
      </c>
      <c r="R3188" s="1">
        <v>2240</v>
      </c>
      <c r="S3188" t="s">
        <v>29</v>
      </c>
      <c r="T3188" s="1">
        <v>2240</v>
      </c>
      <c r="V3188" t="str">
        <f>VLOOKUP(H3188,'[1]팀별 출판사'!A:B,2,0)</f>
        <v>소설1팀</v>
      </c>
      <c r="W3188" s="6">
        <f t="shared" si="98"/>
        <v>0</v>
      </c>
      <c r="X3188" s="6">
        <f t="shared" si="99"/>
        <v>2240</v>
      </c>
    </row>
    <row r="3189" spans="1:24" x14ac:dyDescent="0.3">
      <c r="A3189" t="s">
        <v>4605</v>
      </c>
      <c r="B3189" t="s">
        <v>4665</v>
      </c>
      <c r="C3189" t="s">
        <v>23</v>
      </c>
      <c r="D3189" t="s">
        <v>24</v>
      </c>
      <c r="E3189" t="s">
        <v>25</v>
      </c>
      <c r="F3189">
        <v>1</v>
      </c>
      <c r="G3189">
        <v>9791170101321</v>
      </c>
      <c r="H3189" t="s">
        <v>67</v>
      </c>
      <c r="I3189" t="s">
        <v>848</v>
      </c>
      <c r="J3189" t="s">
        <v>414</v>
      </c>
      <c r="K3189" t="s">
        <v>29</v>
      </c>
      <c r="L3189">
        <v>0</v>
      </c>
      <c r="M3189" t="s">
        <v>29</v>
      </c>
      <c r="N3189">
        <v>0</v>
      </c>
      <c r="O3189">
        <v>0</v>
      </c>
      <c r="P3189" t="s">
        <v>30</v>
      </c>
      <c r="Q3189" s="2">
        <v>0.7</v>
      </c>
      <c r="R3189">
        <v>0</v>
      </c>
      <c r="V3189" t="str">
        <f>VLOOKUP(H3189,'[1]팀별 출판사'!A:B,2,0)</f>
        <v>소설1팀</v>
      </c>
      <c r="W3189" s="6">
        <f t="shared" si="98"/>
        <v>0</v>
      </c>
      <c r="X3189" s="6">
        <f t="shared" si="99"/>
        <v>0</v>
      </c>
    </row>
    <row r="3190" spans="1:24" x14ac:dyDescent="0.3">
      <c r="A3190" t="s">
        <v>4605</v>
      </c>
      <c r="B3190" t="s">
        <v>4666</v>
      </c>
      <c r="C3190" t="s">
        <v>23</v>
      </c>
      <c r="D3190" t="s">
        <v>24</v>
      </c>
      <c r="E3190" t="s">
        <v>25</v>
      </c>
      <c r="F3190">
        <v>1</v>
      </c>
      <c r="G3190">
        <v>9791170101284</v>
      </c>
      <c r="H3190" t="s">
        <v>67</v>
      </c>
      <c r="I3190" t="s">
        <v>1187</v>
      </c>
      <c r="J3190" t="s">
        <v>414</v>
      </c>
      <c r="K3190" t="s">
        <v>29</v>
      </c>
      <c r="L3190">
        <v>0</v>
      </c>
      <c r="M3190" t="s">
        <v>29</v>
      </c>
      <c r="N3190">
        <v>0</v>
      </c>
      <c r="O3190">
        <v>0</v>
      </c>
      <c r="P3190" t="s">
        <v>30</v>
      </c>
      <c r="Q3190" s="2">
        <v>0.7</v>
      </c>
      <c r="R3190">
        <v>0</v>
      </c>
      <c r="V3190" t="str">
        <f>VLOOKUP(H3190,'[1]팀별 출판사'!A:B,2,0)</f>
        <v>소설1팀</v>
      </c>
      <c r="W3190" s="6">
        <f t="shared" si="98"/>
        <v>0</v>
      </c>
      <c r="X3190" s="6">
        <f t="shared" si="99"/>
        <v>0</v>
      </c>
    </row>
    <row r="3191" spans="1:24" x14ac:dyDescent="0.3">
      <c r="A3191" t="s">
        <v>4605</v>
      </c>
      <c r="B3191" t="s">
        <v>4667</v>
      </c>
      <c r="C3191" t="s">
        <v>23</v>
      </c>
      <c r="D3191" t="s">
        <v>24</v>
      </c>
      <c r="E3191" t="s">
        <v>25</v>
      </c>
      <c r="F3191">
        <v>1</v>
      </c>
      <c r="G3191">
        <v>9791136988133</v>
      </c>
      <c r="H3191" t="s">
        <v>26</v>
      </c>
      <c r="I3191" t="s">
        <v>614</v>
      </c>
      <c r="J3191" t="s">
        <v>28</v>
      </c>
      <c r="K3191" t="s">
        <v>29</v>
      </c>
      <c r="L3191">
        <v>0</v>
      </c>
      <c r="M3191" t="s">
        <v>29</v>
      </c>
      <c r="N3191">
        <v>0</v>
      </c>
      <c r="O3191">
        <v>0</v>
      </c>
      <c r="P3191" t="s">
        <v>30</v>
      </c>
      <c r="Q3191" s="2">
        <v>0.7</v>
      </c>
      <c r="R3191">
        <v>0</v>
      </c>
      <c r="V3191" t="str">
        <f>VLOOKUP(H3191,'[1]팀별 출판사'!A:B,2,0)</f>
        <v>소설1팀</v>
      </c>
      <c r="W3191" s="6">
        <f t="shared" si="98"/>
        <v>0</v>
      </c>
      <c r="X3191" s="6">
        <f t="shared" si="99"/>
        <v>0</v>
      </c>
    </row>
    <row r="3192" spans="1:24" x14ac:dyDescent="0.3">
      <c r="A3192" t="s">
        <v>4605</v>
      </c>
      <c r="B3192" t="s">
        <v>4668</v>
      </c>
      <c r="C3192" t="s">
        <v>23</v>
      </c>
      <c r="D3192" t="s">
        <v>24</v>
      </c>
      <c r="E3192" t="s">
        <v>25</v>
      </c>
      <c r="F3192">
        <v>1</v>
      </c>
      <c r="G3192">
        <v>9791172926991</v>
      </c>
      <c r="H3192" t="s">
        <v>26</v>
      </c>
      <c r="I3192" t="s">
        <v>330</v>
      </c>
      <c r="J3192" t="s">
        <v>28</v>
      </c>
      <c r="K3192" t="s">
        <v>29</v>
      </c>
      <c r="L3192">
        <v>0</v>
      </c>
      <c r="M3192" t="s">
        <v>29</v>
      </c>
      <c r="N3192">
        <v>0</v>
      </c>
      <c r="O3192">
        <v>0</v>
      </c>
      <c r="P3192" t="s">
        <v>30</v>
      </c>
      <c r="Q3192" s="2">
        <v>0.7</v>
      </c>
      <c r="R3192">
        <v>0</v>
      </c>
      <c r="V3192" t="str">
        <f>VLOOKUP(H3192,'[1]팀별 출판사'!A:B,2,0)</f>
        <v>소설1팀</v>
      </c>
      <c r="W3192" s="6">
        <f t="shared" si="98"/>
        <v>0</v>
      </c>
      <c r="X3192" s="6">
        <f t="shared" si="99"/>
        <v>0</v>
      </c>
    </row>
    <row r="3193" spans="1:24" x14ac:dyDescent="0.3">
      <c r="A3193" t="s">
        <v>4605</v>
      </c>
      <c r="B3193" t="s">
        <v>4669</v>
      </c>
      <c r="C3193" t="s">
        <v>23</v>
      </c>
      <c r="D3193" t="s">
        <v>24</v>
      </c>
      <c r="E3193" t="s">
        <v>25</v>
      </c>
      <c r="F3193">
        <v>1</v>
      </c>
      <c r="G3193">
        <v>9791136937179</v>
      </c>
      <c r="H3193" t="s">
        <v>32</v>
      </c>
      <c r="I3193" t="s">
        <v>4670</v>
      </c>
      <c r="J3193" t="s">
        <v>2010</v>
      </c>
      <c r="K3193" t="s">
        <v>29</v>
      </c>
      <c r="L3193">
        <v>0</v>
      </c>
      <c r="M3193" t="s">
        <v>29</v>
      </c>
      <c r="N3193">
        <v>0</v>
      </c>
      <c r="O3193">
        <v>0</v>
      </c>
      <c r="P3193" t="s">
        <v>30</v>
      </c>
      <c r="Q3193" s="2">
        <v>0.7</v>
      </c>
      <c r="R3193">
        <v>0</v>
      </c>
      <c r="V3193" t="str">
        <f>VLOOKUP(H3193,'[1]팀별 출판사'!A:B,2,0)</f>
        <v>소설1팀</v>
      </c>
      <c r="W3193" s="6">
        <f t="shared" si="98"/>
        <v>0</v>
      </c>
      <c r="X3193" s="6">
        <f t="shared" si="99"/>
        <v>0</v>
      </c>
    </row>
    <row r="3194" spans="1:24" x14ac:dyDescent="0.3">
      <c r="A3194" t="s">
        <v>4605</v>
      </c>
      <c r="B3194" t="s">
        <v>4671</v>
      </c>
      <c r="C3194" t="s">
        <v>23</v>
      </c>
      <c r="D3194" t="s">
        <v>24</v>
      </c>
      <c r="E3194" t="s">
        <v>25</v>
      </c>
      <c r="F3194">
        <v>1</v>
      </c>
      <c r="G3194">
        <v>9791173786648</v>
      </c>
      <c r="H3194" t="s">
        <v>36</v>
      </c>
      <c r="I3194" t="s">
        <v>2003</v>
      </c>
      <c r="J3194" t="s">
        <v>38</v>
      </c>
      <c r="K3194" t="s">
        <v>29</v>
      </c>
      <c r="L3194" s="1">
        <v>1800</v>
      </c>
      <c r="M3194" t="s">
        <v>70</v>
      </c>
      <c r="N3194">
        <v>1.25</v>
      </c>
      <c r="O3194">
        <v>1.25</v>
      </c>
      <c r="P3194" t="s">
        <v>4672</v>
      </c>
      <c r="Q3194" s="2">
        <v>0.7</v>
      </c>
      <c r="R3194">
        <v>0.87</v>
      </c>
      <c r="S3194" t="s">
        <v>29</v>
      </c>
      <c r="T3194" s="1">
        <v>1258</v>
      </c>
      <c r="U3194" s="3">
        <v>1445.43812</v>
      </c>
      <c r="V3194" t="str">
        <f>VLOOKUP(H3194,'[1]팀별 출판사'!A:B,2,0)</f>
        <v>소설2팀</v>
      </c>
      <c r="W3194" s="6">
        <f t="shared" si="98"/>
        <v>0</v>
      </c>
      <c r="X3194" s="6">
        <f t="shared" si="99"/>
        <v>1258</v>
      </c>
    </row>
    <row r="3195" spans="1:24" x14ac:dyDescent="0.3">
      <c r="A3195" t="s">
        <v>4605</v>
      </c>
      <c r="B3195" t="s">
        <v>4673</v>
      </c>
      <c r="C3195" t="s">
        <v>23</v>
      </c>
      <c r="D3195" t="s">
        <v>24</v>
      </c>
      <c r="E3195" t="s">
        <v>25</v>
      </c>
      <c r="F3195">
        <v>1</v>
      </c>
      <c r="G3195">
        <v>9791133186501</v>
      </c>
      <c r="H3195" t="s">
        <v>26</v>
      </c>
      <c r="I3195" t="s">
        <v>64</v>
      </c>
      <c r="J3195" t="s">
        <v>65</v>
      </c>
      <c r="K3195" t="s">
        <v>29</v>
      </c>
      <c r="L3195">
        <v>0</v>
      </c>
      <c r="M3195" t="s">
        <v>29</v>
      </c>
      <c r="N3195">
        <v>0</v>
      </c>
      <c r="O3195">
        <v>0</v>
      </c>
      <c r="P3195" t="s">
        <v>30</v>
      </c>
      <c r="Q3195" s="2">
        <v>0.7</v>
      </c>
      <c r="R3195">
        <v>0</v>
      </c>
      <c r="V3195" t="str">
        <f>VLOOKUP(H3195,'[1]팀별 출판사'!A:B,2,0)</f>
        <v>소설1팀</v>
      </c>
      <c r="W3195" s="6">
        <f t="shared" si="98"/>
        <v>0</v>
      </c>
      <c r="X3195" s="6">
        <f t="shared" si="99"/>
        <v>0</v>
      </c>
    </row>
    <row r="3196" spans="1:24" x14ac:dyDescent="0.3">
      <c r="A3196" t="s">
        <v>4605</v>
      </c>
      <c r="B3196" t="s">
        <v>4674</v>
      </c>
      <c r="C3196" t="s">
        <v>23</v>
      </c>
      <c r="D3196" t="s">
        <v>24</v>
      </c>
      <c r="E3196" t="s">
        <v>25</v>
      </c>
      <c r="F3196">
        <v>1</v>
      </c>
      <c r="G3196">
        <v>9791170104735</v>
      </c>
      <c r="H3196" t="s">
        <v>67</v>
      </c>
      <c r="I3196" t="s">
        <v>1072</v>
      </c>
      <c r="J3196" t="s">
        <v>1073</v>
      </c>
      <c r="K3196" t="s">
        <v>29</v>
      </c>
      <c r="L3196">
        <v>0</v>
      </c>
      <c r="M3196" t="s">
        <v>29</v>
      </c>
      <c r="N3196">
        <v>0</v>
      </c>
      <c r="O3196">
        <v>0</v>
      </c>
      <c r="P3196" t="s">
        <v>30</v>
      </c>
      <c r="Q3196" s="2">
        <v>0.7</v>
      </c>
      <c r="R3196">
        <v>0</v>
      </c>
      <c r="V3196" t="str">
        <f>VLOOKUP(H3196,'[1]팀별 출판사'!A:B,2,0)</f>
        <v>소설1팀</v>
      </c>
      <c r="W3196" s="6">
        <f t="shared" si="98"/>
        <v>0</v>
      </c>
      <c r="X3196" s="6">
        <f t="shared" si="99"/>
        <v>0</v>
      </c>
    </row>
    <row r="3197" spans="1:24" x14ac:dyDescent="0.3">
      <c r="A3197" t="s">
        <v>4605</v>
      </c>
      <c r="B3197" t="s">
        <v>4675</v>
      </c>
      <c r="C3197" t="s">
        <v>23</v>
      </c>
      <c r="D3197" t="s">
        <v>24</v>
      </c>
      <c r="E3197" t="s">
        <v>25</v>
      </c>
      <c r="F3197">
        <v>1</v>
      </c>
      <c r="G3197">
        <v>9791170107965</v>
      </c>
      <c r="H3197" t="s">
        <v>67</v>
      </c>
      <c r="I3197" t="s">
        <v>843</v>
      </c>
      <c r="J3197" t="s">
        <v>402</v>
      </c>
      <c r="K3197" t="s">
        <v>29</v>
      </c>
      <c r="L3197">
        <v>0</v>
      </c>
      <c r="M3197" t="s">
        <v>29</v>
      </c>
      <c r="N3197">
        <v>0</v>
      </c>
      <c r="O3197">
        <v>0</v>
      </c>
      <c r="P3197" t="s">
        <v>30</v>
      </c>
      <c r="Q3197" s="2">
        <v>0.7</v>
      </c>
      <c r="R3197">
        <v>0</v>
      </c>
      <c r="V3197" t="str">
        <f>VLOOKUP(H3197,'[1]팀별 출판사'!A:B,2,0)</f>
        <v>소설1팀</v>
      </c>
      <c r="W3197" s="6">
        <f t="shared" si="98"/>
        <v>0</v>
      </c>
      <c r="X3197" s="6">
        <f t="shared" si="99"/>
        <v>0</v>
      </c>
    </row>
    <row r="3198" spans="1:24" x14ac:dyDescent="0.3">
      <c r="A3198" t="s">
        <v>4605</v>
      </c>
      <c r="B3198" t="s">
        <v>4676</v>
      </c>
      <c r="C3198" t="s">
        <v>23</v>
      </c>
      <c r="D3198" t="s">
        <v>24</v>
      </c>
      <c r="E3198" t="s">
        <v>25</v>
      </c>
      <c r="F3198">
        <v>1</v>
      </c>
      <c r="G3198">
        <v>9791136907578</v>
      </c>
      <c r="H3198" t="s">
        <v>26</v>
      </c>
      <c r="I3198" t="s">
        <v>4677</v>
      </c>
      <c r="J3198" t="s">
        <v>1348</v>
      </c>
      <c r="K3198" t="s">
        <v>29</v>
      </c>
      <c r="L3198" s="1">
        <v>3200</v>
      </c>
      <c r="M3198" t="s">
        <v>70</v>
      </c>
      <c r="N3198">
        <v>2.2200000000000002</v>
      </c>
      <c r="O3198">
        <v>2.2200000000000002</v>
      </c>
      <c r="P3198" t="s">
        <v>71</v>
      </c>
      <c r="Q3198" s="2">
        <v>0.7</v>
      </c>
      <c r="R3198">
        <v>1.55</v>
      </c>
      <c r="S3198" t="s">
        <v>29</v>
      </c>
      <c r="T3198" s="1">
        <v>2242</v>
      </c>
      <c r="U3198" s="3">
        <v>1445.43812</v>
      </c>
      <c r="V3198" t="str">
        <f>VLOOKUP(H3198,'[1]팀별 출판사'!A:B,2,0)</f>
        <v>소설1팀</v>
      </c>
      <c r="W3198" s="6">
        <f t="shared" si="98"/>
        <v>672.6</v>
      </c>
      <c r="X3198" s="6">
        <f t="shared" si="99"/>
        <v>1569.4</v>
      </c>
    </row>
    <row r="3199" spans="1:24" x14ac:dyDescent="0.3">
      <c r="A3199" t="s">
        <v>4605</v>
      </c>
      <c r="B3199" t="s">
        <v>4678</v>
      </c>
      <c r="C3199" t="s">
        <v>23</v>
      </c>
      <c r="D3199" t="s">
        <v>24</v>
      </c>
      <c r="E3199" t="s">
        <v>25</v>
      </c>
      <c r="F3199">
        <v>1</v>
      </c>
      <c r="G3199">
        <v>9791157539697</v>
      </c>
      <c r="H3199" t="s">
        <v>32</v>
      </c>
      <c r="I3199" t="s">
        <v>3357</v>
      </c>
      <c r="J3199" t="s">
        <v>88</v>
      </c>
      <c r="K3199" t="s">
        <v>29</v>
      </c>
      <c r="L3199" s="1">
        <v>3200</v>
      </c>
      <c r="M3199" t="s">
        <v>29</v>
      </c>
      <c r="N3199" s="1">
        <v>3200</v>
      </c>
      <c r="O3199" s="1">
        <v>3200</v>
      </c>
      <c r="P3199" t="s">
        <v>30</v>
      </c>
      <c r="Q3199" s="2">
        <v>0.7</v>
      </c>
      <c r="R3199" s="1">
        <v>2240</v>
      </c>
      <c r="S3199" t="s">
        <v>29</v>
      </c>
      <c r="T3199" s="1">
        <v>2240</v>
      </c>
      <c r="V3199" t="str">
        <f>VLOOKUP(H3199,'[1]팀별 출판사'!A:B,2,0)</f>
        <v>소설1팀</v>
      </c>
      <c r="W3199" s="6">
        <f t="shared" si="98"/>
        <v>0</v>
      </c>
      <c r="X3199" s="6">
        <f t="shared" si="99"/>
        <v>2240</v>
      </c>
    </row>
    <row r="3200" spans="1:24" x14ac:dyDescent="0.3">
      <c r="A3200" t="s">
        <v>4605</v>
      </c>
      <c r="B3200" t="s">
        <v>4679</v>
      </c>
      <c r="C3200" t="s">
        <v>23</v>
      </c>
      <c r="D3200" t="s">
        <v>24</v>
      </c>
      <c r="E3200" t="s">
        <v>25</v>
      </c>
      <c r="F3200">
        <v>1</v>
      </c>
      <c r="G3200">
        <v>9791133140596</v>
      </c>
      <c r="H3200" t="s">
        <v>32</v>
      </c>
      <c r="I3200" t="s">
        <v>4680</v>
      </c>
      <c r="J3200" t="s">
        <v>1627</v>
      </c>
      <c r="K3200" t="s">
        <v>29</v>
      </c>
      <c r="L3200" s="1">
        <v>3200</v>
      </c>
      <c r="M3200" t="s">
        <v>29</v>
      </c>
      <c r="N3200" s="1">
        <v>3200</v>
      </c>
      <c r="O3200" s="1">
        <v>3200</v>
      </c>
      <c r="P3200" t="s">
        <v>30</v>
      </c>
      <c r="Q3200" s="2">
        <v>0.7</v>
      </c>
      <c r="R3200" s="1">
        <v>2240</v>
      </c>
      <c r="S3200" t="s">
        <v>29</v>
      </c>
      <c r="T3200" s="1">
        <v>2240</v>
      </c>
      <c r="V3200" t="str">
        <f>VLOOKUP(H3200,'[1]팀별 출판사'!A:B,2,0)</f>
        <v>소설1팀</v>
      </c>
      <c r="W3200" s="6">
        <f t="shared" si="98"/>
        <v>0</v>
      </c>
      <c r="X3200" s="6">
        <f t="shared" si="99"/>
        <v>2240</v>
      </c>
    </row>
    <row r="3201" spans="1:24" x14ac:dyDescent="0.3">
      <c r="A3201" t="s">
        <v>4605</v>
      </c>
      <c r="B3201" t="s">
        <v>4681</v>
      </c>
      <c r="C3201" t="s">
        <v>23</v>
      </c>
      <c r="D3201" t="s">
        <v>24</v>
      </c>
      <c r="E3201" t="s">
        <v>25</v>
      </c>
      <c r="F3201">
        <v>1</v>
      </c>
      <c r="G3201">
        <v>9791136931375</v>
      </c>
      <c r="H3201" t="s">
        <v>32</v>
      </c>
      <c r="I3201" t="s">
        <v>189</v>
      </c>
      <c r="J3201" t="s">
        <v>46</v>
      </c>
      <c r="K3201" t="s">
        <v>29</v>
      </c>
      <c r="L3201">
        <v>0</v>
      </c>
      <c r="M3201" t="s">
        <v>47</v>
      </c>
      <c r="N3201">
        <v>0</v>
      </c>
      <c r="O3201">
        <v>0</v>
      </c>
      <c r="P3201" t="s">
        <v>48</v>
      </c>
      <c r="Q3201" s="2">
        <v>0.7</v>
      </c>
      <c r="R3201">
        <v>0</v>
      </c>
      <c r="V3201" t="str">
        <f>VLOOKUP(H3201,'[1]팀별 출판사'!A:B,2,0)</f>
        <v>소설1팀</v>
      </c>
      <c r="W3201" s="6">
        <f t="shared" si="98"/>
        <v>0</v>
      </c>
      <c r="X3201" s="6">
        <f t="shared" si="99"/>
        <v>0</v>
      </c>
    </row>
    <row r="3202" spans="1:24" x14ac:dyDescent="0.3">
      <c r="A3202" t="s">
        <v>4605</v>
      </c>
      <c r="B3202" t="s">
        <v>4682</v>
      </c>
      <c r="C3202" t="s">
        <v>23</v>
      </c>
      <c r="D3202" t="s">
        <v>24</v>
      </c>
      <c r="E3202" t="s">
        <v>25</v>
      </c>
      <c r="F3202">
        <v>1</v>
      </c>
      <c r="G3202">
        <v>9791175303966</v>
      </c>
      <c r="H3202" t="s">
        <v>79</v>
      </c>
      <c r="I3202" t="s">
        <v>570</v>
      </c>
      <c r="J3202" t="s">
        <v>571</v>
      </c>
      <c r="K3202" t="s">
        <v>29</v>
      </c>
      <c r="L3202">
        <v>0</v>
      </c>
      <c r="M3202" t="s">
        <v>29</v>
      </c>
      <c r="N3202">
        <v>0</v>
      </c>
      <c r="O3202">
        <v>0</v>
      </c>
      <c r="P3202" t="s">
        <v>30</v>
      </c>
      <c r="Q3202" s="2">
        <v>0.7</v>
      </c>
      <c r="R3202">
        <v>0</v>
      </c>
      <c r="V3202" t="str">
        <f>VLOOKUP(H3202,'[1]팀별 출판사'!A:B,2,0)</f>
        <v>소설1팀</v>
      </c>
      <c r="W3202" s="6">
        <f t="shared" ref="W3202:W3265" si="100">IF(P3202="US", T3202*30%, 0)</f>
        <v>0</v>
      </c>
      <c r="X3202" s="6">
        <f t="shared" ref="X3202:X3265" si="101">T3202-W3202</f>
        <v>0</v>
      </c>
    </row>
    <row r="3203" spans="1:24" x14ac:dyDescent="0.3">
      <c r="A3203" t="s">
        <v>4605</v>
      </c>
      <c r="B3203" t="s">
        <v>4683</v>
      </c>
      <c r="C3203" t="s">
        <v>23</v>
      </c>
      <c r="D3203" t="s">
        <v>24</v>
      </c>
      <c r="E3203" t="s">
        <v>25</v>
      </c>
      <c r="F3203">
        <v>1</v>
      </c>
      <c r="G3203">
        <v>9791136931375</v>
      </c>
      <c r="H3203" t="s">
        <v>32</v>
      </c>
      <c r="I3203" t="s">
        <v>189</v>
      </c>
      <c r="J3203" t="s">
        <v>46</v>
      </c>
      <c r="K3203" t="s">
        <v>29</v>
      </c>
      <c r="L3203">
        <v>0</v>
      </c>
      <c r="M3203" t="s">
        <v>152</v>
      </c>
      <c r="N3203">
        <v>0</v>
      </c>
      <c r="O3203">
        <v>0</v>
      </c>
      <c r="P3203" t="s">
        <v>153</v>
      </c>
      <c r="Q3203" s="2">
        <v>0.7</v>
      </c>
      <c r="R3203">
        <v>0</v>
      </c>
      <c r="V3203" t="str">
        <f>VLOOKUP(H3203,'[1]팀별 출판사'!A:B,2,0)</f>
        <v>소설1팀</v>
      </c>
      <c r="W3203" s="6">
        <f t="shared" si="100"/>
        <v>0</v>
      </c>
      <c r="X3203" s="6">
        <f t="shared" si="101"/>
        <v>0</v>
      </c>
    </row>
    <row r="3204" spans="1:24" x14ac:dyDescent="0.3">
      <c r="A3204" t="s">
        <v>4605</v>
      </c>
      <c r="B3204" t="s">
        <v>4684</v>
      </c>
      <c r="C3204" t="s">
        <v>23</v>
      </c>
      <c r="D3204" t="s">
        <v>24</v>
      </c>
      <c r="E3204" t="s">
        <v>25</v>
      </c>
      <c r="F3204">
        <v>1</v>
      </c>
      <c r="G3204">
        <v>9791133143849</v>
      </c>
      <c r="H3204" t="s">
        <v>32</v>
      </c>
      <c r="I3204" t="s">
        <v>2815</v>
      </c>
      <c r="J3204" t="s">
        <v>88</v>
      </c>
      <c r="K3204" t="s">
        <v>29</v>
      </c>
      <c r="L3204" s="1">
        <v>3200</v>
      </c>
      <c r="M3204" t="s">
        <v>29</v>
      </c>
      <c r="N3204" s="1">
        <v>3200</v>
      </c>
      <c r="O3204" s="1">
        <v>3200</v>
      </c>
      <c r="P3204" t="s">
        <v>30</v>
      </c>
      <c r="Q3204" s="2">
        <v>0.7</v>
      </c>
      <c r="R3204" s="1">
        <v>2240</v>
      </c>
      <c r="S3204" t="s">
        <v>29</v>
      </c>
      <c r="T3204" s="1">
        <v>2240</v>
      </c>
      <c r="V3204" t="str">
        <f>VLOOKUP(H3204,'[1]팀별 출판사'!A:B,2,0)</f>
        <v>소설1팀</v>
      </c>
      <c r="W3204" s="6">
        <f t="shared" si="100"/>
        <v>0</v>
      </c>
      <c r="X3204" s="6">
        <f t="shared" si="101"/>
        <v>2240</v>
      </c>
    </row>
    <row r="3205" spans="1:24" x14ac:dyDescent="0.3">
      <c r="A3205" t="s">
        <v>4605</v>
      </c>
      <c r="B3205" t="s">
        <v>4685</v>
      </c>
      <c r="C3205" t="s">
        <v>23</v>
      </c>
      <c r="D3205" t="s">
        <v>24</v>
      </c>
      <c r="E3205" t="s">
        <v>25</v>
      </c>
      <c r="F3205">
        <v>1</v>
      </c>
      <c r="G3205">
        <v>9791136910974</v>
      </c>
      <c r="H3205" t="s">
        <v>26</v>
      </c>
      <c r="I3205" t="s">
        <v>568</v>
      </c>
      <c r="J3205" t="s">
        <v>160</v>
      </c>
      <c r="K3205" t="s">
        <v>29</v>
      </c>
      <c r="L3205">
        <v>0</v>
      </c>
      <c r="M3205" t="s">
        <v>29</v>
      </c>
      <c r="N3205">
        <v>0</v>
      </c>
      <c r="O3205">
        <v>0</v>
      </c>
      <c r="P3205" t="s">
        <v>30</v>
      </c>
      <c r="Q3205" s="2">
        <v>0.7</v>
      </c>
      <c r="R3205">
        <v>0</v>
      </c>
      <c r="V3205" t="str">
        <f>VLOOKUP(H3205,'[1]팀별 출판사'!A:B,2,0)</f>
        <v>소설1팀</v>
      </c>
      <c r="W3205" s="6">
        <f t="shared" si="100"/>
        <v>0</v>
      </c>
      <c r="X3205" s="6">
        <f t="shared" si="101"/>
        <v>0</v>
      </c>
    </row>
    <row r="3206" spans="1:24" x14ac:dyDescent="0.3">
      <c r="A3206" t="s">
        <v>4605</v>
      </c>
      <c r="B3206" t="s">
        <v>4686</v>
      </c>
      <c r="C3206" t="s">
        <v>23</v>
      </c>
      <c r="D3206" t="s">
        <v>24</v>
      </c>
      <c r="E3206" t="s">
        <v>25</v>
      </c>
      <c r="F3206">
        <v>1</v>
      </c>
      <c r="G3206">
        <v>9791172928001</v>
      </c>
      <c r="H3206" t="s">
        <v>26</v>
      </c>
      <c r="I3206" t="s">
        <v>4687</v>
      </c>
      <c r="J3206" t="s">
        <v>941</v>
      </c>
      <c r="K3206" t="s">
        <v>29</v>
      </c>
      <c r="L3206">
        <v>0</v>
      </c>
      <c r="M3206" t="s">
        <v>29</v>
      </c>
      <c r="N3206">
        <v>0</v>
      </c>
      <c r="O3206">
        <v>0</v>
      </c>
      <c r="P3206" t="s">
        <v>30</v>
      </c>
      <c r="Q3206" s="2">
        <v>0.7</v>
      </c>
      <c r="R3206">
        <v>0</v>
      </c>
      <c r="V3206" t="str">
        <f>VLOOKUP(H3206,'[1]팀별 출판사'!A:B,2,0)</f>
        <v>소설1팀</v>
      </c>
      <c r="W3206" s="6">
        <f t="shared" si="100"/>
        <v>0</v>
      </c>
      <c r="X3206" s="6">
        <f t="shared" si="101"/>
        <v>0</v>
      </c>
    </row>
    <row r="3207" spans="1:24" x14ac:dyDescent="0.3">
      <c r="A3207" t="s">
        <v>4605</v>
      </c>
      <c r="B3207" t="s">
        <v>4688</v>
      </c>
      <c r="C3207" t="s">
        <v>23</v>
      </c>
      <c r="D3207" t="s">
        <v>24</v>
      </c>
      <c r="E3207" t="s">
        <v>25</v>
      </c>
      <c r="F3207">
        <v>1</v>
      </c>
      <c r="G3207">
        <v>9791173786006</v>
      </c>
      <c r="H3207" t="s">
        <v>26</v>
      </c>
      <c r="I3207" t="s">
        <v>3556</v>
      </c>
      <c r="J3207" t="s">
        <v>81</v>
      </c>
      <c r="K3207" t="s">
        <v>29</v>
      </c>
      <c r="L3207" s="1">
        <v>3200</v>
      </c>
      <c r="M3207" t="s">
        <v>29</v>
      </c>
      <c r="N3207" s="1">
        <v>3200</v>
      </c>
      <c r="O3207" s="1">
        <v>3200</v>
      </c>
      <c r="P3207" t="s">
        <v>30</v>
      </c>
      <c r="Q3207" s="2">
        <v>0.7</v>
      </c>
      <c r="R3207" s="1">
        <v>2240</v>
      </c>
      <c r="S3207" t="s">
        <v>29</v>
      </c>
      <c r="T3207" s="1">
        <v>2240</v>
      </c>
      <c r="V3207" t="str">
        <f>VLOOKUP(H3207,'[1]팀별 출판사'!A:B,2,0)</f>
        <v>소설1팀</v>
      </c>
      <c r="W3207" s="6">
        <f t="shared" si="100"/>
        <v>0</v>
      </c>
      <c r="X3207" s="6">
        <f t="shared" si="101"/>
        <v>2240</v>
      </c>
    </row>
    <row r="3208" spans="1:24" x14ac:dyDescent="0.3">
      <c r="A3208" t="s">
        <v>4605</v>
      </c>
      <c r="B3208" t="s">
        <v>4689</v>
      </c>
      <c r="C3208" t="s">
        <v>23</v>
      </c>
      <c r="D3208" t="s">
        <v>24</v>
      </c>
      <c r="E3208" t="s">
        <v>25</v>
      </c>
      <c r="F3208">
        <v>1</v>
      </c>
      <c r="G3208">
        <v>9791133140602</v>
      </c>
      <c r="H3208" t="s">
        <v>32</v>
      </c>
      <c r="I3208" t="s">
        <v>4690</v>
      </c>
      <c r="J3208" t="s">
        <v>1627</v>
      </c>
      <c r="K3208" t="s">
        <v>29</v>
      </c>
      <c r="L3208" s="1">
        <v>3200</v>
      </c>
      <c r="M3208" t="s">
        <v>29</v>
      </c>
      <c r="N3208" s="1">
        <v>3200</v>
      </c>
      <c r="O3208" s="1">
        <v>3200</v>
      </c>
      <c r="P3208" t="s">
        <v>30</v>
      </c>
      <c r="Q3208" s="2">
        <v>0.7</v>
      </c>
      <c r="R3208" s="1">
        <v>2240</v>
      </c>
      <c r="S3208" t="s">
        <v>29</v>
      </c>
      <c r="T3208" s="1">
        <v>2240</v>
      </c>
      <c r="V3208" t="str">
        <f>VLOOKUP(H3208,'[1]팀별 출판사'!A:B,2,0)</f>
        <v>소설1팀</v>
      </c>
      <c r="W3208" s="6">
        <f t="shared" si="100"/>
        <v>0</v>
      </c>
      <c r="X3208" s="6">
        <f t="shared" si="101"/>
        <v>2240</v>
      </c>
    </row>
    <row r="3209" spans="1:24" x14ac:dyDescent="0.3">
      <c r="A3209" t="s">
        <v>4605</v>
      </c>
      <c r="B3209" t="s">
        <v>4691</v>
      </c>
      <c r="C3209" t="s">
        <v>23</v>
      </c>
      <c r="D3209" t="s">
        <v>24</v>
      </c>
      <c r="E3209" t="s">
        <v>25</v>
      </c>
      <c r="F3209">
        <v>1</v>
      </c>
      <c r="G3209">
        <v>9791136926784</v>
      </c>
      <c r="H3209" t="s">
        <v>26</v>
      </c>
      <c r="I3209" t="s">
        <v>1421</v>
      </c>
      <c r="J3209" t="s">
        <v>62</v>
      </c>
      <c r="K3209" t="s">
        <v>29</v>
      </c>
      <c r="L3209">
        <v>0</v>
      </c>
      <c r="M3209" t="s">
        <v>70</v>
      </c>
      <c r="N3209">
        <v>0</v>
      </c>
      <c r="O3209">
        <v>0</v>
      </c>
      <c r="P3209" t="s">
        <v>71</v>
      </c>
      <c r="Q3209" s="2">
        <v>0.7</v>
      </c>
      <c r="R3209">
        <v>0</v>
      </c>
      <c r="V3209" t="str">
        <f>VLOOKUP(H3209,'[1]팀별 출판사'!A:B,2,0)</f>
        <v>소설1팀</v>
      </c>
      <c r="W3209" s="6">
        <f t="shared" si="100"/>
        <v>0</v>
      </c>
      <c r="X3209" s="6">
        <f t="shared" si="101"/>
        <v>0</v>
      </c>
    </row>
    <row r="3210" spans="1:24" x14ac:dyDescent="0.3">
      <c r="A3210" t="s">
        <v>4605</v>
      </c>
      <c r="B3210" t="s">
        <v>4692</v>
      </c>
      <c r="C3210" t="s">
        <v>23</v>
      </c>
      <c r="D3210" t="s">
        <v>24</v>
      </c>
      <c r="E3210" t="s">
        <v>25</v>
      </c>
      <c r="F3210">
        <v>1</v>
      </c>
      <c r="G3210">
        <v>9791136946782</v>
      </c>
      <c r="H3210" t="s">
        <v>26</v>
      </c>
      <c r="I3210" t="s">
        <v>291</v>
      </c>
      <c r="J3210" t="s">
        <v>28</v>
      </c>
      <c r="K3210" t="s">
        <v>29</v>
      </c>
      <c r="L3210">
        <v>0</v>
      </c>
      <c r="M3210" t="s">
        <v>29</v>
      </c>
      <c r="N3210">
        <v>0</v>
      </c>
      <c r="O3210">
        <v>0</v>
      </c>
      <c r="P3210" t="s">
        <v>30</v>
      </c>
      <c r="Q3210" s="2">
        <v>0.7</v>
      </c>
      <c r="R3210">
        <v>0</v>
      </c>
      <c r="V3210" t="str">
        <f>VLOOKUP(H3210,'[1]팀별 출판사'!A:B,2,0)</f>
        <v>소설1팀</v>
      </c>
      <c r="W3210" s="6">
        <f t="shared" si="100"/>
        <v>0</v>
      </c>
      <c r="X3210" s="6">
        <f t="shared" si="101"/>
        <v>0</v>
      </c>
    </row>
    <row r="3211" spans="1:24" x14ac:dyDescent="0.3">
      <c r="A3211" t="s">
        <v>4605</v>
      </c>
      <c r="B3211" t="s">
        <v>4693</v>
      </c>
      <c r="C3211" t="s">
        <v>23</v>
      </c>
      <c r="D3211" t="s">
        <v>24</v>
      </c>
      <c r="E3211" t="s">
        <v>25</v>
      </c>
      <c r="F3211">
        <v>1</v>
      </c>
      <c r="G3211">
        <v>9791133167227</v>
      </c>
      <c r="H3211" t="s">
        <v>32</v>
      </c>
      <c r="I3211" t="s">
        <v>313</v>
      </c>
      <c r="J3211" t="s">
        <v>160</v>
      </c>
      <c r="K3211" t="s">
        <v>29</v>
      </c>
      <c r="L3211">
        <v>0</v>
      </c>
      <c r="M3211" t="s">
        <v>29</v>
      </c>
      <c r="N3211">
        <v>0</v>
      </c>
      <c r="O3211">
        <v>0</v>
      </c>
      <c r="P3211" t="s">
        <v>30</v>
      </c>
      <c r="Q3211" s="2">
        <v>0.7</v>
      </c>
      <c r="R3211">
        <v>0</v>
      </c>
      <c r="V3211" t="str">
        <f>VLOOKUP(H3211,'[1]팀별 출판사'!A:B,2,0)</f>
        <v>소설1팀</v>
      </c>
      <c r="W3211" s="6">
        <f t="shared" si="100"/>
        <v>0</v>
      </c>
      <c r="X3211" s="6">
        <f t="shared" si="101"/>
        <v>0</v>
      </c>
    </row>
    <row r="3212" spans="1:24" x14ac:dyDescent="0.3">
      <c r="A3212" t="s">
        <v>4605</v>
      </c>
      <c r="B3212" t="s">
        <v>4694</v>
      </c>
      <c r="C3212" t="s">
        <v>23</v>
      </c>
      <c r="D3212" t="s">
        <v>24</v>
      </c>
      <c r="E3212" t="s">
        <v>25</v>
      </c>
      <c r="F3212">
        <v>1</v>
      </c>
      <c r="G3212">
        <v>9791136942418</v>
      </c>
      <c r="H3212" t="s">
        <v>26</v>
      </c>
      <c r="I3212" t="s">
        <v>2055</v>
      </c>
      <c r="J3212" t="s">
        <v>284</v>
      </c>
      <c r="K3212" t="s">
        <v>29</v>
      </c>
      <c r="L3212">
        <v>0</v>
      </c>
      <c r="M3212" t="s">
        <v>29</v>
      </c>
      <c r="N3212">
        <v>0</v>
      </c>
      <c r="O3212">
        <v>0</v>
      </c>
      <c r="P3212" t="s">
        <v>30</v>
      </c>
      <c r="Q3212" s="2">
        <v>0.7</v>
      </c>
      <c r="R3212">
        <v>0</v>
      </c>
      <c r="V3212" t="str">
        <f>VLOOKUP(H3212,'[1]팀별 출판사'!A:B,2,0)</f>
        <v>소설1팀</v>
      </c>
      <c r="W3212" s="6">
        <f t="shared" si="100"/>
        <v>0</v>
      </c>
      <c r="X3212" s="6">
        <f t="shared" si="101"/>
        <v>0</v>
      </c>
    </row>
    <row r="3213" spans="1:24" x14ac:dyDescent="0.3">
      <c r="A3213" t="s">
        <v>4605</v>
      </c>
      <c r="B3213" t="s">
        <v>4695</v>
      </c>
      <c r="C3213" t="s">
        <v>23</v>
      </c>
      <c r="D3213" t="s">
        <v>24</v>
      </c>
      <c r="E3213" t="s">
        <v>25</v>
      </c>
      <c r="F3213">
        <v>1</v>
      </c>
      <c r="G3213">
        <v>9791172924881</v>
      </c>
      <c r="H3213" t="s">
        <v>26</v>
      </c>
      <c r="I3213" t="s">
        <v>4696</v>
      </c>
      <c r="J3213" t="s">
        <v>62</v>
      </c>
      <c r="K3213" t="s">
        <v>29</v>
      </c>
      <c r="L3213" s="1">
        <v>3200</v>
      </c>
      <c r="M3213" t="s">
        <v>29</v>
      </c>
      <c r="N3213" s="1">
        <v>3200</v>
      </c>
      <c r="O3213" s="1">
        <v>3200</v>
      </c>
      <c r="P3213" t="s">
        <v>30</v>
      </c>
      <c r="Q3213" s="2">
        <v>0.7</v>
      </c>
      <c r="R3213" s="1">
        <v>2240</v>
      </c>
      <c r="S3213" t="s">
        <v>29</v>
      </c>
      <c r="T3213" s="1">
        <v>2240</v>
      </c>
      <c r="V3213" t="str">
        <f>VLOOKUP(H3213,'[1]팀별 출판사'!A:B,2,0)</f>
        <v>소설1팀</v>
      </c>
      <c r="W3213" s="6">
        <f t="shared" si="100"/>
        <v>0</v>
      </c>
      <c r="X3213" s="6">
        <f t="shared" si="101"/>
        <v>2240</v>
      </c>
    </row>
    <row r="3214" spans="1:24" x14ac:dyDescent="0.3">
      <c r="A3214" t="s">
        <v>4605</v>
      </c>
      <c r="B3214" t="s">
        <v>4697</v>
      </c>
      <c r="C3214" t="s">
        <v>23</v>
      </c>
      <c r="D3214" t="s">
        <v>24</v>
      </c>
      <c r="E3214" t="s">
        <v>25</v>
      </c>
      <c r="F3214">
        <v>1</v>
      </c>
      <c r="G3214">
        <v>9791136979452</v>
      </c>
      <c r="H3214" t="s">
        <v>1617</v>
      </c>
      <c r="I3214" t="s">
        <v>2623</v>
      </c>
      <c r="J3214" t="s">
        <v>2624</v>
      </c>
      <c r="K3214" t="s">
        <v>29</v>
      </c>
      <c r="L3214" s="1">
        <v>5500</v>
      </c>
      <c r="M3214" t="s">
        <v>120</v>
      </c>
      <c r="N3214">
        <v>2.83</v>
      </c>
      <c r="O3214">
        <v>2.83</v>
      </c>
      <c r="P3214" t="s">
        <v>121</v>
      </c>
      <c r="Q3214" s="2">
        <v>0.7</v>
      </c>
      <c r="R3214">
        <v>1.98</v>
      </c>
      <c r="S3214" t="s">
        <v>29</v>
      </c>
      <c r="T3214" s="1">
        <v>3860</v>
      </c>
      <c r="U3214" s="3">
        <v>1950.17326</v>
      </c>
      <c r="V3214" t="str">
        <f>VLOOKUP(H3214,'[1]팀별 출판사'!A:B,2,0)</f>
        <v>소설2팀</v>
      </c>
      <c r="W3214" s="6">
        <f t="shared" si="100"/>
        <v>0</v>
      </c>
      <c r="X3214" s="6">
        <f t="shared" si="101"/>
        <v>3860</v>
      </c>
    </row>
    <row r="3215" spans="1:24" x14ac:dyDescent="0.3">
      <c r="A3215" t="s">
        <v>4605</v>
      </c>
      <c r="B3215" t="s">
        <v>4698</v>
      </c>
      <c r="C3215" t="s">
        <v>23</v>
      </c>
      <c r="D3215" t="s">
        <v>24</v>
      </c>
      <c r="E3215" t="s">
        <v>25</v>
      </c>
      <c r="F3215">
        <v>1</v>
      </c>
      <c r="G3215">
        <v>9791170105800</v>
      </c>
      <c r="H3215" t="s">
        <v>67</v>
      </c>
      <c r="I3215" t="s">
        <v>2921</v>
      </c>
      <c r="J3215" t="s">
        <v>2922</v>
      </c>
      <c r="K3215" t="s">
        <v>29</v>
      </c>
      <c r="L3215">
        <v>0</v>
      </c>
      <c r="M3215" t="s">
        <v>193</v>
      </c>
      <c r="N3215">
        <v>0</v>
      </c>
      <c r="O3215">
        <v>0</v>
      </c>
      <c r="P3215" t="s">
        <v>194</v>
      </c>
      <c r="Q3215" s="2">
        <v>0.7</v>
      </c>
      <c r="R3215">
        <v>0</v>
      </c>
      <c r="V3215" t="str">
        <f>VLOOKUP(H3215,'[1]팀별 출판사'!A:B,2,0)</f>
        <v>소설1팀</v>
      </c>
      <c r="W3215" s="6">
        <f t="shared" si="100"/>
        <v>0</v>
      </c>
      <c r="X3215" s="6">
        <f t="shared" si="101"/>
        <v>0</v>
      </c>
    </row>
    <row r="3216" spans="1:24" x14ac:dyDescent="0.3">
      <c r="A3216" t="s">
        <v>4605</v>
      </c>
      <c r="B3216" t="s">
        <v>4699</v>
      </c>
      <c r="C3216" t="s">
        <v>23</v>
      </c>
      <c r="D3216" t="s">
        <v>24</v>
      </c>
      <c r="E3216" t="s">
        <v>25</v>
      </c>
      <c r="F3216">
        <v>1</v>
      </c>
      <c r="G3216">
        <v>9791136943361</v>
      </c>
      <c r="H3216" t="s">
        <v>26</v>
      </c>
      <c r="I3216" t="s">
        <v>2346</v>
      </c>
      <c r="J3216" t="s">
        <v>284</v>
      </c>
      <c r="K3216" t="s">
        <v>29</v>
      </c>
      <c r="L3216">
        <v>0</v>
      </c>
      <c r="M3216" t="s">
        <v>29</v>
      </c>
      <c r="N3216">
        <v>0</v>
      </c>
      <c r="O3216">
        <v>0</v>
      </c>
      <c r="P3216" t="s">
        <v>30</v>
      </c>
      <c r="Q3216" s="2">
        <v>0.7</v>
      </c>
      <c r="R3216">
        <v>0</v>
      </c>
      <c r="V3216" t="str">
        <f>VLOOKUP(H3216,'[1]팀별 출판사'!A:B,2,0)</f>
        <v>소설1팀</v>
      </c>
      <c r="W3216" s="6">
        <f t="shared" si="100"/>
        <v>0</v>
      </c>
      <c r="X3216" s="6">
        <f t="shared" si="101"/>
        <v>0</v>
      </c>
    </row>
    <row r="3217" spans="1:24" x14ac:dyDescent="0.3">
      <c r="A3217" t="s">
        <v>4605</v>
      </c>
      <c r="B3217" t="s">
        <v>4700</v>
      </c>
      <c r="C3217" t="s">
        <v>23</v>
      </c>
      <c r="D3217" t="s">
        <v>24</v>
      </c>
      <c r="E3217" t="s">
        <v>25</v>
      </c>
      <c r="F3217">
        <v>1</v>
      </c>
      <c r="G3217">
        <v>9791136931375</v>
      </c>
      <c r="H3217" t="s">
        <v>32</v>
      </c>
      <c r="I3217" t="s">
        <v>189</v>
      </c>
      <c r="J3217" t="s">
        <v>46</v>
      </c>
      <c r="K3217" t="s">
        <v>29</v>
      </c>
      <c r="L3217">
        <v>0</v>
      </c>
      <c r="M3217" t="s">
        <v>47</v>
      </c>
      <c r="N3217">
        <v>0</v>
      </c>
      <c r="O3217">
        <v>0</v>
      </c>
      <c r="P3217" t="s">
        <v>48</v>
      </c>
      <c r="Q3217" s="2">
        <v>0.7</v>
      </c>
      <c r="R3217">
        <v>0</v>
      </c>
      <c r="V3217" t="str">
        <f>VLOOKUP(H3217,'[1]팀별 출판사'!A:B,2,0)</f>
        <v>소설1팀</v>
      </c>
      <c r="W3217" s="6">
        <f t="shared" si="100"/>
        <v>0</v>
      </c>
      <c r="X3217" s="6">
        <f t="shared" si="101"/>
        <v>0</v>
      </c>
    </row>
    <row r="3218" spans="1:24" x14ac:dyDescent="0.3">
      <c r="A3218" t="s">
        <v>4605</v>
      </c>
      <c r="B3218" t="s">
        <v>4701</v>
      </c>
      <c r="C3218" t="s">
        <v>23</v>
      </c>
      <c r="D3218" t="s">
        <v>24</v>
      </c>
      <c r="E3218" t="s">
        <v>25</v>
      </c>
      <c r="F3218">
        <v>1</v>
      </c>
      <c r="G3218">
        <v>9791133150304</v>
      </c>
      <c r="H3218" t="s">
        <v>32</v>
      </c>
      <c r="I3218" t="s">
        <v>4702</v>
      </c>
      <c r="J3218" t="s">
        <v>178</v>
      </c>
      <c r="K3218" t="s">
        <v>29</v>
      </c>
      <c r="L3218" s="1">
        <v>3200</v>
      </c>
      <c r="M3218" t="s">
        <v>29</v>
      </c>
      <c r="N3218" s="1">
        <v>3200</v>
      </c>
      <c r="O3218" s="1">
        <v>3200</v>
      </c>
      <c r="P3218" t="s">
        <v>30</v>
      </c>
      <c r="Q3218" s="2">
        <v>0.7</v>
      </c>
      <c r="R3218" s="1">
        <v>2240</v>
      </c>
      <c r="S3218" t="s">
        <v>29</v>
      </c>
      <c r="T3218" s="1">
        <v>2240</v>
      </c>
      <c r="V3218" t="str">
        <f>VLOOKUP(H3218,'[1]팀별 출판사'!A:B,2,0)</f>
        <v>소설1팀</v>
      </c>
      <c r="W3218" s="6">
        <f t="shared" si="100"/>
        <v>0</v>
      </c>
      <c r="X3218" s="6">
        <f t="shared" si="101"/>
        <v>2240</v>
      </c>
    </row>
    <row r="3219" spans="1:24" x14ac:dyDescent="0.3">
      <c r="A3219" t="s">
        <v>4605</v>
      </c>
      <c r="B3219" t="s">
        <v>4703</v>
      </c>
      <c r="C3219" t="s">
        <v>23</v>
      </c>
      <c r="D3219" t="s">
        <v>24</v>
      </c>
      <c r="E3219" t="s">
        <v>25</v>
      </c>
      <c r="F3219">
        <v>1</v>
      </c>
      <c r="G3219">
        <v>9791136946799</v>
      </c>
      <c r="H3219" t="s">
        <v>26</v>
      </c>
      <c r="I3219" t="s">
        <v>2449</v>
      </c>
      <c r="J3219" t="s">
        <v>28</v>
      </c>
      <c r="K3219" t="s">
        <v>29</v>
      </c>
      <c r="L3219" s="1">
        <v>3200</v>
      </c>
      <c r="M3219" t="s">
        <v>29</v>
      </c>
      <c r="N3219" s="1">
        <v>3200</v>
      </c>
      <c r="O3219" s="1">
        <v>3200</v>
      </c>
      <c r="P3219" t="s">
        <v>30</v>
      </c>
      <c r="Q3219" s="2">
        <v>0.7</v>
      </c>
      <c r="R3219" s="1">
        <v>2240</v>
      </c>
      <c r="S3219" t="s">
        <v>29</v>
      </c>
      <c r="T3219" s="1">
        <v>2240</v>
      </c>
      <c r="V3219" t="str">
        <f>VLOOKUP(H3219,'[1]팀별 출판사'!A:B,2,0)</f>
        <v>소설1팀</v>
      </c>
      <c r="W3219" s="6">
        <f t="shared" si="100"/>
        <v>0</v>
      </c>
      <c r="X3219" s="6">
        <f t="shared" si="101"/>
        <v>2240</v>
      </c>
    </row>
    <row r="3220" spans="1:24" x14ac:dyDescent="0.3">
      <c r="A3220" t="s">
        <v>4605</v>
      </c>
      <c r="B3220" t="s">
        <v>4703</v>
      </c>
      <c r="C3220" t="s">
        <v>23</v>
      </c>
      <c r="D3220" t="s">
        <v>24</v>
      </c>
      <c r="E3220" t="s">
        <v>25</v>
      </c>
      <c r="F3220">
        <v>1</v>
      </c>
      <c r="G3220">
        <v>9791136946805</v>
      </c>
      <c r="H3220" t="s">
        <v>26</v>
      </c>
      <c r="I3220" t="s">
        <v>2641</v>
      </c>
      <c r="J3220" t="s">
        <v>28</v>
      </c>
      <c r="K3220" t="s">
        <v>29</v>
      </c>
      <c r="L3220" s="1">
        <v>3200</v>
      </c>
      <c r="M3220" t="s">
        <v>29</v>
      </c>
      <c r="N3220" s="1">
        <v>3200</v>
      </c>
      <c r="O3220" s="1">
        <v>3200</v>
      </c>
      <c r="P3220" t="s">
        <v>30</v>
      </c>
      <c r="Q3220" s="2">
        <v>0.7</v>
      </c>
      <c r="R3220" s="1">
        <v>2240</v>
      </c>
      <c r="S3220" t="s">
        <v>29</v>
      </c>
      <c r="T3220" s="1">
        <v>2240</v>
      </c>
      <c r="V3220" t="str">
        <f>VLOOKUP(H3220,'[1]팀별 출판사'!A:B,2,0)</f>
        <v>소설1팀</v>
      </c>
      <c r="W3220" s="6">
        <f t="shared" si="100"/>
        <v>0</v>
      </c>
      <c r="X3220" s="6">
        <f t="shared" si="101"/>
        <v>2240</v>
      </c>
    </row>
    <row r="3221" spans="1:24" x14ac:dyDescent="0.3">
      <c r="A3221" t="s">
        <v>4605</v>
      </c>
      <c r="B3221" t="s">
        <v>4703</v>
      </c>
      <c r="C3221" t="s">
        <v>23</v>
      </c>
      <c r="D3221" t="s">
        <v>24</v>
      </c>
      <c r="E3221" t="s">
        <v>25</v>
      </c>
      <c r="F3221">
        <v>1</v>
      </c>
      <c r="G3221">
        <v>9791136946898</v>
      </c>
      <c r="H3221" t="s">
        <v>26</v>
      </c>
      <c r="I3221" t="s">
        <v>4704</v>
      </c>
      <c r="J3221" t="s">
        <v>28</v>
      </c>
      <c r="K3221" t="s">
        <v>29</v>
      </c>
      <c r="L3221" s="1">
        <v>3200</v>
      </c>
      <c r="M3221" t="s">
        <v>29</v>
      </c>
      <c r="N3221" s="1">
        <v>3200</v>
      </c>
      <c r="O3221" s="1">
        <v>3200</v>
      </c>
      <c r="P3221" t="s">
        <v>30</v>
      </c>
      <c r="Q3221" s="2">
        <v>0.7</v>
      </c>
      <c r="R3221" s="1">
        <v>2240</v>
      </c>
      <c r="S3221" t="s">
        <v>29</v>
      </c>
      <c r="T3221" s="1">
        <v>2240</v>
      </c>
      <c r="V3221" t="str">
        <f>VLOOKUP(H3221,'[1]팀별 출판사'!A:B,2,0)</f>
        <v>소설1팀</v>
      </c>
      <c r="W3221" s="6">
        <f t="shared" si="100"/>
        <v>0</v>
      </c>
      <c r="X3221" s="6">
        <f t="shared" si="101"/>
        <v>2240</v>
      </c>
    </row>
    <row r="3222" spans="1:24" x14ac:dyDescent="0.3">
      <c r="A3222" t="s">
        <v>4605</v>
      </c>
      <c r="B3222" t="s">
        <v>4703</v>
      </c>
      <c r="C3222" t="s">
        <v>23</v>
      </c>
      <c r="D3222" t="s">
        <v>24</v>
      </c>
      <c r="E3222" t="s">
        <v>25</v>
      </c>
      <c r="F3222">
        <v>1</v>
      </c>
      <c r="G3222">
        <v>9791136946904</v>
      </c>
      <c r="H3222" t="s">
        <v>26</v>
      </c>
      <c r="I3222" t="s">
        <v>4705</v>
      </c>
      <c r="J3222" t="s">
        <v>28</v>
      </c>
      <c r="K3222" t="s">
        <v>29</v>
      </c>
      <c r="L3222" s="1">
        <v>3200</v>
      </c>
      <c r="M3222" t="s">
        <v>29</v>
      </c>
      <c r="N3222" s="1">
        <v>3200</v>
      </c>
      <c r="O3222" s="1">
        <v>3200</v>
      </c>
      <c r="P3222" t="s">
        <v>30</v>
      </c>
      <c r="Q3222" s="2">
        <v>0.7</v>
      </c>
      <c r="R3222" s="1">
        <v>2240</v>
      </c>
      <c r="S3222" t="s">
        <v>29</v>
      </c>
      <c r="T3222" s="1">
        <v>2240</v>
      </c>
      <c r="V3222" t="str">
        <f>VLOOKUP(H3222,'[1]팀별 출판사'!A:B,2,0)</f>
        <v>소설1팀</v>
      </c>
      <c r="W3222" s="6">
        <f t="shared" si="100"/>
        <v>0</v>
      </c>
      <c r="X3222" s="6">
        <f t="shared" si="101"/>
        <v>2240</v>
      </c>
    </row>
    <row r="3223" spans="1:24" x14ac:dyDescent="0.3">
      <c r="A3223" t="s">
        <v>4605</v>
      </c>
      <c r="B3223" t="s">
        <v>4703</v>
      </c>
      <c r="C3223" t="s">
        <v>23</v>
      </c>
      <c r="D3223" t="s">
        <v>24</v>
      </c>
      <c r="E3223" t="s">
        <v>25</v>
      </c>
      <c r="F3223">
        <v>1</v>
      </c>
      <c r="G3223">
        <v>9791136946911</v>
      </c>
      <c r="H3223" t="s">
        <v>26</v>
      </c>
      <c r="I3223" t="s">
        <v>4706</v>
      </c>
      <c r="J3223" t="s">
        <v>28</v>
      </c>
      <c r="K3223" t="s">
        <v>29</v>
      </c>
      <c r="L3223" s="1">
        <v>3200</v>
      </c>
      <c r="M3223" t="s">
        <v>29</v>
      </c>
      <c r="N3223" s="1">
        <v>3200</v>
      </c>
      <c r="O3223" s="1">
        <v>3200</v>
      </c>
      <c r="P3223" t="s">
        <v>30</v>
      </c>
      <c r="Q3223" s="2">
        <v>0.7</v>
      </c>
      <c r="R3223" s="1">
        <v>2240</v>
      </c>
      <c r="S3223" t="s">
        <v>29</v>
      </c>
      <c r="T3223" s="1">
        <v>2240</v>
      </c>
      <c r="V3223" t="str">
        <f>VLOOKUP(H3223,'[1]팀별 출판사'!A:B,2,0)</f>
        <v>소설1팀</v>
      </c>
      <c r="W3223" s="6">
        <f t="shared" si="100"/>
        <v>0</v>
      </c>
      <c r="X3223" s="6">
        <f t="shared" si="101"/>
        <v>2240</v>
      </c>
    </row>
    <row r="3224" spans="1:24" x14ac:dyDescent="0.3">
      <c r="A3224" t="s">
        <v>4605</v>
      </c>
      <c r="B3224" t="s">
        <v>4703</v>
      </c>
      <c r="C3224" t="s">
        <v>23</v>
      </c>
      <c r="D3224" t="s">
        <v>24</v>
      </c>
      <c r="E3224" t="s">
        <v>25</v>
      </c>
      <c r="F3224">
        <v>1</v>
      </c>
      <c r="G3224">
        <v>9791136946928</v>
      </c>
      <c r="H3224" t="s">
        <v>26</v>
      </c>
      <c r="I3224" t="s">
        <v>4707</v>
      </c>
      <c r="J3224" t="s">
        <v>28</v>
      </c>
      <c r="K3224" t="s">
        <v>29</v>
      </c>
      <c r="L3224" s="1">
        <v>3200</v>
      </c>
      <c r="M3224" t="s">
        <v>29</v>
      </c>
      <c r="N3224" s="1">
        <v>3200</v>
      </c>
      <c r="O3224" s="1">
        <v>3200</v>
      </c>
      <c r="P3224" t="s">
        <v>30</v>
      </c>
      <c r="Q3224" s="2">
        <v>0.7</v>
      </c>
      <c r="R3224" s="1">
        <v>2240</v>
      </c>
      <c r="S3224" t="s">
        <v>29</v>
      </c>
      <c r="T3224" s="1">
        <v>2240</v>
      </c>
      <c r="V3224" t="str">
        <f>VLOOKUP(H3224,'[1]팀별 출판사'!A:B,2,0)</f>
        <v>소설1팀</v>
      </c>
      <c r="W3224" s="6">
        <f t="shared" si="100"/>
        <v>0</v>
      </c>
      <c r="X3224" s="6">
        <f t="shared" si="101"/>
        <v>2240</v>
      </c>
    </row>
    <row r="3225" spans="1:24" x14ac:dyDescent="0.3">
      <c r="A3225" t="s">
        <v>4605</v>
      </c>
      <c r="B3225" t="s">
        <v>4703</v>
      </c>
      <c r="C3225" t="s">
        <v>23</v>
      </c>
      <c r="D3225" t="s">
        <v>24</v>
      </c>
      <c r="E3225" t="s">
        <v>25</v>
      </c>
      <c r="F3225">
        <v>1</v>
      </c>
      <c r="G3225">
        <v>9791136946935</v>
      </c>
      <c r="H3225" t="s">
        <v>26</v>
      </c>
      <c r="I3225" t="s">
        <v>4708</v>
      </c>
      <c r="J3225" t="s">
        <v>28</v>
      </c>
      <c r="K3225" t="s">
        <v>29</v>
      </c>
      <c r="L3225" s="1">
        <v>3200</v>
      </c>
      <c r="M3225" t="s">
        <v>29</v>
      </c>
      <c r="N3225" s="1">
        <v>3200</v>
      </c>
      <c r="O3225" s="1">
        <v>3200</v>
      </c>
      <c r="P3225" t="s">
        <v>30</v>
      </c>
      <c r="Q3225" s="2">
        <v>0.7</v>
      </c>
      <c r="R3225" s="1">
        <v>2240</v>
      </c>
      <c r="S3225" t="s">
        <v>29</v>
      </c>
      <c r="T3225" s="1">
        <v>2240</v>
      </c>
      <c r="V3225" t="str">
        <f>VLOOKUP(H3225,'[1]팀별 출판사'!A:B,2,0)</f>
        <v>소설1팀</v>
      </c>
      <c r="W3225" s="6">
        <f t="shared" si="100"/>
        <v>0</v>
      </c>
      <c r="X3225" s="6">
        <f t="shared" si="101"/>
        <v>2240</v>
      </c>
    </row>
    <row r="3226" spans="1:24" x14ac:dyDescent="0.3">
      <c r="A3226" t="s">
        <v>4605</v>
      </c>
      <c r="B3226" t="s">
        <v>4703</v>
      </c>
      <c r="C3226" t="s">
        <v>23</v>
      </c>
      <c r="D3226" t="s">
        <v>24</v>
      </c>
      <c r="E3226" t="s">
        <v>25</v>
      </c>
      <c r="F3226">
        <v>1</v>
      </c>
      <c r="G3226">
        <v>9791136946812</v>
      </c>
      <c r="H3226" t="s">
        <v>26</v>
      </c>
      <c r="I3226" t="s">
        <v>4709</v>
      </c>
      <c r="J3226" t="s">
        <v>28</v>
      </c>
      <c r="K3226" t="s">
        <v>29</v>
      </c>
      <c r="L3226" s="1">
        <v>3200</v>
      </c>
      <c r="M3226" t="s">
        <v>29</v>
      </c>
      <c r="N3226" s="1">
        <v>3200</v>
      </c>
      <c r="O3226" s="1">
        <v>3200</v>
      </c>
      <c r="P3226" t="s">
        <v>30</v>
      </c>
      <c r="Q3226" s="2">
        <v>0.7</v>
      </c>
      <c r="R3226" s="1">
        <v>2240</v>
      </c>
      <c r="S3226" t="s">
        <v>29</v>
      </c>
      <c r="T3226" s="1">
        <v>2240</v>
      </c>
      <c r="V3226" t="str">
        <f>VLOOKUP(H3226,'[1]팀별 출판사'!A:B,2,0)</f>
        <v>소설1팀</v>
      </c>
      <c r="W3226" s="6">
        <f t="shared" si="100"/>
        <v>0</v>
      </c>
      <c r="X3226" s="6">
        <f t="shared" si="101"/>
        <v>2240</v>
      </c>
    </row>
    <row r="3227" spans="1:24" x14ac:dyDescent="0.3">
      <c r="A3227" t="s">
        <v>4605</v>
      </c>
      <c r="B3227" t="s">
        <v>4703</v>
      </c>
      <c r="C3227" t="s">
        <v>23</v>
      </c>
      <c r="D3227" t="s">
        <v>24</v>
      </c>
      <c r="E3227" t="s">
        <v>25</v>
      </c>
      <c r="F3227">
        <v>1</v>
      </c>
      <c r="G3227">
        <v>9791136946829</v>
      </c>
      <c r="H3227" t="s">
        <v>26</v>
      </c>
      <c r="I3227" t="s">
        <v>4710</v>
      </c>
      <c r="J3227" t="s">
        <v>28</v>
      </c>
      <c r="K3227" t="s">
        <v>29</v>
      </c>
      <c r="L3227" s="1">
        <v>3200</v>
      </c>
      <c r="M3227" t="s">
        <v>29</v>
      </c>
      <c r="N3227" s="1">
        <v>3200</v>
      </c>
      <c r="O3227" s="1">
        <v>3200</v>
      </c>
      <c r="P3227" t="s">
        <v>30</v>
      </c>
      <c r="Q3227" s="2">
        <v>0.7</v>
      </c>
      <c r="R3227" s="1">
        <v>2240</v>
      </c>
      <c r="S3227" t="s">
        <v>29</v>
      </c>
      <c r="T3227" s="1">
        <v>2240</v>
      </c>
      <c r="V3227" t="str">
        <f>VLOOKUP(H3227,'[1]팀별 출판사'!A:B,2,0)</f>
        <v>소설1팀</v>
      </c>
      <c r="W3227" s="6">
        <f t="shared" si="100"/>
        <v>0</v>
      </c>
      <c r="X3227" s="6">
        <f t="shared" si="101"/>
        <v>2240</v>
      </c>
    </row>
    <row r="3228" spans="1:24" x14ac:dyDescent="0.3">
      <c r="A3228" t="s">
        <v>4605</v>
      </c>
      <c r="B3228" t="s">
        <v>4703</v>
      </c>
      <c r="C3228" t="s">
        <v>23</v>
      </c>
      <c r="D3228" t="s">
        <v>24</v>
      </c>
      <c r="E3228" t="s">
        <v>25</v>
      </c>
      <c r="F3228">
        <v>1</v>
      </c>
      <c r="G3228">
        <v>9791136946836</v>
      </c>
      <c r="H3228" t="s">
        <v>26</v>
      </c>
      <c r="I3228" t="s">
        <v>4711</v>
      </c>
      <c r="J3228" t="s">
        <v>28</v>
      </c>
      <c r="K3228" t="s">
        <v>29</v>
      </c>
      <c r="L3228" s="1">
        <v>3200</v>
      </c>
      <c r="M3228" t="s">
        <v>29</v>
      </c>
      <c r="N3228" s="1">
        <v>3200</v>
      </c>
      <c r="O3228" s="1">
        <v>3200</v>
      </c>
      <c r="P3228" t="s">
        <v>30</v>
      </c>
      <c r="Q3228" s="2">
        <v>0.7</v>
      </c>
      <c r="R3228" s="1">
        <v>2240</v>
      </c>
      <c r="S3228" t="s">
        <v>29</v>
      </c>
      <c r="T3228" s="1">
        <v>2240</v>
      </c>
      <c r="V3228" t="str">
        <f>VLOOKUP(H3228,'[1]팀별 출판사'!A:B,2,0)</f>
        <v>소설1팀</v>
      </c>
      <c r="W3228" s="6">
        <f t="shared" si="100"/>
        <v>0</v>
      </c>
      <c r="X3228" s="6">
        <f t="shared" si="101"/>
        <v>2240</v>
      </c>
    </row>
    <row r="3229" spans="1:24" x14ac:dyDescent="0.3">
      <c r="A3229" t="s">
        <v>4605</v>
      </c>
      <c r="B3229" t="s">
        <v>4703</v>
      </c>
      <c r="C3229" t="s">
        <v>23</v>
      </c>
      <c r="D3229" t="s">
        <v>24</v>
      </c>
      <c r="E3229" t="s">
        <v>25</v>
      </c>
      <c r="F3229">
        <v>1</v>
      </c>
      <c r="G3229">
        <v>9791136946843</v>
      </c>
      <c r="H3229" t="s">
        <v>26</v>
      </c>
      <c r="I3229" t="s">
        <v>4712</v>
      </c>
      <c r="J3229" t="s">
        <v>28</v>
      </c>
      <c r="K3229" t="s">
        <v>29</v>
      </c>
      <c r="L3229" s="1">
        <v>3200</v>
      </c>
      <c r="M3229" t="s">
        <v>29</v>
      </c>
      <c r="N3229" s="1">
        <v>3200</v>
      </c>
      <c r="O3229" s="1">
        <v>3200</v>
      </c>
      <c r="P3229" t="s">
        <v>30</v>
      </c>
      <c r="Q3229" s="2">
        <v>0.7</v>
      </c>
      <c r="R3229" s="1">
        <v>2240</v>
      </c>
      <c r="S3229" t="s">
        <v>29</v>
      </c>
      <c r="T3229" s="1">
        <v>2240</v>
      </c>
      <c r="V3229" t="str">
        <f>VLOOKUP(H3229,'[1]팀별 출판사'!A:B,2,0)</f>
        <v>소설1팀</v>
      </c>
      <c r="W3229" s="6">
        <f t="shared" si="100"/>
        <v>0</v>
      </c>
      <c r="X3229" s="6">
        <f t="shared" si="101"/>
        <v>2240</v>
      </c>
    </row>
    <row r="3230" spans="1:24" x14ac:dyDescent="0.3">
      <c r="A3230" t="s">
        <v>4605</v>
      </c>
      <c r="B3230" t="s">
        <v>4703</v>
      </c>
      <c r="C3230" t="s">
        <v>23</v>
      </c>
      <c r="D3230" t="s">
        <v>24</v>
      </c>
      <c r="E3230" t="s">
        <v>25</v>
      </c>
      <c r="F3230">
        <v>1</v>
      </c>
      <c r="G3230">
        <v>9791136946850</v>
      </c>
      <c r="H3230" t="s">
        <v>26</v>
      </c>
      <c r="I3230" t="s">
        <v>4713</v>
      </c>
      <c r="J3230" t="s">
        <v>28</v>
      </c>
      <c r="K3230" t="s">
        <v>29</v>
      </c>
      <c r="L3230" s="1">
        <v>3200</v>
      </c>
      <c r="M3230" t="s">
        <v>29</v>
      </c>
      <c r="N3230" s="1">
        <v>3200</v>
      </c>
      <c r="O3230" s="1">
        <v>3200</v>
      </c>
      <c r="P3230" t="s">
        <v>30</v>
      </c>
      <c r="Q3230" s="2">
        <v>0.7</v>
      </c>
      <c r="R3230" s="1">
        <v>2240</v>
      </c>
      <c r="S3230" t="s">
        <v>29</v>
      </c>
      <c r="T3230" s="1">
        <v>2240</v>
      </c>
      <c r="V3230" t="str">
        <f>VLOOKUP(H3230,'[1]팀별 출판사'!A:B,2,0)</f>
        <v>소설1팀</v>
      </c>
      <c r="W3230" s="6">
        <f t="shared" si="100"/>
        <v>0</v>
      </c>
      <c r="X3230" s="6">
        <f t="shared" si="101"/>
        <v>2240</v>
      </c>
    </row>
    <row r="3231" spans="1:24" x14ac:dyDescent="0.3">
      <c r="A3231" t="s">
        <v>4605</v>
      </c>
      <c r="B3231" t="s">
        <v>4703</v>
      </c>
      <c r="C3231" t="s">
        <v>23</v>
      </c>
      <c r="D3231" t="s">
        <v>24</v>
      </c>
      <c r="E3231" t="s">
        <v>25</v>
      </c>
      <c r="F3231">
        <v>1</v>
      </c>
      <c r="G3231">
        <v>9791136946867</v>
      </c>
      <c r="H3231" t="s">
        <v>26</v>
      </c>
      <c r="I3231" t="s">
        <v>4714</v>
      </c>
      <c r="J3231" t="s">
        <v>28</v>
      </c>
      <c r="K3231" t="s">
        <v>29</v>
      </c>
      <c r="L3231" s="1">
        <v>3200</v>
      </c>
      <c r="M3231" t="s">
        <v>29</v>
      </c>
      <c r="N3231" s="1">
        <v>3200</v>
      </c>
      <c r="O3231" s="1">
        <v>3200</v>
      </c>
      <c r="P3231" t="s">
        <v>30</v>
      </c>
      <c r="Q3231" s="2">
        <v>0.7</v>
      </c>
      <c r="R3231" s="1">
        <v>2240</v>
      </c>
      <c r="S3231" t="s">
        <v>29</v>
      </c>
      <c r="T3231" s="1">
        <v>2240</v>
      </c>
      <c r="V3231" t="str">
        <f>VLOOKUP(H3231,'[1]팀별 출판사'!A:B,2,0)</f>
        <v>소설1팀</v>
      </c>
      <c r="W3231" s="6">
        <f t="shared" si="100"/>
        <v>0</v>
      </c>
      <c r="X3231" s="6">
        <f t="shared" si="101"/>
        <v>2240</v>
      </c>
    </row>
    <row r="3232" spans="1:24" x14ac:dyDescent="0.3">
      <c r="A3232" t="s">
        <v>4605</v>
      </c>
      <c r="B3232" t="s">
        <v>4703</v>
      </c>
      <c r="C3232" t="s">
        <v>23</v>
      </c>
      <c r="D3232" t="s">
        <v>24</v>
      </c>
      <c r="E3232" t="s">
        <v>25</v>
      </c>
      <c r="F3232">
        <v>1</v>
      </c>
      <c r="G3232">
        <v>9791136946874</v>
      </c>
      <c r="H3232" t="s">
        <v>26</v>
      </c>
      <c r="I3232" t="s">
        <v>4715</v>
      </c>
      <c r="J3232" t="s">
        <v>28</v>
      </c>
      <c r="K3232" t="s">
        <v>29</v>
      </c>
      <c r="L3232" s="1">
        <v>3200</v>
      </c>
      <c r="M3232" t="s">
        <v>29</v>
      </c>
      <c r="N3232" s="1">
        <v>3200</v>
      </c>
      <c r="O3232" s="1">
        <v>3200</v>
      </c>
      <c r="P3232" t="s">
        <v>30</v>
      </c>
      <c r="Q3232" s="2">
        <v>0.7</v>
      </c>
      <c r="R3232" s="1">
        <v>2240</v>
      </c>
      <c r="S3232" t="s">
        <v>29</v>
      </c>
      <c r="T3232" s="1">
        <v>2240</v>
      </c>
      <c r="V3232" t="str">
        <f>VLOOKUP(H3232,'[1]팀별 출판사'!A:B,2,0)</f>
        <v>소설1팀</v>
      </c>
      <c r="W3232" s="6">
        <f t="shared" si="100"/>
        <v>0</v>
      </c>
      <c r="X3232" s="6">
        <f t="shared" si="101"/>
        <v>2240</v>
      </c>
    </row>
    <row r="3233" spans="1:24" x14ac:dyDescent="0.3">
      <c r="A3233" t="s">
        <v>4605</v>
      </c>
      <c r="B3233" t="s">
        <v>4703</v>
      </c>
      <c r="C3233" t="s">
        <v>23</v>
      </c>
      <c r="D3233" t="s">
        <v>24</v>
      </c>
      <c r="E3233" t="s">
        <v>25</v>
      </c>
      <c r="F3233">
        <v>1</v>
      </c>
      <c r="G3233">
        <v>9791136946881</v>
      </c>
      <c r="H3233" t="s">
        <v>26</v>
      </c>
      <c r="I3233" t="s">
        <v>4716</v>
      </c>
      <c r="J3233" t="s">
        <v>28</v>
      </c>
      <c r="K3233" t="s">
        <v>29</v>
      </c>
      <c r="L3233" s="1">
        <v>3200</v>
      </c>
      <c r="M3233" t="s">
        <v>29</v>
      </c>
      <c r="N3233" s="1">
        <v>3200</v>
      </c>
      <c r="O3233" s="1">
        <v>3200</v>
      </c>
      <c r="P3233" t="s">
        <v>30</v>
      </c>
      <c r="Q3233" s="2">
        <v>0.7</v>
      </c>
      <c r="R3233" s="1">
        <v>2240</v>
      </c>
      <c r="S3233" t="s">
        <v>29</v>
      </c>
      <c r="T3233" s="1">
        <v>2240</v>
      </c>
      <c r="V3233" t="str">
        <f>VLOOKUP(H3233,'[1]팀별 출판사'!A:B,2,0)</f>
        <v>소설1팀</v>
      </c>
      <c r="W3233" s="6">
        <f t="shared" si="100"/>
        <v>0</v>
      </c>
      <c r="X3233" s="6">
        <f t="shared" si="101"/>
        <v>2240</v>
      </c>
    </row>
    <row r="3234" spans="1:24" x14ac:dyDescent="0.3">
      <c r="A3234" t="s">
        <v>4605</v>
      </c>
      <c r="B3234" t="s">
        <v>4717</v>
      </c>
      <c r="C3234" t="s">
        <v>23</v>
      </c>
      <c r="D3234" t="s">
        <v>24</v>
      </c>
      <c r="E3234" t="s">
        <v>25</v>
      </c>
      <c r="F3234">
        <v>1</v>
      </c>
      <c r="G3234">
        <v>9788928005826</v>
      </c>
      <c r="H3234" t="s">
        <v>32</v>
      </c>
      <c r="I3234" t="s">
        <v>310</v>
      </c>
      <c r="J3234" t="s">
        <v>311</v>
      </c>
      <c r="K3234" t="s">
        <v>29</v>
      </c>
      <c r="L3234">
        <v>0</v>
      </c>
      <c r="M3234" t="s">
        <v>29</v>
      </c>
      <c r="N3234">
        <v>0</v>
      </c>
      <c r="O3234">
        <v>0</v>
      </c>
      <c r="P3234" t="s">
        <v>30</v>
      </c>
      <c r="Q3234" s="2">
        <v>0.7</v>
      </c>
      <c r="R3234">
        <v>0</v>
      </c>
      <c r="V3234" t="str">
        <f>VLOOKUP(H3234,'[1]팀별 출판사'!A:B,2,0)</f>
        <v>소설1팀</v>
      </c>
      <c r="W3234" s="6">
        <f t="shared" si="100"/>
        <v>0</v>
      </c>
      <c r="X3234" s="6">
        <f t="shared" si="101"/>
        <v>0</v>
      </c>
    </row>
    <row r="3235" spans="1:24" x14ac:dyDescent="0.3">
      <c r="A3235" t="s">
        <v>4605</v>
      </c>
      <c r="B3235" t="s">
        <v>4718</v>
      </c>
      <c r="C3235" t="s">
        <v>23</v>
      </c>
      <c r="D3235" t="s">
        <v>24</v>
      </c>
      <c r="E3235" t="s">
        <v>25</v>
      </c>
      <c r="F3235">
        <v>1</v>
      </c>
      <c r="G3235">
        <v>9791136930491</v>
      </c>
      <c r="H3235" t="s">
        <v>26</v>
      </c>
      <c r="I3235" t="s">
        <v>151</v>
      </c>
      <c r="J3235" t="s">
        <v>46</v>
      </c>
      <c r="K3235" t="s">
        <v>29</v>
      </c>
      <c r="L3235">
        <v>0</v>
      </c>
      <c r="M3235" t="s">
        <v>47</v>
      </c>
      <c r="N3235">
        <v>0</v>
      </c>
      <c r="O3235">
        <v>0</v>
      </c>
      <c r="P3235" t="s">
        <v>48</v>
      </c>
      <c r="Q3235" s="2">
        <v>0.7</v>
      </c>
      <c r="R3235">
        <v>0</v>
      </c>
      <c r="V3235" t="str">
        <f>VLOOKUP(H3235,'[1]팀별 출판사'!A:B,2,0)</f>
        <v>소설1팀</v>
      </c>
      <c r="W3235" s="6">
        <f t="shared" si="100"/>
        <v>0</v>
      </c>
      <c r="X3235" s="6">
        <f t="shared" si="101"/>
        <v>0</v>
      </c>
    </row>
    <row r="3236" spans="1:24" x14ac:dyDescent="0.3">
      <c r="A3236" t="s">
        <v>4605</v>
      </c>
      <c r="B3236" t="s">
        <v>4719</v>
      </c>
      <c r="C3236" t="s">
        <v>23</v>
      </c>
      <c r="D3236" t="s">
        <v>24</v>
      </c>
      <c r="E3236" t="s">
        <v>25</v>
      </c>
      <c r="F3236">
        <v>1</v>
      </c>
      <c r="G3236">
        <v>9791136946799</v>
      </c>
      <c r="H3236" t="s">
        <v>26</v>
      </c>
      <c r="I3236" t="s">
        <v>2449</v>
      </c>
      <c r="J3236" t="s">
        <v>28</v>
      </c>
      <c r="K3236" t="s">
        <v>29</v>
      </c>
      <c r="L3236" s="1">
        <v>3200</v>
      </c>
      <c r="M3236" t="s">
        <v>29</v>
      </c>
      <c r="N3236" s="1">
        <v>3200</v>
      </c>
      <c r="O3236" s="1">
        <v>3200</v>
      </c>
      <c r="P3236" t="s">
        <v>30</v>
      </c>
      <c r="Q3236" s="2">
        <v>0.7</v>
      </c>
      <c r="R3236" s="1">
        <v>2240</v>
      </c>
      <c r="S3236" t="s">
        <v>29</v>
      </c>
      <c r="T3236" s="1">
        <v>2240</v>
      </c>
      <c r="V3236" t="str">
        <f>VLOOKUP(H3236,'[1]팀별 출판사'!A:B,2,0)</f>
        <v>소설1팀</v>
      </c>
      <c r="W3236" s="6">
        <f t="shared" si="100"/>
        <v>0</v>
      </c>
      <c r="X3236" s="6">
        <f t="shared" si="101"/>
        <v>2240</v>
      </c>
    </row>
    <row r="3237" spans="1:24" x14ac:dyDescent="0.3">
      <c r="A3237" t="s">
        <v>4605</v>
      </c>
      <c r="B3237" t="s">
        <v>4720</v>
      </c>
      <c r="C3237" t="s">
        <v>23</v>
      </c>
      <c r="D3237" t="s">
        <v>24</v>
      </c>
      <c r="E3237" t="s">
        <v>25</v>
      </c>
      <c r="F3237">
        <v>1</v>
      </c>
      <c r="G3237">
        <v>9791136927323</v>
      </c>
      <c r="H3237" t="s">
        <v>26</v>
      </c>
      <c r="I3237" t="s">
        <v>4721</v>
      </c>
      <c r="J3237" t="s">
        <v>459</v>
      </c>
      <c r="K3237" t="s">
        <v>29</v>
      </c>
      <c r="L3237" s="1">
        <v>3200</v>
      </c>
      <c r="M3237" t="s">
        <v>29</v>
      </c>
      <c r="N3237" s="1">
        <v>3200</v>
      </c>
      <c r="O3237" s="1">
        <v>3200</v>
      </c>
      <c r="P3237" t="s">
        <v>30</v>
      </c>
      <c r="Q3237" s="2">
        <v>0.7</v>
      </c>
      <c r="R3237" s="1">
        <v>2240</v>
      </c>
      <c r="S3237" t="s">
        <v>29</v>
      </c>
      <c r="T3237" s="1">
        <v>2240</v>
      </c>
      <c r="V3237" t="str">
        <f>VLOOKUP(H3237,'[1]팀별 출판사'!A:B,2,0)</f>
        <v>소설1팀</v>
      </c>
      <c r="W3237" s="6">
        <f t="shared" si="100"/>
        <v>0</v>
      </c>
      <c r="X3237" s="6">
        <f t="shared" si="101"/>
        <v>2240</v>
      </c>
    </row>
    <row r="3238" spans="1:24" x14ac:dyDescent="0.3">
      <c r="A3238" t="s">
        <v>4605</v>
      </c>
      <c r="B3238" t="s">
        <v>4722</v>
      </c>
      <c r="C3238" t="s">
        <v>23</v>
      </c>
      <c r="D3238" t="s">
        <v>24</v>
      </c>
      <c r="E3238" t="s">
        <v>25</v>
      </c>
      <c r="F3238">
        <v>1</v>
      </c>
      <c r="G3238">
        <v>9791136946775</v>
      </c>
      <c r="H3238" t="s">
        <v>26</v>
      </c>
      <c r="I3238" t="s">
        <v>238</v>
      </c>
      <c r="J3238" t="s">
        <v>28</v>
      </c>
      <c r="K3238" t="s">
        <v>29</v>
      </c>
      <c r="L3238">
        <v>0</v>
      </c>
      <c r="M3238" t="s">
        <v>29</v>
      </c>
      <c r="N3238">
        <v>0</v>
      </c>
      <c r="O3238">
        <v>0</v>
      </c>
      <c r="P3238" t="s">
        <v>30</v>
      </c>
      <c r="Q3238" s="2">
        <v>0.7</v>
      </c>
      <c r="R3238">
        <v>0</v>
      </c>
      <c r="V3238" t="str">
        <f>VLOOKUP(H3238,'[1]팀별 출판사'!A:B,2,0)</f>
        <v>소설1팀</v>
      </c>
      <c r="W3238" s="6">
        <f t="shared" si="100"/>
        <v>0</v>
      </c>
      <c r="X3238" s="6">
        <f t="shared" si="101"/>
        <v>0</v>
      </c>
    </row>
    <row r="3239" spans="1:24" x14ac:dyDescent="0.3">
      <c r="A3239" t="s">
        <v>4605</v>
      </c>
      <c r="B3239" t="s">
        <v>4723</v>
      </c>
      <c r="C3239" t="s">
        <v>23</v>
      </c>
      <c r="D3239" t="s">
        <v>24</v>
      </c>
      <c r="E3239" t="s">
        <v>25</v>
      </c>
      <c r="F3239">
        <v>1</v>
      </c>
      <c r="G3239">
        <v>9791136931382</v>
      </c>
      <c r="H3239" t="s">
        <v>32</v>
      </c>
      <c r="I3239" t="s">
        <v>523</v>
      </c>
      <c r="J3239" t="s">
        <v>46</v>
      </c>
      <c r="K3239" t="s">
        <v>29</v>
      </c>
      <c r="L3239">
        <v>0</v>
      </c>
      <c r="M3239" t="s">
        <v>47</v>
      </c>
      <c r="N3239">
        <v>0</v>
      </c>
      <c r="O3239">
        <v>0</v>
      </c>
      <c r="P3239" t="s">
        <v>48</v>
      </c>
      <c r="Q3239" s="2">
        <v>0.7</v>
      </c>
      <c r="R3239">
        <v>0</v>
      </c>
      <c r="V3239" t="str">
        <f>VLOOKUP(H3239,'[1]팀별 출판사'!A:B,2,0)</f>
        <v>소설1팀</v>
      </c>
      <c r="W3239" s="6">
        <f t="shared" si="100"/>
        <v>0</v>
      </c>
      <c r="X3239" s="6">
        <f t="shared" si="101"/>
        <v>0</v>
      </c>
    </row>
    <row r="3240" spans="1:24" x14ac:dyDescent="0.3">
      <c r="A3240" t="s">
        <v>4605</v>
      </c>
      <c r="B3240" t="s">
        <v>4724</v>
      </c>
      <c r="C3240" t="s">
        <v>23</v>
      </c>
      <c r="D3240" t="s">
        <v>24</v>
      </c>
      <c r="E3240" t="s">
        <v>25</v>
      </c>
      <c r="F3240">
        <v>1</v>
      </c>
      <c r="G3240">
        <v>9791133171422</v>
      </c>
      <c r="H3240" t="s">
        <v>26</v>
      </c>
      <c r="I3240" t="s">
        <v>2992</v>
      </c>
      <c r="J3240" t="s">
        <v>287</v>
      </c>
      <c r="K3240" t="s">
        <v>29</v>
      </c>
      <c r="L3240">
        <v>0</v>
      </c>
      <c r="M3240" t="s">
        <v>29</v>
      </c>
      <c r="N3240">
        <v>0</v>
      </c>
      <c r="O3240">
        <v>0</v>
      </c>
      <c r="P3240" t="s">
        <v>30</v>
      </c>
      <c r="Q3240" s="2">
        <v>0.7</v>
      </c>
      <c r="R3240">
        <v>0</v>
      </c>
      <c r="V3240" t="str">
        <f>VLOOKUP(H3240,'[1]팀별 출판사'!A:B,2,0)</f>
        <v>소설1팀</v>
      </c>
      <c r="W3240" s="6">
        <f t="shared" si="100"/>
        <v>0</v>
      </c>
      <c r="X3240" s="6">
        <f t="shared" si="101"/>
        <v>0</v>
      </c>
    </row>
    <row r="3241" spans="1:24" x14ac:dyDescent="0.3">
      <c r="A3241" t="s">
        <v>4605</v>
      </c>
      <c r="B3241" t="s">
        <v>4725</v>
      </c>
      <c r="C3241" t="s">
        <v>23</v>
      </c>
      <c r="D3241" t="s">
        <v>24</v>
      </c>
      <c r="E3241" t="s">
        <v>25</v>
      </c>
      <c r="F3241">
        <v>1</v>
      </c>
      <c r="G3241">
        <v>9791136930552</v>
      </c>
      <c r="H3241" t="s">
        <v>26</v>
      </c>
      <c r="I3241" t="s">
        <v>45</v>
      </c>
      <c r="J3241" t="s">
        <v>46</v>
      </c>
      <c r="K3241" t="s">
        <v>29</v>
      </c>
      <c r="L3241">
        <v>0</v>
      </c>
      <c r="M3241" t="s">
        <v>47</v>
      </c>
      <c r="N3241">
        <v>0</v>
      </c>
      <c r="O3241">
        <v>0</v>
      </c>
      <c r="P3241" t="s">
        <v>48</v>
      </c>
      <c r="Q3241" s="2">
        <v>0.7</v>
      </c>
      <c r="R3241">
        <v>0</v>
      </c>
      <c r="V3241" t="str">
        <f>VLOOKUP(H3241,'[1]팀별 출판사'!A:B,2,0)</f>
        <v>소설1팀</v>
      </c>
      <c r="W3241" s="6">
        <f t="shared" si="100"/>
        <v>0</v>
      </c>
      <c r="X3241" s="6">
        <f t="shared" si="101"/>
        <v>0</v>
      </c>
    </row>
    <row r="3242" spans="1:24" x14ac:dyDescent="0.3">
      <c r="A3242" t="s">
        <v>4605</v>
      </c>
      <c r="B3242" t="s">
        <v>4726</v>
      </c>
      <c r="C3242" t="s">
        <v>23</v>
      </c>
      <c r="D3242" t="s">
        <v>24</v>
      </c>
      <c r="E3242" t="s">
        <v>25</v>
      </c>
      <c r="F3242">
        <v>1</v>
      </c>
      <c r="G3242">
        <v>9791136931375</v>
      </c>
      <c r="H3242" t="s">
        <v>32</v>
      </c>
      <c r="I3242" t="s">
        <v>189</v>
      </c>
      <c r="J3242" t="s">
        <v>46</v>
      </c>
      <c r="K3242" t="s">
        <v>29</v>
      </c>
      <c r="L3242">
        <v>0</v>
      </c>
      <c r="M3242" t="s">
        <v>47</v>
      </c>
      <c r="N3242">
        <v>0</v>
      </c>
      <c r="O3242">
        <v>0</v>
      </c>
      <c r="P3242" t="s">
        <v>48</v>
      </c>
      <c r="Q3242" s="2">
        <v>0.7</v>
      </c>
      <c r="R3242">
        <v>0</v>
      </c>
      <c r="V3242" t="str">
        <f>VLOOKUP(H3242,'[1]팀별 출판사'!A:B,2,0)</f>
        <v>소설1팀</v>
      </c>
      <c r="W3242" s="6">
        <f t="shared" si="100"/>
        <v>0</v>
      </c>
      <c r="X3242" s="6">
        <f t="shared" si="101"/>
        <v>0</v>
      </c>
    </row>
    <row r="3243" spans="1:24" x14ac:dyDescent="0.3">
      <c r="A3243" t="s">
        <v>4605</v>
      </c>
      <c r="B3243" t="s">
        <v>4727</v>
      </c>
      <c r="C3243" t="s">
        <v>23</v>
      </c>
      <c r="D3243" t="s">
        <v>24</v>
      </c>
      <c r="E3243" t="s">
        <v>25</v>
      </c>
      <c r="F3243">
        <v>1</v>
      </c>
      <c r="G3243">
        <v>9791136930552</v>
      </c>
      <c r="H3243" t="s">
        <v>26</v>
      </c>
      <c r="I3243" t="s">
        <v>45</v>
      </c>
      <c r="J3243" t="s">
        <v>46</v>
      </c>
      <c r="K3243" t="s">
        <v>29</v>
      </c>
      <c r="L3243">
        <v>0</v>
      </c>
      <c r="M3243" t="s">
        <v>47</v>
      </c>
      <c r="N3243">
        <v>0</v>
      </c>
      <c r="O3243">
        <v>0</v>
      </c>
      <c r="P3243" t="s">
        <v>48</v>
      </c>
      <c r="Q3243" s="2">
        <v>0.7</v>
      </c>
      <c r="R3243">
        <v>0</v>
      </c>
      <c r="V3243" t="str">
        <f>VLOOKUP(H3243,'[1]팀별 출판사'!A:B,2,0)</f>
        <v>소설1팀</v>
      </c>
      <c r="W3243" s="6">
        <f t="shared" si="100"/>
        <v>0</v>
      </c>
      <c r="X3243" s="6">
        <f t="shared" si="101"/>
        <v>0</v>
      </c>
    </row>
    <row r="3244" spans="1:24" x14ac:dyDescent="0.3">
      <c r="A3244" t="s">
        <v>4605</v>
      </c>
      <c r="B3244" t="s">
        <v>4728</v>
      </c>
      <c r="C3244" t="s">
        <v>23</v>
      </c>
      <c r="D3244" t="s">
        <v>24</v>
      </c>
      <c r="E3244" t="s">
        <v>25</v>
      </c>
      <c r="F3244">
        <v>1</v>
      </c>
      <c r="G3244">
        <v>9791136930491</v>
      </c>
      <c r="H3244" t="s">
        <v>26</v>
      </c>
      <c r="I3244" t="s">
        <v>151</v>
      </c>
      <c r="J3244" t="s">
        <v>46</v>
      </c>
      <c r="K3244" t="s">
        <v>29</v>
      </c>
      <c r="L3244">
        <v>0</v>
      </c>
      <c r="M3244" t="s">
        <v>47</v>
      </c>
      <c r="N3244">
        <v>0</v>
      </c>
      <c r="O3244">
        <v>0</v>
      </c>
      <c r="P3244" t="s">
        <v>48</v>
      </c>
      <c r="Q3244" s="2">
        <v>0.7</v>
      </c>
      <c r="R3244">
        <v>0</v>
      </c>
      <c r="V3244" t="str">
        <f>VLOOKUP(H3244,'[1]팀별 출판사'!A:B,2,0)</f>
        <v>소설1팀</v>
      </c>
      <c r="W3244" s="6">
        <f t="shared" si="100"/>
        <v>0</v>
      </c>
      <c r="X3244" s="6">
        <f t="shared" si="101"/>
        <v>0</v>
      </c>
    </row>
    <row r="3245" spans="1:24" x14ac:dyDescent="0.3">
      <c r="A3245" t="s">
        <v>4605</v>
      </c>
      <c r="B3245" t="s">
        <v>4729</v>
      </c>
      <c r="C3245" t="s">
        <v>23</v>
      </c>
      <c r="D3245" t="s">
        <v>24</v>
      </c>
      <c r="E3245" t="s">
        <v>25</v>
      </c>
      <c r="F3245">
        <v>1</v>
      </c>
      <c r="G3245">
        <v>9791136931382</v>
      </c>
      <c r="H3245" t="s">
        <v>32</v>
      </c>
      <c r="I3245" t="s">
        <v>523</v>
      </c>
      <c r="J3245" t="s">
        <v>46</v>
      </c>
      <c r="K3245" t="s">
        <v>29</v>
      </c>
      <c r="L3245">
        <v>0</v>
      </c>
      <c r="M3245" t="s">
        <v>47</v>
      </c>
      <c r="N3245">
        <v>0</v>
      </c>
      <c r="O3245">
        <v>0</v>
      </c>
      <c r="P3245" t="s">
        <v>48</v>
      </c>
      <c r="Q3245" s="2">
        <v>0.7</v>
      </c>
      <c r="R3245">
        <v>0</v>
      </c>
      <c r="V3245" t="str">
        <f>VLOOKUP(H3245,'[1]팀별 출판사'!A:B,2,0)</f>
        <v>소설1팀</v>
      </c>
      <c r="W3245" s="6">
        <f t="shared" si="100"/>
        <v>0</v>
      </c>
      <c r="X3245" s="6">
        <f t="shared" si="101"/>
        <v>0</v>
      </c>
    </row>
    <row r="3246" spans="1:24" x14ac:dyDescent="0.3">
      <c r="A3246" t="s">
        <v>4605</v>
      </c>
      <c r="B3246" t="s">
        <v>4730</v>
      </c>
      <c r="C3246" t="s">
        <v>23</v>
      </c>
      <c r="D3246" t="s">
        <v>24</v>
      </c>
      <c r="E3246" t="s">
        <v>25</v>
      </c>
      <c r="F3246">
        <v>1</v>
      </c>
      <c r="G3246">
        <v>9791133172702</v>
      </c>
      <c r="H3246" t="s">
        <v>26</v>
      </c>
      <c r="I3246" t="s">
        <v>4041</v>
      </c>
      <c r="J3246" t="s">
        <v>588</v>
      </c>
      <c r="K3246" t="s">
        <v>29</v>
      </c>
      <c r="L3246">
        <v>0</v>
      </c>
      <c r="M3246" t="s">
        <v>29</v>
      </c>
      <c r="N3246">
        <v>0</v>
      </c>
      <c r="O3246">
        <v>0</v>
      </c>
      <c r="P3246" t="s">
        <v>30</v>
      </c>
      <c r="Q3246" s="2">
        <v>0.7</v>
      </c>
      <c r="R3246">
        <v>0</v>
      </c>
      <c r="V3246" t="str">
        <f>VLOOKUP(H3246,'[1]팀별 출판사'!A:B,2,0)</f>
        <v>소설1팀</v>
      </c>
      <c r="W3246" s="6">
        <f t="shared" si="100"/>
        <v>0</v>
      </c>
      <c r="X3246" s="6">
        <f t="shared" si="101"/>
        <v>0</v>
      </c>
    </row>
    <row r="3247" spans="1:24" x14ac:dyDescent="0.3">
      <c r="A3247" t="s">
        <v>4605</v>
      </c>
      <c r="B3247" t="s">
        <v>4731</v>
      </c>
      <c r="C3247" t="s">
        <v>23</v>
      </c>
      <c r="D3247" t="s">
        <v>24</v>
      </c>
      <c r="E3247" t="s">
        <v>25</v>
      </c>
      <c r="F3247">
        <v>1</v>
      </c>
      <c r="G3247">
        <v>9791136930491</v>
      </c>
      <c r="H3247" t="s">
        <v>26</v>
      </c>
      <c r="I3247" t="s">
        <v>151</v>
      </c>
      <c r="J3247" t="s">
        <v>46</v>
      </c>
      <c r="K3247" t="s">
        <v>29</v>
      </c>
      <c r="L3247">
        <v>0</v>
      </c>
      <c r="M3247" t="s">
        <v>47</v>
      </c>
      <c r="N3247">
        <v>0</v>
      </c>
      <c r="O3247">
        <v>0</v>
      </c>
      <c r="P3247" t="s">
        <v>48</v>
      </c>
      <c r="Q3247" s="2">
        <v>0.7</v>
      </c>
      <c r="R3247">
        <v>0</v>
      </c>
      <c r="V3247" t="str">
        <f>VLOOKUP(H3247,'[1]팀별 출판사'!A:B,2,0)</f>
        <v>소설1팀</v>
      </c>
      <c r="W3247" s="6">
        <f t="shared" si="100"/>
        <v>0</v>
      </c>
      <c r="X3247" s="6">
        <f t="shared" si="101"/>
        <v>0</v>
      </c>
    </row>
    <row r="3248" spans="1:24" x14ac:dyDescent="0.3">
      <c r="A3248" t="s">
        <v>4605</v>
      </c>
      <c r="B3248" t="s">
        <v>4732</v>
      </c>
      <c r="C3248" t="s">
        <v>23</v>
      </c>
      <c r="D3248" t="s">
        <v>24</v>
      </c>
      <c r="E3248" t="s">
        <v>25</v>
      </c>
      <c r="F3248">
        <v>1</v>
      </c>
      <c r="G3248">
        <v>9791157539680</v>
      </c>
      <c r="H3248" t="s">
        <v>32</v>
      </c>
      <c r="I3248" t="s">
        <v>2752</v>
      </c>
      <c r="J3248" t="s">
        <v>88</v>
      </c>
      <c r="K3248" t="s">
        <v>29</v>
      </c>
      <c r="L3248" s="1">
        <v>3200</v>
      </c>
      <c r="M3248" t="s">
        <v>29</v>
      </c>
      <c r="N3248" s="1">
        <v>3200</v>
      </c>
      <c r="O3248" s="1">
        <v>3200</v>
      </c>
      <c r="P3248" t="s">
        <v>30</v>
      </c>
      <c r="Q3248" s="2">
        <v>0.7</v>
      </c>
      <c r="R3248" s="1">
        <v>2240</v>
      </c>
      <c r="S3248" t="s">
        <v>29</v>
      </c>
      <c r="T3248" s="1">
        <v>2240</v>
      </c>
      <c r="V3248" t="str">
        <f>VLOOKUP(H3248,'[1]팀별 출판사'!A:B,2,0)</f>
        <v>소설1팀</v>
      </c>
      <c r="W3248" s="6">
        <f t="shared" si="100"/>
        <v>0</v>
      </c>
      <c r="X3248" s="6">
        <f t="shared" si="101"/>
        <v>2240</v>
      </c>
    </row>
    <row r="3249" spans="1:24" x14ac:dyDescent="0.3">
      <c r="A3249" t="s">
        <v>4605</v>
      </c>
      <c r="B3249" t="s">
        <v>4733</v>
      </c>
      <c r="C3249" t="s">
        <v>23</v>
      </c>
      <c r="D3249" t="s">
        <v>24</v>
      </c>
      <c r="E3249" t="s">
        <v>25</v>
      </c>
      <c r="F3249">
        <v>1</v>
      </c>
      <c r="G3249">
        <v>9791136926425</v>
      </c>
      <c r="H3249" t="s">
        <v>36</v>
      </c>
      <c r="I3249" t="s">
        <v>4734</v>
      </c>
      <c r="J3249" t="s">
        <v>1575</v>
      </c>
      <c r="K3249" t="s">
        <v>29</v>
      </c>
      <c r="L3249" s="1">
        <v>3700</v>
      </c>
      <c r="M3249" t="s">
        <v>886</v>
      </c>
      <c r="N3249">
        <v>3.51</v>
      </c>
      <c r="O3249">
        <v>3.51</v>
      </c>
      <c r="P3249" t="s">
        <v>887</v>
      </c>
      <c r="Q3249" s="2">
        <v>0.7</v>
      </c>
      <c r="R3249">
        <v>2.46</v>
      </c>
      <c r="S3249" t="s">
        <v>29</v>
      </c>
      <c r="T3249" s="1">
        <v>2601</v>
      </c>
      <c r="U3249" s="3">
        <v>1056.9144100000001</v>
      </c>
      <c r="V3249" t="str">
        <f>VLOOKUP(H3249,'[1]팀별 출판사'!A:B,2,0)</f>
        <v>소설2팀</v>
      </c>
      <c r="W3249" s="6">
        <f t="shared" si="100"/>
        <v>0</v>
      </c>
      <c r="X3249" s="6">
        <f t="shared" si="101"/>
        <v>2601</v>
      </c>
    </row>
    <row r="3250" spans="1:24" x14ac:dyDescent="0.3">
      <c r="A3250" t="s">
        <v>4605</v>
      </c>
      <c r="B3250" t="s">
        <v>4733</v>
      </c>
      <c r="C3250" t="s">
        <v>23</v>
      </c>
      <c r="D3250" t="s">
        <v>24</v>
      </c>
      <c r="E3250" t="s">
        <v>25</v>
      </c>
      <c r="F3250">
        <v>1</v>
      </c>
      <c r="G3250">
        <v>9791136926432</v>
      </c>
      <c r="H3250" t="s">
        <v>36</v>
      </c>
      <c r="I3250" t="s">
        <v>4735</v>
      </c>
      <c r="J3250" t="s">
        <v>1575</v>
      </c>
      <c r="K3250" t="s">
        <v>29</v>
      </c>
      <c r="L3250" s="1">
        <v>3400</v>
      </c>
      <c r="M3250" t="s">
        <v>886</v>
      </c>
      <c r="N3250">
        <v>3.23</v>
      </c>
      <c r="O3250">
        <v>3.23</v>
      </c>
      <c r="P3250" t="s">
        <v>887</v>
      </c>
      <c r="Q3250" s="2">
        <v>0.7</v>
      </c>
      <c r="R3250">
        <v>2.2599999999999998</v>
      </c>
      <c r="S3250" t="s">
        <v>29</v>
      </c>
      <c r="T3250" s="1">
        <v>2389</v>
      </c>
      <c r="U3250" s="3">
        <v>1056.9144100000001</v>
      </c>
      <c r="V3250" t="str">
        <f>VLOOKUP(H3250,'[1]팀별 출판사'!A:B,2,0)</f>
        <v>소설2팀</v>
      </c>
      <c r="W3250" s="6">
        <f t="shared" si="100"/>
        <v>0</v>
      </c>
      <c r="X3250" s="6">
        <f t="shared" si="101"/>
        <v>2389</v>
      </c>
    </row>
    <row r="3251" spans="1:24" x14ac:dyDescent="0.3">
      <c r="A3251" t="s">
        <v>4605</v>
      </c>
      <c r="B3251" t="s">
        <v>4733</v>
      </c>
      <c r="C3251" t="s">
        <v>23</v>
      </c>
      <c r="D3251" t="s">
        <v>24</v>
      </c>
      <c r="E3251" t="s">
        <v>25</v>
      </c>
      <c r="F3251">
        <v>1</v>
      </c>
      <c r="G3251">
        <v>9791136926449</v>
      </c>
      <c r="H3251" t="s">
        <v>36</v>
      </c>
      <c r="I3251" t="s">
        <v>4736</v>
      </c>
      <c r="J3251" t="s">
        <v>1575</v>
      </c>
      <c r="K3251" t="s">
        <v>29</v>
      </c>
      <c r="L3251" s="1">
        <v>3700</v>
      </c>
      <c r="M3251" t="s">
        <v>886</v>
      </c>
      <c r="N3251">
        <v>3.51</v>
      </c>
      <c r="O3251">
        <v>3.51</v>
      </c>
      <c r="P3251" t="s">
        <v>887</v>
      </c>
      <c r="Q3251" s="2">
        <v>0.7</v>
      </c>
      <c r="R3251">
        <v>2.46</v>
      </c>
      <c r="S3251" t="s">
        <v>29</v>
      </c>
      <c r="T3251" s="1">
        <v>2601</v>
      </c>
      <c r="U3251" s="3">
        <v>1056.9144100000001</v>
      </c>
      <c r="V3251" t="str">
        <f>VLOOKUP(H3251,'[1]팀별 출판사'!A:B,2,0)</f>
        <v>소설2팀</v>
      </c>
      <c r="W3251" s="6">
        <f t="shared" si="100"/>
        <v>0</v>
      </c>
      <c r="X3251" s="6">
        <f t="shared" si="101"/>
        <v>2601</v>
      </c>
    </row>
    <row r="3252" spans="1:24" x14ac:dyDescent="0.3">
      <c r="A3252" t="s">
        <v>4605</v>
      </c>
      <c r="B3252" t="s">
        <v>4733</v>
      </c>
      <c r="C3252" t="s">
        <v>23</v>
      </c>
      <c r="D3252" t="s">
        <v>24</v>
      </c>
      <c r="E3252" t="s">
        <v>25</v>
      </c>
      <c r="F3252">
        <v>1</v>
      </c>
      <c r="G3252">
        <v>9791136926456</v>
      </c>
      <c r="H3252" t="s">
        <v>36</v>
      </c>
      <c r="I3252" t="s">
        <v>4737</v>
      </c>
      <c r="J3252" t="s">
        <v>1575</v>
      </c>
      <c r="K3252" t="s">
        <v>29</v>
      </c>
      <c r="L3252" s="1">
        <v>4600</v>
      </c>
      <c r="M3252" t="s">
        <v>886</v>
      </c>
      <c r="N3252">
        <v>4.37</v>
      </c>
      <c r="O3252">
        <v>4.37</v>
      </c>
      <c r="P3252" t="s">
        <v>887</v>
      </c>
      <c r="Q3252" s="2">
        <v>0.7</v>
      </c>
      <c r="R3252">
        <v>3.06</v>
      </c>
      <c r="S3252" t="s">
        <v>29</v>
      </c>
      <c r="T3252" s="1">
        <v>3235</v>
      </c>
      <c r="U3252" s="3">
        <v>1056.9144100000001</v>
      </c>
      <c r="V3252" t="str">
        <f>VLOOKUP(H3252,'[1]팀별 출판사'!A:B,2,0)</f>
        <v>소설2팀</v>
      </c>
      <c r="W3252" s="6">
        <f t="shared" si="100"/>
        <v>0</v>
      </c>
      <c r="X3252" s="6">
        <f t="shared" si="101"/>
        <v>3235</v>
      </c>
    </row>
    <row r="3253" spans="1:24" x14ac:dyDescent="0.3">
      <c r="A3253" t="s">
        <v>4605</v>
      </c>
      <c r="B3253" t="s">
        <v>4733</v>
      </c>
      <c r="C3253" t="s">
        <v>23</v>
      </c>
      <c r="D3253" t="s">
        <v>24</v>
      </c>
      <c r="E3253" t="s">
        <v>25</v>
      </c>
      <c r="F3253">
        <v>1</v>
      </c>
      <c r="G3253">
        <v>9791136926463</v>
      </c>
      <c r="H3253" t="s">
        <v>36</v>
      </c>
      <c r="I3253" t="s">
        <v>4738</v>
      </c>
      <c r="J3253" t="s">
        <v>1575</v>
      </c>
      <c r="K3253" t="s">
        <v>29</v>
      </c>
      <c r="L3253" s="1">
        <v>4600</v>
      </c>
      <c r="M3253" t="s">
        <v>886</v>
      </c>
      <c r="N3253">
        <v>4.37</v>
      </c>
      <c r="O3253">
        <v>4.37</v>
      </c>
      <c r="P3253" t="s">
        <v>887</v>
      </c>
      <c r="Q3253" s="2">
        <v>0.7</v>
      </c>
      <c r="R3253">
        <v>3.06</v>
      </c>
      <c r="S3253" t="s">
        <v>29</v>
      </c>
      <c r="T3253" s="1">
        <v>3235</v>
      </c>
      <c r="U3253" s="3">
        <v>1056.9144100000001</v>
      </c>
      <c r="V3253" t="str">
        <f>VLOOKUP(H3253,'[1]팀별 출판사'!A:B,2,0)</f>
        <v>소설2팀</v>
      </c>
      <c r="W3253" s="6">
        <f t="shared" si="100"/>
        <v>0</v>
      </c>
      <c r="X3253" s="6">
        <f t="shared" si="101"/>
        <v>3235</v>
      </c>
    </row>
    <row r="3254" spans="1:24" x14ac:dyDescent="0.3">
      <c r="A3254" t="s">
        <v>4605</v>
      </c>
      <c r="B3254" t="s">
        <v>4733</v>
      </c>
      <c r="C3254" t="s">
        <v>23</v>
      </c>
      <c r="D3254" t="s">
        <v>24</v>
      </c>
      <c r="E3254" t="s">
        <v>25</v>
      </c>
      <c r="F3254">
        <v>1</v>
      </c>
      <c r="G3254">
        <v>9791136924513</v>
      </c>
      <c r="H3254" t="s">
        <v>36</v>
      </c>
      <c r="I3254" t="s">
        <v>4646</v>
      </c>
      <c r="J3254" t="s">
        <v>1575</v>
      </c>
      <c r="K3254" t="s">
        <v>29</v>
      </c>
      <c r="L3254" s="1">
        <v>4600</v>
      </c>
      <c r="M3254" t="s">
        <v>886</v>
      </c>
      <c r="N3254">
        <v>4.37</v>
      </c>
      <c r="O3254">
        <v>4.37</v>
      </c>
      <c r="P3254" t="s">
        <v>887</v>
      </c>
      <c r="Q3254" s="2">
        <v>0.7</v>
      </c>
      <c r="R3254">
        <v>3.06</v>
      </c>
      <c r="S3254" t="s">
        <v>29</v>
      </c>
      <c r="T3254" s="1">
        <v>3235</v>
      </c>
      <c r="U3254" s="3">
        <v>1056.9144100000001</v>
      </c>
      <c r="V3254" t="str">
        <f>VLOOKUP(H3254,'[1]팀별 출판사'!A:B,2,0)</f>
        <v>소설2팀</v>
      </c>
      <c r="W3254" s="6">
        <f t="shared" si="100"/>
        <v>0</v>
      </c>
      <c r="X3254" s="6">
        <f t="shared" si="101"/>
        <v>3235</v>
      </c>
    </row>
    <row r="3255" spans="1:24" x14ac:dyDescent="0.3">
      <c r="A3255" t="s">
        <v>4605</v>
      </c>
      <c r="B3255" t="s">
        <v>4739</v>
      </c>
      <c r="C3255" t="s">
        <v>23</v>
      </c>
      <c r="D3255" t="s">
        <v>24</v>
      </c>
      <c r="E3255" t="s">
        <v>25</v>
      </c>
      <c r="F3255">
        <v>1</v>
      </c>
      <c r="G3255">
        <v>9791186248058</v>
      </c>
      <c r="H3255" t="s">
        <v>67</v>
      </c>
      <c r="I3255" t="s">
        <v>4740</v>
      </c>
      <c r="J3255" t="s">
        <v>2583</v>
      </c>
      <c r="K3255" t="s">
        <v>29</v>
      </c>
      <c r="L3255">
        <v>0</v>
      </c>
      <c r="M3255" t="s">
        <v>29</v>
      </c>
      <c r="N3255">
        <v>0</v>
      </c>
      <c r="O3255">
        <v>0</v>
      </c>
      <c r="P3255" t="s">
        <v>30</v>
      </c>
      <c r="Q3255" s="2">
        <v>0.7</v>
      </c>
      <c r="R3255">
        <v>0</v>
      </c>
      <c r="V3255" t="str">
        <f>VLOOKUP(H3255,'[1]팀별 출판사'!A:B,2,0)</f>
        <v>소설1팀</v>
      </c>
      <c r="W3255" s="6">
        <f t="shared" si="100"/>
        <v>0</v>
      </c>
      <c r="X3255" s="6">
        <f t="shared" si="101"/>
        <v>0</v>
      </c>
    </row>
    <row r="3256" spans="1:24" x14ac:dyDescent="0.3">
      <c r="A3256" t="s">
        <v>4605</v>
      </c>
      <c r="B3256" t="s">
        <v>4741</v>
      </c>
      <c r="C3256" t="s">
        <v>23</v>
      </c>
      <c r="D3256" t="s">
        <v>24</v>
      </c>
      <c r="E3256" t="s">
        <v>25</v>
      </c>
      <c r="F3256">
        <v>1</v>
      </c>
      <c r="G3256">
        <v>9791175301023</v>
      </c>
      <c r="H3256" t="s">
        <v>26</v>
      </c>
      <c r="I3256" t="s">
        <v>4742</v>
      </c>
      <c r="J3256" t="s">
        <v>965</v>
      </c>
      <c r="K3256" t="s">
        <v>29</v>
      </c>
      <c r="L3256" s="1">
        <v>3200</v>
      </c>
      <c r="M3256" t="s">
        <v>127</v>
      </c>
      <c r="N3256">
        <v>9.5500000000000007</v>
      </c>
      <c r="O3256">
        <v>8.3000000000000007</v>
      </c>
      <c r="P3256" t="s">
        <v>128</v>
      </c>
      <c r="Q3256" s="2">
        <v>0.7</v>
      </c>
      <c r="R3256">
        <v>5.81</v>
      </c>
      <c r="S3256" t="s">
        <v>29</v>
      </c>
      <c r="T3256" s="1">
        <v>2240</v>
      </c>
      <c r="U3256">
        <v>385.30117999999999</v>
      </c>
      <c r="V3256" t="str">
        <f>VLOOKUP(H3256,'[1]팀별 출판사'!A:B,2,0)</f>
        <v>소설1팀</v>
      </c>
      <c r="W3256" s="6">
        <f t="shared" si="100"/>
        <v>0</v>
      </c>
      <c r="X3256" s="6">
        <f t="shared" si="101"/>
        <v>2240</v>
      </c>
    </row>
    <row r="3257" spans="1:24" x14ac:dyDescent="0.3">
      <c r="A3257" t="s">
        <v>4605</v>
      </c>
      <c r="B3257" t="s">
        <v>4743</v>
      </c>
      <c r="C3257" t="s">
        <v>23</v>
      </c>
      <c r="D3257" t="s">
        <v>24</v>
      </c>
      <c r="E3257" t="s">
        <v>25</v>
      </c>
      <c r="F3257">
        <v>1</v>
      </c>
      <c r="G3257">
        <v>9791136934970</v>
      </c>
      <c r="H3257" t="s">
        <v>32</v>
      </c>
      <c r="I3257" t="s">
        <v>4744</v>
      </c>
      <c r="J3257" t="s">
        <v>126</v>
      </c>
      <c r="K3257" t="s">
        <v>29</v>
      </c>
      <c r="L3257" s="1">
        <v>3200</v>
      </c>
      <c r="M3257" t="s">
        <v>29</v>
      </c>
      <c r="N3257" s="1">
        <v>3200</v>
      </c>
      <c r="O3257" s="1">
        <v>3200</v>
      </c>
      <c r="P3257" t="s">
        <v>30</v>
      </c>
      <c r="Q3257" s="2">
        <v>0.7</v>
      </c>
      <c r="R3257" s="1">
        <v>2240</v>
      </c>
      <c r="S3257" t="s">
        <v>29</v>
      </c>
      <c r="T3257" s="1">
        <v>2240</v>
      </c>
      <c r="V3257" t="str">
        <f>VLOOKUP(H3257,'[1]팀별 출판사'!A:B,2,0)</f>
        <v>소설1팀</v>
      </c>
      <c r="W3257" s="6">
        <f t="shared" si="100"/>
        <v>0</v>
      </c>
      <c r="X3257" s="6">
        <f t="shared" si="101"/>
        <v>2240</v>
      </c>
    </row>
    <row r="3258" spans="1:24" x14ac:dyDescent="0.3">
      <c r="A3258" t="s">
        <v>4605</v>
      </c>
      <c r="B3258" t="s">
        <v>4745</v>
      </c>
      <c r="C3258" t="s">
        <v>23</v>
      </c>
      <c r="D3258" t="s">
        <v>24</v>
      </c>
      <c r="E3258" t="s">
        <v>25</v>
      </c>
      <c r="F3258">
        <v>1</v>
      </c>
      <c r="G3258">
        <v>9791136931375</v>
      </c>
      <c r="H3258" t="s">
        <v>32</v>
      </c>
      <c r="I3258" t="s">
        <v>189</v>
      </c>
      <c r="J3258" t="s">
        <v>46</v>
      </c>
      <c r="K3258" t="s">
        <v>29</v>
      </c>
      <c r="L3258">
        <v>0</v>
      </c>
      <c r="M3258" t="s">
        <v>152</v>
      </c>
      <c r="N3258">
        <v>0</v>
      </c>
      <c r="O3258">
        <v>0</v>
      </c>
      <c r="P3258" t="s">
        <v>153</v>
      </c>
      <c r="Q3258" s="2">
        <v>0.7</v>
      </c>
      <c r="R3258">
        <v>0</v>
      </c>
      <c r="V3258" t="str">
        <f>VLOOKUP(H3258,'[1]팀별 출판사'!A:B,2,0)</f>
        <v>소설1팀</v>
      </c>
      <c r="W3258" s="6">
        <f t="shared" si="100"/>
        <v>0</v>
      </c>
      <c r="X3258" s="6">
        <f t="shared" si="101"/>
        <v>0</v>
      </c>
    </row>
    <row r="3259" spans="1:24" x14ac:dyDescent="0.3">
      <c r="A3259" t="s">
        <v>4605</v>
      </c>
      <c r="B3259" t="s">
        <v>4746</v>
      </c>
      <c r="C3259" t="s">
        <v>23</v>
      </c>
      <c r="D3259" t="s">
        <v>24</v>
      </c>
      <c r="E3259" t="s">
        <v>25</v>
      </c>
      <c r="F3259">
        <v>1</v>
      </c>
      <c r="G3259">
        <v>9791136926791</v>
      </c>
      <c r="H3259" t="s">
        <v>26</v>
      </c>
      <c r="I3259" t="s">
        <v>2379</v>
      </c>
      <c r="J3259" t="s">
        <v>62</v>
      </c>
      <c r="K3259" t="s">
        <v>29</v>
      </c>
      <c r="L3259" s="1">
        <v>3200</v>
      </c>
      <c r="M3259" t="s">
        <v>70</v>
      </c>
      <c r="N3259">
        <v>2.2200000000000002</v>
      </c>
      <c r="O3259">
        <v>2.2200000000000002</v>
      </c>
      <c r="P3259" t="s">
        <v>71</v>
      </c>
      <c r="Q3259" s="2">
        <v>0.7</v>
      </c>
      <c r="R3259">
        <v>1.55</v>
      </c>
      <c r="S3259" t="s">
        <v>29</v>
      </c>
      <c r="T3259" s="1">
        <v>2242</v>
      </c>
      <c r="U3259" s="3">
        <v>1445.43812</v>
      </c>
      <c r="V3259" t="str">
        <f>VLOOKUP(H3259,'[1]팀별 출판사'!A:B,2,0)</f>
        <v>소설1팀</v>
      </c>
      <c r="W3259" s="6">
        <f t="shared" si="100"/>
        <v>672.6</v>
      </c>
      <c r="X3259" s="6">
        <f t="shared" si="101"/>
        <v>1569.4</v>
      </c>
    </row>
    <row r="3260" spans="1:24" x14ac:dyDescent="0.3">
      <c r="A3260" t="s">
        <v>4605</v>
      </c>
      <c r="B3260" t="s">
        <v>4746</v>
      </c>
      <c r="C3260" t="s">
        <v>23</v>
      </c>
      <c r="D3260" t="s">
        <v>24</v>
      </c>
      <c r="E3260" t="s">
        <v>25</v>
      </c>
      <c r="F3260">
        <v>1</v>
      </c>
      <c r="G3260">
        <v>9791136926807</v>
      </c>
      <c r="H3260" t="s">
        <v>26</v>
      </c>
      <c r="I3260" t="s">
        <v>1947</v>
      </c>
      <c r="J3260" t="s">
        <v>62</v>
      </c>
      <c r="K3260" t="s">
        <v>29</v>
      </c>
      <c r="L3260" s="1">
        <v>3200</v>
      </c>
      <c r="M3260" t="s">
        <v>70</v>
      </c>
      <c r="N3260">
        <v>2.2200000000000002</v>
      </c>
      <c r="O3260">
        <v>2.2200000000000002</v>
      </c>
      <c r="P3260" t="s">
        <v>71</v>
      </c>
      <c r="Q3260" s="2">
        <v>0.7</v>
      </c>
      <c r="R3260">
        <v>1.55</v>
      </c>
      <c r="S3260" t="s">
        <v>29</v>
      </c>
      <c r="T3260" s="1">
        <v>2242</v>
      </c>
      <c r="U3260" s="3">
        <v>1445.43812</v>
      </c>
      <c r="V3260" t="str">
        <f>VLOOKUP(H3260,'[1]팀별 출판사'!A:B,2,0)</f>
        <v>소설1팀</v>
      </c>
      <c r="W3260" s="6">
        <f t="shared" si="100"/>
        <v>672.6</v>
      </c>
      <c r="X3260" s="6">
        <f t="shared" si="101"/>
        <v>1569.4</v>
      </c>
    </row>
    <row r="3261" spans="1:24" x14ac:dyDescent="0.3">
      <c r="A3261" t="s">
        <v>4605</v>
      </c>
      <c r="B3261" t="s">
        <v>4746</v>
      </c>
      <c r="C3261" t="s">
        <v>23</v>
      </c>
      <c r="D3261" t="s">
        <v>24</v>
      </c>
      <c r="E3261" t="s">
        <v>25</v>
      </c>
      <c r="F3261">
        <v>1</v>
      </c>
      <c r="G3261">
        <v>9791136926814</v>
      </c>
      <c r="H3261" t="s">
        <v>26</v>
      </c>
      <c r="I3261" t="s">
        <v>2095</v>
      </c>
      <c r="J3261" t="s">
        <v>62</v>
      </c>
      <c r="K3261" t="s">
        <v>29</v>
      </c>
      <c r="L3261" s="1">
        <v>3200</v>
      </c>
      <c r="M3261" t="s">
        <v>70</v>
      </c>
      <c r="N3261">
        <v>2.2200000000000002</v>
      </c>
      <c r="O3261">
        <v>2.2200000000000002</v>
      </c>
      <c r="P3261" t="s">
        <v>71</v>
      </c>
      <c r="Q3261" s="2">
        <v>0.7</v>
      </c>
      <c r="R3261">
        <v>1.55</v>
      </c>
      <c r="S3261" t="s">
        <v>29</v>
      </c>
      <c r="T3261" s="1">
        <v>2242</v>
      </c>
      <c r="U3261" s="3">
        <v>1445.43812</v>
      </c>
      <c r="V3261" t="str">
        <f>VLOOKUP(H3261,'[1]팀별 출판사'!A:B,2,0)</f>
        <v>소설1팀</v>
      </c>
      <c r="W3261" s="6">
        <f t="shared" si="100"/>
        <v>672.6</v>
      </c>
      <c r="X3261" s="6">
        <f t="shared" si="101"/>
        <v>1569.4</v>
      </c>
    </row>
    <row r="3262" spans="1:24" x14ac:dyDescent="0.3">
      <c r="A3262" t="s">
        <v>4605</v>
      </c>
      <c r="B3262" t="s">
        <v>4746</v>
      </c>
      <c r="C3262" t="s">
        <v>23</v>
      </c>
      <c r="D3262" t="s">
        <v>24</v>
      </c>
      <c r="E3262" t="s">
        <v>25</v>
      </c>
      <c r="F3262">
        <v>1</v>
      </c>
      <c r="G3262">
        <v>9791136926821</v>
      </c>
      <c r="H3262" t="s">
        <v>26</v>
      </c>
      <c r="I3262" t="s">
        <v>3051</v>
      </c>
      <c r="J3262" t="s">
        <v>62</v>
      </c>
      <c r="K3262" t="s">
        <v>29</v>
      </c>
      <c r="L3262" s="1">
        <v>3200</v>
      </c>
      <c r="M3262" t="s">
        <v>70</v>
      </c>
      <c r="N3262">
        <v>2.2200000000000002</v>
      </c>
      <c r="O3262">
        <v>2.2200000000000002</v>
      </c>
      <c r="P3262" t="s">
        <v>71</v>
      </c>
      <c r="Q3262" s="2">
        <v>0.7</v>
      </c>
      <c r="R3262">
        <v>1.55</v>
      </c>
      <c r="S3262" t="s">
        <v>29</v>
      </c>
      <c r="T3262" s="1">
        <v>2242</v>
      </c>
      <c r="U3262" s="3">
        <v>1445.43812</v>
      </c>
      <c r="V3262" t="str">
        <f>VLOOKUP(H3262,'[1]팀별 출판사'!A:B,2,0)</f>
        <v>소설1팀</v>
      </c>
      <c r="W3262" s="6">
        <f t="shared" si="100"/>
        <v>672.6</v>
      </c>
      <c r="X3262" s="6">
        <f t="shared" si="101"/>
        <v>1569.4</v>
      </c>
    </row>
    <row r="3263" spans="1:24" x14ac:dyDescent="0.3">
      <c r="A3263" t="s">
        <v>4605</v>
      </c>
      <c r="B3263" t="s">
        <v>4746</v>
      </c>
      <c r="C3263" t="s">
        <v>23</v>
      </c>
      <c r="D3263" t="s">
        <v>24</v>
      </c>
      <c r="E3263" t="s">
        <v>25</v>
      </c>
      <c r="F3263">
        <v>1</v>
      </c>
      <c r="G3263">
        <v>9791136926838</v>
      </c>
      <c r="H3263" t="s">
        <v>26</v>
      </c>
      <c r="I3263" t="s">
        <v>3220</v>
      </c>
      <c r="J3263" t="s">
        <v>62</v>
      </c>
      <c r="K3263" t="s">
        <v>29</v>
      </c>
      <c r="L3263" s="1">
        <v>3200</v>
      </c>
      <c r="M3263" t="s">
        <v>70</v>
      </c>
      <c r="N3263">
        <v>2.2200000000000002</v>
      </c>
      <c r="O3263">
        <v>2.2200000000000002</v>
      </c>
      <c r="P3263" t="s">
        <v>71</v>
      </c>
      <c r="Q3263" s="2">
        <v>0.7</v>
      </c>
      <c r="R3263">
        <v>1.55</v>
      </c>
      <c r="S3263" t="s">
        <v>29</v>
      </c>
      <c r="T3263" s="1">
        <v>2242</v>
      </c>
      <c r="U3263" s="3">
        <v>1445.43812</v>
      </c>
      <c r="V3263" t="str">
        <f>VLOOKUP(H3263,'[1]팀별 출판사'!A:B,2,0)</f>
        <v>소설1팀</v>
      </c>
      <c r="W3263" s="6">
        <f t="shared" si="100"/>
        <v>672.6</v>
      </c>
      <c r="X3263" s="6">
        <f t="shared" si="101"/>
        <v>1569.4</v>
      </c>
    </row>
    <row r="3264" spans="1:24" x14ac:dyDescent="0.3">
      <c r="A3264" t="s">
        <v>4605</v>
      </c>
      <c r="B3264" t="s">
        <v>4746</v>
      </c>
      <c r="C3264" t="s">
        <v>23</v>
      </c>
      <c r="D3264" t="s">
        <v>24</v>
      </c>
      <c r="E3264" t="s">
        <v>25</v>
      </c>
      <c r="F3264">
        <v>1</v>
      </c>
      <c r="G3264">
        <v>9791136926845</v>
      </c>
      <c r="H3264" t="s">
        <v>26</v>
      </c>
      <c r="I3264" t="s">
        <v>3248</v>
      </c>
      <c r="J3264" t="s">
        <v>62</v>
      </c>
      <c r="K3264" t="s">
        <v>29</v>
      </c>
      <c r="L3264" s="1">
        <v>3200</v>
      </c>
      <c r="M3264" t="s">
        <v>70</v>
      </c>
      <c r="N3264">
        <v>2.2200000000000002</v>
      </c>
      <c r="O3264">
        <v>2.2200000000000002</v>
      </c>
      <c r="P3264" t="s">
        <v>71</v>
      </c>
      <c r="Q3264" s="2">
        <v>0.7</v>
      </c>
      <c r="R3264">
        <v>1.55</v>
      </c>
      <c r="S3264" t="s">
        <v>29</v>
      </c>
      <c r="T3264" s="1">
        <v>2242</v>
      </c>
      <c r="U3264" s="3">
        <v>1445.43812</v>
      </c>
      <c r="V3264" t="str">
        <f>VLOOKUP(H3264,'[1]팀별 출판사'!A:B,2,0)</f>
        <v>소설1팀</v>
      </c>
      <c r="W3264" s="6">
        <f t="shared" si="100"/>
        <v>672.6</v>
      </c>
      <c r="X3264" s="6">
        <f t="shared" si="101"/>
        <v>1569.4</v>
      </c>
    </row>
    <row r="3265" spans="1:24" x14ac:dyDescent="0.3">
      <c r="A3265" t="s">
        <v>4605</v>
      </c>
      <c r="B3265" t="s">
        <v>4746</v>
      </c>
      <c r="C3265" t="s">
        <v>23</v>
      </c>
      <c r="D3265" t="s">
        <v>24</v>
      </c>
      <c r="E3265" t="s">
        <v>25</v>
      </c>
      <c r="F3265">
        <v>1</v>
      </c>
      <c r="G3265">
        <v>9791136926852</v>
      </c>
      <c r="H3265" t="s">
        <v>26</v>
      </c>
      <c r="I3265" t="s">
        <v>3319</v>
      </c>
      <c r="J3265" t="s">
        <v>62</v>
      </c>
      <c r="K3265" t="s">
        <v>29</v>
      </c>
      <c r="L3265" s="1">
        <v>3200</v>
      </c>
      <c r="M3265" t="s">
        <v>70</v>
      </c>
      <c r="N3265">
        <v>2.2200000000000002</v>
      </c>
      <c r="O3265">
        <v>2.2200000000000002</v>
      </c>
      <c r="P3265" t="s">
        <v>71</v>
      </c>
      <c r="Q3265" s="2">
        <v>0.7</v>
      </c>
      <c r="R3265">
        <v>1.55</v>
      </c>
      <c r="S3265" t="s">
        <v>29</v>
      </c>
      <c r="T3265" s="1">
        <v>2242</v>
      </c>
      <c r="U3265" s="3">
        <v>1445.43812</v>
      </c>
      <c r="V3265" t="str">
        <f>VLOOKUP(H3265,'[1]팀별 출판사'!A:B,2,0)</f>
        <v>소설1팀</v>
      </c>
      <c r="W3265" s="6">
        <f t="shared" si="100"/>
        <v>672.6</v>
      </c>
      <c r="X3265" s="6">
        <f t="shared" si="101"/>
        <v>1569.4</v>
      </c>
    </row>
    <row r="3266" spans="1:24" x14ac:dyDescent="0.3">
      <c r="A3266" t="s">
        <v>4605</v>
      </c>
      <c r="B3266" t="s">
        <v>4746</v>
      </c>
      <c r="C3266" t="s">
        <v>23</v>
      </c>
      <c r="D3266" t="s">
        <v>24</v>
      </c>
      <c r="E3266" t="s">
        <v>25</v>
      </c>
      <c r="F3266">
        <v>1</v>
      </c>
      <c r="G3266">
        <v>9791136926869</v>
      </c>
      <c r="H3266" t="s">
        <v>26</v>
      </c>
      <c r="I3266" t="s">
        <v>3392</v>
      </c>
      <c r="J3266" t="s">
        <v>62</v>
      </c>
      <c r="K3266" t="s">
        <v>29</v>
      </c>
      <c r="L3266" s="1">
        <v>3200</v>
      </c>
      <c r="M3266" t="s">
        <v>70</v>
      </c>
      <c r="N3266">
        <v>2.2200000000000002</v>
      </c>
      <c r="O3266">
        <v>2.2200000000000002</v>
      </c>
      <c r="P3266" t="s">
        <v>71</v>
      </c>
      <c r="Q3266" s="2">
        <v>0.7</v>
      </c>
      <c r="R3266">
        <v>1.55</v>
      </c>
      <c r="S3266" t="s">
        <v>29</v>
      </c>
      <c r="T3266" s="1">
        <v>2242</v>
      </c>
      <c r="U3266" s="3">
        <v>1445.43812</v>
      </c>
      <c r="V3266" t="str">
        <f>VLOOKUP(H3266,'[1]팀별 출판사'!A:B,2,0)</f>
        <v>소설1팀</v>
      </c>
      <c r="W3266" s="6">
        <f t="shared" ref="W3266:W3329" si="102">IF(P3266="US", T3266*30%, 0)</f>
        <v>672.6</v>
      </c>
      <c r="X3266" s="6">
        <f t="shared" ref="X3266:X3329" si="103">T3266-W3266</f>
        <v>1569.4</v>
      </c>
    </row>
    <row r="3267" spans="1:24" x14ac:dyDescent="0.3">
      <c r="A3267" t="s">
        <v>4605</v>
      </c>
      <c r="B3267" t="s">
        <v>4747</v>
      </c>
      <c r="C3267" t="s">
        <v>23</v>
      </c>
      <c r="D3267" t="s">
        <v>24</v>
      </c>
      <c r="E3267" t="s">
        <v>25</v>
      </c>
      <c r="F3267">
        <v>1</v>
      </c>
      <c r="G3267">
        <v>9791136930491</v>
      </c>
      <c r="H3267" t="s">
        <v>26</v>
      </c>
      <c r="I3267" t="s">
        <v>151</v>
      </c>
      <c r="J3267" t="s">
        <v>46</v>
      </c>
      <c r="K3267" t="s">
        <v>29</v>
      </c>
      <c r="L3267">
        <v>0</v>
      </c>
      <c r="M3267" t="s">
        <v>152</v>
      </c>
      <c r="N3267">
        <v>0</v>
      </c>
      <c r="O3267">
        <v>0</v>
      </c>
      <c r="P3267" t="s">
        <v>153</v>
      </c>
      <c r="Q3267" s="2">
        <v>0.7</v>
      </c>
      <c r="R3267">
        <v>0</v>
      </c>
      <c r="V3267" t="str">
        <f>VLOOKUP(H3267,'[1]팀별 출판사'!A:B,2,0)</f>
        <v>소설1팀</v>
      </c>
      <c r="W3267" s="6">
        <f t="shared" si="102"/>
        <v>0</v>
      </c>
      <c r="X3267" s="6">
        <f t="shared" si="103"/>
        <v>0</v>
      </c>
    </row>
    <row r="3268" spans="1:24" x14ac:dyDescent="0.3">
      <c r="A3268" t="s">
        <v>4605</v>
      </c>
      <c r="B3268" t="s">
        <v>4747</v>
      </c>
      <c r="C3268" t="s">
        <v>23</v>
      </c>
      <c r="D3268" t="s">
        <v>24</v>
      </c>
      <c r="E3268" t="s">
        <v>25</v>
      </c>
      <c r="F3268">
        <v>1</v>
      </c>
      <c r="G3268">
        <v>9791136930224</v>
      </c>
      <c r="H3268" t="s">
        <v>32</v>
      </c>
      <c r="I3268" t="s">
        <v>172</v>
      </c>
      <c r="J3268" t="s">
        <v>46</v>
      </c>
      <c r="K3268" t="s">
        <v>29</v>
      </c>
      <c r="L3268">
        <v>0</v>
      </c>
      <c r="M3268" t="s">
        <v>152</v>
      </c>
      <c r="N3268">
        <v>0</v>
      </c>
      <c r="O3268">
        <v>0</v>
      </c>
      <c r="P3268" t="s">
        <v>153</v>
      </c>
      <c r="Q3268" s="2">
        <v>0.7</v>
      </c>
      <c r="R3268">
        <v>0</v>
      </c>
      <c r="V3268" t="str">
        <f>VLOOKUP(H3268,'[1]팀별 출판사'!A:B,2,0)</f>
        <v>소설1팀</v>
      </c>
      <c r="W3268" s="6">
        <f t="shared" si="102"/>
        <v>0</v>
      </c>
      <c r="X3268" s="6">
        <f t="shared" si="103"/>
        <v>0</v>
      </c>
    </row>
    <row r="3269" spans="1:24" x14ac:dyDescent="0.3">
      <c r="A3269" t="s">
        <v>4605</v>
      </c>
      <c r="B3269" t="s">
        <v>4747</v>
      </c>
      <c r="C3269" t="s">
        <v>23</v>
      </c>
      <c r="D3269" t="s">
        <v>24</v>
      </c>
      <c r="E3269" t="s">
        <v>25</v>
      </c>
      <c r="F3269">
        <v>1</v>
      </c>
      <c r="G3269">
        <v>9791136931382</v>
      </c>
      <c r="H3269" t="s">
        <v>32</v>
      </c>
      <c r="I3269" t="s">
        <v>523</v>
      </c>
      <c r="J3269" t="s">
        <v>46</v>
      </c>
      <c r="K3269" t="s">
        <v>29</v>
      </c>
      <c r="L3269">
        <v>0</v>
      </c>
      <c r="M3269" t="s">
        <v>152</v>
      </c>
      <c r="N3269">
        <v>0</v>
      </c>
      <c r="O3269">
        <v>0</v>
      </c>
      <c r="P3269" t="s">
        <v>153</v>
      </c>
      <c r="Q3269" s="2">
        <v>0.7</v>
      </c>
      <c r="R3269">
        <v>0</v>
      </c>
      <c r="V3269" t="str">
        <f>VLOOKUP(H3269,'[1]팀별 출판사'!A:B,2,0)</f>
        <v>소설1팀</v>
      </c>
      <c r="W3269" s="6">
        <f t="shared" si="102"/>
        <v>0</v>
      </c>
      <c r="X3269" s="6">
        <f t="shared" si="103"/>
        <v>0</v>
      </c>
    </row>
    <row r="3270" spans="1:24" x14ac:dyDescent="0.3">
      <c r="A3270" t="s">
        <v>4605</v>
      </c>
      <c r="B3270" t="s">
        <v>4747</v>
      </c>
      <c r="C3270" t="s">
        <v>23</v>
      </c>
      <c r="D3270" t="s">
        <v>24</v>
      </c>
      <c r="E3270" t="s">
        <v>25</v>
      </c>
      <c r="F3270">
        <v>1</v>
      </c>
      <c r="G3270">
        <v>9791136930552</v>
      </c>
      <c r="H3270" t="s">
        <v>26</v>
      </c>
      <c r="I3270" t="s">
        <v>45</v>
      </c>
      <c r="J3270" t="s">
        <v>46</v>
      </c>
      <c r="K3270" t="s">
        <v>29</v>
      </c>
      <c r="L3270">
        <v>0</v>
      </c>
      <c r="M3270" t="s">
        <v>152</v>
      </c>
      <c r="N3270">
        <v>0</v>
      </c>
      <c r="O3270">
        <v>0</v>
      </c>
      <c r="P3270" t="s">
        <v>153</v>
      </c>
      <c r="Q3270" s="2">
        <v>0.7</v>
      </c>
      <c r="R3270">
        <v>0</v>
      </c>
      <c r="V3270" t="str">
        <f>VLOOKUP(H3270,'[1]팀별 출판사'!A:B,2,0)</f>
        <v>소설1팀</v>
      </c>
      <c r="W3270" s="6">
        <f t="shared" si="102"/>
        <v>0</v>
      </c>
      <c r="X3270" s="6">
        <f t="shared" si="103"/>
        <v>0</v>
      </c>
    </row>
    <row r="3271" spans="1:24" x14ac:dyDescent="0.3">
      <c r="A3271" t="s">
        <v>4605</v>
      </c>
      <c r="B3271" t="s">
        <v>4747</v>
      </c>
      <c r="C3271" t="s">
        <v>23</v>
      </c>
      <c r="D3271" t="s">
        <v>24</v>
      </c>
      <c r="E3271" t="s">
        <v>25</v>
      </c>
      <c r="F3271">
        <v>1</v>
      </c>
      <c r="G3271">
        <v>9791136931375</v>
      </c>
      <c r="H3271" t="s">
        <v>32</v>
      </c>
      <c r="I3271" t="s">
        <v>189</v>
      </c>
      <c r="J3271" t="s">
        <v>46</v>
      </c>
      <c r="K3271" t="s">
        <v>29</v>
      </c>
      <c r="L3271">
        <v>0</v>
      </c>
      <c r="M3271" t="s">
        <v>152</v>
      </c>
      <c r="N3271">
        <v>0</v>
      </c>
      <c r="O3271">
        <v>0</v>
      </c>
      <c r="P3271" t="s">
        <v>153</v>
      </c>
      <c r="Q3271" s="2">
        <v>0.7</v>
      </c>
      <c r="R3271">
        <v>0</v>
      </c>
      <c r="V3271" t="str">
        <f>VLOOKUP(H3271,'[1]팀별 출판사'!A:B,2,0)</f>
        <v>소설1팀</v>
      </c>
      <c r="W3271" s="6">
        <f t="shared" si="102"/>
        <v>0</v>
      </c>
      <c r="X3271" s="6">
        <f t="shared" si="103"/>
        <v>0</v>
      </c>
    </row>
    <row r="3272" spans="1:24" x14ac:dyDescent="0.3">
      <c r="A3272" t="s">
        <v>4605</v>
      </c>
      <c r="B3272" t="s">
        <v>4747</v>
      </c>
      <c r="C3272" t="s">
        <v>23</v>
      </c>
      <c r="D3272" t="s">
        <v>24</v>
      </c>
      <c r="E3272" t="s">
        <v>25</v>
      </c>
      <c r="F3272">
        <v>1</v>
      </c>
      <c r="G3272">
        <v>9791136931399</v>
      </c>
      <c r="H3272" t="s">
        <v>32</v>
      </c>
      <c r="I3272" t="s">
        <v>482</v>
      </c>
      <c r="J3272" t="s">
        <v>46</v>
      </c>
      <c r="K3272" t="s">
        <v>29</v>
      </c>
      <c r="L3272">
        <v>0</v>
      </c>
      <c r="M3272" t="s">
        <v>152</v>
      </c>
      <c r="N3272">
        <v>0</v>
      </c>
      <c r="O3272">
        <v>0</v>
      </c>
      <c r="P3272" t="s">
        <v>153</v>
      </c>
      <c r="Q3272" s="2">
        <v>0.7</v>
      </c>
      <c r="R3272">
        <v>0</v>
      </c>
      <c r="V3272" t="str">
        <f>VLOOKUP(H3272,'[1]팀별 출판사'!A:B,2,0)</f>
        <v>소설1팀</v>
      </c>
      <c r="W3272" s="6">
        <f t="shared" si="102"/>
        <v>0</v>
      </c>
      <c r="X3272" s="6">
        <f t="shared" si="103"/>
        <v>0</v>
      </c>
    </row>
    <row r="3273" spans="1:24" x14ac:dyDescent="0.3">
      <c r="A3273" t="s">
        <v>4605</v>
      </c>
      <c r="B3273" t="s">
        <v>4747</v>
      </c>
      <c r="C3273" t="s">
        <v>23</v>
      </c>
      <c r="D3273" t="s">
        <v>24</v>
      </c>
      <c r="E3273" t="s">
        <v>25</v>
      </c>
      <c r="F3273">
        <v>1</v>
      </c>
      <c r="G3273">
        <v>9791172921033</v>
      </c>
      <c r="H3273" t="s">
        <v>79</v>
      </c>
      <c r="I3273" t="s">
        <v>738</v>
      </c>
      <c r="J3273" t="s">
        <v>46</v>
      </c>
      <c r="K3273" t="s">
        <v>29</v>
      </c>
      <c r="L3273">
        <v>0</v>
      </c>
      <c r="M3273" t="s">
        <v>152</v>
      </c>
      <c r="N3273">
        <v>0</v>
      </c>
      <c r="O3273">
        <v>0</v>
      </c>
      <c r="P3273" t="s">
        <v>153</v>
      </c>
      <c r="Q3273" s="2">
        <v>0.7</v>
      </c>
      <c r="R3273">
        <v>0</v>
      </c>
      <c r="V3273" t="str">
        <f>VLOOKUP(H3273,'[1]팀별 출판사'!A:B,2,0)</f>
        <v>소설1팀</v>
      </c>
      <c r="W3273" s="6">
        <f t="shared" si="102"/>
        <v>0</v>
      </c>
      <c r="X3273" s="6">
        <f t="shared" si="103"/>
        <v>0</v>
      </c>
    </row>
    <row r="3274" spans="1:24" x14ac:dyDescent="0.3">
      <c r="A3274" t="s">
        <v>4605</v>
      </c>
      <c r="B3274" t="s">
        <v>4747</v>
      </c>
      <c r="C3274" t="s">
        <v>23</v>
      </c>
      <c r="D3274" t="s">
        <v>24</v>
      </c>
      <c r="E3274" t="s">
        <v>25</v>
      </c>
      <c r="F3274">
        <v>1</v>
      </c>
      <c r="G3274">
        <v>9791136942142</v>
      </c>
      <c r="H3274" t="s">
        <v>26</v>
      </c>
      <c r="I3274" t="s">
        <v>180</v>
      </c>
      <c r="J3274" t="s">
        <v>46</v>
      </c>
      <c r="K3274" t="s">
        <v>29</v>
      </c>
      <c r="L3274">
        <v>0</v>
      </c>
      <c r="M3274" t="s">
        <v>152</v>
      </c>
      <c r="N3274">
        <v>0</v>
      </c>
      <c r="O3274">
        <v>0</v>
      </c>
      <c r="P3274" t="s">
        <v>153</v>
      </c>
      <c r="Q3274" s="2">
        <v>0.7</v>
      </c>
      <c r="R3274">
        <v>0</v>
      </c>
      <c r="V3274" t="str">
        <f>VLOOKUP(H3274,'[1]팀별 출판사'!A:B,2,0)</f>
        <v>소설1팀</v>
      </c>
      <c r="W3274" s="6">
        <f t="shared" si="102"/>
        <v>0</v>
      </c>
      <c r="X3274" s="6">
        <f t="shared" si="103"/>
        <v>0</v>
      </c>
    </row>
    <row r="3275" spans="1:24" x14ac:dyDescent="0.3">
      <c r="A3275" t="s">
        <v>4605</v>
      </c>
      <c r="B3275" t="s">
        <v>4748</v>
      </c>
      <c r="C3275" t="s">
        <v>23</v>
      </c>
      <c r="D3275" t="s">
        <v>24</v>
      </c>
      <c r="E3275" t="s">
        <v>25</v>
      </c>
      <c r="F3275">
        <v>1</v>
      </c>
      <c r="G3275">
        <v>9791136931375</v>
      </c>
      <c r="H3275" t="s">
        <v>32</v>
      </c>
      <c r="I3275" t="s">
        <v>189</v>
      </c>
      <c r="J3275" t="s">
        <v>46</v>
      </c>
      <c r="K3275" t="s">
        <v>29</v>
      </c>
      <c r="L3275">
        <v>0</v>
      </c>
      <c r="M3275" t="s">
        <v>47</v>
      </c>
      <c r="N3275">
        <v>0</v>
      </c>
      <c r="O3275">
        <v>0</v>
      </c>
      <c r="P3275" t="s">
        <v>48</v>
      </c>
      <c r="Q3275" s="2">
        <v>0.7</v>
      </c>
      <c r="R3275">
        <v>0</v>
      </c>
      <c r="V3275" t="str">
        <f>VLOOKUP(H3275,'[1]팀별 출판사'!A:B,2,0)</f>
        <v>소설1팀</v>
      </c>
      <c r="W3275" s="6">
        <f t="shared" si="102"/>
        <v>0</v>
      </c>
      <c r="X3275" s="6">
        <f t="shared" si="103"/>
        <v>0</v>
      </c>
    </row>
    <row r="3276" spans="1:24" x14ac:dyDescent="0.3">
      <c r="A3276" t="s">
        <v>4605</v>
      </c>
      <c r="B3276" t="s">
        <v>4749</v>
      </c>
      <c r="C3276" t="s">
        <v>23</v>
      </c>
      <c r="D3276" t="s">
        <v>24</v>
      </c>
      <c r="E3276" t="s">
        <v>25</v>
      </c>
      <c r="F3276">
        <v>1</v>
      </c>
      <c r="G3276">
        <v>9791172920029</v>
      </c>
      <c r="H3276" t="s">
        <v>26</v>
      </c>
      <c r="I3276" t="s">
        <v>369</v>
      </c>
      <c r="J3276" t="s">
        <v>276</v>
      </c>
      <c r="K3276" t="s">
        <v>29</v>
      </c>
      <c r="L3276">
        <v>0</v>
      </c>
      <c r="M3276" t="s">
        <v>29</v>
      </c>
      <c r="N3276">
        <v>0</v>
      </c>
      <c r="O3276">
        <v>0</v>
      </c>
      <c r="P3276" t="s">
        <v>30</v>
      </c>
      <c r="Q3276" s="2">
        <v>0.7</v>
      </c>
      <c r="R3276">
        <v>0</v>
      </c>
      <c r="V3276" t="str">
        <f>VLOOKUP(H3276,'[1]팀별 출판사'!A:B,2,0)</f>
        <v>소설1팀</v>
      </c>
      <c r="W3276" s="6">
        <f t="shared" si="102"/>
        <v>0</v>
      </c>
      <c r="X3276" s="6">
        <f t="shared" si="103"/>
        <v>0</v>
      </c>
    </row>
    <row r="3277" spans="1:24" x14ac:dyDescent="0.3">
      <c r="A3277" t="s">
        <v>4605</v>
      </c>
      <c r="B3277" t="s">
        <v>4750</v>
      </c>
      <c r="C3277" t="s">
        <v>23</v>
      </c>
      <c r="D3277" t="s">
        <v>24</v>
      </c>
      <c r="E3277" t="s">
        <v>25</v>
      </c>
      <c r="F3277">
        <v>1</v>
      </c>
      <c r="G3277">
        <v>9791133186518</v>
      </c>
      <c r="H3277" t="s">
        <v>32</v>
      </c>
      <c r="I3277" t="s">
        <v>4751</v>
      </c>
      <c r="J3277" t="s">
        <v>166</v>
      </c>
      <c r="K3277" t="s">
        <v>29</v>
      </c>
      <c r="L3277" s="1">
        <v>3200</v>
      </c>
      <c r="M3277" t="s">
        <v>29</v>
      </c>
      <c r="N3277" s="1">
        <v>3200</v>
      </c>
      <c r="O3277" s="1">
        <v>3200</v>
      </c>
      <c r="P3277" t="s">
        <v>30</v>
      </c>
      <c r="Q3277" s="2">
        <v>0.7</v>
      </c>
      <c r="R3277" s="1">
        <v>2240</v>
      </c>
      <c r="S3277" t="s">
        <v>29</v>
      </c>
      <c r="T3277" s="1">
        <v>2240</v>
      </c>
      <c r="V3277" t="str">
        <f>VLOOKUP(H3277,'[1]팀별 출판사'!A:B,2,0)</f>
        <v>소설1팀</v>
      </c>
      <c r="W3277" s="6">
        <f t="shared" si="102"/>
        <v>0</v>
      </c>
      <c r="X3277" s="6">
        <f t="shared" si="103"/>
        <v>2240</v>
      </c>
    </row>
    <row r="3278" spans="1:24" x14ac:dyDescent="0.3">
      <c r="A3278" t="s">
        <v>4605</v>
      </c>
      <c r="B3278" t="s">
        <v>4752</v>
      </c>
      <c r="C3278" t="s">
        <v>23</v>
      </c>
      <c r="D3278" t="s">
        <v>24</v>
      </c>
      <c r="E3278" t="s">
        <v>25</v>
      </c>
      <c r="F3278">
        <v>1</v>
      </c>
      <c r="G3278" t="s">
        <v>2488</v>
      </c>
      <c r="H3278" t="s">
        <v>32</v>
      </c>
      <c r="I3278" t="s">
        <v>2489</v>
      </c>
      <c r="J3278" t="s">
        <v>311</v>
      </c>
      <c r="K3278" t="s">
        <v>29</v>
      </c>
      <c r="L3278" s="1">
        <v>3200</v>
      </c>
      <c r="M3278" t="s">
        <v>29</v>
      </c>
      <c r="N3278" s="1">
        <v>3200</v>
      </c>
      <c r="O3278" s="1">
        <v>3200</v>
      </c>
      <c r="P3278" t="s">
        <v>30</v>
      </c>
      <c r="Q3278" s="2">
        <v>0.7</v>
      </c>
      <c r="R3278" s="1">
        <v>2240</v>
      </c>
      <c r="S3278" t="s">
        <v>29</v>
      </c>
      <c r="T3278" s="1">
        <v>2240</v>
      </c>
      <c r="V3278" t="str">
        <f>VLOOKUP(H3278,'[1]팀별 출판사'!A:B,2,0)</f>
        <v>소설1팀</v>
      </c>
      <c r="W3278" s="6">
        <f t="shared" si="102"/>
        <v>0</v>
      </c>
      <c r="X3278" s="6">
        <f t="shared" si="103"/>
        <v>2240</v>
      </c>
    </row>
    <row r="3279" spans="1:24" x14ac:dyDescent="0.3">
      <c r="A3279" t="s">
        <v>4605</v>
      </c>
      <c r="B3279" t="s">
        <v>4753</v>
      </c>
      <c r="C3279" t="s">
        <v>23</v>
      </c>
      <c r="D3279" t="s">
        <v>24</v>
      </c>
      <c r="E3279" t="s">
        <v>25</v>
      </c>
      <c r="F3279">
        <v>1</v>
      </c>
      <c r="G3279">
        <v>9791136942821</v>
      </c>
      <c r="H3279" t="s">
        <v>26</v>
      </c>
      <c r="I3279" t="s">
        <v>2311</v>
      </c>
      <c r="J3279" t="s">
        <v>284</v>
      </c>
      <c r="K3279" t="s">
        <v>29</v>
      </c>
      <c r="L3279">
        <v>0</v>
      </c>
      <c r="M3279" t="s">
        <v>29</v>
      </c>
      <c r="N3279">
        <v>0</v>
      </c>
      <c r="O3279">
        <v>0</v>
      </c>
      <c r="P3279" t="s">
        <v>30</v>
      </c>
      <c r="Q3279" s="2">
        <v>0.7</v>
      </c>
      <c r="R3279">
        <v>0</v>
      </c>
      <c r="V3279" t="str">
        <f>VLOOKUP(H3279,'[1]팀별 출판사'!A:B,2,0)</f>
        <v>소설1팀</v>
      </c>
      <c r="W3279" s="6">
        <f t="shared" si="102"/>
        <v>0</v>
      </c>
      <c r="X3279" s="6">
        <f t="shared" si="103"/>
        <v>0</v>
      </c>
    </row>
    <row r="3280" spans="1:24" x14ac:dyDescent="0.3">
      <c r="A3280" t="s">
        <v>4605</v>
      </c>
      <c r="B3280" t="s">
        <v>4754</v>
      </c>
      <c r="C3280" t="s">
        <v>23</v>
      </c>
      <c r="D3280" t="s">
        <v>24</v>
      </c>
      <c r="E3280" t="s">
        <v>25</v>
      </c>
      <c r="F3280">
        <v>1</v>
      </c>
      <c r="G3280">
        <v>9791136942821</v>
      </c>
      <c r="H3280" t="s">
        <v>26</v>
      </c>
      <c r="I3280" t="s">
        <v>2311</v>
      </c>
      <c r="J3280" t="s">
        <v>284</v>
      </c>
      <c r="K3280" t="s">
        <v>29</v>
      </c>
      <c r="L3280">
        <v>0</v>
      </c>
      <c r="M3280" t="s">
        <v>29</v>
      </c>
      <c r="N3280">
        <v>0</v>
      </c>
      <c r="O3280">
        <v>0</v>
      </c>
      <c r="P3280" t="s">
        <v>30</v>
      </c>
      <c r="Q3280" s="2">
        <v>0.7</v>
      </c>
      <c r="R3280">
        <v>0</v>
      </c>
      <c r="V3280" t="str">
        <f>VLOOKUP(H3280,'[1]팀별 출판사'!A:B,2,0)</f>
        <v>소설1팀</v>
      </c>
      <c r="W3280" s="6">
        <f t="shared" si="102"/>
        <v>0</v>
      </c>
      <c r="X3280" s="6">
        <f t="shared" si="103"/>
        <v>0</v>
      </c>
    </row>
    <row r="3281" spans="1:24" x14ac:dyDescent="0.3">
      <c r="A3281" t="s">
        <v>4605</v>
      </c>
      <c r="B3281" t="s">
        <v>4741</v>
      </c>
      <c r="C3281" t="s">
        <v>23</v>
      </c>
      <c r="D3281" t="s">
        <v>1601</v>
      </c>
      <c r="E3281" t="s">
        <v>25</v>
      </c>
      <c r="F3281">
        <v>-1</v>
      </c>
      <c r="G3281">
        <v>9791175301023</v>
      </c>
      <c r="H3281" t="s">
        <v>26</v>
      </c>
      <c r="I3281" t="s">
        <v>4742</v>
      </c>
      <c r="J3281" t="s">
        <v>965</v>
      </c>
      <c r="K3281" t="s">
        <v>29</v>
      </c>
      <c r="L3281" s="1">
        <v>3200</v>
      </c>
      <c r="M3281" t="s">
        <v>127</v>
      </c>
      <c r="N3281">
        <v>9.5500000000000007</v>
      </c>
      <c r="O3281">
        <v>8.3000000000000007</v>
      </c>
      <c r="P3281" t="s">
        <v>128</v>
      </c>
      <c r="Q3281" s="2">
        <v>0.7</v>
      </c>
      <c r="R3281">
        <v>-5.81</v>
      </c>
      <c r="S3281" t="s">
        <v>29</v>
      </c>
      <c r="T3281" s="1">
        <v>-2240</v>
      </c>
      <c r="U3281">
        <v>385.30117999999999</v>
      </c>
      <c r="V3281" t="str">
        <f>VLOOKUP(H3281,'[1]팀별 출판사'!A:B,2,0)</f>
        <v>소설1팀</v>
      </c>
      <c r="W3281" s="6">
        <f t="shared" si="102"/>
        <v>0</v>
      </c>
      <c r="X3281" s="6">
        <f t="shared" si="103"/>
        <v>-2240</v>
      </c>
    </row>
    <row r="3282" spans="1:24" x14ac:dyDescent="0.3">
      <c r="A3282" t="s">
        <v>4605</v>
      </c>
      <c r="B3282" t="s">
        <v>4755</v>
      </c>
      <c r="C3282" t="s">
        <v>23</v>
      </c>
      <c r="D3282" t="s">
        <v>24</v>
      </c>
      <c r="E3282" t="s">
        <v>25</v>
      </c>
      <c r="F3282">
        <v>1</v>
      </c>
      <c r="G3282">
        <v>9791136988133</v>
      </c>
      <c r="H3282" t="s">
        <v>26</v>
      </c>
      <c r="I3282" t="s">
        <v>614</v>
      </c>
      <c r="J3282" t="s">
        <v>28</v>
      </c>
      <c r="K3282" t="s">
        <v>29</v>
      </c>
      <c r="L3282">
        <v>0</v>
      </c>
      <c r="M3282" t="s">
        <v>29</v>
      </c>
      <c r="N3282">
        <v>0</v>
      </c>
      <c r="O3282">
        <v>0</v>
      </c>
      <c r="P3282" t="s">
        <v>30</v>
      </c>
      <c r="Q3282" s="2">
        <v>0.7</v>
      </c>
      <c r="R3282">
        <v>0</v>
      </c>
      <c r="V3282" t="str">
        <f>VLOOKUP(H3282,'[1]팀별 출판사'!A:B,2,0)</f>
        <v>소설1팀</v>
      </c>
      <c r="W3282" s="6">
        <f t="shared" si="102"/>
        <v>0</v>
      </c>
      <c r="X3282" s="6">
        <f t="shared" si="103"/>
        <v>0</v>
      </c>
    </row>
    <row r="3283" spans="1:24" x14ac:dyDescent="0.3">
      <c r="A3283" t="s">
        <v>4605</v>
      </c>
      <c r="B3283" t="s">
        <v>4756</v>
      </c>
      <c r="C3283" t="s">
        <v>23</v>
      </c>
      <c r="D3283" t="s">
        <v>24</v>
      </c>
      <c r="E3283" t="s">
        <v>25</v>
      </c>
      <c r="F3283">
        <v>1</v>
      </c>
      <c r="G3283">
        <v>9791173786402</v>
      </c>
      <c r="H3283" t="s">
        <v>263</v>
      </c>
      <c r="I3283" t="s">
        <v>2077</v>
      </c>
      <c r="J3283" t="s">
        <v>265</v>
      </c>
      <c r="K3283" t="s">
        <v>29</v>
      </c>
      <c r="L3283" s="1">
        <v>1000</v>
      </c>
      <c r="M3283" t="s">
        <v>39</v>
      </c>
      <c r="N3283">
        <v>0.59</v>
      </c>
      <c r="O3283">
        <v>0.59</v>
      </c>
      <c r="P3283" t="s">
        <v>4757</v>
      </c>
      <c r="Q3283" s="2">
        <v>0.7</v>
      </c>
      <c r="R3283">
        <v>0.41</v>
      </c>
      <c r="S3283" t="s">
        <v>29</v>
      </c>
      <c r="T3283">
        <v>699</v>
      </c>
      <c r="U3283" s="3">
        <v>1705.1569300000001</v>
      </c>
      <c r="V3283" t="str">
        <f>VLOOKUP(H3283,'[1]팀별 출판사'!A:B,2,0)</f>
        <v>소설2팀</v>
      </c>
      <c r="W3283" s="6">
        <f t="shared" si="102"/>
        <v>0</v>
      </c>
      <c r="X3283" s="6">
        <f t="shared" si="103"/>
        <v>699</v>
      </c>
    </row>
    <row r="3284" spans="1:24" x14ac:dyDescent="0.3">
      <c r="A3284" t="s">
        <v>4605</v>
      </c>
      <c r="B3284" t="s">
        <v>4758</v>
      </c>
      <c r="C3284" t="s">
        <v>23</v>
      </c>
      <c r="D3284" t="s">
        <v>24</v>
      </c>
      <c r="E3284" t="s">
        <v>25</v>
      </c>
      <c r="F3284">
        <v>1</v>
      </c>
      <c r="G3284">
        <v>9791136946263</v>
      </c>
      <c r="H3284" t="s">
        <v>26</v>
      </c>
      <c r="I3284" t="s">
        <v>781</v>
      </c>
      <c r="J3284" t="s">
        <v>421</v>
      </c>
      <c r="K3284" t="s">
        <v>29</v>
      </c>
      <c r="L3284">
        <v>0</v>
      </c>
      <c r="M3284" t="s">
        <v>29</v>
      </c>
      <c r="N3284">
        <v>0</v>
      </c>
      <c r="O3284">
        <v>0</v>
      </c>
      <c r="P3284" t="s">
        <v>30</v>
      </c>
      <c r="Q3284" s="2">
        <v>0.7</v>
      </c>
      <c r="R3284">
        <v>0</v>
      </c>
      <c r="V3284" t="str">
        <f>VLOOKUP(H3284,'[1]팀별 출판사'!A:B,2,0)</f>
        <v>소설1팀</v>
      </c>
      <c r="W3284" s="6">
        <f t="shared" si="102"/>
        <v>0</v>
      </c>
      <c r="X3284" s="6">
        <f t="shared" si="103"/>
        <v>0</v>
      </c>
    </row>
    <row r="3285" spans="1:24" x14ac:dyDescent="0.3">
      <c r="A3285" t="s">
        <v>4605</v>
      </c>
      <c r="B3285" t="s">
        <v>4759</v>
      </c>
      <c r="C3285" t="s">
        <v>23</v>
      </c>
      <c r="D3285" t="s">
        <v>24</v>
      </c>
      <c r="E3285" t="s">
        <v>25</v>
      </c>
      <c r="F3285">
        <v>1</v>
      </c>
      <c r="G3285">
        <v>9791173785993</v>
      </c>
      <c r="H3285" t="s">
        <v>26</v>
      </c>
      <c r="I3285" t="s">
        <v>769</v>
      </c>
      <c r="J3285" t="s">
        <v>81</v>
      </c>
      <c r="K3285" t="s">
        <v>29</v>
      </c>
      <c r="L3285">
        <v>0</v>
      </c>
      <c r="M3285" t="s">
        <v>29</v>
      </c>
      <c r="N3285">
        <v>0</v>
      </c>
      <c r="O3285">
        <v>0</v>
      </c>
      <c r="P3285" t="s">
        <v>30</v>
      </c>
      <c r="Q3285" s="2">
        <v>0.7</v>
      </c>
      <c r="R3285">
        <v>0</v>
      </c>
      <c r="V3285" t="str">
        <f>VLOOKUP(H3285,'[1]팀별 출판사'!A:B,2,0)</f>
        <v>소설1팀</v>
      </c>
      <c r="W3285" s="6">
        <f t="shared" si="102"/>
        <v>0</v>
      </c>
      <c r="X3285" s="6">
        <f t="shared" si="103"/>
        <v>0</v>
      </c>
    </row>
    <row r="3286" spans="1:24" x14ac:dyDescent="0.3">
      <c r="A3286" t="s">
        <v>4605</v>
      </c>
      <c r="B3286" t="s">
        <v>4760</v>
      </c>
      <c r="C3286" t="s">
        <v>23</v>
      </c>
      <c r="D3286" t="s">
        <v>24</v>
      </c>
      <c r="E3286" t="s">
        <v>25</v>
      </c>
      <c r="F3286">
        <v>1</v>
      </c>
      <c r="G3286">
        <v>9791172926991</v>
      </c>
      <c r="H3286" t="s">
        <v>26</v>
      </c>
      <c r="I3286" t="s">
        <v>330</v>
      </c>
      <c r="J3286" t="s">
        <v>28</v>
      </c>
      <c r="K3286" t="s">
        <v>29</v>
      </c>
      <c r="L3286">
        <v>0</v>
      </c>
      <c r="M3286" t="s">
        <v>29</v>
      </c>
      <c r="N3286">
        <v>0</v>
      </c>
      <c r="O3286">
        <v>0</v>
      </c>
      <c r="P3286" t="s">
        <v>30</v>
      </c>
      <c r="Q3286" s="2">
        <v>0.7</v>
      </c>
      <c r="R3286">
        <v>0</v>
      </c>
      <c r="V3286" t="str">
        <f>VLOOKUP(H3286,'[1]팀별 출판사'!A:B,2,0)</f>
        <v>소설1팀</v>
      </c>
      <c r="W3286" s="6">
        <f t="shared" si="102"/>
        <v>0</v>
      </c>
      <c r="X3286" s="6">
        <f t="shared" si="103"/>
        <v>0</v>
      </c>
    </row>
    <row r="3287" spans="1:24" x14ac:dyDescent="0.3">
      <c r="A3287" t="s">
        <v>4605</v>
      </c>
      <c r="B3287" t="s">
        <v>4761</v>
      </c>
      <c r="C3287" t="s">
        <v>23</v>
      </c>
      <c r="D3287" t="s">
        <v>24</v>
      </c>
      <c r="E3287" t="s">
        <v>25</v>
      </c>
      <c r="F3287">
        <v>1</v>
      </c>
      <c r="G3287">
        <v>9791173785115</v>
      </c>
      <c r="H3287" t="s">
        <v>26</v>
      </c>
      <c r="I3287" t="s">
        <v>2065</v>
      </c>
      <c r="J3287" t="s">
        <v>62</v>
      </c>
      <c r="K3287" t="s">
        <v>29</v>
      </c>
      <c r="L3287" s="1">
        <v>3200</v>
      </c>
      <c r="M3287" t="s">
        <v>29</v>
      </c>
      <c r="N3287" s="1">
        <v>3200</v>
      </c>
      <c r="O3287" s="1">
        <v>3200</v>
      </c>
      <c r="P3287" t="s">
        <v>30</v>
      </c>
      <c r="Q3287" s="2">
        <v>0.7</v>
      </c>
      <c r="R3287" s="1">
        <v>2240</v>
      </c>
      <c r="S3287" t="s">
        <v>29</v>
      </c>
      <c r="T3287" s="1">
        <v>2240</v>
      </c>
      <c r="V3287" t="str">
        <f>VLOOKUP(H3287,'[1]팀별 출판사'!A:B,2,0)</f>
        <v>소설1팀</v>
      </c>
      <c r="W3287" s="6">
        <f t="shared" si="102"/>
        <v>0</v>
      </c>
      <c r="X3287" s="6">
        <f t="shared" si="103"/>
        <v>2240</v>
      </c>
    </row>
    <row r="3288" spans="1:24" x14ac:dyDescent="0.3">
      <c r="A3288" t="s">
        <v>4605</v>
      </c>
      <c r="B3288" t="s">
        <v>4762</v>
      </c>
      <c r="C3288" t="s">
        <v>23</v>
      </c>
      <c r="D3288" t="s">
        <v>24</v>
      </c>
      <c r="E3288" t="s">
        <v>25</v>
      </c>
      <c r="F3288">
        <v>1</v>
      </c>
      <c r="G3288">
        <v>9791136945013</v>
      </c>
      <c r="H3288" t="s">
        <v>26</v>
      </c>
      <c r="I3288" t="s">
        <v>125</v>
      </c>
      <c r="J3288" t="s">
        <v>126</v>
      </c>
      <c r="K3288" t="s">
        <v>29</v>
      </c>
      <c r="L3288">
        <v>0</v>
      </c>
      <c r="M3288" t="s">
        <v>47</v>
      </c>
      <c r="N3288">
        <v>0</v>
      </c>
      <c r="O3288">
        <v>0</v>
      </c>
      <c r="P3288" t="s">
        <v>48</v>
      </c>
      <c r="Q3288" s="2">
        <v>0.7</v>
      </c>
      <c r="R3288">
        <v>0</v>
      </c>
      <c r="V3288" t="str">
        <f>VLOOKUP(H3288,'[1]팀별 출판사'!A:B,2,0)</f>
        <v>소설1팀</v>
      </c>
      <c r="W3288" s="6">
        <f t="shared" si="102"/>
        <v>0</v>
      </c>
      <c r="X3288" s="6">
        <f t="shared" si="103"/>
        <v>0</v>
      </c>
    </row>
    <row r="3289" spans="1:24" x14ac:dyDescent="0.3">
      <c r="A3289" t="s">
        <v>4605</v>
      </c>
      <c r="B3289" t="s">
        <v>4763</v>
      </c>
      <c r="C3289" t="s">
        <v>23</v>
      </c>
      <c r="D3289" t="s">
        <v>24</v>
      </c>
      <c r="E3289" t="s">
        <v>25</v>
      </c>
      <c r="F3289">
        <v>1</v>
      </c>
      <c r="G3289">
        <v>9791175302594</v>
      </c>
      <c r="H3289" t="s">
        <v>26</v>
      </c>
      <c r="I3289" t="s">
        <v>101</v>
      </c>
      <c r="J3289" t="s">
        <v>102</v>
      </c>
      <c r="K3289" t="s">
        <v>29</v>
      </c>
      <c r="L3289">
        <v>0</v>
      </c>
      <c r="M3289" t="s">
        <v>29</v>
      </c>
      <c r="N3289">
        <v>0</v>
      </c>
      <c r="O3289">
        <v>0</v>
      </c>
      <c r="P3289" t="s">
        <v>30</v>
      </c>
      <c r="Q3289" s="2">
        <v>0.7</v>
      </c>
      <c r="R3289">
        <v>0</v>
      </c>
      <c r="V3289" t="str">
        <f>VLOOKUP(H3289,'[1]팀별 출판사'!A:B,2,0)</f>
        <v>소설1팀</v>
      </c>
      <c r="W3289" s="6">
        <f t="shared" si="102"/>
        <v>0</v>
      </c>
      <c r="X3289" s="6">
        <f t="shared" si="103"/>
        <v>0</v>
      </c>
    </row>
    <row r="3290" spans="1:24" x14ac:dyDescent="0.3">
      <c r="A3290" t="s">
        <v>4605</v>
      </c>
      <c r="B3290" t="s">
        <v>4764</v>
      </c>
      <c r="C3290" t="s">
        <v>23</v>
      </c>
      <c r="D3290" t="s">
        <v>24</v>
      </c>
      <c r="E3290" t="s">
        <v>25</v>
      </c>
      <c r="F3290">
        <v>1</v>
      </c>
      <c r="G3290">
        <v>9791136930491</v>
      </c>
      <c r="H3290" t="s">
        <v>26</v>
      </c>
      <c r="I3290" t="s">
        <v>151</v>
      </c>
      <c r="J3290" t="s">
        <v>46</v>
      </c>
      <c r="K3290" t="s">
        <v>29</v>
      </c>
      <c r="L3290">
        <v>0</v>
      </c>
      <c r="M3290" t="s">
        <v>47</v>
      </c>
      <c r="N3290">
        <v>0</v>
      </c>
      <c r="O3290">
        <v>0</v>
      </c>
      <c r="P3290" t="s">
        <v>48</v>
      </c>
      <c r="Q3290" s="2">
        <v>0.7</v>
      </c>
      <c r="R3290">
        <v>0</v>
      </c>
      <c r="V3290" t="str">
        <f>VLOOKUP(H3290,'[1]팀별 출판사'!A:B,2,0)</f>
        <v>소설1팀</v>
      </c>
      <c r="W3290" s="6">
        <f t="shared" si="102"/>
        <v>0</v>
      </c>
      <c r="X3290" s="6">
        <f t="shared" si="103"/>
        <v>0</v>
      </c>
    </row>
    <row r="3291" spans="1:24" x14ac:dyDescent="0.3">
      <c r="A3291" t="s">
        <v>4605</v>
      </c>
      <c r="B3291" t="s">
        <v>4765</v>
      </c>
      <c r="C3291" t="s">
        <v>23</v>
      </c>
      <c r="D3291" t="s">
        <v>24</v>
      </c>
      <c r="E3291" t="s">
        <v>25</v>
      </c>
      <c r="F3291">
        <v>1</v>
      </c>
      <c r="G3291">
        <v>9791136934925</v>
      </c>
      <c r="H3291" t="s">
        <v>32</v>
      </c>
      <c r="I3291" t="s">
        <v>385</v>
      </c>
      <c r="J3291" t="s">
        <v>126</v>
      </c>
      <c r="K3291" t="s">
        <v>29</v>
      </c>
      <c r="L3291">
        <v>0</v>
      </c>
      <c r="M3291" t="s">
        <v>47</v>
      </c>
      <c r="N3291">
        <v>0</v>
      </c>
      <c r="O3291">
        <v>0</v>
      </c>
      <c r="P3291" t="s">
        <v>48</v>
      </c>
      <c r="Q3291" s="2">
        <v>0.7</v>
      </c>
      <c r="R3291">
        <v>0</v>
      </c>
      <c r="V3291" t="str">
        <f>VLOOKUP(H3291,'[1]팀별 출판사'!A:B,2,0)</f>
        <v>소설1팀</v>
      </c>
      <c r="W3291" s="6">
        <f t="shared" si="102"/>
        <v>0</v>
      </c>
      <c r="X3291" s="6">
        <f t="shared" si="103"/>
        <v>0</v>
      </c>
    </row>
    <row r="3292" spans="1:24" x14ac:dyDescent="0.3">
      <c r="A3292" t="s">
        <v>4605</v>
      </c>
      <c r="B3292" t="s">
        <v>4766</v>
      </c>
      <c r="C3292" t="s">
        <v>23</v>
      </c>
      <c r="D3292" t="s">
        <v>24</v>
      </c>
      <c r="E3292" t="s">
        <v>25</v>
      </c>
      <c r="F3292">
        <v>1</v>
      </c>
      <c r="G3292">
        <v>9791136930552</v>
      </c>
      <c r="H3292" t="s">
        <v>26</v>
      </c>
      <c r="I3292" t="s">
        <v>45</v>
      </c>
      <c r="J3292" t="s">
        <v>46</v>
      </c>
      <c r="K3292" t="s">
        <v>29</v>
      </c>
      <c r="L3292">
        <v>0</v>
      </c>
      <c r="M3292" t="s">
        <v>47</v>
      </c>
      <c r="N3292">
        <v>0</v>
      </c>
      <c r="O3292">
        <v>0</v>
      </c>
      <c r="P3292" t="s">
        <v>48</v>
      </c>
      <c r="Q3292" s="2">
        <v>0.7</v>
      </c>
      <c r="R3292">
        <v>0</v>
      </c>
      <c r="V3292" t="str">
        <f>VLOOKUP(H3292,'[1]팀별 출판사'!A:B,2,0)</f>
        <v>소설1팀</v>
      </c>
      <c r="W3292" s="6">
        <f t="shared" si="102"/>
        <v>0</v>
      </c>
      <c r="X3292" s="6">
        <f t="shared" si="103"/>
        <v>0</v>
      </c>
    </row>
    <row r="3293" spans="1:24" x14ac:dyDescent="0.3">
      <c r="A3293" t="s">
        <v>4605</v>
      </c>
      <c r="B3293" t="s">
        <v>4767</v>
      </c>
      <c r="C3293" t="s">
        <v>23</v>
      </c>
      <c r="D3293" t="s">
        <v>24</v>
      </c>
      <c r="E3293" t="s">
        <v>25</v>
      </c>
      <c r="F3293">
        <v>1</v>
      </c>
      <c r="G3293">
        <v>9791133103416</v>
      </c>
      <c r="H3293" t="s">
        <v>32</v>
      </c>
      <c r="I3293" t="s">
        <v>4768</v>
      </c>
      <c r="J3293" t="s">
        <v>160</v>
      </c>
      <c r="K3293" t="s">
        <v>29</v>
      </c>
      <c r="L3293" s="1">
        <v>2500</v>
      </c>
      <c r="M3293" t="s">
        <v>29</v>
      </c>
      <c r="N3293" s="1">
        <v>2500</v>
      </c>
      <c r="O3293" s="1">
        <v>2500</v>
      </c>
      <c r="P3293" t="s">
        <v>30</v>
      </c>
      <c r="Q3293" s="2">
        <v>0.7</v>
      </c>
      <c r="R3293" s="1">
        <v>1750</v>
      </c>
      <c r="S3293" t="s">
        <v>29</v>
      </c>
      <c r="T3293" s="1">
        <v>1750</v>
      </c>
      <c r="V3293" t="str">
        <f>VLOOKUP(H3293,'[1]팀별 출판사'!A:B,2,0)</f>
        <v>소설1팀</v>
      </c>
      <c r="W3293" s="6">
        <f t="shared" si="102"/>
        <v>0</v>
      </c>
      <c r="X3293" s="6">
        <f t="shared" si="103"/>
        <v>1750</v>
      </c>
    </row>
    <row r="3294" spans="1:24" x14ac:dyDescent="0.3">
      <c r="A3294" t="s">
        <v>4605</v>
      </c>
      <c r="B3294" t="s">
        <v>4769</v>
      </c>
      <c r="C3294" t="s">
        <v>23</v>
      </c>
      <c r="D3294" t="s">
        <v>24</v>
      </c>
      <c r="E3294" t="s">
        <v>25</v>
      </c>
      <c r="F3294">
        <v>1</v>
      </c>
      <c r="G3294">
        <v>9791170100546</v>
      </c>
      <c r="H3294" t="s">
        <v>67</v>
      </c>
      <c r="I3294" t="s">
        <v>428</v>
      </c>
      <c r="J3294" t="s">
        <v>429</v>
      </c>
      <c r="K3294" t="s">
        <v>29</v>
      </c>
      <c r="L3294">
        <v>0</v>
      </c>
      <c r="M3294" t="s">
        <v>29</v>
      </c>
      <c r="N3294">
        <v>0</v>
      </c>
      <c r="O3294">
        <v>0</v>
      </c>
      <c r="P3294" t="s">
        <v>30</v>
      </c>
      <c r="Q3294" s="2">
        <v>0.7</v>
      </c>
      <c r="R3294">
        <v>0</v>
      </c>
      <c r="V3294" t="str">
        <f>VLOOKUP(H3294,'[1]팀별 출판사'!A:B,2,0)</f>
        <v>소설1팀</v>
      </c>
      <c r="W3294" s="6">
        <f t="shared" si="102"/>
        <v>0</v>
      </c>
      <c r="X3294" s="6">
        <f t="shared" si="103"/>
        <v>0</v>
      </c>
    </row>
    <row r="3295" spans="1:24" x14ac:dyDescent="0.3">
      <c r="A3295" t="s">
        <v>4605</v>
      </c>
      <c r="B3295" t="s">
        <v>4770</v>
      </c>
      <c r="C3295" t="s">
        <v>23</v>
      </c>
      <c r="D3295" t="s">
        <v>24</v>
      </c>
      <c r="E3295" t="s">
        <v>25</v>
      </c>
      <c r="F3295">
        <v>1</v>
      </c>
      <c r="G3295">
        <v>9791170104735</v>
      </c>
      <c r="H3295" t="s">
        <v>67</v>
      </c>
      <c r="I3295" t="s">
        <v>1072</v>
      </c>
      <c r="J3295" t="s">
        <v>1073</v>
      </c>
      <c r="K3295" t="s">
        <v>29</v>
      </c>
      <c r="L3295">
        <v>0</v>
      </c>
      <c r="M3295" t="s">
        <v>29</v>
      </c>
      <c r="N3295">
        <v>0</v>
      </c>
      <c r="O3295">
        <v>0</v>
      </c>
      <c r="P3295" t="s">
        <v>30</v>
      </c>
      <c r="Q3295" s="2">
        <v>0.7</v>
      </c>
      <c r="R3295">
        <v>0</v>
      </c>
      <c r="V3295" t="str">
        <f>VLOOKUP(H3295,'[1]팀별 출판사'!A:B,2,0)</f>
        <v>소설1팀</v>
      </c>
      <c r="W3295" s="6">
        <f t="shared" si="102"/>
        <v>0</v>
      </c>
      <c r="X3295" s="6">
        <f t="shared" si="103"/>
        <v>0</v>
      </c>
    </row>
    <row r="3296" spans="1:24" x14ac:dyDescent="0.3">
      <c r="A3296" t="s">
        <v>4605</v>
      </c>
      <c r="B3296" t="s">
        <v>4771</v>
      </c>
      <c r="C3296" t="s">
        <v>23</v>
      </c>
      <c r="D3296" t="s">
        <v>24</v>
      </c>
      <c r="E3296" t="s">
        <v>25</v>
      </c>
      <c r="F3296">
        <v>1</v>
      </c>
      <c r="G3296">
        <v>9791172920067</v>
      </c>
      <c r="H3296" t="s">
        <v>26</v>
      </c>
      <c r="I3296" t="s">
        <v>4772</v>
      </c>
      <c r="J3296" t="s">
        <v>276</v>
      </c>
      <c r="K3296" t="s">
        <v>29</v>
      </c>
      <c r="L3296" s="1">
        <v>3200</v>
      </c>
      <c r="M3296" t="s">
        <v>29</v>
      </c>
      <c r="N3296" s="1">
        <v>3200</v>
      </c>
      <c r="O3296" s="1">
        <v>3200</v>
      </c>
      <c r="P3296" t="s">
        <v>30</v>
      </c>
      <c r="Q3296" s="2">
        <v>0.7</v>
      </c>
      <c r="R3296" s="1">
        <v>2240</v>
      </c>
      <c r="S3296" t="s">
        <v>29</v>
      </c>
      <c r="T3296" s="1">
        <v>2240</v>
      </c>
      <c r="V3296" t="str">
        <f>VLOOKUP(H3296,'[1]팀별 출판사'!A:B,2,0)</f>
        <v>소설1팀</v>
      </c>
      <c r="W3296" s="6">
        <f t="shared" si="102"/>
        <v>0</v>
      </c>
      <c r="X3296" s="6">
        <f t="shared" si="103"/>
        <v>2240</v>
      </c>
    </row>
    <row r="3297" spans="1:24" x14ac:dyDescent="0.3">
      <c r="A3297" t="s">
        <v>4605</v>
      </c>
      <c r="B3297" t="s">
        <v>4773</v>
      </c>
      <c r="C3297" t="s">
        <v>23</v>
      </c>
      <c r="D3297" t="s">
        <v>24</v>
      </c>
      <c r="E3297" t="s">
        <v>25</v>
      </c>
      <c r="F3297">
        <v>1</v>
      </c>
      <c r="G3297">
        <v>9791173785993</v>
      </c>
      <c r="H3297" t="s">
        <v>26</v>
      </c>
      <c r="I3297" t="s">
        <v>769</v>
      </c>
      <c r="J3297" t="s">
        <v>81</v>
      </c>
      <c r="K3297" t="s">
        <v>29</v>
      </c>
      <c r="L3297">
        <v>0</v>
      </c>
      <c r="M3297" t="s">
        <v>29</v>
      </c>
      <c r="N3297">
        <v>0</v>
      </c>
      <c r="O3297">
        <v>0</v>
      </c>
      <c r="P3297" t="s">
        <v>30</v>
      </c>
      <c r="Q3297" s="2">
        <v>0.7</v>
      </c>
      <c r="R3297">
        <v>0</v>
      </c>
      <c r="V3297" t="str">
        <f>VLOOKUP(H3297,'[1]팀별 출판사'!A:B,2,0)</f>
        <v>소설1팀</v>
      </c>
      <c r="W3297" s="6">
        <f t="shared" si="102"/>
        <v>0</v>
      </c>
      <c r="X3297" s="6">
        <f t="shared" si="103"/>
        <v>0</v>
      </c>
    </row>
    <row r="3298" spans="1:24" x14ac:dyDescent="0.3">
      <c r="A3298" t="s">
        <v>4605</v>
      </c>
      <c r="B3298" t="s">
        <v>4774</v>
      </c>
      <c r="C3298" t="s">
        <v>23</v>
      </c>
      <c r="D3298" t="s">
        <v>24</v>
      </c>
      <c r="E3298" t="s">
        <v>25</v>
      </c>
      <c r="F3298">
        <v>1</v>
      </c>
      <c r="G3298">
        <v>9791157533503</v>
      </c>
      <c r="H3298" t="s">
        <v>32</v>
      </c>
      <c r="I3298" t="s">
        <v>383</v>
      </c>
      <c r="J3298" t="s">
        <v>187</v>
      </c>
      <c r="K3298" t="s">
        <v>29</v>
      </c>
      <c r="L3298">
        <v>0</v>
      </c>
      <c r="M3298" t="s">
        <v>933</v>
      </c>
      <c r="N3298">
        <v>0</v>
      </c>
      <c r="O3298">
        <v>0</v>
      </c>
      <c r="P3298" t="s">
        <v>934</v>
      </c>
      <c r="Q3298" s="2">
        <v>0.7</v>
      </c>
      <c r="R3298">
        <v>0</v>
      </c>
      <c r="V3298" t="str">
        <f>VLOOKUP(H3298,'[1]팀별 출판사'!A:B,2,0)</f>
        <v>소설1팀</v>
      </c>
      <c r="W3298" s="6">
        <f t="shared" si="102"/>
        <v>0</v>
      </c>
      <c r="X3298" s="6">
        <f t="shared" si="103"/>
        <v>0</v>
      </c>
    </row>
    <row r="3299" spans="1:24" x14ac:dyDescent="0.3">
      <c r="A3299" t="s">
        <v>4605</v>
      </c>
      <c r="B3299" t="s">
        <v>4775</v>
      </c>
      <c r="C3299" t="s">
        <v>23</v>
      </c>
      <c r="D3299" t="s">
        <v>24</v>
      </c>
      <c r="E3299" t="s">
        <v>25</v>
      </c>
      <c r="F3299">
        <v>1</v>
      </c>
      <c r="G3299" t="s">
        <v>543</v>
      </c>
      <c r="H3299" t="s">
        <v>32</v>
      </c>
      <c r="I3299" t="s">
        <v>544</v>
      </c>
      <c r="J3299" t="s">
        <v>311</v>
      </c>
      <c r="K3299" t="s">
        <v>29</v>
      </c>
      <c r="L3299">
        <v>0</v>
      </c>
      <c r="M3299" t="s">
        <v>29</v>
      </c>
      <c r="N3299">
        <v>0</v>
      </c>
      <c r="O3299">
        <v>0</v>
      </c>
      <c r="P3299" t="s">
        <v>30</v>
      </c>
      <c r="Q3299" s="2">
        <v>0.7</v>
      </c>
      <c r="R3299">
        <v>0</v>
      </c>
      <c r="V3299" t="str">
        <f>VLOOKUP(H3299,'[1]팀별 출판사'!A:B,2,0)</f>
        <v>소설1팀</v>
      </c>
      <c r="W3299" s="6">
        <f t="shared" si="102"/>
        <v>0</v>
      </c>
      <c r="X3299" s="6">
        <f t="shared" si="103"/>
        <v>0</v>
      </c>
    </row>
    <row r="3300" spans="1:24" x14ac:dyDescent="0.3">
      <c r="A3300" t="s">
        <v>4605</v>
      </c>
      <c r="B3300" t="s">
        <v>4776</v>
      </c>
      <c r="C3300" t="s">
        <v>23</v>
      </c>
      <c r="D3300" t="s">
        <v>24</v>
      </c>
      <c r="E3300" t="s">
        <v>25</v>
      </c>
      <c r="F3300">
        <v>1</v>
      </c>
      <c r="G3300">
        <v>9791136946775</v>
      </c>
      <c r="H3300" t="s">
        <v>26</v>
      </c>
      <c r="I3300" t="s">
        <v>238</v>
      </c>
      <c r="J3300" t="s">
        <v>28</v>
      </c>
      <c r="K3300" t="s">
        <v>29</v>
      </c>
      <c r="L3300">
        <v>0</v>
      </c>
      <c r="M3300" t="s">
        <v>29</v>
      </c>
      <c r="N3300">
        <v>0</v>
      </c>
      <c r="O3300">
        <v>0</v>
      </c>
      <c r="P3300" t="s">
        <v>30</v>
      </c>
      <c r="Q3300" s="2">
        <v>0.7</v>
      </c>
      <c r="R3300">
        <v>0</v>
      </c>
      <c r="V3300" t="str">
        <f>VLOOKUP(H3300,'[1]팀별 출판사'!A:B,2,0)</f>
        <v>소설1팀</v>
      </c>
      <c r="W3300" s="6">
        <f t="shared" si="102"/>
        <v>0</v>
      </c>
      <c r="X3300" s="6">
        <f t="shared" si="103"/>
        <v>0</v>
      </c>
    </row>
    <row r="3301" spans="1:24" x14ac:dyDescent="0.3">
      <c r="A3301" t="s">
        <v>4605</v>
      </c>
      <c r="B3301" t="s">
        <v>4777</v>
      </c>
      <c r="C3301" t="s">
        <v>23</v>
      </c>
      <c r="D3301" t="s">
        <v>24</v>
      </c>
      <c r="E3301" t="s">
        <v>25</v>
      </c>
      <c r="F3301">
        <v>1</v>
      </c>
      <c r="G3301">
        <v>9791136930699</v>
      </c>
      <c r="H3301" t="s">
        <v>32</v>
      </c>
      <c r="I3301" t="s">
        <v>1735</v>
      </c>
      <c r="J3301" t="s">
        <v>34</v>
      </c>
      <c r="K3301" t="s">
        <v>29</v>
      </c>
      <c r="L3301">
        <v>0</v>
      </c>
      <c r="M3301" t="s">
        <v>29</v>
      </c>
      <c r="N3301">
        <v>0</v>
      </c>
      <c r="O3301">
        <v>0</v>
      </c>
      <c r="P3301" t="s">
        <v>30</v>
      </c>
      <c r="Q3301" s="2">
        <v>0.7</v>
      </c>
      <c r="R3301">
        <v>0</v>
      </c>
      <c r="V3301" t="str">
        <f>VLOOKUP(H3301,'[1]팀별 출판사'!A:B,2,0)</f>
        <v>소설1팀</v>
      </c>
      <c r="W3301" s="6">
        <f t="shared" si="102"/>
        <v>0</v>
      </c>
      <c r="X3301" s="6">
        <f t="shared" si="103"/>
        <v>0</v>
      </c>
    </row>
    <row r="3302" spans="1:24" x14ac:dyDescent="0.3">
      <c r="A3302" t="s">
        <v>4605</v>
      </c>
      <c r="B3302" t="s">
        <v>4778</v>
      </c>
      <c r="C3302" t="s">
        <v>23</v>
      </c>
      <c r="D3302" t="s">
        <v>24</v>
      </c>
      <c r="E3302" t="s">
        <v>25</v>
      </c>
      <c r="F3302">
        <v>1</v>
      </c>
      <c r="G3302">
        <v>9791136904782</v>
      </c>
      <c r="H3302" t="s">
        <v>26</v>
      </c>
      <c r="I3302" t="s">
        <v>1549</v>
      </c>
      <c r="J3302" t="s">
        <v>166</v>
      </c>
      <c r="K3302" t="s">
        <v>29</v>
      </c>
      <c r="L3302">
        <v>0</v>
      </c>
      <c r="M3302" t="s">
        <v>29</v>
      </c>
      <c r="N3302">
        <v>0</v>
      </c>
      <c r="O3302">
        <v>0</v>
      </c>
      <c r="P3302" t="s">
        <v>30</v>
      </c>
      <c r="Q3302" s="2">
        <v>0.7</v>
      </c>
      <c r="R3302">
        <v>0</v>
      </c>
      <c r="V3302" t="str">
        <f>VLOOKUP(H3302,'[1]팀별 출판사'!A:B,2,0)</f>
        <v>소설1팀</v>
      </c>
      <c r="W3302" s="6">
        <f t="shared" si="102"/>
        <v>0</v>
      </c>
      <c r="X3302" s="6">
        <f t="shared" si="103"/>
        <v>0</v>
      </c>
    </row>
    <row r="3303" spans="1:24" x14ac:dyDescent="0.3">
      <c r="A3303" t="s">
        <v>4605</v>
      </c>
      <c r="B3303" t="s">
        <v>4779</v>
      </c>
      <c r="C3303" t="s">
        <v>23</v>
      </c>
      <c r="D3303" t="s">
        <v>24</v>
      </c>
      <c r="E3303" t="s">
        <v>25</v>
      </c>
      <c r="F3303">
        <v>1</v>
      </c>
      <c r="G3303">
        <v>9791133186730</v>
      </c>
      <c r="H3303" t="s">
        <v>26</v>
      </c>
      <c r="I3303" t="s">
        <v>4780</v>
      </c>
      <c r="J3303" t="s">
        <v>588</v>
      </c>
      <c r="K3303" t="s">
        <v>29</v>
      </c>
      <c r="L3303">
        <v>0</v>
      </c>
      <c r="M3303" t="s">
        <v>70</v>
      </c>
      <c r="N3303">
        <v>0</v>
      </c>
      <c r="O3303">
        <v>0</v>
      </c>
      <c r="P3303" t="s">
        <v>71</v>
      </c>
      <c r="Q3303" s="2">
        <v>0.7</v>
      </c>
      <c r="R3303">
        <v>0</v>
      </c>
      <c r="V3303" t="str">
        <f>VLOOKUP(H3303,'[1]팀별 출판사'!A:B,2,0)</f>
        <v>소설1팀</v>
      </c>
      <c r="W3303" s="6">
        <f t="shared" si="102"/>
        <v>0</v>
      </c>
      <c r="X3303" s="6">
        <f t="shared" si="103"/>
        <v>0</v>
      </c>
    </row>
    <row r="3304" spans="1:24" x14ac:dyDescent="0.3">
      <c r="A3304" t="s">
        <v>4605</v>
      </c>
      <c r="B3304" t="s">
        <v>4781</v>
      </c>
      <c r="C3304" t="s">
        <v>23</v>
      </c>
      <c r="D3304" t="s">
        <v>24</v>
      </c>
      <c r="E3304" t="s">
        <v>25</v>
      </c>
      <c r="F3304">
        <v>1</v>
      </c>
      <c r="G3304">
        <v>9791136905642</v>
      </c>
      <c r="H3304" t="s">
        <v>26</v>
      </c>
      <c r="I3304" t="s">
        <v>374</v>
      </c>
      <c r="J3304" t="s">
        <v>311</v>
      </c>
      <c r="K3304" t="s">
        <v>29</v>
      </c>
      <c r="L3304">
        <v>0</v>
      </c>
      <c r="M3304" t="s">
        <v>29</v>
      </c>
      <c r="N3304">
        <v>0</v>
      </c>
      <c r="O3304">
        <v>0</v>
      </c>
      <c r="P3304" t="s">
        <v>30</v>
      </c>
      <c r="Q3304" s="2">
        <v>0.7</v>
      </c>
      <c r="R3304">
        <v>0</v>
      </c>
      <c r="V3304" t="str">
        <f>VLOOKUP(H3304,'[1]팀별 출판사'!A:B,2,0)</f>
        <v>소설1팀</v>
      </c>
      <c r="W3304" s="6">
        <f t="shared" si="102"/>
        <v>0</v>
      </c>
      <c r="X3304" s="6">
        <f t="shared" si="103"/>
        <v>0</v>
      </c>
    </row>
    <row r="3305" spans="1:24" x14ac:dyDescent="0.3">
      <c r="A3305" t="s">
        <v>4605</v>
      </c>
      <c r="B3305" t="s">
        <v>4782</v>
      </c>
      <c r="C3305" t="s">
        <v>23</v>
      </c>
      <c r="D3305" t="s">
        <v>24</v>
      </c>
      <c r="E3305" t="s">
        <v>25</v>
      </c>
      <c r="F3305">
        <v>1</v>
      </c>
      <c r="G3305">
        <v>9791172926991</v>
      </c>
      <c r="H3305" t="s">
        <v>26</v>
      </c>
      <c r="I3305" t="s">
        <v>330</v>
      </c>
      <c r="J3305" t="s">
        <v>28</v>
      </c>
      <c r="K3305" t="s">
        <v>29</v>
      </c>
      <c r="L3305">
        <v>0</v>
      </c>
      <c r="M3305" t="s">
        <v>29</v>
      </c>
      <c r="N3305">
        <v>0</v>
      </c>
      <c r="O3305">
        <v>0</v>
      </c>
      <c r="P3305" t="s">
        <v>30</v>
      </c>
      <c r="Q3305" s="2">
        <v>0.7</v>
      </c>
      <c r="R3305">
        <v>0</v>
      </c>
      <c r="V3305" t="str">
        <f>VLOOKUP(H3305,'[1]팀별 출판사'!A:B,2,0)</f>
        <v>소설1팀</v>
      </c>
      <c r="W3305" s="6">
        <f t="shared" si="102"/>
        <v>0</v>
      </c>
      <c r="X3305" s="6">
        <f t="shared" si="103"/>
        <v>0</v>
      </c>
    </row>
    <row r="3306" spans="1:24" x14ac:dyDescent="0.3">
      <c r="A3306" t="s">
        <v>4605</v>
      </c>
      <c r="B3306" t="s">
        <v>4783</v>
      </c>
      <c r="C3306" t="s">
        <v>23</v>
      </c>
      <c r="D3306" t="s">
        <v>24</v>
      </c>
      <c r="E3306" t="s">
        <v>25</v>
      </c>
      <c r="F3306">
        <v>1</v>
      </c>
      <c r="G3306">
        <v>9791172927844</v>
      </c>
      <c r="H3306" t="s">
        <v>79</v>
      </c>
      <c r="I3306" t="s">
        <v>1168</v>
      </c>
      <c r="J3306" t="s">
        <v>81</v>
      </c>
      <c r="K3306" t="s">
        <v>29</v>
      </c>
      <c r="L3306">
        <v>0</v>
      </c>
      <c r="M3306" t="s">
        <v>29</v>
      </c>
      <c r="N3306">
        <v>0</v>
      </c>
      <c r="O3306">
        <v>0</v>
      </c>
      <c r="P3306" t="s">
        <v>30</v>
      </c>
      <c r="Q3306" s="2">
        <v>0.7</v>
      </c>
      <c r="R3306">
        <v>0</v>
      </c>
      <c r="V3306" t="str">
        <f>VLOOKUP(H3306,'[1]팀별 출판사'!A:B,2,0)</f>
        <v>소설1팀</v>
      </c>
      <c r="W3306" s="6">
        <f t="shared" si="102"/>
        <v>0</v>
      </c>
      <c r="X3306" s="6">
        <f t="shared" si="103"/>
        <v>0</v>
      </c>
    </row>
    <row r="3307" spans="1:24" x14ac:dyDescent="0.3">
      <c r="A3307" t="s">
        <v>4605</v>
      </c>
      <c r="B3307" t="s">
        <v>4784</v>
      </c>
      <c r="C3307" t="s">
        <v>23</v>
      </c>
      <c r="D3307" t="s">
        <v>24</v>
      </c>
      <c r="E3307" t="s">
        <v>25</v>
      </c>
      <c r="F3307">
        <v>1</v>
      </c>
      <c r="G3307">
        <v>9791133190089</v>
      </c>
      <c r="H3307" t="s">
        <v>26</v>
      </c>
      <c r="I3307" t="s">
        <v>4785</v>
      </c>
      <c r="J3307" t="s">
        <v>1096</v>
      </c>
      <c r="K3307" t="s">
        <v>29</v>
      </c>
      <c r="L3307" s="1">
        <v>3200</v>
      </c>
      <c r="M3307" t="s">
        <v>29</v>
      </c>
      <c r="N3307" s="1">
        <v>3200</v>
      </c>
      <c r="O3307" s="1">
        <v>3200</v>
      </c>
      <c r="P3307" t="s">
        <v>30</v>
      </c>
      <c r="Q3307" s="2">
        <v>0.7</v>
      </c>
      <c r="R3307" s="1">
        <v>2240</v>
      </c>
      <c r="S3307" t="s">
        <v>29</v>
      </c>
      <c r="T3307" s="1">
        <v>2240</v>
      </c>
      <c r="V3307" t="str">
        <f>VLOOKUP(H3307,'[1]팀별 출판사'!A:B,2,0)</f>
        <v>소설1팀</v>
      </c>
      <c r="W3307" s="6">
        <f t="shared" si="102"/>
        <v>0</v>
      </c>
      <c r="X3307" s="6">
        <f t="shared" si="103"/>
        <v>2240</v>
      </c>
    </row>
    <row r="3308" spans="1:24" x14ac:dyDescent="0.3">
      <c r="A3308" t="s">
        <v>4605</v>
      </c>
      <c r="B3308" t="s">
        <v>4786</v>
      </c>
      <c r="C3308" t="s">
        <v>23</v>
      </c>
      <c r="D3308" t="s">
        <v>24</v>
      </c>
      <c r="E3308" t="s">
        <v>25</v>
      </c>
      <c r="F3308">
        <v>1</v>
      </c>
      <c r="G3308">
        <v>9791170107064</v>
      </c>
      <c r="H3308" t="s">
        <v>67</v>
      </c>
      <c r="I3308" t="s">
        <v>901</v>
      </c>
      <c r="J3308" t="s">
        <v>902</v>
      </c>
      <c r="K3308" t="s">
        <v>29</v>
      </c>
      <c r="L3308">
        <v>0</v>
      </c>
      <c r="M3308" t="s">
        <v>29</v>
      </c>
      <c r="N3308">
        <v>0</v>
      </c>
      <c r="O3308">
        <v>0</v>
      </c>
      <c r="P3308" t="s">
        <v>30</v>
      </c>
      <c r="Q3308" s="2">
        <v>0.7</v>
      </c>
      <c r="R3308">
        <v>0</v>
      </c>
      <c r="V3308" t="str">
        <f>VLOOKUP(H3308,'[1]팀별 출판사'!A:B,2,0)</f>
        <v>소설1팀</v>
      </c>
      <c r="W3308" s="6">
        <f t="shared" si="102"/>
        <v>0</v>
      </c>
      <c r="X3308" s="6">
        <f t="shared" si="103"/>
        <v>0</v>
      </c>
    </row>
    <row r="3309" spans="1:24" x14ac:dyDescent="0.3">
      <c r="A3309" t="s">
        <v>4605</v>
      </c>
      <c r="B3309" t="s">
        <v>4787</v>
      </c>
      <c r="C3309" t="s">
        <v>23</v>
      </c>
      <c r="D3309" t="s">
        <v>24</v>
      </c>
      <c r="E3309" t="s">
        <v>25</v>
      </c>
      <c r="F3309">
        <v>1</v>
      </c>
      <c r="G3309">
        <v>9791136910486</v>
      </c>
      <c r="H3309" t="s">
        <v>26</v>
      </c>
      <c r="I3309" t="s">
        <v>4788</v>
      </c>
      <c r="J3309" t="s">
        <v>355</v>
      </c>
      <c r="K3309" t="s">
        <v>29</v>
      </c>
      <c r="L3309" s="1">
        <v>3200</v>
      </c>
      <c r="M3309" t="s">
        <v>29</v>
      </c>
      <c r="N3309" s="1">
        <v>3200</v>
      </c>
      <c r="O3309" s="1">
        <v>3200</v>
      </c>
      <c r="P3309" t="s">
        <v>30</v>
      </c>
      <c r="Q3309" s="2">
        <v>0.7</v>
      </c>
      <c r="R3309" s="1">
        <v>2240</v>
      </c>
      <c r="S3309" t="s">
        <v>29</v>
      </c>
      <c r="T3309" s="1">
        <v>2240</v>
      </c>
      <c r="V3309" t="str">
        <f>VLOOKUP(H3309,'[1]팀별 출판사'!A:B,2,0)</f>
        <v>소설1팀</v>
      </c>
      <c r="W3309" s="6">
        <f t="shared" si="102"/>
        <v>0</v>
      </c>
      <c r="X3309" s="6">
        <f t="shared" si="103"/>
        <v>2240</v>
      </c>
    </row>
    <row r="3310" spans="1:24" x14ac:dyDescent="0.3">
      <c r="A3310" t="s">
        <v>4605</v>
      </c>
      <c r="B3310" t="s">
        <v>4789</v>
      </c>
      <c r="C3310" t="s">
        <v>23</v>
      </c>
      <c r="D3310" t="s">
        <v>24</v>
      </c>
      <c r="E3310" t="s">
        <v>25</v>
      </c>
      <c r="F3310">
        <v>1</v>
      </c>
      <c r="G3310">
        <v>9791136910431</v>
      </c>
      <c r="H3310" t="s">
        <v>26</v>
      </c>
      <c r="I3310" t="s">
        <v>354</v>
      </c>
      <c r="J3310" t="s">
        <v>355</v>
      </c>
      <c r="K3310" t="s">
        <v>29</v>
      </c>
      <c r="L3310">
        <v>0</v>
      </c>
      <c r="M3310" t="s">
        <v>29</v>
      </c>
      <c r="N3310">
        <v>0</v>
      </c>
      <c r="O3310">
        <v>0</v>
      </c>
      <c r="P3310" t="s">
        <v>30</v>
      </c>
      <c r="Q3310" s="2">
        <v>0.7</v>
      </c>
      <c r="R3310">
        <v>0</v>
      </c>
      <c r="V3310" t="str">
        <f>VLOOKUP(H3310,'[1]팀별 출판사'!A:B,2,0)</f>
        <v>소설1팀</v>
      </c>
      <c r="W3310" s="6">
        <f t="shared" si="102"/>
        <v>0</v>
      </c>
      <c r="X3310" s="6">
        <f t="shared" si="103"/>
        <v>0</v>
      </c>
    </row>
    <row r="3311" spans="1:24" x14ac:dyDescent="0.3">
      <c r="A3311" t="s">
        <v>4605</v>
      </c>
      <c r="B3311" t="s">
        <v>4790</v>
      </c>
      <c r="C3311" t="s">
        <v>23</v>
      </c>
      <c r="D3311" t="s">
        <v>24</v>
      </c>
      <c r="E3311" t="s">
        <v>25</v>
      </c>
      <c r="F3311">
        <v>1</v>
      </c>
      <c r="G3311">
        <v>9791173783883</v>
      </c>
      <c r="H3311" t="s">
        <v>26</v>
      </c>
      <c r="I3311" t="s">
        <v>936</v>
      </c>
      <c r="J3311" t="s">
        <v>937</v>
      </c>
      <c r="K3311" t="s">
        <v>29</v>
      </c>
      <c r="L3311">
        <v>0</v>
      </c>
      <c r="M3311" t="s">
        <v>29</v>
      </c>
      <c r="N3311">
        <v>0</v>
      </c>
      <c r="O3311">
        <v>0</v>
      </c>
      <c r="P3311" t="s">
        <v>30</v>
      </c>
      <c r="Q3311" s="2">
        <v>0.7</v>
      </c>
      <c r="R3311">
        <v>0</v>
      </c>
      <c r="V3311" t="str">
        <f>VLOOKUP(H3311,'[1]팀별 출판사'!A:B,2,0)</f>
        <v>소설1팀</v>
      </c>
      <c r="W3311" s="6">
        <f t="shared" si="102"/>
        <v>0</v>
      </c>
      <c r="X3311" s="6">
        <f t="shared" si="103"/>
        <v>0</v>
      </c>
    </row>
    <row r="3312" spans="1:24" x14ac:dyDescent="0.3">
      <c r="A3312" t="s">
        <v>4605</v>
      </c>
      <c r="B3312" t="s">
        <v>4791</v>
      </c>
      <c r="C3312" t="s">
        <v>23</v>
      </c>
      <c r="D3312" t="s">
        <v>24</v>
      </c>
      <c r="E3312" t="s">
        <v>25</v>
      </c>
      <c r="F3312">
        <v>1</v>
      </c>
      <c r="G3312">
        <v>9791133101580</v>
      </c>
      <c r="H3312" t="s">
        <v>32</v>
      </c>
      <c r="I3312" t="s">
        <v>4792</v>
      </c>
      <c r="J3312" t="s">
        <v>160</v>
      </c>
      <c r="K3312" t="s">
        <v>29</v>
      </c>
      <c r="L3312" s="1">
        <v>9000</v>
      </c>
      <c r="M3312" t="s">
        <v>29</v>
      </c>
      <c r="N3312" s="1">
        <v>9000</v>
      </c>
      <c r="O3312" s="1">
        <v>9000</v>
      </c>
      <c r="P3312" t="s">
        <v>30</v>
      </c>
      <c r="Q3312" s="2">
        <v>0.7</v>
      </c>
      <c r="R3312" s="1">
        <v>6300</v>
      </c>
      <c r="S3312" t="s">
        <v>29</v>
      </c>
      <c r="T3312" s="1">
        <v>6300</v>
      </c>
      <c r="V3312" t="str">
        <f>VLOOKUP(H3312,'[1]팀별 출판사'!A:B,2,0)</f>
        <v>소설1팀</v>
      </c>
      <c r="W3312" s="6">
        <f t="shared" si="102"/>
        <v>0</v>
      </c>
      <c r="X3312" s="6">
        <f t="shared" si="103"/>
        <v>6300</v>
      </c>
    </row>
    <row r="3313" spans="1:24" x14ac:dyDescent="0.3">
      <c r="A3313" t="s">
        <v>4605</v>
      </c>
      <c r="B3313" t="s">
        <v>4793</v>
      </c>
      <c r="C3313" t="s">
        <v>23</v>
      </c>
      <c r="D3313" t="s">
        <v>24</v>
      </c>
      <c r="E3313" t="s">
        <v>25</v>
      </c>
      <c r="F3313">
        <v>1</v>
      </c>
      <c r="G3313">
        <v>9791133143856</v>
      </c>
      <c r="H3313" t="s">
        <v>32</v>
      </c>
      <c r="I3313" t="s">
        <v>3725</v>
      </c>
      <c r="J3313" t="s">
        <v>88</v>
      </c>
      <c r="K3313" t="s">
        <v>29</v>
      </c>
      <c r="L3313" s="1">
        <v>3200</v>
      </c>
      <c r="M3313" t="s">
        <v>29</v>
      </c>
      <c r="N3313" s="1">
        <v>3200</v>
      </c>
      <c r="O3313" s="1">
        <v>3200</v>
      </c>
      <c r="P3313" t="s">
        <v>30</v>
      </c>
      <c r="Q3313" s="2">
        <v>0.7</v>
      </c>
      <c r="R3313" s="1">
        <v>2240</v>
      </c>
      <c r="S3313" t="s">
        <v>29</v>
      </c>
      <c r="T3313" s="1">
        <v>2240</v>
      </c>
      <c r="V3313" t="str">
        <f>VLOOKUP(H3313,'[1]팀별 출판사'!A:B,2,0)</f>
        <v>소설1팀</v>
      </c>
      <c r="W3313" s="6">
        <f t="shared" si="102"/>
        <v>0</v>
      </c>
      <c r="X3313" s="6">
        <f t="shared" si="103"/>
        <v>2240</v>
      </c>
    </row>
    <row r="3314" spans="1:24" x14ac:dyDescent="0.3">
      <c r="A3314" t="s">
        <v>4605</v>
      </c>
      <c r="B3314" t="s">
        <v>4794</v>
      </c>
      <c r="C3314" t="s">
        <v>23</v>
      </c>
      <c r="D3314" t="s">
        <v>24</v>
      </c>
      <c r="E3314" t="s">
        <v>25</v>
      </c>
      <c r="F3314">
        <v>1</v>
      </c>
      <c r="G3314">
        <v>9791136941862</v>
      </c>
      <c r="H3314" t="s">
        <v>26</v>
      </c>
      <c r="I3314" t="s">
        <v>894</v>
      </c>
      <c r="J3314" t="s">
        <v>81</v>
      </c>
      <c r="K3314" t="s">
        <v>29</v>
      </c>
      <c r="L3314">
        <v>0</v>
      </c>
      <c r="M3314" t="s">
        <v>29</v>
      </c>
      <c r="N3314">
        <v>0</v>
      </c>
      <c r="O3314">
        <v>0</v>
      </c>
      <c r="P3314" t="s">
        <v>30</v>
      </c>
      <c r="Q3314" s="2">
        <v>0.7</v>
      </c>
      <c r="R3314">
        <v>0</v>
      </c>
      <c r="V3314" t="str">
        <f>VLOOKUP(H3314,'[1]팀별 출판사'!A:B,2,0)</f>
        <v>소설1팀</v>
      </c>
      <c r="W3314" s="6">
        <f t="shared" si="102"/>
        <v>0</v>
      </c>
      <c r="X3314" s="6">
        <f t="shared" si="103"/>
        <v>0</v>
      </c>
    </row>
    <row r="3315" spans="1:24" x14ac:dyDescent="0.3">
      <c r="A3315" t="s">
        <v>4605</v>
      </c>
      <c r="B3315" t="s">
        <v>4795</v>
      </c>
      <c r="C3315" t="s">
        <v>23</v>
      </c>
      <c r="D3315" t="s">
        <v>24</v>
      </c>
      <c r="E3315" t="s">
        <v>25</v>
      </c>
      <c r="F3315">
        <v>1</v>
      </c>
      <c r="G3315">
        <v>9791173786136</v>
      </c>
      <c r="H3315" t="s">
        <v>79</v>
      </c>
      <c r="I3315" t="s">
        <v>1476</v>
      </c>
      <c r="J3315" t="s">
        <v>81</v>
      </c>
      <c r="K3315" t="s">
        <v>29</v>
      </c>
      <c r="L3315">
        <v>0</v>
      </c>
      <c r="M3315" t="s">
        <v>29</v>
      </c>
      <c r="N3315">
        <v>0</v>
      </c>
      <c r="O3315">
        <v>0</v>
      </c>
      <c r="P3315" t="s">
        <v>30</v>
      </c>
      <c r="Q3315" s="2">
        <v>0.7</v>
      </c>
      <c r="R3315">
        <v>0</v>
      </c>
      <c r="V3315" t="str">
        <f>VLOOKUP(H3315,'[1]팀별 출판사'!A:B,2,0)</f>
        <v>소설1팀</v>
      </c>
      <c r="W3315" s="6">
        <f t="shared" si="102"/>
        <v>0</v>
      </c>
      <c r="X3315" s="6">
        <f t="shared" si="103"/>
        <v>0</v>
      </c>
    </row>
    <row r="3316" spans="1:24" x14ac:dyDescent="0.3">
      <c r="A3316" t="s">
        <v>4605</v>
      </c>
      <c r="B3316" t="s">
        <v>4796</v>
      </c>
      <c r="C3316" t="s">
        <v>23</v>
      </c>
      <c r="D3316" t="s">
        <v>24</v>
      </c>
      <c r="E3316" t="s">
        <v>25</v>
      </c>
      <c r="F3316">
        <v>1</v>
      </c>
      <c r="G3316">
        <v>9791157539703</v>
      </c>
      <c r="H3316" t="s">
        <v>32</v>
      </c>
      <c r="I3316" t="s">
        <v>3535</v>
      </c>
      <c r="J3316" t="s">
        <v>88</v>
      </c>
      <c r="K3316" t="s">
        <v>29</v>
      </c>
      <c r="L3316" s="1">
        <v>3200</v>
      </c>
      <c r="M3316" t="s">
        <v>29</v>
      </c>
      <c r="N3316" s="1">
        <v>3200</v>
      </c>
      <c r="O3316" s="1">
        <v>3200</v>
      </c>
      <c r="P3316" t="s">
        <v>30</v>
      </c>
      <c r="Q3316" s="2">
        <v>0.7</v>
      </c>
      <c r="R3316" s="1">
        <v>2240</v>
      </c>
      <c r="S3316" t="s">
        <v>29</v>
      </c>
      <c r="T3316" s="1">
        <v>2240</v>
      </c>
      <c r="V3316" t="str">
        <f>VLOOKUP(H3316,'[1]팀별 출판사'!A:B,2,0)</f>
        <v>소설1팀</v>
      </c>
      <c r="W3316" s="6">
        <f t="shared" si="102"/>
        <v>0</v>
      </c>
      <c r="X3316" s="6">
        <f t="shared" si="103"/>
        <v>2240</v>
      </c>
    </row>
    <row r="3317" spans="1:24" x14ac:dyDescent="0.3">
      <c r="A3317" t="s">
        <v>4605</v>
      </c>
      <c r="B3317" t="s">
        <v>4797</v>
      </c>
      <c r="C3317" t="s">
        <v>23</v>
      </c>
      <c r="D3317" t="s">
        <v>24</v>
      </c>
      <c r="E3317" t="s">
        <v>25</v>
      </c>
      <c r="F3317">
        <v>1</v>
      </c>
      <c r="G3317">
        <v>9791133171453</v>
      </c>
      <c r="H3317" t="s">
        <v>26</v>
      </c>
      <c r="I3317" t="s">
        <v>573</v>
      </c>
      <c r="J3317" t="s">
        <v>287</v>
      </c>
      <c r="K3317" t="s">
        <v>29</v>
      </c>
      <c r="L3317">
        <v>0</v>
      </c>
      <c r="M3317" t="s">
        <v>29</v>
      </c>
      <c r="N3317">
        <v>0</v>
      </c>
      <c r="O3317">
        <v>0</v>
      </c>
      <c r="P3317" t="s">
        <v>30</v>
      </c>
      <c r="Q3317" s="2">
        <v>0.7</v>
      </c>
      <c r="R3317">
        <v>0</v>
      </c>
      <c r="V3317" t="str">
        <f>VLOOKUP(H3317,'[1]팀별 출판사'!A:B,2,0)</f>
        <v>소설1팀</v>
      </c>
      <c r="W3317" s="6">
        <f t="shared" si="102"/>
        <v>0</v>
      </c>
      <c r="X3317" s="6">
        <f t="shared" si="103"/>
        <v>0</v>
      </c>
    </row>
    <row r="3318" spans="1:24" x14ac:dyDescent="0.3">
      <c r="A3318" t="s">
        <v>4605</v>
      </c>
      <c r="B3318" t="s">
        <v>4798</v>
      </c>
      <c r="C3318" t="s">
        <v>23</v>
      </c>
      <c r="D3318" t="s">
        <v>24</v>
      </c>
      <c r="E3318" t="s">
        <v>25</v>
      </c>
      <c r="F3318">
        <v>1</v>
      </c>
      <c r="G3318">
        <v>9791170106715</v>
      </c>
      <c r="H3318" t="s">
        <v>67</v>
      </c>
      <c r="I3318" t="s">
        <v>68</v>
      </c>
      <c r="J3318" t="s">
        <v>69</v>
      </c>
      <c r="K3318" t="s">
        <v>29</v>
      </c>
      <c r="L3318">
        <v>0</v>
      </c>
      <c r="M3318" t="s">
        <v>1379</v>
      </c>
      <c r="N3318">
        <v>0</v>
      </c>
      <c r="O3318">
        <v>0</v>
      </c>
      <c r="P3318" t="s">
        <v>1380</v>
      </c>
      <c r="Q3318" s="2">
        <v>0.7</v>
      </c>
      <c r="R3318">
        <v>0</v>
      </c>
      <c r="V3318" t="str">
        <f>VLOOKUP(H3318,'[1]팀별 출판사'!A:B,2,0)</f>
        <v>소설1팀</v>
      </c>
      <c r="W3318" s="6">
        <f t="shared" si="102"/>
        <v>0</v>
      </c>
      <c r="X3318" s="6">
        <f t="shared" si="103"/>
        <v>0</v>
      </c>
    </row>
    <row r="3319" spans="1:24" x14ac:dyDescent="0.3">
      <c r="A3319" t="s">
        <v>4605</v>
      </c>
      <c r="B3319" t="s">
        <v>4799</v>
      </c>
      <c r="C3319" t="s">
        <v>23</v>
      </c>
      <c r="D3319" t="s">
        <v>24</v>
      </c>
      <c r="E3319" t="s">
        <v>25</v>
      </c>
      <c r="F3319">
        <v>1</v>
      </c>
      <c r="G3319">
        <v>9791133105991</v>
      </c>
      <c r="H3319" t="s">
        <v>32</v>
      </c>
      <c r="I3319" t="s">
        <v>4800</v>
      </c>
      <c r="J3319" t="s">
        <v>311</v>
      </c>
      <c r="K3319" t="s">
        <v>29</v>
      </c>
      <c r="L3319">
        <v>0</v>
      </c>
      <c r="M3319" t="s">
        <v>29</v>
      </c>
      <c r="N3319">
        <v>0</v>
      </c>
      <c r="O3319">
        <v>0</v>
      </c>
      <c r="P3319" t="s">
        <v>30</v>
      </c>
      <c r="Q3319" s="2">
        <v>0.7</v>
      </c>
      <c r="R3319">
        <v>0</v>
      </c>
      <c r="V3319" t="str">
        <f>VLOOKUP(H3319,'[1]팀별 출판사'!A:B,2,0)</f>
        <v>소설1팀</v>
      </c>
      <c r="W3319" s="6">
        <f t="shared" si="102"/>
        <v>0</v>
      </c>
      <c r="X3319" s="6">
        <f t="shared" si="103"/>
        <v>0</v>
      </c>
    </row>
    <row r="3320" spans="1:24" x14ac:dyDescent="0.3">
      <c r="A3320" t="s">
        <v>4605</v>
      </c>
      <c r="B3320" t="s">
        <v>4801</v>
      </c>
      <c r="C3320" t="s">
        <v>23</v>
      </c>
      <c r="D3320" t="s">
        <v>24</v>
      </c>
      <c r="E3320" t="s">
        <v>25</v>
      </c>
      <c r="F3320">
        <v>1</v>
      </c>
      <c r="G3320">
        <v>9791136928030</v>
      </c>
      <c r="H3320" t="s">
        <v>26</v>
      </c>
      <c r="I3320" t="s">
        <v>366</v>
      </c>
      <c r="J3320" t="s">
        <v>367</v>
      </c>
      <c r="K3320" t="s">
        <v>29</v>
      </c>
      <c r="L3320">
        <v>0</v>
      </c>
      <c r="M3320" t="s">
        <v>29</v>
      </c>
      <c r="N3320">
        <v>0</v>
      </c>
      <c r="O3320">
        <v>0</v>
      </c>
      <c r="P3320" t="s">
        <v>30</v>
      </c>
      <c r="Q3320" s="2">
        <v>0.7</v>
      </c>
      <c r="R3320">
        <v>0</v>
      </c>
      <c r="V3320" t="str">
        <f>VLOOKUP(H3320,'[1]팀별 출판사'!A:B,2,0)</f>
        <v>소설1팀</v>
      </c>
      <c r="W3320" s="6">
        <f t="shared" si="102"/>
        <v>0</v>
      </c>
      <c r="X3320" s="6">
        <f t="shared" si="103"/>
        <v>0</v>
      </c>
    </row>
    <row r="3321" spans="1:24" x14ac:dyDescent="0.3">
      <c r="A3321" t="s">
        <v>4605</v>
      </c>
      <c r="B3321" t="s">
        <v>4802</v>
      </c>
      <c r="C3321" t="s">
        <v>23</v>
      </c>
      <c r="D3321" t="s">
        <v>24</v>
      </c>
      <c r="E3321" t="s">
        <v>25</v>
      </c>
      <c r="F3321">
        <v>1</v>
      </c>
      <c r="G3321">
        <v>9791133171408</v>
      </c>
      <c r="H3321" t="s">
        <v>26</v>
      </c>
      <c r="I3321" t="s">
        <v>1979</v>
      </c>
      <c r="J3321" t="s">
        <v>287</v>
      </c>
      <c r="K3321" t="s">
        <v>29</v>
      </c>
      <c r="L3321">
        <v>0</v>
      </c>
      <c r="M3321" t="s">
        <v>29</v>
      </c>
      <c r="N3321">
        <v>0</v>
      </c>
      <c r="O3321">
        <v>0</v>
      </c>
      <c r="P3321" t="s">
        <v>30</v>
      </c>
      <c r="Q3321" s="2">
        <v>0.7</v>
      </c>
      <c r="R3321">
        <v>0</v>
      </c>
      <c r="V3321" t="str">
        <f>VLOOKUP(H3321,'[1]팀별 출판사'!A:B,2,0)</f>
        <v>소설1팀</v>
      </c>
      <c r="W3321" s="6">
        <f t="shared" si="102"/>
        <v>0</v>
      </c>
      <c r="X3321" s="6">
        <f t="shared" si="103"/>
        <v>0</v>
      </c>
    </row>
    <row r="3322" spans="1:24" x14ac:dyDescent="0.3">
      <c r="A3322" t="s">
        <v>4605</v>
      </c>
      <c r="B3322" t="s">
        <v>4803</v>
      </c>
      <c r="C3322" t="s">
        <v>23</v>
      </c>
      <c r="D3322" t="s">
        <v>24</v>
      </c>
      <c r="E3322" t="s">
        <v>25</v>
      </c>
      <c r="F3322">
        <v>1</v>
      </c>
      <c r="G3322">
        <v>9791136931382</v>
      </c>
      <c r="H3322" t="s">
        <v>32</v>
      </c>
      <c r="I3322" t="s">
        <v>523</v>
      </c>
      <c r="J3322" t="s">
        <v>46</v>
      </c>
      <c r="K3322" t="s">
        <v>29</v>
      </c>
      <c r="L3322">
        <v>0</v>
      </c>
      <c r="M3322" t="s">
        <v>47</v>
      </c>
      <c r="N3322">
        <v>0</v>
      </c>
      <c r="O3322">
        <v>0</v>
      </c>
      <c r="P3322" t="s">
        <v>48</v>
      </c>
      <c r="Q3322" s="2">
        <v>0.7</v>
      </c>
      <c r="R3322">
        <v>0</v>
      </c>
      <c r="V3322" t="str">
        <f>VLOOKUP(H3322,'[1]팀별 출판사'!A:B,2,0)</f>
        <v>소설1팀</v>
      </c>
      <c r="W3322" s="6">
        <f t="shared" si="102"/>
        <v>0</v>
      </c>
      <c r="X3322" s="6">
        <f t="shared" si="103"/>
        <v>0</v>
      </c>
    </row>
    <row r="3323" spans="1:24" x14ac:dyDescent="0.3">
      <c r="A3323" t="s">
        <v>4605</v>
      </c>
      <c r="B3323" t="s">
        <v>4804</v>
      </c>
      <c r="C3323" t="s">
        <v>23</v>
      </c>
      <c r="D3323" t="s">
        <v>24</v>
      </c>
      <c r="E3323" t="s">
        <v>25</v>
      </c>
      <c r="F3323">
        <v>1</v>
      </c>
      <c r="G3323">
        <v>9791172924898</v>
      </c>
      <c r="H3323" t="s">
        <v>26</v>
      </c>
      <c r="I3323" t="s">
        <v>4805</v>
      </c>
      <c r="J3323" t="s">
        <v>62</v>
      </c>
      <c r="K3323" t="s">
        <v>29</v>
      </c>
      <c r="L3323" s="1">
        <v>3200</v>
      </c>
      <c r="M3323" t="s">
        <v>29</v>
      </c>
      <c r="N3323" s="1">
        <v>3200</v>
      </c>
      <c r="O3323" s="1">
        <v>3200</v>
      </c>
      <c r="P3323" t="s">
        <v>30</v>
      </c>
      <c r="Q3323" s="2">
        <v>0.7</v>
      </c>
      <c r="R3323" s="1">
        <v>2240</v>
      </c>
      <c r="S3323" t="s">
        <v>29</v>
      </c>
      <c r="T3323" s="1">
        <v>2240</v>
      </c>
      <c r="V3323" t="str">
        <f>VLOOKUP(H3323,'[1]팀별 출판사'!A:B,2,0)</f>
        <v>소설1팀</v>
      </c>
      <c r="W3323" s="6">
        <f t="shared" si="102"/>
        <v>0</v>
      </c>
      <c r="X3323" s="6">
        <f t="shared" si="103"/>
        <v>2240</v>
      </c>
    </row>
    <row r="3324" spans="1:24" x14ac:dyDescent="0.3">
      <c r="A3324" t="s">
        <v>4605</v>
      </c>
      <c r="B3324" t="s">
        <v>4806</v>
      </c>
      <c r="C3324" t="s">
        <v>23</v>
      </c>
      <c r="D3324" t="s">
        <v>24</v>
      </c>
      <c r="E3324" t="s">
        <v>25</v>
      </c>
      <c r="F3324">
        <v>1</v>
      </c>
      <c r="G3324">
        <v>9791136932594</v>
      </c>
      <c r="H3324" t="s">
        <v>32</v>
      </c>
      <c r="I3324" t="s">
        <v>2808</v>
      </c>
      <c r="J3324" t="s">
        <v>1082</v>
      </c>
      <c r="K3324" t="s">
        <v>29</v>
      </c>
      <c r="L3324">
        <v>0</v>
      </c>
      <c r="M3324" t="s">
        <v>29</v>
      </c>
      <c r="N3324">
        <v>0</v>
      </c>
      <c r="O3324">
        <v>0</v>
      </c>
      <c r="P3324" t="s">
        <v>30</v>
      </c>
      <c r="Q3324" s="2">
        <v>0.7</v>
      </c>
      <c r="R3324">
        <v>0</v>
      </c>
      <c r="V3324" t="str">
        <f>VLOOKUP(H3324,'[1]팀별 출판사'!A:B,2,0)</f>
        <v>소설1팀</v>
      </c>
      <c r="W3324" s="6">
        <f t="shared" si="102"/>
        <v>0</v>
      </c>
      <c r="X3324" s="6">
        <f t="shared" si="103"/>
        <v>0</v>
      </c>
    </row>
    <row r="3325" spans="1:24" x14ac:dyDescent="0.3">
      <c r="A3325" t="s">
        <v>4605</v>
      </c>
      <c r="B3325" t="s">
        <v>4807</v>
      </c>
      <c r="C3325" t="s">
        <v>23</v>
      </c>
      <c r="D3325" t="s">
        <v>24</v>
      </c>
      <c r="E3325" t="s">
        <v>25</v>
      </c>
      <c r="F3325">
        <v>1</v>
      </c>
      <c r="G3325">
        <v>9791136930811</v>
      </c>
      <c r="H3325" t="s">
        <v>32</v>
      </c>
      <c r="I3325" t="s">
        <v>1011</v>
      </c>
      <c r="J3325" t="s">
        <v>34</v>
      </c>
      <c r="K3325" t="s">
        <v>29</v>
      </c>
      <c r="L3325">
        <v>0</v>
      </c>
      <c r="M3325" t="s">
        <v>29</v>
      </c>
      <c r="N3325">
        <v>0</v>
      </c>
      <c r="O3325">
        <v>0</v>
      </c>
      <c r="P3325" t="s">
        <v>30</v>
      </c>
      <c r="Q3325" s="2">
        <v>0.7</v>
      </c>
      <c r="R3325">
        <v>0</v>
      </c>
      <c r="V3325" t="str">
        <f>VLOOKUP(H3325,'[1]팀별 출판사'!A:B,2,0)</f>
        <v>소설1팀</v>
      </c>
      <c r="W3325" s="6">
        <f t="shared" si="102"/>
        <v>0</v>
      </c>
      <c r="X3325" s="6">
        <f t="shared" si="103"/>
        <v>0</v>
      </c>
    </row>
    <row r="3326" spans="1:24" x14ac:dyDescent="0.3">
      <c r="A3326" t="s">
        <v>4605</v>
      </c>
      <c r="B3326" t="s">
        <v>4808</v>
      </c>
      <c r="C3326" t="s">
        <v>23</v>
      </c>
      <c r="D3326" t="s">
        <v>24</v>
      </c>
      <c r="E3326" t="s">
        <v>25</v>
      </c>
      <c r="F3326">
        <v>1</v>
      </c>
      <c r="G3326">
        <v>9791172920074</v>
      </c>
      <c r="H3326" t="s">
        <v>26</v>
      </c>
      <c r="I3326" t="s">
        <v>4809</v>
      </c>
      <c r="J3326" t="s">
        <v>276</v>
      </c>
      <c r="K3326" t="s">
        <v>29</v>
      </c>
      <c r="L3326" s="1">
        <v>3200</v>
      </c>
      <c r="M3326" t="s">
        <v>29</v>
      </c>
      <c r="N3326" s="1">
        <v>3200</v>
      </c>
      <c r="O3326" s="1">
        <v>3200</v>
      </c>
      <c r="P3326" t="s">
        <v>30</v>
      </c>
      <c r="Q3326" s="2">
        <v>0.7</v>
      </c>
      <c r="R3326" s="1">
        <v>2240</v>
      </c>
      <c r="S3326" t="s">
        <v>29</v>
      </c>
      <c r="T3326" s="1">
        <v>2240</v>
      </c>
      <c r="V3326" t="str">
        <f>VLOOKUP(H3326,'[1]팀별 출판사'!A:B,2,0)</f>
        <v>소설1팀</v>
      </c>
      <c r="W3326" s="6">
        <f t="shared" si="102"/>
        <v>0</v>
      </c>
      <c r="X3326" s="6">
        <f t="shared" si="103"/>
        <v>2240</v>
      </c>
    </row>
    <row r="3327" spans="1:24" x14ac:dyDescent="0.3">
      <c r="A3327" t="s">
        <v>4605</v>
      </c>
      <c r="B3327" t="s">
        <v>4810</v>
      </c>
      <c r="C3327" t="s">
        <v>23</v>
      </c>
      <c r="D3327" t="s">
        <v>24</v>
      </c>
      <c r="E3327" t="s">
        <v>25</v>
      </c>
      <c r="F3327">
        <v>1</v>
      </c>
      <c r="G3327">
        <v>9791136946782</v>
      </c>
      <c r="H3327" t="s">
        <v>26</v>
      </c>
      <c r="I3327" t="s">
        <v>291</v>
      </c>
      <c r="J3327" t="s">
        <v>28</v>
      </c>
      <c r="K3327" t="s">
        <v>29</v>
      </c>
      <c r="L3327">
        <v>0</v>
      </c>
      <c r="M3327" t="s">
        <v>29</v>
      </c>
      <c r="N3327">
        <v>0</v>
      </c>
      <c r="O3327">
        <v>0</v>
      </c>
      <c r="P3327" t="s">
        <v>30</v>
      </c>
      <c r="Q3327" s="2">
        <v>0.7</v>
      </c>
      <c r="R3327">
        <v>0</v>
      </c>
      <c r="V3327" t="str">
        <f>VLOOKUP(H3327,'[1]팀별 출판사'!A:B,2,0)</f>
        <v>소설1팀</v>
      </c>
      <c r="W3327" s="6">
        <f t="shared" si="102"/>
        <v>0</v>
      </c>
      <c r="X3327" s="6">
        <f t="shared" si="103"/>
        <v>0</v>
      </c>
    </row>
    <row r="3328" spans="1:24" x14ac:dyDescent="0.3">
      <c r="A3328" t="s">
        <v>4605</v>
      </c>
      <c r="B3328" t="s">
        <v>4811</v>
      </c>
      <c r="C3328" t="s">
        <v>23</v>
      </c>
      <c r="D3328" t="s">
        <v>24</v>
      </c>
      <c r="E3328" t="s">
        <v>25</v>
      </c>
      <c r="F3328">
        <v>1</v>
      </c>
      <c r="G3328">
        <v>9791136946775</v>
      </c>
      <c r="H3328" t="s">
        <v>26</v>
      </c>
      <c r="I3328" t="s">
        <v>238</v>
      </c>
      <c r="J3328" t="s">
        <v>28</v>
      </c>
      <c r="K3328" t="s">
        <v>29</v>
      </c>
      <c r="L3328">
        <v>0</v>
      </c>
      <c r="M3328" t="s">
        <v>29</v>
      </c>
      <c r="N3328">
        <v>0</v>
      </c>
      <c r="O3328">
        <v>0</v>
      </c>
      <c r="P3328" t="s">
        <v>30</v>
      </c>
      <c r="Q3328" s="2">
        <v>0.7</v>
      </c>
      <c r="R3328">
        <v>0</v>
      </c>
      <c r="V3328" t="str">
        <f>VLOOKUP(H3328,'[1]팀별 출판사'!A:B,2,0)</f>
        <v>소설1팀</v>
      </c>
      <c r="W3328" s="6">
        <f t="shared" si="102"/>
        <v>0</v>
      </c>
      <c r="X3328" s="6">
        <f t="shared" si="103"/>
        <v>0</v>
      </c>
    </row>
    <row r="3329" spans="1:24" x14ac:dyDescent="0.3">
      <c r="A3329" t="s">
        <v>4605</v>
      </c>
      <c r="B3329" t="s">
        <v>4812</v>
      </c>
      <c r="C3329" t="s">
        <v>23</v>
      </c>
      <c r="D3329" t="s">
        <v>24</v>
      </c>
      <c r="E3329" t="s">
        <v>25</v>
      </c>
      <c r="F3329">
        <v>1</v>
      </c>
      <c r="G3329">
        <v>9791136934925</v>
      </c>
      <c r="H3329" t="s">
        <v>32</v>
      </c>
      <c r="I3329" t="s">
        <v>385</v>
      </c>
      <c r="J3329" t="s">
        <v>126</v>
      </c>
      <c r="K3329" t="s">
        <v>29</v>
      </c>
      <c r="L3329">
        <v>0</v>
      </c>
      <c r="M3329" t="s">
        <v>29</v>
      </c>
      <c r="N3329">
        <v>0</v>
      </c>
      <c r="O3329">
        <v>0</v>
      </c>
      <c r="P3329" t="s">
        <v>30</v>
      </c>
      <c r="Q3329" s="2">
        <v>0.7</v>
      </c>
      <c r="R3329">
        <v>0</v>
      </c>
      <c r="V3329" t="str">
        <f>VLOOKUP(H3329,'[1]팀별 출판사'!A:B,2,0)</f>
        <v>소설1팀</v>
      </c>
      <c r="W3329" s="6">
        <f t="shared" si="102"/>
        <v>0</v>
      </c>
      <c r="X3329" s="6">
        <f t="shared" si="103"/>
        <v>0</v>
      </c>
    </row>
    <row r="3330" spans="1:24" x14ac:dyDescent="0.3">
      <c r="A3330" t="s">
        <v>4605</v>
      </c>
      <c r="B3330" t="s">
        <v>4813</v>
      </c>
      <c r="C3330" t="s">
        <v>23</v>
      </c>
      <c r="D3330" t="s">
        <v>24</v>
      </c>
      <c r="E3330" t="s">
        <v>25</v>
      </c>
      <c r="F3330">
        <v>1</v>
      </c>
      <c r="G3330">
        <v>9791136942906</v>
      </c>
      <c r="H3330" t="s">
        <v>26</v>
      </c>
      <c r="I3330" t="s">
        <v>2900</v>
      </c>
      <c r="J3330" t="s">
        <v>284</v>
      </c>
      <c r="K3330" t="s">
        <v>29</v>
      </c>
      <c r="L3330">
        <v>0</v>
      </c>
      <c r="M3330" t="s">
        <v>29</v>
      </c>
      <c r="N3330">
        <v>0</v>
      </c>
      <c r="O3330">
        <v>0</v>
      </c>
      <c r="P3330" t="s">
        <v>30</v>
      </c>
      <c r="Q3330" s="2">
        <v>0.7</v>
      </c>
      <c r="R3330">
        <v>0</v>
      </c>
      <c r="V3330" t="str">
        <f>VLOOKUP(H3330,'[1]팀별 출판사'!A:B,2,0)</f>
        <v>소설1팀</v>
      </c>
      <c r="W3330" s="6">
        <f t="shared" ref="W3330:W3393" si="104">IF(P3330="US", T3330*30%, 0)</f>
        <v>0</v>
      </c>
      <c r="X3330" s="6">
        <f t="shared" ref="X3330:X3393" si="105">T3330-W3330</f>
        <v>0</v>
      </c>
    </row>
    <row r="3331" spans="1:24" x14ac:dyDescent="0.3">
      <c r="A3331" t="s">
        <v>4605</v>
      </c>
      <c r="B3331" t="s">
        <v>4814</v>
      </c>
      <c r="C3331" t="s">
        <v>23</v>
      </c>
      <c r="D3331" t="s">
        <v>24</v>
      </c>
      <c r="E3331" t="s">
        <v>25</v>
      </c>
      <c r="F3331">
        <v>1</v>
      </c>
      <c r="G3331" t="s">
        <v>3793</v>
      </c>
      <c r="H3331" t="s">
        <v>32</v>
      </c>
      <c r="I3331" t="s">
        <v>3794</v>
      </c>
      <c r="J3331" t="s">
        <v>3795</v>
      </c>
      <c r="K3331" t="s">
        <v>29</v>
      </c>
      <c r="L3331">
        <v>0</v>
      </c>
      <c r="M3331" t="s">
        <v>29</v>
      </c>
      <c r="N3331">
        <v>0</v>
      </c>
      <c r="O3331">
        <v>0</v>
      </c>
      <c r="P3331" t="s">
        <v>30</v>
      </c>
      <c r="Q3331" s="2">
        <v>0.7</v>
      </c>
      <c r="R3331">
        <v>0</v>
      </c>
      <c r="V3331" t="str">
        <f>VLOOKUP(H3331,'[1]팀별 출판사'!A:B,2,0)</f>
        <v>소설1팀</v>
      </c>
      <c r="W3331" s="6">
        <f t="shared" si="104"/>
        <v>0</v>
      </c>
      <c r="X3331" s="6">
        <f t="shared" si="105"/>
        <v>0</v>
      </c>
    </row>
    <row r="3332" spans="1:24" x14ac:dyDescent="0.3">
      <c r="A3332" t="s">
        <v>4605</v>
      </c>
      <c r="B3332" t="s">
        <v>4815</v>
      </c>
      <c r="C3332" t="s">
        <v>23</v>
      </c>
      <c r="D3332" t="s">
        <v>24</v>
      </c>
      <c r="E3332" t="s">
        <v>25</v>
      </c>
      <c r="F3332">
        <v>1</v>
      </c>
      <c r="G3332">
        <v>9791157539697</v>
      </c>
      <c r="H3332" t="s">
        <v>32</v>
      </c>
      <c r="I3332" t="s">
        <v>3357</v>
      </c>
      <c r="J3332" t="s">
        <v>88</v>
      </c>
      <c r="K3332" t="s">
        <v>29</v>
      </c>
      <c r="L3332" s="1">
        <v>3200</v>
      </c>
      <c r="M3332" t="s">
        <v>29</v>
      </c>
      <c r="N3332" s="1">
        <v>3200</v>
      </c>
      <c r="O3332" s="1">
        <v>3200</v>
      </c>
      <c r="P3332" t="s">
        <v>30</v>
      </c>
      <c r="Q3332" s="2">
        <v>0.7</v>
      </c>
      <c r="R3332" s="1">
        <v>2240</v>
      </c>
      <c r="S3332" t="s">
        <v>29</v>
      </c>
      <c r="T3332" s="1">
        <v>2240</v>
      </c>
      <c r="V3332" t="str">
        <f>VLOOKUP(H3332,'[1]팀별 출판사'!A:B,2,0)</f>
        <v>소설1팀</v>
      </c>
      <c r="W3332" s="6">
        <f t="shared" si="104"/>
        <v>0</v>
      </c>
      <c r="X3332" s="6">
        <f t="shared" si="105"/>
        <v>2240</v>
      </c>
    </row>
    <row r="3333" spans="1:24" x14ac:dyDescent="0.3">
      <c r="A3333" t="s">
        <v>4605</v>
      </c>
      <c r="B3333" t="s">
        <v>4816</v>
      </c>
      <c r="C3333" t="s">
        <v>23</v>
      </c>
      <c r="D3333" t="s">
        <v>24</v>
      </c>
      <c r="E3333" t="s">
        <v>25</v>
      </c>
      <c r="F3333">
        <v>1</v>
      </c>
      <c r="G3333">
        <v>9791173785122</v>
      </c>
      <c r="H3333" t="s">
        <v>26</v>
      </c>
      <c r="I3333" t="s">
        <v>2204</v>
      </c>
      <c r="J3333" t="s">
        <v>62</v>
      </c>
      <c r="K3333" t="s">
        <v>29</v>
      </c>
      <c r="L3333" s="1">
        <v>3200</v>
      </c>
      <c r="M3333" t="s">
        <v>29</v>
      </c>
      <c r="N3333" s="1">
        <v>3200</v>
      </c>
      <c r="O3333" s="1">
        <v>3200</v>
      </c>
      <c r="P3333" t="s">
        <v>30</v>
      </c>
      <c r="Q3333" s="2">
        <v>0.7</v>
      </c>
      <c r="R3333" s="1">
        <v>2240</v>
      </c>
      <c r="S3333" t="s">
        <v>29</v>
      </c>
      <c r="T3333" s="1">
        <v>2240</v>
      </c>
      <c r="V3333" t="str">
        <f>VLOOKUP(H3333,'[1]팀별 출판사'!A:B,2,0)</f>
        <v>소설1팀</v>
      </c>
      <c r="W3333" s="6">
        <f t="shared" si="104"/>
        <v>0</v>
      </c>
      <c r="X3333" s="6">
        <f t="shared" si="105"/>
        <v>2240</v>
      </c>
    </row>
    <row r="3334" spans="1:24" x14ac:dyDescent="0.3">
      <c r="A3334" t="s">
        <v>4605</v>
      </c>
      <c r="B3334" t="s">
        <v>4817</v>
      </c>
      <c r="C3334" t="s">
        <v>23</v>
      </c>
      <c r="D3334" t="s">
        <v>24</v>
      </c>
      <c r="E3334" t="s">
        <v>25</v>
      </c>
      <c r="F3334">
        <v>1</v>
      </c>
      <c r="G3334">
        <v>9791133186501</v>
      </c>
      <c r="H3334" t="s">
        <v>26</v>
      </c>
      <c r="I3334" t="s">
        <v>64</v>
      </c>
      <c r="J3334" t="s">
        <v>65</v>
      </c>
      <c r="K3334" t="s">
        <v>29</v>
      </c>
      <c r="L3334">
        <v>0</v>
      </c>
      <c r="M3334" t="s">
        <v>29</v>
      </c>
      <c r="N3334">
        <v>0</v>
      </c>
      <c r="O3334">
        <v>0</v>
      </c>
      <c r="P3334" t="s">
        <v>30</v>
      </c>
      <c r="Q3334" s="2">
        <v>0.7</v>
      </c>
      <c r="R3334">
        <v>0</v>
      </c>
      <c r="V3334" t="str">
        <f>VLOOKUP(H3334,'[1]팀별 출판사'!A:B,2,0)</f>
        <v>소설1팀</v>
      </c>
      <c r="W3334" s="6">
        <f t="shared" si="104"/>
        <v>0</v>
      </c>
      <c r="X3334" s="6">
        <f t="shared" si="105"/>
        <v>0</v>
      </c>
    </row>
    <row r="3335" spans="1:24" x14ac:dyDescent="0.3">
      <c r="A3335" t="s">
        <v>4605</v>
      </c>
      <c r="B3335" t="s">
        <v>4818</v>
      </c>
      <c r="C3335" t="s">
        <v>23</v>
      </c>
      <c r="D3335" t="s">
        <v>24</v>
      </c>
      <c r="E3335" t="s">
        <v>25</v>
      </c>
      <c r="F3335">
        <v>1</v>
      </c>
      <c r="G3335">
        <v>9791136931375</v>
      </c>
      <c r="H3335" t="s">
        <v>32</v>
      </c>
      <c r="I3335" t="s">
        <v>189</v>
      </c>
      <c r="J3335" t="s">
        <v>46</v>
      </c>
      <c r="K3335" t="s">
        <v>29</v>
      </c>
      <c r="L3335">
        <v>0</v>
      </c>
      <c r="M3335" t="s">
        <v>47</v>
      </c>
      <c r="N3335">
        <v>0</v>
      </c>
      <c r="O3335">
        <v>0</v>
      </c>
      <c r="P3335" t="s">
        <v>48</v>
      </c>
      <c r="Q3335" s="2">
        <v>0.7</v>
      </c>
      <c r="R3335">
        <v>0</v>
      </c>
      <c r="V3335" t="str">
        <f>VLOOKUP(H3335,'[1]팀별 출판사'!A:B,2,0)</f>
        <v>소설1팀</v>
      </c>
      <c r="W3335" s="6">
        <f t="shared" si="104"/>
        <v>0</v>
      </c>
      <c r="X3335" s="6">
        <f t="shared" si="105"/>
        <v>0</v>
      </c>
    </row>
    <row r="3336" spans="1:24" x14ac:dyDescent="0.3">
      <c r="A3336" t="s">
        <v>4605</v>
      </c>
      <c r="B3336" t="s">
        <v>4819</v>
      </c>
      <c r="C3336" t="s">
        <v>23</v>
      </c>
      <c r="D3336" t="s">
        <v>24</v>
      </c>
      <c r="E3336" t="s">
        <v>25</v>
      </c>
      <c r="F3336">
        <v>1</v>
      </c>
      <c r="G3336">
        <v>9791133172702</v>
      </c>
      <c r="H3336" t="s">
        <v>26</v>
      </c>
      <c r="I3336" t="s">
        <v>4041</v>
      </c>
      <c r="J3336" t="s">
        <v>588</v>
      </c>
      <c r="K3336" t="s">
        <v>29</v>
      </c>
      <c r="L3336">
        <v>0</v>
      </c>
      <c r="M3336" t="s">
        <v>29</v>
      </c>
      <c r="N3336">
        <v>0</v>
      </c>
      <c r="O3336">
        <v>0</v>
      </c>
      <c r="P3336" t="s">
        <v>30</v>
      </c>
      <c r="Q3336" s="2">
        <v>0.7</v>
      </c>
      <c r="R3336">
        <v>0</v>
      </c>
      <c r="V3336" t="str">
        <f>VLOOKUP(H3336,'[1]팀별 출판사'!A:B,2,0)</f>
        <v>소설1팀</v>
      </c>
      <c r="W3336" s="6">
        <f t="shared" si="104"/>
        <v>0</v>
      </c>
      <c r="X3336" s="6">
        <f t="shared" si="105"/>
        <v>0</v>
      </c>
    </row>
    <row r="3337" spans="1:24" x14ac:dyDescent="0.3">
      <c r="A3337" t="s">
        <v>4605</v>
      </c>
      <c r="B3337" t="s">
        <v>4820</v>
      </c>
      <c r="C3337" t="s">
        <v>23</v>
      </c>
      <c r="D3337" t="s">
        <v>24</v>
      </c>
      <c r="E3337" t="s">
        <v>25</v>
      </c>
      <c r="F3337">
        <v>1</v>
      </c>
      <c r="G3337">
        <v>9791136916969</v>
      </c>
      <c r="H3337" t="s">
        <v>26</v>
      </c>
      <c r="I3337" t="s">
        <v>1228</v>
      </c>
      <c r="J3337" t="s">
        <v>436</v>
      </c>
      <c r="K3337" t="s">
        <v>29</v>
      </c>
      <c r="L3337">
        <v>0</v>
      </c>
      <c r="M3337" t="s">
        <v>29</v>
      </c>
      <c r="N3337">
        <v>0</v>
      </c>
      <c r="O3337">
        <v>0</v>
      </c>
      <c r="P3337" t="s">
        <v>30</v>
      </c>
      <c r="Q3337" s="2">
        <v>0.7</v>
      </c>
      <c r="R3337">
        <v>0</v>
      </c>
      <c r="V3337" t="str">
        <f>VLOOKUP(H3337,'[1]팀별 출판사'!A:B,2,0)</f>
        <v>소설1팀</v>
      </c>
      <c r="W3337" s="6">
        <f t="shared" si="104"/>
        <v>0</v>
      </c>
      <c r="X3337" s="6">
        <f t="shared" si="105"/>
        <v>0</v>
      </c>
    </row>
    <row r="3338" spans="1:24" x14ac:dyDescent="0.3">
      <c r="A3338" t="s">
        <v>4605</v>
      </c>
      <c r="B3338" t="s">
        <v>4821</v>
      </c>
      <c r="C3338" t="s">
        <v>23</v>
      </c>
      <c r="D3338" t="s">
        <v>24</v>
      </c>
      <c r="E3338" t="s">
        <v>25</v>
      </c>
      <c r="F3338">
        <v>1</v>
      </c>
      <c r="G3338">
        <v>9791133141487</v>
      </c>
      <c r="H3338" t="s">
        <v>32</v>
      </c>
      <c r="I3338" t="s">
        <v>1015</v>
      </c>
      <c r="J3338" t="s">
        <v>511</v>
      </c>
      <c r="K3338" t="s">
        <v>29</v>
      </c>
      <c r="L3338">
        <v>0</v>
      </c>
      <c r="M3338" t="s">
        <v>29</v>
      </c>
      <c r="N3338">
        <v>0</v>
      </c>
      <c r="O3338">
        <v>0</v>
      </c>
      <c r="P3338" t="s">
        <v>30</v>
      </c>
      <c r="Q3338" s="2">
        <v>0.7</v>
      </c>
      <c r="R3338">
        <v>0</v>
      </c>
      <c r="V3338" t="str">
        <f>VLOOKUP(H3338,'[1]팀별 출판사'!A:B,2,0)</f>
        <v>소설1팀</v>
      </c>
      <c r="W3338" s="6">
        <f t="shared" si="104"/>
        <v>0</v>
      </c>
      <c r="X3338" s="6">
        <f t="shared" si="105"/>
        <v>0</v>
      </c>
    </row>
    <row r="3339" spans="1:24" x14ac:dyDescent="0.3">
      <c r="A3339" t="s">
        <v>4605</v>
      </c>
      <c r="B3339" t="s">
        <v>4822</v>
      </c>
      <c r="C3339" t="s">
        <v>23</v>
      </c>
      <c r="D3339" t="s">
        <v>24</v>
      </c>
      <c r="E3339" t="s">
        <v>25</v>
      </c>
      <c r="F3339">
        <v>1</v>
      </c>
      <c r="G3339" t="s">
        <v>416</v>
      </c>
      <c r="H3339" t="s">
        <v>32</v>
      </c>
      <c r="I3339" t="s">
        <v>417</v>
      </c>
      <c r="J3339" t="s">
        <v>418</v>
      </c>
      <c r="K3339" t="s">
        <v>29</v>
      </c>
      <c r="L3339">
        <v>0</v>
      </c>
      <c r="M3339" t="s">
        <v>29</v>
      </c>
      <c r="N3339">
        <v>0</v>
      </c>
      <c r="O3339">
        <v>0</v>
      </c>
      <c r="P3339" t="s">
        <v>30</v>
      </c>
      <c r="Q3339" s="2">
        <v>0.7</v>
      </c>
      <c r="R3339">
        <v>0</v>
      </c>
      <c r="V3339" t="str">
        <f>VLOOKUP(H3339,'[1]팀별 출판사'!A:B,2,0)</f>
        <v>소설1팀</v>
      </c>
      <c r="W3339" s="6">
        <f t="shared" si="104"/>
        <v>0</v>
      </c>
      <c r="X3339" s="6">
        <f t="shared" si="105"/>
        <v>0</v>
      </c>
    </row>
    <row r="3340" spans="1:24" x14ac:dyDescent="0.3">
      <c r="A3340" t="s">
        <v>4605</v>
      </c>
      <c r="B3340" t="s">
        <v>4823</v>
      </c>
      <c r="C3340" t="s">
        <v>23</v>
      </c>
      <c r="D3340" t="s">
        <v>24</v>
      </c>
      <c r="E3340" t="s">
        <v>25</v>
      </c>
      <c r="F3340">
        <v>1</v>
      </c>
      <c r="G3340" t="s">
        <v>4824</v>
      </c>
      <c r="H3340" t="s">
        <v>32</v>
      </c>
      <c r="I3340" t="s">
        <v>4825</v>
      </c>
      <c r="J3340" t="s">
        <v>4056</v>
      </c>
      <c r="K3340" t="s">
        <v>29</v>
      </c>
      <c r="L3340">
        <v>0</v>
      </c>
      <c r="M3340" t="s">
        <v>29</v>
      </c>
      <c r="N3340">
        <v>0</v>
      </c>
      <c r="O3340">
        <v>0</v>
      </c>
      <c r="P3340" t="s">
        <v>30</v>
      </c>
      <c r="Q3340" s="2">
        <v>0.7</v>
      </c>
      <c r="R3340">
        <v>0</v>
      </c>
      <c r="V3340" t="str">
        <f>VLOOKUP(H3340,'[1]팀별 출판사'!A:B,2,0)</f>
        <v>소설1팀</v>
      </c>
      <c r="W3340" s="6">
        <f t="shared" si="104"/>
        <v>0</v>
      </c>
      <c r="X3340" s="6">
        <f t="shared" si="105"/>
        <v>0</v>
      </c>
    </row>
    <row r="3341" spans="1:24" x14ac:dyDescent="0.3">
      <c r="A3341" t="s">
        <v>4605</v>
      </c>
      <c r="B3341" t="s">
        <v>4826</v>
      </c>
      <c r="C3341" t="s">
        <v>23</v>
      </c>
      <c r="D3341" t="s">
        <v>24</v>
      </c>
      <c r="E3341" t="s">
        <v>25</v>
      </c>
      <c r="F3341">
        <v>1</v>
      </c>
      <c r="G3341" t="s">
        <v>4827</v>
      </c>
      <c r="H3341" t="s">
        <v>32</v>
      </c>
      <c r="I3341" t="s">
        <v>4828</v>
      </c>
      <c r="J3341" t="s">
        <v>4056</v>
      </c>
      <c r="K3341" t="s">
        <v>29</v>
      </c>
      <c r="L3341">
        <v>0</v>
      </c>
      <c r="M3341" t="s">
        <v>29</v>
      </c>
      <c r="N3341">
        <v>0</v>
      </c>
      <c r="O3341">
        <v>0</v>
      </c>
      <c r="P3341" t="s">
        <v>30</v>
      </c>
      <c r="Q3341" s="2">
        <v>0.7</v>
      </c>
      <c r="R3341">
        <v>0</v>
      </c>
      <c r="V3341" t="str">
        <f>VLOOKUP(H3341,'[1]팀별 출판사'!A:B,2,0)</f>
        <v>소설1팀</v>
      </c>
      <c r="W3341" s="6">
        <f t="shared" si="104"/>
        <v>0</v>
      </c>
      <c r="X3341" s="6">
        <f t="shared" si="105"/>
        <v>0</v>
      </c>
    </row>
    <row r="3342" spans="1:24" x14ac:dyDescent="0.3">
      <c r="A3342" t="s">
        <v>4605</v>
      </c>
      <c r="B3342" t="s">
        <v>4829</v>
      </c>
      <c r="C3342" t="s">
        <v>23</v>
      </c>
      <c r="D3342" t="s">
        <v>24</v>
      </c>
      <c r="E3342" t="s">
        <v>25</v>
      </c>
      <c r="F3342">
        <v>1</v>
      </c>
      <c r="G3342">
        <v>9791136907332</v>
      </c>
      <c r="H3342" t="s">
        <v>26</v>
      </c>
      <c r="I3342" t="s">
        <v>4830</v>
      </c>
      <c r="J3342" t="s">
        <v>1348</v>
      </c>
      <c r="K3342" t="s">
        <v>29</v>
      </c>
      <c r="L3342" s="1">
        <v>3200</v>
      </c>
      <c r="M3342" t="s">
        <v>29</v>
      </c>
      <c r="N3342" s="1">
        <v>3200</v>
      </c>
      <c r="O3342" s="1">
        <v>3200</v>
      </c>
      <c r="P3342" t="s">
        <v>30</v>
      </c>
      <c r="Q3342" s="2">
        <v>0.7</v>
      </c>
      <c r="R3342" s="1">
        <v>2240</v>
      </c>
      <c r="S3342" t="s">
        <v>29</v>
      </c>
      <c r="T3342" s="1">
        <v>2240</v>
      </c>
      <c r="V3342" t="str">
        <f>VLOOKUP(H3342,'[1]팀별 출판사'!A:B,2,0)</f>
        <v>소설1팀</v>
      </c>
      <c r="W3342" s="6">
        <f t="shared" si="104"/>
        <v>0</v>
      </c>
      <c r="X3342" s="6">
        <f t="shared" si="105"/>
        <v>2240</v>
      </c>
    </row>
    <row r="3343" spans="1:24" x14ac:dyDescent="0.3">
      <c r="A3343" t="s">
        <v>4605</v>
      </c>
      <c r="B3343" t="s">
        <v>4831</v>
      </c>
      <c r="C3343" t="s">
        <v>23</v>
      </c>
      <c r="D3343" t="s">
        <v>24</v>
      </c>
      <c r="E3343" t="s">
        <v>25</v>
      </c>
      <c r="F3343">
        <v>1</v>
      </c>
      <c r="G3343">
        <v>9791133107483</v>
      </c>
      <c r="H3343" t="s">
        <v>32</v>
      </c>
      <c r="I3343" t="s">
        <v>3952</v>
      </c>
      <c r="J3343" t="s">
        <v>311</v>
      </c>
      <c r="K3343" t="s">
        <v>29</v>
      </c>
      <c r="L3343">
        <v>0</v>
      </c>
      <c r="M3343" t="s">
        <v>29</v>
      </c>
      <c r="N3343">
        <v>0</v>
      </c>
      <c r="O3343">
        <v>0</v>
      </c>
      <c r="P3343" t="s">
        <v>30</v>
      </c>
      <c r="Q3343" s="2">
        <v>0.7</v>
      </c>
      <c r="R3343">
        <v>0</v>
      </c>
      <c r="V3343" t="str">
        <f>VLOOKUP(H3343,'[1]팀별 출판사'!A:B,2,0)</f>
        <v>소설1팀</v>
      </c>
      <c r="W3343" s="6">
        <f t="shared" si="104"/>
        <v>0</v>
      </c>
      <c r="X3343" s="6">
        <f t="shared" si="105"/>
        <v>0</v>
      </c>
    </row>
    <row r="3344" spans="1:24" x14ac:dyDescent="0.3">
      <c r="A3344" t="s">
        <v>4605</v>
      </c>
      <c r="B3344" t="s">
        <v>4832</v>
      </c>
      <c r="C3344" t="s">
        <v>23</v>
      </c>
      <c r="D3344" t="s">
        <v>24</v>
      </c>
      <c r="E3344" t="s">
        <v>25</v>
      </c>
      <c r="F3344">
        <v>1</v>
      </c>
      <c r="G3344">
        <v>9791133185702</v>
      </c>
      <c r="H3344" t="s">
        <v>26</v>
      </c>
      <c r="I3344" t="s">
        <v>2777</v>
      </c>
      <c r="J3344" t="s">
        <v>62</v>
      </c>
      <c r="K3344" t="s">
        <v>29</v>
      </c>
      <c r="L3344">
        <v>0</v>
      </c>
      <c r="M3344" t="s">
        <v>29</v>
      </c>
      <c r="N3344">
        <v>0</v>
      </c>
      <c r="O3344">
        <v>0</v>
      </c>
      <c r="P3344" t="s">
        <v>30</v>
      </c>
      <c r="Q3344" s="2">
        <v>0.7</v>
      </c>
      <c r="R3344">
        <v>0</v>
      </c>
      <c r="V3344" t="str">
        <f>VLOOKUP(H3344,'[1]팀별 출판사'!A:B,2,0)</f>
        <v>소설1팀</v>
      </c>
      <c r="W3344" s="6">
        <f t="shared" si="104"/>
        <v>0</v>
      </c>
      <c r="X3344" s="6">
        <f t="shared" si="105"/>
        <v>0</v>
      </c>
    </row>
    <row r="3345" spans="1:24" x14ac:dyDescent="0.3">
      <c r="A3345" t="s">
        <v>4605</v>
      </c>
      <c r="B3345" t="s">
        <v>4833</v>
      </c>
      <c r="C3345" t="s">
        <v>23</v>
      </c>
      <c r="D3345" t="s">
        <v>24</v>
      </c>
      <c r="E3345" t="s">
        <v>25</v>
      </c>
      <c r="F3345">
        <v>1</v>
      </c>
      <c r="G3345">
        <v>9791133138333</v>
      </c>
      <c r="H3345" t="s">
        <v>32</v>
      </c>
      <c r="I3345" t="s">
        <v>4834</v>
      </c>
      <c r="J3345" t="s">
        <v>166</v>
      </c>
      <c r="K3345" t="s">
        <v>29</v>
      </c>
      <c r="L3345">
        <v>0</v>
      </c>
      <c r="M3345" t="s">
        <v>29</v>
      </c>
      <c r="N3345">
        <v>0</v>
      </c>
      <c r="O3345">
        <v>0</v>
      </c>
      <c r="P3345" t="s">
        <v>30</v>
      </c>
      <c r="Q3345" s="2">
        <v>0.7</v>
      </c>
      <c r="R3345">
        <v>0</v>
      </c>
      <c r="V3345" t="str">
        <f>VLOOKUP(H3345,'[1]팀별 출판사'!A:B,2,0)</f>
        <v>소설1팀</v>
      </c>
      <c r="W3345" s="6">
        <f t="shared" si="104"/>
        <v>0</v>
      </c>
      <c r="X3345" s="6">
        <f t="shared" si="105"/>
        <v>0</v>
      </c>
    </row>
    <row r="3346" spans="1:24" x14ac:dyDescent="0.3">
      <c r="A3346" t="s">
        <v>4605</v>
      </c>
      <c r="B3346" t="s">
        <v>4835</v>
      </c>
      <c r="C3346" t="s">
        <v>23</v>
      </c>
      <c r="D3346" t="s">
        <v>24</v>
      </c>
      <c r="E3346" t="s">
        <v>25</v>
      </c>
      <c r="F3346">
        <v>1</v>
      </c>
      <c r="G3346">
        <v>9791170106715</v>
      </c>
      <c r="H3346" t="s">
        <v>67</v>
      </c>
      <c r="I3346" t="s">
        <v>68</v>
      </c>
      <c r="J3346" t="s">
        <v>69</v>
      </c>
      <c r="K3346" t="s">
        <v>29</v>
      </c>
      <c r="L3346">
        <v>0</v>
      </c>
      <c r="M3346" t="s">
        <v>1482</v>
      </c>
      <c r="N3346">
        <v>0</v>
      </c>
      <c r="O3346">
        <v>0</v>
      </c>
      <c r="P3346" t="s">
        <v>1483</v>
      </c>
      <c r="Q3346" s="2">
        <v>0.7</v>
      </c>
      <c r="R3346">
        <v>0</v>
      </c>
      <c r="V3346" t="str">
        <f>VLOOKUP(H3346,'[1]팀별 출판사'!A:B,2,0)</f>
        <v>소설1팀</v>
      </c>
      <c r="W3346" s="6">
        <f t="shared" si="104"/>
        <v>0</v>
      </c>
      <c r="X3346" s="6">
        <f t="shared" si="105"/>
        <v>0</v>
      </c>
    </row>
    <row r="3347" spans="1:24" x14ac:dyDescent="0.3">
      <c r="A3347" t="s">
        <v>4605</v>
      </c>
      <c r="B3347" t="s">
        <v>4836</v>
      </c>
      <c r="C3347" t="s">
        <v>23</v>
      </c>
      <c r="D3347" t="s">
        <v>24</v>
      </c>
      <c r="E3347" t="s">
        <v>25</v>
      </c>
      <c r="F3347">
        <v>1</v>
      </c>
      <c r="G3347">
        <v>9791173785092</v>
      </c>
      <c r="H3347" t="s">
        <v>26</v>
      </c>
      <c r="I3347" t="s">
        <v>327</v>
      </c>
      <c r="J3347" t="s">
        <v>62</v>
      </c>
      <c r="K3347" t="s">
        <v>29</v>
      </c>
      <c r="L3347">
        <v>0</v>
      </c>
      <c r="M3347" t="s">
        <v>29</v>
      </c>
      <c r="N3347">
        <v>0</v>
      </c>
      <c r="O3347">
        <v>0</v>
      </c>
      <c r="P3347" t="s">
        <v>30</v>
      </c>
      <c r="Q3347" s="2">
        <v>0.7</v>
      </c>
      <c r="R3347">
        <v>0</v>
      </c>
      <c r="V3347" t="str">
        <f>VLOOKUP(H3347,'[1]팀별 출판사'!A:B,2,0)</f>
        <v>소설1팀</v>
      </c>
      <c r="W3347" s="6">
        <f t="shared" si="104"/>
        <v>0</v>
      </c>
      <c r="X3347" s="6">
        <f t="shared" si="105"/>
        <v>0</v>
      </c>
    </row>
    <row r="3348" spans="1:24" x14ac:dyDescent="0.3">
      <c r="A3348" t="s">
        <v>4605</v>
      </c>
      <c r="B3348" t="s">
        <v>4837</v>
      </c>
      <c r="C3348" t="s">
        <v>23</v>
      </c>
      <c r="D3348" t="s">
        <v>24</v>
      </c>
      <c r="E3348" t="s">
        <v>25</v>
      </c>
      <c r="F3348">
        <v>1</v>
      </c>
      <c r="G3348">
        <v>9791133186501</v>
      </c>
      <c r="H3348" t="s">
        <v>26</v>
      </c>
      <c r="I3348" t="s">
        <v>64</v>
      </c>
      <c r="J3348" t="s">
        <v>65</v>
      </c>
      <c r="K3348" t="s">
        <v>29</v>
      </c>
      <c r="L3348">
        <v>0</v>
      </c>
      <c r="M3348" t="s">
        <v>29</v>
      </c>
      <c r="N3348">
        <v>0</v>
      </c>
      <c r="O3348">
        <v>0</v>
      </c>
      <c r="P3348" t="s">
        <v>30</v>
      </c>
      <c r="Q3348" s="2">
        <v>0.7</v>
      </c>
      <c r="R3348">
        <v>0</v>
      </c>
      <c r="V3348" t="str">
        <f>VLOOKUP(H3348,'[1]팀별 출판사'!A:B,2,0)</f>
        <v>소설1팀</v>
      </c>
      <c r="W3348" s="6">
        <f t="shared" si="104"/>
        <v>0</v>
      </c>
      <c r="X3348" s="6">
        <f t="shared" si="105"/>
        <v>0</v>
      </c>
    </row>
    <row r="3349" spans="1:24" x14ac:dyDescent="0.3">
      <c r="A3349" t="s">
        <v>4838</v>
      </c>
      <c r="B3349" t="s">
        <v>4839</v>
      </c>
      <c r="C3349" t="s">
        <v>23</v>
      </c>
      <c r="D3349" t="s">
        <v>24</v>
      </c>
      <c r="E3349" t="s">
        <v>25</v>
      </c>
      <c r="F3349">
        <v>1</v>
      </c>
      <c r="G3349">
        <v>9791173786013</v>
      </c>
      <c r="H3349" t="s">
        <v>26</v>
      </c>
      <c r="I3349" t="s">
        <v>3639</v>
      </c>
      <c r="J3349" t="s">
        <v>81</v>
      </c>
      <c r="K3349" t="s">
        <v>29</v>
      </c>
      <c r="L3349" s="1">
        <v>3200</v>
      </c>
      <c r="M3349" t="s">
        <v>29</v>
      </c>
      <c r="N3349" s="1">
        <v>3200</v>
      </c>
      <c r="O3349" s="1">
        <v>3200</v>
      </c>
      <c r="P3349" t="s">
        <v>30</v>
      </c>
      <c r="Q3349" s="2">
        <v>0.7</v>
      </c>
      <c r="R3349" s="1">
        <v>2240</v>
      </c>
      <c r="S3349" t="s">
        <v>29</v>
      </c>
      <c r="T3349" s="1">
        <v>2240</v>
      </c>
      <c r="V3349" t="str">
        <f>VLOOKUP(H3349,'[1]팀별 출판사'!A:B,2,0)</f>
        <v>소설1팀</v>
      </c>
      <c r="W3349" s="6">
        <f t="shared" si="104"/>
        <v>0</v>
      </c>
      <c r="X3349" s="6">
        <f t="shared" si="105"/>
        <v>2240</v>
      </c>
    </row>
    <row r="3350" spans="1:24" x14ac:dyDescent="0.3">
      <c r="A3350" t="s">
        <v>4838</v>
      </c>
      <c r="B3350" t="s">
        <v>4840</v>
      </c>
      <c r="C3350" t="s">
        <v>23</v>
      </c>
      <c r="D3350" t="s">
        <v>24</v>
      </c>
      <c r="E3350" t="s">
        <v>25</v>
      </c>
      <c r="F3350">
        <v>1</v>
      </c>
      <c r="G3350" t="s">
        <v>2247</v>
      </c>
      <c r="H3350" t="s">
        <v>32</v>
      </c>
      <c r="I3350" t="s">
        <v>2248</v>
      </c>
      <c r="J3350" t="s">
        <v>1271</v>
      </c>
      <c r="K3350" t="s">
        <v>29</v>
      </c>
      <c r="L3350">
        <v>0</v>
      </c>
      <c r="M3350" t="s">
        <v>29</v>
      </c>
      <c r="N3350">
        <v>0</v>
      </c>
      <c r="O3350">
        <v>0</v>
      </c>
      <c r="P3350" t="s">
        <v>30</v>
      </c>
      <c r="Q3350" s="2">
        <v>0.7</v>
      </c>
      <c r="R3350">
        <v>0</v>
      </c>
      <c r="V3350" t="str">
        <f>VLOOKUP(H3350,'[1]팀별 출판사'!A:B,2,0)</f>
        <v>소설1팀</v>
      </c>
      <c r="W3350" s="6">
        <f t="shared" si="104"/>
        <v>0</v>
      </c>
      <c r="X3350" s="6">
        <f t="shared" si="105"/>
        <v>0</v>
      </c>
    </row>
    <row r="3351" spans="1:24" x14ac:dyDescent="0.3">
      <c r="A3351" t="s">
        <v>4838</v>
      </c>
      <c r="B3351" t="s">
        <v>4841</v>
      </c>
      <c r="C3351" t="s">
        <v>23</v>
      </c>
      <c r="D3351" t="s">
        <v>24</v>
      </c>
      <c r="E3351" t="s">
        <v>25</v>
      </c>
      <c r="F3351">
        <v>1</v>
      </c>
      <c r="G3351">
        <v>9791136925800</v>
      </c>
      <c r="H3351" t="s">
        <v>26</v>
      </c>
      <c r="I3351" t="s">
        <v>1856</v>
      </c>
      <c r="J3351" t="s">
        <v>813</v>
      </c>
      <c r="K3351" t="s">
        <v>29</v>
      </c>
      <c r="L3351">
        <v>0</v>
      </c>
      <c r="M3351" t="s">
        <v>29</v>
      </c>
      <c r="N3351">
        <v>0</v>
      </c>
      <c r="O3351">
        <v>0</v>
      </c>
      <c r="P3351" t="s">
        <v>30</v>
      </c>
      <c r="Q3351" s="2">
        <v>0.7</v>
      </c>
      <c r="R3351">
        <v>0</v>
      </c>
      <c r="V3351" t="str">
        <f>VLOOKUP(H3351,'[1]팀별 출판사'!A:B,2,0)</f>
        <v>소설1팀</v>
      </c>
      <c r="W3351" s="6">
        <f t="shared" si="104"/>
        <v>0</v>
      </c>
      <c r="X3351" s="6">
        <f t="shared" si="105"/>
        <v>0</v>
      </c>
    </row>
    <row r="3352" spans="1:24" x14ac:dyDescent="0.3">
      <c r="A3352" t="s">
        <v>4838</v>
      </c>
      <c r="B3352" t="s">
        <v>4842</v>
      </c>
      <c r="C3352" t="s">
        <v>23</v>
      </c>
      <c r="D3352" t="s">
        <v>24</v>
      </c>
      <c r="E3352" t="s">
        <v>25</v>
      </c>
      <c r="F3352">
        <v>1</v>
      </c>
      <c r="G3352">
        <v>9791133186525</v>
      </c>
      <c r="H3352" t="s">
        <v>32</v>
      </c>
      <c r="I3352" t="s">
        <v>4843</v>
      </c>
      <c r="J3352" t="s">
        <v>166</v>
      </c>
      <c r="K3352" t="s">
        <v>29</v>
      </c>
      <c r="L3352" s="1">
        <v>3200</v>
      </c>
      <c r="M3352" t="s">
        <v>29</v>
      </c>
      <c r="N3352" s="1">
        <v>3200</v>
      </c>
      <c r="O3352" s="1">
        <v>3200</v>
      </c>
      <c r="P3352" t="s">
        <v>30</v>
      </c>
      <c r="Q3352" s="2">
        <v>0.7</v>
      </c>
      <c r="R3352" s="1">
        <v>2240</v>
      </c>
      <c r="S3352" t="s">
        <v>29</v>
      </c>
      <c r="T3352" s="1">
        <v>2240</v>
      </c>
      <c r="V3352" t="str">
        <f>VLOOKUP(H3352,'[1]팀별 출판사'!A:B,2,0)</f>
        <v>소설1팀</v>
      </c>
      <c r="W3352" s="6">
        <f t="shared" si="104"/>
        <v>0</v>
      </c>
      <c r="X3352" s="6">
        <f t="shared" si="105"/>
        <v>2240</v>
      </c>
    </row>
    <row r="3353" spans="1:24" x14ac:dyDescent="0.3">
      <c r="A3353" t="s">
        <v>4838</v>
      </c>
      <c r="B3353" t="s">
        <v>4844</v>
      </c>
      <c r="C3353" t="s">
        <v>23</v>
      </c>
      <c r="D3353" t="s">
        <v>24</v>
      </c>
      <c r="E3353" t="s">
        <v>25</v>
      </c>
      <c r="F3353">
        <v>1</v>
      </c>
      <c r="G3353">
        <v>9791172927844</v>
      </c>
      <c r="H3353" t="s">
        <v>79</v>
      </c>
      <c r="I3353" t="s">
        <v>1168</v>
      </c>
      <c r="J3353" t="s">
        <v>81</v>
      </c>
      <c r="K3353" t="s">
        <v>29</v>
      </c>
      <c r="L3353">
        <v>0</v>
      </c>
      <c r="M3353" t="s">
        <v>362</v>
      </c>
      <c r="N3353">
        <v>0</v>
      </c>
      <c r="O3353">
        <v>0</v>
      </c>
      <c r="P3353" t="s">
        <v>363</v>
      </c>
      <c r="Q3353" s="2">
        <v>0.7</v>
      </c>
      <c r="R3353">
        <v>0</v>
      </c>
      <c r="V3353" t="str">
        <f>VLOOKUP(H3353,'[1]팀별 출판사'!A:B,2,0)</f>
        <v>소설1팀</v>
      </c>
      <c r="W3353" s="6">
        <f t="shared" si="104"/>
        <v>0</v>
      </c>
      <c r="X3353" s="6">
        <f t="shared" si="105"/>
        <v>0</v>
      </c>
    </row>
    <row r="3354" spans="1:24" x14ac:dyDescent="0.3">
      <c r="A3354" t="s">
        <v>4838</v>
      </c>
      <c r="B3354" t="s">
        <v>4845</v>
      </c>
      <c r="C3354" t="s">
        <v>23</v>
      </c>
      <c r="D3354" t="s">
        <v>24</v>
      </c>
      <c r="E3354" t="s">
        <v>25</v>
      </c>
      <c r="F3354">
        <v>1</v>
      </c>
      <c r="G3354">
        <v>9791136907196</v>
      </c>
      <c r="H3354" t="s">
        <v>26</v>
      </c>
      <c r="I3354" t="s">
        <v>4846</v>
      </c>
      <c r="J3354" t="s">
        <v>1348</v>
      </c>
      <c r="K3354" t="s">
        <v>29</v>
      </c>
      <c r="L3354" s="1">
        <v>3200</v>
      </c>
      <c r="M3354" t="s">
        <v>29</v>
      </c>
      <c r="N3354" s="1">
        <v>3200</v>
      </c>
      <c r="O3354" s="1">
        <v>3200</v>
      </c>
      <c r="P3354" t="s">
        <v>30</v>
      </c>
      <c r="Q3354" s="2">
        <v>0.7</v>
      </c>
      <c r="R3354" s="1">
        <v>2240</v>
      </c>
      <c r="S3354" t="s">
        <v>29</v>
      </c>
      <c r="T3354" s="1">
        <v>2240</v>
      </c>
      <c r="V3354" t="str">
        <f>VLOOKUP(H3354,'[1]팀별 출판사'!A:B,2,0)</f>
        <v>소설1팀</v>
      </c>
      <c r="W3354" s="6">
        <f t="shared" si="104"/>
        <v>0</v>
      </c>
      <c r="X3354" s="6">
        <f t="shared" si="105"/>
        <v>2240</v>
      </c>
    </row>
    <row r="3355" spans="1:24" x14ac:dyDescent="0.3">
      <c r="A3355" t="s">
        <v>4838</v>
      </c>
      <c r="B3355" t="s">
        <v>4847</v>
      </c>
      <c r="C3355" t="s">
        <v>23</v>
      </c>
      <c r="D3355" t="s">
        <v>24</v>
      </c>
      <c r="E3355" t="s">
        <v>25</v>
      </c>
      <c r="F3355">
        <v>1</v>
      </c>
      <c r="G3355">
        <v>9791133167227</v>
      </c>
      <c r="H3355" t="s">
        <v>32</v>
      </c>
      <c r="I3355" t="s">
        <v>313</v>
      </c>
      <c r="J3355" t="s">
        <v>160</v>
      </c>
      <c r="K3355" t="s">
        <v>29</v>
      </c>
      <c r="L3355">
        <v>0</v>
      </c>
      <c r="M3355" t="s">
        <v>29</v>
      </c>
      <c r="N3355">
        <v>0</v>
      </c>
      <c r="O3355">
        <v>0</v>
      </c>
      <c r="P3355" t="s">
        <v>30</v>
      </c>
      <c r="Q3355" s="2">
        <v>0.7</v>
      </c>
      <c r="R3355">
        <v>0</v>
      </c>
      <c r="V3355" t="str">
        <f>VLOOKUP(H3355,'[1]팀별 출판사'!A:B,2,0)</f>
        <v>소설1팀</v>
      </c>
      <c r="W3355" s="6">
        <f t="shared" si="104"/>
        <v>0</v>
      </c>
      <c r="X3355" s="6">
        <f t="shared" si="105"/>
        <v>0</v>
      </c>
    </row>
    <row r="3356" spans="1:24" x14ac:dyDescent="0.3">
      <c r="A3356" t="s">
        <v>4838</v>
      </c>
      <c r="B3356" t="s">
        <v>4848</v>
      </c>
      <c r="C3356" t="s">
        <v>23</v>
      </c>
      <c r="D3356" t="s">
        <v>24</v>
      </c>
      <c r="E3356" t="s">
        <v>25</v>
      </c>
      <c r="F3356">
        <v>1</v>
      </c>
      <c r="G3356">
        <v>9791133140619</v>
      </c>
      <c r="H3356" t="s">
        <v>32</v>
      </c>
      <c r="I3356" t="s">
        <v>4849</v>
      </c>
      <c r="J3356" t="s">
        <v>1627</v>
      </c>
      <c r="K3356" t="s">
        <v>29</v>
      </c>
      <c r="L3356" s="1">
        <v>3200</v>
      </c>
      <c r="M3356" t="s">
        <v>29</v>
      </c>
      <c r="N3356" s="1">
        <v>3200</v>
      </c>
      <c r="O3356" s="1">
        <v>3200</v>
      </c>
      <c r="P3356" t="s">
        <v>30</v>
      </c>
      <c r="Q3356" s="2">
        <v>0.7</v>
      </c>
      <c r="R3356" s="1">
        <v>2240</v>
      </c>
      <c r="S3356" t="s">
        <v>29</v>
      </c>
      <c r="T3356" s="1">
        <v>2240</v>
      </c>
      <c r="V3356" t="str">
        <f>VLOOKUP(H3356,'[1]팀별 출판사'!A:B,2,0)</f>
        <v>소설1팀</v>
      </c>
      <c r="W3356" s="6">
        <f t="shared" si="104"/>
        <v>0</v>
      </c>
      <c r="X3356" s="6">
        <f t="shared" si="105"/>
        <v>2240</v>
      </c>
    </row>
    <row r="3357" spans="1:24" x14ac:dyDescent="0.3">
      <c r="A3357" t="s">
        <v>4838</v>
      </c>
      <c r="B3357" t="s">
        <v>4850</v>
      </c>
      <c r="C3357" t="s">
        <v>23</v>
      </c>
      <c r="D3357" t="s">
        <v>24</v>
      </c>
      <c r="E3357" t="s">
        <v>25</v>
      </c>
      <c r="F3357">
        <v>1</v>
      </c>
      <c r="G3357">
        <v>9791136930484</v>
      </c>
      <c r="H3357" t="s">
        <v>32</v>
      </c>
      <c r="I3357" t="s">
        <v>4851</v>
      </c>
      <c r="J3357" t="s">
        <v>34</v>
      </c>
      <c r="K3357" t="s">
        <v>29</v>
      </c>
      <c r="L3357" s="1">
        <v>3200</v>
      </c>
      <c r="M3357" t="s">
        <v>136</v>
      </c>
      <c r="N3357">
        <v>381</v>
      </c>
      <c r="O3357">
        <v>346</v>
      </c>
      <c r="P3357" t="s">
        <v>137</v>
      </c>
      <c r="Q3357" s="2">
        <v>0.7</v>
      </c>
      <c r="R3357">
        <v>242</v>
      </c>
      <c r="S3357" t="s">
        <v>29</v>
      </c>
      <c r="T3357" s="1">
        <v>2256</v>
      </c>
      <c r="U3357">
        <v>9.3322599999999998</v>
      </c>
      <c r="V3357" t="str">
        <f>VLOOKUP(H3357,'[1]팀별 출판사'!A:B,2,0)</f>
        <v>소설1팀</v>
      </c>
      <c r="W3357" s="6">
        <f t="shared" si="104"/>
        <v>0</v>
      </c>
      <c r="X3357" s="6">
        <f t="shared" si="105"/>
        <v>2256</v>
      </c>
    </row>
    <row r="3358" spans="1:24" x14ac:dyDescent="0.3">
      <c r="A3358" t="s">
        <v>4838</v>
      </c>
      <c r="B3358" t="s">
        <v>4852</v>
      </c>
      <c r="C3358" t="s">
        <v>23</v>
      </c>
      <c r="D3358" t="s">
        <v>24</v>
      </c>
      <c r="E3358" t="s">
        <v>25</v>
      </c>
      <c r="F3358">
        <v>1</v>
      </c>
      <c r="G3358">
        <v>9791136927255</v>
      </c>
      <c r="H3358" t="s">
        <v>36</v>
      </c>
      <c r="I3358" t="s">
        <v>90</v>
      </c>
      <c r="J3358" t="s">
        <v>38</v>
      </c>
      <c r="K3358" t="s">
        <v>29</v>
      </c>
      <c r="L3358" s="1">
        <v>3300</v>
      </c>
      <c r="M3358" t="s">
        <v>465</v>
      </c>
      <c r="N3358">
        <v>117.75</v>
      </c>
      <c r="O3358">
        <v>98.12</v>
      </c>
      <c r="P3358" t="s">
        <v>466</v>
      </c>
      <c r="Q3358" s="2">
        <v>0.7</v>
      </c>
      <c r="R3358">
        <v>68.680000000000007</v>
      </c>
      <c r="S3358" t="s">
        <v>29</v>
      </c>
      <c r="T3358" s="1">
        <v>2257</v>
      </c>
      <c r="U3358">
        <v>32.92897</v>
      </c>
      <c r="V3358" t="str">
        <f>VLOOKUP(H3358,'[1]팀별 출판사'!A:B,2,0)</f>
        <v>소설2팀</v>
      </c>
      <c r="W3358" s="6">
        <f t="shared" si="104"/>
        <v>0</v>
      </c>
      <c r="X3358" s="6">
        <f t="shared" si="105"/>
        <v>2257</v>
      </c>
    </row>
    <row r="3359" spans="1:24" x14ac:dyDescent="0.3">
      <c r="A3359" t="s">
        <v>4838</v>
      </c>
      <c r="B3359" t="s">
        <v>4853</v>
      </c>
      <c r="C3359" t="s">
        <v>23</v>
      </c>
      <c r="D3359" t="s">
        <v>24</v>
      </c>
      <c r="E3359" t="s">
        <v>25</v>
      </c>
      <c r="F3359">
        <v>1</v>
      </c>
      <c r="G3359">
        <v>9791175307322</v>
      </c>
      <c r="H3359" t="s">
        <v>36</v>
      </c>
      <c r="I3359" t="s">
        <v>4854</v>
      </c>
      <c r="J3359" t="s">
        <v>4855</v>
      </c>
      <c r="K3359" t="s">
        <v>29</v>
      </c>
      <c r="L3359" s="1">
        <v>3300</v>
      </c>
      <c r="M3359" t="s">
        <v>29</v>
      </c>
      <c r="N3359" s="1">
        <v>3300</v>
      </c>
      <c r="O3359" s="1">
        <v>3300</v>
      </c>
      <c r="P3359" t="s">
        <v>30</v>
      </c>
      <c r="Q3359" s="2">
        <v>0.7</v>
      </c>
      <c r="R3359" s="1">
        <v>2310</v>
      </c>
      <c r="S3359" t="s">
        <v>29</v>
      </c>
      <c r="T3359" s="1">
        <v>2310</v>
      </c>
      <c r="V3359" t="str">
        <f>VLOOKUP(H3359,'[1]팀별 출판사'!A:B,2,0)</f>
        <v>소설2팀</v>
      </c>
      <c r="W3359" s="6">
        <f t="shared" si="104"/>
        <v>0</v>
      </c>
      <c r="X3359" s="6">
        <f t="shared" si="105"/>
        <v>2310</v>
      </c>
    </row>
    <row r="3360" spans="1:24" x14ac:dyDescent="0.3">
      <c r="A3360" t="s">
        <v>4838</v>
      </c>
      <c r="B3360" t="s">
        <v>4856</v>
      </c>
      <c r="C3360" t="s">
        <v>23</v>
      </c>
      <c r="D3360" t="s">
        <v>24</v>
      </c>
      <c r="E3360" t="s">
        <v>25</v>
      </c>
      <c r="F3360">
        <v>1</v>
      </c>
      <c r="G3360">
        <v>9791136900180</v>
      </c>
      <c r="H3360" t="s">
        <v>26</v>
      </c>
      <c r="I3360" t="s">
        <v>1267</v>
      </c>
      <c r="J3360" t="s">
        <v>436</v>
      </c>
      <c r="K3360" t="s">
        <v>29</v>
      </c>
      <c r="L3360">
        <v>0</v>
      </c>
      <c r="M3360" t="s">
        <v>29</v>
      </c>
      <c r="N3360">
        <v>0</v>
      </c>
      <c r="O3360">
        <v>0</v>
      </c>
      <c r="P3360" t="s">
        <v>30</v>
      </c>
      <c r="Q3360" s="2">
        <v>0.7</v>
      </c>
      <c r="R3360">
        <v>0</v>
      </c>
      <c r="V3360" t="str">
        <f>VLOOKUP(H3360,'[1]팀별 출판사'!A:B,2,0)</f>
        <v>소설1팀</v>
      </c>
      <c r="W3360" s="6">
        <f t="shared" si="104"/>
        <v>0</v>
      </c>
      <c r="X3360" s="6">
        <f t="shared" si="105"/>
        <v>0</v>
      </c>
    </row>
    <row r="3361" spans="1:24" x14ac:dyDescent="0.3">
      <c r="A3361" t="s">
        <v>4838</v>
      </c>
      <c r="B3361" t="s">
        <v>4857</v>
      </c>
      <c r="C3361" t="s">
        <v>23</v>
      </c>
      <c r="D3361" t="s">
        <v>24</v>
      </c>
      <c r="E3361" t="s">
        <v>25</v>
      </c>
      <c r="F3361">
        <v>1</v>
      </c>
      <c r="G3361" t="s">
        <v>4858</v>
      </c>
      <c r="H3361" t="s">
        <v>208</v>
      </c>
      <c r="I3361" t="s">
        <v>4859</v>
      </c>
      <c r="J3361" t="s">
        <v>210</v>
      </c>
      <c r="K3361" t="s">
        <v>29</v>
      </c>
      <c r="L3361" s="1">
        <v>2000</v>
      </c>
      <c r="M3361" t="s">
        <v>29</v>
      </c>
      <c r="N3361" s="1">
        <v>2000</v>
      </c>
      <c r="O3361" s="1">
        <v>2000</v>
      </c>
      <c r="P3361" t="s">
        <v>30</v>
      </c>
      <c r="Q3361" s="2">
        <v>0.7</v>
      </c>
      <c r="R3361" s="1">
        <v>1400</v>
      </c>
      <c r="S3361" t="s">
        <v>29</v>
      </c>
      <c r="T3361" s="1">
        <v>1400</v>
      </c>
      <c r="V3361" t="str">
        <f>VLOOKUP(H3361,'[1]팀별 출판사'!A:B,2,0)</f>
        <v>소설1팀</v>
      </c>
      <c r="W3361" s="6">
        <f t="shared" si="104"/>
        <v>0</v>
      </c>
      <c r="X3361" s="6">
        <f t="shared" si="105"/>
        <v>1400</v>
      </c>
    </row>
    <row r="3362" spans="1:24" x14ac:dyDescent="0.3">
      <c r="A3362" t="s">
        <v>4838</v>
      </c>
      <c r="B3362" t="s">
        <v>4860</v>
      </c>
      <c r="C3362" t="s">
        <v>23</v>
      </c>
      <c r="D3362" t="s">
        <v>24</v>
      </c>
      <c r="E3362" t="s">
        <v>25</v>
      </c>
      <c r="F3362">
        <v>1</v>
      </c>
      <c r="G3362">
        <v>9791194664369</v>
      </c>
      <c r="H3362" t="s">
        <v>79</v>
      </c>
      <c r="I3362" t="s">
        <v>156</v>
      </c>
      <c r="J3362" t="s">
        <v>157</v>
      </c>
      <c r="K3362" t="s">
        <v>29</v>
      </c>
      <c r="L3362">
        <v>0</v>
      </c>
      <c r="M3362" t="s">
        <v>47</v>
      </c>
      <c r="N3362">
        <v>0</v>
      </c>
      <c r="O3362">
        <v>0</v>
      </c>
      <c r="P3362" t="s">
        <v>48</v>
      </c>
      <c r="Q3362" s="2">
        <v>0.7</v>
      </c>
      <c r="R3362">
        <v>0</v>
      </c>
      <c r="V3362" t="str">
        <f>VLOOKUP(H3362,'[1]팀별 출판사'!A:B,2,0)</f>
        <v>소설1팀</v>
      </c>
      <c r="W3362" s="6">
        <f t="shared" si="104"/>
        <v>0</v>
      </c>
      <c r="X3362" s="6">
        <f t="shared" si="105"/>
        <v>0</v>
      </c>
    </row>
    <row r="3363" spans="1:24" x14ac:dyDescent="0.3">
      <c r="A3363" t="s">
        <v>4838</v>
      </c>
      <c r="B3363" t="s">
        <v>4861</v>
      </c>
      <c r="C3363" t="s">
        <v>23</v>
      </c>
      <c r="D3363" t="s">
        <v>24</v>
      </c>
      <c r="E3363" t="s">
        <v>25</v>
      </c>
      <c r="F3363">
        <v>1</v>
      </c>
      <c r="G3363">
        <v>9791136942142</v>
      </c>
      <c r="H3363" t="s">
        <v>26</v>
      </c>
      <c r="I3363" t="s">
        <v>180</v>
      </c>
      <c r="J3363" t="s">
        <v>46</v>
      </c>
      <c r="K3363" t="s">
        <v>29</v>
      </c>
      <c r="L3363">
        <v>0</v>
      </c>
      <c r="M3363" t="s">
        <v>47</v>
      </c>
      <c r="N3363">
        <v>0</v>
      </c>
      <c r="O3363">
        <v>0</v>
      </c>
      <c r="P3363" t="s">
        <v>48</v>
      </c>
      <c r="Q3363" s="2">
        <v>0.7</v>
      </c>
      <c r="R3363">
        <v>0</v>
      </c>
      <c r="V3363" t="str">
        <f>VLOOKUP(H3363,'[1]팀별 출판사'!A:B,2,0)</f>
        <v>소설1팀</v>
      </c>
      <c r="W3363" s="6">
        <f t="shared" si="104"/>
        <v>0</v>
      </c>
      <c r="X3363" s="6">
        <f t="shared" si="105"/>
        <v>0</v>
      </c>
    </row>
    <row r="3364" spans="1:24" x14ac:dyDescent="0.3">
      <c r="A3364" t="s">
        <v>4838</v>
      </c>
      <c r="B3364" t="s">
        <v>4862</v>
      </c>
      <c r="C3364" t="s">
        <v>23</v>
      </c>
      <c r="D3364" t="s">
        <v>24</v>
      </c>
      <c r="E3364" t="s">
        <v>25</v>
      </c>
      <c r="F3364">
        <v>1</v>
      </c>
      <c r="G3364">
        <v>9791133172702</v>
      </c>
      <c r="H3364" t="s">
        <v>26</v>
      </c>
      <c r="I3364" t="s">
        <v>4041</v>
      </c>
      <c r="J3364" t="s">
        <v>588</v>
      </c>
      <c r="K3364" t="s">
        <v>29</v>
      </c>
      <c r="L3364">
        <v>0</v>
      </c>
      <c r="M3364" t="s">
        <v>1379</v>
      </c>
      <c r="N3364">
        <v>0</v>
      </c>
      <c r="O3364">
        <v>0</v>
      </c>
      <c r="P3364" t="s">
        <v>1380</v>
      </c>
      <c r="Q3364" s="2">
        <v>0.7</v>
      </c>
      <c r="R3364">
        <v>0</v>
      </c>
      <c r="V3364" t="str">
        <f>VLOOKUP(H3364,'[1]팀별 출판사'!A:B,2,0)</f>
        <v>소설1팀</v>
      </c>
      <c r="W3364" s="6">
        <f t="shared" si="104"/>
        <v>0</v>
      </c>
      <c r="X3364" s="6">
        <f t="shared" si="105"/>
        <v>0</v>
      </c>
    </row>
    <row r="3365" spans="1:24" x14ac:dyDescent="0.3">
      <c r="A3365" t="s">
        <v>4838</v>
      </c>
      <c r="B3365" t="s">
        <v>4863</v>
      </c>
      <c r="C3365" t="s">
        <v>23</v>
      </c>
      <c r="D3365" t="s">
        <v>24</v>
      </c>
      <c r="E3365" t="s">
        <v>25</v>
      </c>
      <c r="F3365">
        <v>1</v>
      </c>
      <c r="G3365">
        <v>9791133186532</v>
      </c>
      <c r="H3365" t="s">
        <v>32</v>
      </c>
      <c r="I3365" t="s">
        <v>4864</v>
      </c>
      <c r="J3365" t="s">
        <v>166</v>
      </c>
      <c r="K3365" t="s">
        <v>29</v>
      </c>
      <c r="L3365" s="1">
        <v>3200</v>
      </c>
      <c r="M3365" t="s">
        <v>29</v>
      </c>
      <c r="N3365" s="1">
        <v>3200</v>
      </c>
      <c r="O3365" s="1">
        <v>3200</v>
      </c>
      <c r="P3365" t="s">
        <v>30</v>
      </c>
      <c r="Q3365" s="2">
        <v>0.7</v>
      </c>
      <c r="R3365" s="1">
        <v>2240</v>
      </c>
      <c r="S3365" t="s">
        <v>29</v>
      </c>
      <c r="T3365" s="1">
        <v>2240</v>
      </c>
      <c r="V3365" t="str">
        <f>VLOOKUP(H3365,'[1]팀별 출판사'!A:B,2,0)</f>
        <v>소설1팀</v>
      </c>
      <c r="W3365" s="6">
        <f t="shared" si="104"/>
        <v>0</v>
      </c>
      <c r="X3365" s="6">
        <f t="shared" si="105"/>
        <v>2240</v>
      </c>
    </row>
    <row r="3366" spans="1:24" x14ac:dyDescent="0.3">
      <c r="A3366" t="s">
        <v>4838</v>
      </c>
      <c r="B3366" t="s">
        <v>4865</v>
      </c>
      <c r="C3366" t="s">
        <v>23</v>
      </c>
      <c r="D3366" t="s">
        <v>24</v>
      </c>
      <c r="E3366" t="s">
        <v>25</v>
      </c>
      <c r="F3366">
        <v>1</v>
      </c>
      <c r="G3366">
        <v>9791136930552</v>
      </c>
      <c r="H3366" t="s">
        <v>26</v>
      </c>
      <c r="I3366" t="s">
        <v>45</v>
      </c>
      <c r="J3366" t="s">
        <v>46</v>
      </c>
      <c r="K3366" t="s">
        <v>29</v>
      </c>
      <c r="L3366">
        <v>0</v>
      </c>
      <c r="M3366" t="s">
        <v>47</v>
      </c>
      <c r="N3366">
        <v>0</v>
      </c>
      <c r="O3366">
        <v>0</v>
      </c>
      <c r="P3366" t="s">
        <v>48</v>
      </c>
      <c r="Q3366" s="2">
        <v>0.7</v>
      </c>
      <c r="R3366">
        <v>0</v>
      </c>
      <c r="V3366" t="str">
        <f>VLOOKUP(H3366,'[1]팀별 출판사'!A:B,2,0)</f>
        <v>소설1팀</v>
      </c>
      <c r="W3366" s="6">
        <f t="shared" si="104"/>
        <v>0</v>
      </c>
      <c r="X3366" s="6">
        <f t="shared" si="105"/>
        <v>0</v>
      </c>
    </row>
    <row r="3367" spans="1:24" x14ac:dyDescent="0.3">
      <c r="A3367" t="s">
        <v>4838</v>
      </c>
      <c r="B3367" t="s">
        <v>4866</v>
      </c>
      <c r="C3367" t="s">
        <v>23</v>
      </c>
      <c r="D3367" t="s">
        <v>24</v>
      </c>
      <c r="E3367" t="s">
        <v>25</v>
      </c>
      <c r="F3367">
        <v>1</v>
      </c>
      <c r="G3367">
        <v>9791133198924</v>
      </c>
      <c r="H3367" t="s">
        <v>26</v>
      </c>
      <c r="I3367" t="s">
        <v>96</v>
      </c>
      <c r="J3367" t="s">
        <v>97</v>
      </c>
      <c r="K3367" t="s">
        <v>29</v>
      </c>
      <c r="L3367">
        <v>0</v>
      </c>
      <c r="M3367" t="s">
        <v>29</v>
      </c>
      <c r="N3367">
        <v>0</v>
      </c>
      <c r="O3367">
        <v>0</v>
      </c>
      <c r="P3367" t="s">
        <v>30</v>
      </c>
      <c r="Q3367" s="2">
        <v>0.7</v>
      </c>
      <c r="R3367">
        <v>0</v>
      </c>
      <c r="V3367" t="str">
        <f>VLOOKUP(H3367,'[1]팀별 출판사'!A:B,2,0)</f>
        <v>소설1팀</v>
      </c>
      <c r="W3367" s="6">
        <f t="shared" si="104"/>
        <v>0</v>
      </c>
      <c r="X3367" s="6">
        <f t="shared" si="105"/>
        <v>0</v>
      </c>
    </row>
    <row r="3368" spans="1:24" x14ac:dyDescent="0.3">
      <c r="A3368" t="s">
        <v>4838</v>
      </c>
      <c r="B3368" t="s">
        <v>4867</v>
      </c>
      <c r="C3368" t="s">
        <v>23</v>
      </c>
      <c r="D3368" t="s">
        <v>24</v>
      </c>
      <c r="E3368" t="s">
        <v>25</v>
      </c>
      <c r="F3368">
        <v>1</v>
      </c>
      <c r="G3368">
        <v>9791136930491</v>
      </c>
      <c r="H3368" t="s">
        <v>26</v>
      </c>
      <c r="I3368" t="s">
        <v>151</v>
      </c>
      <c r="J3368" t="s">
        <v>46</v>
      </c>
      <c r="K3368" t="s">
        <v>29</v>
      </c>
      <c r="L3368">
        <v>0</v>
      </c>
      <c r="M3368" t="s">
        <v>47</v>
      </c>
      <c r="N3368">
        <v>0</v>
      </c>
      <c r="O3368">
        <v>0</v>
      </c>
      <c r="P3368" t="s">
        <v>48</v>
      </c>
      <c r="Q3368" s="2">
        <v>0.7</v>
      </c>
      <c r="R3368">
        <v>0</v>
      </c>
      <c r="V3368" t="str">
        <f>VLOOKUP(H3368,'[1]팀별 출판사'!A:B,2,0)</f>
        <v>소설1팀</v>
      </c>
      <c r="W3368" s="6">
        <f t="shared" si="104"/>
        <v>0</v>
      </c>
      <c r="X3368" s="6">
        <f t="shared" si="105"/>
        <v>0</v>
      </c>
    </row>
    <row r="3369" spans="1:24" x14ac:dyDescent="0.3">
      <c r="A3369" t="s">
        <v>4838</v>
      </c>
      <c r="B3369" t="s">
        <v>4868</v>
      </c>
      <c r="C3369" t="s">
        <v>23</v>
      </c>
      <c r="D3369" t="s">
        <v>24</v>
      </c>
      <c r="E3369" t="s">
        <v>25</v>
      </c>
      <c r="F3369">
        <v>1</v>
      </c>
      <c r="G3369">
        <v>9791172924911</v>
      </c>
      <c r="H3369" t="s">
        <v>26</v>
      </c>
      <c r="I3369" t="s">
        <v>4869</v>
      </c>
      <c r="J3369" t="s">
        <v>62</v>
      </c>
      <c r="K3369" t="s">
        <v>29</v>
      </c>
      <c r="L3369" s="1">
        <v>3200</v>
      </c>
      <c r="M3369" t="s">
        <v>29</v>
      </c>
      <c r="N3369" s="1">
        <v>3200</v>
      </c>
      <c r="O3369" s="1">
        <v>3200</v>
      </c>
      <c r="P3369" t="s">
        <v>30</v>
      </c>
      <c r="Q3369" s="2">
        <v>0.7</v>
      </c>
      <c r="R3369" s="1">
        <v>2240</v>
      </c>
      <c r="S3369" t="s">
        <v>29</v>
      </c>
      <c r="T3369" s="1">
        <v>2240</v>
      </c>
      <c r="V3369" t="str">
        <f>VLOOKUP(H3369,'[1]팀별 출판사'!A:B,2,0)</f>
        <v>소설1팀</v>
      </c>
      <c r="W3369" s="6">
        <f t="shared" si="104"/>
        <v>0</v>
      </c>
      <c r="X3369" s="6">
        <f t="shared" si="105"/>
        <v>2240</v>
      </c>
    </row>
    <row r="3370" spans="1:24" x14ac:dyDescent="0.3">
      <c r="A3370" t="s">
        <v>4838</v>
      </c>
      <c r="B3370" t="s">
        <v>4870</v>
      </c>
      <c r="C3370" t="s">
        <v>23</v>
      </c>
      <c r="D3370" t="s">
        <v>24</v>
      </c>
      <c r="E3370" t="s">
        <v>25</v>
      </c>
      <c r="F3370">
        <v>1</v>
      </c>
      <c r="G3370">
        <v>9791136946805</v>
      </c>
      <c r="H3370" t="s">
        <v>26</v>
      </c>
      <c r="I3370" t="s">
        <v>2641</v>
      </c>
      <c r="J3370" t="s">
        <v>28</v>
      </c>
      <c r="K3370" t="s">
        <v>29</v>
      </c>
      <c r="L3370" s="1">
        <v>3200</v>
      </c>
      <c r="M3370" t="s">
        <v>29</v>
      </c>
      <c r="N3370" s="1">
        <v>3200</v>
      </c>
      <c r="O3370" s="1">
        <v>3200</v>
      </c>
      <c r="P3370" t="s">
        <v>30</v>
      </c>
      <c r="Q3370" s="2">
        <v>0.7</v>
      </c>
      <c r="R3370" s="1">
        <v>2240</v>
      </c>
      <c r="S3370" t="s">
        <v>29</v>
      </c>
      <c r="T3370" s="1">
        <v>2240</v>
      </c>
      <c r="V3370" t="str">
        <f>VLOOKUP(H3370,'[1]팀별 출판사'!A:B,2,0)</f>
        <v>소설1팀</v>
      </c>
      <c r="W3370" s="6">
        <f t="shared" si="104"/>
        <v>0</v>
      </c>
      <c r="X3370" s="6">
        <f t="shared" si="105"/>
        <v>2240</v>
      </c>
    </row>
    <row r="3371" spans="1:24" x14ac:dyDescent="0.3">
      <c r="A3371" t="s">
        <v>4838</v>
      </c>
      <c r="B3371" t="s">
        <v>4871</v>
      </c>
      <c r="C3371" t="s">
        <v>23</v>
      </c>
      <c r="D3371" t="s">
        <v>24</v>
      </c>
      <c r="E3371" t="s">
        <v>25</v>
      </c>
      <c r="F3371">
        <v>1</v>
      </c>
      <c r="G3371">
        <v>9791136946782</v>
      </c>
      <c r="H3371" t="s">
        <v>26</v>
      </c>
      <c r="I3371" t="s">
        <v>291</v>
      </c>
      <c r="J3371" t="s">
        <v>28</v>
      </c>
      <c r="K3371" t="s">
        <v>29</v>
      </c>
      <c r="L3371">
        <v>0</v>
      </c>
      <c r="M3371" t="s">
        <v>29</v>
      </c>
      <c r="N3371">
        <v>0</v>
      </c>
      <c r="O3371">
        <v>0</v>
      </c>
      <c r="P3371" t="s">
        <v>30</v>
      </c>
      <c r="Q3371" s="2">
        <v>0.7</v>
      </c>
      <c r="R3371">
        <v>0</v>
      </c>
      <c r="V3371" t="str">
        <f>VLOOKUP(H3371,'[1]팀별 출판사'!A:B,2,0)</f>
        <v>소설1팀</v>
      </c>
      <c r="W3371" s="6">
        <f t="shared" si="104"/>
        <v>0</v>
      </c>
      <c r="X3371" s="6">
        <f t="shared" si="105"/>
        <v>0</v>
      </c>
    </row>
    <row r="3372" spans="1:24" x14ac:dyDescent="0.3">
      <c r="A3372" t="s">
        <v>4838</v>
      </c>
      <c r="B3372" t="s">
        <v>4872</v>
      </c>
      <c r="C3372" t="s">
        <v>23</v>
      </c>
      <c r="D3372" t="s">
        <v>24</v>
      </c>
      <c r="E3372" t="s">
        <v>25</v>
      </c>
      <c r="F3372">
        <v>1</v>
      </c>
      <c r="G3372">
        <v>9791136943361</v>
      </c>
      <c r="H3372" t="s">
        <v>26</v>
      </c>
      <c r="I3372" t="s">
        <v>2346</v>
      </c>
      <c r="J3372" t="s">
        <v>284</v>
      </c>
      <c r="K3372" t="s">
        <v>29</v>
      </c>
      <c r="L3372">
        <v>0</v>
      </c>
      <c r="M3372" t="s">
        <v>29</v>
      </c>
      <c r="N3372">
        <v>0</v>
      </c>
      <c r="O3372">
        <v>0</v>
      </c>
      <c r="P3372" t="s">
        <v>30</v>
      </c>
      <c r="Q3372" s="2">
        <v>0.7</v>
      </c>
      <c r="R3372">
        <v>0</v>
      </c>
      <c r="V3372" t="str">
        <f>VLOOKUP(H3372,'[1]팀별 출판사'!A:B,2,0)</f>
        <v>소설1팀</v>
      </c>
      <c r="W3372" s="6">
        <f t="shared" si="104"/>
        <v>0</v>
      </c>
      <c r="X3372" s="6">
        <f t="shared" si="105"/>
        <v>0</v>
      </c>
    </row>
    <row r="3373" spans="1:24" x14ac:dyDescent="0.3">
      <c r="A3373" t="s">
        <v>4838</v>
      </c>
      <c r="B3373" t="s">
        <v>4873</v>
      </c>
      <c r="C3373" t="s">
        <v>23</v>
      </c>
      <c r="D3373" t="s">
        <v>24</v>
      </c>
      <c r="E3373" t="s">
        <v>25</v>
      </c>
      <c r="F3373">
        <v>1</v>
      </c>
      <c r="G3373">
        <v>9791136909398</v>
      </c>
      <c r="H3373" t="s">
        <v>26</v>
      </c>
      <c r="I3373" t="s">
        <v>779</v>
      </c>
      <c r="J3373" t="s">
        <v>588</v>
      </c>
      <c r="K3373" t="s">
        <v>29</v>
      </c>
      <c r="L3373">
        <v>0</v>
      </c>
      <c r="M3373" t="s">
        <v>29</v>
      </c>
      <c r="N3373">
        <v>0</v>
      </c>
      <c r="O3373">
        <v>0</v>
      </c>
      <c r="P3373" t="s">
        <v>30</v>
      </c>
      <c r="Q3373" s="2">
        <v>0.7</v>
      </c>
      <c r="R3373">
        <v>0</v>
      </c>
      <c r="V3373" t="str">
        <f>VLOOKUP(H3373,'[1]팀별 출판사'!A:B,2,0)</f>
        <v>소설1팀</v>
      </c>
      <c r="W3373" s="6">
        <f t="shared" si="104"/>
        <v>0</v>
      </c>
      <c r="X3373" s="6">
        <f t="shared" si="105"/>
        <v>0</v>
      </c>
    </row>
    <row r="3374" spans="1:24" x14ac:dyDescent="0.3">
      <c r="A3374" t="s">
        <v>4838</v>
      </c>
      <c r="B3374" t="s">
        <v>4874</v>
      </c>
      <c r="C3374" t="s">
        <v>23</v>
      </c>
      <c r="D3374" t="s">
        <v>24</v>
      </c>
      <c r="E3374" t="s">
        <v>25</v>
      </c>
      <c r="F3374">
        <v>1</v>
      </c>
      <c r="G3374">
        <v>9791157533633</v>
      </c>
      <c r="H3374" t="s">
        <v>32</v>
      </c>
      <c r="I3374" t="s">
        <v>4875</v>
      </c>
      <c r="J3374" t="s">
        <v>187</v>
      </c>
      <c r="K3374" t="s">
        <v>29</v>
      </c>
      <c r="L3374" s="1">
        <v>3200</v>
      </c>
      <c r="M3374" t="s">
        <v>29</v>
      </c>
      <c r="N3374" s="1">
        <v>3200</v>
      </c>
      <c r="O3374" s="1">
        <v>3200</v>
      </c>
      <c r="P3374" t="s">
        <v>30</v>
      </c>
      <c r="Q3374" s="2">
        <v>0.7</v>
      </c>
      <c r="R3374" s="1">
        <v>2240</v>
      </c>
      <c r="S3374" t="s">
        <v>29</v>
      </c>
      <c r="T3374" s="1">
        <v>2240</v>
      </c>
      <c r="V3374" t="str">
        <f>VLOOKUP(H3374,'[1]팀별 출판사'!A:B,2,0)</f>
        <v>소설1팀</v>
      </c>
      <c r="W3374" s="6">
        <f t="shared" si="104"/>
        <v>0</v>
      </c>
      <c r="X3374" s="6">
        <f t="shared" si="105"/>
        <v>2240</v>
      </c>
    </row>
    <row r="3375" spans="1:24" x14ac:dyDescent="0.3">
      <c r="A3375" t="s">
        <v>4838</v>
      </c>
      <c r="B3375" t="s">
        <v>4876</v>
      </c>
      <c r="C3375" t="s">
        <v>23</v>
      </c>
      <c r="D3375" t="s">
        <v>24</v>
      </c>
      <c r="E3375" t="s">
        <v>25</v>
      </c>
      <c r="F3375">
        <v>1</v>
      </c>
      <c r="G3375">
        <v>9791136919809</v>
      </c>
      <c r="H3375" t="s">
        <v>263</v>
      </c>
      <c r="I3375" t="s">
        <v>4877</v>
      </c>
      <c r="J3375" t="s">
        <v>4878</v>
      </c>
      <c r="K3375" t="s">
        <v>29</v>
      </c>
      <c r="L3375" s="1">
        <v>3200</v>
      </c>
      <c r="M3375" t="s">
        <v>29</v>
      </c>
      <c r="N3375" s="1">
        <v>3200</v>
      </c>
      <c r="O3375" s="1">
        <v>3200</v>
      </c>
      <c r="P3375" t="s">
        <v>30</v>
      </c>
      <c r="Q3375" s="2">
        <v>0.7</v>
      </c>
      <c r="R3375" s="1">
        <v>2240</v>
      </c>
      <c r="S3375" t="s">
        <v>29</v>
      </c>
      <c r="T3375" s="1">
        <v>2240</v>
      </c>
      <c r="V3375" t="str">
        <f>VLOOKUP(H3375,'[1]팀별 출판사'!A:B,2,0)</f>
        <v>소설2팀</v>
      </c>
      <c r="W3375" s="6">
        <f t="shared" si="104"/>
        <v>0</v>
      </c>
      <c r="X3375" s="6">
        <f t="shared" si="105"/>
        <v>2240</v>
      </c>
    </row>
    <row r="3376" spans="1:24" x14ac:dyDescent="0.3">
      <c r="A3376" t="s">
        <v>4838</v>
      </c>
      <c r="B3376" t="s">
        <v>4879</v>
      </c>
      <c r="C3376" t="s">
        <v>23</v>
      </c>
      <c r="D3376" t="s">
        <v>24</v>
      </c>
      <c r="E3376" t="s">
        <v>25</v>
      </c>
      <c r="F3376">
        <v>1</v>
      </c>
      <c r="G3376">
        <v>9791136942906</v>
      </c>
      <c r="H3376" t="s">
        <v>26</v>
      </c>
      <c r="I3376" t="s">
        <v>2900</v>
      </c>
      <c r="J3376" t="s">
        <v>284</v>
      </c>
      <c r="K3376" t="s">
        <v>29</v>
      </c>
      <c r="L3376">
        <v>0</v>
      </c>
      <c r="M3376" t="s">
        <v>29</v>
      </c>
      <c r="N3376">
        <v>0</v>
      </c>
      <c r="O3376">
        <v>0</v>
      </c>
      <c r="P3376" t="s">
        <v>30</v>
      </c>
      <c r="Q3376" s="2">
        <v>0.7</v>
      </c>
      <c r="R3376">
        <v>0</v>
      </c>
      <c r="V3376" t="str">
        <f>VLOOKUP(H3376,'[1]팀별 출판사'!A:B,2,0)</f>
        <v>소설1팀</v>
      </c>
      <c r="W3376" s="6">
        <f t="shared" si="104"/>
        <v>0</v>
      </c>
      <c r="X3376" s="6">
        <f t="shared" si="105"/>
        <v>0</v>
      </c>
    </row>
    <row r="3377" spans="1:24" x14ac:dyDescent="0.3">
      <c r="A3377" t="s">
        <v>4838</v>
      </c>
      <c r="B3377" t="s">
        <v>4880</v>
      </c>
      <c r="C3377" t="s">
        <v>23</v>
      </c>
      <c r="D3377" t="s">
        <v>24</v>
      </c>
      <c r="E3377" t="s">
        <v>25</v>
      </c>
      <c r="F3377">
        <v>1</v>
      </c>
      <c r="G3377">
        <v>9791175307339</v>
      </c>
      <c r="H3377" t="s">
        <v>36</v>
      </c>
      <c r="I3377" t="s">
        <v>4881</v>
      </c>
      <c r="J3377" t="s">
        <v>4855</v>
      </c>
      <c r="K3377" t="s">
        <v>29</v>
      </c>
      <c r="L3377" s="1">
        <v>3300</v>
      </c>
      <c r="M3377" t="s">
        <v>29</v>
      </c>
      <c r="N3377" s="1">
        <v>3300</v>
      </c>
      <c r="O3377" s="1">
        <v>3300</v>
      </c>
      <c r="P3377" t="s">
        <v>30</v>
      </c>
      <c r="Q3377" s="2">
        <v>0.7</v>
      </c>
      <c r="R3377" s="1">
        <v>2310</v>
      </c>
      <c r="S3377" t="s">
        <v>29</v>
      </c>
      <c r="T3377" s="1">
        <v>2310</v>
      </c>
      <c r="V3377" t="str">
        <f>VLOOKUP(H3377,'[1]팀별 출판사'!A:B,2,0)</f>
        <v>소설2팀</v>
      </c>
      <c r="W3377" s="6">
        <f t="shared" si="104"/>
        <v>0</v>
      </c>
      <c r="X3377" s="6">
        <f t="shared" si="105"/>
        <v>2310</v>
      </c>
    </row>
    <row r="3378" spans="1:24" x14ac:dyDescent="0.3">
      <c r="A3378" t="s">
        <v>4838</v>
      </c>
      <c r="B3378" t="s">
        <v>4882</v>
      </c>
      <c r="C3378" t="s">
        <v>23</v>
      </c>
      <c r="D3378" t="s">
        <v>24</v>
      </c>
      <c r="E3378" t="s">
        <v>25</v>
      </c>
      <c r="F3378">
        <v>1</v>
      </c>
      <c r="G3378">
        <v>9791157539703</v>
      </c>
      <c r="H3378" t="s">
        <v>32</v>
      </c>
      <c r="I3378" t="s">
        <v>3535</v>
      </c>
      <c r="J3378" t="s">
        <v>88</v>
      </c>
      <c r="K3378" t="s">
        <v>29</v>
      </c>
      <c r="L3378" s="1">
        <v>3200</v>
      </c>
      <c r="M3378" t="s">
        <v>29</v>
      </c>
      <c r="N3378" s="1">
        <v>3200</v>
      </c>
      <c r="O3378" s="1">
        <v>3200</v>
      </c>
      <c r="P3378" t="s">
        <v>30</v>
      </c>
      <c r="Q3378" s="2">
        <v>0.7</v>
      </c>
      <c r="R3378" s="1">
        <v>2240</v>
      </c>
      <c r="S3378" t="s">
        <v>29</v>
      </c>
      <c r="T3378" s="1">
        <v>2240</v>
      </c>
      <c r="V3378" t="str">
        <f>VLOOKUP(H3378,'[1]팀별 출판사'!A:B,2,0)</f>
        <v>소설1팀</v>
      </c>
      <c r="W3378" s="6">
        <f t="shared" si="104"/>
        <v>0</v>
      </c>
      <c r="X3378" s="6">
        <f t="shared" si="105"/>
        <v>2240</v>
      </c>
    </row>
    <row r="3379" spans="1:24" x14ac:dyDescent="0.3">
      <c r="A3379" t="s">
        <v>4838</v>
      </c>
      <c r="B3379" t="s">
        <v>4883</v>
      </c>
      <c r="C3379" t="s">
        <v>23</v>
      </c>
      <c r="D3379" t="s">
        <v>24</v>
      </c>
      <c r="E3379" t="s">
        <v>25</v>
      </c>
      <c r="F3379">
        <v>1</v>
      </c>
      <c r="G3379">
        <v>9791136910493</v>
      </c>
      <c r="H3379" t="s">
        <v>26</v>
      </c>
      <c r="I3379" t="s">
        <v>4884</v>
      </c>
      <c r="J3379" t="s">
        <v>355</v>
      </c>
      <c r="K3379" t="s">
        <v>29</v>
      </c>
      <c r="L3379" s="1">
        <v>3200</v>
      </c>
      <c r="M3379" t="s">
        <v>29</v>
      </c>
      <c r="N3379" s="1">
        <v>3200</v>
      </c>
      <c r="O3379" s="1">
        <v>3200</v>
      </c>
      <c r="P3379" t="s">
        <v>30</v>
      </c>
      <c r="Q3379" s="2">
        <v>0.7</v>
      </c>
      <c r="R3379" s="1">
        <v>2240</v>
      </c>
      <c r="S3379" t="s">
        <v>29</v>
      </c>
      <c r="T3379" s="1">
        <v>2240</v>
      </c>
      <c r="V3379" t="str">
        <f>VLOOKUP(H3379,'[1]팀별 출판사'!A:B,2,0)</f>
        <v>소설1팀</v>
      </c>
      <c r="W3379" s="6">
        <f t="shared" si="104"/>
        <v>0</v>
      </c>
      <c r="X3379" s="6">
        <f t="shared" si="105"/>
        <v>2240</v>
      </c>
    </row>
    <row r="3380" spans="1:24" x14ac:dyDescent="0.3">
      <c r="A3380" t="s">
        <v>4838</v>
      </c>
      <c r="B3380" t="s">
        <v>4885</v>
      </c>
      <c r="C3380" t="s">
        <v>23</v>
      </c>
      <c r="D3380" t="s">
        <v>24</v>
      </c>
      <c r="E3380" t="s">
        <v>25</v>
      </c>
      <c r="F3380">
        <v>1</v>
      </c>
      <c r="G3380">
        <v>9791173786136</v>
      </c>
      <c r="H3380" t="s">
        <v>79</v>
      </c>
      <c r="I3380" t="s">
        <v>1476</v>
      </c>
      <c r="J3380" t="s">
        <v>81</v>
      </c>
      <c r="K3380" t="s">
        <v>29</v>
      </c>
      <c r="L3380">
        <v>0</v>
      </c>
      <c r="M3380" t="s">
        <v>29</v>
      </c>
      <c r="N3380">
        <v>0</v>
      </c>
      <c r="O3380">
        <v>0</v>
      </c>
      <c r="P3380" t="s">
        <v>30</v>
      </c>
      <c r="Q3380" s="2">
        <v>0.7</v>
      </c>
      <c r="R3380">
        <v>0</v>
      </c>
      <c r="V3380" t="str">
        <f>VLOOKUP(H3380,'[1]팀별 출판사'!A:B,2,0)</f>
        <v>소설1팀</v>
      </c>
      <c r="W3380" s="6">
        <f t="shared" si="104"/>
        <v>0</v>
      </c>
      <c r="X3380" s="6">
        <f t="shared" si="105"/>
        <v>0</v>
      </c>
    </row>
    <row r="3381" spans="1:24" x14ac:dyDescent="0.3">
      <c r="A3381" t="s">
        <v>4838</v>
      </c>
      <c r="B3381" t="s">
        <v>4886</v>
      </c>
      <c r="C3381" t="s">
        <v>23</v>
      </c>
      <c r="D3381" t="s">
        <v>24</v>
      </c>
      <c r="E3381" t="s">
        <v>25</v>
      </c>
      <c r="F3381">
        <v>1</v>
      </c>
      <c r="G3381">
        <v>9791133186730</v>
      </c>
      <c r="H3381" t="s">
        <v>26</v>
      </c>
      <c r="I3381" t="s">
        <v>4780</v>
      </c>
      <c r="J3381" t="s">
        <v>588</v>
      </c>
      <c r="K3381" t="s">
        <v>29</v>
      </c>
      <c r="L3381">
        <v>0</v>
      </c>
      <c r="M3381" t="s">
        <v>29</v>
      </c>
      <c r="N3381">
        <v>0</v>
      </c>
      <c r="O3381">
        <v>0</v>
      </c>
      <c r="P3381" t="s">
        <v>30</v>
      </c>
      <c r="Q3381" s="2">
        <v>0.7</v>
      </c>
      <c r="R3381">
        <v>0</v>
      </c>
      <c r="V3381" t="str">
        <f>VLOOKUP(H3381,'[1]팀별 출판사'!A:B,2,0)</f>
        <v>소설1팀</v>
      </c>
      <c r="W3381" s="6">
        <f t="shared" si="104"/>
        <v>0</v>
      </c>
      <c r="X3381" s="6">
        <f t="shared" si="105"/>
        <v>0</v>
      </c>
    </row>
    <row r="3382" spans="1:24" x14ac:dyDescent="0.3">
      <c r="A3382" t="s">
        <v>4838</v>
      </c>
      <c r="B3382" t="s">
        <v>4887</v>
      </c>
      <c r="C3382" t="s">
        <v>23</v>
      </c>
      <c r="D3382" t="s">
        <v>24</v>
      </c>
      <c r="E3382" t="s">
        <v>25</v>
      </c>
      <c r="F3382">
        <v>1</v>
      </c>
      <c r="G3382" t="s">
        <v>2903</v>
      </c>
      <c r="H3382" t="s">
        <v>32</v>
      </c>
      <c r="I3382" t="s">
        <v>2904</v>
      </c>
      <c r="J3382" t="s">
        <v>663</v>
      </c>
      <c r="K3382" t="s">
        <v>29</v>
      </c>
      <c r="L3382">
        <v>0</v>
      </c>
      <c r="M3382" t="s">
        <v>29</v>
      </c>
      <c r="N3382">
        <v>0</v>
      </c>
      <c r="O3382">
        <v>0</v>
      </c>
      <c r="P3382" t="s">
        <v>30</v>
      </c>
      <c r="Q3382" s="2">
        <v>0.7</v>
      </c>
      <c r="R3382">
        <v>0</v>
      </c>
      <c r="V3382" t="str">
        <f>VLOOKUP(H3382,'[1]팀별 출판사'!A:B,2,0)</f>
        <v>소설1팀</v>
      </c>
      <c r="W3382" s="6">
        <f t="shared" si="104"/>
        <v>0</v>
      </c>
      <c r="X3382" s="6">
        <f t="shared" si="105"/>
        <v>0</v>
      </c>
    </row>
    <row r="3383" spans="1:24" x14ac:dyDescent="0.3">
      <c r="A3383" t="s">
        <v>4838</v>
      </c>
      <c r="B3383" t="s">
        <v>4888</v>
      </c>
      <c r="C3383" t="s">
        <v>23</v>
      </c>
      <c r="D3383" t="s">
        <v>24</v>
      </c>
      <c r="E3383" t="s">
        <v>25</v>
      </c>
      <c r="F3383">
        <v>1</v>
      </c>
      <c r="G3383">
        <v>9791136930910</v>
      </c>
      <c r="H3383" t="s">
        <v>32</v>
      </c>
      <c r="I3383" t="s">
        <v>872</v>
      </c>
      <c r="J3383" t="s">
        <v>34</v>
      </c>
      <c r="K3383" t="s">
        <v>29</v>
      </c>
      <c r="L3383">
        <v>0</v>
      </c>
      <c r="M3383" t="s">
        <v>29</v>
      </c>
      <c r="N3383">
        <v>0</v>
      </c>
      <c r="O3383">
        <v>0</v>
      </c>
      <c r="P3383" t="s">
        <v>30</v>
      </c>
      <c r="Q3383" s="2">
        <v>0.7</v>
      </c>
      <c r="R3383">
        <v>0</v>
      </c>
      <c r="V3383" t="str">
        <f>VLOOKUP(H3383,'[1]팀별 출판사'!A:B,2,0)</f>
        <v>소설1팀</v>
      </c>
      <c r="W3383" s="6">
        <f t="shared" si="104"/>
        <v>0</v>
      </c>
      <c r="X3383" s="6">
        <f t="shared" si="105"/>
        <v>0</v>
      </c>
    </row>
    <row r="3384" spans="1:24" x14ac:dyDescent="0.3">
      <c r="A3384" t="s">
        <v>4838</v>
      </c>
      <c r="B3384" t="s">
        <v>4889</v>
      </c>
      <c r="C3384" t="s">
        <v>23</v>
      </c>
      <c r="D3384" t="s">
        <v>24</v>
      </c>
      <c r="E3384" t="s">
        <v>25</v>
      </c>
      <c r="F3384">
        <v>1</v>
      </c>
      <c r="G3384">
        <v>9791133186549</v>
      </c>
      <c r="H3384" t="s">
        <v>32</v>
      </c>
      <c r="I3384" t="s">
        <v>4890</v>
      </c>
      <c r="J3384" t="s">
        <v>166</v>
      </c>
      <c r="K3384" t="s">
        <v>29</v>
      </c>
      <c r="L3384" s="1">
        <v>3200</v>
      </c>
      <c r="M3384" t="s">
        <v>29</v>
      </c>
      <c r="N3384" s="1">
        <v>3200</v>
      </c>
      <c r="O3384" s="1">
        <v>3200</v>
      </c>
      <c r="P3384" t="s">
        <v>30</v>
      </c>
      <c r="Q3384" s="2">
        <v>0.7</v>
      </c>
      <c r="R3384" s="1">
        <v>2240</v>
      </c>
      <c r="S3384" t="s">
        <v>29</v>
      </c>
      <c r="T3384" s="1">
        <v>2240</v>
      </c>
      <c r="V3384" t="str">
        <f>VLOOKUP(H3384,'[1]팀별 출판사'!A:B,2,0)</f>
        <v>소설1팀</v>
      </c>
      <c r="W3384" s="6">
        <f t="shared" si="104"/>
        <v>0</v>
      </c>
      <c r="X3384" s="6">
        <f t="shared" si="105"/>
        <v>2240</v>
      </c>
    </row>
    <row r="3385" spans="1:24" x14ac:dyDescent="0.3">
      <c r="A3385" t="s">
        <v>4838</v>
      </c>
      <c r="B3385" t="s">
        <v>4891</v>
      </c>
      <c r="C3385" t="s">
        <v>23</v>
      </c>
      <c r="D3385" t="s">
        <v>24</v>
      </c>
      <c r="E3385" t="s">
        <v>25</v>
      </c>
      <c r="F3385">
        <v>1</v>
      </c>
      <c r="G3385">
        <v>9791136905659</v>
      </c>
      <c r="H3385" t="s">
        <v>26</v>
      </c>
      <c r="I3385" t="s">
        <v>4892</v>
      </c>
      <c r="J3385" t="s">
        <v>311</v>
      </c>
      <c r="K3385" t="s">
        <v>29</v>
      </c>
      <c r="L3385" s="1">
        <v>3200</v>
      </c>
      <c r="M3385" t="s">
        <v>29</v>
      </c>
      <c r="N3385" s="1">
        <v>3200</v>
      </c>
      <c r="O3385" s="1">
        <v>3200</v>
      </c>
      <c r="P3385" t="s">
        <v>30</v>
      </c>
      <c r="Q3385" s="2">
        <v>0.7</v>
      </c>
      <c r="R3385" s="1">
        <v>2240</v>
      </c>
      <c r="S3385" t="s">
        <v>29</v>
      </c>
      <c r="T3385" s="1">
        <v>2240</v>
      </c>
      <c r="V3385" t="str">
        <f>VLOOKUP(H3385,'[1]팀별 출판사'!A:B,2,0)</f>
        <v>소설1팀</v>
      </c>
      <c r="W3385" s="6">
        <f t="shared" si="104"/>
        <v>0</v>
      </c>
      <c r="X3385" s="6">
        <f t="shared" si="105"/>
        <v>2240</v>
      </c>
    </row>
    <row r="3386" spans="1:24" x14ac:dyDescent="0.3">
      <c r="A3386" t="s">
        <v>4838</v>
      </c>
      <c r="B3386" t="s">
        <v>4893</v>
      </c>
      <c r="C3386" t="s">
        <v>23</v>
      </c>
      <c r="D3386" t="s">
        <v>24</v>
      </c>
      <c r="E3386" t="s">
        <v>25</v>
      </c>
      <c r="F3386">
        <v>1</v>
      </c>
      <c r="G3386">
        <v>9791136942777</v>
      </c>
      <c r="H3386" t="s">
        <v>1617</v>
      </c>
      <c r="I3386" t="s">
        <v>4894</v>
      </c>
      <c r="J3386" t="s">
        <v>4895</v>
      </c>
      <c r="K3386" t="s">
        <v>29</v>
      </c>
      <c r="L3386" s="1">
        <v>3800</v>
      </c>
      <c r="M3386" t="s">
        <v>29</v>
      </c>
      <c r="N3386" s="1">
        <v>3800</v>
      </c>
      <c r="O3386" s="1">
        <v>3800</v>
      </c>
      <c r="P3386" t="s">
        <v>30</v>
      </c>
      <c r="Q3386" s="2">
        <v>0.7</v>
      </c>
      <c r="R3386" s="1">
        <v>2660</v>
      </c>
      <c r="S3386" t="s">
        <v>29</v>
      </c>
      <c r="T3386" s="1">
        <v>2660</v>
      </c>
      <c r="V3386" t="str">
        <f>VLOOKUP(H3386,'[1]팀별 출판사'!A:B,2,0)</f>
        <v>소설2팀</v>
      </c>
      <c r="W3386" s="6">
        <f t="shared" si="104"/>
        <v>0</v>
      </c>
      <c r="X3386" s="6">
        <f t="shared" si="105"/>
        <v>2660</v>
      </c>
    </row>
    <row r="3387" spans="1:24" x14ac:dyDescent="0.3">
      <c r="A3387" t="s">
        <v>4838</v>
      </c>
      <c r="B3387" t="s">
        <v>4896</v>
      </c>
      <c r="C3387" t="s">
        <v>23</v>
      </c>
      <c r="D3387" t="s">
        <v>24</v>
      </c>
      <c r="E3387" t="s">
        <v>25</v>
      </c>
      <c r="F3387">
        <v>1</v>
      </c>
      <c r="G3387">
        <v>9791194664024</v>
      </c>
      <c r="H3387" t="s">
        <v>36</v>
      </c>
      <c r="I3387" t="s">
        <v>4897</v>
      </c>
      <c r="J3387" t="s">
        <v>4898</v>
      </c>
      <c r="K3387" t="s">
        <v>29</v>
      </c>
      <c r="L3387" s="1">
        <v>3500</v>
      </c>
      <c r="M3387" t="s">
        <v>252</v>
      </c>
      <c r="N3387">
        <v>80</v>
      </c>
      <c r="O3387">
        <v>76</v>
      </c>
      <c r="P3387" t="s">
        <v>253</v>
      </c>
      <c r="Q3387" s="2">
        <v>0.7</v>
      </c>
      <c r="R3387">
        <v>53.2</v>
      </c>
      <c r="S3387" t="s">
        <v>29</v>
      </c>
      <c r="T3387" s="1">
        <v>2435</v>
      </c>
      <c r="U3387">
        <v>45.924509999999998</v>
      </c>
      <c r="V3387" t="str">
        <f>VLOOKUP(H3387,'[1]팀별 출판사'!A:B,2,0)</f>
        <v>소설2팀</v>
      </c>
      <c r="W3387" s="6">
        <f t="shared" si="104"/>
        <v>0</v>
      </c>
      <c r="X3387" s="6">
        <f t="shared" si="105"/>
        <v>2435</v>
      </c>
    </row>
    <row r="3388" spans="1:24" x14ac:dyDescent="0.3">
      <c r="A3388" t="s">
        <v>4838</v>
      </c>
      <c r="B3388" t="s">
        <v>4899</v>
      </c>
      <c r="C3388" t="s">
        <v>23</v>
      </c>
      <c r="D3388" t="s">
        <v>24</v>
      </c>
      <c r="E3388" t="s">
        <v>25</v>
      </c>
      <c r="F3388">
        <v>1</v>
      </c>
      <c r="G3388">
        <v>9791170106715</v>
      </c>
      <c r="H3388" t="s">
        <v>67</v>
      </c>
      <c r="I3388" t="s">
        <v>68</v>
      </c>
      <c r="J3388" t="s">
        <v>69</v>
      </c>
      <c r="K3388" t="s">
        <v>29</v>
      </c>
      <c r="L3388">
        <v>0</v>
      </c>
      <c r="M3388" t="s">
        <v>193</v>
      </c>
      <c r="N3388">
        <v>0</v>
      </c>
      <c r="O3388">
        <v>0</v>
      </c>
      <c r="P3388" t="s">
        <v>194</v>
      </c>
      <c r="Q3388" s="2">
        <v>0.7</v>
      </c>
      <c r="R3388">
        <v>0</v>
      </c>
      <c r="V3388" t="str">
        <f>VLOOKUP(H3388,'[1]팀별 출판사'!A:B,2,0)</f>
        <v>소설1팀</v>
      </c>
      <c r="W3388" s="6">
        <f t="shared" si="104"/>
        <v>0</v>
      </c>
      <c r="X3388" s="6">
        <f t="shared" si="105"/>
        <v>0</v>
      </c>
    </row>
    <row r="3389" spans="1:24" x14ac:dyDescent="0.3">
      <c r="A3389" t="s">
        <v>4838</v>
      </c>
      <c r="B3389" t="s">
        <v>4900</v>
      </c>
      <c r="C3389" t="s">
        <v>23</v>
      </c>
      <c r="D3389" t="s">
        <v>24</v>
      </c>
      <c r="E3389" t="s">
        <v>25</v>
      </c>
      <c r="F3389">
        <v>1</v>
      </c>
      <c r="G3389">
        <v>9791133141913</v>
      </c>
      <c r="H3389" t="s">
        <v>32</v>
      </c>
      <c r="I3389" t="s">
        <v>510</v>
      </c>
      <c r="J3389" t="s">
        <v>511</v>
      </c>
      <c r="K3389" t="s">
        <v>29</v>
      </c>
      <c r="L3389">
        <v>0</v>
      </c>
      <c r="M3389" t="s">
        <v>29</v>
      </c>
      <c r="N3389">
        <v>0</v>
      </c>
      <c r="O3389">
        <v>0</v>
      </c>
      <c r="P3389" t="s">
        <v>30</v>
      </c>
      <c r="Q3389" s="2">
        <v>0.7</v>
      </c>
      <c r="R3389">
        <v>0</v>
      </c>
      <c r="V3389" t="str">
        <f>VLOOKUP(H3389,'[1]팀별 출판사'!A:B,2,0)</f>
        <v>소설1팀</v>
      </c>
      <c r="W3389" s="6">
        <f t="shared" si="104"/>
        <v>0</v>
      </c>
      <c r="X3389" s="6">
        <f t="shared" si="105"/>
        <v>0</v>
      </c>
    </row>
    <row r="3390" spans="1:24" x14ac:dyDescent="0.3">
      <c r="A3390" t="s">
        <v>4838</v>
      </c>
      <c r="B3390" t="s">
        <v>4901</v>
      </c>
      <c r="C3390" t="s">
        <v>23</v>
      </c>
      <c r="D3390" t="s">
        <v>24</v>
      </c>
      <c r="E3390" t="s">
        <v>25</v>
      </c>
      <c r="F3390">
        <v>1</v>
      </c>
      <c r="G3390">
        <v>9791175303010</v>
      </c>
      <c r="H3390" t="s">
        <v>36</v>
      </c>
      <c r="I3390" t="s">
        <v>4902</v>
      </c>
      <c r="J3390" t="s">
        <v>4903</v>
      </c>
      <c r="K3390" t="s">
        <v>29</v>
      </c>
      <c r="L3390" s="1">
        <v>3300</v>
      </c>
      <c r="M3390" t="s">
        <v>29</v>
      </c>
      <c r="N3390" s="1">
        <v>3300</v>
      </c>
      <c r="O3390" s="1">
        <v>3300</v>
      </c>
      <c r="P3390" t="s">
        <v>30</v>
      </c>
      <c r="Q3390" s="2">
        <v>0.7</v>
      </c>
      <c r="R3390" s="1">
        <v>2310</v>
      </c>
      <c r="S3390" t="s">
        <v>29</v>
      </c>
      <c r="T3390" s="1">
        <v>2310</v>
      </c>
      <c r="V3390" t="str">
        <f>VLOOKUP(H3390,'[1]팀별 출판사'!A:B,2,0)</f>
        <v>소설2팀</v>
      </c>
      <c r="W3390" s="6">
        <f t="shared" si="104"/>
        <v>0</v>
      </c>
      <c r="X3390" s="6">
        <f t="shared" si="105"/>
        <v>2310</v>
      </c>
    </row>
    <row r="3391" spans="1:24" x14ac:dyDescent="0.3">
      <c r="A3391" t="s">
        <v>4838</v>
      </c>
      <c r="B3391" t="s">
        <v>4904</v>
      </c>
      <c r="C3391" t="s">
        <v>23</v>
      </c>
      <c r="D3391" t="s">
        <v>24</v>
      </c>
      <c r="E3391" t="s">
        <v>25</v>
      </c>
      <c r="F3391">
        <v>1</v>
      </c>
      <c r="G3391">
        <v>9791136931375</v>
      </c>
      <c r="H3391" t="s">
        <v>32</v>
      </c>
      <c r="I3391" t="s">
        <v>189</v>
      </c>
      <c r="J3391" t="s">
        <v>46</v>
      </c>
      <c r="K3391" t="s">
        <v>29</v>
      </c>
      <c r="L3391">
        <v>0</v>
      </c>
      <c r="M3391" t="s">
        <v>47</v>
      </c>
      <c r="N3391">
        <v>0</v>
      </c>
      <c r="O3391">
        <v>0</v>
      </c>
      <c r="P3391" t="s">
        <v>48</v>
      </c>
      <c r="Q3391" s="2">
        <v>0.7</v>
      </c>
      <c r="R3391">
        <v>0</v>
      </c>
      <c r="V3391" t="str">
        <f>VLOOKUP(H3391,'[1]팀별 출판사'!A:B,2,0)</f>
        <v>소설1팀</v>
      </c>
      <c r="W3391" s="6">
        <f t="shared" si="104"/>
        <v>0</v>
      </c>
      <c r="X3391" s="6">
        <f t="shared" si="105"/>
        <v>0</v>
      </c>
    </row>
    <row r="3392" spans="1:24" x14ac:dyDescent="0.3">
      <c r="A3392" t="s">
        <v>4838</v>
      </c>
      <c r="B3392" t="s">
        <v>4905</v>
      </c>
      <c r="C3392" t="s">
        <v>23</v>
      </c>
      <c r="D3392" t="s">
        <v>24</v>
      </c>
      <c r="E3392" t="s">
        <v>25</v>
      </c>
      <c r="F3392">
        <v>1</v>
      </c>
      <c r="G3392" t="s">
        <v>4906</v>
      </c>
      <c r="H3392" t="s">
        <v>208</v>
      </c>
      <c r="I3392" t="s">
        <v>4907</v>
      </c>
      <c r="J3392" t="s">
        <v>210</v>
      </c>
      <c r="K3392" t="s">
        <v>29</v>
      </c>
      <c r="L3392" s="1">
        <v>2000</v>
      </c>
      <c r="M3392" t="s">
        <v>29</v>
      </c>
      <c r="N3392" s="1">
        <v>2000</v>
      </c>
      <c r="O3392" s="1">
        <v>2000</v>
      </c>
      <c r="P3392" t="s">
        <v>30</v>
      </c>
      <c r="Q3392" s="2">
        <v>0.7</v>
      </c>
      <c r="R3392" s="1">
        <v>1400</v>
      </c>
      <c r="S3392" t="s">
        <v>29</v>
      </c>
      <c r="T3392" s="1">
        <v>1400</v>
      </c>
      <c r="V3392" t="str">
        <f>VLOOKUP(H3392,'[1]팀별 출판사'!A:B,2,0)</f>
        <v>소설1팀</v>
      </c>
      <c r="W3392" s="6">
        <f t="shared" si="104"/>
        <v>0</v>
      </c>
      <c r="X3392" s="6">
        <f t="shared" si="105"/>
        <v>1400</v>
      </c>
    </row>
    <row r="3393" spans="1:24" x14ac:dyDescent="0.3">
      <c r="A3393" t="s">
        <v>4838</v>
      </c>
      <c r="B3393" t="s">
        <v>4908</v>
      </c>
      <c r="C3393" t="s">
        <v>23</v>
      </c>
      <c r="D3393" t="s">
        <v>24</v>
      </c>
      <c r="E3393" t="s">
        <v>25</v>
      </c>
      <c r="F3393">
        <v>1</v>
      </c>
      <c r="G3393">
        <v>9791136930811</v>
      </c>
      <c r="H3393" t="s">
        <v>32</v>
      </c>
      <c r="I3393" t="s">
        <v>1011</v>
      </c>
      <c r="J3393" t="s">
        <v>34</v>
      </c>
      <c r="K3393" t="s">
        <v>29</v>
      </c>
      <c r="L3393">
        <v>0</v>
      </c>
      <c r="M3393" t="s">
        <v>29</v>
      </c>
      <c r="N3393">
        <v>0</v>
      </c>
      <c r="O3393">
        <v>0</v>
      </c>
      <c r="P3393" t="s">
        <v>30</v>
      </c>
      <c r="Q3393" s="2">
        <v>0.7</v>
      </c>
      <c r="R3393">
        <v>0</v>
      </c>
      <c r="V3393" t="str">
        <f>VLOOKUP(H3393,'[1]팀별 출판사'!A:B,2,0)</f>
        <v>소설1팀</v>
      </c>
      <c r="W3393" s="6">
        <f t="shared" si="104"/>
        <v>0</v>
      </c>
      <c r="X3393" s="6">
        <f t="shared" si="105"/>
        <v>0</v>
      </c>
    </row>
    <row r="3394" spans="1:24" x14ac:dyDescent="0.3">
      <c r="A3394" t="s">
        <v>4838</v>
      </c>
      <c r="B3394" t="s">
        <v>4909</v>
      </c>
      <c r="C3394" t="s">
        <v>23</v>
      </c>
      <c r="D3394" t="s">
        <v>24</v>
      </c>
      <c r="E3394" t="s">
        <v>25</v>
      </c>
      <c r="F3394">
        <v>1</v>
      </c>
      <c r="G3394">
        <v>9791136930361</v>
      </c>
      <c r="H3394" t="s">
        <v>32</v>
      </c>
      <c r="I3394" t="s">
        <v>33</v>
      </c>
      <c r="J3394" t="s">
        <v>34</v>
      </c>
      <c r="K3394" t="s">
        <v>29</v>
      </c>
      <c r="L3394">
        <v>0</v>
      </c>
      <c r="M3394" t="s">
        <v>70</v>
      </c>
      <c r="N3394">
        <v>0</v>
      </c>
      <c r="O3394">
        <v>0</v>
      </c>
      <c r="P3394" t="s">
        <v>71</v>
      </c>
      <c r="Q3394" s="2">
        <v>0.7</v>
      </c>
      <c r="R3394">
        <v>0</v>
      </c>
      <c r="V3394" t="str">
        <f>VLOOKUP(H3394,'[1]팀별 출판사'!A:B,2,0)</f>
        <v>소설1팀</v>
      </c>
      <c r="W3394" s="6">
        <f t="shared" ref="W3394:W3457" si="106">IF(P3394="US", T3394*30%, 0)</f>
        <v>0</v>
      </c>
      <c r="X3394" s="6">
        <f t="shared" ref="X3394:X3457" si="107">T3394-W3394</f>
        <v>0</v>
      </c>
    </row>
    <row r="3395" spans="1:24" x14ac:dyDescent="0.3">
      <c r="A3395" t="s">
        <v>4838</v>
      </c>
      <c r="B3395" t="s">
        <v>4910</v>
      </c>
      <c r="C3395" t="s">
        <v>23</v>
      </c>
      <c r="D3395" t="s">
        <v>24</v>
      </c>
      <c r="E3395" t="s">
        <v>25</v>
      </c>
      <c r="F3395">
        <v>1</v>
      </c>
      <c r="G3395">
        <v>9791136942784</v>
      </c>
      <c r="H3395" t="s">
        <v>1617</v>
      </c>
      <c r="I3395" t="s">
        <v>4911</v>
      </c>
      <c r="J3395" t="s">
        <v>4895</v>
      </c>
      <c r="K3395" t="s">
        <v>29</v>
      </c>
      <c r="L3395" s="1">
        <v>3800</v>
      </c>
      <c r="M3395" t="s">
        <v>29</v>
      </c>
      <c r="N3395" s="1">
        <v>3800</v>
      </c>
      <c r="O3395" s="1">
        <v>3800</v>
      </c>
      <c r="P3395" t="s">
        <v>30</v>
      </c>
      <c r="Q3395" s="2">
        <v>0.7</v>
      </c>
      <c r="R3395" s="1">
        <v>2660</v>
      </c>
      <c r="S3395" t="s">
        <v>29</v>
      </c>
      <c r="T3395" s="1">
        <v>2660</v>
      </c>
      <c r="V3395" t="str">
        <f>VLOOKUP(H3395,'[1]팀별 출판사'!A:B,2,0)</f>
        <v>소설2팀</v>
      </c>
      <c r="W3395" s="6">
        <f t="shared" si="106"/>
        <v>0</v>
      </c>
      <c r="X3395" s="6">
        <f t="shared" si="107"/>
        <v>2660</v>
      </c>
    </row>
    <row r="3396" spans="1:24" x14ac:dyDescent="0.3">
      <c r="A3396" t="s">
        <v>4838</v>
      </c>
      <c r="B3396" t="s">
        <v>4912</v>
      </c>
      <c r="C3396" t="s">
        <v>23</v>
      </c>
      <c r="D3396" t="s">
        <v>24</v>
      </c>
      <c r="E3396" t="s">
        <v>25</v>
      </c>
      <c r="F3396">
        <v>1</v>
      </c>
      <c r="G3396">
        <v>9791136942777</v>
      </c>
      <c r="H3396" t="s">
        <v>1617</v>
      </c>
      <c r="I3396" t="s">
        <v>4894</v>
      </c>
      <c r="J3396" t="s">
        <v>4895</v>
      </c>
      <c r="K3396" t="s">
        <v>29</v>
      </c>
      <c r="L3396" s="1">
        <v>3800</v>
      </c>
      <c r="M3396" t="s">
        <v>29</v>
      </c>
      <c r="N3396" s="1">
        <v>3800</v>
      </c>
      <c r="O3396" s="1">
        <v>3800</v>
      </c>
      <c r="P3396" t="s">
        <v>30</v>
      </c>
      <c r="Q3396" s="2">
        <v>0.7</v>
      </c>
      <c r="R3396" s="1">
        <v>2660</v>
      </c>
      <c r="S3396" t="s">
        <v>29</v>
      </c>
      <c r="T3396" s="1">
        <v>2660</v>
      </c>
      <c r="V3396" t="str">
        <f>VLOOKUP(H3396,'[1]팀별 출판사'!A:B,2,0)</f>
        <v>소설2팀</v>
      </c>
      <c r="W3396" s="6">
        <f t="shared" si="106"/>
        <v>0</v>
      </c>
      <c r="X3396" s="6">
        <f t="shared" si="107"/>
        <v>2660</v>
      </c>
    </row>
    <row r="3397" spans="1:24" x14ac:dyDescent="0.3">
      <c r="A3397" t="s">
        <v>4838</v>
      </c>
      <c r="B3397" t="s">
        <v>4912</v>
      </c>
      <c r="C3397" t="s">
        <v>23</v>
      </c>
      <c r="D3397" t="s">
        <v>24</v>
      </c>
      <c r="E3397" t="s">
        <v>25</v>
      </c>
      <c r="F3397">
        <v>1</v>
      </c>
      <c r="G3397">
        <v>9791136942784</v>
      </c>
      <c r="H3397" t="s">
        <v>1617</v>
      </c>
      <c r="I3397" t="s">
        <v>4911</v>
      </c>
      <c r="J3397" t="s">
        <v>4895</v>
      </c>
      <c r="K3397" t="s">
        <v>29</v>
      </c>
      <c r="L3397" s="1">
        <v>3800</v>
      </c>
      <c r="M3397" t="s">
        <v>29</v>
      </c>
      <c r="N3397" s="1">
        <v>3800</v>
      </c>
      <c r="O3397" s="1">
        <v>3800</v>
      </c>
      <c r="P3397" t="s">
        <v>30</v>
      </c>
      <c r="Q3397" s="2">
        <v>0.7</v>
      </c>
      <c r="R3397" s="1">
        <v>2660</v>
      </c>
      <c r="S3397" t="s">
        <v>29</v>
      </c>
      <c r="T3397" s="1">
        <v>2660</v>
      </c>
      <c r="V3397" t="str">
        <f>VLOOKUP(H3397,'[1]팀별 출판사'!A:B,2,0)</f>
        <v>소설2팀</v>
      </c>
      <c r="W3397" s="6">
        <f t="shared" si="106"/>
        <v>0</v>
      </c>
      <c r="X3397" s="6">
        <f t="shared" si="107"/>
        <v>2660</v>
      </c>
    </row>
    <row r="3398" spans="1:24" x14ac:dyDescent="0.3">
      <c r="A3398" t="s">
        <v>4838</v>
      </c>
      <c r="B3398" t="s">
        <v>4913</v>
      </c>
      <c r="C3398" t="s">
        <v>23</v>
      </c>
      <c r="D3398" t="s">
        <v>24</v>
      </c>
      <c r="E3398" t="s">
        <v>25</v>
      </c>
      <c r="F3398">
        <v>1</v>
      </c>
      <c r="G3398">
        <v>9791173788949</v>
      </c>
      <c r="H3398" t="s">
        <v>26</v>
      </c>
      <c r="I3398" t="s">
        <v>4914</v>
      </c>
      <c r="J3398" t="s">
        <v>256</v>
      </c>
      <c r="K3398" t="s">
        <v>29</v>
      </c>
      <c r="L3398" s="1">
        <v>3200</v>
      </c>
      <c r="M3398" t="s">
        <v>29</v>
      </c>
      <c r="N3398" s="1">
        <v>3200</v>
      </c>
      <c r="O3398" s="1">
        <v>3200</v>
      </c>
      <c r="P3398" t="s">
        <v>30</v>
      </c>
      <c r="Q3398" s="2">
        <v>0.7</v>
      </c>
      <c r="R3398" s="1">
        <v>2240</v>
      </c>
      <c r="S3398" t="s">
        <v>29</v>
      </c>
      <c r="T3398" s="1">
        <v>2240</v>
      </c>
      <c r="V3398" t="str">
        <f>VLOOKUP(H3398,'[1]팀별 출판사'!A:B,2,0)</f>
        <v>소설1팀</v>
      </c>
      <c r="W3398" s="6">
        <f t="shared" si="106"/>
        <v>0</v>
      </c>
      <c r="X3398" s="6">
        <f t="shared" si="107"/>
        <v>2240</v>
      </c>
    </row>
    <row r="3399" spans="1:24" x14ac:dyDescent="0.3">
      <c r="A3399" t="s">
        <v>4838</v>
      </c>
      <c r="B3399" t="s">
        <v>4915</v>
      </c>
      <c r="C3399" t="s">
        <v>23</v>
      </c>
      <c r="D3399" t="s">
        <v>24</v>
      </c>
      <c r="E3399" t="s">
        <v>25</v>
      </c>
      <c r="F3399">
        <v>1</v>
      </c>
      <c r="G3399">
        <v>9791133184941</v>
      </c>
      <c r="H3399" t="s">
        <v>32</v>
      </c>
      <c r="I3399" t="s">
        <v>1088</v>
      </c>
      <c r="J3399" t="s">
        <v>166</v>
      </c>
      <c r="K3399" t="s">
        <v>29</v>
      </c>
      <c r="L3399">
        <v>0</v>
      </c>
      <c r="M3399" t="s">
        <v>29</v>
      </c>
      <c r="N3399">
        <v>0</v>
      </c>
      <c r="O3399">
        <v>0</v>
      </c>
      <c r="P3399" t="s">
        <v>30</v>
      </c>
      <c r="Q3399" s="2">
        <v>0.7</v>
      </c>
      <c r="R3399">
        <v>0</v>
      </c>
      <c r="V3399" t="str">
        <f>VLOOKUP(H3399,'[1]팀별 출판사'!A:B,2,0)</f>
        <v>소설1팀</v>
      </c>
      <c r="W3399" s="6">
        <f t="shared" si="106"/>
        <v>0</v>
      </c>
      <c r="X3399" s="6">
        <f t="shared" si="107"/>
        <v>0</v>
      </c>
    </row>
    <row r="3400" spans="1:24" x14ac:dyDescent="0.3">
      <c r="A3400" t="s">
        <v>4838</v>
      </c>
      <c r="B3400" t="s">
        <v>4916</v>
      </c>
      <c r="C3400" t="s">
        <v>23</v>
      </c>
      <c r="D3400" t="s">
        <v>24</v>
      </c>
      <c r="E3400" t="s">
        <v>25</v>
      </c>
      <c r="F3400">
        <v>1</v>
      </c>
      <c r="G3400">
        <v>9791136910509</v>
      </c>
      <c r="H3400" t="s">
        <v>26</v>
      </c>
      <c r="I3400" t="s">
        <v>4917</v>
      </c>
      <c r="J3400" t="s">
        <v>355</v>
      </c>
      <c r="K3400" t="s">
        <v>29</v>
      </c>
      <c r="L3400" s="1">
        <v>3200</v>
      </c>
      <c r="M3400" t="s">
        <v>29</v>
      </c>
      <c r="N3400" s="1">
        <v>3200</v>
      </c>
      <c r="O3400" s="1">
        <v>3200</v>
      </c>
      <c r="P3400" t="s">
        <v>30</v>
      </c>
      <c r="Q3400" s="2">
        <v>0.7</v>
      </c>
      <c r="R3400" s="1">
        <v>2240</v>
      </c>
      <c r="S3400" t="s">
        <v>29</v>
      </c>
      <c r="T3400" s="1">
        <v>2240</v>
      </c>
      <c r="V3400" t="str">
        <f>VLOOKUP(H3400,'[1]팀별 출판사'!A:B,2,0)</f>
        <v>소설1팀</v>
      </c>
      <c r="W3400" s="6">
        <f t="shared" si="106"/>
        <v>0</v>
      </c>
      <c r="X3400" s="6">
        <f t="shared" si="107"/>
        <v>2240</v>
      </c>
    </row>
    <row r="3401" spans="1:24" x14ac:dyDescent="0.3">
      <c r="A3401" t="s">
        <v>4838</v>
      </c>
      <c r="B3401" t="s">
        <v>4918</v>
      </c>
      <c r="C3401" t="s">
        <v>23</v>
      </c>
      <c r="D3401" t="s">
        <v>24</v>
      </c>
      <c r="E3401" t="s">
        <v>25</v>
      </c>
      <c r="F3401">
        <v>1</v>
      </c>
      <c r="G3401">
        <v>9791173786136</v>
      </c>
      <c r="H3401" t="s">
        <v>79</v>
      </c>
      <c r="I3401" t="s">
        <v>1476</v>
      </c>
      <c r="J3401" t="s">
        <v>81</v>
      </c>
      <c r="K3401" t="s">
        <v>29</v>
      </c>
      <c r="L3401">
        <v>0</v>
      </c>
      <c r="M3401" t="s">
        <v>362</v>
      </c>
      <c r="N3401">
        <v>0</v>
      </c>
      <c r="O3401">
        <v>0</v>
      </c>
      <c r="P3401" t="s">
        <v>363</v>
      </c>
      <c r="Q3401" s="2">
        <v>0.7</v>
      </c>
      <c r="R3401">
        <v>0</v>
      </c>
      <c r="V3401" t="str">
        <f>VLOOKUP(H3401,'[1]팀별 출판사'!A:B,2,0)</f>
        <v>소설1팀</v>
      </c>
      <c r="W3401" s="6">
        <f t="shared" si="106"/>
        <v>0</v>
      </c>
      <c r="X3401" s="6">
        <f t="shared" si="107"/>
        <v>0</v>
      </c>
    </row>
    <row r="3402" spans="1:24" x14ac:dyDescent="0.3">
      <c r="A3402" t="s">
        <v>4838</v>
      </c>
      <c r="B3402" t="s">
        <v>4919</v>
      </c>
      <c r="C3402" t="s">
        <v>23</v>
      </c>
      <c r="D3402" t="s">
        <v>24</v>
      </c>
      <c r="E3402" t="s">
        <v>25</v>
      </c>
      <c r="F3402">
        <v>1</v>
      </c>
      <c r="G3402">
        <v>9791136910981</v>
      </c>
      <c r="H3402" t="s">
        <v>32</v>
      </c>
      <c r="I3402" t="s">
        <v>752</v>
      </c>
      <c r="J3402" t="s">
        <v>160</v>
      </c>
      <c r="K3402" t="s">
        <v>29</v>
      </c>
      <c r="L3402">
        <v>0</v>
      </c>
      <c r="M3402" t="s">
        <v>29</v>
      </c>
      <c r="N3402">
        <v>0</v>
      </c>
      <c r="O3402">
        <v>0</v>
      </c>
      <c r="P3402" t="s">
        <v>30</v>
      </c>
      <c r="Q3402" s="2">
        <v>0.7</v>
      </c>
      <c r="R3402">
        <v>0</v>
      </c>
      <c r="V3402" t="str">
        <f>VLOOKUP(H3402,'[1]팀별 출판사'!A:B,2,0)</f>
        <v>소설1팀</v>
      </c>
      <c r="W3402" s="6">
        <f t="shared" si="106"/>
        <v>0</v>
      </c>
      <c r="X3402" s="6">
        <f t="shared" si="107"/>
        <v>0</v>
      </c>
    </row>
    <row r="3403" spans="1:24" x14ac:dyDescent="0.3">
      <c r="A3403" t="s">
        <v>4838</v>
      </c>
      <c r="B3403" t="s">
        <v>4920</v>
      </c>
      <c r="C3403" t="s">
        <v>23</v>
      </c>
      <c r="D3403" t="s">
        <v>24</v>
      </c>
      <c r="E3403" t="s">
        <v>25</v>
      </c>
      <c r="F3403">
        <v>1</v>
      </c>
      <c r="G3403">
        <v>9791175303027</v>
      </c>
      <c r="H3403" t="s">
        <v>36</v>
      </c>
      <c r="I3403" t="s">
        <v>4921</v>
      </c>
      <c r="J3403" t="s">
        <v>4903</v>
      </c>
      <c r="K3403" t="s">
        <v>29</v>
      </c>
      <c r="L3403" s="1">
        <v>3300</v>
      </c>
      <c r="M3403" t="s">
        <v>29</v>
      </c>
      <c r="N3403" s="1">
        <v>3300</v>
      </c>
      <c r="O3403" s="1">
        <v>3300</v>
      </c>
      <c r="P3403" t="s">
        <v>30</v>
      </c>
      <c r="Q3403" s="2">
        <v>0.7</v>
      </c>
      <c r="R3403" s="1">
        <v>2310</v>
      </c>
      <c r="S3403" t="s">
        <v>29</v>
      </c>
      <c r="T3403" s="1">
        <v>2310</v>
      </c>
      <c r="V3403" t="str">
        <f>VLOOKUP(H3403,'[1]팀별 출판사'!A:B,2,0)</f>
        <v>소설2팀</v>
      </c>
      <c r="W3403" s="6">
        <f t="shared" si="106"/>
        <v>0</v>
      </c>
      <c r="X3403" s="6">
        <f t="shared" si="107"/>
        <v>2310</v>
      </c>
    </row>
    <row r="3404" spans="1:24" x14ac:dyDescent="0.3">
      <c r="A3404" t="s">
        <v>4838</v>
      </c>
      <c r="B3404" t="s">
        <v>4922</v>
      </c>
      <c r="C3404" t="s">
        <v>23</v>
      </c>
      <c r="D3404" t="s">
        <v>24</v>
      </c>
      <c r="E3404" t="s">
        <v>25</v>
      </c>
      <c r="F3404">
        <v>1</v>
      </c>
      <c r="G3404">
        <v>9791175302594</v>
      </c>
      <c r="H3404" t="s">
        <v>26</v>
      </c>
      <c r="I3404" t="s">
        <v>101</v>
      </c>
      <c r="J3404" t="s">
        <v>102</v>
      </c>
      <c r="K3404" t="s">
        <v>29</v>
      </c>
      <c r="L3404">
        <v>0</v>
      </c>
      <c r="M3404" t="s">
        <v>29</v>
      </c>
      <c r="N3404">
        <v>0</v>
      </c>
      <c r="O3404">
        <v>0</v>
      </c>
      <c r="P3404" t="s">
        <v>30</v>
      </c>
      <c r="Q3404" s="2">
        <v>0.7</v>
      </c>
      <c r="R3404">
        <v>0</v>
      </c>
      <c r="V3404" t="str">
        <f>VLOOKUP(H3404,'[1]팀별 출판사'!A:B,2,0)</f>
        <v>소설1팀</v>
      </c>
      <c r="W3404" s="6">
        <f t="shared" si="106"/>
        <v>0</v>
      </c>
      <c r="X3404" s="6">
        <f t="shared" si="107"/>
        <v>0</v>
      </c>
    </row>
    <row r="3405" spans="1:24" x14ac:dyDescent="0.3">
      <c r="A3405" t="s">
        <v>4838</v>
      </c>
      <c r="B3405" t="s">
        <v>4923</v>
      </c>
      <c r="C3405" t="s">
        <v>23</v>
      </c>
      <c r="D3405" t="s">
        <v>24</v>
      </c>
      <c r="E3405" t="s">
        <v>25</v>
      </c>
      <c r="F3405">
        <v>1</v>
      </c>
      <c r="G3405">
        <v>9791172920081</v>
      </c>
      <c r="H3405" t="s">
        <v>26</v>
      </c>
      <c r="I3405" t="s">
        <v>4924</v>
      </c>
      <c r="J3405" t="s">
        <v>276</v>
      </c>
      <c r="K3405" t="s">
        <v>29</v>
      </c>
      <c r="L3405" s="1">
        <v>3200</v>
      </c>
      <c r="M3405" t="s">
        <v>29</v>
      </c>
      <c r="N3405" s="1">
        <v>3200</v>
      </c>
      <c r="O3405" s="1">
        <v>3200</v>
      </c>
      <c r="P3405" t="s">
        <v>30</v>
      </c>
      <c r="Q3405" s="2">
        <v>0.7</v>
      </c>
      <c r="R3405" s="1">
        <v>2240</v>
      </c>
      <c r="S3405" t="s">
        <v>29</v>
      </c>
      <c r="T3405" s="1">
        <v>2240</v>
      </c>
      <c r="V3405" t="str">
        <f>VLOOKUP(H3405,'[1]팀별 출판사'!A:B,2,0)</f>
        <v>소설1팀</v>
      </c>
      <c r="W3405" s="6">
        <f t="shared" si="106"/>
        <v>0</v>
      </c>
      <c r="X3405" s="6">
        <f t="shared" si="107"/>
        <v>2240</v>
      </c>
    </row>
    <row r="3406" spans="1:24" x14ac:dyDescent="0.3">
      <c r="A3406" t="s">
        <v>4838</v>
      </c>
      <c r="B3406" t="s">
        <v>4925</v>
      </c>
      <c r="C3406" t="s">
        <v>23</v>
      </c>
      <c r="D3406" t="s">
        <v>24</v>
      </c>
      <c r="E3406" t="s">
        <v>25</v>
      </c>
      <c r="F3406">
        <v>1</v>
      </c>
      <c r="G3406" t="s">
        <v>1163</v>
      </c>
      <c r="H3406" t="s">
        <v>32</v>
      </c>
      <c r="I3406" t="s">
        <v>1164</v>
      </c>
      <c r="J3406" t="s">
        <v>166</v>
      </c>
      <c r="K3406" t="s">
        <v>29</v>
      </c>
      <c r="L3406">
        <v>0</v>
      </c>
      <c r="M3406" t="s">
        <v>29</v>
      </c>
      <c r="N3406">
        <v>0</v>
      </c>
      <c r="O3406">
        <v>0</v>
      </c>
      <c r="P3406" t="s">
        <v>30</v>
      </c>
      <c r="Q3406" s="2">
        <v>0.7</v>
      </c>
      <c r="R3406">
        <v>0</v>
      </c>
      <c r="V3406" t="str">
        <f>VLOOKUP(H3406,'[1]팀별 출판사'!A:B,2,0)</f>
        <v>소설1팀</v>
      </c>
      <c r="W3406" s="6">
        <f t="shared" si="106"/>
        <v>0</v>
      </c>
      <c r="X3406" s="6">
        <f t="shared" si="107"/>
        <v>0</v>
      </c>
    </row>
    <row r="3407" spans="1:24" x14ac:dyDescent="0.3">
      <c r="A3407" t="s">
        <v>4838</v>
      </c>
      <c r="B3407" t="s">
        <v>4926</v>
      </c>
      <c r="C3407" t="s">
        <v>23</v>
      </c>
      <c r="D3407" t="s">
        <v>24</v>
      </c>
      <c r="E3407" t="s">
        <v>25</v>
      </c>
      <c r="F3407">
        <v>1</v>
      </c>
      <c r="G3407">
        <v>9791136942418</v>
      </c>
      <c r="H3407" t="s">
        <v>26</v>
      </c>
      <c r="I3407" t="s">
        <v>2055</v>
      </c>
      <c r="J3407" t="s">
        <v>284</v>
      </c>
      <c r="K3407" t="s">
        <v>29</v>
      </c>
      <c r="L3407">
        <v>0</v>
      </c>
      <c r="M3407" t="s">
        <v>29</v>
      </c>
      <c r="N3407">
        <v>0</v>
      </c>
      <c r="O3407">
        <v>0</v>
      </c>
      <c r="P3407" t="s">
        <v>30</v>
      </c>
      <c r="Q3407" s="2">
        <v>0.7</v>
      </c>
      <c r="R3407">
        <v>0</v>
      </c>
      <c r="V3407" t="str">
        <f>VLOOKUP(H3407,'[1]팀별 출판사'!A:B,2,0)</f>
        <v>소설1팀</v>
      </c>
      <c r="W3407" s="6">
        <f t="shared" si="106"/>
        <v>0</v>
      </c>
      <c r="X3407" s="6">
        <f t="shared" si="107"/>
        <v>0</v>
      </c>
    </row>
    <row r="3408" spans="1:24" x14ac:dyDescent="0.3">
      <c r="A3408" t="s">
        <v>4838</v>
      </c>
      <c r="B3408" t="s">
        <v>4927</v>
      </c>
      <c r="C3408" t="s">
        <v>23</v>
      </c>
      <c r="D3408" t="s">
        <v>24</v>
      </c>
      <c r="E3408" t="s">
        <v>25</v>
      </c>
      <c r="F3408">
        <v>1</v>
      </c>
      <c r="G3408">
        <v>9791136944702</v>
      </c>
      <c r="H3408" t="s">
        <v>26</v>
      </c>
      <c r="I3408" t="s">
        <v>913</v>
      </c>
      <c r="J3408" t="s">
        <v>284</v>
      </c>
      <c r="K3408" t="s">
        <v>29</v>
      </c>
      <c r="L3408">
        <v>0</v>
      </c>
      <c r="M3408" t="s">
        <v>29</v>
      </c>
      <c r="N3408">
        <v>0</v>
      </c>
      <c r="O3408">
        <v>0</v>
      </c>
      <c r="P3408" t="s">
        <v>30</v>
      </c>
      <c r="Q3408" s="2">
        <v>0.7</v>
      </c>
      <c r="R3408">
        <v>0</v>
      </c>
      <c r="V3408" t="str">
        <f>VLOOKUP(H3408,'[1]팀별 출판사'!A:B,2,0)</f>
        <v>소설1팀</v>
      </c>
      <c r="W3408" s="6">
        <f t="shared" si="106"/>
        <v>0</v>
      </c>
      <c r="X3408" s="6">
        <f t="shared" si="107"/>
        <v>0</v>
      </c>
    </row>
    <row r="3409" spans="1:24" x14ac:dyDescent="0.3">
      <c r="A3409" t="s">
        <v>4838</v>
      </c>
      <c r="B3409" t="s">
        <v>4928</v>
      </c>
      <c r="C3409" t="s">
        <v>23</v>
      </c>
      <c r="D3409" t="s">
        <v>24</v>
      </c>
      <c r="E3409" t="s">
        <v>25</v>
      </c>
      <c r="F3409">
        <v>1</v>
      </c>
      <c r="G3409">
        <v>9791170101307</v>
      </c>
      <c r="H3409" t="s">
        <v>67</v>
      </c>
      <c r="I3409" t="s">
        <v>413</v>
      </c>
      <c r="J3409" t="s">
        <v>414</v>
      </c>
      <c r="K3409" t="s">
        <v>29</v>
      </c>
      <c r="L3409">
        <v>0</v>
      </c>
      <c r="M3409" t="s">
        <v>29</v>
      </c>
      <c r="N3409">
        <v>0</v>
      </c>
      <c r="O3409">
        <v>0</v>
      </c>
      <c r="P3409" t="s">
        <v>30</v>
      </c>
      <c r="Q3409" s="2">
        <v>0.7</v>
      </c>
      <c r="R3409">
        <v>0</v>
      </c>
      <c r="V3409" t="str">
        <f>VLOOKUP(H3409,'[1]팀별 출판사'!A:B,2,0)</f>
        <v>소설1팀</v>
      </c>
      <c r="W3409" s="6">
        <f t="shared" si="106"/>
        <v>0</v>
      </c>
      <c r="X3409" s="6">
        <f t="shared" si="107"/>
        <v>0</v>
      </c>
    </row>
    <row r="3410" spans="1:24" x14ac:dyDescent="0.3">
      <c r="A3410" t="s">
        <v>4838</v>
      </c>
      <c r="B3410" t="s">
        <v>4929</v>
      </c>
      <c r="C3410" t="s">
        <v>23</v>
      </c>
      <c r="D3410" t="s">
        <v>24</v>
      </c>
      <c r="E3410" t="s">
        <v>25</v>
      </c>
      <c r="F3410">
        <v>1</v>
      </c>
      <c r="G3410">
        <v>9791136946799</v>
      </c>
      <c r="H3410" t="s">
        <v>26</v>
      </c>
      <c r="I3410" t="s">
        <v>2449</v>
      </c>
      <c r="J3410" t="s">
        <v>28</v>
      </c>
      <c r="K3410" t="s">
        <v>29</v>
      </c>
      <c r="L3410" s="1">
        <v>3200</v>
      </c>
      <c r="M3410" t="s">
        <v>29</v>
      </c>
      <c r="N3410" s="1">
        <v>3200</v>
      </c>
      <c r="O3410" s="1">
        <v>3200</v>
      </c>
      <c r="P3410" t="s">
        <v>30</v>
      </c>
      <c r="Q3410" s="2">
        <v>0.7</v>
      </c>
      <c r="R3410" s="1">
        <v>2240</v>
      </c>
      <c r="S3410" t="s">
        <v>29</v>
      </c>
      <c r="T3410" s="1">
        <v>2240</v>
      </c>
      <c r="V3410" t="str">
        <f>VLOOKUP(H3410,'[1]팀별 출판사'!A:B,2,0)</f>
        <v>소설1팀</v>
      </c>
      <c r="W3410" s="6">
        <f t="shared" si="106"/>
        <v>0</v>
      </c>
      <c r="X3410" s="6">
        <f t="shared" si="107"/>
        <v>2240</v>
      </c>
    </row>
    <row r="3411" spans="1:24" x14ac:dyDescent="0.3">
      <c r="A3411" t="s">
        <v>4838</v>
      </c>
      <c r="B3411" t="s">
        <v>4930</v>
      </c>
      <c r="C3411" t="s">
        <v>23</v>
      </c>
      <c r="D3411" t="s">
        <v>24</v>
      </c>
      <c r="E3411" t="s">
        <v>25</v>
      </c>
      <c r="F3411">
        <v>1</v>
      </c>
      <c r="G3411">
        <v>9791133185412</v>
      </c>
      <c r="H3411" t="s">
        <v>26</v>
      </c>
      <c r="I3411" t="s">
        <v>4931</v>
      </c>
      <c r="J3411" t="s">
        <v>588</v>
      </c>
      <c r="K3411" t="s">
        <v>29</v>
      </c>
      <c r="L3411" s="1">
        <v>3200</v>
      </c>
      <c r="M3411" t="s">
        <v>29</v>
      </c>
      <c r="N3411" s="1">
        <v>3200</v>
      </c>
      <c r="O3411" s="1">
        <v>3200</v>
      </c>
      <c r="P3411" t="s">
        <v>30</v>
      </c>
      <c r="Q3411" s="2">
        <v>0.7</v>
      </c>
      <c r="R3411" s="1">
        <v>2240</v>
      </c>
      <c r="S3411" t="s">
        <v>29</v>
      </c>
      <c r="T3411" s="1">
        <v>2240</v>
      </c>
      <c r="V3411" t="str">
        <f>VLOOKUP(H3411,'[1]팀별 출판사'!A:B,2,0)</f>
        <v>소설1팀</v>
      </c>
      <c r="W3411" s="6">
        <f t="shared" si="106"/>
        <v>0</v>
      </c>
      <c r="X3411" s="6">
        <f t="shared" si="107"/>
        <v>2240</v>
      </c>
    </row>
    <row r="3412" spans="1:24" x14ac:dyDescent="0.3">
      <c r="A3412" t="s">
        <v>4838</v>
      </c>
      <c r="B3412" t="s">
        <v>4932</v>
      </c>
      <c r="C3412" t="s">
        <v>23</v>
      </c>
      <c r="D3412" t="s">
        <v>24</v>
      </c>
      <c r="E3412" t="s">
        <v>25</v>
      </c>
      <c r="F3412">
        <v>1</v>
      </c>
      <c r="G3412">
        <v>9791170102991</v>
      </c>
      <c r="H3412" t="s">
        <v>67</v>
      </c>
      <c r="I3412" t="s">
        <v>4933</v>
      </c>
      <c r="J3412" t="s">
        <v>1200</v>
      </c>
      <c r="K3412" t="s">
        <v>29</v>
      </c>
      <c r="L3412" s="1">
        <v>2500</v>
      </c>
      <c r="M3412" t="s">
        <v>70</v>
      </c>
      <c r="N3412">
        <v>1.73</v>
      </c>
      <c r="O3412">
        <v>1.73</v>
      </c>
      <c r="P3412" t="s">
        <v>71</v>
      </c>
      <c r="Q3412" s="2">
        <v>0.7</v>
      </c>
      <c r="R3412">
        <v>1.21</v>
      </c>
      <c r="S3412" t="s">
        <v>29</v>
      </c>
      <c r="T3412" s="1">
        <v>1746</v>
      </c>
      <c r="U3412" s="3">
        <v>1443.65968</v>
      </c>
      <c r="V3412" t="str">
        <f>VLOOKUP(H3412,'[1]팀별 출판사'!A:B,2,0)</f>
        <v>소설1팀</v>
      </c>
      <c r="W3412" s="6">
        <f t="shared" si="106"/>
        <v>523.79999999999995</v>
      </c>
      <c r="X3412" s="6">
        <f t="shared" si="107"/>
        <v>1222.2</v>
      </c>
    </row>
    <row r="3413" spans="1:24" x14ac:dyDescent="0.3">
      <c r="A3413" t="s">
        <v>4838</v>
      </c>
      <c r="B3413" t="s">
        <v>4932</v>
      </c>
      <c r="C3413" t="s">
        <v>23</v>
      </c>
      <c r="D3413" t="s">
        <v>24</v>
      </c>
      <c r="E3413" t="s">
        <v>25</v>
      </c>
      <c r="F3413">
        <v>1</v>
      </c>
      <c r="G3413">
        <v>9791170103004</v>
      </c>
      <c r="H3413" t="s">
        <v>67</v>
      </c>
      <c r="I3413" t="s">
        <v>4934</v>
      </c>
      <c r="J3413" t="s">
        <v>1200</v>
      </c>
      <c r="K3413" t="s">
        <v>29</v>
      </c>
      <c r="L3413" s="1">
        <v>2500</v>
      </c>
      <c r="M3413" t="s">
        <v>70</v>
      </c>
      <c r="N3413">
        <v>1.73</v>
      </c>
      <c r="O3413">
        <v>1.73</v>
      </c>
      <c r="P3413" t="s">
        <v>71</v>
      </c>
      <c r="Q3413" s="2">
        <v>0.7</v>
      </c>
      <c r="R3413">
        <v>1.21</v>
      </c>
      <c r="S3413" t="s">
        <v>29</v>
      </c>
      <c r="T3413" s="1">
        <v>1746</v>
      </c>
      <c r="U3413" s="3">
        <v>1443.65968</v>
      </c>
      <c r="V3413" t="str">
        <f>VLOOKUP(H3413,'[1]팀별 출판사'!A:B,2,0)</f>
        <v>소설1팀</v>
      </c>
      <c r="W3413" s="6">
        <f t="shared" si="106"/>
        <v>523.79999999999995</v>
      </c>
      <c r="X3413" s="6">
        <f t="shared" si="107"/>
        <v>1222.2</v>
      </c>
    </row>
    <row r="3414" spans="1:24" x14ac:dyDescent="0.3">
      <c r="A3414" t="s">
        <v>4838</v>
      </c>
      <c r="B3414" t="s">
        <v>4935</v>
      </c>
      <c r="C3414" t="s">
        <v>23</v>
      </c>
      <c r="D3414" t="s">
        <v>24</v>
      </c>
      <c r="E3414" t="s">
        <v>25</v>
      </c>
      <c r="F3414">
        <v>1</v>
      </c>
      <c r="G3414">
        <v>9791136907349</v>
      </c>
      <c r="H3414" t="s">
        <v>26</v>
      </c>
      <c r="I3414" t="s">
        <v>4936</v>
      </c>
      <c r="J3414" t="s">
        <v>1348</v>
      </c>
      <c r="K3414" t="s">
        <v>29</v>
      </c>
      <c r="L3414" s="1">
        <v>3200</v>
      </c>
      <c r="M3414" t="s">
        <v>29</v>
      </c>
      <c r="N3414" s="1">
        <v>3200</v>
      </c>
      <c r="O3414" s="1">
        <v>3200</v>
      </c>
      <c r="P3414" t="s">
        <v>30</v>
      </c>
      <c r="Q3414" s="2">
        <v>0.7</v>
      </c>
      <c r="R3414" s="1">
        <v>2240</v>
      </c>
      <c r="S3414" t="s">
        <v>29</v>
      </c>
      <c r="T3414" s="1">
        <v>2240</v>
      </c>
      <c r="V3414" t="str">
        <f>VLOOKUP(H3414,'[1]팀별 출판사'!A:B,2,0)</f>
        <v>소설1팀</v>
      </c>
      <c r="W3414" s="6">
        <f t="shared" si="106"/>
        <v>0</v>
      </c>
      <c r="X3414" s="6">
        <f t="shared" si="107"/>
        <v>2240</v>
      </c>
    </row>
    <row r="3415" spans="1:24" x14ac:dyDescent="0.3">
      <c r="A3415" t="s">
        <v>4838</v>
      </c>
      <c r="B3415" t="s">
        <v>4937</v>
      </c>
      <c r="C3415" t="s">
        <v>23</v>
      </c>
      <c r="D3415" t="s">
        <v>24</v>
      </c>
      <c r="E3415" t="s">
        <v>25</v>
      </c>
      <c r="F3415">
        <v>1</v>
      </c>
      <c r="G3415">
        <v>9791133186501</v>
      </c>
      <c r="H3415" t="s">
        <v>26</v>
      </c>
      <c r="I3415" t="s">
        <v>64</v>
      </c>
      <c r="J3415" t="s">
        <v>65</v>
      </c>
      <c r="K3415" t="s">
        <v>29</v>
      </c>
      <c r="L3415">
        <v>0</v>
      </c>
      <c r="M3415" t="s">
        <v>29</v>
      </c>
      <c r="N3415">
        <v>0</v>
      </c>
      <c r="O3415">
        <v>0</v>
      </c>
      <c r="P3415" t="s">
        <v>30</v>
      </c>
      <c r="Q3415" s="2">
        <v>0.7</v>
      </c>
      <c r="R3415">
        <v>0</v>
      </c>
      <c r="V3415" t="str">
        <f>VLOOKUP(H3415,'[1]팀별 출판사'!A:B,2,0)</f>
        <v>소설1팀</v>
      </c>
      <c r="W3415" s="6">
        <f t="shared" si="106"/>
        <v>0</v>
      </c>
      <c r="X3415" s="6">
        <f t="shared" si="107"/>
        <v>0</v>
      </c>
    </row>
    <row r="3416" spans="1:24" x14ac:dyDescent="0.3">
      <c r="A3416" t="s">
        <v>4838</v>
      </c>
      <c r="B3416" t="s">
        <v>4938</v>
      </c>
      <c r="C3416" t="s">
        <v>23</v>
      </c>
      <c r="D3416" t="s">
        <v>24</v>
      </c>
      <c r="E3416" t="s">
        <v>25</v>
      </c>
      <c r="F3416">
        <v>1</v>
      </c>
      <c r="G3416">
        <v>9791172926991</v>
      </c>
      <c r="H3416" t="s">
        <v>26</v>
      </c>
      <c r="I3416" t="s">
        <v>330</v>
      </c>
      <c r="J3416" t="s">
        <v>28</v>
      </c>
      <c r="K3416" t="s">
        <v>29</v>
      </c>
      <c r="L3416">
        <v>0</v>
      </c>
      <c r="M3416" t="s">
        <v>29</v>
      </c>
      <c r="N3416">
        <v>0</v>
      </c>
      <c r="O3416">
        <v>0</v>
      </c>
      <c r="P3416" t="s">
        <v>30</v>
      </c>
      <c r="Q3416" s="2">
        <v>0.7</v>
      </c>
      <c r="R3416">
        <v>0</v>
      </c>
      <c r="V3416" t="str">
        <f>VLOOKUP(H3416,'[1]팀별 출판사'!A:B,2,0)</f>
        <v>소설1팀</v>
      </c>
      <c r="W3416" s="6">
        <f t="shared" si="106"/>
        <v>0</v>
      </c>
      <c r="X3416" s="6">
        <f t="shared" si="107"/>
        <v>0</v>
      </c>
    </row>
    <row r="3417" spans="1:24" x14ac:dyDescent="0.3">
      <c r="A3417" t="s">
        <v>4838</v>
      </c>
      <c r="B3417" t="s">
        <v>4939</v>
      </c>
      <c r="C3417" t="s">
        <v>23</v>
      </c>
      <c r="D3417" t="s">
        <v>24</v>
      </c>
      <c r="E3417" t="s">
        <v>25</v>
      </c>
      <c r="F3417">
        <v>1</v>
      </c>
      <c r="G3417">
        <v>9791133106424</v>
      </c>
      <c r="H3417" t="s">
        <v>32</v>
      </c>
      <c r="I3417" t="s">
        <v>1173</v>
      </c>
      <c r="J3417" t="s">
        <v>51</v>
      </c>
      <c r="K3417" t="s">
        <v>29</v>
      </c>
      <c r="L3417">
        <v>0</v>
      </c>
      <c r="M3417" t="s">
        <v>29</v>
      </c>
      <c r="N3417">
        <v>0</v>
      </c>
      <c r="O3417">
        <v>0</v>
      </c>
      <c r="P3417" t="s">
        <v>30</v>
      </c>
      <c r="Q3417" s="2">
        <v>0.7</v>
      </c>
      <c r="R3417">
        <v>0</v>
      </c>
      <c r="V3417" t="str">
        <f>VLOOKUP(H3417,'[1]팀별 출판사'!A:B,2,0)</f>
        <v>소설1팀</v>
      </c>
      <c r="W3417" s="6">
        <f t="shared" si="106"/>
        <v>0</v>
      </c>
      <c r="X3417" s="6">
        <f t="shared" si="107"/>
        <v>0</v>
      </c>
    </row>
    <row r="3418" spans="1:24" x14ac:dyDescent="0.3">
      <c r="A3418" t="s">
        <v>4838</v>
      </c>
      <c r="B3418" t="s">
        <v>4940</v>
      </c>
      <c r="C3418" t="s">
        <v>23</v>
      </c>
      <c r="D3418" t="s">
        <v>24</v>
      </c>
      <c r="E3418" t="s">
        <v>25</v>
      </c>
      <c r="F3418">
        <v>1</v>
      </c>
      <c r="G3418">
        <v>9791133130184</v>
      </c>
      <c r="H3418" t="s">
        <v>32</v>
      </c>
      <c r="I3418" t="s">
        <v>669</v>
      </c>
      <c r="J3418" t="s">
        <v>160</v>
      </c>
      <c r="K3418" t="s">
        <v>29</v>
      </c>
      <c r="L3418">
        <v>0</v>
      </c>
      <c r="M3418" t="s">
        <v>29</v>
      </c>
      <c r="N3418">
        <v>0</v>
      </c>
      <c r="O3418">
        <v>0</v>
      </c>
      <c r="P3418" t="s">
        <v>30</v>
      </c>
      <c r="Q3418" s="2">
        <v>0.7</v>
      </c>
      <c r="R3418">
        <v>0</v>
      </c>
      <c r="V3418" t="str">
        <f>VLOOKUP(H3418,'[1]팀별 출판사'!A:B,2,0)</f>
        <v>소설1팀</v>
      </c>
      <c r="W3418" s="6">
        <f t="shared" si="106"/>
        <v>0</v>
      </c>
      <c r="X3418" s="6">
        <f t="shared" si="107"/>
        <v>0</v>
      </c>
    </row>
    <row r="3419" spans="1:24" x14ac:dyDescent="0.3">
      <c r="A3419" t="s">
        <v>4838</v>
      </c>
      <c r="B3419" t="s">
        <v>4941</v>
      </c>
      <c r="C3419" t="s">
        <v>23</v>
      </c>
      <c r="D3419" t="s">
        <v>24</v>
      </c>
      <c r="E3419" t="s">
        <v>25</v>
      </c>
      <c r="F3419">
        <v>1</v>
      </c>
      <c r="G3419">
        <v>9791133143863</v>
      </c>
      <c r="H3419" t="s">
        <v>32</v>
      </c>
      <c r="I3419" t="s">
        <v>4081</v>
      </c>
      <c r="J3419" t="s">
        <v>88</v>
      </c>
      <c r="K3419" t="s">
        <v>29</v>
      </c>
      <c r="L3419" s="1">
        <v>3200</v>
      </c>
      <c r="M3419" t="s">
        <v>29</v>
      </c>
      <c r="N3419" s="1">
        <v>3200</v>
      </c>
      <c r="O3419" s="1">
        <v>3200</v>
      </c>
      <c r="P3419" t="s">
        <v>30</v>
      </c>
      <c r="Q3419" s="2">
        <v>0.7</v>
      </c>
      <c r="R3419" s="1">
        <v>2240</v>
      </c>
      <c r="S3419" t="s">
        <v>29</v>
      </c>
      <c r="T3419" s="1">
        <v>2240</v>
      </c>
      <c r="V3419" t="str">
        <f>VLOOKUP(H3419,'[1]팀별 출판사'!A:B,2,0)</f>
        <v>소설1팀</v>
      </c>
      <c r="W3419" s="6">
        <f t="shared" si="106"/>
        <v>0</v>
      </c>
      <c r="X3419" s="6">
        <f t="shared" si="107"/>
        <v>2240</v>
      </c>
    </row>
    <row r="3420" spans="1:24" x14ac:dyDescent="0.3">
      <c r="A3420" t="s">
        <v>4838</v>
      </c>
      <c r="B3420" t="s">
        <v>4942</v>
      </c>
      <c r="C3420" t="s">
        <v>23</v>
      </c>
      <c r="D3420" t="s">
        <v>24</v>
      </c>
      <c r="E3420" t="s">
        <v>25</v>
      </c>
      <c r="F3420">
        <v>1</v>
      </c>
      <c r="G3420">
        <v>9791172924928</v>
      </c>
      <c r="H3420" t="s">
        <v>26</v>
      </c>
      <c r="I3420" t="s">
        <v>4943</v>
      </c>
      <c r="J3420" t="s">
        <v>62</v>
      </c>
      <c r="K3420" t="s">
        <v>29</v>
      </c>
      <c r="L3420" s="1">
        <v>3200</v>
      </c>
      <c r="M3420" t="s">
        <v>29</v>
      </c>
      <c r="N3420" s="1">
        <v>3200</v>
      </c>
      <c r="O3420" s="1">
        <v>3200</v>
      </c>
      <c r="P3420" t="s">
        <v>30</v>
      </c>
      <c r="Q3420" s="2">
        <v>0.7</v>
      </c>
      <c r="R3420" s="1">
        <v>2240</v>
      </c>
      <c r="S3420" t="s">
        <v>29</v>
      </c>
      <c r="T3420" s="1">
        <v>2240</v>
      </c>
      <c r="V3420" t="str">
        <f>VLOOKUP(H3420,'[1]팀별 출판사'!A:B,2,0)</f>
        <v>소설1팀</v>
      </c>
      <c r="W3420" s="6">
        <f t="shared" si="106"/>
        <v>0</v>
      </c>
      <c r="X3420" s="6">
        <f t="shared" si="107"/>
        <v>2240</v>
      </c>
    </row>
    <row r="3421" spans="1:24" x14ac:dyDescent="0.3">
      <c r="A3421" t="s">
        <v>4838</v>
      </c>
      <c r="B3421" t="s">
        <v>4944</v>
      </c>
      <c r="C3421" t="s">
        <v>23</v>
      </c>
      <c r="D3421" t="s">
        <v>24</v>
      </c>
      <c r="E3421" t="s">
        <v>25</v>
      </c>
      <c r="F3421">
        <v>1</v>
      </c>
      <c r="G3421">
        <v>9791170101321</v>
      </c>
      <c r="H3421" t="s">
        <v>67</v>
      </c>
      <c r="I3421" t="s">
        <v>848</v>
      </c>
      <c r="J3421" t="s">
        <v>414</v>
      </c>
      <c r="K3421" t="s">
        <v>29</v>
      </c>
      <c r="L3421">
        <v>0</v>
      </c>
      <c r="M3421" t="s">
        <v>29</v>
      </c>
      <c r="N3421">
        <v>0</v>
      </c>
      <c r="O3421">
        <v>0</v>
      </c>
      <c r="P3421" t="s">
        <v>30</v>
      </c>
      <c r="Q3421" s="2">
        <v>0.7</v>
      </c>
      <c r="R3421">
        <v>0</v>
      </c>
      <c r="V3421" t="str">
        <f>VLOOKUP(H3421,'[1]팀별 출판사'!A:B,2,0)</f>
        <v>소설1팀</v>
      </c>
      <c r="W3421" s="6">
        <f t="shared" si="106"/>
        <v>0</v>
      </c>
      <c r="X3421" s="6">
        <f t="shared" si="107"/>
        <v>0</v>
      </c>
    </row>
    <row r="3422" spans="1:24" x14ac:dyDescent="0.3">
      <c r="A3422" t="s">
        <v>4838</v>
      </c>
      <c r="B3422" t="s">
        <v>4945</v>
      </c>
      <c r="C3422" t="s">
        <v>23</v>
      </c>
      <c r="D3422" t="s">
        <v>24</v>
      </c>
      <c r="E3422" t="s">
        <v>25</v>
      </c>
      <c r="F3422">
        <v>1</v>
      </c>
      <c r="G3422">
        <v>9791175303034</v>
      </c>
      <c r="H3422" t="s">
        <v>36</v>
      </c>
      <c r="I3422" t="s">
        <v>4946</v>
      </c>
      <c r="J3422" t="s">
        <v>4903</v>
      </c>
      <c r="K3422" t="s">
        <v>29</v>
      </c>
      <c r="L3422" s="1">
        <v>3300</v>
      </c>
      <c r="M3422" t="s">
        <v>29</v>
      </c>
      <c r="N3422" s="1">
        <v>3300</v>
      </c>
      <c r="O3422" s="1">
        <v>3300</v>
      </c>
      <c r="P3422" t="s">
        <v>30</v>
      </c>
      <c r="Q3422" s="2">
        <v>0.7</v>
      </c>
      <c r="R3422" s="1">
        <v>2310</v>
      </c>
      <c r="S3422" t="s">
        <v>29</v>
      </c>
      <c r="T3422" s="1">
        <v>2310</v>
      </c>
      <c r="V3422" t="str">
        <f>VLOOKUP(H3422,'[1]팀별 출판사'!A:B,2,0)</f>
        <v>소설2팀</v>
      </c>
      <c r="W3422" s="6">
        <f t="shared" si="106"/>
        <v>0</v>
      </c>
      <c r="X3422" s="6">
        <f t="shared" si="107"/>
        <v>2310</v>
      </c>
    </row>
    <row r="3423" spans="1:24" x14ac:dyDescent="0.3">
      <c r="A3423" t="s">
        <v>4838</v>
      </c>
      <c r="B3423" t="s">
        <v>4947</v>
      </c>
      <c r="C3423" t="s">
        <v>23</v>
      </c>
      <c r="D3423" t="s">
        <v>24</v>
      </c>
      <c r="E3423" t="s">
        <v>25</v>
      </c>
      <c r="F3423">
        <v>1</v>
      </c>
      <c r="G3423">
        <v>9791172921071</v>
      </c>
      <c r="H3423" t="s">
        <v>79</v>
      </c>
      <c r="I3423" t="s">
        <v>4948</v>
      </c>
      <c r="J3423" t="s">
        <v>46</v>
      </c>
      <c r="K3423" t="s">
        <v>29</v>
      </c>
      <c r="L3423" s="1">
        <v>3200</v>
      </c>
      <c r="M3423" t="s">
        <v>29</v>
      </c>
      <c r="N3423" s="1">
        <v>3200</v>
      </c>
      <c r="O3423" s="1">
        <v>3200</v>
      </c>
      <c r="P3423" t="s">
        <v>30</v>
      </c>
      <c r="Q3423" s="2">
        <v>0.7</v>
      </c>
      <c r="R3423" s="1">
        <v>2240</v>
      </c>
      <c r="S3423" t="s">
        <v>29</v>
      </c>
      <c r="T3423" s="1">
        <v>2240</v>
      </c>
      <c r="V3423" t="str">
        <f>VLOOKUP(H3423,'[1]팀별 출판사'!A:B,2,0)</f>
        <v>소설1팀</v>
      </c>
      <c r="W3423" s="6">
        <f t="shared" si="106"/>
        <v>0</v>
      </c>
      <c r="X3423" s="6">
        <f t="shared" si="107"/>
        <v>2240</v>
      </c>
    </row>
    <row r="3424" spans="1:24" x14ac:dyDescent="0.3">
      <c r="A3424" t="s">
        <v>4838</v>
      </c>
      <c r="B3424" t="s">
        <v>4949</v>
      </c>
      <c r="C3424" t="s">
        <v>23</v>
      </c>
      <c r="D3424" t="s">
        <v>24</v>
      </c>
      <c r="E3424" t="s">
        <v>25</v>
      </c>
      <c r="F3424">
        <v>1</v>
      </c>
      <c r="G3424" t="s">
        <v>2689</v>
      </c>
      <c r="H3424" t="s">
        <v>32</v>
      </c>
      <c r="I3424" t="s">
        <v>2690</v>
      </c>
      <c r="J3424" t="s">
        <v>311</v>
      </c>
      <c r="K3424" t="s">
        <v>29</v>
      </c>
      <c r="L3424">
        <v>0</v>
      </c>
      <c r="M3424" t="s">
        <v>29</v>
      </c>
      <c r="N3424">
        <v>0</v>
      </c>
      <c r="O3424">
        <v>0</v>
      </c>
      <c r="P3424" t="s">
        <v>30</v>
      </c>
      <c r="Q3424" s="2">
        <v>0.7</v>
      </c>
      <c r="R3424">
        <v>0</v>
      </c>
      <c r="V3424" t="str">
        <f>VLOOKUP(H3424,'[1]팀별 출판사'!A:B,2,0)</f>
        <v>소설1팀</v>
      </c>
      <c r="W3424" s="6">
        <f t="shared" si="106"/>
        <v>0</v>
      </c>
      <c r="X3424" s="6">
        <f t="shared" si="107"/>
        <v>0</v>
      </c>
    </row>
    <row r="3425" spans="1:24" x14ac:dyDescent="0.3">
      <c r="A3425" t="s">
        <v>4838</v>
      </c>
      <c r="B3425" t="s">
        <v>4950</v>
      </c>
      <c r="C3425" t="s">
        <v>23</v>
      </c>
      <c r="D3425" t="s">
        <v>24</v>
      </c>
      <c r="E3425" t="s">
        <v>25</v>
      </c>
      <c r="F3425">
        <v>1</v>
      </c>
      <c r="G3425">
        <v>9791136955203</v>
      </c>
      <c r="H3425" t="s">
        <v>36</v>
      </c>
      <c r="I3425" t="s">
        <v>4951</v>
      </c>
      <c r="J3425" t="s">
        <v>4952</v>
      </c>
      <c r="K3425" t="s">
        <v>29</v>
      </c>
      <c r="L3425" s="1">
        <v>3000</v>
      </c>
      <c r="M3425" t="s">
        <v>29</v>
      </c>
      <c r="N3425" s="1">
        <v>3000</v>
      </c>
      <c r="O3425" s="1">
        <v>3000</v>
      </c>
      <c r="P3425" t="s">
        <v>30</v>
      </c>
      <c r="Q3425" s="2">
        <v>0.7</v>
      </c>
      <c r="R3425" s="1">
        <v>2100</v>
      </c>
      <c r="S3425" t="s">
        <v>29</v>
      </c>
      <c r="T3425" s="1">
        <v>2100</v>
      </c>
      <c r="V3425" t="str">
        <f>VLOOKUP(H3425,'[1]팀별 출판사'!A:B,2,0)</f>
        <v>소설2팀</v>
      </c>
      <c r="W3425" s="6">
        <f t="shared" si="106"/>
        <v>0</v>
      </c>
      <c r="X3425" s="6">
        <f t="shared" si="107"/>
        <v>2100</v>
      </c>
    </row>
    <row r="3426" spans="1:24" x14ac:dyDescent="0.3">
      <c r="A3426" t="s">
        <v>4838</v>
      </c>
      <c r="B3426" t="s">
        <v>4953</v>
      </c>
      <c r="C3426" t="s">
        <v>23</v>
      </c>
      <c r="D3426" t="s">
        <v>24</v>
      </c>
      <c r="E3426" t="s">
        <v>25</v>
      </c>
      <c r="F3426">
        <v>1</v>
      </c>
      <c r="G3426">
        <v>9791136990600</v>
      </c>
      <c r="H3426" t="s">
        <v>26</v>
      </c>
      <c r="I3426" t="s">
        <v>1034</v>
      </c>
      <c r="J3426" t="s">
        <v>459</v>
      </c>
      <c r="K3426" t="s">
        <v>29</v>
      </c>
      <c r="L3426">
        <v>0</v>
      </c>
      <c r="M3426" t="s">
        <v>29</v>
      </c>
      <c r="N3426">
        <v>0</v>
      </c>
      <c r="O3426">
        <v>0</v>
      </c>
      <c r="P3426" t="s">
        <v>30</v>
      </c>
      <c r="Q3426" s="2">
        <v>0.7</v>
      </c>
      <c r="R3426">
        <v>0</v>
      </c>
      <c r="V3426" t="str">
        <f>VLOOKUP(H3426,'[1]팀별 출판사'!A:B,2,0)</f>
        <v>소설1팀</v>
      </c>
      <c r="W3426" s="6">
        <f t="shared" si="106"/>
        <v>0</v>
      </c>
      <c r="X3426" s="6">
        <f t="shared" si="107"/>
        <v>0</v>
      </c>
    </row>
    <row r="3427" spans="1:24" x14ac:dyDescent="0.3">
      <c r="A3427" t="s">
        <v>4838</v>
      </c>
      <c r="B3427" t="s">
        <v>4954</v>
      </c>
      <c r="C3427" t="s">
        <v>23</v>
      </c>
      <c r="D3427" t="s">
        <v>24</v>
      </c>
      <c r="E3427" t="s">
        <v>25</v>
      </c>
      <c r="F3427">
        <v>1</v>
      </c>
      <c r="G3427">
        <v>9791170106715</v>
      </c>
      <c r="H3427" t="s">
        <v>67</v>
      </c>
      <c r="I3427" t="s">
        <v>68</v>
      </c>
      <c r="J3427" t="s">
        <v>69</v>
      </c>
      <c r="K3427" t="s">
        <v>29</v>
      </c>
      <c r="L3427">
        <v>0</v>
      </c>
      <c r="M3427" t="s">
        <v>193</v>
      </c>
      <c r="N3427">
        <v>0</v>
      </c>
      <c r="O3427">
        <v>0</v>
      </c>
      <c r="P3427" t="s">
        <v>194</v>
      </c>
      <c r="Q3427" s="2">
        <v>0.7</v>
      </c>
      <c r="R3427">
        <v>0</v>
      </c>
      <c r="V3427" t="str">
        <f>VLOOKUP(H3427,'[1]팀별 출판사'!A:B,2,0)</f>
        <v>소설1팀</v>
      </c>
      <c r="W3427" s="6">
        <f t="shared" si="106"/>
        <v>0</v>
      </c>
      <c r="X3427" s="6">
        <f t="shared" si="107"/>
        <v>0</v>
      </c>
    </row>
    <row r="3428" spans="1:24" x14ac:dyDescent="0.3">
      <c r="A3428" t="s">
        <v>4838</v>
      </c>
      <c r="B3428" t="s">
        <v>4955</v>
      </c>
      <c r="C3428" t="s">
        <v>23</v>
      </c>
      <c r="D3428" t="s">
        <v>24</v>
      </c>
      <c r="E3428" t="s">
        <v>25</v>
      </c>
      <c r="F3428">
        <v>1</v>
      </c>
      <c r="G3428">
        <v>9791173788864</v>
      </c>
      <c r="H3428" t="s">
        <v>26</v>
      </c>
      <c r="I3428" t="s">
        <v>1930</v>
      </c>
      <c r="J3428" t="s">
        <v>256</v>
      </c>
      <c r="K3428" t="s">
        <v>29</v>
      </c>
      <c r="L3428">
        <v>0</v>
      </c>
      <c r="M3428" t="s">
        <v>29</v>
      </c>
      <c r="N3428">
        <v>0</v>
      </c>
      <c r="O3428">
        <v>0</v>
      </c>
      <c r="P3428" t="s">
        <v>30</v>
      </c>
      <c r="Q3428" s="2">
        <v>0.7</v>
      </c>
      <c r="R3428">
        <v>0</v>
      </c>
      <c r="V3428" t="str">
        <f>VLOOKUP(H3428,'[1]팀별 출판사'!A:B,2,0)</f>
        <v>소설1팀</v>
      </c>
      <c r="W3428" s="6">
        <f t="shared" si="106"/>
        <v>0</v>
      </c>
      <c r="X3428" s="6">
        <f t="shared" si="107"/>
        <v>0</v>
      </c>
    </row>
    <row r="3429" spans="1:24" x14ac:dyDescent="0.3">
      <c r="A3429" t="s">
        <v>4838</v>
      </c>
      <c r="B3429" t="s">
        <v>4956</v>
      </c>
      <c r="C3429" t="s">
        <v>23</v>
      </c>
      <c r="D3429" t="s">
        <v>24</v>
      </c>
      <c r="E3429" t="s">
        <v>25</v>
      </c>
      <c r="F3429">
        <v>1</v>
      </c>
      <c r="G3429">
        <v>9791136930224</v>
      </c>
      <c r="H3429" t="s">
        <v>32</v>
      </c>
      <c r="I3429" t="s">
        <v>172</v>
      </c>
      <c r="J3429" t="s">
        <v>46</v>
      </c>
      <c r="K3429" t="s">
        <v>29</v>
      </c>
      <c r="L3429">
        <v>0</v>
      </c>
      <c r="M3429" t="s">
        <v>29</v>
      </c>
      <c r="N3429">
        <v>0</v>
      </c>
      <c r="O3429">
        <v>0</v>
      </c>
      <c r="P3429" t="s">
        <v>30</v>
      </c>
      <c r="Q3429" s="2">
        <v>0.7</v>
      </c>
      <c r="R3429">
        <v>0</v>
      </c>
      <c r="V3429" t="str">
        <f>VLOOKUP(H3429,'[1]팀별 출판사'!A:B,2,0)</f>
        <v>소설1팀</v>
      </c>
      <c r="W3429" s="6">
        <f t="shared" si="106"/>
        <v>0</v>
      </c>
      <c r="X3429" s="6">
        <f t="shared" si="107"/>
        <v>0</v>
      </c>
    </row>
    <row r="3430" spans="1:24" x14ac:dyDescent="0.3">
      <c r="A3430" t="s">
        <v>4838</v>
      </c>
      <c r="B3430" t="s">
        <v>4957</v>
      </c>
      <c r="C3430" t="s">
        <v>23</v>
      </c>
      <c r="D3430" t="s">
        <v>24</v>
      </c>
      <c r="E3430" t="s">
        <v>25</v>
      </c>
      <c r="F3430">
        <v>1</v>
      </c>
      <c r="G3430">
        <v>9791170100164</v>
      </c>
      <c r="H3430" t="s">
        <v>67</v>
      </c>
      <c r="I3430" t="s">
        <v>106</v>
      </c>
      <c r="J3430" t="s">
        <v>107</v>
      </c>
      <c r="K3430" t="s">
        <v>29</v>
      </c>
      <c r="L3430">
        <v>0</v>
      </c>
      <c r="M3430" t="s">
        <v>29</v>
      </c>
      <c r="N3430">
        <v>0</v>
      </c>
      <c r="O3430">
        <v>0</v>
      </c>
      <c r="P3430" t="s">
        <v>30</v>
      </c>
      <c r="Q3430" s="2">
        <v>0.7</v>
      </c>
      <c r="R3430">
        <v>0</v>
      </c>
      <c r="V3430" t="str">
        <f>VLOOKUP(H3430,'[1]팀별 출판사'!A:B,2,0)</f>
        <v>소설1팀</v>
      </c>
      <c r="W3430" s="6">
        <f t="shared" si="106"/>
        <v>0</v>
      </c>
      <c r="X3430" s="6">
        <f t="shared" si="107"/>
        <v>0</v>
      </c>
    </row>
    <row r="3431" spans="1:24" x14ac:dyDescent="0.3">
      <c r="A3431" t="s">
        <v>4838</v>
      </c>
      <c r="B3431" t="s">
        <v>4958</v>
      </c>
      <c r="C3431" t="s">
        <v>23</v>
      </c>
      <c r="D3431" t="s">
        <v>24</v>
      </c>
      <c r="E3431" t="s">
        <v>25</v>
      </c>
      <c r="F3431">
        <v>1</v>
      </c>
      <c r="G3431">
        <v>9791175301955</v>
      </c>
      <c r="H3431" t="s">
        <v>26</v>
      </c>
      <c r="I3431" t="s">
        <v>591</v>
      </c>
      <c r="J3431" t="s">
        <v>256</v>
      </c>
      <c r="K3431" t="s">
        <v>29</v>
      </c>
      <c r="L3431">
        <v>0</v>
      </c>
      <c r="M3431" t="s">
        <v>29</v>
      </c>
      <c r="N3431">
        <v>0</v>
      </c>
      <c r="O3431">
        <v>0</v>
      </c>
      <c r="P3431" t="s">
        <v>30</v>
      </c>
      <c r="Q3431" s="2">
        <v>0.7</v>
      </c>
      <c r="R3431">
        <v>0</v>
      </c>
      <c r="V3431" t="str">
        <f>VLOOKUP(H3431,'[1]팀별 출판사'!A:B,2,0)</f>
        <v>소설1팀</v>
      </c>
      <c r="W3431" s="6">
        <f t="shared" si="106"/>
        <v>0</v>
      </c>
      <c r="X3431" s="6">
        <f t="shared" si="107"/>
        <v>0</v>
      </c>
    </row>
    <row r="3432" spans="1:24" x14ac:dyDescent="0.3">
      <c r="A3432" t="s">
        <v>4838</v>
      </c>
      <c r="B3432" t="s">
        <v>4959</v>
      </c>
      <c r="C3432" t="s">
        <v>23</v>
      </c>
      <c r="D3432" t="s">
        <v>24</v>
      </c>
      <c r="E3432" t="s">
        <v>25</v>
      </c>
      <c r="F3432">
        <v>1</v>
      </c>
      <c r="G3432">
        <v>9791170101864</v>
      </c>
      <c r="H3432" t="s">
        <v>67</v>
      </c>
      <c r="I3432" t="s">
        <v>1985</v>
      </c>
      <c r="J3432" t="s">
        <v>402</v>
      </c>
      <c r="K3432" t="s">
        <v>29</v>
      </c>
      <c r="L3432">
        <v>0</v>
      </c>
      <c r="M3432" t="s">
        <v>29</v>
      </c>
      <c r="N3432">
        <v>0</v>
      </c>
      <c r="O3432">
        <v>0</v>
      </c>
      <c r="P3432" t="s">
        <v>30</v>
      </c>
      <c r="Q3432" s="2">
        <v>0.7</v>
      </c>
      <c r="R3432">
        <v>0</v>
      </c>
      <c r="V3432" t="str">
        <f>VLOOKUP(H3432,'[1]팀별 출판사'!A:B,2,0)</f>
        <v>소설1팀</v>
      </c>
      <c r="W3432" s="6">
        <f t="shared" si="106"/>
        <v>0</v>
      </c>
      <c r="X3432" s="6">
        <f t="shared" si="107"/>
        <v>0</v>
      </c>
    </row>
    <row r="3433" spans="1:24" x14ac:dyDescent="0.3">
      <c r="A3433" t="s">
        <v>4838</v>
      </c>
      <c r="B3433" t="s">
        <v>4960</v>
      </c>
      <c r="C3433" t="s">
        <v>4961</v>
      </c>
      <c r="D3433" t="s">
        <v>24</v>
      </c>
      <c r="E3433" t="s">
        <v>25</v>
      </c>
      <c r="F3433">
        <v>1</v>
      </c>
      <c r="G3433">
        <v>9791170101345</v>
      </c>
      <c r="H3433" t="s">
        <v>67</v>
      </c>
      <c r="I3433" t="s">
        <v>4962</v>
      </c>
      <c r="J3433" t="s">
        <v>414</v>
      </c>
      <c r="K3433" t="s">
        <v>29</v>
      </c>
      <c r="L3433">
        <v>900</v>
      </c>
      <c r="M3433" t="s">
        <v>29</v>
      </c>
      <c r="N3433">
        <v>900</v>
      </c>
      <c r="O3433">
        <v>900</v>
      </c>
      <c r="P3433" t="s">
        <v>30</v>
      </c>
      <c r="Q3433" s="2">
        <v>0.7</v>
      </c>
      <c r="R3433">
        <v>630</v>
      </c>
      <c r="S3433" t="s">
        <v>29</v>
      </c>
      <c r="T3433">
        <v>630</v>
      </c>
      <c r="V3433" t="str">
        <f>VLOOKUP(H3433,'[1]팀별 출판사'!A:B,2,0)</f>
        <v>소설1팀</v>
      </c>
      <c r="W3433" s="6">
        <f t="shared" si="106"/>
        <v>0</v>
      </c>
      <c r="X3433" s="6">
        <f t="shared" si="107"/>
        <v>630</v>
      </c>
    </row>
    <row r="3434" spans="1:24" x14ac:dyDescent="0.3">
      <c r="A3434" t="s">
        <v>4838</v>
      </c>
      <c r="B3434" t="s">
        <v>4963</v>
      </c>
      <c r="C3434" t="s">
        <v>23</v>
      </c>
      <c r="D3434" t="s">
        <v>24</v>
      </c>
      <c r="E3434" t="s">
        <v>25</v>
      </c>
      <c r="F3434">
        <v>1</v>
      </c>
      <c r="G3434">
        <v>9791133105908</v>
      </c>
      <c r="H3434" t="s">
        <v>32</v>
      </c>
      <c r="I3434" t="s">
        <v>662</v>
      </c>
      <c r="J3434" t="s">
        <v>663</v>
      </c>
      <c r="K3434" t="s">
        <v>29</v>
      </c>
      <c r="L3434">
        <v>0</v>
      </c>
      <c r="M3434" t="s">
        <v>127</v>
      </c>
      <c r="N3434">
        <v>0</v>
      </c>
      <c r="O3434">
        <v>0</v>
      </c>
      <c r="P3434" t="s">
        <v>128</v>
      </c>
      <c r="Q3434" s="2">
        <v>0.7</v>
      </c>
      <c r="R3434">
        <v>0</v>
      </c>
      <c r="V3434" t="str">
        <f>VLOOKUP(H3434,'[1]팀별 출판사'!A:B,2,0)</f>
        <v>소설1팀</v>
      </c>
      <c r="W3434" s="6">
        <f t="shared" si="106"/>
        <v>0</v>
      </c>
      <c r="X3434" s="6">
        <f t="shared" si="107"/>
        <v>0</v>
      </c>
    </row>
    <row r="3435" spans="1:24" x14ac:dyDescent="0.3">
      <c r="A3435" t="s">
        <v>4838</v>
      </c>
      <c r="B3435" t="s">
        <v>4964</v>
      </c>
      <c r="C3435" t="s">
        <v>23</v>
      </c>
      <c r="D3435" t="s">
        <v>24</v>
      </c>
      <c r="E3435" t="s">
        <v>25</v>
      </c>
      <c r="F3435">
        <v>1</v>
      </c>
      <c r="G3435" t="s">
        <v>4965</v>
      </c>
      <c r="H3435" t="s">
        <v>32</v>
      </c>
      <c r="I3435" t="s">
        <v>4966</v>
      </c>
      <c r="J3435" t="s">
        <v>166</v>
      </c>
      <c r="K3435" t="s">
        <v>29</v>
      </c>
      <c r="L3435" s="1">
        <v>3500</v>
      </c>
      <c r="M3435" t="s">
        <v>70</v>
      </c>
      <c r="N3435">
        <v>2.42</v>
      </c>
      <c r="O3435">
        <v>2.42</v>
      </c>
      <c r="P3435" t="s">
        <v>71</v>
      </c>
      <c r="Q3435" s="2">
        <v>0.7</v>
      </c>
      <c r="R3435">
        <v>1.69</v>
      </c>
      <c r="S3435" t="s">
        <v>29</v>
      </c>
      <c r="T3435" s="1">
        <v>2440</v>
      </c>
      <c r="U3435" s="3">
        <v>1443.65968</v>
      </c>
      <c r="V3435" t="str">
        <f>VLOOKUP(H3435,'[1]팀별 출판사'!A:B,2,0)</f>
        <v>소설1팀</v>
      </c>
      <c r="W3435" s="6">
        <f t="shared" si="106"/>
        <v>732</v>
      </c>
      <c r="X3435" s="6">
        <f t="shared" si="107"/>
        <v>1708</v>
      </c>
    </row>
    <row r="3436" spans="1:24" x14ac:dyDescent="0.3">
      <c r="A3436" t="s">
        <v>4838</v>
      </c>
      <c r="B3436" t="s">
        <v>4964</v>
      </c>
      <c r="C3436" t="s">
        <v>23</v>
      </c>
      <c r="D3436" t="s">
        <v>24</v>
      </c>
      <c r="E3436" t="s">
        <v>25</v>
      </c>
      <c r="F3436">
        <v>1</v>
      </c>
      <c r="G3436" t="s">
        <v>4967</v>
      </c>
      <c r="H3436" t="s">
        <v>32</v>
      </c>
      <c r="I3436" t="s">
        <v>4968</v>
      </c>
      <c r="J3436" t="s">
        <v>166</v>
      </c>
      <c r="K3436" t="s">
        <v>29</v>
      </c>
      <c r="L3436" s="1">
        <v>3500</v>
      </c>
      <c r="M3436" t="s">
        <v>70</v>
      </c>
      <c r="N3436">
        <v>2.42</v>
      </c>
      <c r="O3436">
        <v>2.42</v>
      </c>
      <c r="P3436" t="s">
        <v>71</v>
      </c>
      <c r="Q3436" s="2">
        <v>0.7</v>
      </c>
      <c r="R3436">
        <v>1.69</v>
      </c>
      <c r="S3436" t="s">
        <v>29</v>
      </c>
      <c r="T3436" s="1">
        <v>2440</v>
      </c>
      <c r="U3436" s="3">
        <v>1443.65968</v>
      </c>
      <c r="V3436" t="str">
        <f>VLOOKUP(H3436,'[1]팀별 출판사'!A:B,2,0)</f>
        <v>소설1팀</v>
      </c>
      <c r="W3436" s="6">
        <f t="shared" si="106"/>
        <v>732</v>
      </c>
      <c r="X3436" s="6">
        <f t="shared" si="107"/>
        <v>1708</v>
      </c>
    </row>
    <row r="3437" spans="1:24" x14ac:dyDescent="0.3">
      <c r="A3437" t="s">
        <v>4838</v>
      </c>
      <c r="B3437" t="s">
        <v>4964</v>
      </c>
      <c r="C3437" t="s">
        <v>23</v>
      </c>
      <c r="D3437" t="s">
        <v>24</v>
      </c>
      <c r="E3437" t="s">
        <v>25</v>
      </c>
      <c r="F3437">
        <v>1</v>
      </c>
      <c r="G3437" t="s">
        <v>4969</v>
      </c>
      <c r="H3437" t="s">
        <v>32</v>
      </c>
      <c r="I3437" t="s">
        <v>4970</v>
      </c>
      <c r="J3437" t="s">
        <v>166</v>
      </c>
      <c r="K3437" t="s">
        <v>29</v>
      </c>
      <c r="L3437" s="1">
        <v>3500</v>
      </c>
      <c r="M3437" t="s">
        <v>70</v>
      </c>
      <c r="N3437">
        <v>2.42</v>
      </c>
      <c r="O3437">
        <v>2.42</v>
      </c>
      <c r="P3437" t="s">
        <v>71</v>
      </c>
      <c r="Q3437" s="2">
        <v>0.7</v>
      </c>
      <c r="R3437">
        <v>1.69</v>
      </c>
      <c r="S3437" t="s">
        <v>29</v>
      </c>
      <c r="T3437" s="1">
        <v>2440</v>
      </c>
      <c r="U3437" s="3">
        <v>1443.65968</v>
      </c>
      <c r="V3437" t="str">
        <f>VLOOKUP(H3437,'[1]팀별 출판사'!A:B,2,0)</f>
        <v>소설1팀</v>
      </c>
      <c r="W3437" s="6">
        <f t="shared" si="106"/>
        <v>732</v>
      </c>
      <c r="X3437" s="6">
        <f t="shared" si="107"/>
        <v>1708</v>
      </c>
    </row>
    <row r="3438" spans="1:24" x14ac:dyDescent="0.3">
      <c r="A3438" t="s">
        <v>4838</v>
      </c>
      <c r="B3438" t="s">
        <v>4964</v>
      </c>
      <c r="C3438" t="s">
        <v>23</v>
      </c>
      <c r="D3438" t="s">
        <v>24</v>
      </c>
      <c r="E3438" t="s">
        <v>25</v>
      </c>
      <c r="F3438">
        <v>1</v>
      </c>
      <c r="G3438" t="s">
        <v>4971</v>
      </c>
      <c r="H3438" t="s">
        <v>32</v>
      </c>
      <c r="I3438" t="s">
        <v>4972</v>
      </c>
      <c r="J3438" t="s">
        <v>166</v>
      </c>
      <c r="K3438" t="s">
        <v>29</v>
      </c>
      <c r="L3438" s="1">
        <v>3500</v>
      </c>
      <c r="M3438" t="s">
        <v>70</v>
      </c>
      <c r="N3438">
        <v>2.42</v>
      </c>
      <c r="O3438">
        <v>2.42</v>
      </c>
      <c r="P3438" t="s">
        <v>71</v>
      </c>
      <c r="Q3438" s="2">
        <v>0.7</v>
      </c>
      <c r="R3438">
        <v>1.69</v>
      </c>
      <c r="S3438" t="s">
        <v>29</v>
      </c>
      <c r="T3438" s="1">
        <v>2440</v>
      </c>
      <c r="U3438" s="3">
        <v>1443.65968</v>
      </c>
      <c r="V3438" t="str">
        <f>VLOOKUP(H3438,'[1]팀별 출판사'!A:B,2,0)</f>
        <v>소설1팀</v>
      </c>
      <c r="W3438" s="6">
        <f t="shared" si="106"/>
        <v>732</v>
      </c>
      <c r="X3438" s="6">
        <f t="shared" si="107"/>
        <v>1708</v>
      </c>
    </row>
    <row r="3439" spans="1:24" x14ac:dyDescent="0.3">
      <c r="A3439" t="s">
        <v>4838</v>
      </c>
      <c r="B3439" t="s">
        <v>4964</v>
      </c>
      <c r="C3439" t="s">
        <v>23</v>
      </c>
      <c r="D3439" t="s">
        <v>24</v>
      </c>
      <c r="E3439" t="s">
        <v>25</v>
      </c>
      <c r="F3439">
        <v>1</v>
      </c>
      <c r="G3439" t="s">
        <v>4973</v>
      </c>
      <c r="H3439" t="s">
        <v>32</v>
      </c>
      <c r="I3439" t="s">
        <v>4974</v>
      </c>
      <c r="J3439" t="s">
        <v>166</v>
      </c>
      <c r="K3439" t="s">
        <v>29</v>
      </c>
      <c r="L3439" s="1">
        <v>3500</v>
      </c>
      <c r="M3439" t="s">
        <v>70</v>
      </c>
      <c r="N3439">
        <v>2.42</v>
      </c>
      <c r="O3439">
        <v>2.42</v>
      </c>
      <c r="P3439" t="s">
        <v>71</v>
      </c>
      <c r="Q3439" s="2">
        <v>0.7</v>
      </c>
      <c r="R3439">
        <v>1.69</v>
      </c>
      <c r="S3439" t="s">
        <v>29</v>
      </c>
      <c r="T3439" s="1">
        <v>2440</v>
      </c>
      <c r="U3439" s="3">
        <v>1443.65968</v>
      </c>
      <c r="V3439" t="str">
        <f>VLOOKUP(H3439,'[1]팀별 출판사'!A:B,2,0)</f>
        <v>소설1팀</v>
      </c>
      <c r="W3439" s="6">
        <f t="shared" si="106"/>
        <v>732</v>
      </c>
      <c r="X3439" s="6">
        <f t="shared" si="107"/>
        <v>1708</v>
      </c>
    </row>
    <row r="3440" spans="1:24" x14ac:dyDescent="0.3">
      <c r="A3440" t="s">
        <v>4838</v>
      </c>
      <c r="B3440" t="s">
        <v>4964</v>
      </c>
      <c r="C3440" t="s">
        <v>23</v>
      </c>
      <c r="D3440" t="s">
        <v>24</v>
      </c>
      <c r="E3440" t="s">
        <v>25</v>
      </c>
      <c r="F3440">
        <v>1</v>
      </c>
      <c r="G3440" t="s">
        <v>4975</v>
      </c>
      <c r="H3440" t="s">
        <v>32</v>
      </c>
      <c r="I3440" t="s">
        <v>4976</v>
      </c>
      <c r="J3440" t="s">
        <v>166</v>
      </c>
      <c r="K3440" t="s">
        <v>29</v>
      </c>
      <c r="L3440" s="1">
        <v>3500</v>
      </c>
      <c r="M3440" t="s">
        <v>70</v>
      </c>
      <c r="N3440">
        <v>2.42</v>
      </c>
      <c r="O3440">
        <v>2.42</v>
      </c>
      <c r="P3440" t="s">
        <v>71</v>
      </c>
      <c r="Q3440" s="2">
        <v>0.7</v>
      </c>
      <c r="R3440">
        <v>1.69</v>
      </c>
      <c r="S3440" t="s">
        <v>29</v>
      </c>
      <c r="T3440" s="1">
        <v>2440</v>
      </c>
      <c r="U3440" s="3">
        <v>1443.65968</v>
      </c>
      <c r="V3440" t="str">
        <f>VLOOKUP(H3440,'[1]팀별 출판사'!A:B,2,0)</f>
        <v>소설1팀</v>
      </c>
      <c r="W3440" s="6">
        <f t="shared" si="106"/>
        <v>732</v>
      </c>
      <c r="X3440" s="6">
        <f t="shared" si="107"/>
        <v>1708</v>
      </c>
    </row>
    <row r="3441" spans="1:24" x14ac:dyDescent="0.3">
      <c r="A3441" t="s">
        <v>4838</v>
      </c>
      <c r="B3441" t="s">
        <v>4977</v>
      </c>
      <c r="C3441" t="s">
        <v>23</v>
      </c>
      <c r="D3441" t="s">
        <v>24</v>
      </c>
      <c r="E3441" t="s">
        <v>25</v>
      </c>
      <c r="F3441">
        <v>1</v>
      </c>
      <c r="G3441">
        <v>9791170103226</v>
      </c>
      <c r="H3441" t="s">
        <v>67</v>
      </c>
      <c r="I3441" t="s">
        <v>698</v>
      </c>
      <c r="J3441" t="s">
        <v>399</v>
      </c>
      <c r="K3441" t="s">
        <v>29</v>
      </c>
      <c r="L3441">
        <v>0</v>
      </c>
      <c r="M3441" t="s">
        <v>29</v>
      </c>
      <c r="N3441">
        <v>0</v>
      </c>
      <c r="O3441">
        <v>0</v>
      </c>
      <c r="P3441" t="s">
        <v>30</v>
      </c>
      <c r="Q3441" s="2">
        <v>0.7</v>
      </c>
      <c r="R3441">
        <v>0</v>
      </c>
      <c r="V3441" t="str">
        <f>VLOOKUP(H3441,'[1]팀별 출판사'!A:B,2,0)</f>
        <v>소설1팀</v>
      </c>
      <c r="W3441" s="6">
        <f t="shared" si="106"/>
        <v>0</v>
      </c>
      <c r="X3441" s="6">
        <f t="shared" si="107"/>
        <v>0</v>
      </c>
    </row>
    <row r="3442" spans="1:24" x14ac:dyDescent="0.3">
      <c r="A3442" t="s">
        <v>4838</v>
      </c>
      <c r="B3442" t="s">
        <v>4978</v>
      </c>
      <c r="C3442" t="s">
        <v>23</v>
      </c>
      <c r="D3442" t="s">
        <v>24</v>
      </c>
      <c r="E3442" t="s">
        <v>25</v>
      </c>
      <c r="F3442">
        <v>1</v>
      </c>
      <c r="G3442">
        <v>9791136931054</v>
      </c>
      <c r="H3442" t="s">
        <v>36</v>
      </c>
      <c r="I3442" t="s">
        <v>4979</v>
      </c>
      <c r="J3442" t="s">
        <v>4980</v>
      </c>
      <c r="K3442" t="s">
        <v>29</v>
      </c>
      <c r="L3442" s="1">
        <v>3600</v>
      </c>
      <c r="M3442" t="s">
        <v>1486</v>
      </c>
      <c r="N3442">
        <v>19.399999999999999</v>
      </c>
      <c r="O3442">
        <v>19.399999999999999</v>
      </c>
      <c r="P3442" t="s">
        <v>1487</v>
      </c>
      <c r="Q3442" s="2">
        <v>0.7</v>
      </c>
      <c r="R3442">
        <v>13.58</v>
      </c>
      <c r="S3442" t="s">
        <v>29</v>
      </c>
      <c r="T3442" s="1">
        <v>2506</v>
      </c>
      <c r="U3442">
        <v>184.63314</v>
      </c>
      <c r="V3442" t="str">
        <f>VLOOKUP(H3442,'[1]팀별 출판사'!A:B,2,0)</f>
        <v>소설2팀</v>
      </c>
      <c r="W3442" s="6">
        <f t="shared" si="106"/>
        <v>0</v>
      </c>
      <c r="X3442" s="6">
        <f t="shared" si="107"/>
        <v>2506</v>
      </c>
    </row>
    <row r="3443" spans="1:24" x14ac:dyDescent="0.3">
      <c r="A3443" t="s">
        <v>4838</v>
      </c>
      <c r="B3443" t="s">
        <v>4981</v>
      </c>
      <c r="C3443" t="s">
        <v>23</v>
      </c>
      <c r="D3443" t="s">
        <v>24</v>
      </c>
      <c r="E3443" t="s">
        <v>25</v>
      </c>
      <c r="F3443">
        <v>1</v>
      </c>
      <c r="G3443">
        <v>9791136931061</v>
      </c>
      <c r="H3443" t="s">
        <v>36</v>
      </c>
      <c r="I3443" t="s">
        <v>4982</v>
      </c>
      <c r="J3443" t="s">
        <v>4980</v>
      </c>
      <c r="K3443" t="s">
        <v>29</v>
      </c>
      <c r="L3443" s="1">
        <v>3600</v>
      </c>
      <c r="M3443" t="s">
        <v>1486</v>
      </c>
      <c r="N3443">
        <v>19.399999999999999</v>
      </c>
      <c r="O3443">
        <v>19.399999999999999</v>
      </c>
      <c r="P3443" t="s">
        <v>1487</v>
      </c>
      <c r="Q3443" s="2">
        <v>0.7</v>
      </c>
      <c r="R3443">
        <v>13.58</v>
      </c>
      <c r="S3443" t="s">
        <v>29</v>
      </c>
      <c r="T3443" s="1">
        <v>2506</v>
      </c>
      <c r="U3443">
        <v>184.63314</v>
      </c>
      <c r="V3443" t="str">
        <f>VLOOKUP(H3443,'[1]팀별 출판사'!A:B,2,0)</f>
        <v>소설2팀</v>
      </c>
      <c r="W3443" s="6">
        <f t="shared" si="106"/>
        <v>0</v>
      </c>
      <c r="X3443" s="6">
        <f t="shared" si="107"/>
        <v>2506</v>
      </c>
    </row>
    <row r="3444" spans="1:24" x14ac:dyDescent="0.3">
      <c r="A3444" t="s">
        <v>4838</v>
      </c>
      <c r="B3444" t="s">
        <v>4983</v>
      </c>
      <c r="C3444" t="s">
        <v>23</v>
      </c>
      <c r="D3444" t="s">
        <v>24</v>
      </c>
      <c r="E3444" t="s">
        <v>25</v>
      </c>
      <c r="F3444">
        <v>1</v>
      </c>
      <c r="G3444">
        <v>9791136933683</v>
      </c>
      <c r="H3444" t="s">
        <v>36</v>
      </c>
      <c r="I3444" t="s">
        <v>4984</v>
      </c>
      <c r="J3444" t="s">
        <v>4980</v>
      </c>
      <c r="K3444" t="s">
        <v>29</v>
      </c>
      <c r="L3444" s="1">
        <v>1500</v>
      </c>
      <c r="M3444" t="s">
        <v>1486</v>
      </c>
      <c r="N3444">
        <v>8.08</v>
      </c>
      <c r="O3444">
        <v>8.08</v>
      </c>
      <c r="P3444" t="s">
        <v>1487</v>
      </c>
      <c r="Q3444" s="2">
        <v>0.7</v>
      </c>
      <c r="R3444">
        <v>5.66</v>
      </c>
      <c r="S3444" t="s">
        <v>29</v>
      </c>
      <c r="T3444" s="1">
        <v>1045</v>
      </c>
      <c r="U3444">
        <v>184.63314</v>
      </c>
      <c r="V3444" t="str">
        <f>VLOOKUP(H3444,'[1]팀별 출판사'!A:B,2,0)</f>
        <v>소설2팀</v>
      </c>
      <c r="W3444" s="6">
        <f t="shared" si="106"/>
        <v>0</v>
      </c>
      <c r="X3444" s="6">
        <f t="shared" si="107"/>
        <v>1045</v>
      </c>
    </row>
    <row r="3445" spans="1:24" x14ac:dyDescent="0.3">
      <c r="A3445" t="s">
        <v>4838</v>
      </c>
      <c r="B3445" t="s">
        <v>4985</v>
      </c>
      <c r="C3445" t="s">
        <v>23</v>
      </c>
      <c r="D3445" t="s">
        <v>24</v>
      </c>
      <c r="E3445" t="s">
        <v>25</v>
      </c>
      <c r="F3445">
        <v>1</v>
      </c>
      <c r="G3445">
        <v>9791136942913</v>
      </c>
      <c r="H3445" t="s">
        <v>26</v>
      </c>
      <c r="I3445" t="s">
        <v>4986</v>
      </c>
      <c r="J3445" t="s">
        <v>284</v>
      </c>
      <c r="K3445" t="s">
        <v>29</v>
      </c>
      <c r="L3445" s="1">
        <v>3200</v>
      </c>
      <c r="M3445" t="s">
        <v>29</v>
      </c>
      <c r="N3445" s="1">
        <v>3200</v>
      </c>
      <c r="O3445" s="1">
        <v>3200</v>
      </c>
      <c r="P3445" t="s">
        <v>30</v>
      </c>
      <c r="Q3445" s="2">
        <v>0.7</v>
      </c>
      <c r="R3445" s="1">
        <v>2240</v>
      </c>
      <c r="S3445" t="s">
        <v>29</v>
      </c>
      <c r="T3445" s="1">
        <v>2240</v>
      </c>
      <c r="V3445" t="str">
        <f>VLOOKUP(H3445,'[1]팀별 출판사'!A:B,2,0)</f>
        <v>소설1팀</v>
      </c>
      <c r="W3445" s="6">
        <f t="shared" si="106"/>
        <v>0</v>
      </c>
      <c r="X3445" s="6">
        <f t="shared" si="107"/>
        <v>2240</v>
      </c>
    </row>
    <row r="3446" spans="1:24" x14ac:dyDescent="0.3">
      <c r="A3446" t="s">
        <v>4838</v>
      </c>
      <c r="B3446" t="s">
        <v>4987</v>
      </c>
      <c r="C3446" t="s">
        <v>23</v>
      </c>
      <c r="D3446" t="s">
        <v>24</v>
      </c>
      <c r="E3446" t="s">
        <v>25</v>
      </c>
      <c r="F3446">
        <v>1</v>
      </c>
      <c r="G3446">
        <v>9791173786020</v>
      </c>
      <c r="H3446" t="s">
        <v>26</v>
      </c>
      <c r="I3446" t="s">
        <v>4988</v>
      </c>
      <c r="J3446" t="s">
        <v>81</v>
      </c>
      <c r="K3446" t="s">
        <v>29</v>
      </c>
      <c r="L3446" s="1">
        <v>3200</v>
      </c>
      <c r="M3446" t="s">
        <v>29</v>
      </c>
      <c r="N3446" s="1">
        <v>3200</v>
      </c>
      <c r="O3446" s="1">
        <v>3200</v>
      </c>
      <c r="P3446" t="s">
        <v>30</v>
      </c>
      <c r="Q3446" s="2">
        <v>0.7</v>
      </c>
      <c r="R3446" s="1">
        <v>2240</v>
      </c>
      <c r="S3446" t="s">
        <v>29</v>
      </c>
      <c r="T3446" s="1">
        <v>2240</v>
      </c>
      <c r="V3446" t="str">
        <f>VLOOKUP(H3446,'[1]팀별 출판사'!A:B,2,0)</f>
        <v>소설1팀</v>
      </c>
      <c r="W3446" s="6">
        <f t="shared" si="106"/>
        <v>0</v>
      </c>
      <c r="X3446" s="6">
        <f t="shared" si="107"/>
        <v>2240</v>
      </c>
    </row>
    <row r="3447" spans="1:24" x14ac:dyDescent="0.3">
      <c r="A3447" t="s">
        <v>4838</v>
      </c>
      <c r="B3447" t="s">
        <v>4989</v>
      </c>
      <c r="C3447" t="s">
        <v>23</v>
      </c>
      <c r="D3447" t="s">
        <v>24</v>
      </c>
      <c r="E3447" t="s">
        <v>25</v>
      </c>
      <c r="F3447">
        <v>1</v>
      </c>
      <c r="G3447">
        <v>9791136942036</v>
      </c>
      <c r="H3447" t="s">
        <v>26</v>
      </c>
      <c r="I3447" t="s">
        <v>1941</v>
      </c>
      <c r="J3447" t="s">
        <v>81</v>
      </c>
      <c r="K3447" t="s">
        <v>29</v>
      </c>
      <c r="L3447">
        <v>0</v>
      </c>
      <c r="M3447" t="s">
        <v>70</v>
      </c>
      <c r="N3447">
        <v>0</v>
      </c>
      <c r="O3447">
        <v>0</v>
      </c>
      <c r="P3447" t="s">
        <v>71</v>
      </c>
      <c r="Q3447" s="2">
        <v>0.7</v>
      </c>
      <c r="R3447">
        <v>0</v>
      </c>
      <c r="V3447" t="str">
        <f>VLOOKUP(H3447,'[1]팀별 출판사'!A:B,2,0)</f>
        <v>소설1팀</v>
      </c>
      <c r="W3447" s="6">
        <f t="shared" si="106"/>
        <v>0</v>
      </c>
      <c r="X3447" s="6">
        <f t="shared" si="107"/>
        <v>0</v>
      </c>
    </row>
    <row r="3448" spans="1:24" x14ac:dyDescent="0.3">
      <c r="A3448" t="s">
        <v>4838</v>
      </c>
      <c r="B3448" t="s">
        <v>4990</v>
      </c>
      <c r="C3448" t="s">
        <v>23</v>
      </c>
      <c r="D3448" t="s">
        <v>24</v>
      </c>
      <c r="E3448" t="s">
        <v>25</v>
      </c>
      <c r="F3448">
        <v>1</v>
      </c>
      <c r="G3448">
        <v>9791157539710</v>
      </c>
      <c r="H3448" t="s">
        <v>32</v>
      </c>
      <c r="I3448" t="s">
        <v>3605</v>
      </c>
      <c r="J3448" t="s">
        <v>88</v>
      </c>
      <c r="K3448" t="s">
        <v>29</v>
      </c>
      <c r="L3448" s="1">
        <v>3200</v>
      </c>
      <c r="M3448" t="s">
        <v>29</v>
      </c>
      <c r="N3448" s="1">
        <v>3200</v>
      </c>
      <c r="O3448" s="1">
        <v>3200</v>
      </c>
      <c r="P3448" t="s">
        <v>30</v>
      </c>
      <c r="Q3448" s="2">
        <v>0.7</v>
      </c>
      <c r="R3448" s="1">
        <v>2240</v>
      </c>
      <c r="S3448" t="s">
        <v>29</v>
      </c>
      <c r="T3448" s="1">
        <v>2240</v>
      </c>
      <c r="V3448" t="str">
        <f>VLOOKUP(H3448,'[1]팀별 출판사'!A:B,2,0)</f>
        <v>소설1팀</v>
      </c>
      <c r="W3448" s="6">
        <f t="shared" si="106"/>
        <v>0</v>
      </c>
      <c r="X3448" s="6">
        <f t="shared" si="107"/>
        <v>2240</v>
      </c>
    </row>
    <row r="3449" spans="1:24" x14ac:dyDescent="0.3">
      <c r="A3449" t="s">
        <v>4838</v>
      </c>
      <c r="B3449" t="s">
        <v>4991</v>
      </c>
      <c r="C3449" t="s">
        <v>4961</v>
      </c>
      <c r="D3449" t="s">
        <v>24</v>
      </c>
      <c r="E3449" t="s">
        <v>25</v>
      </c>
      <c r="F3449">
        <v>1</v>
      </c>
      <c r="G3449">
        <v>9791170101338</v>
      </c>
      <c r="H3449" t="s">
        <v>67</v>
      </c>
      <c r="I3449" t="s">
        <v>4992</v>
      </c>
      <c r="J3449" t="s">
        <v>414</v>
      </c>
      <c r="K3449" t="s">
        <v>29</v>
      </c>
      <c r="L3449">
        <v>900</v>
      </c>
      <c r="M3449" t="s">
        <v>29</v>
      </c>
      <c r="N3449">
        <v>900</v>
      </c>
      <c r="O3449">
        <v>900</v>
      </c>
      <c r="P3449" t="s">
        <v>30</v>
      </c>
      <c r="Q3449" s="2">
        <v>0.7</v>
      </c>
      <c r="R3449">
        <v>630</v>
      </c>
      <c r="S3449" t="s">
        <v>29</v>
      </c>
      <c r="T3449">
        <v>630</v>
      </c>
      <c r="V3449" t="str">
        <f>VLOOKUP(H3449,'[1]팀별 출판사'!A:B,2,0)</f>
        <v>소설1팀</v>
      </c>
      <c r="W3449" s="6">
        <f t="shared" si="106"/>
        <v>0</v>
      </c>
      <c r="X3449" s="6">
        <f t="shared" si="107"/>
        <v>630</v>
      </c>
    </row>
    <row r="3450" spans="1:24" x14ac:dyDescent="0.3">
      <c r="A3450" t="s">
        <v>4838</v>
      </c>
      <c r="B3450" t="s">
        <v>4993</v>
      </c>
      <c r="C3450" t="s">
        <v>23</v>
      </c>
      <c r="D3450" t="s">
        <v>24</v>
      </c>
      <c r="E3450" t="s">
        <v>25</v>
      </c>
      <c r="F3450">
        <v>1</v>
      </c>
      <c r="G3450">
        <v>9791172920937</v>
      </c>
      <c r="H3450" t="s">
        <v>79</v>
      </c>
      <c r="I3450" t="s">
        <v>80</v>
      </c>
      <c r="J3450" t="s">
        <v>81</v>
      </c>
      <c r="K3450" t="s">
        <v>29</v>
      </c>
      <c r="L3450">
        <v>0</v>
      </c>
      <c r="M3450" t="s">
        <v>70</v>
      </c>
      <c r="N3450">
        <v>0</v>
      </c>
      <c r="O3450">
        <v>0</v>
      </c>
      <c r="P3450" t="s">
        <v>71</v>
      </c>
      <c r="Q3450" s="2">
        <v>0.7</v>
      </c>
      <c r="R3450">
        <v>0</v>
      </c>
      <c r="V3450" t="str">
        <f>VLOOKUP(H3450,'[1]팀별 출판사'!A:B,2,0)</f>
        <v>소설1팀</v>
      </c>
      <c r="W3450" s="6">
        <f t="shared" si="106"/>
        <v>0</v>
      </c>
      <c r="X3450" s="6">
        <f t="shared" si="107"/>
        <v>0</v>
      </c>
    </row>
    <row r="3451" spans="1:24" x14ac:dyDescent="0.3">
      <c r="A3451" t="s">
        <v>4838</v>
      </c>
      <c r="B3451" t="s">
        <v>4994</v>
      </c>
      <c r="C3451" t="s">
        <v>23</v>
      </c>
      <c r="D3451" t="s">
        <v>24</v>
      </c>
      <c r="E3451" t="s">
        <v>25</v>
      </c>
      <c r="F3451">
        <v>1</v>
      </c>
      <c r="G3451">
        <v>9791136988157</v>
      </c>
      <c r="H3451" t="s">
        <v>26</v>
      </c>
      <c r="I3451" t="s">
        <v>2545</v>
      </c>
      <c r="J3451" t="s">
        <v>28</v>
      </c>
      <c r="K3451" t="s">
        <v>29</v>
      </c>
      <c r="L3451" s="1">
        <v>3200</v>
      </c>
      <c r="M3451" t="s">
        <v>29</v>
      </c>
      <c r="N3451" s="1">
        <v>3200</v>
      </c>
      <c r="O3451" s="1">
        <v>3200</v>
      </c>
      <c r="P3451" t="s">
        <v>30</v>
      </c>
      <c r="Q3451" s="2">
        <v>0.7</v>
      </c>
      <c r="R3451" s="1">
        <v>2240</v>
      </c>
      <c r="S3451" t="s">
        <v>29</v>
      </c>
      <c r="T3451" s="1">
        <v>2240</v>
      </c>
      <c r="V3451" t="str">
        <f>VLOOKUP(H3451,'[1]팀별 출판사'!A:B,2,0)</f>
        <v>소설1팀</v>
      </c>
      <c r="W3451" s="6">
        <f t="shared" si="106"/>
        <v>0</v>
      </c>
      <c r="X3451" s="6">
        <f t="shared" si="107"/>
        <v>2240</v>
      </c>
    </row>
    <row r="3452" spans="1:24" x14ac:dyDescent="0.3">
      <c r="A3452" t="s">
        <v>4838</v>
      </c>
      <c r="B3452" t="s">
        <v>4994</v>
      </c>
      <c r="C3452" t="s">
        <v>23</v>
      </c>
      <c r="D3452" t="s">
        <v>24</v>
      </c>
      <c r="E3452" t="s">
        <v>25</v>
      </c>
      <c r="F3452">
        <v>1</v>
      </c>
      <c r="G3452">
        <v>9791136988164</v>
      </c>
      <c r="H3452" t="s">
        <v>26</v>
      </c>
      <c r="I3452" t="s">
        <v>2110</v>
      </c>
      <c r="J3452" t="s">
        <v>28</v>
      </c>
      <c r="K3452" t="s">
        <v>29</v>
      </c>
      <c r="L3452" s="1">
        <v>3200</v>
      </c>
      <c r="M3452" t="s">
        <v>29</v>
      </c>
      <c r="N3452" s="1">
        <v>3200</v>
      </c>
      <c r="O3452" s="1">
        <v>3200</v>
      </c>
      <c r="P3452" t="s">
        <v>30</v>
      </c>
      <c r="Q3452" s="2">
        <v>0.7</v>
      </c>
      <c r="R3452" s="1">
        <v>2240</v>
      </c>
      <c r="S3452" t="s">
        <v>29</v>
      </c>
      <c r="T3452" s="1">
        <v>2240</v>
      </c>
      <c r="V3452" t="str">
        <f>VLOOKUP(H3452,'[1]팀별 출판사'!A:B,2,0)</f>
        <v>소설1팀</v>
      </c>
      <c r="W3452" s="6">
        <f t="shared" si="106"/>
        <v>0</v>
      </c>
      <c r="X3452" s="6">
        <f t="shared" si="107"/>
        <v>2240</v>
      </c>
    </row>
    <row r="3453" spans="1:24" x14ac:dyDescent="0.3">
      <c r="A3453" t="s">
        <v>4838</v>
      </c>
      <c r="B3453" t="s">
        <v>4994</v>
      </c>
      <c r="C3453" t="s">
        <v>23</v>
      </c>
      <c r="D3453" t="s">
        <v>24</v>
      </c>
      <c r="E3453" t="s">
        <v>25</v>
      </c>
      <c r="F3453">
        <v>1</v>
      </c>
      <c r="G3453">
        <v>9791136988799</v>
      </c>
      <c r="H3453" t="s">
        <v>26</v>
      </c>
      <c r="I3453" t="s">
        <v>3759</v>
      </c>
      <c r="J3453" t="s">
        <v>28</v>
      </c>
      <c r="K3453" t="s">
        <v>29</v>
      </c>
      <c r="L3453" s="1">
        <v>3200</v>
      </c>
      <c r="M3453" t="s">
        <v>29</v>
      </c>
      <c r="N3453" s="1">
        <v>3200</v>
      </c>
      <c r="O3453" s="1">
        <v>3200</v>
      </c>
      <c r="P3453" t="s">
        <v>30</v>
      </c>
      <c r="Q3453" s="2">
        <v>0.7</v>
      </c>
      <c r="R3453" s="1">
        <v>2240</v>
      </c>
      <c r="S3453" t="s">
        <v>29</v>
      </c>
      <c r="T3453" s="1">
        <v>2240</v>
      </c>
      <c r="V3453" t="str">
        <f>VLOOKUP(H3453,'[1]팀별 출판사'!A:B,2,0)</f>
        <v>소설1팀</v>
      </c>
      <c r="W3453" s="6">
        <f t="shared" si="106"/>
        <v>0</v>
      </c>
      <c r="X3453" s="6">
        <f t="shared" si="107"/>
        <v>2240</v>
      </c>
    </row>
    <row r="3454" spans="1:24" x14ac:dyDescent="0.3">
      <c r="A3454" t="s">
        <v>4838</v>
      </c>
      <c r="B3454" t="s">
        <v>4994</v>
      </c>
      <c r="C3454" t="s">
        <v>23</v>
      </c>
      <c r="D3454" t="s">
        <v>24</v>
      </c>
      <c r="E3454" t="s">
        <v>25</v>
      </c>
      <c r="F3454">
        <v>1</v>
      </c>
      <c r="G3454">
        <v>9791136988829</v>
      </c>
      <c r="H3454" t="s">
        <v>26</v>
      </c>
      <c r="I3454" t="s">
        <v>4240</v>
      </c>
      <c r="J3454" t="s">
        <v>28</v>
      </c>
      <c r="K3454" t="s">
        <v>29</v>
      </c>
      <c r="L3454" s="1">
        <v>3200</v>
      </c>
      <c r="M3454" t="s">
        <v>29</v>
      </c>
      <c r="N3454" s="1">
        <v>3200</v>
      </c>
      <c r="O3454" s="1">
        <v>3200</v>
      </c>
      <c r="P3454" t="s">
        <v>30</v>
      </c>
      <c r="Q3454" s="2">
        <v>0.7</v>
      </c>
      <c r="R3454" s="1">
        <v>2240</v>
      </c>
      <c r="S3454" t="s">
        <v>29</v>
      </c>
      <c r="T3454" s="1">
        <v>2240</v>
      </c>
      <c r="V3454" t="str">
        <f>VLOOKUP(H3454,'[1]팀별 출판사'!A:B,2,0)</f>
        <v>소설1팀</v>
      </c>
      <c r="W3454" s="6">
        <f t="shared" si="106"/>
        <v>0</v>
      </c>
      <c r="X3454" s="6">
        <f t="shared" si="107"/>
        <v>2240</v>
      </c>
    </row>
    <row r="3455" spans="1:24" x14ac:dyDescent="0.3">
      <c r="A3455" t="s">
        <v>4838</v>
      </c>
      <c r="B3455" t="s">
        <v>4994</v>
      </c>
      <c r="C3455" t="s">
        <v>23</v>
      </c>
      <c r="D3455" t="s">
        <v>24</v>
      </c>
      <c r="E3455" t="s">
        <v>25</v>
      </c>
      <c r="F3455">
        <v>1</v>
      </c>
      <c r="G3455">
        <v>9791136988836</v>
      </c>
      <c r="H3455" t="s">
        <v>26</v>
      </c>
      <c r="I3455" t="s">
        <v>4241</v>
      </c>
      <c r="J3455" t="s">
        <v>28</v>
      </c>
      <c r="K3455" t="s">
        <v>29</v>
      </c>
      <c r="L3455" s="1">
        <v>3200</v>
      </c>
      <c r="M3455" t="s">
        <v>29</v>
      </c>
      <c r="N3455" s="1">
        <v>3200</v>
      </c>
      <c r="O3455" s="1">
        <v>3200</v>
      </c>
      <c r="P3455" t="s">
        <v>30</v>
      </c>
      <c r="Q3455" s="2">
        <v>0.7</v>
      </c>
      <c r="R3455" s="1">
        <v>2240</v>
      </c>
      <c r="S3455" t="s">
        <v>29</v>
      </c>
      <c r="T3455" s="1">
        <v>2240</v>
      </c>
      <c r="V3455" t="str">
        <f>VLOOKUP(H3455,'[1]팀별 출판사'!A:B,2,0)</f>
        <v>소설1팀</v>
      </c>
      <c r="W3455" s="6">
        <f t="shared" si="106"/>
        <v>0</v>
      </c>
      <c r="X3455" s="6">
        <f t="shared" si="107"/>
        <v>2240</v>
      </c>
    </row>
    <row r="3456" spans="1:24" x14ac:dyDescent="0.3">
      <c r="A3456" t="s">
        <v>4838</v>
      </c>
      <c r="B3456" t="s">
        <v>4994</v>
      </c>
      <c r="C3456" t="s">
        <v>23</v>
      </c>
      <c r="D3456" t="s">
        <v>24</v>
      </c>
      <c r="E3456" t="s">
        <v>25</v>
      </c>
      <c r="F3456">
        <v>1</v>
      </c>
      <c r="G3456">
        <v>9791136988966</v>
      </c>
      <c r="H3456" t="s">
        <v>26</v>
      </c>
      <c r="I3456" t="s">
        <v>4242</v>
      </c>
      <c r="J3456" t="s">
        <v>28</v>
      </c>
      <c r="K3456" t="s">
        <v>29</v>
      </c>
      <c r="L3456" s="1">
        <v>3200</v>
      </c>
      <c r="M3456" t="s">
        <v>29</v>
      </c>
      <c r="N3456" s="1">
        <v>3200</v>
      </c>
      <c r="O3456" s="1">
        <v>3200</v>
      </c>
      <c r="P3456" t="s">
        <v>30</v>
      </c>
      <c r="Q3456" s="2">
        <v>0.7</v>
      </c>
      <c r="R3456" s="1">
        <v>2240</v>
      </c>
      <c r="S3456" t="s">
        <v>29</v>
      </c>
      <c r="T3456" s="1">
        <v>2240</v>
      </c>
      <c r="V3456" t="str">
        <f>VLOOKUP(H3456,'[1]팀별 출판사'!A:B,2,0)</f>
        <v>소설1팀</v>
      </c>
      <c r="W3456" s="6">
        <f t="shared" si="106"/>
        <v>0</v>
      </c>
      <c r="X3456" s="6">
        <f t="shared" si="107"/>
        <v>2240</v>
      </c>
    </row>
    <row r="3457" spans="1:24" x14ac:dyDescent="0.3">
      <c r="A3457" t="s">
        <v>4838</v>
      </c>
      <c r="B3457" t="s">
        <v>4994</v>
      </c>
      <c r="C3457" t="s">
        <v>23</v>
      </c>
      <c r="D3457" t="s">
        <v>24</v>
      </c>
      <c r="E3457" t="s">
        <v>25</v>
      </c>
      <c r="F3457">
        <v>1</v>
      </c>
      <c r="G3457">
        <v>9791136988973</v>
      </c>
      <c r="H3457" t="s">
        <v>26</v>
      </c>
      <c r="I3457" t="s">
        <v>4243</v>
      </c>
      <c r="J3457" t="s">
        <v>28</v>
      </c>
      <c r="K3457" t="s">
        <v>29</v>
      </c>
      <c r="L3457" s="1">
        <v>3200</v>
      </c>
      <c r="M3457" t="s">
        <v>29</v>
      </c>
      <c r="N3457" s="1">
        <v>3200</v>
      </c>
      <c r="O3457" s="1">
        <v>3200</v>
      </c>
      <c r="P3457" t="s">
        <v>30</v>
      </c>
      <c r="Q3457" s="2">
        <v>0.7</v>
      </c>
      <c r="R3457" s="1">
        <v>2240</v>
      </c>
      <c r="S3457" t="s">
        <v>29</v>
      </c>
      <c r="T3457" s="1">
        <v>2240</v>
      </c>
      <c r="V3457" t="str">
        <f>VLOOKUP(H3457,'[1]팀별 출판사'!A:B,2,0)</f>
        <v>소설1팀</v>
      </c>
      <c r="W3457" s="6">
        <f t="shared" si="106"/>
        <v>0</v>
      </c>
      <c r="X3457" s="6">
        <f t="shared" si="107"/>
        <v>2240</v>
      </c>
    </row>
    <row r="3458" spans="1:24" x14ac:dyDescent="0.3">
      <c r="A3458" t="s">
        <v>4838</v>
      </c>
      <c r="B3458" t="s">
        <v>4994</v>
      </c>
      <c r="C3458" t="s">
        <v>23</v>
      </c>
      <c r="D3458" t="s">
        <v>24</v>
      </c>
      <c r="E3458" t="s">
        <v>25</v>
      </c>
      <c r="F3458">
        <v>1</v>
      </c>
      <c r="G3458">
        <v>9791136988256</v>
      </c>
      <c r="H3458" t="s">
        <v>26</v>
      </c>
      <c r="I3458" t="s">
        <v>2353</v>
      </c>
      <c r="J3458" t="s">
        <v>28</v>
      </c>
      <c r="K3458" t="s">
        <v>29</v>
      </c>
      <c r="L3458" s="1">
        <v>3200</v>
      </c>
      <c r="M3458" t="s">
        <v>29</v>
      </c>
      <c r="N3458" s="1">
        <v>3200</v>
      </c>
      <c r="O3458" s="1">
        <v>3200</v>
      </c>
      <c r="P3458" t="s">
        <v>30</v>
      </c>
      <c r="Q3458" s="2">
        <v>0.7</v>
      </c>
      <c r="R3458" s="1">
        <v>2240</v>
      </c>
      <c r="S3458" t="s">
        <v>29</v>
      </c>
      <c r="T3458" s="1">
        <v>2240</v>
      </c>
      <c r="V3458" t="str">
        <f>VLOOKUP(H3458,'[1]팀별 출판사'!A:B,2,0)</f>
        <v>소설1팀</v>
      </c>
      <c r="W3458" s="6">
        <f t="shared" ref="W3458:W3521" si="108">IF(P3458="US", T3458*30%, 0)</f>
        <v>0</v>
      </c>
      <c r="X3458" s="6">
        <f t="shared" ref="X3458:X3521" si="109">T3458-W3458</f>
        <v>2240</v>
      </c>
    </row>
    <row r="3459" spans="1:24" x14ac:dyDescent="0.3">
      <c r="A3459" t="s">
        <v>4838</v>
      </c>
      <c r="B3459" t="s">
        <v>4994</v>
      </c>
      <c r="C3459" t="s">
        <v>23</v>
      </c>
      <c r="D3459" t="s">
        <v>24</v>
      </c>
      <c r="E3459" t="s">
        <v>25</v>
      </c>
      <c r="F3459">
        <v>1</v>
      </c>
      <c r="G3459">
        <v>9791136988324</v>
      </c>
      <c r="H3459" t="s">
        <v>26</v>
      </c>
      <c r="I3459" t="s">
        <v>2611</v>
      </c>
      <c r="J3459" t="s">
        <v>28</v>
      </c>
      <c r="K3459" t="s">
        <v>29</v>
      </c>
      <c r="L3459" s="1">
        <v>3200</v>
      </c>
      <c r="M3459" t="s">
        <v>29</v>
      </c>
      <c r="N3459" s="1">
        <v>3200</v>
      </c>
      <c r="O3459" s="1">
        <v>3200</v>
      </c>
      <c r="P3459" t="s">
        <v>30</v>
      </c>
      <c r="Q3459" s="2">
        <v>0.7</v>
      </c>
      <c r="R3459" s="1">
        <v>2240</v>
      </c>
      <c r="S3459" t="s">
        <v>29</v>
      </c>
      <c r="T3459" s="1">
        <v>2240</v>
      </c>
      <c r="V3459" t="str">
        <f>VLOOKUP(H3459,'[1]팀별 출판사'!A:B,2,0)</f>
        <v>소설1팀</v>
      </c>
      <c r="W3459" s="6">
        <f t="shared" si="108"/>
        <v>0</v>
      </c>
      <c r="X3459" s="6">
        <f t="shared" si="109"/>
        <v>2240</v>
      </c>
    </row>
    <row r="3460" spans="1:24" x14ac:dyDescent="0.3">
      <c r="A3460" t="s">
        <v>4838</v>
      </c>
      <c r="B3460" t="s">
        <v>4994</v>
      </c>
      <c r="C3460" t="s">
        <v>23</v>
      </c>
      <c r="D3460" t="s">
        <v>24</v>
      </c>
      <c r="E3460" t="s">
        <v>25</v>
      </c>
      <c r="F3460">
        <v>1</v>
      </c>
      <c r="G3460">
        <v>9791136988331</v>
      </c>
      <c r="H3460" t="s">
        <v>26</v>
      </c>
      <c r="I3460" t="s">
        <v>2820</v>
      </c>
      <c r="J3460" t="s">
        <v>28</v>
      </c>
      <c r="K3460" t="s">
        <v>29</v>
      </c>
      <c r="L3460" s="1">
        <v>3200</v>
      </c>
      <c r="M3460" t="s">
        <v>29</v>
      </c>
      <c r="N3460" s="1">
        <v>3200</v>
      </c>
      <c r="O3460" s="1">
        <v>3200</v>
      </c>
      <c r="P3460" t="s">
        <v>30</v>
      </c>
      <c r="Q3460" s="2">
        <v>0.7</v>
      </c>
      <c r="R3460" s="1">
        <v>2240</v>
      </c>
      <c r="S3460" t="s">
        <v>29</v>
      </c>
      <c r="T3460" s="1">
        <v>2240</v>
      </c>
      <c r="V3460" t="str">
        <f>VLOOKUP(H3460,'[1]팀별 출판사'!A:B,2,0)</f>
        <v>소설1팀</v>
      </c>
      <c r="W3460" s="6">
        <f t="shared" si="108"/>
        <v>0</v>
      </c>
      <c r="X3460" s="6">
        <f t="shared" si="109"/>
        <v>2240</v>
      </c>
    </row>
    <row r="3461" spans="1:24" x14ac:dyDescent="0.3">
      <c r="A3461" t="s">
        <v>4838</v>
      </c>
      <c r="B3461" t="s">
        <v>4994</v>
      </c>
      <c r="C3461" t="s">
        <v>23</v>
      </c>
      <c r="D3461" t="s">
        <v>24</v>
      </c>
      <c r="E3461" t="s">
        <v>25</v>
      </c>
      <c r="F3461">
        <v>1</v>
      </c>
      <c r="G3461">
        <v>9791136988386</v>
      </c>
      <c r="H3461" t="s">
        <v>26</v>
      </c>
      <c r="I3461" t="s">
        <v>3609</v>
      </c>
      <c r="J3461" t="s">
        <v>28</v>
      </c>
      <c r="K3461" t="s">
        <v>29</v>
      </c>
      <c r="L3461" s="1">
        <v>3200</v>
      </c>
      <c r="M3461" t="s">
        <v>29</v>
      </c>
      <c r="N3461" s="1">
        <v>3200</v>
      </c>
      <c r="O3461" s="1">
        <v>3200</v>
      </c>
      <c r="P3461" t="s">
        <v>30</v>
      </c>
      <c r="Q3461" s="2">
        <v>0.7</v>
      </c>
      <c r="R3461" s="1">
        <v>2240</v>
      </c>
      <c r="S3461" t="s">
        <v>29</v>
      </c>
      <c r="T3461" s="1">
        <v>2240</v>
      </c>
      <c r="V3461" t="str">
        <f>VLOOKUP(H3461,'[1]팀별 출판사'!A:B,2,0)</f>
        <v>소설1팀</v>
      </c>
      <c r="W3461" s="6">
        <f t="shared" si="108"/>
        <v>0</v>
      </c>
      <c r="X3461" s="6">
        <f t="shared" si="109"/>
        <v>2240</v>
      </c>
    </row>
    <row r="3462" spans="1:24" x14ac:dyDescent="0.3">
      <c r="A3462" t="s">
        <v>4838</v>
      </c>
      <c r="B3462" t="s">
        <v>4994</v>
      </c>
      <c r="C3462" t="s">
        <v>23</v>
      </c>
      <c r="D3462" t="s">
        <v>24</v>
      </c>
      <c r="E3462" t="s">
        <v>25</v>
      </c>
      <c r="F3462">
        <v>1</v>
      </c>
      <c r="G3462">
        <v>9791136988416</v>
      </c>
      <c r="H3462" t="s">
        <v>26</v>
      </c>
      <c r="I3462" t="s">
        <v>3648</v>
      </c>
      <c r="J3462" t="s">
        <v>28</v>
      </c>
      <c r="K3462" t="s">
        <v>29</v>
      </c>
      <c r="L3462" s="1">
        <v>3200</v>
      </c>
      <c r="M3462" t="s">
        <v>29</v>
      </c>
      <c r="N3462" s="1">
        <v>3200</v>
      </c>
      <c r="O3462" s="1">
        <v>3200</v>
      </c>
      <c r="P3462" t="s">
        <v>30</v>
      </c>
      <c r="Q3462" s="2">
        <v>0.7</v>
      </c>
      <c r="R3462" s="1">
        <v>2240</v>
      </c>
      <c r="S3462" t="s">
        <v>29</v>
      </c>
      <c r="T3462" s="1">
        <v>2240</v>
      </c>
      <c r="V3462" t="str">
        <f>VLOOKUP(H3462,'[1]팀별 출판사'!A:B,2,0)</f>
        <v>소설1팀</v>
      </c>
      <c r="W3462" s="6">
        <f t="shared" si="108"/>
        <v>0</v>
      </c>
      <c r="X3462" s="6">
        <f t="shared" si="109"/>
        <v>2240</v>
      </c>
    </row>
    <row r="3463" spans="1:24" x14ac:dyDescent="0.3">
      <c r="A3463" t="s">
        <v>4838</v>
      </c>
      <c r="B3463" t="s">
        <v>4994</v>
      </c>
      <c r="C3463" t="s">
        <v>23</v>
      </c>
      <c r="D3463" t="s">
        <v>24</v>
      </c>
      <c r="E3463" t="s">
        <v>25</v>
      </c>
      <c r="F3463">
        <v>1</v>
      </c>
      <c r="G3463">
        <v>9791136988744</v>
      </c>
      <c r="H3463" t="s">
        <v>26</v>
      </c>
      <c r="I3463" t="s">
        <v>3756</v>
      </c>
      <c r="J3463" t="s">
        <v>28</v>
      </c>
      <c r="K3463" t="s">
        <v>29</v>
      </c>
      <c r="L3463" s="1">
        <v>3200</v>
      </c>
      <c r="M3463" t="s">
        <v>29</v>
      </c>
      <c r="N3463" s="1">
        <v>3200</v>
      </c>
      <c r="O3463" s="1">
        <v>3200</v>
      </c>
      <c r="P3463" t="s">
        <v>30</v>
      </c>
      <c r="Q3463" s="2">
        <v>0.7</v>
      </c>
      <c r="R3463" s="1">
        <v>2240</v>
      </c>
      <c r="S3463" t="s">
        <v>29</v>
      </c>
      <c r="T3463" s="1">
        <v>2240</v>
      </c>
      <c r="V3463" t="str">
        <f>VLOOKUP(H3463,'[1]팀별 출판사'!A:B,2,0)</f>
        <v>소설1팀</v>
      </c>
      <c r="W3463" s="6">
        <f t="shared" si="108"/>
        <v>0</v>
      </c>
      <c r="X3463" s="6">
        <f t="shared" si="109"/>
        <v>2240</v>
      </c>
    </row>
    <row r="3464" spans="1:24" x14ac:dyDescent="0.3">
      <c r="A3464" t="s">
        <v>4838</v>
      </c>
      <c r="B3464" t="s">
        <v>4994</v>
      </c>
      <c r="C3464" t="s">
        <v>23</v>
      </c>
      <c r="D3464" t="s">
        <v>24</v>
      </c>
      <c r="E3464" t="s">
        <v>25</v>
      </c>
      <c r="F3464">
        <v>1</v>
      </c>
      <c r="G3464">
        <v>9791136988751</v>
      </c>
      <c r="H3464" t="s">
        <v>26</v>
      </c>
      <c r="I3464" t="s">
        <v>3757</v>
      </c>
      <c r="J3464" t="s">
        <v>28</v>
      </c>
      <c r="K3464" t="s">
        <v>29</v>
      </c>
      <c r="L3464" s="1">
        <v>3200</v>
      </c>
      <c r="M3464" t="s">
        <v>29</v>
      </c>
      <c r="N3464" s="1">
        <v>3200</v>
      </c>
      <c r="O3464" s="1">
        <v>3200</v>
      </c>
      <c r="P3464" t="s">
        <v>30</v>
      </c>
      <c r="Q3464" s="2">
        <v>0.7</v>
      </c>
      <c r="R3464" s="1">
        <v>2240</v>
      </c>
      <c r="S3464" t="s">
        <v>29</v>
      </c>
      <c r="T3464" s="1">
        <v>2240</v>
      </c>
      <c r="V3464" t="str">
        <f>VLOOKUP(H3464,'[1]팀별 출판사'!A:B,2,0)</f>
        <v>소설1팀</v>
      </c>
      <c r="W3464" s="6">
        <f t="shared" si="108"/>
        <v>0</v>
      </c>
      <c r="X3464" s="6">
        <f t="shared" si="109"/>
        <v>2240</v>
      </c>
    </row>
    <row r="3465" spans="1:24" x14ac:dyDescent="0.3">
      <c r="A3465" t="s">
        <v>4838</v>
      </c>
      <c r="B3465" t="s">
        <v>4994</v>
      </c>
      <c r="C3465" t="s">
        <v>23</v>
      </c>
      <c r="D3465" t="s">
        <v>24</v>
      </c>
      <c r="E3465" t="s">
        <v>25</v>
      </c>
      <c r="F3465">
        <v>1</v>
      </c>
      <c r="G3465">
        <v>9791136988768</v>
      </c>
      <c r="H3465" t="s">
        <v>26</v>
      </c>
      <c r="I3465" t="s">
        <v>3758</v>
      </c>
      <c r="J3465" t="s">
        <v>28</v>
      </c>
      <c r="K3465" t="s">
        <v>29</v>
      </c>
      <c r="L3465" s="1">
        <v>3200</v>
      </c>
      <c r="M3465" t="s">
        <v>29</v>
      </c>
      <c r="N3465" s="1">
        <v>3200</v>
      </c>
      <c r="O3465" s="1">
        <v>3200</v>
      </c>
      <c r="P3465" t="s">
        <v>30</v>
      </c>
      <c r="Q3465" s="2">
        <v>0.7</v>
      </c>
      <c r="R3465" s="1">
        <v>2240</v>
      </c>
      <c r="S3465" t="s">
        <v>29</v>
      </c>
      <c r="T3465" s="1">
        <v>2240</v>
      </c>
      <c r="V3465" t="str">
        <f>VLOOKUP(H3465,'[1]팀별 출판사'!A:B,2,0)</f>
        <v>소설1팀</v>
      </c>
      <c r="W3465" s="6">
        <f t="shared" si="108"/>
        <v>0</v>
      </c>
      <c r="X3465" s="6">
        <f t="shared" si="109"/>
        <v>2240</v>
      </c>
    </row>
    <row r="3466" spans="1:24" x14ac:dyDescent="0.3">
      <c r="A3466" t="s">
        <v>4838</v>
      </c>
      <c r="B3466" t="s">
        <v>4995</v>
      </c>
      <c r="C3466" t="s">
        <v>23</v>
      </c>
      <c r="D3466" t="s">
        <v>24</v>
      </c>
      <c r="E3466" t="s">
        <v>25</v>
      </c>
      <c r="F3466">
        <v>1</v>
      </c>
      <c r="G3466">
        <v>9791133185429</v>
      </c>
      <c r="H3466" t="s">
        <v>26</v>
      </c>
      <c r="I3466" t="s">
        <v>4996</v>
      </c>
      <c r="J3466" t="s">
        <v>588</v>
      </c>
      <c r="K3466" t="s">
        <v>29</v>
      </c>
      <c r="L3466" s="1">
        <v>3200</v>
      </c>
      <c r="M3466" t="s">
        <v>29</v>
      </c>
      <c r="N3466" s="1">
        <v>3200</v>
      </c>
      <c r="O3466" s="1">
        <v>3200</v>
      </c>
      <c r="P3466" t="s">
        <v>30</v>
      </c>
      <c r="Q3466" s="2">
        <v>0.7</v>
      </c>
      <c r="R3466" s="1">
        <v>2240</v>
      </c>
      <c r="S3466" t="s">
        <v>29</v>
      </c>
      <c r="T3466" s="1">
        <v>2240</v>
      </c>
      <c r="V3466" t="str">
        <f>VLOOKUP(H3466,'[1]팀별 출판사'!A:B,2,0)</f>
        <v>소설1팀</v>
      </c>
      <c r="W3466" s="6">
        <f t="shared" si="108"/>
        <v>0</v>
      </c>
      <c r="X3466" s="6">
        <f t="shared" si="109"/>
        <v>2240</v>
      </c>
    </row>
    <row r="3467" spans="1:24" x14ac:dyDescent="0.3">
      <c r="A3467" t="s">
        <v>4838</v>
      </c>
      <c r="B3467" t="s">
        <v>4997</v>
      </c>
      <c r="C3467" t="s">
        <v>23</v>
      </c>
      <c r="D3467" t="s">
        <v>24</v>
      </c>
      <c r="E3467" t="s">
        <v>25</v>
      </c>
      <c r="F3467">
        <v>1</v>
      </c>
      <c r="G3467">
        <v>9791136946812</v>
      </c>
      <c r="H3467" t="s">
        <v>26</v>
      </c>
      <c r="I3467" t="s">
        <v>4709</v>
      </c>
      <c r="J3467" t="s">
        <v>28</v>
      </c>
      <c r="K3467" t="s">
        <v>29</v>
      </c>
      <c r="L3467" s="1">
        <v>3200</v>
      </c>
      <c r="M3467" t="s">
        <v>29</v>
      </c>
      <c r="N3467" s="1">
        <v>3200</v>
      </c>
      <c r="O3467" s="1">
        <v>3200</v>
      </c>
      <c r="P3467" t="s">
        <v>30</v>
      </c>
      <c r="Q3467" s="2">
        <v>0.7</v>
      </c>
      <c r="R3467" s="1">
        <v>2240</v>
      </c>
      <c r="S3467" t="s">
        <v>29</v>
      </c>
      <c r="T3467" s="1">
        <v>2240</v>
      </c>
      <c r="V3467" t="str">
        <f>VLOOKUP(H3467,'[1]팀별 출판사'!A:B,2,0)</f>
        <v>소설1팀</v>
      </c>
      <c r="W3467" s="6">
        <f t="shared" si="108"/>
        <v>0</v>
      </c>
      <c r="X3467" s="6">
        <f t="shared" si="109"/>
        <v>2240</v>
      </c>
    </row>
    <row r="3468" spans="1:24" x14ac:dyDescent="0.3">
      <c r="A3468" t="s">
        <v>4838</v>
      </c>
      <c r="B3468" t="s">
        <v>4998</v>
      </c>
      <c r="C3468" t="s">
        <v>23</v>
      </c>
      <c r="D3468" t="s">
        <v>24</v>
      </c>
      <c r="E3468" t="s">
        <v>25</v>
      </c>
      <c r="F3468">
        <v>1</v>
      </c>
      <c r="G3468">
        <v>9791136932648</v>
      </c>
      <c r="H3468" t="s">
        <v>32</v>
      </c>
      <c r="I3468" t="s">
        <v>832</v>
      </c>
      <c r="J3468" t="s">
        <v>34</v>
      </c>
      <c r="K3468" t="s">
        <v>29</v>
      </c>
      <c r="L3468">
        <v>0</v>
      </c>
      <c r="M3468" t="s">
        <v>127</v>
      </c>
      <c r="N3468">
        <v>0</v>
      </c>
      <c r="O3468">
        <v>0</v>
      </c>
      <c r="P3468" t="s">
        <v>128</v>
      </c>
      <c r="Q3468" s="2">
        <v>0.7</v>
      </c>
      <c r="R3468">
        <v>0</v>
      </c>
      <c r="V3468" t="str">
        <f>VLOOKUP(H3468,'[1]팀별 출판사'!A:B,2,0)</f>
        <v>소설1팀</v>
      </c>
      <c r="W3468" s="6">
        <f t="shared" si="108"/>
        <v>0</v>
      </c>
      <c r="X3468" s="6">
        <f t="shared" si="109"/>
        <v>0</v>
      </c>
    </row>
    <row r="3469" spans="1:24" x14ac:dyDescent="0.3">
      <c r="A3469" t="s">
        <v>4838</v>
      </c>
      <c r="B3469" t="s">
        <v>4999</v>
      </c>
      <c r="C3469" t="s">
        <v>23</v>
      </c>
      <c r="D3469" t="s">
        <v>24</v>
      </c>
      <c r="E3469" t="s">
        <v>25</v>
      </c>
      <c r="F3469">
        <v>1</v>
      </c>
      <c r="G3469">
        <v>9791136941862</v>
      </c>
      <c r="H3469" t="s">
        <v>26</v>
      </c>
      <c r="I3469" t="s">
        <v>894</v>
      </c>
      <c r="J3469" t="s">
        <v>81</v>
      </c>
      <c r="K3469" t="s">
        <v>29</v>
      </c>
      <c r="L3469">
        <v>0</v>
      </c>
      <c r="M3469" t="s">
        <v>127</v>
      </c>
      <c r="N3469">
        <v>0</v>
      </c>
      <c r="O3469">
        <v>0</v>
      </c>
      <c r="P3469" t="s">
        <v>128</v>
      </c>
      <c r="Q3469" s="2">
        <v>0.7</v>
      </c>
      <c r="R3469">
        <v>0</v>
      </c>
      <c r="V3469" t="str">
        <f>VLOOKUP(H3469,'[1]팀별 출판사'!A:B,2,0)</f>
        <v>소설1팀</v>
      </c>
      <c r="W3469" s="6">
        <f t="shared" si="108"/>
        <v>0</v>
      </c>
      <c r="X3469" s="6">
        <f t="shared" si="109"/>
        <v>0</v>
      </c>
    </row>
    <row r="3470" spans="1:24" x14ac:dyDescent="0.3">
      <c r="A3470" t="s">
        <v>4838</v>
      </c>
      <c r="B3470" t="s">
        <v>5000</v>
      </c>
      <c r="C3470" t="s">
        <v>23</v>
      </c>
      <c r="D3470" t="s">
        <v>24</v>
      </c>
      <c r="E3470" t="s">
        <v>25</v>
      </c>
      <c r="F3470">
        <v>1</v>
      </c>
      <c r="G3470">
        <v>9791136935496</v>
      </c>
      <c r="H3470" t="s">
        <v>32</v>
      </c>
      <c r="I3470" t="s">
        <v>441</v>
      </c>
      <c r="J3470" t="s">
        <v>442</v>
      </c>
      <c r="K3470" t="s">
        <v>29</v>
      </c>
      <c r="L3470">
        <v>0</v>
      </c>
      <c r="M3470" t="s">
        <v>127</v>
      </c>
      <c r="N3470">
        <v>0</v>
      </c>
      <c r="O3470">
        <v>0</v>
      </c>
      <c r="P3470" t="s">
        <v>128</v>
      </c>
      <c r="Q3470" s="2">
        <v>0.7</v>
      </c>
      <c r="R3470">
        <v>0</v>
      </c>
      <c r="V3470" t="str">
        <f>VLOOKUP(H3470,'[1]팀별 출판사'!A:B,2,0)</f>
        <v>소설1팀</v>
      </c>
      <c r="W3470" s="6">
        <f t="shared" si="108"/>
        <v>0</v>
      </c>
      <c r="X3470" s="6">
        <f t="shared" si="109"/>
        <v>0</v>
      </c>
    </row>
    <row r="3471" spans="1:24" x14ac:dyDescent="0.3">
      <c r="A3471" t="s">
        <v>4838</v>
      </c>
      <c r="B3471" t="s">
        <v>5001</v>
      </c>
      <c r="C3471" t="s">
        <v>23</v>
      </c>
      <c r="D3471" t="s">
        <v>24</v>
      </c>
      <c r="E3471" t="s">
        <v>25</v>
      </c>
      <c r="F3471">
        <v>1</v>
      </c>
      <c r="G3471">
        <v>9791136930552</v>
      </c>
      <c r="H3471" t="s">
        <v>26</v>
      </c>
      <c r="I3471" t="s">
        <v>45</v>
      </c>
      <c r="J3471" t="s">
        <v>46</v>
      </c>
      <c r="K3471" t="s">
        <v>29</v>
      </c>
      <c r="L3471">
        <v>0</v>
      </c>
      <c r="M3471" t="s">
        <v>47</v>
      </c>
      <c r="N3471">
        <v>0</v>
      </c>
      <c r="O3471">
        <v>0</v>
      </c>
      <c r="P3471" t="s">
        <v>48</v>
      </c>
      <c r="Q3471" s="2">
        <v>0.7</v>
      </c>
      <c r="R3471">
        <v>0</v>
      </c>
      <c r="V3471" t="str">
        <f>VLOOKUP(H3471,'[1]팀별 출판사'!A:B,2,0)</f>
        <v>소설1팀</v>
      </c>
      <c r="W3471" s="6">
        <f t="shared" si="108"/>
        <v>0</v>
      </c>
      <c r="X3471" s="6">
        <f t="shared" si="109"/>
        <v>0</v>
      </c>
    </row>
    <row r="3472" spans="1:24" x14ac:dyDescent="0.3">
      <c r="A3472" t="s">
        <v>4838</v>
      </c>
      <c r="B3472" t="s">
        <v>5002</v>
      </c>
      <c r="C3472" t="s">
        <v>23</v>
      </c>
      <c r="D3472" t="s">
        <v>24</v>
      </c>
      <c r="E3472" t="s">
        <v>25</v>
      </c>
      <c r="F3472">
        <v>1</v>
      </c>
      <c r="G3472">
        <v>9791136946782</v>
      </c>
      <c r="H3472" t="s">
        <v>26</v>
      </c>
      <c r="I3472" t="s">
        <v>291</v>
      </c>
      <c r="J3472" t="s">
        <v>28</v>
      </c>
      <c r="K3472" t="s">
        <v>29</v>
      </c>
      <c r="L3472">
        <v>0</v>
      </c>
      <c r="M3472" t="s">
        <v>29</v>
      </c>
      <c r="N3472">
        <v>0</v>
      </c>
      <c r="O3472">
        <v>0</v>
      </c>
      <c r="P3472" t="s">
        <v>30</v>
      </c>
      <c r="Q3472" s="2">
        <v>0.7</v>
      </c>
      <c r="R3472">
        <v>0</v>
      </c>
      <c r="V3472" t="str">
        <f>VLOOKUP(H3472,'[1]팀별 출판사'!A:B,2,0)</f>
        <v>소설1팀</v>
      </c>
      <c r="W3472" s="6">
        <f t="shared" si="108"/>
        <v>0</v>
      </c>
      <c r="X3472" s="6">
        <f t="shared" si="109"/>
        <v>0</v>
      </c>
    </row>
    <row r="3473" spans="1:24" x14ac:dyDescent="0.3">
      <c r="A3473" t="s">
        <v>4838</v>
      </c>
      <c r="B3473" t="s">
        <v>5003</v>
      </c>
      <c r="C3473" t="s">
        <v>23</v>
      </c>
      <c r="D3473" t="s">
        <v>24</v>
      </c>
      <c r="E3473" t="s">
        <v>25</v>
      </c>
      <c r="F3473">
        <v>1</v>
      </c>
      <c r="G3473">
        <v>9791172920531</v>
      </c>
      <c r="H3473" t="s">
        <v>26</v>
      </c>
      <c r="I3473" t="s">
        <v>5004</v>
      </c>
      <c r="J3473" t="s">
        <v>5005</v>
      </c>
      <c r="K3473" t="s">
        <v>29</v>
      </c>
      <c r="L3473">
        <v>0</v>
      </c>
      <c r="M3473" t="s">
        <v>70</v>
      </c>
      <c r="N3473">
        <v>0</v>
      </c>
      <c r="O3473">
        <v>0</v>
      </c>
      <c r="P3473" t="s">
        <v>71</v>
      </c>
      <c r="Q3473" s="2">
        <v>0.7</v>
      </c>
      <c r="R3473">
        <v>0</v>
      </c>
      <c r="V3473" t="str">
        <f>VLOOKUP(H3473,'[1]팀별 출판사'!A:B,2,0)</f>
        <v>소설1팀</v>
      </c>
      <c r="W3473" s="6">
        <f t="shared" si="108"/>
        <v>0</v>
      </c>
      <c r="X3473" s="6">
        <f t="shared" si="109"/>
        <v>0</v>
      </c>
    </row>
    <row r="3474" spans="1:24" x14ac:dyDescent="0.3">
      <c r="A3474" t="s">
        <v>4838</v>
      </c>
      <c r="B3474" t="s">
        <v>5006</v>
      </c>
      <c r="C3474" t="s">
        <v>23</v>
      </c>
      <c r="D3474" t="s">
        <v>24</v>
      </c>
      <c r="E3474" t="s">
        <v>25</v>
      </c>
      <c r="F3474">
        <v>1</v>
      </c>
      <c r="G3474">
        <v>9791175303041</v>
      </c>
      <c r="H3474" t="s">
        <v>36</v>
      </c>
      <c r="I3474" t="s">
        <v>5007</v>
      </c>
      <c r="J3474" t="s">
        <v>4903</v>
      </c>
      <c r="K3474" t="s">
        <v>29</v>
      </c>
      <c r="L3474" s="1">
        <v>3300</v>
      </c>
      <c r="M3474" t="s">
        <v>29</v>
      </c>
      <c r="N3474" s="1">
        <v>3300</v>
      </c>
      <c r="O3474" s="1">
        <v>3300</v>
      </c>
      <c r="P3474" t="s">
        <v>30</v>
      </c>
      <c r="Q3474" s="2">
        <v>0.7</v>
      </c>
      <c r="R3474" s="1">
        <v>2310</v>
      </c>
      <c r="S3474" t="s">
        <v>29</v>
      </c>
      <c r="T3474" s="1">
        <v>2310</v>
      </c>
      <c r="V3474" t="str">
        <f>VLOOKUP(H3474,'[1]팀별 출판사'!A:B,2,0)</f>
        <v>소설2팀</v>
      </c>
      <c r="W3474" s="6">
        <f t="shared" si="108"/>
        <v>0</v>
      </c>
      <c r="X3474" s="6">
        <f t="shared" si="109"/>
        <v>2310</v>
      </c>
    </row>
    <row r="3475" spans="1:24" x14ac:dyDescent="0.3">
      <c r="A3475" t="s">
        <v>4838</v>
      </c>
      <c r="B3475" t="s">
        <v>5008</v>
      </c>
      <c r="C3475" t="s">
        <v>23</v>
      </c>
      <c r="D3475" t="s">
        <v>24</v>
      </c>
      <c r="E3475" t="s">
        <v>25</v>
      </c>
      <c r="F3475">
        <v>1</v>
      </c>
      <c r="G3475">
        <v>9791136916969</v>
      </c>
      <c r="H3475" t="s">
        <v>26</v>
      </c>
      <c r="I3475" t="s">
        <v>1228</v>
      </c>
      <c r="J3475" t="s">
        <v>436</v>
      </c>
      <c r="K3475" t="s">
        <v>29</v>
      </c>
      <c r="L3475">
        <v>0</v>
      </c>
      <c r="M3475" t="s">
        <v>70</v>
      </c>
      <c r="N3475">
        <v>0</v>
      </c>
      <c r="O3475">
        <v>0</v>
      </c>
      <c r="P3475" t="s">
        <v>71</v>
      </c>
      <c r="Q3475" s="2">
        <v>0.7</v>
      </c>
      <c r="R3475">
        <v>0</v>
      </c>
      <c r="V3475" t="str">
        <f>VLOOKUP(H3475,'[1]팀별 출판사'!A:B,2,0)</f>
        <v>소설1팀</v>
      </c>
      <c r="W3475" s="6">
        <f t="shared" si="108"/>
        <v>0</v>
      </c>
      <c r="X3475" s="6">
        <f t="shared" si="109"/>
        <v>0</v>
      </c>
    </row>
    <row r="3476" spans="1:24" x14ac:dyDescent="0.3">
      <c r="A3476" t="s">
        <v>4838</v>
      </c>
      <c r="B3476" t="s">
        <v>5009</v>
      </c>
      <c r="C3476" t="s">
        <v>23</v>
      </c>
      <c r="D3476" t="s">
        <v>24</v>
      </c>
      <c r="E3476" t="s">
        <v>25</v>
      </c>
      <c r="F3476">
        <v>1</v>
      </c>
      <c r="G3476">
        <v>9791136931382</v>
      </c>
      <c r="H3476" t="s">
        <v>32</v>
      </c>
      <c r="I3476" t="s">
        <v>523</v>
      </c>
      <c r="J3476" t="s">
        <v>46</v>
      </c>
      <c r="K3476" t="s">
        <v>29</v>
      </c>
      <c r="L3476">
        <v>0</v>
      </c>
      <c r="M3476" t="s">
        <v>29</v>
      </c>
      <c r="N3476">
        <v>0</v>
      </c>
      <c r="O3476">
        <v>0</v>
      </c>
      <c r="P3476" t="s">
        <v>30</v>
      </c>
      <c r="Q3476" s="2">
        <v>0.7</v>
      </c>
      <c r="R3476">
        <v>0</v>
      </c>
      <c r="V3476" t="str">
        <f>VLOOKUP(H3476,'[1]팀별 출판사'!A:B,2,0)</f>
        <v>소설1팀</v>
      </c>
      <c r="W3476" s="6">
        <f t="shared" si="108"/>
        <v>0</v>
      </c>
      <c r="X3476" s="6">
        <f t="shared" si="109"/>
        <v>0</v>
      </c>
    </row>
    <row r="3477" spans="1:24" x14ac:dyDescent="0.3">
      <c r="A3477" t="s">
        <v>4838</v>
      </c>
      <c r="B3477" t="s">
        <v>5010</v>
      </c>
      <c r="C3477" t="s">
        <v>23</v>
      </c>
      <c r="D3477" t="s">
        <v>24</v>
      </c>
      <c r="E3477" t="s">
        <v>25</v>
      </c>
      <c r="F3477">
        <v>1</v>
      </c>
      <c r="G3477">
        <v>9791133186556</v>
      </c>
      <c r="H3477" t="s">
        <v>32</v>
      </c>
      <c r="I3477" t="s">
        <v>5011</v>
      </c>
      <c r="J3477" t="s">
        <v>166</v>
      </c>
      <c r="K3477" t="s">
        <v>29</v>
      </c>
      <c r="L3477" s="1">
        <v>3200</v>
      </c>
      <c r="M3477" t="s">
        <v>29</v>
      </c>
      <c r="N3477" s="1">
        <v>3200</v>
      </c>
      <c r="O3477" s="1">
        <v>3200</v>
      </c>
      <c r="P3477" t="s">
        <v>30</v>
      </c>
      <c r="Q3477" s="2">
        <v>0.7</v>
      </c>
      <c r="R3477" s="1">
        <v>2240</v>
      </c>
      <c r="S3477" t="s">
        <v>29</v>
      </c>
      <c r="T3477" s="1">
        <v>2240</v>
      </c>
      <c r="V3477" t="str">
        <f>VLOOKUP(H3477,'[1]팀별 출판사'!A:B,2,0)</f>
        <v>소설1팀</v>
      </c>
      <c r="W3477" s="6">
        <f t="shared" si="108"/>
        <v>0</v>
      </c>
      <c r="X3477" s="6">
        <f t="shared" si="109"/>
        <v>2240</v>
      </c>
    </row>
    <row r="3478" spans="1:24" x14ac:dyDescent="0.3">
      <c r="A3478" t="s">
        <v>4838</v>
      </c>
      <c r="B3478" t="s">
        <v>5012</v>
      </c>
      <c r="C3478" t="s">
        <v>23</v>
      </c>
      <c r="D3478" t="s">
        <v>24</v>
      </c>
      <c r="E3478" t="s">
        <v>25</v>
      </c>
      <c r="F3478">
        <v>1</v>
      </c>
      <c r="G3478">
        <v>9791133167227</v>
      </c>
      <c r="H3478" t="s">
        <v>32</v>
      </c>
      <c r="I3478" t="s">
        <v>313</v>
      </c>
      <c r="J3478" t="s">
        <v>160</v>
      </c>
      <c r="K3478" t="s">
        <v>29</v>
      </c>
      <c r="L3478">
        <v>0</v>
      </c>
      <c r="M3478" t="s">
        <v>29</v>
      </c>
      <c r="N3478">
        <v>0</v>
      </c>
      <c r="O3478">
        <v>0</v>
      </c>
      <c r="P3478" t="s">
        <v>30</v>
      </c>
      <c r="Q3478" s="2">
        <v>0.7</v>
      </c>
      <c r="R3478">
        <v>0</v>
      </c>
      <c r="V3478" t="str">
        <f>VLOOKUP(H3478,'[1]팀별 출판사'!A:B,2,0)</f>
        <v>소설1팀</v>
      </c>
      <c r="W3478" s="6">
        <f t="shared" si="108"/>
        <v>0</v>
      </c>
      <c r="X3478" s="6">
        <f t="shared" si="109"/>
        <v>0</v>
      </c>
    </row>
    <row r="3479" spans="1:24" x14ac:dyDescent="0.3">
      <c r="A3479" t="s">
        <v>4838</v>
      </c>
      <c r="B3479" t="s">
        <v>5013</v>
      </c>
      <c r="C3479" t="s">
        <v>23</v>
      </c>
      <c r="D3479" t="s">
        <v>24</v>
      </c>
      <c r="E3479" t="s">
        <v>25</v>
      </c>
      <c r="F3479">
        <v>1</v>
      </c>
      <c r="G3479">
        <v>9791133106127</v>
      </c>
      <c r="H3479" t="s">
        <v>32</v>
      </c>
      <c r="I3479" t="s">
        <v>585</v>
      </c>
      <c r="J3479" t="s">
        <v>160</v>
      </c>
      <c r="K3479" t="s">
        <v>29</v>
      </c>
      <c r="L3479">
        <v>0</v>
      </c>
      <c r="M3479" t="s">
        <v>29</v>
      </c>
      <c r="N3479">
        <v>0</v>
      </c>
      <c r="O3479">
        <v>0</v>
      </c>
      <c r="P3479" t="s">
        <v>30</v>
      </c>
      <c r="Q3479" s="2">
        <v>0.7</v>
      </c>
      <c r="R3479">
        <v>0</v>
      </c>
      <c r="V3479" t="str">
        <f>VLOOKUP(H3479,'[1]팀별 출판사'!A:B,2,0)</f>
        <v>소설1팀</v>
      </c>
      <c r="W3479" s="6">
        <f t="shared" si="108"/>
        <v>0</v>
      </c>
      <c r="X3479" s="6">
        <f t="shared" si="109"/>
        <v>0</v>
      </c>
    </row>
    <row r="3480" spans="1:24" x14ac:dyDescent="0.3">
      <c r="A3480" t="s">
        <v>4838</v>
      </c>
      <c r="B3480" t="s">
        <v>5014</v>
      </c>
      <c r="C3480" t="s">
        <v>23</v>
      </c>
      <c r="D3480" t="s">
        <v>24</v>
      </c>
      <c r="E3480" t="s">
        <v>25</v>
      </c>
      <c r="F3480">
        <v>1</v>
      </c>
      <c r="G3480">
        <v>9791175303478</v>
      </c>
      <c r="H3480" t="s">
        <v>26</v>
      </c>
      <c r="I3480" t="s">
        <v>5015</v>
      </c>
      <c r="J3480" t="s">
        <v>5016</v>
      </c>
      <c r="K3480" t="s">
        <v>29</v>
      </c>
      <c r="L3480">
        <v>0</v>
      </c>
      <c r="M3480" t="s">
        <v>70</v>
      </c>
      <c r="N3480">
        <v>0</v>
      </c>
      <c r="O3480">
        <v>0</v>
      </c>
      <c r="P3480" t="s">
        <v>71</v>
      </c>
      <c r="Q3480" s="2">
        <v>0.7</v>
      </c>
      <c r="R3480">
        <v>0</v>
      </c>
      <c r="V3480" t="str">
        <f>VLOOKUP(H3480,'[1]팀별 출판사'!A:B,2,0)</f>
        <v>소설1팀</v>
      </c>
      <c r="W3480" s="6">
        <f t="shared" si="108"/>
        <v>0</v>
      </c>
      <c r="X3480" s="6">
        <f t="shared" si="109"/>
        <v>0</v>
      </c>
    </row>
    <row r="3481" spans="1:24" x14ac:dyDescent="0.3">
      <c r="A3481" t="s">
        <v>4838</v>
      </c>
      <c r="B3481" t="s">
        <v>5017</v>
      </c>
      <c r="C3481" t="s">
        <v>23</v>
      </c>
      <c r="D3481" t="s">
        <v>24</v>
      </c>
      <c r="E3481" t="s">
        <v>25</v>
      </c>
      <c r="F3481">
        <v>1</v>
      </c>
      <c r="G3481">
        <v>9791170103387</v>
      </c>
      <c r="H3481" t="s">
        <v>67</v>
      </c>
      <c r="I3481" t="s">
        <v>307</v>
      </c>
      <c r="J3481" t="s">
        <v>308</v>
      </c>
      <c r="K3481" t="s">
        <v>29</v>
      </c>
      <c r="L3481">
        <v>0</v>
      </c>
      <c r="M3481" t="s">
        <v>29</v>
      </c>
      <c r="N3481">
        <v>0</v>
      </c>
      <c r="O3481">
        <v>0</v>
      </c>
      <c r="P3481" t="s">
        <v>30</v>
      </c>
      <c r="Q3481" s="2">
        <v>0.7</v>
      </c>
      <c r="R3481">
        <v>0</v>
      </c>
      <c r="V3481" t="str">
        <f>VLOOKUP(H3481,'[1]팀별 출판사'!A:B,2,0)</f>
        <v>소설1팀</v>
      </c>
      <c r="W3481" s="6">
        <f t="shared" si="108"/>
        <v>0</v>
      </c>
      <c r="X3481" s="6">
        <f t="shared" si="109"/>
        <v>0</v>
      </c>
    </row>
    <row r="3482" spans="1:24" x14ac:dyDescent="0.3">
      <c r="A3482" t="s">
        <v>4838</v>
      </c>
      <c r="B3482" t="s">
        <v>5018</v>
      </c>
      <c r="C3482" t="s">
        <v>23</v>
      </c>
      <c r="D3482" t="s">
        <v>24</v>
      </c>
      <c r="E3482" t="s">
        <v>25</v>
      </c>
      <c r="F3482">
        <v>1</v>
      </c>
      <c r="G3482">
        <v>9791157534548</v>
      </c>
      <c r="H3482" t="s">
        <v>32</v>
      </c>
      <c r="I3482" t="s">
        <v>1134</v>
      </c>
      <c r="J3482" t="s">
        <v>166</v>
      </c>
      <c r="K3482" t="s">
        <v>29</v>
      </c>
      <c r="L3482">
        <v>0</v>
      </c>
      <c r="M3482" t="s">
        <v>29</v>
      </c>
      <c r="N3482">
        <v>0</v>
      </c>
      <c r="O3482">
        <v>0</v>
      </c>
      <c r="P3482" t="s">
        <v>30</v>
      </c>
      <c r="Q3482" s="2">
        <v>0.7</v>
      </c>
      <c r="R3482">
        <v>0</v>
      </c>
      <c r="V3482" t="str">
        <f>VLOOKUP(H3482,'[1]팀별 출판사'!A:B,2,0)</f>
        <v>소설1팀</v>
      </c>
      <c r="W3482" s="6">
        <f t="shared" si="108"/>
        <v>0</v>
      </c>
      <c r="X3482" s="6">
        <f t="shared" si="109"/>
        <v>0</v>
      </c>
    </row>
    <row r="3483" spans="1:24" x14ac:dyDescent="0.3">
      <c r="A3483" t="s">
        <v>4838</v>
      </c>
      <c r="B3483" t="s">
        <v>5019</v>
      </c>
      <c r="C3483" t="s">
        <v>23</v>
      </c>
      <c r="D3483" t="s">
        <v>24</v>
      </c>
      <c r="E3483" t="s">
        <v>25</v>
      </c>
      <c r="F3483">
        <v>1</v>
      </c>
      <c r="G3483">
        <v>9791170107064</v>
      </c>
      <c r="H3483" t="s">
        <v>67</v>
      </c>
      <c r="I3483" t="s">
        <v>901</v>
      </c>
      <c r="J3483" t="s">
        <v>902</v>
      </c>
      <c r="K3483" t="s">
        <v>29</v>
      </c>
      <c r="L3483">
        <v>0</v>
      </c>
      <c r="M3483" t="s">
        <v>193</v>
      </c>
      <c r="N3483">
        <v>0</v>
      </c>
      <c r="O3483">
        <v>0</v>
      </c>
      <c r="P3483" t="s">
        <v>194</v>
      </c>
      <c r="Q3483" s="2">
        <v>0.7</v>
      </c>
      <c r="R3483">
        <v>0</v>
      </c>
      <c r="V3483" t="str">
        <f>VLOOKUP(H3483,'[1]팀별 출판사'!A:B,2,0)</f>
        <v>소설1팀</v>
      </c>
      <c r="W3483" s="6">
        <f t="shared" si="108"/>
        <v>0</v>
      </c>
      <c r="X3483" s="6">
        <f t="shared" si="109"/>
        <v>0</v>
      </c>
    </row>
    <row r="3484" spans="1:24" x14ac:dyDescent="0.3">
      <c r="A3484" t="s">
        <v>4838</v>
      </c>
      <c r="B3484" t="s">
        <v>5020</v>
      </c>
      <c r="C3484" t="s">
        <v>23</v>
      </c>
      <c r="D3484" t="s">
        <v>24</v>
      </c>
      <c r="E3484" t="s">
        <v>25</v>
      </c>
      <c r="F3484">
        <v>1</v>
      </c>
      <c r="G3484">
        <v>9791136941862</v>
      </c>
      <c r="H3484" t="s">
        <v>26</v>
      </c>
      <c r="I3484" t="s">
        <v>894</v>
      </c>
      <c r="J3484" t="s">
        <v>81</v>
      </c>
      <c r="K3484" t="s">
        <v>29</v>
      </c>
      <c r="L3484">
        <v>0</v>
      </c>
      <c r="M3484" t="s">
        <v>70</v>
      </c>
      <c r="N3484">
        <v>0</v>
      </c>
      <c r="O3484">
        <v>0</v>
      </c>
      <c r="P3484" t="s">
        <v>71</v>
      </c>
      <c r="Q3484" s="2">
        <v>0.7</v>
      </c>
      <c r="R3484">
        <v>0</v>
      </c>
      <c r="V3484" t="str">
        <f>VLOOKUP(H3484,'[1]팀별 출판사'!A:B,2,0)</f>
        <v>소설1팀</v>
      </c>
      <c r="W3484" s="6">
        <f t="shared" si="108"/>
        <v>0</v>
      </c>
      <c r="X3484" s="6">
        <f t="shared" si="109"/>
        <v>0</v>
      </c>
    </row>
    <row r="3485" spans="1:24" x14ac:dyDescent="0.3">
      <c r="A3485" t="s">
        <v>4838</v>
      </c>
      <c r="B3485" t="s">
        <v>5021</v>
      </c>
      <c r="C3485" t="s">
        <v>23</v>
      </c>
      <c r="D3485" t="s">
        <v>24</v>
      </c>
      <c r="E3485" t="s">
        <v>25</v>
      </c>
      <c r="F3485">
        <v>1</v>
      </c>
      <c r="G3485">
        <v>9791172929800</v>
      </c>
      <c r="H3485" t="s">
        <v>79</v>
      </c>
      <c r="I3485" t="s">
        <v>3424</v>
      </c>
      <c r="J3485" t="s">
        <v>3425</v>
      </c>
      <c r="K3485" t="s">
        <v>29</v>
      </c>
      <c r="L3485">
        <v>0</v>
      </c>
      <c r="M3485" t="s">
        <v>136</v>
      </c>
      <c r="N3485">
        <v>0</v>
      </c>
      <c r="O3485">
        <v>0</v>
      </c>
      <c r="P3485" t="s">
        <v>137</v>
      </c>
      <c r="Q3485" s="2">
        <v>0.7</v>
      </c>
      <c r="R3485">
        <v>0</v>
      </c>
      <c r="V3485" t="str">
        <f>VLOOKUP(H3485,'[1]팀별 출판사'!A:B,2,0)</f>
        <v>소설1팀</v>
      </c>
      <c r="W3485" s="6">
        <f t="shared" si="108"/>
        <v>0</v>
      </c>
      <c r="X3485" s="6">
        <f t="shared" si="109"/>
        <v>0</v>
      </c>
    </row>
    <row r="3486" spans="1:24" x14ac:dyDescent="0.3">
      <c r="A3486" t="s">
        <v>4838</v>
      </c>
      <c r="B3486" t="s">
        <v>5022</v>
      </c>
      <c r="C3486" t="s">
        <v>23</v>
      </c>
      <c r="D3486" t="s">
        <v>24</v>
      </c>
      <c r="E3486" t="s">
        <v>25</v>
      </c>
      <c r="F3486">
        <v>1</v>
      </c>
      <c r="G3486">
        <v>9791173788413</v>
      </c>
      <c r="H3486" t="s">
        <v>79</v>
      </c>
      <c r="I3486" t="s">
        <v>3465</v>
      </c>
      <c r="J3486" t="s">
        <v>3425</v>
      </c>
      <c r="K3486" t="s">
        <v>29</v>
      </c>
      <c r="L3486">
        <v>0</v>
      </c>
      <c r="M3486" t="s">
        <v>136</v>
      </c>
      <c r="N3486">
        <v>0</v>
      </c>
      <c r="O3486">
        <v>0</v>
      </c>
      <c r="P3486" t="s">
        <v>137</v>
      </c>
      <c r="Q3486" s="2">
        <v>0.7</v>
      </c>
      <c r="R3486">
        <v>0</v>
      </c>
      <c r="V3486" t="str">
        <f>VLOOKUP(H3486,'[1]팀별 출판사'!A:B,2,0)</f>
        <v>소설1팀</v>
      </c>
      <c r="W3486" s="6">
        <f t="shared" si="108"/>
        <v>0</v>
      </c>
      <c r="X3486" s="6">
        <f t="shared" si="109"/>
        <v>0</v>
      </c>
    </row>
    <row r="3487" spans="1:24" x14ac:dyDescent="0.3">
      <c r="A3487" t="s">
        <v>4838</v>
      </c>
      <c r="B3487" t="s">
        <v>5023</v>
      </c>
      <c r="C3487" t="s">
        <v>23</v>
      </c>
      <c r="D3487" t="s">
        <v>24</v>
      </c>
      <c r="E3487" t="s">
        <v>25</v>
      </c>
      <c r="F3487">
        <v>1</v>
      </c>
      <c r="G3487">
        <v>9791133149117</v>
      </c>
      <c r="H3487" t="s">
        <v>32</v>
      </c>
      <c r="I3487" t="s">
        <v>3405</v>
      </c>
      <c r="J3487" t="s">
        <v>284</v>
      </c>
      <c r="K3487" t="s">
        <v>29</v>
      </c>
      <c r="L3487">
        <v>0</v>
      </c>
      <c r="M3487" t="s">
        <v>29</v>
      </c>
      <c r="N3487">
        <v>0</v>
      </c>
      <c r="O3487">
        <v>0</v>
      </c>
      <c r="P3487" t="s">
        <v>30</v>
      </c>
      <c r="Q3487" s="2">
        <v>0.7</v>
      </c>
      <c r="R3487">
        <v>0</v>
      </c>
      <c r="V3487" t="str">
        <f>VLOOKUP(H3487,'[1]팀별 출판사'!A:B,2,0)</f>
        <v>소설1팀</v>
      </c>
      <c r="W3487" s="6">
        <f t="shared" si="108"/>
        <v>0</v>
      </c>
      <c r="X3487" s="6">
        <f t="shared" si="109"/>
        <v>0</v>
      </c>
    </row>
    <row r="3488" spans="1:24" x14ac:dyDescent="0.3">
      <c r="A3488" t="s">
        <v>4838</v>
      </c>
      <c r="B3488" t="s">
        <v>5024</v>
      </c>
      <c r="C3488" t="s">
        <v>23</v>
      </c>
      <c r="D3488" t="s">
        <v>24</v>
      </c>
      <c r="E3488" t="s">
        <v>25</v>
      </c>
      <c r="F3488">
        <v>1</v>
      </c>
      <c r="G3488">
        <v>9791136930491</v>
      </c>
      <c r="H3488" t="s">
        <v>26</v>
      </c>
      <c r="I3488" t="s">
        <v>151</v>
      </c>
      <c r="J3488" t="s">
        <v>46</v>
      </c>
      <c r="K3488" t="s">
        <v>29</v>
      </c>
      <c r="L3488">
        <v>0</v>
      </c>
      <c r="M3488" t="s">
        <v>47</v>
      </c>
      <c r="N3488">
        <v>0</v>
      </c>
      <c r="O3488">
        <v>0</v>
      </c>
      <c r="P3488" t="s">
        <v>48</v>
      </c>
      <c r="Q3488" s="2">
        <v>0.7</v>
      </c>
      <c r="R3488">
        <v>0</v>
      </c>
      <c r="V3488" t="str">
        <f>VLOOKUP(H3488,'[1]팀별 출판사'!A:B,2,0)</f>
        <v>소설1팀</v>
      </c>
      <c r="W3488" s="6">
        <f t="shared" si="108"/>
        <v>0</v>
      </c>
      <c r="X3488" s="6">
        <f t="shared" si="109"/>
        <v>0</v>
      </c>
    </row>
    <row r="3489" spans="1:24" x14ac:dyDescent="0.3">
      <c r="A3489" t="s">
        <v>4838</v>
      </c>
      <c r="B3489" t="s">
        <v>5025</v>
      </c>
      <c r="C3489" t="s">
        <v>23</v>
      </c>
      <c r="D3489" t="s">
        <v>24</v>
      </c>
      <c r="E3489" t="s">
        <v>25</v>
      </c>
      <c r="F3489">
        <v>1</v>
      </c>
      <c r="G3489">
        <v>9791136958662</v>
      </c>
      <c r="H3489" t="s">
        <v>79</v>
      </c>
      <c r="I3489" t="s">
        <v>396</v>
      </c>
      <c r="J3489" t="s">
        <v>81</v>
      </c>
      <c r="K3489" t="s">
        <v>29</v>
      </c>
      <c r="L3489">
        <v>0</v>
      </c>
      <c r="M3489" t="s">
        <v>362</v>
      </c>
      <c r="N3489">
        <v>0</v>
      </c>
      <c r="O3489">
        <v>0</v>
      </c>
      <c r="P3489" t="s">
        <v>363</v>
      </c>
      <c r="Q3489" s="2">
        <v>0.7</v>
      </c>
      <c r="R3489">
        <v>0</v>
      </c>
      <c r="V3489" t="str">
        <f>VLOOKUP(H3489,'[1]팀별 출판사'!A:B,2,0)</f>
        <v>소설1팀</v>
      </c>
      <c r="W3489" s="6">
        <f t="shared" si="108"/>
        <v>0</v>
      </c>
      <c r="X3489" s="6">
        <f t="shared" si="109"/>
        <v>0</v>
      </c>
    </row>
    <row r="3490" spans="1:24" x14ac:dyDescent="0.3">
      <c r="A3490" t="s">
        <v>4838</v>
      </c>
      <c r="B3490" t="s">
        <v>5026</v>
      </c>
      <c r="C3490" t="s">
        <v>23</v>
      </c>
      <c r="D3490" t="s">
        <v>24</v>
      </c>
      <c r="E3490" t="s">
        <v>25</v>
      </c>
      <c r="F3490">
        <v>1</v>
      </c>
      <c r="G3490">
        <v>9791194664369</v>
      </c>
      <c r="H3490" t="s">
        <v>79</v>
      </c>
      <c r="I3490" t="s">
        <v>156</v>
      </c>
      <c r="J3490" t="s">
        <v>157</v>
      </c>
      <c r="K3490" t="s">
        <v>29</v>
      </c>
      <c r="L3490">
        <v>0</v>
      </c>
      <c r="M3490" t="s">
        <v>47</v>
      </c>
      <c r="N3490">
        <v>0</v>
      </c>
      <c r="O3490">
        <v>0</v>
      </c>
      <c r="P3490" t="s">
        <v>48</v>
      </c>
      <c r="Q3490" s="2">
        <v>0.7</v>
      </c>
      <c r="R3490">
        <v>0</v>
      </c>
      <c r="V3490" t="str">
        <f>VLOOKUP(H3490,'[1]팀별 출판사'!A:B,2,0)</f>
        <v>소설1팀</v>
      </c>
      <c r="W3490" s="6">
        <f t="shared" si="108"/>
        <v>0</v>
      </c>
      <c r="X3490" s="6">
        <f t="shared" si="109"/>
        <v>0</v>
      </c>
    </row>
    <row r="3491" spans="1:24" x14ac:dyDescent="0.3">
      <c r="A3491" t="s">
        <v>4838</v>
      </c>
      <c r="B3491" t="s">
        <v>5027</v>
      </c>
      <c r="C3491" t="s">
        <v>23</v>
      </c>
      <c r="D3491" t="s">
        <v>24</v>
      </c>
      <c r="E3491" t="s">
        <v>25</v>
      </c>
      <c r="F3491">
        <v>1</v>
      </c>
      <c r="G3491">
        <v>9791136958662</v>
      </c>
      <c r="H3491" t="s">
        <v>79</v>
      </c>
      <c r="I3491" t="s">
        <v>396</v>
      </c>
      <c r="J3491" t="s">
        <v>81</v>
      </c>
      <c r="K3491" t="s">
        <v>29</v>
      </c>
      <c r="L3491">
        <v>0</v>
      </c>
      <c r="M3491" t="s">
        <v>29</v>
      </c>
      <c r="N3491">
        <v>0</v>
      </c>
      <c r="O3491">
        <v>0</v>
      </c>
      <c r="P3491" t="s">
        <v>30</v>
      </c>
      <c r="Q3491" s="2">
        <v>0.7</v>
      </c>
      <c r="R3491">
        <v>0</v>
      </c>
      <c r="V3491" t="str">
        <f>VLOOKUP(H3491,'[1]팀별 출판사'!A:B,2,0)</f>
        <v>소설1팀</v>
      </c>
      <c r="W3491" s="6">
        <f t="shared" si="108"/>
        <v>0</v>
      </c>
      <c r="X3491" s="6">
        <f t="shared" si="109"/>
        <v>0</v>
      </c>
    </row>
    <row r="3492" spans="1:24" x14ac:dyDescent="0.3">
      <c r="A3492" t="s">
        <v>4838</v>
      </c>
      <c r="B3492" t="s">
        <v>5028</v>
      </c>
      <c r="C3492" t="s">
        <v>23</v>
      </c>
      <c r="D3492" t="s">
        <v>24</v>
      </c>
      <c r="E3492" t="s">
        <v>25</v>
      </c>
      <c r="F3492">
        <v>1</v>
      </c>
      <c r="G3492">
        <v>9791133171453</v>
      </c>
      <c r="H3492" t="s">
        <v>26</v>
      </c>
      <c r="I3492" t="s">
        <v>573</v>
      </c>
      <c r="J3492" t="s">
        <v>287</v>
      </c>
      <c r="K3492" t="s">
        <v>29</v>
      </c>
      <c r="L3492">
        <v>0</v>
      </c>
      <c r="M3492" t="s">
        <v>29</v>
      </c>
      <c r="N3492">
        <v>0</v>
      </c>
      <c r="O3492">
        <v>0</v>
      </c>
      <c r="P3492" t="s">
        <v>30</v>
      </c>
      <c r="Q3492" s="2">
        <v>0.7</v>
      </c>
      <c r="R3492">
        <v>0</v>
      </c>
      <c r="V3492" t="str">
        <f>VLOOKUP(H3492,'[1]팀별 출판사'!A:B,2,0)</f>
        <v>소설1팀</v>
      </c>
      <c r="W3492" s="6">
        <f t="shared" si="108"/>
        <v>0</v>
      </c>
      <c r="X3492" s="6">
        <f t="shared" si="109"/>
        <v>0</v>
      </c>
    </row>
    <row r="3493" spans="1:24" x14ac:dyDescent="0.3">
      <c r="A3493" t="s">
        <v>4838</v>
      </c>
      <c r="B3493" t="s">
        <v>5029</v>
      </c>
      <c r="C3493" t="s">
        <v>23</v>
      </c>
      <c r="D3493" t="s">
        <v>24</v>
      </c>
      <c r="E3493" t="s">
        <v>25</v>
      </c>
      <c r="F3493">
        <v>1</v>
      </c>
      <c r="G3493" t="s">
        <v>1269</v>
      </c>
      <c r="H3493" t="s">
        <v>32</v>
      </c>
      <c r="I3493" t="s">
        <v>1270</v>
      </c>
      <c r="J3493" t="s">
        <v>1271</v>
      </c>
      <c r="K3493" t="s">
        <v>29</v>
      </c>
      <c r="L3493">
        <v>0</v>
      </c>
      <c r="M3493" t="s">
        <v>29</v>
      </c>
      <c r="N3493">
        <v>0</v>
      </c>
      <c r="O3493">
        <v>0</v>
      </c>
      <c r="P3493" t="s">
        <v>30</v>
      </c>
      <c r="Q3493" s="2">
        <v>0.7</v>
      </c>
      <c r="R3493">
        <v>0</v>
      </c>
      <c r="V3493" t="str">
        <f>VLOOKUP(H3493,'[1]팀별 출판사'!A:B,2,0)</f>
        <v>소설1팀</v>
      </c>
      <c r="W3493" s="6">
        <f t="shared" si="108"/>
        <v>0</v>
      </c>
      <c r="X3493" s="6">
        <f t="shared" si="109"/>
        <v>0</v>
      </c>
    </row>
    <row r="3494" spans="1:24" x14ac:dyDescent="0.3">
      <c r="A3494" t="s">
        <v>4838</v>
      </c>
      <c r="B3494" t="s">
        <v>5030</v>
      </c>
      <c r="C3494" t="s">
        <v>23</v>
      </c>
      <c r="D3494" t="s">
        <v>24</v>
      </c>
      <c r="E3494" t="s">
        <v>25</v>
      </c>
      <c r="F3494">
        <v>1</v>
      </c>
      <c r="G3494">
        <v>9791133188642</v>
      </c>
      <c r="H3494" t="s">
        <v>26</v>
      </c>
      <c r="I3494" t="s">
        <v>1437</v>
      </c>
      <c r="J3494" t="s">
        <v>743</v>
      </c>
      <c r="K3494" t="s">
        <v>29</v>
      </c>
      <c r="L3494">
        <v>0</v>
      </c>
      <c r="M3494" t="s">
        <v>29</v>
      </c>
      <c r="N3494">
        <v>0</v>
      </c>
      <c r="O3494">
        <v>0</v>
      </c>
      <c r="P3494" t="s">
        <v>30</v>
      </c>
      <c r="Q3494" s="2">
        <v>0.7</v>
      </c>
      <c r="R3494">
        <v>0</v>
      </c>
      <c r="V3494" t="str">
        <f>VLOOKUP(H3494,'[1]팀별 출판사'!A:B,2,0)</f>
        <v>소설1팀</v>
      </c>
      <c r="W3494" s="6">
        <f t="shared" si="108"/>
        <v>0</v>
      </c>
      <c r="X3494" s="6">
        <f t="shared" si="109"/>
        <v>0</v>
      </c>
    </row>
    <row r="3495" spans="1:24" x14ac:dyDescent="0.3">
      <c r="A3495" t="s">
        <v>4838</v>
      </c>
      <c r="B3495" t="s">
        <v>5031</v>
      </c>
      <c r="C3495" t="s">
        <v>23</v>
      </c>
      <c r="D3495" t="s">
        <v>24</v>
      </c>
      <c r="E3495" t="s">
        <v>25</v>
      </c>
      <c r="F3495">
        <v>1</v>
      </c>
      <c r="G3495">
        <v>9791133186501</v>
      </c>
      <c r="H3495" t="s">
        <v>26</v>
      </c>
      <c r="I3495" t="s">
        <v>64</v>
      </c>
      <c r="J3495" t="s">
        <v>65</v>
      </c>
      <c r="K3495" t="s">
        <v>29</v>
      </c>
      <c r="L3495">
        <v>0</v>
      </c>
      <c r="M3495" t="s">
        <v>29</v>
      </c>
      <c r="N3495">
        <v>0</v>
      </c>
      <c r="O3495">
        <v>0</v>
      </c>
      <c r="P3495" t="s">
        <v>30</v>
      </c>
      <c r="Q3495" s="2">
        <v>0.7</v>
      </c>
      <c r="R3495">
        <v>0</v>
      </c>
      <c r="V3495" t="str">
        <f>VLOOKUP(H3495,'[1]팀별 출판사'!A:B,2,0)</f>
        <v>소설1팀</v>
      </c>
      <c r="W3495" s="6">
        <f t="shared" si="108"/>
        <v>0</v>
      </c>
      <c r="X3495" s="6">
        <f t="shared" si="109"/>
        <v>0</v>
      </c>
    </row>
    <row r="3496" spans="1:24" x14ac:dyDescent="0.3">
      <c r="A3496" t="s">
        <v>4838</v>
      </c>
      <c r="B3496" t="s">
        <v>5032</v>
      </c>
      <c r="C3496" t="s">
        <v>23</v>
      </c>
      <c r="D3496" t="s">
        <v>24</v>
      </c>
      <c r="E3496" t="s">
        <v>25</v>
      </c>
      <c r="F3496">
        <v>1</v>
      </c>
      <c r="G3496">
        <v>9791136946782</v>
      </c>
      <c r="H3496" t="s">
        <v>26</v>
      </c>
      <c r="I3496" t="s">
        <v>291</v>
      </c>
      <c r="J3496" t="s">
        <v>28</v>
      </c>
      <c r="K3496" t="s">
        <v>29</v>
      </c>
      <c r="L3496">
        <v>0</v>
      </c>
      <c r="M3496" t="s">
        <v>29</v>
      </c>
      <c r="N3496">
        <v>0</v>
      </c>
      <c r="O3496">
        <v>0</v>
      </c>
      <c r="P3496" t="s">
        <v>30</v>
      </c>
      <c r="Q3496" s="2">
        <v>0.7</v>
      </c>
      <c r="R3496">
        <v>0</v>
      </c>
      <c r="V3496" t="str">
        <f>VLOOKUP(H3496,'[1]팀별 출판사'!A:B,2,0)</f>
        <v>소설1팀</v>
      </c>
      <c r="W3496" s="6">
        <f t="shared" si="108"/>
        <v>0</v>
      </c>
      <c r="X3496" s="6">
        <f t="shared" si="109"/>
        <v>0</v>
      </c>
    </row>
    <row r="3497" spans="1:24" x14ac:dyDescent="0.3">
      <c r="A3497" t="s">
        <v>4838</v>
      </c>
      <c r="B3497" t="s">
        <v>5033</v>
      </c>
      <c r="C3497" t="s">
        <v>23</v>
      </c>
      <c r="D3497" t="s">
        <v>24</v>
      </c>
      <c r="E3497" t="s">
        <v>25</v>
      </c>
      <c r="F3497">
        <v>1</v>
      </c>
      <c r="G3497">
        <v>9791136946775</v>
      </c>
      <c r="H3497" t="s">
        <v>26</v>
      </c>
      <c r="I3497" t="s">
        <v>238</v>
      </c>
      <c r="J3497" t="s">
        <v>28</v>
      </c>
      <c r="K3497" t="s">
        <v>29</v>
      </c>
      <c r="L3497">
        <v>0</v>
      </c>
      <c r="M3497" t="s">
        <v>29</v>
      </c>
      <c r="N3497">
        <v>0</v>
      </c>
      <c r="O3497">
        <v>0</v>
      </c>
      <c r="P3497" t="s">
        <v>30</v>
      </c>
      <c r="Q3497" s="2">
        <v>0.7</v>
      </c>
      <c r="R3497">
        <v>0</v>
      </c>
      <c r="V3497" t="str">
        <f>VLOOKUP(H3497,'[1]팀별 출판사'!A:B,2,0)</f>
        <v>소설1팀</v>
      </c>
      <c r="W3497" s="6">
        <f t="shared" si="108"/>
        <v>0</v>
      </c>
      <c r="X3497" s="6">
        <f t="shared" si="109"/>
        <v>0</v>
      </c>
    </row>
    <row r="3498" spans="1:24" x14ac:dyDescent="0.3">
      <c r="A3498" t="s">
        <v>4838</v>
      </c>
      <c r="B3498" t="s">
        <v>5034</v>
      </c>
      <c r="C3498" t="s">
        <v>23</v>
      </c>
      <c r="D3498" t="s">
        <v>24</v>
      </c>
      <c r="E3498" t="s">
        <v>25</v>
      </c>
      <c r="F3498">
        <v>1</v>
      </c>
      <c r="G3498">
        <v>9791136906359</v>
      </c>
      <c r="H3498" t="s">
        <v>26</v>
      </c>
      <c r="I3498" t="s">
        <v>1893</v>
      </c>
      <c r="J3498" t="s">
        <v>459</v>
      </c>
      <c r="K3498" t="s">
        <v>29</v>
      </c>
      <c r="L3498">
        <v>0</v>
      </c>
      <c r="M3498" t="s">
        <v>29</v>
      </c>
      <c r="N3498">
        <v>0</v>
      </c>
      <c r="O3498">
        <v>0</v>
      </c>
      <c r="P3498" t="s">
        <v>30</v>
      </c>
      <c r="Q3498" s="2">
        <v>0.7</v>
      </c>
      <c r="R3498">
        <v>0</v>
      </c>
      <c r="V3498" t="str">
        <f>VLOOKUP(H3498,'[1]팀별 출판사'!A:B,2,0)</f>
        <v>소설1팀</v>
      </c>
      <c r="W3498" s="6">
        <f t="shared" si="108"/>
        <v>0</v>
      </c>
      <c r="X3498" s="6">
        <f t="shared" si="109"/>
        <v>0</v>
      </c>
    </row>
    <row r="3499" spans="1:24" x14ac:dyDescent="0.3">
      <c r="A3499" t="s">
        <v>4838</v>
      </c>
      <c r="B3499" t="s">
        <v>5035</v>
      </c>
      <c r="C3499" t="s">
        <v>23</v>
      </c>
      <c r="D3499" t="s">
        <v>24</v>
      </c>
      <c r="E3499" t="s">
        <v>25</v>
      </c>
      <c r="F3499">
        <v>1</v>
      </c>
      <c r="G3499">
        <v>9791136905758</v>
      </c>
      <c r="H3499" t="s">
        <v>26</v>
      </c>
      <c r="I3499" t="s">
        <v>1889</v>
      </c>
      <c r="J3499" t="s">
        <v>459</v>
      </c>
      <c r="K3499" t="s">
        <v>29</v>
      </c>
      <c r="L3499">
        <v>0</v>
      </c>
      <c r="M3499" t="s">
        <v>29</v>
      </c>
      <c r="N3499">
        <v>0</v>
      </c>
      <c r="O3499">
        <v>0</v>
      </c>
      <c r="P3499" t="s">
        <v>30</v>
      </c>
      <c r="Q3499" s="2">
        <v>0.7</v>
      </c>
      <c r="R3499">
        <v>0</v>
      </c>
      <c r="V3499" t="str">
        <f>VLOOKUP(H3499,'[1]팀별 출판사'!A:B,2,0)</f>
        <v>소설1팀</v>
      </c>
      <c r="W3499" s="6">
        <f t="shared" si="108"/>
        <v>0</v>
      </c>
      <c r="X3499" s="6">
        <f t="shared" si="109"/>
        <v>0</v>
      </c>
    </row>
    <row r="3500" spans="1:24" x14ac:dyDescent="0.3">
      <c r="A3500" t="s">
        <v>4838</v>
      </c>
      <c r="B3500" t="s">
        <v>5036</v>
      </c>
      <c r="C3500" t="s">
        <v>23</v>
      </c>
      <c r="D3500" t="s">
        <v>24</v>
      </c>
      <c r="E3500" t="s">
        <v>25</v>
      </c>
      <c r="F3500">
        <v>1</v>
      </c>
      <c r="G3500">
        <v>9791133190096</v>
      </c>
      <c r="H3500" t="s">
        <v>26</v>
      </c>
      <c r="I3500" t="s">
        <v>5037</v>
      </c>
      <c r="J3500" t="s">
        <v>1096</v>
      </c>
      <c r="K3500" t="s">
        <v>29</v>
      </c>
      <c r="L3500" s="1">
        <v>3200</v>
      </c>
      <c r="M3500" t="s">
        <v>29</v>
      </c>
      <c r="N3500" s="1">
        <v>3200</v>
      </c>
      <c r="O3500" s="1">
        <v>3200</v>
      </c>
      <c r="P3500" t="s">
        <v>30</v>
      </c>
      <c r="Q3500" s="2">
        <v>0.7</v>
      </c>
      <c r="R3500" s="1">
        <v>2240</v>
      </c>
      <c r="S3500" t="s">
        <v>29</v>
      </c>
      <c r="T3500" s="1">
        <v>2240</v>
      </c>
      <c r="V3500" t="str">
        <f>VLOOKUP(H3500,'[1]팀별 출판사'!A:B,2,0)</f>
        <v>소설1팀</v>
      </c>
      <c r="W3500" s="6">
        <f t="shared" si="108"/>
        <v>0</v>
      </c>
      <c r="X3500" s="6">
        <f t="shared" si="109"/>
        <v>2240</v>
      </c>
    </row>
    <row r="3501" spans="1:24" x14ac:dyDescent="0.3">
      <c r="A3501" t="s">
        <v>4838</v>
      </c>
      <c r="B3501" t="s">
        <v>5038</v>
      </c>
      <c r="C3501" t="s">
        <v>23</v>
      </c>
      <c r="D3501" t="s">
        <v>24</v>
      </c>
      <c r="E3501" t="s">
        <v>25</v>
      </c>
      <c r="F3501">
        <v>1</v>
      </c>
      <c r="G3501">
        <v>9791136906250</v>
      </c>
      <c r="H3501" t="s">
        <v>26</v>
      </c>
      <c r="I3501" t="s">
        <v>1891</v>
      </c>
      <c r="J3501" t="s">
        <v>459</v>
      </c>
      <c r="K3501" t="s">
        <v>29</v>
      </c>
      <c r="L3501">
        <v>0</v>
      </c>
      <c r="M3501" t="s">
        <v>29</v>
      </c>
      <c r="N3501">
        <v>0</v>
      </c>
      <c r="O3501">
        <v>0</v>
      </c>
      <c r="P3501" t="s">
        <v>30</v>
      </c>
      <c r="Q3501" s="2">
        <v>0.7</v>
      </c>
      <c r="R3501">
        <v>0</v>
      </c>
      <c r="V3501" t="str">
        <f>VLOOKUP(H3501,'[1]팀별 출판사'!A:B,2,0)</f>
        <v>소설1팀</v>
      </c>
      <c r="W3501" s="6">
        <f t="shared" si="108"/>
        <v>0</v>
      </c>
      <c r="X3501" s="6">
        <f t="shared" si="109"/>
        <v>0</v>
      </c>
    </row>
    <row r="3502" spans="1:24" x14ac:dyDescent="0.3">
      <c r="A3502" t="s">
        <v>4838</v>
      </c>
      <c r="B3502" t="s">
        <v>5039</v>
      </c>
      <c r="C3502" t="s">
        <v>23</v>
      </c>
      <c r="D3502" t="s">
        <v>24</v>
      </c>
      <c r="E3502" t="s">
        <v>25</v>
      </c>
      <c r="F3502">
        <v>1</v>
      </c>
      <c r="G3502">
        <v>9791136990600</v>
      </c>
      <c r="H3502" t="s">
        <v>26</v>
      </c>
      <c r="I3502" t="s">
        <v>1034</v>
      </c>
      <c r="J3502" t="s">
        <v>459</v>
      </c>
      <c r="K3502" t="s">
        <v>29</v>
      </c>
      <c r="L3502">
        <v>0</v>
      </c>
      <c r="M3502" t="s">
        <v>29</v>
      </c>
      <c r="N3502">
        <v>0</v>
      </c>
      <c r="O3502">
        <v>0</v>
      </c>
      <c r="P3502" t="s">
        <v>30</v>
      </c>
      <c r="Q3502" s="2">
        <v>0.7</v>
      </c>
      <c r="R3502">
        <v>0</v>
      </c>
      <c r="V3502" t="str">
        <f>VLOOKUP(H3502,'[1]팀별 출판사'!A:B,2,0)</f>
        <v>소설1팀</v>
      </c>
      <c r="W3502" s="6">
        <f t="shared" si="108"/>
        <v>0</v>
      </c>
      <c r="X3502" s="6">
        <f t="shared" si="109"/>
        <v>0</v>
      </c>
    </row>
    <row r="3503" spans="1:24" x14ac:dyDescent="0.3">
      <c r="A3503" t="s">
        <v>4838</v>
      </c>
      <c r="B3503" t="s">
        <v>5040</v>
      </c>
      <c r="C3503" t="s">
        <v>23</v>
      </c>
      <c r="D3503" t="s">
        <v>24</v>
      </c>
      <c r="E3503" t="s">
        <v>25</v>
      </c>
      <c r="F3503">
        <v>1</v>
      </c>
      <c r="G3503">
        <v>9791136935496</v>
      </c>
      <c r="H3503" t="s">
        <v>32</v>
      </c>
      <c r="I3503" t="s">
        <v>441</v>
      </c>
      <c r="J3503" t="s">
        <v>442</v>
      </c>
      <c r="K3503" t="s">
        <v>29</v>
      </c>
      <c r="L3503">
        <v>0</v>
      </c>
      <c r="M3503" t="s">
        <v>29</v>
      </c>
      <c r="N3503">
        <v>0</v>
      </c>
      <c r="O3503">
        <v>0</v>
      </c>
      <c r="P3503" t="s">
        <v>30</v>
      </c>
      <c r="Q3503" s="2">
        <v>0.7</v>
      </c>
      <c r="R3503">
        <v>0</v>
      </c>
      <c r="V3503" t="str">
        <f>VLOOKUP(H3503,'[1]팀별 출판사'!A:B,2,0)</f>
        <v>소설1팀</v>
      </c>
      <c r="W3503" s="6">
        <f t="shared" si="108"/>
        <v>0</v>
      </c>
      <c r="X3503" s="6">
        <f t="shared" si="109"/>
        <v>0</v>
      </c>
    </row>
    <row r="3504" spans="1:24" x14ac:dyDescent="0.3">
      <c r="A3504" t="s">
        <v>4838</v>
      </c>
      <c r="B3504" t="s">
        <v>5041</v>
      </c>
      <c r="C3504" t="s">
        <v>23</v>
      </c>
      <c r="D3504" t="s">
        <v>24</v>
      </c>
      <c r="E3504" t="s">
        <v>25</v>
      </c>
      <c r="F3504">
        <v>1</v>
      </c>
      <c r="G3504">
        <v>9791136930361</v>
      </c>
      <c r="H3504" t="s">
        <v>32</v>
      </c>
      <c r="I3504" t="s">
        <v>33</v>
      </c>
      <c r="J3504" t="s">
        <v>34</v>
      </c>
      <c r="K3504" t="s">
        <v>29</v>
      </c>
      <c r="L3504">
        <v>0</v>
      </c>
      <c r="M3504" t="s">
        <v>29</v>
      </c>
      <c r="N3504">
        <v>0</v>
      </c>
      <c r="O3504">
        <v>0</v>
      </c>
      <c r="P3504" t="s">
        <v>30</v>
      </c>
      <c r="Q3504" s="2">
        <v>0.7</v>
      </c>
      <c r="R3504">
        <v>0</v>
      </c>
      <c r="V3504" t="str">
        <f>VLOOKUP(H3504,'[1]팀별 출판사'!A:B,2,0)</f>
        <v>소설1팀</v>
      </c>
      <c r="W3504" s="6">
        <f t="shared" si="108"/>
        <v>0</v>
      </c>
      <c r="X3504" s="6">
        <f t="shared" si="109"/>
        <v>0</v>
      </c>
    </row>
    <row r="3505" spans="1:24" x14ac:dyDescent="0.3">
      <c r="A3505" t="s">
        <v>4838</v>
      </c>
      <c r="B3505" t="s">
        <v>5042</v>
      </c>
      <c r="C3505" t="s">
        <v>23</v>
      </c>
      <c r="D3505" t="s">
        <v>24</v>
      </c>
      <c r="E3505" t="s">
        <v>25</v>
      </c>
      <c r="F3505">
        <v>1</v>
      </c>
      <c r="G3505">
        <v>9791133147762</v>
      </c>
      <c r="H3505" t="s">
        <v>32</v>
      </c>
      <c r="I3505" t="s">
        <v>1293</v>
      </c>
      <c r="J3505" t="s">
        <v>284</v>
      </c>
      <c r="K3505" t="s">
        <v>29</v>
      </c>
      <c r="L3505">
        <v>0</v>
      </c>
      <c r="M3505" t="s">
        <v>29</v>
      </c>
      <c r="N3505">
        <v>0</v>
      </c>
      <c r="O3505">
        <v>0</v>
      </c>
      <c r="P3505" t="s">
        <v>30</v>
      </c>
      <c r="Q3505" s="2">
        <v>0.7</v>
      </c>
      <c r="R3505">
        <v>0</v>
      </c>
      <c r="V3505" t="str">
        <f>VLOOKUP(H3505,'[1]팀별 출판사'!A:B,2,0)</f>
        <v>소설1팀</v>
      </c>
      <c r="W3505" s="6">
        <f t="shared" si="108"/>
        <v>0</v>
      </c>
      <c r="X3505" s="6">
        <f t="shared" si="109"/>
        <v>0</v>
      </c>
    </row>
    <row r="3506" spans="1:24" x14ac:dyDescent="0.3">
      <c r="A3506" t="s">
        <v>4838</v>
      </c>
      <c r="B3506" t="s">
        <v>5043</v>
      </c>
      <c r="C3506" t="s">
        <v>23</v>
      </c>
      <c r="D3506" t="s">
        <v>24</v>
      </c>
      <c r="E3506" t="s">
        <v>25</v>
      </c>
      <c r="F3506">
        <v>1</v>
      </c>
      <c r="G3506">
        <v>9791136941862</v>
      </c>
      <c r="H3506" t="s">
        <v>26</v>
      </c>
      <c r="I3506" t="s">
        <v>894</v>
      </c>
      <c r="J3506" t="s">
        <v>81</v>
      </c>
      <c r="K3506" t="s">
        <v>29</v>
      </c>
      <c r="L3506">
        <v>0</v>
      </c>
      <c r="M3506" t="s">
        <v>362</v>
      </c>
      <c r="N3506">
        <v>0</v>
      </c>
      <c r="O3506">
        <v>0</v>
      </c>
      <c r="P3506" t="s">
        <v>363</v>
      </c>
      <c r="Q3506" s="2">
        <v>0.7</v>
      </c>
      <c r="R3506">
        <v>0</v>
      </c>
      <c r="V3506" t="str">
        <f>VLOOKUP(H3506,'[1]팀별 출판사'!A:B,2,0)</f>
        <v>소설1팀</v>
      </c>
      <c r="W3506" s="6">
        <f t="shared" si="108"/>
        <v>0</v>
      </c>
      <c r="X3506" s="6">
        <f t="shared" si="109"/>
        <v>0</v>
      </c>
    </row>
    <row r="3507" spans="1:24" x14ac:dyDescent="0.3">
      <c r="A3507" t="s">
        <v>4838</v>
      </c>
      <c r="B3507" t="s">
        <v>5044</v>
      </c>
      <c r="C3507" t="s">
        <v>23</v>
      </c>
      <c r="D3507" t="s">
        <v>24</v>
      </c>
      <c r="E3507" t="s">
        <v>25</v>
      </c>
      <c r="F3507">
        <v>1</v>
      </c>
      <c r="G3507">
        <v>9791136958686</v>
      </c>
      <c r="H3507" t="s">
        <v>79</v>
      </c>
      <c r="I3507" t="s">
        <v>2659</v>
      </c>
      <c r="J3507" t="s">
        <v>81</v>
      </c>
      <c r="K3507" t="s">
        <v>29</v>
      </c>
      <c r="L3507" s="1">
        <v>3200</v>
      </c>
      <c r="M3507" t="s">
        <v>29</v>
      </c>
      <c r="N3507" s="1">
        <v>3200</v>
      </c>
      <c r="O3507" s="1">
        <v>3200</v>
      </c>
      <c r="P3507" t="s">
        <v>30</v>
      </c>
      <c r="Q3507" s="2">
        <v>0.7</v>
      </c>
      <c r="R3507" s="1">
        <v>2240</v>
      </c>
      <c r="S3507" t="s">
        <v>29</v>
      </c>
      <c r="T3507" s="1">
        <v>2240</v>
      </c>
      <c r="V3507" t="str">
        <f>VLOOKUP(H3507,'[1]팀별 출판사'!A:B,2,0)</f>
        <v>소설1팀</v>
      </c>
      <c r="W3507" s="6">
        <f t="shared" si="108"/>
        <v>0</v>
      </c>
      <c r="X3507" s="6">
        <f t="shared" si="109"/>
        <v>2240</v>
      </c>
    </row>
    <row r="3508" spans="1:24" x14ac:dyDescent="0.3">
      <c r="A3508" t="s">
        <v>4838</v>
      </c>
      <c r="B3508" t="s">
        <v>5045</v>
      </c>
      <c r="C3508" t="s">
        <v>23</v>
      </c>
      <c r="D3508" t="s">
        <v>24</v>
      </c>
      <c r="E3508" t="s">
        <v>25</v>
      </c>
      <c r="F3508">
        <v>1</v>
      </c>
      <c r="G3508">
        <v>9791136930491</v>
      </c>
      <c r="H3508" t="s">
        <v>26</v>
      </c>
      <c r="I3508" t="s">
        <v>151</v>
      </c>
      <c r="J3508" t="s">
        <v>46</v>
      </c>
      <c r="K3508" t="s">
        <v>29</v>
      </c>
      <c r="L3508">
        <v>0</v>
      </c>
      <c r="M3508" t="s">
        <v>47</v>
      </c>
      <c r="N3508">
        <v>0</v>
      </c>
      <c r="O3508">
        <v>0</v>
      </c>
      <c r="P3508" t="s">
        <v>48</v>
      </c>
      <c r="Q3508" s="2">
        <v>0.7</v>
      </c>
      <c r="R3508">
        <v>0</v>
      </c>
      <c r="V3508" t="str">
        <f>VLOOKUP(H3508,'[1]팀별 출판사'!A:B,2,0)</f>
        <v>소설1팀</v>
      </c>
      <c r="W3508" s="6">
        <f t="shared" si="108"/>
        <v>0</v>
      </c>
      <c r="X3508" s="6">
        <f t="shared" si="109"/>
        <v>0</v>
      </c>
    </row>
    <row r="3509" spans="1:24" x14ac:dyDescent="0.3">
      <c r="A3509" t="s">
        <v>4838</v>
      </c>
      <c r="B3509" t="s">
        <v>5046</v>
      </c>
      <c r="C3509" t="s">
        <v>23</v>
      </c>
      <c r="D3509" t="s">
        <v>24</v>
      </c>
      <c r="E3509" t="s">
        <v>25</v>
      </c>
      <c r="F3509">
        <v>1</v>
      </c>
      <c r="G3509">
        <v>9791136943446</v>
      </c>
      <c r="H3509" t="s">
        <v>26</v>
      </c>
      <c r="I3509" t="s">
        <v>1651</v>
      </c>
      <c r="J3509" t="s">
        <v>284</v>
      </c>
      <c r="K3509" t="s">
        <v>29</v>
      </c>
      <c r="L3509">
        <v>0</v>
      </c>
      <c r="M3509" t="s">
        <v>29</v>
      </c>
      <c r="N3509">
        <v>0</v>
      </c>
      <c r="O3509">
        <v>0</v>
      </c>
      <c r="P3509" t="s">
        <v>30</v>
      </c>
      <c r="Q3509" s="2">
        <v>0.7</v>
      </c>
      <c r="R3509">
        <v>0</v>
      </c>
      <c r="V3509" t="str">
        <f>VLOOKUP(H3509,'[1]팀별 출판사'!A:B,2,0)</f>
        <v>소설1팀</v>
      </c>
      <c r="W3509" s="6">
        <f t="shared" si="108"/>
        <v>0</v>
      </c>
      <c r="X3509" s="6">
        <f t="shared" si="109"/>
        <v>0</v>
      </c>
    </row>
    <row r="3510" spans="1:24" x14ac:dyDescent="0.3">
      <c r="A3510" t="s">
        <v>4838</v>
      </c>
      <c r="B3510" t="s">
        <v>5047</v>
      </c>
      <c r="C3510" t="s">
        <v>23</v>
      </c>
      <c r="D3510" t="s">
        <v>24</v>
      </c>
      <c r="E3510" t="s">
        <v>25</v>
      </c>
      <c r="F3510">
        <v>1</v>
      </c>
      <c r="G3510">
        <v>9791136942036</v>
      </c>
      <c r="H3510" t="s">
        <v>26</v>
      </c>
      <c r="I3510" t="s">
        <v>1941</v>
      </c>
      <c r="J3510" t="s">
        <v>81</v>
      </c>
      <c r="K3510" t="s">
        <v>29</v>
      </c>
      <c r="L3510">
        <v>0</v>
      </c>
      <c r="M3510" t="s">
        <v>362</v>
      </c>
      <c r="N3510">
        <v>0</v>
      </c>
      <c r="O3510">
        <v>0</v>
      </c>
      <c r="P3510" t="s">
        <v>363</v>
      </c>
      <c r="Q3510" s="2">
        <v>0.7</v>
      </c>
      <c r="R3510">
        <v>0</v>
      </c>
      <c r="V3510" t="str">
        <f>VLOOKUP(H3510,'[1]팀별 출판사'!A:B,2,0)</f>
        <v>소설1팀</v>
      </c>
      <c r="W3510" s="6">
        <f t="shared" si="108"/>
        <v>0</v>
      </c>
      <c r="X3510" s="6">
        <f t="shared" si="109"/>
        <v>0</v>
      </c>
    </row>
    <row r="3511" spans="1:24" x14ac:dyDescent="0.3">
      <c r="A3511" t="s">
        <v>4838</v>
      </c>
      <c r="B3511" t="s">
        <v>5048</v>
      </c>
      <c r="C3511" t="s">
        <v>23</v>
      </c>
      <c r="D3511" t="s">
        <v>24</v>
      </c>
      <c r="E3511" t="s">
        <v>25</v>
      </c>
      <c r="F3511">
        <v>1</v>
      </c>
      <c r="G3511">
        <v>9791136907202</v>
      </c>
      <c r="H3511" t="s">
        <v>26</v>
      </c>
      <c r="I3511" t="s">
        <v>5049</v>
      </c>
      <c r="J3511" t="s">
        <v>1348</v>
      </c>
      <c r="K3511" t="s">
        <v>29</v>
      </c>
      <c r="L3511" s="1">
        <v>3200</v>
      </c>
      <c r="M3511" t="s">
        <v>29</v>
      </c>
      <c r="N3511" s="1">
        <v>3200</v>
      </c>
      <c r="O3511" s="1">
        <v>3200</v>
      </c>
      <c r="P3511" t="s">
        <v>30</v>
      </c>
      <c r="Q3511" s="2">
        <v>0.7</v>
      </c>
      <c r="R3511" s="1">
        <v>2240</v>
      </c>
      <c r="S3511" t="s">
        <v>29</v>
      </c>
      <c r="T3511" s="1">
        <v>2240</v>
      </c>
      <c r="V3511" t="str">
        <f>VLOOKUP(H3511,'[1]팀별 출판사'!A:B,2,0)</f>
        <v>소설1팀</v>
      </c>
      <c r="W3511" s="6">
        <f t="shared" si="108"/>
        <v>0</v>
      </c>
      <c r="X3511" s="6">
        <f t="shared" si="109"/>
        <v>2240</v>
      </c>
    </row>
    <row r="3512" spans="1:24" x14ac:dyDescent="0.3">
      <c r="A3512" t="s">
        <v>4838</v>
      </c>
      <c r="B3512" t="s">
        <v>5050</v>
      </c>
      <c r="C3512" t="s">
        <v>23</v>
      </c>
      <c r="D3512" t="s">
        <v>24</v>
      </c>
      <c r="E3512" t="s">
        <v>25</v>
      </c>
      <c r="F3512">
        <v>1</v>
      </c>
      <c r="G3512">
        <v>9791133130184</v>
      </c>
      <c r="H3512" t="s">
        <v>32</v>
      </c>
      <c r="I3512" t="s">
        <v>669</v>
      </c>
      <c r="J3512" t="s">
        <v>160</v>
      </c>
      <c r="K3512" t="s">
        <v>29</v>
      </c>
      <c r="L3512">
        <v>0</v>
      </c>
      <c r="M3512" t="s">
        <v>29</v>
      </c>
      <c r="N3512">
        <v>0</v>
      </c>
      <c r="O3512">
        <v>0</v>
      </c>
      <c r="P3512" t="s">
        <v>30</v>
      </c>
      <c r="Q3512" s="2">
        <v>0.7</v>
      </c>
      <c r="R3512">
        <v>0</v>
      </c>
      <c r="V3512" t="str">
        <f>VLOOKUP(H3512,'[1]팀별 출판사'!A:B,2,0)</f>
        <v>소설1팀</v>
      </c>
      <c r="W3512" s="6">
        <f t="shared" si="108"/>
        <v>0</v>
      </c>
      <c r="X3512" s="6">
        <f t="shared" si="109"/>
        <v>0</v>
      </c>
    </row>
    <row r="3513" spans="1:24" x14ac:dyDescent="0.3">
      <c r="A3513" t="s">
        <v>4838</v>
      </c>
      <c r="B3513" t="s">
        <v>5051</v>
      </c>
      <c r="C3513" t="s">
        <v>23</v>
      </c>
      <c r="D3513" t="s">
        <v>24</v>
      </c>
      <c r="E3513" t="s">
        <v>25</v>
      </c>
      <c r="F3513">
        <v>1</v>
      </c>
      <c r="G3513">
        <v>9791133186501</v>
      </c>
      <c r="H3513" t="s">
        <v>26</v>
      </c>
      <c r="I3513" t="s">
        <v>64</v>
      </c>
      <c r="J3513" t="s">
        <v>65</v>
      </c>
      <c r="K3513" t="s">
        <v>29</v>
      </c>
      <c r="L3513">
        <v>0</v>
      </c>
      <c r="M3513" t="s">
        <v>29</v>
      </c>
      <c r="N3513">
        <v>0</v>
      </c>
      <c r="O3513">
        <v>0</v>
      </c>
      <c r="P3513" t="s">
        <v>30</v>
      </c>
      <c r="Q3513" s="2">
        <v>0.7</v>
      </c>
      <c r="R3513">
        <v>0</v>
      </c>
      <c r="V3513" t="str">
        <f>VLOOKUP(H3513,'[1]팀별 출판사'!A:B,2,0)</f>
        <v>소설1팀</v>
      </c>
      <c r="W3513" s="6">
        <f t="shared" si="108"/>
        <v>0</v>
      </c>
      <c r="X3513" s="6">
        <f t="shared" si="109"/>
        <v>0</v>
      </c>
    </row>
    <row r="3514" spans="1:24" x14ac:dyDescent="0.3">
      <c r="A3514" t="s">
        <v>4838</v>
      </c>
      <c r="B3514" t="s">
        <v>5052</v>
      </c>
      <c r="C3514" t="s">
        <v>23</v>
      </c>
      <c r="D3514" t="s">
        <v>24</v>
      </c>
      <c r="E3514" t="s">
        <v>25</v>
      </c>
      <c r="F3514">
        <v>1</v>
      </c>
      <c r="G3514">
        <v>9791170100041</v>
      </c>
      <c r="H3514" t="s">
        <v>67</v>
      </c>
      <c r="I3514" t="s">
        <v>346</v>
      </c>
      <c r="J3514" t="s">
        <v>347</v>
      </c>
      <c r="K3514" t="s">
        <v>29</v>
      </c>
      <c r="L3514">
        <v>0</v>
      </c>
      <c r="M3514" t="s">
        <v>29</v>
      </c>
      <c r="N3514">
        <v>0</v>
      </c>
      <c r="O3514">
        <v>0</v>
      </c>
      <c r="P3514" t="s">
        <v>30</v>
      </c>
      <c r="Q3514" s="2">
        <v>0.7</v>
      </c>
      <c r="R3514">
        <v>0</v>
      </c>
      <c r="V3514" t="str">
        <f>VLOOKUP(H3514,'[1]팀별 출판사'!A:B,2,0)</f>
        <v>소설1팀</v>
      </c>
      <c r="W3514" s="6">
        <f t="shared" si="108"/>
        <v>0</v>
      </c>
      <c r="X3514" s="6">
        <f t="shared" si="109"/>
        <v>0</v>
      </c>
    </row>
    <row r="3515" spans="1:24" x14ac:dyDescent="0.3">
      <c r="A3515" t="s">
        <v>4838</v>
      </c>
      <c r="B3515" t="s">
        <v>5053</v>
      </c>
      <c r="C3515" t="s">
        <v>23</v>
      </c>
      <c r="D3515" t="s">
        <v>24</v>
      </c>
      <c r="E3515" t="s">
        <v>25</v>
      </c>
      <c r="F3515">
        <v>1</v>
      </c>
      <c r="G3515">
        <v>9791172920173</v>
      </c>
      <c r="H3515" t="s">
        <v>26</v>
      </c>
      <c r="I3515" t="s">
        <v>2695</v>
      </c>
      <c r="J3515" t="s">
        <v>276</v>
      </c>
      <c r="K3515" t="s">
        <v>29</v>
      </c>
      <c r="L3515" s="1">
        <v>3200</v>
      </c>
      <c r="M3515" t="s">
        <v>29</v>
      </c>
      <c r="N3515" s="1">
        <v>3200</v>
      </c>
      <c r="O3515" s="1">
        <v>3200</v>
      </c>
      <c r="P3515" t="s">
        <v>30</v>
      </c>
      <c r="Q3515" s="2">
        <v>0.7</v>
      </c>
      <c r="R3515" s="1">
        <v>2240</v>
      </c>
      <c r="S3515" t="s">
        <v>29</v>
      </c>
      <c r="T3515" s="1">
        <v>2240</v>
      </c>
      <c r="V3515" t="str">
        <f>VLOOKUP(H3515,'[1]팀별 출판사'!A:B,2,0)</f>
        <v>소설1팀</v>
      </c>
      <c r="W3515" s="6">
        <f t="shared" si="108"/>
        <v>0</v>
      </c>
      <c r="X3515" s="6">
        <f t="shared" si="109"/>
        <v>2240</v>
      </c>
    </row>
    <row r="3516" spans="1:24" x14ac:dyDescent="0.3">
      <c r="A3516" t="s">
        <v>4838</v>
      </c>
      <c r="B3516" t="s">
        <v>5054</v>
      </c>
      <c r="C3516" t="s">
        <v>23</v>
      </c>
      <c r="D3516" t="s">
        <v>24</v>
      </c>
      <c r="E3516" t="s">
        <v>25</v>
      </c>
      <c r="F3516">
        <v>1</v>
      </c>
      <c r="G3516">
        <v>9791173785139</v>
      </c>
      <c r="H3516" t="s">
        <v>26</v>
      </c>
      <c r="I3516" t="s">
        <v>2244</v>
      </c>
      <c r="J3516" t="s">
        <v>62</v>
      </c>
      <c r="K3516" t="s">
        <v>29</v>
      </c>
      <c r="L3516" s="1">
        <v>3200</v>
      </c>
      <c r="M3516" t="s">
        <v>29</v>
      </c>
      <c r="N3516" s="1">
        <v>3200</v>
      </c>
      <c r="O3516" s="1">
        <v>3200</v>
      </c>
      <c r="P3516" t="s">
        <v>30</v>
      </c>
      <c r="Q3516" s="2">
        <v>0.7</v>
      </c>
      <c r="R3516" s="1">
        <v>2240</v>
      </c>
      <c r="S3516" t="s">
        <v>29</v>
      </c>
      <c r="T3516" s="1">
        <v>2240</v>
      </c>
      <c r="V3516" t="str">
        <f>VLOOKUP(H3516,'[1]팀별 출판사'!A:B,2,0)</f>
        <v>소설1팀</v>
      </c>
      <c r="W3516" s="6">
        <f t="shared" si="108"/>
        <v>0</v>
      </c>
      <c r="X3516" s="6">
        <f t="shared" si="109"/>
        <v>2240</v>
      </c>
    </row>
    <row r="3517" spans="1:24" x14ac:dyDescent="0.3">
      <c r="A3517" t="s">
        <v>4838</v>
      </c>
      <c r="B3517" t="s">
        <v>5055</v>
      </c>
      <c r="C3517" t="s">
        <v>23</v>
      </c>
      <c r="D3517" t="s">
        <v>24</v>
      </c>
      <c r="E3517" t="s">
        <v>25</v>
      </c>
      <c r="F3517">
        <v>1</v>
      </c>
      <c r="G3517">
        <v>9791136931382</v>
      </c>
      <c r="H3517" t="s">
        <v>32</v>
      </c>
      <c r="I3517" t="s">
        <v>523</v>
      </c>
      <c r="J3517" t="s">
        <v>46</v>
      </c>
      <c r="K3517" t="s">
        <v>29</v>
      </c>
      <c r="L3517">
        <v>0</v>
      </c>
      <c r="M3517" t="s">
        <v>47</v>
      </c>
      <c r="N3517">
        <v>0</v>
      </c>
      <c r="O3517">
        <v>0</v>
      </c>
      <c r="P3517" t="s">
        <v>48</v>
      </c>
      <c r="Q3517" s="2">
        <v>0.7</v>
      </c>
      <c r="R3517">
        <v>0</v>
      </c>
      <c r="V3517" t="str">
        <f>VLOOKUP(H3517,'[1]팀별 출판사'!A:B,2,0)</f>
        <v>소설1팀</v>
      </c>
      <c r="W3517" s="6">
        <f t="shared" si="108"/>
        <v>0</v>
      </c>
      <c r="X3517" s="6">
        <f t="shared" si="109"/>
        <v>0</v>
      </c>
    </row>
    <row r="3518" spans="1:24" x14ac:dyDescent="0.3">
      <c r="A3518" t="s">
        <v>4838</v>
      </c>
      <c r="B3518" t="s">
        <v>5056</v>
      </c>
      <c r="C3518" t="s">
        <v>23</v>
      </c>
      <c r="D3518" t="s">
        <v>24</v>
      </c>
      <c r="E3518" t="s">
        <v>25</v>
      </c>
      <c r="F3518">
        <v>1</v>
      </c>
      <c r="G3518">
        <v>9791133145348</v>
      </c>
      <c r="H3518" t="s">
        <v>32</v>
      </c>
      <c r="I3518" t="s">
        <v>130</v>
      </c>
      <c r="J3518" t="s">
        <v>51</v>
      </c>
      <c r="K3518" t="s">
        <v>29</v>
      </c>
      <c r="L3518">
        <v>0</v>
      </c>
      <c r="M3518" t="s">
        <v>29</v>
      </c>
      <c r="N3518">
        <v>0</v>
      </c>
      <c r="O3518">
        <v>0</v>
      </c>
      <c r="P3518" t="s">
        <v>30</v>
      </c>
      <c r="Q3518" s="2">
        <v>0.7</v>
      </c>
      <c r="R3518">
        <v>0</v>
      </c>
      <c r="V3518" t="str">
        <f>VLOOKUP(H3518,'[1]팀별 출판사'!A:B,2,0)</f>
        <v>소설1팀</v>
      </c>
      <c r="W3518" s="6">
        <f t="shared" si="108"/>
        <v>0</v>
      </c>
      <c r="X3518" s="6">
        <f t="shared" si="109"/>
        <v>0</v>
      </c>
    </row>
    <row r="3519" spans="1:24" x14ac:dyDescent="0.3">
      <c r="A3519" t="s">
        <v>4838</v>
      </c>
      <c r="B3519" t="s">
        <v>5057</v>
      </c>
      <c r="C3519" t="s">
        <v>23</v>
      </c>
      <c r="D3519" t="s">
        <v>24</v>
      </c>
      <c r="E3519" t="s">
        <v>25</v>
      </c>
      <c r="F3519">
        <v>1</v>
      </c>
      <c r="G3519">
        <v>9791133186839</v>
      </c>
      <c r="H3519" t="s">
        <v>26</v>
      </c>
      <c r="I3519" t="s">
        <v>749</v>
      </c>
      <c r="J3519" t="s">
        <v>743</v>
      </c>
      <c r="K3519" t="s">
        <v>29</v>
      </c>
      <c r="L3519">
        <v>0</v>
      </c>
      <c r="M3519" t="s">
        <v>29</v>
      </c>
      <c r="N3519">
        <v>0</v>
      </c>
      <c r="O3519">
        <v>0</v>
      </c>
      <c r="P3519" t="s">
        <v>30</v>
      </c>
      <c r="Q3519" s="2">
        <v>0.7</v>
      </c>
      <c r="R3519">
        <v>0</v>
      </c>
      <c r="V3519" t="str">
        <f>VLOOKUP(H3519,'[1]팀별 출판사'!A:B,2,0)</f>
        <v>소설1팀</v>
      </c>
      <c r="W3519" s="6">
        <f t="shared" si="108"/>
        <v>0</v>
      </c>
      <c r="X3519" s="6">
        <f t="shared" si="109"/>
        <v>0</v>
      </c>
    </row>
    <row r="3520" spans="1:24" x14ac:dyDescent="0.3">
      <c r="A3520" t="s">
        <v>4838</v>
      </c>
      <c r="B3520" t="s">
        <v>5058</v>
      </c>
      <c r="C3520" t="s">
        <v>23</v>
      </c>
      <c r="D3520" t="s">
        <v>24</v>
      </c>
      <c r="E3520" t="s">
        <v>25</v>
      </c>
      <c r="F3520">
        <v>1</v>
      </c>
      <c r="G3520" t="s">
        <v>3461</v>
      </c>
      <c r="H3520" t="s">
        <v>32</v>
      </c>
      <c r="I3520" t="s">
        <v>3462</v>
      </c>
      <c r="J3520" t="s">
        <v>311</v>
      </c>
      <c r="K3520" t="s">
        <v>29</v>
      </c>
      <c r="L3520">
        <v>0</v>
      </c>
      <c r="M3520" t="s">
        <v>29</v>
      </c>
      <c r="N3520">
        <v>0</v>
      </c>
      <c r="O3520">
        <v>0</v>
      </c>
      <c r="P3520" t="s">
        <v>30</v>
      </c>
      <c r="Q3520" s="2">
        <v>0.7</v>
      </c>
      <c r="R3520">
        <v>0</v>
      </c>
      <c r="V3520" t="str">
        <f>VLOOKUP(H3520,'[1]팀별 출판사'!A:B,2,0)</f>
        <v>소설1팀</v>
      </c>
      <c r="W3520" s="6">
        <f t="shared" si="108"/>
        <v>0</v>
      </c>
      <c r="X3520" s="6">
        <f t="shared" si="109"/>
        <v>0</v>
      </c>
    </row>
    <row r="3521" spans="1:24" x14ac:dyDescent="0.3">
      <c r="A3521" t="s">
        <v>4838</v>
      </c>
      <c r="B3521" t="s">
        <v>5059</v>
      </c>
      <c r="C3521" t="s">
        <v>23</v>
      </c>
      <c r="D3521" t="s">
        <v>24</v>
      </c>
      <c r="E3521" t="s">
        <v>25</v>
      </c>
      <c r="F3521">
        <v>1</v>
      </c>
      <c r="G3521">
        <v>9791133144792</v>
      </c>
      <c r="H3521" t="s">
        <v>32</v>
      </c>
      <c r="I3521" t="s">
        <v>223</v>
      </c>
      <c r="J3521" t="s">
        <v>88</v>
      </c>
      <c r="K3521" t="s">
        <v>29</v>
      </c>
      <c r="L3521">
        <v>0</v>
      </c>
      <c r="M3521" t="s">
        <v>29</v>
      </c>
      <c r="N3521">
        <v>0</v>
      </c>
      <c r="O3521">
        <v>0</v>
      </c>
      <c r="P3521" t="s">
        <v>30</v>
      </c>
      <c r="Q3521" s="2">
        <v>0.7</v>
      </c>
      <c r="R3521">
        <v>0</v>
      </c>
      <c r="V3521" t="str">
        <f>VLOOKUP(H3521,'[1]팀별 출판사'!A:B,2,0)</f>
        <v>소설1팀</v>
      </c>
      <c r="W3521" s="6">
        <f t="shared" si="108"/>
        <v>0</v>
      </c>
      <c r="X3521" s="6">
        <f t="shared" si="109"/>
        <v>0</v>
      </c>
    </row>
    <row r="3522" spans="1:24" x14ac:dyDescent="0.3">
      <c r="A3522" t="s">
        <v>4838</v>
      </c>
      <c r="B3522" t="s">
        <v>5060</v>
      </c>
      <c r="C3522" t="s">
        <v>23</v>
      </c>
      <c r="D3522" t="s">
        <v>24</v>
      </c>
      <c r="E3522" t="s">
        <v>25</v>
      </c>
      <c r="F3522">
        <v>1</v>
      </c>
      <c r="G3522" t="s">
        <v>1108</v>
      </c>
      <c r="H3522" t="s">
        <v>32</v>
      </c>
      <c r="I3522" t="s">
        <v>1109</v>
      </c>
      <c r="J3522" t="s">
        <v>1110</v>
      </c>
      <c r="K3522" t="s">
        <v>29</v>
      </c>
      <c r="L3522">
        <v>0</v>
      </c>
      <c r="M3522" t="s">
        <v>29</v>
      </c>
      <c r="N3522">
        <v>0</v>
      </c>
      <c r="O3522">
        <v>0</v>
      </c>
      <c r="P3522" t="s">
        <v>30</v>
      </c>
      <c r="Q3522" s="2">
        <v>0.7</v>
      </c>
      <c r="R3522">
        <v>0</v>
      </c>
      <c r="V3522" t="str">
        <f>VLOOKUP(H3522,'[1]팀별 출판사'!A:B,2,0)</f>
        <v>소설1팀</v>
      </c>
      <c r="W3522" s="6">
        <f t="shared" ref="W3522:W3585" si="110">IF(P3522="US", T3522*30%, 0)</f>
        <v>0</v>
      </c>
      <c r="X3522" s="6">
        <f t="shared" ref="X3522:X3585" si="111">T3522-W3522</f>
        <v>0</v>
      </c>
    </row>
    <row r="3523" spans="1:24" x14ac:dyDescent="0.3">
      <c r="A3523" t="s">
        <v>4838</v>
      </c>
      <c r="B3523" t="s">
        <v>5061</v>
      </c>
      <c r="C3523" t="s">
        <v>23</v>
      </c>
      <c r="D3523" t="s">
        <v>24</v>
      </c>
      <c r="E3523" t="s">
        <v>25</v>
      </c>
      <c r="F3523">
        <v>1</v>
      </c>
      <c r="G3523">
        <v>9791172924935</v>
      </c>
      <c r="H3523" t="s">
        <v>26</v>
      </c>
      <c r="I3523" t="s">
        <v>5062</v>
      </c>
      <c r="J3523" t="s">
        <v>62</v>
      </c>
      <c r="K3523" t="s">
        <v>29</v>
      </c>
      <c r="L3523" s="1">
        <v>3200</v>
      </c>
      <c r="M3523" t="s">
        <v>29</v>
      </c>
      <c r="N3523" s="1">
        <v>3200</v>
      </c>
      <c r="O3523" s="1">
        <v>3200</v>
      </c>
      <c r="P3523" t="s">
        <v>30</v>
      </c>
      <c r="Q3523" s="2">
        <v>0.7</v>
      </c>
      <c r="R3523" s="1">
        <v>2240</v>
      </c>
      <c r="S3523" t="s">
        <v>29</v>
      </c>
      <c r="T3523" s="1">
        <v>2240</v>
      </c>
      <c r="V3523" t="str">
        <f>VLOOKUP(H3523,'[1]팀별 출판사'!A:B,2,0)</f>
        <v>소설1팀</v>
      </c>
      <c r="W3523" s="6">
        <f t="shared" si="110"/>
        <v>0</v>
      </c>
      <c r="X3523" s="6">
        <f t="shared" si="111"/>
        <v>2240</v>
      </c>
    </row>
    <row r="3524" spans="1:24" x14ac:dyDescent="0.3">
      <c r="A3524" t="s">
        <v>4838</v>
      </c>
      <c r="B3524" t="s">
        <v>5063</v>
      </c>
      <c r="C3524" t="s">
        <v>23</v>
      </c>
      <c r="D3524" t="s">
        <v>24</v>
      </c>
      <c r="E3524" t="s">
        <v>25</v>
      </c>
      <c r="F3524">
        <v>1</v>
      </c>
      <c r="G3524">
        <v>9791172920937</v>
      </c>
      <c r="H3524" t="s">
        <v>79</v>
      </c>
      <c r="I3524" t="s">
        <v>80</v>
      </c>
      <c r="J3524" t="s">
        <v>81</v>
      </c>
      <c r="K3524" t="s">
        <v>29</v>
      </c>
      <c r="L3524">
        <v>0</v>
      </c>
      <c r="M3524" t="s">
        <v>362</v>
      </c>
      <c r="N3524">
        <v>0</v>
      </c>
      <c r="O3524">
        <v>0</v>
      </c>
      <c r="P3524" t="s">
        <v>363</v>
      </c>
      <c r="Q3524" s="2">
        <v>0.7</v>
      </c>
      <c r="R3524">
        <v>0</v>
      </c>
      <c r="V3524" t="str">
        <f>VLOOKUP(H3524,'[1]팀별 출판사'!A:B,2,0)</f>
        <v>소설1팀</v>
      </c>
      <c r="W3524" s="6">
        <f t="shared" si="110"/>
        <v>0</v>
      </c>
      <c r="X3524" s="6">
        <f t="shared" si="111"/>
        <v>0</v>
      </c>
    </row>
    <row r="3525" spans="1:24" x14ac:dyDescent="0.3">
      <c r="A3525" t="s">
        <v>4838</v>
      </c>
      <c r="B3525" t="s">
        <v>5064</v>
      </c>
      <c r="C3525" t="s">
        <v>23</v>
      </c>
      <c r="D3525" t="s">
        <v>24</v>
      </c>
      <c r="E3525" t="s">
        <v>25</v>
      </c>
      <c r="F3525">
        <v>1</v>
      </c>
      <c r="G3525">
        <v>9791136958709</v>
      </c>
      <c r="H3525" t="s">
        <v>79</v>
      </c>
      <c r="I3525" t="s">
        <v>3053</v>
      </c>
      <c r="J3525" t="s">
        <v>81</v>
      </c>
      <c r="K3525" t="s">
        <v>29</v>
      </c>
      <c r="L3525" s="1">
        <v>3200</v>
      </c>
      <c r="M3525" t="s">
        <v>29</v>
      </c>
      <c r="N3525" s="1">
        <v>3200</v>
      </c>
      <c r="O3525" s="1">
        <v>3200</v>
      </c>
      <c r="P3525" t="s">
        <v>30</v>
      </c>
      <c r="Q3525" s="2">
        <v>0.7</v>
      </c>
      <c r="R3525" s="1">
        <v>2240</v>
      </c>
      <c r="S3525" t="s">
        <v>29</v>
      </c>
      <c r="T3525" s="1">
        <v>2240</v>
      </c>
      <c r="V3525" t="str">
        <f>VLOOKUP(H3525,'[1]팀별 출판사'!A:B,2,0)</f>
        <v>소설1팀</v>
      </c>
      <c r="W3525" s="6">
        <f t="shared" si="110"/>
        <v>0</v>
      </c>
      <c r="X3525" s="6">
        <f t="shared" si="111"/>
        <v>2240</v>
      </c>
    </row>
    <row r="3526" spans="1:24" x14ac:dyDescent="0.3">
      <c r="A3526" t="s">
        <v>4838</v>
      </c>
      <c r="B3526" t="s">
        <v>5065</v>
      </c>
      <c r="C3526" t="s">
        <v>23</v>
      </c>
      <c r="D3526" t="s">
        <v>24</v>
      </c>
      <c r="E3526" t="s">
        <v>25</v>
      </c>
      <c r="F3526">
        <v>1</v>
      </c>
      <c r="G3526">
        <v>9791136934987</v>
      </c>
      <c r="H3526" t="s">
        <v>32</v>
      </c>
      <c r="I3526" t="s">
        <v>5066</v>
      </c>
      <c r="J3526" t="s">
        <v>126</v>
      </c>
      <c r="K3526" t="s">
        <v>29</v>
      </c>
      <c r="L3526" s="1">
        <v>3200</v>
      </c>
      <c r="M3526" t="s">
        <v>29</v>
      </c>
      <c r="N3526" s="1">
        <v>3200</v>
      </c>
      <c r="O3526" s="1">
        <v>3200</v>
      </c>
      <c r="P3526" t="s">
        <v>30</v>
      </c>
      <c r="Q3526" s="2">
        <v>0.7</v>
      </c>
      <c r="R3526" s="1">
        <v>2240</v>
      </c>
      <c r="S3526" t="s">
        <v>29</v>
      </c>
      <c r="T3526" s="1">
        <v>2240</v>
      </c>
      <c r="V3526" t="str">
        <f>VLOOKUP(H3526,'[1]팀별 출판사'!A:B,2,0)</f>
        <v>소설1팀</v>
      </c>
      <c r="W3526" s="6">
        <f t="shared" si="110"/>
        <v>0</v>
      </c>
      <c r="X3526" s="6">
        <f t="shared" si="111"/>
        <v>2240</v>
      </c>
    </row>
    <row r="3527" spans="1:24" x14ac:dyDescent="0.3">
      <c r="A3527" t="s">
        <v>4838</v>
      </c>
      <c r="B3527" t="s">
        <v>5067</v>
      </c>
      <c r="C3527" t="s">
        <v>23</v>
      </c>
      <c r="D3527" t="s">
        <v>24</v>
      </c>
      <c r="E3527" t="s">
        <v>25</v>
      </c>
      <c r="F3527">
        <v>1</v>
      </c>
      <c r="G3527" t="s">
        <v>2372</v>
      </c>
      <c r="H3527" t="s">
        <v>32</v>
      </c>
      <c r="I3527" t="s">
        <v>2373</v>
      </c>
      <c r="J3527" t="s">
        <v>88</v>
      </c>
      <c r="K3527" t="s">
        <v>29</v>
      </c>
      <c r="L3527">
        <v>0</v>
      </c>
      <c r="M3527" t="s">
        <v>29</v>
      </c>
      <c r="N3527">
        <v>0</v>
      </c>
      <c r="O3527">
        <v>0</v>
      </c>
      <c r="P3527" t="s">
        <v>30</v>
      </c>
      <c r="Q3527" s="2">
        <v>0.7</v>
      </c>
      <c r="R3527">
        <v>0</v>
      </c>
      <c r="V3527" t="str">
        <f>VLOOKUP(H3527,'[1]팀별 출판사'!A:B,2,0)</f>
        <v>소설1팀</v>
      </c>
      <c r="W3527" s="6">
        <f t="shared" si="110"/>
        <v>0</v>
      </c>
      <c r="X3527" s="6">
        <f t="shared" si="111"/>
        <v>0</v>
      </c>
    </row>
    <row r="3528" spans="1:24" x14ac:dyDescent="0.3">
      <c r="A3528" t="s">
        <v>4838</v>
      </c>
      <c r="B3528" t="s">
        <v>5068</v>
      </c>
      <c r="C3528" t="s">
        <v>23</v>
      </c>
      <c r="D3528" t="s">
        <v>24</v>
      </c>
      <c r="E3528" t="s">
        <v>25</v>
      </c>
      <c r="F3528">
        <v>1</v>
      </c>
      <c r="G3528">
        <v>9791136926821</v>
      </c>
      <c r="H3528" t="s">
        <v>26</v>
      </c>
      <c r="I3528" t="s">
        <v>3051</v>
      </c>
      <c r="J3528" t="s">
        <v>62</v>
      </c>
      <c r="K3528" t="s">
        <v>29</v>
      </c>
      <c r="L3528" s="1">
        <v>3200</v>
      </c>
      <c r="M3528" t="s">
        <v>29</v>
      </c>
      <c r="N3528" s="1">
        <v>3200</v>
      </c>
      <c r="O3528" s="1">
        <v>3200</v>
      </c>
      <c r="P3528" t="s">
        <v>30</v>
      </c>
      <c r="Q3528" s="2">
        <v>0.7</v>
      </c>
      <c r="R3528" s="1">
        <v>2240</v>
      </c>
      <c r="S3528" t="s">
        <v>29</v>
      </c>
      <c r="T3528" s="1">
        <v>2240</v>
      </c>
      <c r="V3528" t="str">
        <f>VLOOKUP(H3528,'[1]팀별 출판사'!A:B,2,0)</f>
        <v>소설1팀</v>
      </c>
      <c r="W3528" s="6">
        <f t="shared" si="110"/>
        <v>0</v>
      </c>
      <c r="X3528" s="6">
        <f t="shared" si="111"/>
        <v>2240</v>
      </c>
    </row>
    <row r="3529" spans="1:24" x14ac:dyDescent="0.3">
      <c r="A3529" t="s">
        <v>5069</v>
      </c>
      <c r="B3529" t="s">
        <v>5070</v>
      </c>
      <c r="C3529" t="s">
        <v>23</v>
      </c>
      <c r="D3529" t="s">
        <v>24</v>
      </c>
      <c r="E3529" t="s">
        <v>25</v>
      </c>
      <c r="F3529">
        <v>1</v>
      </c>
      <c r="G3529">
        <v>9791136930552</v>
      </c>
      <c r="H3529" t="s">
        <v>26</v>
      </c>
      <c r="I3529" t="s">
        <v>45</v>
      </c>
      <c r="J3529" t="s">
        <v>46</v>
      </c>
      <c r="K3529" t="s">
        <v>29</v>
      </c>
      <c r="L3529">
        <v>0</v>
      </c>
      <c r="M3529" t="s">
        <v>47</v>
      </c>
      <c r="N3529">
        <v>0</v>
      </c>
      <c r="O3529">
        <v>0</v>
      </c>
      <c r="P3529" t="s">
        <v>48</v>
      </c>
      <c r="Q3529" s="2">
        <v>0.7</v>
      </c>
      <c r="R3529">
        <v>0</v>
      </c>
      <c r="V3529" t="str">
        <f>VLOOKUP(H3529,'[1]팀별 출판사'!A:B,2,0)</f>
        <v>소설1팀</v>
      </c>
      <c r="W3529" s="6">
        <f t="shared" si="110"/>
        <v>0</v>
      </c>
      <c r="X3529" s="6">
        <f t="shared" si="111"/>
        <v>0</v>
      </c>
    </row>
    <row r="3530" spans="1:24" x14ac:dyDescent="0.3">
      <c r="A3530" t="s">
        <v>5069</v>
      </c>
      <c r="B3530" t="s">
        <v>5071</v>
      </c>
      <c r="C3530" t="s">
        <v>23</v>
      </c>
      <c r="D3530" t="s">
        <v>24</v>
      </c>
      <c r="E3530" t="s">
        <v>25</v>
      </c>
      <c r="F3530">
        <v>1</v>
      </c>
      <c r="G3530">
        <v>9791136941862</v>
      </c>
      <c r="H3530" t="s">
        <v>26</v>
      </c>
      <c r="I3530" t="s">
        <v>894</v>
      </c>
      <c r="J3530" t="s">
        <v>81</v>
      </c>
      <c r="K3530" t="s">
        <v>29</v>
      </c>
      <c r="L3530">
        <v>0</v>
      </c>
      <c r="M3530" t="s">
        <v>29</v>
      </c>
      <c r="N3530">
        <v>0</v>
      </c>
      <c r="O3530">
        <v>0</v>
      </c>
      <c r="P3530" t="s">
        <v>30</v>
      </c>
      <c r="Q3530" s="2">
        <v>0.7</v>
      </c>
      <c r="R3530">
        <v>0</v>
      </c>
      <c r="V3530" t="str">
        <f>VLOOKUP(H3530,'[1]팀별 출판사'!A:B,2,0)</f>
        <v>소설1팀</v>
      </c>
      <c r="W3530" s="6">
        <f t="shared" si="110"/>
        <v>0</v>
      </c>
      <c r="X3530" s="6">
        <f t="shared" si="111"/>
        <v>0</v>
      </c>
    </row>
    <row r="3531" spans="1:24" x14ac:dyDescent="0.3">
      <c r="A3531" t="s">
        <v>5069</v>
      </c>
      <c r="B3531" t="s">
        <v>5072</v>
      </c>
      <c r="C3531" t="s">
        <v>23</v>
      </c>
      <c r="D3531" t="s">
        <v>24</v>
      </c>
      <c r="E3531" t="s">
        <v>25</v>
      </c>
      <c r="F3531">
        <v>1</v>
      </c>
      <c r="G3531">
        <v>9791133167227</v>
      </c>
      <c r="H3531" t="s">
        <v>32</v>
      </c>
      <c r="I3531" t="s">
        <v>313</v>
      </c>
      <c r="J3531" t="s">
        <v>160</v>
      </c>
      <c r="K3531" t="s">
        <v>29</v>
      </c>
      <c r="L3531">
        <v>0</v>
      </c>
      <c r="M3531" t="s">
        <v>29</v>
      </c>
      <c r="N3531">
        <v>0</v>
      </c>
      <c r="O3531">
        <v>0</v>
      </c>
      <c r="P3531" t="s">
        <v>30</v>
      </c>
      <c r="Q3531" s="2">
        <v>0.7</v>
      </c>
      <c r="R3531">
        <v>0</v>
      </c>
      <c r="V3531" t="str">
        <f>VLOOKUP(H3531,'[1]팀별 출판사'!A:B,2,0)</f>
        <v>소설1팀</v>
      </c>
      <c r="W3531" s="6">
        <f t="shared" si="110"/>
        <v>0</v>
      </c>
      <c r="X3531" s="6">
        <f t="shared" si="111"/>
        <v>0</v>
      </c>
    </row>
    <row r="3532" spans="1:24" x14ac:dyDescent="0.3">
      <c r="A3532" t="s">
        <v>5069</v>
      </c>
      <c r="B3532" t="s">
        <v>5073</v>
      </c>
      <c r="C3532" t="s">
        <v>23</v>
      </c>
      <c r="D3532" t="s">
        <v>24</v>
      </c>
      <c r="E3532" t="s">
        <v>25</v>
      </c>
      <c r="F3532">
        <v>1</v>
      </c>
      <c r="G3532">
        <v>9791133186563</v>
      </c>
      <c r="H3532" t="s">
        <v>32</v>
      </c>
      <c r="I3532" t="s">
        <v>5074</v>
      </c>
      <c r="J3532" t="s">
        <v>166</v>
      </c>
      <c r="K3532" t="s">
        <v>29</v>
      </c>
      <c r="L3532" s="1">
        <v>3200</v>
      </c>
      <c r="M3532" t="s">
        <v>29</v>
      </c>
      <c r="N3532" s="1">
        <v>3200</v>
      </c>
      <c r="O3532" s="1">
        <v>3200</v>
      </c>
      <c r="P3532" t="s">
        <v>30</v>
      </c>
      <c r="Q3532" s="2">
        <v>0.7</v>
      </c>
      <c r="R3532" s="1">
        <v>2240</v>
      </c>
      <c r="S3532" t="s">
        <v>29</v>
      </c>
      <c r="T3532" s="1">
        <v>2240</v>
      </c>
      <c r="V3532" t="str">
        <f>VLOOKUP(H3532,'[1]팀별 출판사'!A:B,2,0)</f>
        <v>소설1팀</v>
      </c>
      <c r="W3532" s="6">
        <f t="shared" si="110"/>
        <v>0</v>
      </c>
      <c r="X3532" s="6">
        <f t="shared" si="111"/>
        <v>2240</v>
      </c>
    </row>
    <row r="3533" spans="1:24" x14ac:dyDescent="0.3">
      <c r="A3533" t="s">
        <v>5069</v>
      </c>
      <c r="B3533" t="s">
        <v>5075</v>
      </c>
      <c r="C3533" t="s">
        <v>23</v>
      </c>
      <c r="D3533" t="s">
        <v>24</v>
      </c>
      <c r="E3533" t="s">
        <v>25</v>
      </c>
      <c r="F3533">
        <v>1</v>
      </c>
      <c r="G3533">
        <v>9791172920098</v>
      </c>
      <c r="H3533" t="s">
        <v>26</v>
      </c>
      <c r="I3533" t="s">
        <v>5076</v>
      </c>
      <c r="J3533" t="s">
        <v>276</v>
      </c>
      <c r="K3533" t="s">
        <v>29</v>
      </c>
      <c r="L3533" s="1">
        <v>3200</v>
      </c>
      <c r="M3533" t="s">
        <v>29</v>
      </c>
      <c r="N3533" s="1">
        <v>3200</v>
      </c>
      <c r="O3533" s="1">
        <v>3200</v>
      </c>
      <c r="P3533" t="s">
        <v>30</v>
      </c>
      <c r="Q3533" s="2">
        <v>0.7</v>
      </c>
      <c r="R3533" s="1">
        <v>2240</v>
      </c>
      <c r="S3533" t="s">
        <v>29</v>
      </c>
      <c r="T3533" s="1">
        <v>2240</v>
      </c>
      <c r="V3533" t="str">
        <f>VLOOKUP(H3533,'[1]팀별 출판사'!A:B,2,0)</f>
        <v>소설1팀</v>
      </c>
      <c r="W3533" s="6">
        <f t="shared" si="110"/>
        <v>0</v>
      </c>
      <c r="X3533" s="6">
        <f t="shared" si="111"/>
        <v>2240</v>
      </c>
    </row>
    <row r="3534" spans="1:24" x14ac:dyDescent="0.3">
      <c r="A3534" t="s">
        <v>5069</v>
      </c>
      <c r="B3534" t="s">
        <v>5077</v>
      </c>
      <c r="C3534" t="s">
        <v>23</v>
      </c>
      <c r="D3534" t="s">
        <v>24</v>
      </c>
      <c r="E3534" t="s">
        <v>25</v>
      </c>
      <c r="F3534">
        <v>1</v>
      </c>
      <c r="G3534">
        <v>9791173785993</v>
      </c>
      <c r="H3534" t="s">
        <v>26</v>
      </c>
      <c r="I3534" t="s">
        <v>769</v>
      </c>
      <c r="J3534" t="s">
        <v>81</v>
      </c>
      <c r="K3534" t="s">
        <v>29</v>
      </c>
      <c r="L3534">
        <v>0</v>
      </c>
      <c r="M3534" t="s">
        <v>29</v>
      </c>
      <c r="N3534">
        <v>0</v>
      </c>
      <c r="O3534">
        <v>0</v>
      </c>
      <c r="P3534" t="s">
        <v>30</v>
      </c>
      <c r="Q3534" s="2">
        <v>0.7</v>
      </c>
      <c r="R3534">
        <v>0</v>
      </c>
      <c r="V3534" t="str">
        <f>VLOOKUP(H3534,'[1]팀별 출판사'!A:B,2,0)</f>
        <v>소설1팀</v>
      </c>
      <c r="W3534" s="6">
        <f t="shared" si="110"/>
        <v>0</v>
      </c>
      <c r="X3534" s="6">
        <f t="shared" si="111"/>
        <v>0</v>
      </c>
    </row>
    <row r="3535" spans="1:24" x14ac:dyDescent="0.3">
      <c r="A3535" t="s">
        <v>5069</v>
      </c>
      <c r="B3535" t="s">
        <v>5078</v>
      </c>
      <c r="C3535" t="s">
        <v>23</v>
      </c>
      <c r="D3535" t="s">
        <v>24</v>
      </c>
      <c r="E3535" t="s">
        <v>25</v>
      </c>
      <c r="F3535">
        <v>1</v>
      </c>
      <c r="G3535">
        <v>9791157539710</v>
      </c>
      <c r="H3535" t="s">
        <v>32</v>
      </c>
      <c r="I3535" t="s">
        <v>3605</v>
      </c>
      <c r="J3535" t="s">
        <v>88</v>
      </c>
      <c r="K3535" t="s">
        <v>29</v>
      </c>
      <c r="L3535" s="1">
        <v>3200</v>
      </c>
      <c r="M3535" t="s">
        <v>29</v>
      </c>
      <c r="N3535" s="1">
        <v>3200</v>
      </c>
      <c r="O3535" s="1">
        <v>3200</v>
      </c>
      <c r="P3535" t="s">
        <v>30</v>
      </c>
      <c r="Q3535" s="2">
        <v>0.7</v>
      </c>
      <c r="R3535" s="1">
        <v>2240</v>
      </c>
      <c r="S3535" t="s">
        <v>29</v>
      </c>
      <c r="T3535" s="1">
        <v>2240</v>
      </c>
      <c r="V3535" t="str">
        <f>VLOOKUP(H3535,'[1]팀별 출판사'!A:B,2,0)</f>
        <v>소설1팀</v>
      </c>
      <c r="W3535" s="6">
        <f t="shared" si="110"/>
        <v>0</v>
      </c>
      <c r="X3535" s="6">
        <f t="shared" si="111"/>
        <v>2240</v>
      </c>
    </row>
    <row r="3536" spans="1:24" x14ac:dyDescent="0.3">
      <c r="A3536" t="s">
        <v>5069</v>
      </c>
      <c r="B3536" t="s">
        <v>5079</v>
      </c>
      <c r="C3536" t="s">
        <v>23</v>
      </c>
      <c r="D3536" t="s">
        <v>24</v>
      </c>
      <c r="E3536" t="s">
        <v>25</v>
      </c>
      <c r="F3536">
        <v>1</v>
      </c>
      <c r="G3536">
        <v>9791136965455</v>
      </c>
      <c r="H3536" t="s">
        <v>26</v>
      </c>
      <c r="I3536" t="s">
        <v>472</v>
      </c>
      <c r="J3536" t="s">
        <v>157</v>
      </c>
      <c r="K3536" t="s">
        <v>29</v>
      </c>
      <c r="L3536">
        <v>0</v>
      </c>
      <c r="M3536" t="s">
        <v>47</v>
      </c>
      <c r="N3536">
        <v>0</v>
      </c>
      <c r="O3536">
        <v>0</v>
      </c>
      <c r="P3536" t="s">
        <v>48</v>
      </c>
      <c r="Q3536" s="2">
        <v>0.7</v>
      </c>
      <c r="R3536">
        <v>0</v>
      </c>
      <c r="V3536" t="str">
        <f>VLOOKUP(H3536,'[1]팀별 출판사'!A:B,2,0)</f>
        <v>소설1팀</v>
      </c>
      <c r="W3536" s="6">
        <f t="shared" si="110"/>
        <v>0</v>
      </c>
      <c r="X3536" s="6">
        <f t="shared" si="111"/>
        <v>0</v>
      </c>
    </row>
    <row r="3537" spans="1:24" x14ac:dyDescent="0.3">
      <c r="A3537" t="s">
        <v>5069</v>
      </c>
      <c r="B3537" t="s">
        <v>5080</v>
      </c>
      <c r="C3537" t="s">
        <v>23</v>
      </c>
      <c r="D3537" t="s">
        <v>24</v>
      </c>
      <c r="E3537" t="s">
        <v>25</v>
      </c>
      <c r="F3537">
        <v>1</v>
      </c>
      <c r="G3537">
        <v>9791172921033</v>
      </c>
      <c r="H3537" t="s">
        <v>79</v>
      </c>
      <c r="I3537" t="s">
        <v>738</v>
      </c>
      <c r="J3537" t="s">
        <v>46</v>
      </c>
      <c r="K3537" t="s">
        <v>29</v>
      </c>
      <c r="L3537">
        <v>0</v>
      </c>
      <c r="M3537" t="s">
        <v>47</v>
      </c>
      <c r="N3537">
        <v>0</v>
      </c>
      <c r="O3537">
        <v>0</v>
      </c>
      <c r="P3537" t="s">
        <v>48</v>
      </c>
      <c r="Q3537" s="2">
        <v>0.7</v>
      </c>
      <c r="R3537">
        <v>0</v>
      </c>
      <c r="V3537" t="str">
        <f>VLOOKUP(H3537,'[1]팀별 출판사'!A:B,2,0)</f>
        <v>소설1팀</v>
      </c>
      <c r="W3537" s="6">
        <f t="shared" si="110"/>
        <v>0</v>
      </c>
      <c r="X3537" s="6">
        <f t="shared" si="111"/>
        <v>0</v>
      </c>
    </row>
    <row r="3538" spans="1:24" x14ac:dyDescent="0.3">
      <c r="A3538" t="s">
        <v>5069</v>
      </c>
      <c r="B3538" t="s">
        <v>5081</v>
      </c>
      <c r="C3538" t="s">
        <v>23</v>
      </c>
      <c r="D3538" t="s">
        <v>24</v>
      </c>
      <c r="E3538" t="s">
        <v>25</v>
      </c>
      <c r="F3538">
        <v>1</v>
      </c>
      <c r="G3538">
        <v>9791136930552</v>
      </c>
      <c r="H3538" t="s">
        <v>26</v>
      </c>
      <c r="I3538" t="s">
        <v>45</v>
      </c>
      <c r="J3538" t="s">
        <v>46</v>
      </c>
      <c r="K3538" t="s">
        <v>29</v>
      </c>
      <c r="L3538">
        <v>0</v>
      </c>
      <c r="M3538" t="s">
        <v>47</v>
      </c>
      <c r="N3538">
        <v>0</v>
      </c>
      <c r="O3538">
        <v>0</v>
      </c>
      <c r="P3538" t="s">
        <v>48</v>
      </c>
      <c r="Q3538" s="2">
        <v>0.7</v>
      </c>
      <c r="R3538">
        <v>0</v>
      </c>
      <c r="V3538" t="str">
        <f>VLOOKUP(H3538,'[1]팀별 출판사'!A:B,2,0)</f>
        <v>소설1팀</v>
      </c>
      <c r="W3538" s="6">
        <f t="shared" si="110"/>
        <v>0</v>
      </c>
      <c r="X3538" s="6">
        <f t="shared" si="111"/>
        <v>0</v>
      </c>
    </row>
    <row r="3539" spans="1:24" x14ac:dyDescent="0.3">
      <c r="A3539" t="s">
        <v>5069</v>
      </c>
      <c r="B3539" t="s">
        <v>5082</v>
      </c>
      <c r="C3539" t="s">
        <v>23</v>
      </c>
      <c r="D3539" t="s">
        <v>24</v>
      </c>
      <c r="E3539" t="s">
        <v>25</v>
      </c>
      <c r="F3539">
        <v>1</v>
      </c>
      <c r="G3539">
        <v>9791136946775</v>
      </c>
      <c r="H3539" t="s">
        <v>26</v>
      </c>
      <c r="I3539" t="s">
        <v>238</v>
      </c>
      <c r="J3539" t="s">
        <v>28</v>
      </c>
      <c r="K3539" t="s">
        <v>29</v>
      </c>
      <c r="L3539">
        <v>0</v>
      </c>
      <c r="M3539" t="s">
        <v>29</v>
      </c>
      <c r="N3539">
        <v>0</v>
      </c>
      <c r="O3539">
        <v>0</v>
      </c>
      <c r="P3539" t="s">
        <v>30</v>
      </c>
      <c r="Q3539" s="2">
        <v>0.7</v>
      </c>
      <c r="R3539">
        <v>0</v>
      </c>
      <c r="V3539" t="str">
        <f>VLOOKUP(H3539,'[1]팀별 출판사'!A:B,2,0)</f>
        <v>소설1팀</v>
      </c>
      <c r="W3539" s="6">
        <f t="shared" si="110"/>
        <v>0</v>
      </c>
      <c r="X3539" s="6">
        <f t="shared" si="111"/>
        <v>0</v>
      </c>
    </row>
    <row r="3540" spans="1:24" x14ac:dyDescent="0.3">
      <c r="A3540" t="s">
        <v>5069</v>
      </c>
      <c r="B3540" t="s">
        <v>5083</v>
      </c>
      <c r="C3540" t="s">
        <v>23</v>
      </c>
      <c r="D3540" t="s">
        <v>24</v>
      </c>
      <c r="E3540" t="s">
        <v>25</v>
      </c>
      <c r="F3540">
        <v>1</v>
      </c>
      <c r="G3540">
        <v>9791170101307</v>
      </c>
      <c r="H3540" t="s">
        <v>67</v>
      </c>
      <c r="I3540" t="s">
        <v>413</v>
      </c>
      <c r="J3540" t="s">
        <v>414</v>
      </c>
      <c r="K3540" t="s">
        <v>29</v>
      </c>
      <c r="L3540">
        <v>0</v>
      </c>
      <c r="M3540" t="s">
        <v>29</v>
      </c>
      <c r="N3540">
        <v>0</v>
      </c>
      <c r="O3540">
        <v>0</v>
      </c>
      <c r="P3540" t="s">
        <v>30</v>
      </c>
      <c r="Q3540" s="2">
        <v>0.7</v>
      </c>
      <c r="R3540">
        <v>0</v>
      </c>
      <c r="V3540" t="str">
        <f>VLOOKUP(H3540,'[1]팀별 출판사'!A:B,2,0)</f>
        <v>소설1팀</v>
      </c>
      <c r="W3540" s="6">
        <f t="shared" si="110"/>
        <v>0</v>
      </c>
      <c r="X3540" s="6">
        <f t="shared" si="111"/>
        <v>0</v>
      </c>
    </row>
    <row r="3541" spans="1:24" x14ac:dyDescent="0.3">
      <c r="A3541" t="s">
        <v>5069</v>
      </c>
      <c r="B3541" t="s">
        <v>5084</v>
      </c>
      <c r="C3541" t="s">
        <v>23</v>
      </c>
      <c r="D3541" t="s">
        <v>24</v>
      </c>
      <c r="E3541" t="s">
        <v>25</v>
      </c>
      <c r="F3541">
        <v>1</v>
      </c>
      <c r="G3541">
        <v>9791170101321</v>
      </c>
      <c r="H3541" t="s">
        <v>67</v>
      </c>
      <c r="I3541" t="s">
        <v>848</v>
      </c>
      <c r="J3541" t="s">
        <v>414</v>
      </c>
      <c r="K3541" t="s">
        <v>29</v>
      </c>
      <c r="L3541">
        <v>0</v>
      </c>
      <c r="M3541" t="s">
        <v>29</v>
      </c>
      <c r="N3541">
        <v>0</v>
      </c>
      <c r="O3541">
        <v>0</v>
      </c>
      <c r="P3541" t="s">
        <v>30</v>
      </c>
      <c r="Q3541" s="2">
        <v>0.7</v>
      </c>
      <c r="R3541">
        <v>0</v>
      </c>
      <c r="V3541" t="str">
        <f>VLOOKUP(H3541,'[1]팀별 출판사'!A:B,2,0)</f>
        <v>소설1팀</v>
      </c>
      <c r="W3541" s="6">
        <f t="shared" si="110"/>
        <v>0</v>
      </c>
      <c r="X3541" s="6">
        <f t="shared" si="111"/>
        <v>0</v>
      </c>
    </row>
    <row r="3542" spans="1:24" x14ac:dyDescent="0.3">
      <c r="A3542" t="s">
        <v>5069</v>
      </c>
      <c r="B3542" t="s">
        <v>5085</v>
      </c>
      <c r="C3542" t="s">
        <v>23</v>
      </c>
      <c r="D3542" t="s">
        <v>24</v>
      </c>
      <c r="E3542" t="s">
        <v>25</v>
      </c>
      <c r="F3542">
        <v>1</v>
      </c>
      <c r="G3542" t="s">
        <v>543</v>
      </c>
      <c r="H3542" t="s">
        <v>32</v>
      </c>
      <c r="I3542" t="s">
        <v>544</v>
      </c>
      <c r="J3542" t="s">
        <v>311</v>
      </c>
      <c r="K3542" t="s">
        <v>29</v>
      </c>
      <c r="L3542">
        <v>0</v>
      </c>
      <c r="M3542" t="s">
        <v>29</v>
      </c>
      <c r="N3542">
        <v>0</v>
      </c>
      <c r="O3542">
        <v>0</v>
      </c>
      <c r="P3542" t="s">
        <v>30</v>
      </c>
      <c r="Q3542" s="2">
        <v>0.7</v>
      </c>
      <c r="R3542">
        <v>0</v>
      </c>
      <c r="V3542" t="str">
        <f>VLOOKUP(H3542,'[1]팀별 출판사'!A:B,2,0)</f>
        <v>소설1팀</v>
      </c>
      <c r="W3542" s="6">
        <f t="shared" si="110"/>
        <v>0</v>
      </c>
      <c r="X3542" s="6">
        <f t="shared" si="111"/>
        <v>0</v>
      </c>
    </row>
    <row r="3543" spans="1:24" x14ac:dyDescent="0.3">
      <c r="A3543" t="s">
        <v>5069</v>
      </c>
      <c r="B3543" t="s">
        <v>5086</v>
      </c>
      <c r="C3543" t="s">
        <v>23</v>
      </c>
      <c r="D3543" t="s">
        <v>24</v>
      </c>
      <c r="E3543" t="s">
        <v>25</v>
      </c>
      <c r="F3543">
        <v>1</v>
      </c>
      <c r="G3543" t="s">
        <v>3591</v>
      </c>
      <c r="H3543" t="s">
        <v>32</v>
      </c>
      <c r="I3543" t="s">
        <v>3592</v>
      </c>
      <c r="J3543" t="s">
        <v>311</v>
      </c>
      <c r="K3543" t="s">
        <v>29</v>
      </c>
      <c r="L3543">
        <v>0</v>
      </c>
      <c r="M3543" t="s">
        <v>29</v>
      </c>
      <c r="N3543">
        <v>0</v>
      </c>
      <c r="O3543">
        <v>0</v>
      </c>
      <c r="P3543" t="s">
        <v>30</v>
      </c>
      <c r="Q3543" s="2">
        <v>0.7</v>
      </c>
      <c r="R3543">
        <v>0</v>
      </c>
      <c r="V3543" t="str">
        <f>VLOOKUP(H3543,'[1]팀별 출판사'!A:B,2,0)</f>
        <v>소설1팀</v>
      </c>
      <c r="W3543" s="6">
        <f t="shared" si="110"/>
        <v>0</v>
      </c>
      <c r="X3543" s="6">
        <f t="shared" si="111"/>
        <v>0</v>
      </c>
    </row>
    <row r="3544" spans="1:24" x14ac:dyDescent="0.3">
      <c r="A3544" t="s">
        <v>5069</v>
      </c>
      <c r="B3544" t="s">
        <v>5087</v>
      </c>
      <c r="C3544" t="s">
        <v>23</v>
      </c>
      <c r="D3544" t="s">
        <v>24</v>
      </c>
      <c r="E3544" t="s">
        <v>25</v>
      </c>
      <c r="F3544">
        <v>1</v>
      </c>
      <c r="G3544">
        <v>9791136931399</v>
      </c>
      <c r="H3544" t="s">
        <v>32</v>
      </c>
      <c r="I3544" t="s">
        <v>482</v>
      </c>
      <c r="J3544" t="s">
        <v>46</v>
      </c>
      <c r="K3544" t="s">
        <v>29</v>
      </c>
      <c r="L3544">
        <v>0</v>
      </c>
      <c r="M3544" t="s">
        <v>29</v>
      </c>
      <c r="N3544">
        <v>0</v>
      </c>
      <c r="O3544">
        <v>0</v>
      </c>
      <c r="P3544" t="s">
        <v>30</v>
      </c>
      <c r="Q3544" s="2">
        <v>0.7</v>
      </c>
      <c r="R3544">
        <v>0</v>
      </c>
      <c r="V3544" t="str">
        <f>VLOOKUP(H3544,'[1]팀별 출판사'!A:B,2,0)</f>
        <v>소설1팀</v>
      </c>
      <c r="W3544" s="6">
        <f t="shared" si="110"/>
        <v>0</v>
      </c>
      <c r="X3544" s="6">
        <f t="shared" si="111"/>
        <v>0</v>
      </c>
    </row>
    <row r="3545" spans="1:24" x14ac:dyDescent="0.3">
      <c r="A3545" t="s">
        <v>5069</v>
      </c>
      <c r="B3545" t="s">
        <v>5088</v>
      </c>
      <c r="C3545" t="s">
        <v>23</v>
      </c>
      <c r="D3545" t="s">
        <v>24</v>
      </c>
      <c r="E3545" t="s">
        <v>25</v>
      </c>
      <c r="F3545">
        <v>1</v>
      </c>
      <c r="G3545" t="s">
        <v>3634</v>
      </c>
      <c r="H3545" t="s">
        <v>32</v>
      </c>
      <c r="I3545" t="s">
        <v>3635</v>
      </c>
      <c r="J3545" t="s">
        <v>311</v>
      </c>
      <c r="K3545" t="s">
        <v>29</v>
      </c>
      <c r="L3545">
        <v>0</v>
      </c>
      <c r="M3545" t="s">
        <v>29</v>
      </c>
      <c r="N3545">
        <v>0</v>
      </c>
      <c r="O3545">
        <v>0</v>
      </c>
      <c r="P3545" t="s">
        <v>30</v>
      </c>
      <c r="Q3545" s="2">
        <v>0.7</v>
      </c>
      <c r="R3545">
        <v>0</v>
      </c>
      <c r="V3545" t="str">
        <f>VLOOKUP(H3545,'[1]팀별 출판사'!A:B,2,0)</f>
        <v>소설1팀</v>
      </c>
      <c r="W3545" s="6">
        <f t="shared" si="110"/>
        <v>0</v>
      </c>
      <c r="X3545" s="6">
        <f t="shared" si="111"/>
        <v>0</v>
      </c>
    </row>
    <row r="3546" spans="1:24" x14ac:dyDescent="0.3">
      <c r="A3546" t="s">
        <v>5069</v>
      </c>
      <c r="B3546" t="s">
        <v>5089</v>
      </c>
      <c r="C3546" t="s">
        <v>23</v>
      </c>
      <c r="D3546" t="s">
        <v>24</v>
      </c>
      <c r="E3546" t="s">
        <v>25</v>
      </c>
      <c r="F3546">
        <v>1</v>
      </c>
      <c r="G3546" t="s">
        <v>5090</v>
      </c>
      <c r="H3546" t="s">
        <v>32</v>
      </c>
      <c r="I3546" t="s">
        <v>5091</v>
      </c>
      <c r="J3546" t="s">
        <v>5092</v>
      </c>
      <c r="K3546" t="s">
        <v>29</v>
      </c>
      <c r="L3546">
        <v>0</v>
      </c>
      <c r="M3546" t="s">
        <v>29</v>
      </c>
      <c r="N3546">
        <v>0</v>
      </c>
      <c r="O3546">
        <v>0</v>
      </c>
      <c r="P3546" t="s">
        <v>30</v>
      </c>
      <c r="Q3546" s="2">
        <v>0.7</v>
      </c>
      <c r="R3546">
        <v>0</v>
      </c>
      <c r="V3546" t="str">
        <f>VLOOKUP(H3546,'[1]팀별 출판사'!A:B,2,0)</f>
        <v>소설1팀</v>
      </c>
      <c r="W3546" s="6">
        <f t="shared" si="110"/>
        <v>0</v>
      </c>
      <c r="X3546" s="6">
        <f t="shared" si="111"/>
        <v>0</v>
      </c>
    </row>
    <row r="3547" spans="1:24" x14ac:dyDescent="0.3">
      <c r="A3547" t="s">
        <v>5069</v>
      </c>
      <c r="B3547" t="s">
        <v>5093</v>
      </c>
      <c r="C3547" t="s">
        <v>23</v>
      </c>
      <c r="D3547" t="s">
        <v>24</v>
      </c>
      <c r="E3547" t="s">
        <v>25</v>
      </c>
      <c r="F3547">
        <v>1</v>
      </c>
      <c r="G3547">
        <v>9791136941862</v>
      </c>
      <c r="H3547" t="s">
        <v>26</v>
      </c>
      <c r="I3547" t="s">
        <v>894</v>
      </c>
      <c r="J3547" t="s">
        <v>81</v>
      </c>
      <c r="K3547" t="s">
        <v>29</v>
      </c>
      <c r="L3547">
        <v>0</v>
      </c>
      <c r="M3547" t="s">
        <v>29</v>
      </c>
      <c r="N3547">
        <v>0</v>
      </c>
      <c r="O3547">
        <v>0</v>
      </c>
      <c r="P3547" t="s">
        <v>30</v>
      </c>
      <c r="Q3547" s="2">
        <v>0.7</v>
      </c>
      <c r="R3547">
        <v>0</v>
      </c>
      <c r="V3547" t="str">
        <f>VLOOKUP(H3547,'[1]팀별 출판사'!A:B,2,0)</f>
        <v>소설1팀</v>
      </c>
      <c r="W3547" s="6">
        <f t="shared" si="110"/>
        <v>0</v>
      </c>
      <c r="X3547" s="6">
        <f t="shared" si="111"/>
        <v>0</v>
      </c>
    </row>
    <row r="3548" spans="1:24" x14ac:dyDescent="0.3">
      <c r="A3548" t="s">
        <v>5069</v>
      </c>
      <c r="B3548" t="s">
        <v>5094</v>
      </c>
      <c r="C3548" t="s">
        <v>23</v>
      </c>
      <c r="D3548" t="s">
        <v>24</v>
      </c>
      <c r="E3548" t="s">
        <v>25</v>
      </c>
      <c r="F3548">
        <v>1</v>
      </c>
      <c r="G3548">
        <v>9791172920937</v>
      </c>
      <c r="H3548" t="s">
        <v>79</v>
      </c>
      <c r="I3548" t="s">
        <v>80</v>
      </c>
      <c r="J3548" t="s">
        <v>81</v>
      </c>
      <c r="K3548" t="s">
        <v>29</v>
      </c>
      <c r="L3548">
        <v>0</v>
      </c>
      <c r="M3548" t="s">
        <v>29</v>
      </c>
      <c r="N3548">
        <v>0</v>
      </c>
      <c r="O3548">
        <v>0</v>
      </c>
      <c r="P3548" t="s">
        <v>30</v>
      </c>
      <c r="Q3548" s="2">
        <v>0.7</v>
      </c>
      <c r="R3548">
        <v>0</v>
      </c>
      <c r="V3548" t="str">
        <f>VLOOKUP(H3548,'[1]팀별 출판사'!A:B,2,0)</f>
        <v>소설1팀</v>
      </c>
      <c r="W3548" s="6">
        <f t="shared" si="110"/>
        <v>0</v>
      </c>
      <c r="X3548" s="6">
        <f t="shared" si="111"/>
        <v>0</v>
      </c>
    </row>
    <row r="3549" spans="1:24" x14ac:dyDescent="0.3">
      <c r="A3549" t="s">
        <v>5069</v>
      </c>
      <c r="B3549" t="s">
        <v>5095</v>
      </c>
      <c r="C3549" t="s">
        <v>23</v>
      </c>
      <c r="D3549" t="s">
        <v>24</v>
      </c>
      <c r="E3549" t="s">
        <v>25</v>
      </c>
      <c r="F3549">
        <v>1</v>
      </c>
      <c r="G3549">
        <v>9791136990600</v>
      </c>
      <c r="H3549" t="s">
        <v>26</v>
      </c>
      <c r="I3549" t="s">
        <v>1034</v>
      </c>
      <c r="J3549" t="s">
        <v>459</v>
      </c>
      <c r="K3549" t="s">
        <v>29</v>
      </c>
      <c r="L3549">
        <v>0</v>
      </c>
      <c r="M3549" t="s">
        <v>29</v>
      </c>
      <c r="N3549">
        <v>0</v>
      </c>
      <c r="O3549">
        <v>0</v>
      </c>
      <c r="P3549" t="s">
        <v>30</v>
      </c>
      <c r="Q3549" s="2">
        <v>0.7</v>
      </c>
      <c r="R3549">
        <v>0</v>
      </c>
      <c r="V3549" t="str">
        <f>VLOOKUP(H3549,'[1]팀별 출판사'!A:B,2,0)</f>
        <v>소설1팀</v>
      </c>
      <c r="W3549" s="6">
        <f t="shared" si="110"/>
        <v>0</v>
      </c>
      <c r="X3549" s="6">
        <f t="shared" si="111"/>
        <v>0</v>
      </c>
    </row>
    <row r="3550" spans="1:24" x14ac:dyDescent="0.3">
      <c r="A3550" t="s">
        <v>5069</v>
      </c>
      <c r="B3550" t="s">
        <v>5096</v>
      </c>
      <c r="C3550" t="s">
        <v>23</v>
      </c>
      <c r="D3550" t="s">
        <v>24</v>
      </c>
      <c r="E3550" t="s">
        <v>25</v>
      </c>
      <c r="F3550">
        <v>1</v>
      </c>
      <c r="G3550">
        <v>9791136906359</v>
      </c>
      <c r="H3550" t="s">
        <v>26</v>
      </c>
      <c r="I3550" t="s">
        <v>1893</v>
      </c>
      <c r="J3550" t="s">
        <v>459</v>
      </c>
      <c r="K3550" t="s">
        <v>29</v>
      </c>
      <c r="L3550">
        <v>0</v>
      </c>
      <c r="M3550" t="s">
        <v>29</v>
      </c>
      <c r="N3550">
        <v>0</v>
      </c>
      <c r="O3550">
        <v>0</v>
      </c>
      <c r="P3550" t="s">
        <v>30</v>
      </c>
      <c r="Q3550" s="2">
        <v>0.7</v>
      </c>
      <c r="R3550">
        <v>0</v>
      </c>
      <c r="V3550" t="str">
        <f>VLOOKUP(H3550,'[1]팀별 출판사'!A:B,2,0)</f>
        <v>소설1팀</v>
      </c>
      <c r="W3550" s="6">
        <f t="shared" si="110"/>
        <v>0</v>
      </c>
      <c r="X3550" s="6">
        <f t="shared" si="111"/>
        <v>0</v>
      </c>
    </row>
    <row r="3551" spans="1:24" x14ac:dyDescent="0.3">
      <c r="A3551" t="s">
        <v>5069</v>
      </c>
      <c r="B3551" t="s">
        <v>5097</v>
      </c>
      <c r="C3551" t="s">
        <v>23</v>
      </c>
      <c r="D3551" t="s">
        <v>24</v>
      </c>
      <c r="E3551" t="s">
        <v>25</v>
      </c>
      <c r="F3551">
        <v>1</v>
      </c>
      <c r="G3551">
        <v>9791136928504</v>
      </c>
      <c r="H3551" t="s">
        <v>26</v>
      </c>
      <c r="I3551" t="s">
        <v>5098</v>
      </c>
      <c r="J3551" t="s">
        <v>1348</v>
      </c>
      <c r="K3551" t="s">
        <v>29</v>
      </c>
      <c r="L3551" s="1">
        <v>3200</v>
      </c>
      <c r="M3551" t="s">
        <v>29</v>
      </c>
      <c r="N3551" s="1">
        <v>3200</v>
      </c>
      <c r="O3551" s="1">
        <v>3200</v>
      </c>
      <c r="P3551" t="s">
        <v>30</v>
      </c>
      <c r="Q3551" s="2">
        <v>0.7</v>
      </c>
      <c r="R3551" s="1">
        <v>2240</v>
      </c>
      <c r="S3551" t="s">
        <v>29</v>
      </c>
      <c r="T3551" s="1">
        <v>2240</v>
      </c>
      <c r="V3551" t="str">
        <f>VLOOKUP(H3551,'[1]팀별 출판사'!A:B,2,0)</f>
        <v>소설1팀</v>
      </c>
      <c r="W3551" s="6">
        <f t="shared" si="110"/>
        <v>0</v>
      </c>
      <c r="X3551" s="6">
        <f t="shared" si="111"/>
        <v>2240</v>
      </c>
    </row>
    <row r="3552" spans="1:24" x14ac:dyDescent="0.3">
      <c r="A3552" t="s">
        <v>5069</v>
      </c>
      <c r="B3552" t="s">
        <v>5099</v>
      </c>
      <c r="C3552" t="s">
        <v>23</v>
      </c>
      <c r="D3552" t="s">
        <v>24</v>
      </c>
      <c r="E3552" t="s">
        <v>25</v>
      </c>
      <c r="F3552">
        <v>1</v>
      </c>
      <c r="G3552">
        <v>9791170100164</v>
      </c>
      <c r="H3552" t="s">
        <v>67</v>
      </c>
      <c r="I3552" t="s">
        <v>106</v>
      </c>
      <c r="J3552" t="s">
        <v>107</v>
      </c>
      <c r="K3552" t="s">
        <v>29</v>
      </c>
      <c r="L3552">
        <v>0</v>
      </c>
      <c r="M3552" t="s">
        <v>29</v>
      </c>
      <c r="N3552">
        <v>0</v>
      </c>
      <c r="O3552">
        <v>0</v>
      </c>
      <c r="P3552" t="s">
        <v>30</v>
      </c>
      <c r="Q3552" s="2">
        <v>0.7</v>
      </c>
      <c r="R3552">
        <v>0</v>
      </c>
      <c r="V3552" t="str">
        <f>VLOOKUP(H3552,'[1]팀별 출판사'!A:B,2,0)</f>
        <v>소설1팀</v>
      </c>
      <c r="W3552" s="6">
        <f t="shared" si="110"/>
        <v>0</v>
      </c>
      <c r="X3552" s="6">
        <f t="shared" si="111"/>
        <v>0</v>
      </c>
    </row>
    <row r="3553" spans="1:24" x14ac:dyDescent="0.3">
      <c r="A3553" t="s">
        <v>5069</v>
      </c>
      <c r="B3553" t="s">
        <v>5100</v>
      </c>
      <c r="C3553" t="s">
        <v>23</v>
      </c>
      <c r="D3553" t="s">
        <v>24</v>
      </c>
      <c r="E3553" t="s">
        <v>25</v>
      </c>
      <c r="F3553">
        <v>1</v>
      </c>
      <c r="G3553">
        <v>9791170101284</v>
      </c>
      <c r="H3553" t="s">
        <v>67</v>
      </c>
      <c r="I3553" t="s">
        <v>1187</v>
      </c>
      <c r="J3553" t="s">
        <v>414</v>
      </c>
      <c r="K3553" t="s">
        <v>29</v>
      </c>
      <c r="L3553">
        <v>0</v>
      </c>
      <c r="M3553" t="s">
        <v>29</v>
      </c>
      <c r="N3553">
        <v>0</v>
      </c>
      <c r="O3553">
        <v>0</v>
      </c>
      <c r="P3553" t="s">
        <v>30</v>
      </c>
      <c r="Q3553" s="2">
        <v>0.7</v>
      </c>
      <c r="R3553">
        <v>0</v>
      </c>
      <c r="V3553" t="str">
        <f>VLOOKUP(H3553,'[1]팀별 출판사'!A:B,2,0)</f>
        <v>소설1팀</v>
      </c>
      <c r="W3553" s="6">
        <f t="shared" si="110"/>
        <v>0</v>
      </c>
      <c r="X3553" s="6">
        <f t="shared" si="111"/>
        <v>0</v>
      </c>
    </row>
    <row r="3554" spans="1:24" x14ac:dyDescent="0.3">
      <c r="A3554" t="s">
        <v>5069</v>
      </c>
      <c r="B3554" t="s">
        <v>5101</v>
      </c>
      <c r="C3554" t="s">
        <v>23</v>
      </c>
      <c r="D3554" t="s">
        <v>24</v>
      </c>
      <c r="E3554" t="s">
        <v>25</v>
      </c>
      <c r="F3554">
        <v>1</v>
      </c>
      <c r="G3554">
        <v>9791136910516</v>
      </c>
      <c r="H3554" t="s">
        <v>26</v>
      </c>
      <c r="I3554" t="s">
        <v>5102</v>
      </c>
      <c r="J3554" t="s">
        <v>355</v>
      </c>
      <c r="K3554" t="s">
        <v>29</v>
      </c>
      <c r="L3554" s="1">
        <v>3200</v>
      </c>
      <c r="M3554" t="s">
        <v>29</v>
      </c>
      <c r="N3554" s="1">
        <v>3200</v>
      </c>
      <c r="O3554" s="1">
        <v>3200</v>
      </c>
      <c r="P3554" t="s">
        <v>30</v>
      </c>
      <c r="Q3554" s="2">
        <v>0.7</v>
      </c>
      <c r="R3554" s="1">
        <v>2240</v>
      </c>
      <c r="S3554" t="s">
        <v>29</v>
      </c>
      <c r="T3554" s="1">
        <v>2240</v>
      </c>
      <c r="V3554" t="str">
        <f>VLOOKUP(H3554,'[1]팀별 출판사'!A:B,2,0)</f>
        <v>소설1팀</v>
      </c>
      <c r="W3554" s="6">
        <f t="shared" si="110"/>
        <v>0</v>
      </c>
      <c r="X3554" s="6">
        <f t="shared" si="111"/>
        <v>2240</v>
      </c>
    </row>
    <row r="3555" spans="1:24" x14ac:dyDescent="0.3">
      <c r="A3555" t="s">
        <v>5069</v>
      </c>
      <c r="B3555" t="s">
        <v>5103</v>
      </c>
      <c r="C3555" t="s">
        <v>23</v>
      </c>
      <c r="D3555" t="s">
        <v>24</v>
      </c>
      <c r="E3555" t="s">
        <v>25</v>
      </c>
      <c r="F3555">
        <v>1</v>
      </c>
      <c r="G3555" t="s">
        <v>5104</v>
      </c>
      <c r="H3555" t="s">
        <v>32</v>
      </c>
      <c r="I3555" t="s">
        <v>5105</v>
      </c>
      <c r="J3555" t="s">
        <v>4056</v>
      </c>
      <c r="K3555" t="s">
        <v>29</v>
      </c>
      <c r="L3555">
        <v>0</v>
      </c>
      <c r="M3555" t="s">
        <v>29</v>
      </c>
      <c r="N3555">
        <v>0</v>
      </c>
      <c r="O3555">
        <v>0</v>
      </c>
      <c r="P3555" t="s">
        <v>30</v>
      </c>
      <c r="Q3555" s="2">
        <v>0.7</v>
      </c>
      <c r="R3555">
        <v>0</v>
      </c>
      <c r="V3555" t="str">
        <f>VLOOKUP(H3555,'[1]팀별 출판사'!A:B,2,0)</f>
        <v>소설1팀</v>
      </c>
      <c r="W3555" s="6">
        <f t="shared" si="110"/>
        <v>0</v>
      </c>
      <c r="X3555" s="6">
        <f t="shared" si="111"/>
        <v>0</v>
      </c>
    </row>
    <row r="3556" spans="1:24" x14ac:dyDescent="0.3">
      <c r="A3556" t="s">
        <v>5069</v>
      </c>
      <c r="B3556" t="s">
        <v>5106</v>
      </c>
      <c r="C3556" t="s">
        <v>23</v>
      </c>
      <c r="D3556" t="s">
        <v>24</v>
      </c>
      <c r="E3556" t="s">
        <v>25</v>
      </c>
      <c r="F3556">
        <v>1</v>
      </c>
      <c r="G3556">
        <v>9791172920937</v>
      </c>
      <c r="H3556" t="s">
        <v>79</v>
      </c>
      <c r="I3556" t="s">
        <v>80</v>
      </c>
      <c r="J3556" t="s">
        <v>81</v>
      </c>
      <c r="K3556" t="s">
        <v>29</v>
      </c>
      <c r="L3556">
        <v>0</v>
      </c>
      <c r="M3556" t="s">
        <v>29</v>
      </c>
      <c r="N3556">
        <v>0</v>
      </c>
      <c r="O3556">
        <v>0</v>
      </c>
      <c r="P3556" t="s">
        <v>30</v>
      </c>
      <c r="Q3556" s="2">
        <v>0.7</v>
      </c>
      <c r="R3556">
        <v>0</v>
      </c>
      <c r="V3556" t="str">
        <f>VLOOKUP(H3556,'[1]팀별 출판사'!A:B,2,0)</f>
        <v>소설1팀</v>
      </c>
      <c r="W3556" s="6">
        <f t="shared" si="110"/>
        <v>0</v>
      </c>
      <c r="X3556" s="6">
        <f t="shared" si="111"/>
        <v>0</v>
      </c>
    </row>
    <row r="3557" spans="1:24" x14ac:dyDescent="0.3">
      <c r="A3557" t="s">
        <v>5069</v>
      </c>
      <c r="B3557" t="s">
        <v>5107</v>
      </c>
      <c r="C3557" t="s">
        <v>23</v>
      </c>
      <c r="D3557" t="s">
        <v>24</v>
      </c>
      <c r="E3557" t="s">
        <v>25</v>
      </c>
      <c r="F3557">
        <v>1</v>
      </c>
      <c r="G3557" t="s">
        <v>2867</v>
      </c>
      <c r="H3557" t="s">
        <v>32</v>
      </c>
      <c r="I3557" t="s">
        <v>2868</v>
      </c>
      <c r="J3557" t="s">
        <v>166</v>
      </c>
      <c r="K3557" t="s">
        <v>29</v>
      </c>
      <c r="L3557">
        <v>0</v>
      </c>
      <c r="M3557" t="s">
        <v>70</v>
      </c>
      <c r="N3557">
        <v>0</v>
      </c>
      <c r="O3557">
        <v>0</v>
      </c>
      <c r="P3557" t="s">
        <v>71</v>
      </c>
      <c r="Q3557" s="2">
        <v>0.7</v>
      </c>
      <c r="R3557">
        <v>0</v>
      </c>
      <c r="V3557" t="str">
        <f>VLOOKUP(H3557,'[1]팀별 출판사'!A:B,2,0)</f>
        <v>소설1팀</v>
      </c>
      <c r="W3557" s="6">
        <f t="shared" si="110"/>
        <v>0</v>
      </c>
      <c r="X3557" s="6">
        <f t="shared" si="111"/>
        <v>0</v>
      </c>
    </row>
    <row r="3558" spans="1:24" x14ac:dyDescent="0.3">
      <c r="A3558" t="s">
        <v>5069</v>
      </c>
      <c r="B3558" t="s">
        <v>5108</v>
      </c>
      <c r="C3558" t="s">
        <v>23</v>
      </c>
      <c r="D3558" t="s">
        <v>24</v>
      </c>
      <c r="E3558" t="s">
        <v>25</v>
      </c>
      <c r="F3558">
        <v>1</v>
      </c>
      <c r="G3558">
        <v>9791136946775</v>
      </c>
      <c r="H3558" t="s">
        <v>26</v>
      </c>
      <c r="I3558" t="s">
        <v>238</v>
      </c>
      <c r="J3558" t="s">
        <v>28</v>
      </c>
      <c r="K3558" t="s">
        <v>29</v>
      </c>
      <c r="L3558">
        <v>0</v>
      </c>
      <c r="M3558" t="s">
        <v>29</v>
      </c>
      <c r="N3558">
        <v>0</v>
      </c>
      <c r="O3558">
        <v>0</v>
      </c>
      <c r="P3558" t="s">
        <v>30</v>
      </c>
      <c r="Q3558" s="2">
        <v>0.7</v>
      </c>
      <c r="R3558">
        <v>0</v>
      </c>
      <c r="V3558" t="str">
        <f>VLOOKUP(H3558,'[1]팀별 출판사'!A:B,2,0)</f>
        <v>소설1팀</v>
      </c>
      <c r="W3558" s="6">
        <f t="shared" si="110"/>
        <v>0</v>
      </c>
      <c r="X3558" s="6">
        <f t="shared" si="111"/>
        <v>0</v>
      </c>
    </row>
    <row r="3559" spans="1:24" x14ac:dyDescent="0.3">
      <c r="A3559" t="s">
        <v>5069</v>
      </c>
      <c r="B3559" t="s">
        <v>5109</v>
      </c>
      <c r="C3559" t="s">
        <v>23</v>
      </c>
      <c r="D3559" t="s">
        <v>24</v>
      </c>
      <c r="E3559" t="s">
        <v>25</v>
      </c>
      <c r="F3559">
        <v>1</v>
      </c>
      <c r="G3559">
        <v>9791136946782</v>
      </c>
      <c r="H3559" t="s">
        <v>26</v>
      </c>
      <c r="I3559" t="s">
        <v>291</v>
      </c>
      <c r="J3559" t="s">
        <v>28</v>
      </c>
      <c r="K3559" t="s">
        <v>29</v>
      </c>
      <c r="L3559">
        <v>0</v>
      </c>
      <c r="M3559" t="s">
        <v>29</v>
      </c>
      <c r="N3559">
        <v>0</v>
      </c>
      <c r="O3559">
        <v>0</v>
      </c>
      <c r="P3559" t="s">
        <v>30</v>
      </c>
      <c r="Q3559" s="2">
        <v>0.7</v>
      </c>
      <c r="R3559">
        <v>0</v>
      </c>
      <c r="V3559" t="str">
        <f>VLOOKUP(H3559,'[1]팀별 출판사'!A:B,2,0)</f>
        <v>소설1팀</v>
      </c>
      <c r="W3559" s="6">
        <f t="shared" si="110"/>
        <v>0</v>
      </c>
      <c r="X3559" s="6">
        <f t="shared" si="111"/>
        <v>0</v>
      </c>
    </row>
    <row r="3560" spans="1:24" x14ac:dyDescent="0.3">
      <c r="A3560" t="s">
        <v>5069</v>
      </c>
      <c r="B3560" t="s">
        <v>5110</v>
      </c>
      <c r="C3560" t="s">
        <v>23</v>
      </c>
      <c r="D3560" t="s">
        <v>24</v>
      </c>
      <c r="E3560" t="s">
        <v>25</v>
      </c>
      <c r="F3560">
        <v>1</v>
      </c>
      <c r="G3560">
        <v>9791136930224</v>
      </c>
      <c r="H3560" t="s">
        <v>32</v>
      </c>
      <c r="I3560" t="s">
        <v>172</v>
      </c>
      <c r="J3560" t="s">
        <v>46</v>
      </c>
      <c r="K3560" t="s">
        <v>29</v>
      </c>
      <c r="L3560">
        <v>0</v>
      </c>
      <c r="M3560" t="s">
        <v>47</v>
      </c>
      <c r="N3560">
        <v>0</v>
      </c>
      <c r="O3560">
        <v>0</v>
      </c>
      <c r="P3560" t="s">
        <v>48</v>
      </c>
      <c r="Q3560" s="2">
        <v>0.7</v>
      </c>
      <c r="R3560">
        <v>0</v>
      </c>
      <c r="V3560" t="str">
        <f>VLOOKUP(H3560,'[1]팀별 출판사'!A:B,2,0)</f>
        <v>소설1팀</v>
      </c>
      <c r="W3560" s="6">
        <f t="shared" si="110"/>
        <v>0</v>
      </c>
      <c r="X3560" s="6">
        <f t="shared" si="111"/>
        <v>0</v>
      </c>
    </row>
    <row r="3561" spans="1:24" x14ac:dyDescent="0.3">
      <c r="A3561" t="s">
        <v>5069</v>
      </c>
      <c r="B3561" t="s">
        <v>5111</v>
      </c>
      <c r="C3561" t="s">
        <v>23</v>
      </c>
      <c r="D3561" t="s">
        <v>24</v>
      </c>
      <c r="E3561" t="s">
        <v>25</v>
      </c>
      <c r="F3561">
        <v>1</v>
      </c>
      <c r="G3561">
        <v>9791136958716</v>
      </c>
      <c r="H3561" t="s">
        <v>79</v>
      </c>
      <c r="I3561" t="s">
        <v>2276</v>
      </c>
      <c r="J3561" t="s">
        <v>81</v>
      </c>
      <c r="K3561" t="s">
        <v>29</v>
      </c>
      <c r="L3561" s="1">
        <v>3200</v>
      </c>
      <c r="M3561" t="s">
        <v>29</v>
      </c>
      <c r="N3561" s="1">
        <v>3200</v>
      </c>
      <c r="O3561" s="1">
        <v>3200</v>
      </c>
      <c r="P3561" t="s">
        <v>30</v>
      </c>
      <c r="Q3561" s="2">
        <v>0.7</v>
      </c>
      <c r="R3561" s="1">
        <v>2240</v>
      </c>
      <c r="S3561" t="s">
        <v>29</v>
      </c>
      <c r="T3561" s="1">
        <v>2240</v>
      </c>
      <c r="V3561" t="str">
        <f>VLOOKUP(H3561,'[1]팀별 출판사'!A:B,2,0)</f>
        <v>소설1팀</v>
      </c>
      <c r="W3561" s="6">
        <f t="shared" si="110"/>
        <v>0</v>
      </c>
      <c r="X3561" s="6">
        <f t="shared" si="111"/>
        <v>2240</v>
      </c>
    </row>
    <row r="3562" spans="1:24" x14ac:dyDescent="0.3">
      <c r="A3562" t="s">
        <v>5069</v>
      </c>
      <c r="B3562" t="s">
        <v>5112</v>
      </c>
      <c r="C3562" t="s">
        <v>23</v>
      </c>
      <c r="D3562" t="s">
        <v>24</v>
      </c>
      <c r="E3562" t="s">
        <v>25</v>
      </c>
      <c r="F3562">
        <v>1</v>
      </c>
      <c r="G3562">
        <v>9791170104643</v>
      </c>
      <c r="H3562" t="s">
        <v>67</v>
      </c>
      <c r="I3562" t="s">
        <v>407</v>
      </c>
      <c r="J3562" t="s">
        <v>408</v>
      </c>
      <c r="K3562" t="s">
        <v>29</v>
      </c>
      <c r="L3562">
        <v>0</v>
      </c>
      <c r="M3562" t="s">
        <v>29</v>
      </c>
      <c r="N3562">
        <v>0</v>
      </c>
      <c r="O3562">
        <v>0</v>
      </c>
      <c r="P3562" t="s">
        <v>30</v>
      </c>
      <c r="Q3562" s="2">
        <v>0.7</v>
      </c>
      <c r="R3562">
        <v>0</v>
      </c>
      <c r="V3562" t="str">
        <f>VLOOKUP(H3562,'[1]팀별 출판사'!A:B,2,0)</f>
        <v>소설1팀</v>
      </c>
      <c r="W3562" s="6">
        <f t="shared" si="110"/>
        <v>0</v>
      </c>
      <c r="X3562" s="6">
        <f t="shared" si="111"/>
        <v>0</v>
      </c>
    </row>
    <row r="3563" spans="1:24" x14ac:dyDescent="0.3">
      <c r="A3563" t="s">
        <v>5069</v>
      </c>
      <c r="B3563" t="s">
        <v>5113</v>
      </c>
      <c r="C3563" t="s">
        <v>23</v>
      </c>
      <c r="D3563" t="s">
        <v>24</v>
      </c>
      <c r="E3563" t="s">
        <v>25</v>
      </c>
      <c r="F3563">
        <v>1</v>
      </c>
      <c r="G3563">
        <v>9791133186501</v>
      </c>
      <c r="H3563" t="s">
        <v>26</v>
      </c>
      <c r="I3563" t="s">
        <v>64</v>
      </c>
      <c r="J3563" t="s">
        <v>65</v>
      </c>
      <c r="K3563" t="s">
        <v>29</v>
      </c>
      <c r="L3563">
        <v>0</v>
      </c>
      <c r="M3563" t="s">
        <v>29</v>
      </c>
      <c r="N3563">
        <v>0</v>
      </c>
      <c r="O3563">
        <v>0</v>
      </c>
      <c r="P3563" t="s">
        <v>30</v>
      </c>
      <c r="Q3563" s="2">
        <v>0.7</v>
      </c>
      <c r="R3563">
        <v>0</v>
      </c>
      <c r="V3563" t="str">
        <f>VLOOKUP(H3563,'[1]팀별 출판사'!A:B,2,0)</f>
        <v>소설1팀</v>
      </c>
      <c r="W3563" s="6">
        <f t="shared" si="110"/>
        <v>0</v>
      </c>
      <c r="X3563" s="6">
        <f t="shared" si="111"/>
        <v>0</v>
      </c>
    </row>
    <row r="3564" spans="1:24" x14ac:dyDescent="0.3">
      <c r="A3564" t="s">
        <v>5069</v>
      </c>
      <c r="B3564" t="s">
        <v>5114</v>
      </c>
      <c r="C3564" t="s">
        <v>23</v>
      </c>
      <c r="D3564" t="s">
        <v>24</v>
      </c>
      <c r="E3564" t="s">
        <v>25</v>
      </c>
      <c r="F3564">
        <v>1</v>
      </c>
      <c r="G3564">
        <v>9791136931382</v>
      </c>
      <c r="H3564" t="s">
        <v>32</v>
      </c>
      <c r="I3564" t="s">
        <v>523</v>
      </c>
      <c r="J3564" t="s">
        <v>46</v>
      </c>
      <c r="K3564" t="s">
        <v>29</v>
      </c>
      <c r="L3564">
        <v>0</v>
      </c>
      <c r="M3564" t="s">
        <v>152</v>
      </c>
      <c r="N3564">
        <v>0</v>
      </c>
      <c r="O3564">
        <v>0</v>
      </c>
      <c r="P3564" t="s">
        <v>153</v>
      </c>
      <c r="Q3564" s="2">
        <v>0.7</v>
      </c>
      <c r="R3564">
        <v>0</v>
      </c>
      <c r="V3564" t="str">
        <f>VLOOKUP(H3564,'[1]팀별 출판사'!A:B,2,0)</f>
        <v>소설1팀</v>
      </c>
      <c r="W3564" s="6">
        <f t="shared" si="110"/>
        <v>0</v>
      </c>
      <c r="X3564" s="6">
        <f t="shared" si="111"/>
        <v>0</v>
      </c>
    </row>
    <row r="3565" spans="1:24" x14ac:dyDescent="0.3">
      <c r="A3565" t="s">
        <v>5069</v>
      </c>
      <c r="B3565" t="s">
        <v>5115</v>
      </c>
      <c r="C3565" t="s">
        <v>23</v>
      </c>
      <c r="D3565" t="s">
        <v>24</v>
      </c>
      <c r="E3565" t="s">
        <v>25</v>
      </c>
      <c r="F3565">
        <v>1</v>
      </c>
      <c r="G3565">
        <v>9791173786037</v>
      </c>
      <c r="H3565" t="s">
        <v>26</v>
      </c>
      <c r="I3565" t="s">
        <v>5116</v>
      </c>
      <c r="J3565" t="s">
        <v>81</v>
      </c>
      <c r="K3565" t="s">
        <v>29</v>
      </c>
      <c r="L3565" s="1">
        <v>3200</v>
      </c>
      <c r="M3565" t="s">
        <v>29</v>
      </c>
      <c r="N3565" s="1">
        <v>3200</v>
      </c>
      <c r="O3565" s="1">
        <v>3200</v>
      </c>
      <c r="P3565" t="s">
        <v>30</v>
      </c>
      <c r="Q3565" s="2">
        <v>0.7</v>
      </c>
      <c r="R3565" s="1">
        <v>2240</v>
      </c>
      <c r="S3565" t="s">
        <v>29</v>
      </c>
      <c r="T3565" s="1">
        <v>2240</v>
      </c>
      <c r="V3565" t="str">
        <f>VLOOKUP(H3565,'[1]팀별 출판사'!A:B,2,0)</f>
        <v>소설1팀</v>
      </c>
      <c r="W3565" s="6">
        <f t="shared" si="110"/>
        <v>0</v>
      </c>
      <c r="X3565" s="6">
        <f t="shared" si="111"/>
        <v>2240</v>
      </c>
    </row>
    <row r="3566" spans="1:24" x14ac:dyDescent="0.3">
      <c r="A3566" t="s">
        <v>5069</v>
      </c>
      <c r="B3566" t="s">
        <v>5117</v>
      </c>
      <c r="C3566" t="s">
        <v>23</v>
      </c>
      <c r="D3566" t="s">
        <v>24</v>
      </c>
      <c r="E3566" t="s">
        <v>25</v>
      </c>
      <c r="F3566">
        <v>1</v>
      </c>
      <c r="G3566">
        <v>9791136946782</v>
      </c>
      <c r="H3566" t="s">
        <v>26</v>
      </c>
      <c r="I3566" t="s">
        <v>291</v>
      </c>
      <c r="J3566" t="s">
        <v>28</v>
      </c>
      <c r="K3566" t="s">
        <v>29</v>
      </c>
      <c r="L3566">
        <v>0</v>
      </c>
      <c r="M3566" t="s">
        <v>29</v>
      </c>
      <c r="N3566">
        <v>0</v>
      </c>
      <c r="O3566">
        <v>0</v>
      </c>
      <c r="P3566" t="s">
        <v>30</v>
      </c>
      <c r="Q3566" s="2">
        <v>0.7</v>
      </c>
      <c r="R3566">
        <v>0</v>
      </c>
      <c r="V3566" t="str">
        <f>VLOOKUP(H3566,'[1]팀별 출판사'!A:B,2,0)</f>
        <v>소설1팀</v>
      </c>
      <c r="W3566" s="6">
        <f t="shared" si="110"/>
        <v>0</v>
      </c>
      <c r="X3566" s="6">
        <f t="shared" si="111"/>
        <v>0</v>
      </c>
    </row>
    <row r="3567" spans="1:24" x14ac:dyDescent="0.3">
      <c r="A3567" t="s">
        <v>5069</v>
      </c>
      <c r="B3567" t="s">
        <v>5118</v>
      </c>
      <c r="C3567" t="s">
        <v>23</v>
      </c>
      <c r="D3567" t="s">
        <v>24</v>
      </c>
      <c r="E3567" t="s">
        <v>25</v>
      </c>
      <c r="F3567">
        <v>1</v>
      </c>
      <c r="G3567">
        <v>9791133186501</v>
      </c>
      <c r="H3567" t="s">
        <v>26</v>
      </c>
      <c r="I3567" t="s">
        <v>64</v>
      </c>
      <c r="J3567" t="s">
        <v>65</v>
      </c>
      <c r="K3567" t="s">
        <v>29</v>
      </c>
      <c r="L3567">
        <v>0</v>
      </c>
      <c r="M3567" t="s">
        <v>29</v>
      </c>
      <c r="N3567">
        <v>0</v>
      </c>
      <c r="O3567">
        <v>0</v>
      </c>
      <c r="P3567" t="s">
        <v>30</v>
      </c>
      <c r="Q3567" s="2">
        <v>0.7</v>
      </c>
      <c r="R3567">
        <v>0</v>
      </c>
      <c r="V3567" t="str">
        <f>VLOOKUP(H3567,'[1]팀별 출판사'!A:B,2,0)</f>
        <v>소설1팀</v>
      </c>
      <c r="W3567" s="6">
        <f t="shared" si="110"/>
        <v>0</v>
      </c>
      <c r="X3567" s="6">
        <f t="shared" si="111"/>
        <v>0</v>
      </c>
    </row>
    <row r="3568" spans="1:24" x14ac:dyDescent="0.3">
      <c r="A3568" t="s">
        <v>5069</v>
      </c>
      <c r="B3568" t="s">
        <v>5119</v>
      </c>
      <c r="C3568" t="s">
        <v>23</v>
      </c>
      <c r="D3568" t="s">
        <v>24</v>
      </c>
      <c r="E3568" t="s">
        <v>25</v>
      </c>
      <c r="F3568">
        <v>1</v>
      </c>
      <c r="G3568">
        <v>9791133154845</v>
      </c>
      <c r="H3568" t="s">
        <v>32</v>
      </c>
      <c r="I3568" t="s">
        <v>4390</v>
      </c>
      <c r="J3568" t="s">
        <v>160</v>
      </c>
      <c r="K3568" t="s">
        <v>29</v>
      </c>
      <c r="L3568" s="1">
        <v>3500</v>
      </c>
      <c r="M3568" t="s">
        <v>29</v>
      </c>
      <c r="N3568" s="1">
        <v>3500</v>
      </c>
      <c r="O3568" s="1">
        <v>3500</v>
      </c>
      <c r="P3568" t="s">
        <v>30</v>
      </c>
      <c r="Q3568" s="2">
        <v>0.7</v>
      </c>
      <c r="R3568" s="1">
        <v>2450</v>
      </c>
      <c r="S3568" t="s">
        <v>29</v>
      </c>
      <c r="T3568" s="1">
        <v>2450</v>
      </c>
      <c r="V3568" t="str">
        <f>VLOOKUP(H3568,'[1]팀별 출판사'!A:B,2,0)</f>
        <v>소설1팀</v>
      </c>
      <c r="W3568" s="6">
        <f t="shared" si="110"/>
        <v>0</v>
      </c>
      <c r="X3568" s="6">
        <f t="shared" si="111"/>
        <v>2450</v>
      </c>
    </row>
    <row r="3569" spans="1:24" x14ac:dyDescent="0.3">
      <c r="A3569" t="s">
        <v>5069</v>
      </c>
      <c r="B3569" t="s">
        <v>5120</v>
      </c>
      <c r="C3569" t="s">
        <v>23</v>
      </c>
      <c r="D3569" t="s">
        <v>24</v>
      </c>
      <c r="E3569" t="s">
        <v>25</v>
      </c>
      <c r="F3569">
        <v>1</v>
      </c>
      <c r="G3569" t="s">
        <v>1622</v>
      </c>
      <c r="H3569" t="s">
        <v>32</v>
      </c>
      <c r="I3569" t="s">
        <v>1623</v>
      </c>
      <c r="J3569" t="s">
        <v>311</v>
      </c>
      <c r="K3569" t="s">
        <v>29</v>
      </c>
      <c r="L3569">
        <v>0</v>
      </c>
      <c r="M3569" t="s">
        <v>29</v>
      </c>
      <c r="N3569">
        <v>0</v>
      </c>
      <c r="O3569">
        <v>0</v>
      </c>
      <c r="P3569" t="s">
        <v>30</v>
      </c>
      <c r="Q3569" s="2">
        <v>0.7</v>
      </c>
      <c r="R3569">
        <v>0</v>
      </c>
      <c r="V3569" t="str">
        <f>VLOOKUP(H3569,'[1]팀별 출판사'!A:B,2,0)</f>
        <v>소설1팀</v>
      </c>
      <c r="W3569" s="6">
        <f t="shared" si="110"/>
        <v>0</v>
      </c>
      <c r="X3569" s="6">
        <f t="shared" si="111"/>
        <v>0</v>
      </c>
    </row>
    <row r="3570" spans="1:24" x14ac:dyDescent="0.3">
      <c r="A3570" t="s">
        <v>5069</v>
      </c>
      <c r="B3570" t="s">
        <v>5121</v>
      </c>
      <c r="C3570" t="s">
        <v>23</v>
      </c>
      <c r="D3570" t="s">
        <v>24</v>
      </c>
      <c r="E3570" t="s">
        <v>25</v>
      </c>
      <c r="F3570">
        <v>1</v>
      </c>
      <c r="G3570">
        <v>9791133101863</v>
      </c>
      <c r="H3570" t="s">
        <v>32</v>
      </c>
      <c r="I3570" t="s">
        <v>159</v>
      </c>
      <c r="J3570" t="s">
        <v>160</v>
      </c>
      <c r="K3570" t="s">
        <v>29</v>
      </c>
      <c r="L3570">
        <v>0</v>
      </c>
      <c r="M3570" t="s">
        <v>29</v>
      </c>
      <c r="N3570">
        <v>0</v>
      </c>
      <c r="O3570">
        <v>0</v>
      </c>
      <c r="P3570" t="s">
        <v>30</v>
      </c>
      <c r="Q3570" s="2">
        <v>0.7</v>
      </c>
      <c r="R3570">
        <v>0</v>
      </c>
      <c r="V3570" t="str">
        <f>VLOOKUP(H3570,'[1]팀별 출판사'!A:B,2,0)</f>
        <v>소설1팀</v>
      </c>
      <c r="W3570" s="6">
        <f t="shared" si="110"/>
        <v>0</v>
      </c>
      <c r="X3570" s="6">
        <f t="shared" si="111"/>
        <v>0</v>
      </c>
    </row>
    <row r="3571" spans="1:24" x14ac:dyDescent="0.3">
      <c r="A3571" t="s">
        <v>5069</v>
      </c>
      <c r="B3571" t="s">
        <v>5122</v>
      </c>
      <c r="C3571" t="s">
        <v>23</v>
      </c>
      <c r="D3571" t="s">
        <v>24</v>
      </c>
      <c r="E3571" t="s">
        <v>25</v>
      </c>
      <c r="F3571">
        <v>1</v>
      </c>
      <c r="G3571">
        <v>9791170101468</v>
      </c>
      <c r="H3571" t="s">
        <v>67</v>
      </c>
      <c r="I3571" t="s">
        <v>404</v>
      </c>
      <c r="J3571" t="s">
        <v>405</v>
      </c>
      <c r="K3571" t="s">
        <v>29</v>
      </c>
      <c r="L3571">
        <v>0</v>
      </c>
      <c r="M3571" t="s">
        <v>29</v>
      </c>
      <c r="N3571">
        <v>0</v>
      </c>
      <c r="O3571">
        <v>0</v>
      </c>
      <c r="P3571" t="s">
        <v>30</v>
      </c>
      <c r="Q3571" s="2">
        <v>0.7</v>
      </c>
      <c r="R3571">
        <v>0</v>
      </c>
      <c r="V3571" t="str">
        <f>VLOOKUP(H3571,'[1]팀별 출판사'!A:B,2,0)</f>
        <v>소설1팀</v>
      </c>
      <c r="W3571" s="6">
        <f t="shared" si="110"/>
        <v>0</v>
      </c>
      <c r="X3571" s="6">
        <f t="shared" si="111"/>
        <v>0</v>
      </c>
    </row>
    <row r="3572" spans="1:24" x14ac:dyDescent="0.3">
      <c r="A3572" t="s">
        <v>5069</v>
      </c>
      <c r="B3572" t="s">
        <v>5123</v>
      </c>
      <c r="C3572" t="s">
        <v>23</v>
      </c>
      <c r="D3572" t="s">
        <v>24</v>
      </c>
      <c r="E3572" t="s">
        <v>25</v>
      </c>
      <c r="F3572">
        <v>1</v>
      </c>
      <c r="G3572">
        <v>9791172924843</v>
      </c>
      <c r="H3572" t="s">
        <v>26</v>
      </c>
      <c r="I3572" t="s">
        <v>5124</v>
      </c>
      <c r="J3572" t="s">
        <v>62</v>
      </c>
      <c r="K3572" t="s">
        <v>29</v>
      </c>
      <c r="L3572" s="1">
        <v>3200</v>
      </c>
      <c r="M3572" t="s">
        <v>29</v>
      </c>
      <c r="N3572" s="1">
        <v>3200</v>
      </c>
      <c r="O3572" s="1">
        <v>3200</v>
      </c>
      <c r="P3572" t="s">
        <v>30</v>
      </c>
      <c r="Q3572" s="2">
        <v>0.7</v>
      </c>
      <c r="R3572" s="1">
        <v>2240</v>
      </c>
      <c r="S3572" t="s">
        <v>29</v>
      </c>
      <c r="T3572" s="1">
        <v>2240</v>
      </c>
      <c r="V3572" t="str">
        <f>VLOOKUP(H3572,'[1]팀별 출판사'!A:B,2,0)</f>
        <v>소설1팀</v>
      </c>
      <c r="W3572" s="6">
        <f t="shared" si="110"/>
        <v>0</v>
      </c>
      <c r="X3572" s="6">
        <f t="shared" si="111"/>
        <v>2240</v>
      </c>
    </row>
    <row r="3573" spans="1:24" x14ac:dyDescent="0.3">
      <c r="A3573" t="s">
        <v>5069</v>
      </c>
      <c r="B3573" t="s">
        <v>5125</v>
      </c>
      <c r="C3573" t="s">
        <v>23</v>
      </c>
      <c r="D3573" t="s">
        <v>24</v>
      </c>
      <c r="E3573" t="s">
        <v>25</v>
      </c>
      <c r="F3573">
        <v>1</v>
      </c>
      <c r="G3573" t="s">
        <v>5126</v>
      </c>
      <c r="H3573" t="s">
        <v>208</v>
      </c>
      <c r="I3573" t="s">
        <v>5127</v>
      </c>
      <c r="J3573" t="s">
        <v>210</v>
      </c>
      <c r="K3573" t="s">
        <v>29</v>
      </c>
      <c r="L3573" s="1">
        <v>2000</v>
      </c>
      <c r="M3573" t="s">
        <v>29</v>
      </c>
      <c r="N3573" s="1">
        <v>2000</v>
      </c>
      <c r="O3573" s="1">
        <v>2000</v>
      </c>
      <c r="P3573" t="s">
        <v>30</v>
      </c>
      <c r="Q3573" s="2">
        <v>0.7</v>
      </c>
      <c r="R3573" s="1">
        <v>1400</v>
      </c>
      <c r="S3573" t="s">
        <v>29</v>
      </c>
      <c r="T3573" s="1">
        <v>1400</v>
      </c>
      <c r="V3573" t="str">
        <f>VLOOKUP(H3573,'[1]팀별 출판사'!A:B,2,0)</f>
        <v>소설1팀</v>
      </c>
      <c r="W3573" s="6">
        <f t="shared" si="110"/>
        <v>0</v>
      </c>
      <c r="X3573" s="6">
        <f t="shared" si="111"/>
        <v>1400</v>
      </c>
    </row>
    <row r="3574" spans="1:24" x14ac:dyDescent="0.3">
      <c r="A3574" t="s">
        <v>5069</v>
      </c>
      <c r="B3574" t="s">
        <v>5128</v>
      </c>
      <c r="C3574" t="s">
        <v>23</v>
      </c>
      <c r="D3574" t="s">
        <v>24</v>
      </c>
      <c r="E3574" t="s">
        <v>25</v>
      </c>
      <c r="F3574">
        <v>1</v>
      </c>
      <c r="G3574">
        <v>9791172920104</v>
      </c>
      <c r="H3574" t="s">
        <v>26</v>
      </c>
      <c r="I3574" t="s">
        <v>5129</v>
      </c>
      <c r="J3574" t="s">
        <v>276</v>
      </c>
      <c r="K3574" t="s">
        <v>29</v>
      </c>
      <c r="L3574" s="1">
        <v>3200</v>
      </c>
      <c r="M3574" t="s">
        <v>29</v>
      </c>
      <c r="N3574" s="1">
        <v>3200</v>
      </c>
      <c r="O3574" s="1">
        <v>3200</v>
      </c>
      <c r="P3574" t="s">
        <v>30</v>
      </c>
      <c r="Q3574" s="2">
        <v>0.7</v>
      </c>
      <c r="R3574" s="1">
        <v>2240</v>
      </c>
      <c r="S3574" t="s">
        <v>29</v>
      </c>
      <c r="T3574" s="1">
        <v>2240</v>
      </c>
      <c r="V3574" t="str">
        <f>VLOOKUP(H3574,'[1]팀별 출판사'!A:B,2,0)</f>
        <v>소설1팀</v>
      </c>
      <c r="W3574" s="6">
        <f t="shared" si="110"/>
        <v>0</v>
      </c>
      <c r="X3574" s="6">
        <f t="shared" si="111"/>
        <v>2240</v>
      </c>
    </row>
    <row r="3575" spans="1:24" x14ac:dyDescent="0.3">
      <c r="A3575" t="s">
        <v>5069</v>
      </c>
      <c r="B3575" t="s">
        <v>5130</v>
      </c>
      <c r="C3575" t="s">
        <v>23</v>
      </c>
      <c r="D3575" t="s">
        <v>24</v>
      </c>
      <c r="E3575" t="s">
        <v>25</v>
      </c>
      <c r="F3575">
        <v>1</v>
      </c>
      <c r="G3575">
        <v>9791133157112</v>
      </c>
      <c r="H3575" t="s">
        <v>32</v>
      </c>
      <c r="I3575" t="s">
        <v>527</v>
      </c>
      <c r="J3575" t="s">
        <v>51</v>
      </c>
      <c r="K3575" t="s">
        <v>29</v>
      </c>
      <c r="L3575">
        <v>0</v>
      </c>
      <c r="M3575" t="s">
        <v>29</v>
      </c>
      <c r="N3575">
        <v>0</v>
      </c>
      <c r="O3575">
        <v>0</v>
      </c>
      <c r="P3575" t="s">
        <v>30</v>
      </c>
      <c r="Q3575" s="2">
        <v>0.7</v>
      </c>
      <c r="R3575">
        <v>0</v>
      </c>
      <c r="V3575" t="str">
        <f>VLOOKUP(H3575,'[1]팀별 출판사'!A:B,2,0)</f>
        <v>소설1팀</v>
      </c>
      <c r="W3575" s="6">
        <f t="shared" si="110"/>
        <v>0</v>
      </c>
      <c r="X3575" s="6">
        <f t="shared" si="111"/>
        <v>0</v>
      </c>
    </row>
    <row r="3576" spans="1:24" x14ac:dyDescent="0.3">
      <c r="A3576" t="s">
        <v>5069</v>
      </c>
      <c r="B3576" t="s">
        <v>5131</v>
      </c>
      <c r="C3576" t="s">
        <v>23</v>
      </c>
      <c r="D3576" t="s">
        <v>24</v>
      </c>
      <c r="E3576" t="s">
        <v>25</v>
      </c>
      <c r="F3576">
        <v>1</v>
      </c>
      <c r="G3576">
        <v>9791133167227</v>
      </c>
      <c r="H3576" t="s">
        <v>32</v>
      </c>
      <c r="I3576" t="s">
        <v>313</v>
      </c>
      <c r="J3576" t="s">
        <v>160</v>
      </c>
      <c r="K3576" t="s">
        <v>29</v>
      </c>
      <c r="L3576">
        <v>0</v>
      </c>
      <c r="M3576" t="s">
        <v>29</v>
      </c>
      <c r="N3576">
        <v>0</v>
      </c>
      <c r="O3576">
        <v>0</v>
      </c>
      <c r="P3576" t="s">
        <v>30</v>
      </c>
      <c r="Q3576" s="2">
        <v>0.7</v>
      </c>
      <c r="R3576">
        <v>0</v>
      </c>
      <c r="V3576" t="str">
        <f>VLOOKUP(H3576,'[1]팀별 출판사'!A:B,2,0)</f>
        <v>소설1팀</v>
      </c>
      <c r="W3576" s="6">
        <f t="shared" si="110"/>
        <v>0</v>
      </c>
      <c r="X3576" s="6">
        <f t="shared" si="111"/>
        <v>0</v>
      </c>
    </row>
    <row r="3577" spans="1:24" x14ac:dyDescent="0.3">
      <c r="A3577" t="s">
        <v>5069</v>
      </c>
      <c r="B3577" t="s">
        <v>5132</v>
      </c>
      <c r="C3577" t="s">
        <v>23</v>
      </c>
      <c r="D3577" t="s">
        <v>24</v>
      </c>
      <c r="E3577" t="s">
        <v>25</v>
      </c>
      <c r="F3577">
        <v>1</v>
      </c>
      <c r="G3577">
        <v>9791136930491</v>
      </c>
      <c r="H3577" t="s">
        <v>26</v>
      </c>
      <c r="I3577" t="s">
        <v>151</v>
      </c>
      <c r="J3577" t="s">
        <v>46</v>
      </c>
      <c r="K3577" t="s">
        <v>29</v>
      </c>
      <c r="L3577">
        <v>0</v>
      </c>
      <c r="M3577" t="s">
        <v>47</v>
      </c>
      <c r="N3577">
        <v>0</v>
      </c>
      <c r="O3577">
        <v>0</v>
      </c>
      <c r="P3577" t="s">
        <v>48</v>
      </c>
      <c r="Q3577" s="2">
        <v>0.7</v>
      </c>
      <c r="R3577">
        <v>0</v>
      </c>
      <c r="V3577" t="str">
        <f>VLOOKUP(H3577,'[1]팀별 출판사'!A:B,2,0)</f>
        <v>소설1팀</v>
      </c>
      <c r="W3577" s="6">
        <f t="shared" si="110"/>
        <v>0</v>
      </c>
      <c r="X3577" s="6">
        <f t="shared" si="111"/>
        <v>0</v>
      </c>
    </row>
    <row r="3578" spans="1:24" x14ac:dyDescent="0.3">
      <c r="A3578" t="s">
        <v>5069</v>
      </c>
      <c r="B3578" t="s">
        <v>5133</v>
      </c>
      <c r="C3578" t="s">
        <v>23</v>
      </c>
      <c r="D3578" t="s">
        <v>24</v>
      </c>
      <c r="E3578" t="s">
        <v>25</v>
      </c>
      <c r="F3578">
        <v>1</v>
      </c>
      <c r="G3578">
        <v>9791172921088</v>
      </c>
      <c r="H3578" t="s">
        <v>79</v>
      </c>
      <c r="I3578" t="s">
        <v>5134</v>
      </c>
      <c r="J3578" t="s">
        <v>46</v>
      </c>
      <c r="K3578" t="s">
        <v>29</v>
      </c>
      <c r="L3578" s="1">
        <v>3200</v>
      </c>
      <c r="M3578" t="s">
        <v>29</v>
      </c>
      <c r="N3578" s="1">
        <v>3200</v>
      </c>
      <c r="O3578" s="1">
        <v>3200</v>
      </c>
      <c r="P3578" t="s">
        <v>30</v>
      </c>
      <c r="Q3578" s="2">
        <v>0.7</v>
      </c>
      <c r="R3578" s="1">
        <v>2240</v>
      </c>
      <c r="S3578" t="s">
        <v>29</v>
      </c>
      <c r="T3578" s="1">
        <v>2240</v>
      </c>
      <c r="V3578" t="str">
        <f>VLOOKUP(H3578,'[1]팀별 출판사'!A:B,2,0)</f>
        <v>소설1팀</v>
      </c>
      <c r="W3578" s="6">
        <f t="shared" si="110"/>
        <v>0</v>
      </c>
      <c r="X3578" s="6">
        <f t="shared" si="111"/>
        <v>2240</v>
      </c>
    </row>
    <row r="3579" spans="1:24" x14ac:dyDescent="0.3">
      <c r="A3579" t="s">
        <v>5069</v>
      </c>
      <c r="B3579" t="s">
        <v>5135</v>
      </c>
      <c r="C3579" t="s">
        <v>23</v>
      </c>
      <c r="D3579" t="s">
        <v>24</v>
      </c>
      <c r="E3579" t="s">
        <v>25</v>
      </c>
      <c r="F3579">
        <v>1</v>
      </c>
      <c r="G3579">
        <v>9791136912732</v>
      </c>
      <c r="H3579" t="s">
        <v>26</v>
      </c>
      <c r="I3579" t="s">
        <v>1125</v>
      </c>
      <c r="J3579" t="s">
        <v>256</v>
      </c>
      <c r="K3579" t="s">
        <v>29</v>
      </c>
      <c r="L3579">
        <v>0</v>
      </c>
      <c r="M3579" t="s">
        <v>29</v>
      </c>
      <c r="N3579">
        <v>0</v>
      </c>
      <c r="O3579">
        <v>0</v>
      </c>
      <c r="P3579" t="s">
        <v>30</v>
      </c>
      <c r="Q3579" s="2">
        <v>0.7</v>
      </c>
      <c r="R3579">
        <v>0</v>
      </c>
      <c r="V3579" t="str">
        <f>VLOOKUP(H3579,'[1]팀별 출판사'!A:B,2,0)</f>
        <v>소설1팀</v>
      </c>
      <c r="W3579" s="6">
        <f t="shared" si="110"/>
        <v>0</v>
      </c>
      <c r="X3579" s="6">
        <f t="shared" si="111"/>
        <v>0</v>
      </c>
    </row>
    <row r="3580" spans="1:24" x14ac:dyDescent="0.3">
      <c r="A3580" t="s">
        <v>5069</v>
      </c>
      <c r="B3580" t="s">
        <v>5136</v>
      </c>
      <c r="C3580" t="s">
        <v>23</v>
      </c>
      <c r="D3580" t="s">
        <v>24</v>
      </c>
      <c r="E3580" t="s">
        <v>25</v>
      </c>
      <c r="F3580">
        <v>1</v>
      </c>
      <c r="G3580">
        <v>9791133169290</v>
      </c>
      <c r="H3580" t="s">
        <v>32</v>
      </c>
      <c r="I3580" t="s">
        <v>671</v>
      </c>
      <c r="J3580" t="s">
        <v>160</v>
      </c>
      <c r="K3580" t="s">
        <v>29</v>
      </c>
      <c r="L3580">
        <v>0</v>
      </c>
      <c r="M3580" t="s">
        <v>29</v>
      </c>
      <c r="N3580">
        <v>0</v>
      </c>
      <c r="O3580">
        <v>0</v>
      </c>
      <c r="P3580" t="s">
        <v>30</v>
      </c>
      <c r="Q3580" s="2">
        <v>0.7</v>
      </c>
      <c r="R3580">
        <v>0</v>
      </c>
      <c r="V3580" t="str">
        <f>VLOOKUP(H3580,'[1]팀별 출판사'!A:B,2,0)</f>
        <v>소설1팀</v>
      </c>
      <c r="W3580" s="6">
        <f t="shared" si="110"/>
        <v>0</v>
      </c>
      <c r="X3580" s="6">
        <f t="shared" si="111"/>
        <v>0</v>
      </c>
    </row>
    <row r="3581" spans="1:24" x14ac:dyDescent="0.3">
      <c r="A3581" t="s">
        <v>5069</v>
      </c>
      <c r="B3581" t="s">
        <v>5137</v>
      </c>
      <c r="C3581" t="s">
        <v>23</v>
      </c>
      <c r="D3581" t="s">
        <v>24</v>
      </c>
      <c r="E3581" t="s">
        <v>25</v>
      </c>
      <c r="F3581">
        <v>1</v>
      </c>
      <c r="G3581">
        <v>9791133106219</v>
      </c>
      <c r="H3581" t="s">
        <v>32</v>
      </c>
      <c r="I3581" t="s">
        <v>1118</v>
      </c>
      <c r="J3581" t="s">
        <v>51</v>
      </c>
      <c r="K3581" t="s">
        <v>29</v>
      </c>
      <c r="L3581">
        <v>0</v>
      </c>
      <c r="M3581" t="s">
        <v>29</v>
      </c>
      <c r="N3581">
        <v>0</v>
      </c>
      <c r="O3581">
        <v>0</v>
      </c>
      <c r="P3581" t="s">
        <v>30</v>
      </c>
      <c r="Q3581" s="2">
        <v>0.7</v>
      </c>
      <c r="R3581">
        <v>0</v>
      </c>
      <c r="V3581" t="str">
        <f>VLOOKUP(H3581,'[1]팀별 출판사'!A:B,2,0)</f>
        <v>소설1팀</v>
      </c>
      <c r="W3581" s="6">
        <f t="shared" si="110"/>
        <v>0</v>
      </c>
      <c r="X3581" s="6">
        <f t="shared" si="111"/>
        <v>0</v>
      </c>
    </row>
    <row r="3582" spans="1:24" x14ac:dyDescent="0.3">
      <c r="A3582" t="s">
        <v>5069</v>
      </c>
      <c r="B3582" t="s">
        <v>5138</v>
      </c>
      <c r="C3582" t="s">
        <v>23</v>
      </c>
      <c r="D3582" t="s">
        <v>24</v>
      </c>
      <c r="E3582" t="s">
        <v>25</v>
      </c>
      <c r="F3582">
        <v>1</v>
      </c>
      <c r="G3582">
        <v>9791136903754</v>
      </c>
      <c r="H3582" t="s">
        <v>26</v>
      </c>
      <c r="I3582" t="s">
        <v>361</v>
      </c>
      <c r="J3582" t="s">
        <v>256</v>
      </c>
      <c r="K3582" t="s">
        <v>29</v>
      </c>
      <c r="L3582">
        <v>0</v>
      </c>
      <c r="M3582" t="s">
        <v>29</v>
      </c>
      <c r="N3582">
        <v>0</v>
      </c>
      <c r="O3582">
        <v>0</v>
      </c>
      <c r="P3582" t="s">
        <v>30</v>
      </c>
      <c r="Q3582" s="2">
        <v>0.7</v>
      </c>
      <c r="R3582">
        <v>0</v>
      </c>
      <c r="V3582" t="str">
        <f>VLOOKUP(H3582,'[1]팀별 출판사'!A:B,2,0)</f>
        <v>소설1팀</v>
      </c>
      <c r="W3582" s="6">
        <f t="shared" si="110"/>
        <v>0</v>
      </c>
      <c r="X3582" s="6">
        <f t="shared" si="111"/>
        <v>0</v>
      </c>
    </row>
    <row r="3583" spans="1:24" x14ac:dyDescent="0.3">
      <c r="A3583" t="s">
        <v>5069</v>
      </c>
      <c r="B3583" t="s">
        <v>5139</v>
      </c>
      <c r="C3583" t="s">
        <v>23</v>
      </c>
      <c r="D3583" t="s">
        <v>24</v>
      </c>
      <c r="E3583" t="s">
        <v>25</v>
      </c>
      <c r="F3583">
        <v>1</v>
      </c>
      <c r="G3583">
        <v>9791172920135</v>
      </c>
      <c r="H3583" t="s">
        <v>26</v>
      </c>
      <c r="I3583" t="s">
        <v>278</v>
      </c>
      <c r="J3583" t="s">
        <v>276</v>
      </c>
      <c r="K3583" t="s">
        <v>29</v>
      </c>
      <c r="L3583">
        <v>0</v>
      </c>
      <c r="M3583" t="s">
        <v>29</v>
      </c>
      <c r="N3583">
        <v>0</v>
      </c>
      <c r="O3583">
        <v>0</v>
      </c>
      <c r="P3583" t="s">
        <v>30</v>
      </c>
      <c r="Q3583" s="2">
        <v>0.7</v>
      </c>
      <c r="R3583">
        <v>0</v>
      </c>
      <c r="V3583" t="str">
        <f>VLOOKUP(H3583,'[1]팀별 출판사'!A:B,2,0)</f>
        <v>소설1팀</v>
      </c>
      <c r="W3583" s="6">
        <f t="shared" si="110"/>
        <v>0</v>
      </c>
      <c r="X3583" s="6">
        <f t="shared" si="111"/>
        <v>0</v>
      </c>
    </row>
    <row r="3584" spans="1:24" x14ac:dyDescent="0.3">
      <c r="A3584" t="s">
        <v>5069</v>
      </c>
      <c r="B3584" t="s">
        <v>5140</v>
      </c>
      <c r="C3584" t="s">
        <v>23</v>
      </c>
      <c r="D3584" t="s">
        <v>24</v>
      </c>
      <c r="E3584" t="s">
        <v>25</v>
      </c>
      <c r="F3584">
        <v>1</v>
      </c>
      <c r="G3584">
        <v>9791136910523</v>
      </c>
      <c r="H3584" t="s">
        <v>26</v>
      </c>
      <c r="I3584" t="s">
        <v>5141</v>
      </c>
      <c r="J3584" t="s">
        <v>355</v>
      </c>
      <c r="K3584" t="s">
        <v>29</v>
      </c>
      <c r="L3584" s="1">
        <v>3200</v>
      </c>
      <c r="M3584" t="s">
        <v>29</v>
      </c>
      <c r="N3584" s="1">
        <v>3200</v>
      </c>
      <c r="O3584" s="1">
        <v>3200</v>
      </c>
      <c r="P3584" t="s">
        <v>30</v>
      </c>
      <c r="Q3584" s="2">
        <v>0.7</v>
      </c>
      <c r="R3584" s="1">
        <v>2240</v>
      </c>
      <c r="S3584" t="s">
        <v>29</v>
      </c>
      <c r="T3584" s="1">
        <v>2240</v>
      </c>
      <c r="V3584" t="str">
        <f>VLOOKUP(H3584,'[1]팀별 출판사'!A:B,2,0)</f>
        <v>소설1팀</v>
      </c>
      <c r="W3584" s="6">
        <f t="shared" si="110"/>
        <v>0</v>
      </c>
      <c r="X3584" s="6">
        <f t="shared" si="111"/>
        <v>2240</v>
      </c>
    </row>
    <row r="3585" spans="1:24" x14ac:dyDescent="0.3">
      <c r="A3585" t="s">
        <v>5069</v>
      </c>
      <c r="B3585" t="s">
        <v>5142</v>
      </c>
      <c r="C3585" t="s">
        <v>23</v>
      </c>
      <c r="D3585" t="s">
        <v>24</v>
      </c>
      <c r="E3585" t="s">
        <v>25</v>
      </c>
      <c r="F3585">
        <v>1</v>
      </c>
      <c r="G3585">
        <v>9791172925826</v>
      </c>
      <c r="H3585" t="s">
        <v>26</v>
      </c>
      <c r="I3585" t="s">
        <v>5143</v>
      </c>
      <c r="J3585" t="s">
        <v>937</v>
      </c>
      <c r="K3585" t="s">
        <v>29</v>
      </c>
      <c r="L3585" s="1">
        <v>3200</v>
      </c>
      <c r="M3585" t="s">
        <v>29</v>
      </c>
      <c r="N3585" s="1">
        <v>3200</v>
      </c>
      <c r="O3585" s="1">
        <v>3200</v>
      </c>
      <c r="P3585" t="s">
        <v>30</v>
      </c>
      <c r="Q3585" s="2">
        <v>0.7</v>
      </c>
      <c r="R3585" s="1">
        <v>2240</v>
      </c>
      <c r="S3585" t="s">
        <v>29</v>
      </c>
      <c r="T3585" s="1">
        <v>2240</v>
      </c>
      <c r="V3585" t="str">
        <f>VLOOKUP(H3585,'[1]팀별 출판사'!A:B,2,0)</f>
        <v>소설1팀</v>
      </c>
      <c r="W3585" s="6">
        <f t="shared" si="110"/>
        <v>0</v>
      </c>
      <c r="X3585" s="6">
        <f t="shared" si="111"/>
        <v>2240</v>
      </c>
    </row>
    <row r="3586" spans="1:24" x14ac:dyDescent="0.3">
      <c r="A3586" t="s">
        <v>5069</v>
      </c>
      <c r="B3586" t="s">
        <v>5144</v>
      </c>
      <c r="C3586" t="s">
        <v>23</v>
      </c>
      <c r="D3586" t="s">
        <v>24</v>
      </c>
      <c r="E3586" t="s">
        <v>25</v>
      </c>
      <c r="F3586">
        <v>1</v>
      </c>
      <c r="G3586">
        <v>9791136935007</v>
      </c>
      <c r="H3586" t="s">
        <v>32</v>
      </c>
      <c r="I3586" t="s">
        <v>1081</v>
      </c>
      <c r="J3586" t="s">
        <v>1082</v>
      </c>
      <c r="K3586" t="s">
        <v>29</v>
      </c>
      <c r="L3586">
        <v>0</v>
      </c>
      <c r="M3586" t="s">
        <v>136</v>
      </c>
      <c r="N3586">
        <v>0</v>
      </c>
      <c r="O3586">
        <v>0</v>
      </c>
      <c r="P3586" t="s">
        <v>137</v>
      </c>
      <c r="Q3586" s="2">
        <v>0.7</v>
      </c>
      <c r="R3586">
        <v>0</v>
      </c>
      <c r="V3586" t="str">
        <f>VLOOKUP(H3586,'[1]팀별 출판사'!A:B,2,0)</f>
        <v>소설1팀</v>
      </c>
      <c r="W3586" s="6">
        <f t="shared" ref="W3586:W3649" si="112">IF(P3586="US", T3586*30%, 0)</f>
        <v>0</v>
      </c>
      <c r="X3586" s="6">
        <f t="shared" ref="X3586:X3649" si="113">T3586-W3586</f>
        <v>0</v>
      </c>
    </row>
    <row r="3587" spans="1:24" x14ac:dyDescent="0.3">
      <c r="A3587" t="s">
        <v>5069</v>
      </c>
      <c r="B3587" t="s">
        <v>5145</v>
      </c>
      <c r="C3587" t="s">
        <v>23</v>
      </c>
      <c r="D3587" t="s">
        <v>24</v>
      </c>
      <c r="E3587" t="s">
        <v>25</v>
      </c>
      <c r="F3587">
        <v>1</v>
      </c>
      <c r="G3587">
        <v>9791136932594</v>
      </c>
      <c r="H3587" t="s">
        <v>32</v>
      </c>
      <c r="I3587" t="s">
        <v>2808</v>
      </c>
      <c r="J3587" t="s">
        <v>1082</v>
      </c>
      <c r="K3587" t="s">
        <v>29</v>
      </c>
      <c r="L3587">
        <v>0</v>
      </c>
      <c r="M3587" t="s">
        <v>136</v>
      </c>
      <c r="N3587">
        <v>0</v>
      </c>
      <c r="O3587">
        <v>0</v>
      </c>
      <c r="P3587" t="s">
        <v>137</v>
      </c>
      <c r="Q3587" s="2">
        <v>0.7</v>
      </c>
      <c r="R3587">
        <v>0</v>
      </c>
      <c r="V3587" t="str">
        <f>VLOOKUP(H3587,'[1]팀별 출판사'!A:B,2,0)</f>
        <v>소설1팀</v>
      </c>
      <c r="W3587" s="6">
        <f t="shared" si="112"/>
        <v>0</v>
      </c>
      <c r="X3587" s="6">
        <f t="shared" si="113"/>
        <v>0</v>
      </c>
    </row>
    <row r="3588" spans="1:24" x14ac:dyDescent="0.3">
      <c r="A3588" t="s">
        <v>5069</v>
      </c>
      <c r="B3588" t="s">
        <v>5146</v>
      </c>
      <c r="C3588" t="s">
        <v>23</v>
      </c>
      <c r="D3588" t="s">
        <v>24</v>
      </c>
      <c r="E3588" t="s">
        <v>25</v>
      </c>
      <c r="F3588">
        <v>1</v>
      </c>
      <c r="G3588">
        <v>9791136931375</v>
      </c>
      <c r="H3588" t="s">
        <v>32</v>
      </c>
      <c r="I3588" t="s">
        <v>189</v>
      </c>
      <c r="J3588" t="s">
        <v>46</v>
      </c>
      <c r="K3588" t="s">
        <v>29</v>
      </c>
      <c r="L3588">
        <v>0</v>
      </c>
      <c r="M3588" t="s">
        <v>152</v>
      </c>
      <c r="N3588">
        <v>0</v>
      </c>
      <c r="O3588">
        <v>0</v>
      </c>
      <c r="P3588" t="s">
        <v>153</v>
      </c>
      <c r="Q3588" s="2">
        <v>0.7</v>
      </c>
      <c r="R3588">
        <v>0</v>
      </c>
      <c r="V3588" t="str">
        <f>VLOOKUP(H3588,'[1]팀별 출판사'!A:B,2,0)</f>
        <v>소설1팀</v>
      </c>
      <c r="W3588" s="6">
        <f t="shared" si="112"/>
        <v>0</v>
      </c>
      <c r="X3588" s="6">
        <f t="shared" si="113"/>
        <v>0</v>
      </c>
    </row>
    <row r="3589" spans="1:24" x14ac:dyDescent="0.3">
      <c r="A3589" t="s">
        <v>5069</v>
      </c>
      <c r="B3589" t="s">
        <v>5147</v>
      </c>
      <c r="C3589" t="s">
        <v>23</v>
      </c>
      <c r="D3589" t="s">
        <v>24</v>
      </c>
      <c r="E3589" t="s">
        <v>25</v>
      </c>
      <c r="F3589">
        <v>1</v>
      </c>
      <c r="G3589">
        <v>9791136934925</v>
      </c>
      <c r="H3589" t="s">
        <v>32</v>
      </c>
      <c r="I3589" t="s">
        <v>385</v>
      </c>
      <c r="J3589" t="s">
        <v>126</v>
      </c>
      <c r="K3589" t="s">
        <v>29</v>
      </c>
      <c r="L3589">
        <v>0</v>
      </c>
      <c r="M3589" t="s">
        <v>152</v>
      </c>
      <c r="N3589">
        <v>0</v>
      </c>
      <c r="O3589">
        <v>0</v>
      </c>
      <c r="P3589" t="s">
        <v>153</v>
      </c>
      <c r="Q3589" s="2">
        <v>0.7</v>
      </c>
      <c r="R3589">
        <v>0</v>
      </c>
      <c r="V3589" t="str">
        <f>VLOOKUP(H3589,'[1]팀별 출판사'!A:B,2,0)</f>
        <v>소설1팀</v>
      </c>
      <c r="W3589" s="6">
        <f t="shared" si="112"/>
        <v>0</v>
      </c>
      <c r="X3589" s="6">
        <f t="shared" si="113"/>
        <v>0</v>
      </c>
    </row>
    <row r="3590" spans="1:24" x14ac:dyDescent="0.3">
      <c r="A3590" t="s">
        <v>5069</v>
      </c>
      <c r="B3590" t="s">
        <v>5148</v>
      </c>
      <c r="C3590" t="s">
        <v>23</v>
      </c>
      <c r="D3590" t="s">
        <v>24</v>
      </c>
      <c r="E3590" t="s">
        <v>25</v>
      </c>
      <c r="F3590">
        <v>1</v>
      </c>
      <c r="G3590">
        <v>9791136930361</v>
      </c>
      <c r="H3590" t="s">
        <v>32</v>
      </c>
      <c r="I3590" t="s">
        <v>33</v>
      </c>
      <c r="J3590" t="s">
        <v>34</v>
      </c>
      <c r="K3590" t="s">
        <v>29</v>
      </c>
      <c r="L3590">
        <v>0</v>
      </c>
      <c r="M3590" t="s">
        <v>29</v>
      </c>
      <c r="N3590">
        <v>0</v>
      </c>
      <c r="O3590">
        <v>0</v>
      </c>
      <c r="P3590" t="s">
        <v>30</v>
      </c>
      <c r="Q3590" s="2">
        <v>0.7</v>
      </c>
      <c r="R3590">
        <v>0</v>
      </c>
      <c r="V3590" t="str">
        <f>VLOOKUP(H3590,'[1]팀별 출판사'!A:B,2,0)</f>
        <v>소설1팀</v>
      </c>
      <c r="W3590" s="6">
        <f t="shared" si="112"/>
        <v>0</v>
      </c>
      <c r="X3590" s="6">
        <f t="shared" si="113"/>
        <v>0</v>
      </c>
    </row>
    <row r="3591" spans="1:24" x14ac:dyDescent="0.3">
      <c r="A3591" t="s">
        <v>5069</v>
      </c>
      <c r="B3591" t="s">
        <v>5149</v>
      </c>
      <c r="C3591" t="s">
        <v>23</v>
      </c>
      <c r="D3591" t="s">
        <v>24</v>
      </c>
      <c r="E3591" t="s">
        <v>25</v>
      </c>
      <c r="F3591">
        <v>1</v>
      </c>
      <c r="G3591">
        <v>9791136930613</v>
      </c>
      <c r="H3591" t="s">
        <v>32</v>
      </c>
      <c r="I3591" t="s">
        <v>57</v>
      </c>
      <c r="J3591" t="s">
        <v>34</v>
      </c>
      <c r="K3591" t="s">
        <v>29</v>
      </c>
      <c r="L3591">
        <v>0</v>
      </c>
      <c r="M3591" t="s">
        <v>29</v>
      </c>
      <c r="N3591">
        <v>0</v>
      </c>
      <c r="O3591">
        <v>0</v>
      </c>
      <c r="P3591" t="s">
        <v>30</v>
      </c>
      <c r="Q3591" s="2">
        <v>0.7</v>
      </c>
      <c r="R3591">
        <v>0</v>
      </c>
      <c r="V3591" t="str">
        <f>VLOOKUP(H3591,'[1]팀별 출판사'!A:B,2,0)</f>
        <v>소설1팀</v>
      </c>
      <c r="W3591" s="6">
        <f t="shared" si="112"/>
        <v>0</v>
      </c>
      <c r="X3591" s="6">
        <f t="shared" si="113"/>
        <v>0</v>
      </c>
    </row>
    <row r="3592" spans="1:24" x14ac:dyDescent="0.3">
      <c r="A3592" t="s">
        <v>5069</v>
      </c>
      <c r="B3592" t="s">
        <v>5150</v>
      </c>
      <c r="C3592" t="s">
        <v>23</v>
      </c>
      <c r="D3592" t="s">
        <v>24</v>
      </c>
      <c r="E3592" t="s">
        <v>25</v>
      </c>
      <c r="F3592">
        <v>1</v>
      </c>
      <c r="G3592">
        <v>9791133143801</v>
      </c>
      <c r="H3592" t="s">
        <v>32</v>
      </c>
      <c r="I3592" t="s">
        <v>1056</v>
      </c>
      <c r="J3592" t="s">
        <v>88</v>
      </c>
      <c r="K3592" t="s">
        <v>29</v>
      </c>
      <c r="L3592">
        <v>0</v>
      </c>
      <c r="M3592" t="s">
        <v>29</v>
      </c>
      <c r="N3592">
        <v>0</v>
      </c>
      <c r="O3592">
        <v>0</v>
      </c>
      <c r="P3592" t="s">
        <v>30</v>
      </c>
      <c r="Q3592" s="2">
        <v>0.7</v>
      </c>
      <c r="R3592">
        <v>0</v>
      </c>
      <c r="V3592" t="str">
        <f>VLOOKUP(H3592,'[1]팀별 출판사'!A:B,2,0)</f>
        <v>소설1팀</v>
      </c>
      <c r="W3592" s="6">
        <f t="shared" si="112"/>
        <v>0</v>
      </c>
      <c r="X3592" s="6">
        <f t="shared" si="113"/>
        <v>0</v>
      </c>
    </row>
    <row r="3593" spans="1:24" x14ac:dyDescent="0.3">
      <c r="A3593" t="s">
        <v>5069</v>
      </c>
      <c r="B3593" t="s">
        <v>5151</v>
      </c>
      <c r="C3593" t="s">
        <v>23</v>
      </c>
      <c r="D3593" t="s">
        <v>24</v>
      </c>
      <c r="E3593" t="s">
        <v>25</v>
      </c>
      <c r="F3593">
        <v>1</v>
      </c>
      <c r="G3593">
        <v>9791136907356</v>
      </c>
      <c r="H3593" t="s">
        <v>26</v>
      </c>
      <c r="I3593" t="s">
        <v>5152</v>
      </c>
      <c r="J3593" t="s">
        <v>1348</v>
      </c>
      <c r="K3593" t="s">
        <v>29</v>
      </c>
      <c r="L3593" s="1">
        <v>3200</v>
      </c>
      <c r="M3593" t="s">
        <v>29</v>
      </c>
      <c r="N3593" s="1">
        <v>3200</v>
      </c>
      <c r="O3593" s="1">
        <v>3200</v>
      </c>
      <c r="P3593" t="s">
        <v>30</v>
      </c>
      <c r="Q3593" s="2">
        <v>0.7</v>
      </c>
      <c r="R3593" s="1">
        <v>2240</v>
      </c>
      <c r="S3593" t="s">
        <v>29</v>
      </c>
      <c r="T3593" s="1">
        <v>2240</v>
      </c>
      <c r="V3593" t="str">
        <f>VLOOKUP(H3593,'[1]팀별 출판사'!A:B,2,0)</f>
        <v>소설1팀</v>
      </c>
      <c r="W3593" s="6">
        <f t="shared" si="112"/>
        <v>0</v>
      </c>
      <c r="X3593" s="6">
        <f t="shared" si="113"/>
        <v>2240</v>
      </c>
    </row>
    <row r="3594" spans="1:24" x14ac:dyDescent="0.3">
      <c r="A3594" t="s">
        <v>5069</v>
      </c>
      <c r="B3594" t="s">
        <v>5153</v>
      </c>
      <c r="C3594" t="s">
        <v>23</v>
      </c>
      <c r="D3594" t="s">
        <v>24</v>
      </c>
      <c r="E3594" t="s">
        <v>25</v>
      </c>
      <c r="F3594">
        <v>1</v>
      </c>
      <c r="G3594" t="s">
        <v>2372</v>
      </c>
      <c r="H3594" t="s">
        <v>32</v>
      </c>
      <c r="I3594" t="s">
        <v>2373</v>
      </c>
      <c r="J3594" t="s">
        <v>88</v>
      </c>
      <c r="K3594" t="s">
        <v>29</v>
      </c>
      <c r="L3594">
        <v>0</v>
      </c>
      <c r="M3594" t="s">
        <v>29</v>
      </c>
      <c r="N3594">
        <v>0</v>
      </c>
      <c r="O3594">
        <v>0</v>
      </c>
      <c r="P3594" t="s">
        <v>30</v>
      </c>
      <c r="Q3594" s="2">
        <v>0.7</v>
      </c>
      <c r="R3594">
        <v>0</v>
      </c>
      <c r="V3594" t="str">
        <f>VLOOKUP(H3594,'[1]팀별 출판사'!A:B,2,0)</f>
        <v>소설1팀</v>
      </c>
      <c r="W3594" s="6">
        <f t="shared" si="112"/>
        <v>0</v>
      </c>
      <c r="X3594" s="6">
        <f t="shared" si="113"/>
        <v>0</v>
      </c>
    </row>
    <row r="3595" spans="1:24" x14ac:dyDescent="0.3">
      <c r="A3595" t="s">
        <v>5069</v>
      </c>
      <c r="B3595" t="s">
        <v>5154</v>
      </c>
      <c r="C3595" t="s">
        <v>23</v>
      </c>
      <c r="D3595" t="s">
        <v>24</v>
      </c>
      <c r="E3595" t="s">
        <v>25</v>
      </c>
      <c r="F3595">
        <v>1</v>
      </c>
      <c r="G3595">
        <v>9791172926991</v>
      </c>
      <c r="H3595" t="s">
        <v>26</v>
      </c>
      <c r="I3595" t="s">
        <v>330</v>
      </c>
      <c r="J3595" t="s">
        <v>28</v>
      </c>
      <c r="K3595" t="s">
        <v>29</v>
      </c>
      <c r="L3595">
        <v>0</v>
      </c>
      <c r="M3595" t="s">
        <v>29</v>
      </c>
      <c r="N3595">
        <v>0</v>
      </c>
      <c r="O3595">
        <v>0</v>
      </c>
      <c r="P3595" t="s">
        <v>30</v>
      </c>
      <c r="Q3595" s="2">
        <v>0.7</v>
      </c>
      <c r="R3595">
        <v>0</v>
      </c>
      <c r="V3595" t="str">
        <f>VLOOKUP(H3595,'[1]팀별 출판사'!A:B,2,0)</f>
        <v>소설1팀</v>
      </c>
      <c r="W3595" s="6">
        <f t="shared" si="112"/>
        <v>0</v>
      </c>
      <c r="X3595" s="6">
        <f t="shared" si="113"/>
        <v>0</v>
      </c>
    </row>
    <row r="3596" spans="1:24" x14ac:dyDescent="0.3">
      <c r="A3596" t="s">
        <v>5069</v>
      </c>
      <c r="B3596" t="s">
        <v>5155</v>
      </c>
      <c r="C3596" t="s">
        <v>23</v>
      </c>
      <c r="D3596" t="s">
        <v>24</v>
      </c>
      <c r="E3596" t="s">
        <v>25</v>
      </c>
      <c r="F3596">
        <v>1</v>
      </c>
      <c r="G3596" t="s">
        <v>2160</v>
      </c>
      <c r="H3596" t="s">
        <v>32</v>
      </c>
      <c r="I3596" t="s">
        <v>2161</v>
      </c>
      <c r="J3596" t="s">
        <v>88</v>
      </c>
      <c r="K3596" t="s">
        <v>29</v>
      </c>
      <c r="L3596">
        <v>0</v>
      </c>
      <c r="M3596" t="s">
        <v>29</v>
      </c>
      <c r="N3596">
        <v>0</v>
      </c>
      <c r="O3596">
        <v>0</v>
      </c>
      <c r="P3596" t="s">
        <v>30</v>
      </c>
      <c r="Q3596" s="2">
        <v>0.7</v>
      </c>
      <c r="R3596">
        <v>0</v>
      </c>
      <c r="V3596" t="str">
        <f>VLOOKUP(H3596,'[1]팀별 출판사'!A:B,2,0)</f>
        <v>소설1팀</v>
      </c>
      <c r="W3596" s="6">
        <f t="shared" si="112"/>
        <v>0</v>
      </c>
      <c r="X3596" s="6">
        <f t="shared" si="113"/>
        <v>0</v>
      </c>
    </row>
    <row r="3597" spans="1:24" x14ac:dyDescent="0.3">
      <c r="A3597" t="s">
        <v>5069</v>
      </c>
      <c r="B3597" t="s">
        <v>5156</v>
      </c>
      <c r="C3597" t="s">
        <v>23</v>
      </c>
      <c r="D3597" t="s">
        <v>24</v>
      </c>
      <c r="E3597" t="s">
        <v>25</v>
      </c>
      <c r="F3597">
        <v>1</v>
      </c>
      <c r="G3597">
        <v>9791136944160</v>
      </c>
      <c r="H3597" t="s">
        <v>26</v>
      </c>
      <c r="I3597" t="s">
        <v>3127</v>
      </c>
      <c r="J3597" t="s">
        <v>1692</v>
      </c>
      <c r="K3597" t="s">
        <v>29</v>
      </c>
      <c r="L3597">
        <v>0</v>
      </c>
      <c r="M3597" t="s">
        <v>29</v>
      </c>
      <c r="N3597">
        <v>0</v>
      </c>
      <c r="O3597">
        <v>0</v>
      </c>
      <c r="P3597" t="s">
        <v>30</v>
      </c>
      <c r="Q3597" s="2">
        <v>0.7</v>
      </c>
      <c r="R3597">
        <v>0</v>
      </c>
      <c r="V3597" t="str">
        <f>VLOOKUP(H3597,'[1]팀별 출판사'!A:B,2,0)</f>
        <v>소설1팀</v>
      </c>
      <c r="W3597" s="6">
        <f t="shared" si="112"/>
        <v>0</v>
      </c>
      <c r="X3597" s="6">
        <f t="shared" si="113"/>
        <v>0</v>
      </c>
    </row>
    <row r="3598" spans="1:24" x14ac:dyDescent="0.3">
      <c r="A3598" t="s">
        <v>5069</v>
      </c>
      <c r="B3598" t="s">
        <v>5157</v>
      </c>
      <c r="C3598" t="s">
        <v>23</v>
      </c>
      <c r="D3598" t="s">
        <v>24</v>
      </c>
      <c r="E3598" t="s">
        <v>25</v>
      </c>
      <c r="F3598">
        <v>1</v>
      </c>
      <c r="G3598">
        <v>9791136905758</v>
      </c>
      <c r="H3598" t="s">
        <v>26</v>
      </c>
      <c r="I3598" t="s">
        <v>1889</v>
      </c>
      <c r="J3598" t="s">
        <v>459</v>
      </c>
      <c r="K3598" t="s">
        <v>29</v>
      </c>
      <c r="L3598">
        <v>0</v>
      </c>
      <c r="M3598" t="s">
        <v>70</v>
      </c>
      <c r="N3598">
        <v>0</v>
      </c>
      <c r="O3598">
        <v>0</v>
      </c>
      <c r="P3598" t="s">
        <v>71</v>
      </c>
      <c r="Q3598" s="2">
        <v>0.7</v>
      </c>
      <c r="R3598">
        <v>0</v>
      </c>
      <c r="V3598" t="str">
        <f>VLOOKUP(H3598,'[1]팀별 출판사'!A:B,2,0)</f>
        <v>소설1팀</v>
      </c>
      <c r="W3598" s="6">
        <f t="shared" si="112"/>
        <v>0</v>
      </c>
      <c r="X3598" s="6">
        <f t="shared" si="113"/>
        <v>0</v>
      </c>
    </row>
    <row r="3599" spans="1:24" x14ac:dyDescent="0.3">
      <c r="A3599" t="s">
        <v>5069</v>
      </c>
      <c r="B3599" t="s">
        <v>5158</v>
      </c>
      <c r="C3599" t="s">
        <v>23</v>
      </c>
      <c r="D3599" t="s">
        <v>24</v>
      </c>
      <c r="E3599" t="s">
        <v>25</v>
      </c>
      <c r="F3599">
        <v>1</v>
      </c>
      <c r="G3599">
        <v>9791172924850</v>
      </c>
      <c r="H3599" t="s">
        <v>26</v>
      </c>
      <c r="I3599" t="s">
        <v>61</v>
      </c>
      <c r="J3599" t="s">
        <v>62</v>
      </c>
      <c r="K3599" t="s">
        <v>29</v>
      </c>
      <c r="L3599">
        <v>0</v>
      </c>
      <c r="M3599" t="s">
        <v>29</v>
      </c>
      <c r="N3599">
        <v>0</v>
      </c>
      <c r="O3599">
        <v>0</v>
      </c>
      <c r="P3599" t="s">
        <v>30</v>
      </c>
      <c r="Q3599" s="2">
        <v>0.7</v>
      </c>
      <c r="R3599">
        <v>0</v>
      </c>
      <c r="V3599" t="str">
        <f>VLOOKUP(H3599,'[1]팀별 출판사'!A:B,2,0)</f>
        <v>소설1팀</v>
      </c>
      <c r="W3599" s="6">
        <f t="shared" si="112"/>
        <v>0</v>
      </c>
      <c r="X3599" s="6">
        <f t="shared" si="113"/>
        <v>0</v>
      </c>
    </row>
    <row r="3600" spans="1:24" x14ac:dyDescent="0.3">
      <c r="A3600" t="s">
        <v>5069</v>
      </c>
      <c r="B3600" t="s">
        <v>5159</v>
      </c>
      <c r="C3600" t="s">
        <v>23</v>
      </c>
      <c r="D3600" t="s">
        <v>24</v>
      </c>
      <c r="E3600" t="s">
        <v>25</v>
      </c>
      <c r="F3600">
        <v>1</v>
      </c>
      <c r="G3600">
        <v>9791136934925</v>
      </c>
      <c r="H3600" t="s">
        <v>32</v>
      </c>
      <c r="I3600" t="s">
        <v>385</v>
      </c>
      <c r="J3600" t="s">
        <v>126</v>
      </c>
      <c r="K3600" t="s">
        <v>29</v>
      </c>
      <c r="L3600">
        <v>0</v>
      </c>
      <c r="M3600" t="s">
        <v>127</v>
      </c>
      <c r="N3600">
        <v>0</v>
      </c>
      <c r="O3600">
        <v>0</v>
      </c>
      <c r="P3600" t="s">
        <v>128</v>
      </c>
      <c r="Q3600" s="2">
        <v>0.7</v>
      </c>
      <c r="R3600">
        <v>0</v>
      </c>
      <c r="V3600" t="str">
        <f>VLOOKUP(H3600,'[1]팀별 출판사'!A:B,2,0)</f>
        <v>소설1팀</v>
      </c>
      <c r="W3600" s="6">
        <f t="shared" si="112"/>
        <v>0</v>
      </c>
      <c r="X3600" s="6">
        <f t="shared" si="113"/>
        <v>0</v>
      </c>
    </row>
    <row r="3601" spans="1:24" x14ac:dyDescent="0.3">
      <c r="A3601" t="s">
        <v>5069</v>
      </c>
      <c r="B3601" t="s">
        <v>5160</v>
      </c>
      <c r="C3601" t="s">
        <v>23</v>
      </c>
      <c r="D3601" t="s">
        <v>24</v>
      </c>
      <c r="E3601" t="s">
        <v>25</v>
      </c>
      <c r="F3601">
        <v>1</v>
      </c>
      <c r="G3601">
        <v>9791136935496</v>
      </c>
      <c r="H3601" t="s">
        <v>32</v>
      </c>
      <c r="I3601" t="s">
        <v>441</v>
      </c>
      <c r="J3601" t="s">
        <v>442</v>
      </c>
      <c r="K3601" t="s">
        <v>29</v>
      </c>
      <c r="L3601">
        <v>0</v>
      </c>
      <c r="M3601" t="s">
        <v>127</v>
      </c>
      <c r="N3601">
        <v>0</v>
      </c>
      <c r="O3601">
        <v>0</v>
      </c>
      <c r="P3601" t="s">
        <v>128</v>
      </c>
      <c r="Q3601" s="2">
        <v>0.7</v>
      </c>
      <c r="R3601">
        <v>0</v>
      </c>
      <c r="V3601" t="str">
        <f>VLOOKUP(H3601,'[1]팀별 출판사'!A:B,2,0)</f>
        <v>소설1팀</v>
      </c>
      <c r="W3601" s="6">
        <f t="shared" si="112"/>
        <v>0</v>
      </c>
      <c r="X3601" s="6">
        <f t="shared" si="113"/>
        <v>0</v>
      </c>
    </row>
    <row r="3602" spans="1:24" x14ac:dyDescent="0.3">
      <c r="A3602" t="s">
        <v>5069</v>
      </c>
      <c r="B3602" t="s">
        <v>5161</v>
      </c>
      <c r="C3602" t="s">
        <v>23</v>
      </c>
      <c r="D3602" t="s">
        <v>24</v>
      </c>
      <c r="E3602" t="s">
        <v>25</v>
      </c>
      <c r="F3602">
        <v>1</v>
      </c>
      <c r="G3602" t="s">
        <v>448</v>
      </c>
      <c r="H3602" t="s">
        <v>32</v>
      </c>
      <c r="I3602" t="s">
        <v>449</v>
      </c>
      <c r="J3602" t="s">
        <v>311</v>
      </c>
      <c r="K3602" t="s">
        <v>29</v>
      </c>
      <c r="L3602">
        <v>0</v>
      </c>
      <c r="M3602" t="s">
        <v>29</v>
      </c>
      <c r="N3602">
        <v>0</v>
      </c>
      <c r="O3602">
        <v>0</v>
      </c>
      <c r="P3602" t="s">
        <v>30</v>
      </c>
      <c r="Q3602" s="2">
        <v>0.7</v>
      </c>
      <c r="R3602">
        <v>0</v>
      </c>
      <c r="V3602" t="str">
        <f>VLOOKUP(H3602,'[1]팀별 출판사'!A:B,2,0)</f>
        <v>소설1팀</v>
      </c>
      <c r="W3602" s="6">
        <f t="shared" si="112"/>
        <v>0</v>
      </c>
      <c r="X3602" s="6">
        <f t="shared" si="113"/>
        <v>0</v>
      </c>
    </row>
    <row r="3603" spans="1:24" x14ac:dyDescent="0.3">
      <c r="A3603" t="s">
        <v>5069</v>
      </c>
      <c r="B3603" t="s">
        <v>5162</v>
      </c>
      <c r="C3603" t="s">
        <v>23</v>
      </c>
      <c r="D3603" t="s">
        <v>24</v>
      </c>
      <c r="E3603" t="s">
        <v>25</v>
      </c>
      <c r="F3603">
        <v>1</v>
      </c>
      <c r="G3603" t="s">
        <v>2122</v>
      </c>
      <c r="H3603" t="s">
        <v>32</v>
      </c>
      <c r="I3603" t="s">
        <v>2123</v>
      </c>
      <c r="J3603" t="s">
        <v>166</v>
      </c>
      <c r="K3603" t="s">
        <v>29</v>
      </c>
      <c r="L3603">
        <v>0</v>
      </c>
      <c r="M3603" t="s">
        <v>70</v>
      </c>
      <c r="N3603">
        <v>0</v>
      </c>
      <c r="O3603">
        <v>0</v>
      </c>
      <c r="P3603" t="s">
        <v>426</v>
      </c>
      <c r="Q3603" s="2">
        <v>0.7</v>
      </c>
      <c r="R3603">
        <v>0</v>
      </c>
      <c r="V3603" t="str">
        <f>VLOOKUP(H3603,'[1]팀별 출판사'!A:B,2,0)</f>
        <v>소설1팀</v>
      </c>
      <c r="W3603" s="6">
        <f t="shared" si="112"/>
        <v>0</v>
      </c>
      <c r="X3603" s="6">
        <f t="shared" si="113"/>
        <v>0</v>
      </c>
    </row>
    <row r="3604" spans="1:24" x14ac:dyDescent="0.3">
      <c r="A3604" t="s">
        <v>5069</v>
      </c>
      <c r="B3604" t="s">
        <v>5163</v>
      </c>
      <c r="C3604" t="s">
        <v>23</v>
      </c>
      <c r="D3604" t="s">
        <v>24</v>
      </c>
      <c r="E3604" t="s">
        <v>25</v>
      </c>
      <c r="F3604">
        <v>1</v>
      </c>
      <c r="G3604">
        <v>9791136927330</v>
      </c>
      <c r="H3604" t="s">
        <v>26</v>
      </c>
      <c r="I3604" t="s">
        <v>5164</v>
      </c>
      <c r="J3604" t="s">
        <v>459</v>
      </c>
      <c r="K3604" t="s">
        <v>29</v>
      </c>
      <c r="L3604" s="1">
        <v>3200</v>
      </c>
      <c r="M3604" t="s">
        <v>29</v>
      </c>
      <c r="N3604" s="1">
        <v>3200</v>
      </c>
      <c r="O3604" s="1">
        <v>3200</v>
      </c>
      <c r="P3604" t="s">
        <v>30</v>
      </c>
      <c r="Q3604" s="2">
        <v>0.7</v>
      </c>
      <c r="R3604" s="1">
        <v>2240</v>
      </c>
      <c r="S3604" t="s">
        <v>29</v>
      </c>
      <c r="T3604" s="1">
        <v>2240</v>
      </c>
      <c r="V3604" t="str">
        <f>VLOOKUP(H3604,'[1]팀별 출판사'!A:B,2,0)</f>
        <v>소설1팀</v>
      </c>
      <c r="W3604" s="6">
        <f t="shared" si="112"/>
        <v>0</v>
      </c>
      <c r="X3604" s="6">
        <f t="shared" si="113"/>
        <v>2240</v>
      </c>
    </row>
    <row r="3605" spans="1:24" x14ac:dyDescent="0.3">
      <c r="A3605" t="s">
        <v>5069</v>
      </c>
      <c r="B3605" t="s">
        <v>5165</v>
      </c>
      <c r="C3605" t="s">
        <v>23</v>
      </c>
      <c r="D3605" t="s">
        <v>24</v>
      </c>
      <c r="E3605" t="s">
        <v>25</v>
      </c>
      <c r="F3605">
        <v>1</v>
      </c>
      <c r="G3605">
        <v>9791136930224</v>
      </c>
      <c r="H3605" t="s">
        <v>32</v>
      </c>
      <c r="I3605" t="s">
        <v>172</v>
      </c>
      <c r="J3605" t="s">
        <v>46</v>
      </c>
      <c r="K3605" t="s">
        <v>29</v>
      </c>
      <c r="L3605">
        <v>0</v>
      </c>
      <c r="M3605" t="s">
        <v>47</v>
      </c>
      <c r="N3605">
        <v>0</v>
      </c>
      <c r="O3605">
        <v>0</v>
      </c>
      <c r="P3605" t="s">
        <v>48</v>
      </c>
      <c r="Q3605" s="2">
        <v>0.7</v>
      </c>
      <c r="R3605">
        <v>0</v>
      </c>
      <c r="V3605" t="str">
        <f>VLOOKUP(H3605,'[1]팀별 출판사'!A:B,2,0)</f>
        <v>소설1팀</v>
      </c>
      <c r="W3605" s="6">
        <f t="shared" si="112"/>
        <v>0</v>
      </c>
      <c r="X3605" s="6">
        <f t="shared" si="113"/>
        <v>0</v>
      </c>
    </row>
    <row r="3606" spans="1:24" x14ac:dyDescent="0.3">
      <c r="A3606" t="s">
        <v>5069</v>
      </c>
      <c r="B3606" t="s">
        <v>5166</v>
      </c>
      <c r="C3606" t="s">
        <v>23</v>
      </c>
      <c r="D3606" t="s">
        <v>24</v>
      </c>
      <c r="E3606" t="s">
        <v>25</v>
      </c>
      <c r="F3606">
        <v>1</v>
      </c>
      <c r="G3606">
        <v>9791136958730</v>
      </c>
      <c r="H3606" t="s">
        <v>79</v>
      </c>
      <c r="I3606" t="s">
        <v>2775</v>
      </c>
      <c r="J3606" t="s">
        <v>81</v>
      </c>
      <c r="K3606" t="s">
        <v>29</v>
      </c>
      <c r="L3606" s="1">
        <v>3200</v>
      </c>
      <c r="M3606" t="s">
        <v>29</v>
      </c>
      <c r="N3606" s="1">
        <v>3200</v>
      </c>
      <c r="O3606" s="1">
        <v>3200</v>
      </c>
      <c r="P3606" t="s">
        <v>30</v>
      </c>
      <c r="Q3606" s="2">
        <v>0.7</v>
      </c>
      <c r="R3606" s="1">
        <v>2240</v>
      </c>
      <c r="S3606" t="s">
        <v>29</v>
      </c>
      <c r="T3606" s="1">
        <v>2240</v>
      </c>
      <c r="V3606" t="str">
        <f>VLOOKUP(H3606,'[1]팀별 출판사'!A:B,2,0)</f>
        <v>소설1팀</v>
      </c>
      <c r="W3606" s="6">
        <f t="shared" si="112"/>
        <v>0</v>
      </c>
      <c r="X3606" s="6">
        <f t="shared" si="113"/>
        <v>2240</v>
      </c>
    </row>
    <row r="3607" spans="1:24" x14ac:dyDescent="0.3">
      <c r="A3607" t="s">
        <v>5069</v>
      </c>
      <c r="B3607" t="s">
        <v>5167</v>
      </c>
      <c r="C3607" t="s">
        <v>23</v>
      </c>
      <c r="D3607" t="s">
        <v>24</v>
      </c>
      <c r="E3607" t="s">
        <v>25</v>
      </c>
      <c r="F3607">
        <v>1</v>
      </c>
      <c r="G3607">
        <v>9791157539680</v>
      </c>
      <c r="H3607" t="s">
        <v>32</v>
      </c>
      <c r="I3607" t="s">
        <v>2752</v>
      </c>
      <c r="J3607" t="s">
        <v>88</v>
      </c>
      <c r="K3607" t="s">
        <v>29</v>
      </c>
      <c r="L3607" s="1">
        <v>3200</v>
      </c>
      <c r="M3607" t="s">
        <v>29</v>
      </c>
      <c r="N3607" s="1">
        <v>3200</v>
      </c>
      <c r="O3607" s="1">
        <v>3200</v>
      </c>
      <c r="P3607" t="s">
        <v>30</v>
      </c>
      <c r="Q3607" s="2">
        <v>0.7</v>
      </c>
      <c r="R3607" s="1">
        <v>2240</v>
      </c>
      <c r="S3607" t="s">
        <v>29</v>
      </c>
      <c r="T3607" s="1">
        <v>2240</v>
      </c>
      <c r="V3607" t="str">
        <f>VLOOKUP(H3607,'[1]팀별 출판사'!A:B,2,0)</f>
        <v>소설1팀</v>
      </c>
      <c r="W3607" s="6">
        <f t="shared" si="112"/>
        <v>0</v>
      </c>
      <c r="X3607" s="6">
        <f t="shared" si="113"/>
        <v>2240</v>
      </c>
    </row>
    <row r="3608" spans="1:24" x14ac:dyDescent="0.3">
      <c r="A3608" t="s">
        <v>5069</v>
      </c>
      <c r="B3608" t="s">
        <v>5168</v>
      </c>
      <c r="C3608" t="s">
        <v>23</v>
      </c>
      <c r="D3608" t="s">
        <v>24</v>
      </c>
      <c r="E3608" t="s">
        <v>25</v>
      </c>
      <c r="F3608">
        <v>1</v>
      </c>
      <c r="G3608">
        <v>9791136932648</v>
      </c>
      <c r="H3608" t="s">
        <v>32</v>
      </c>
      <c r="I3608" t="s">
        <v>832</v>
      </c>
      <c r="J3608" t="s">
        <v>34</v>
      </c>
      <c r="K3608" t="s">
        <v>29</v>
      </c>
      <c r="L3608">
        <v>0</v>
      </c>
      <c r="M3608" t="s">
        <v>127</v>
      </c>
      <c r="N3608">
        <v>0</v>
      </c>
      <c r="O3608">
        <v>0</v>
      </c>
      <c r="P3608" t="s">
        <v>128</v>
      </c>
      <c r="Q3608" s="2">
        <v>0.7</v>
      </c>
      <c r="R3608">
        <v>0</v>
      </c>
      <c r="V3608" t="str">
        <f>VLOOKUP(H3608,'[1]팀별 출판사'!A:B,2,0)</f>
        <v>소설1팀</v>
      </c>
      <c r="W3608" s="6">
        <f t="shared" si="112"/>
        <v>0</v>
      </c>
      <c r="X3608" s="6">
        <f t="shared" si="113"/>
        <v>0</v>
      </c>
    </row>
    <row r="3609" spans="1:24" x14ac:dyDescent="0.3">
      <c r="A3609" t="s">
        <v>5069</v>
      </c>
      <c r="B3609" t="s">
        <v>5169</v>
      </c>
      <c r="C3609" t="s">
        <v>23</v>
      </c>
      <c r="D3609" t="s">
        <v>24</v>
      </c>
      <c r="E3609" t="s">
        <v>25</v>
      </c>
      <c r="F3609">
        <v>1</v>
      </c>
      <c r="G3609">
        <v>9791136930613</v>
      </c>
      <c r="H3609" t="s">
        <v>32</v>
      </c>
      <c r="I3609" t="s">
        <v>57</v>
      </c>
      <c r="J3609" t="s">
        <v>34</v>
      </c>
      <c r="K3609" t="s">
        <v>29</v>
      </c>
      <c r="L3609">
        <v>0</v>
      </c>
      <c r="M3609" t="s">
        <v>127</v>
      </c>
      <c r="N3609">
        <v>0</v>
      </c>
      <c r="O3609">
        <v>0</v>
      </c>
      <c r="P3609" t="s">
        <v>128</v>
      </c>
      <c r="Q3609" s="2">
        <v>0.7</v>
      </c>
      <c r="R3609">
        <v>0</v>
      </c>
      <c r="V3609" t="str">
        <f>VLOOKUP(H3609,'[1]팀별 출판사'!A:B,2,0)</f>
        <v>소설1팀</v>
      </c>
      <c r="W3609" s="6">
        <f t="shared" si="112"/>
        <v>0</v>
      </c>
      <c r="X3609" s="6">
        <f t="shared" si="113"/>
        <v>0</v>
      </c>
    </row>
    <row r="3610" spans="1:24" x14ac:dyDescent="0.3">
      <c r="A3610" t="s">
        <v>5069</v>
      </c>
      <c r="B3610" t="s">
        <v>5170</v>
      </c>
      <c r="C3610" t="s">
        <v>23</v>
      </c>
      <c r="D3610" t="s">
        <v>24</v>
      </c>
      <c r="E3610" t="s">
        <v>25</v>
      </c>
      <c r="F3610">
        <v>1</v>
      </c>
      <c r="G3610">
        <v>9791170106715</v>
      </c>
      <c r="H3610" t="s">
        <v>67</v>
      </c>
      <c r="I3610" t="s">
        <v>68</v>
      </c>
      <c r="J3610" t="s">
        <v>69</v>
      </c>
      <c r="K3610" t="s">
        <v>29</v>
      </c>
      <c r="L3610">
        <v>0</v>
      </c>
      <c r="M3610" t="s">
        <v>465</v>
      </c>
      <c r="N3610">
        <v>0</v>
      </c>
      <c r="O3610">
        <v>0</v>
      </c>
      <c r="P3610" t="s">
        <v>466</v>
      </c>
      <c r="Q3610" s="2">
        <v>0.7</v>
      </c>
      <c r="R3610">
        <v>0</v>
      </c>
      <c r="V3610" t="str">
        <f>VLOOKUP(H3610,'[1]팀별 출판사'!A:B,2,0)</f>
        <v>소설1팀</v>
      </c>
      <c r="W3610" s="6">
        <f t="shared" si="112"/>
        <v>0</v>
      </c>
      <c r="X3610" s="6">
        <f t="shared" si="113"/>
        <v>0</v>
      </c>
    </row>
    <row r="3611" spans="1:24" x14ac:dyDescent="0.3">
      <c r="A3611" t="s">
        <v>5069</v>
      </c>
      <c r="B3611" t="s">
        <v>5171</v>
      </c>
      <c r="C3611" t="s">
        <v>23</v>
      </c>
      <c r="D3611" t="s">
        <v>24</v>
      </c>
      <c r="E3611" t="s">
        <v>25</v>
      </c>
      <c r="F3611">
        <v>1</v>
      </c>
      <c r="G3611">
        <v>9791136930491</v>
      </c>
      <c r="H3611" t="s">
        <v>26</v>
      </c>
      <c r="I3611" t="s">
        <v>151</v>
      </c>
      <c r="J3611" t="s">
        <v>46</v>
      </c>
      <c r="K3611" t="s">
        <v>29</v>
      </c>
      <c r="L3611">
        <v>0</v>
      </c>
      <c r="M3611" t="s">
        <v>47</v>
      </c>
      <c r="N3611">
        <v>0</v>
      </c>
      <c r="O3611">
        <v>0</v>
      </c>
      <c r="P3611" t="s">
        <v>48</v>
      </c>
      <c r="Q3611" s="2">
        <v>0.7</v>
      </c>
      <c r="R3611">
        <v>0</v>
      </c>
      <c r="V3611" t="str">
        <f>VLOOKUP(H3611,'[1]팀별 출판사'!A:B,2,0)</f>
        <v>소설1팀</v>
      </c>
      <c r="W3611" s="6">
        <f t="shared" si="112"/>
        <v>0</v>
      </c>
      <c r="X3611" s="6">
        <f t="shared" si="113"/>
        <v>0</v>
      </c>
    </row>
    <row r="3612" spans="1:24" x14ac:dyDescent="0.3">
      <c r="A3612" t="s">
        <v>5069</v>
      </c>
      <c r="B3612" t="s">
        <v>5172</v>
      </c>
      <c r="C3612" t="s">
        <v>23</v>
      </c>
      <c r="D3612" t="s">
        <v>24</v>
      </c>
      <c r="E3612" t="s">
        <v>25</v>
      </c>
      <c r="F3612">
        <v>1</v>
      </c>
      <c r="G3612">
        <v>9791173786044</v>
      </c>
      <c r="H3612" t="s">
        <v>26</v>
      </c>
      <c r="I3612" t="s">
        <v>5173</v>
      </c>
      <c r="J3612" t="s">
        <v>81</v>
      </c>
      <c r="K3612" t="s">
        <v>29</v>
      </c>
      <c r="L3612" s="1">
        <v>3200</v>
      </c>
      <c r="M3612" t="s">
        <v>29</v>
      </c>
      <c r="N3612" s="1">
        <v>3200</v>
      </c>
      <c r="O3612" s="1">
        <v>3200</v>
      </c>
      <c r="P3612" t="s">
        <v>30</v>
      </c>
      <c r="Q3612" s="2">
        <v>0.7</v>
      </c>
      <c r="R3612" s="1">
        <v>2240</v>
      </c>
      <c r="S3612" t="s">
        <v>29</v>
      </c>
      <c r="T3612" s="1">
        <v>2240</v>
      </c>
      <c r="V3612" t="str">
        <f>VLOOKUP(H3612,'[1]팀별 출판사'!A:B,2,0)</f>
        <v>소설1팀</v>
      </c>
      <c r="W3612" s="6">
        <f t="shared" si="112"/>
        <v>0</v>
      </c>
      <c r="X3612" s="6">
        <f t="shared" si="113"/>
        <v>2240</v>
      </c>
    </row>
    <row r="3613" spans="1:24" x14ac:dyDescent="0.3">
      <c r="A3613" t="s">
        <v>5069</v>
      </c>
      <c r="B3613" t="s">
        <v>5174</v>
      </c>
      <c r="C3613" t="s">
        <v>23</v>
      </c>
      <c r="D3613" t="s">
        <v>24</v>
      </c>
      <c r="E3613" t="s">
        <v>25</v>
      </c>
      <c r="F3613">
        <v>1</v>
      </c>
      <c r="G3613">
        <v>9791136942142</v>
      </c>
      <c r="H3613" t="s">
        <v>26</v>
      </c>
      <c r="I3613" t="s">
        <v>180</v>
      </c>
      <c r="J3613" t="s">
        <v>46</v>
      </c>
      <c r="K3613" t="s">
        <v>29</v>
      </c>
      <c r="L3613">
        <v>0</v>
      </c>
      <c r="M3613" t="s">
        <v>47</v>
      </c>
      <c r="N3613">
        <v>0</v>
      </c>
      <c r="O3613">
        <v>0</v>
      </c>
      <c r="P3613" t="s">
        <v>48</v>
      </c>
      <c r="Q3613" s="2">
        <v>0.7</v>
      </c>
      <c r="R3613">
        <v>0</v>
      </c>
      <c r="V3613" t="str">
        <f>VLOOKUP(H3613,'[1]팀별 출판사'!A:B,2,0)</f>
        <v>소설1팀</v>
      </c>
      <c r="W3613" s="6">
        <f t="shared" si="112"/>
        <v>0</v>
      </c>
      <c r="X3613" s="6">
        <f t="shared" si="113"/>
        <v>0</v>
      </c>
    </row>
    <row r="3614" spans="1:24" x14ac:dyDescent="0.3">
      <c r="A3614" t="s">
        <v>5069</v>
      </c>
      <c r="B3614" t="s">
        <v>5175</v>
      </c>
      <c r="C3614" t="s">
        <v>23</v>
      </c>
      <c r="D3614" t="s">
        <v>24</v>
      </c>
      <c r="E3614" t="s">
        <v>25</v>
      </c>
      <c r="F3614">
        <v>1</v>
      </c>
      <c r="G3614">
        <v>9791175301955</v>
      </c>
      <c r="H3614" t="s">
        <v>26</v>
      </c>
      <c r="I3614" t="s">
        <v>591</v>
      </c>
      <c r="J3614" t="s">
        <v>256</v>
      </c>
      <c r="K3614" t="s">
        <v>29</v>
      </c>
      <c r="L3614">
        <v>0</v>
      </c>
      <c r="M3614" t="s">
        <v>70</v>
      </c>
      <c r="N3614">
        <v>0</v>
      </c>
      <c r="O3614">
        <v>0</v>
      </c>
      <c r="P3614" t="s">
        <v>71</v>
      </c>
      <c r="Q3614" s="2">
        <v>0.7</v>
      </c>
      <c r="R3614">
        <v>0</v>
      </c>
      <c r="V3614" t="str">
        <f>VLOOKUP(H3614,'[1]팀별 출판사'!A:B,2,0)</f>
        <v>소설1팀</v>
      </c>
      <c r="W3614" s="6">
        <f t="shared" si="112"/>
        <v>0</v>
      </c>
      <c r="X3614" s="6">
        <f t="shared" si="113"/>
        <v>0</v>
      </c>
    </row>
    <row r="3615" spans="1:24" x14ac:dyDescent="0.3">
      <c r="A3615" t="s">
        <v>5069</v>
      </c>
      <c r="B3615" t="s">
        <v>5176</v>
      </c>
      <c r="C3615" t="s">
        <v>23</v>
      </c>
      <c r="D3615" t="s">
        <v>24</v>
      </c>
      <c r="E3615" t="s">
        <v>25</v>
      </c>
      <c r="F3615">
        <v>1</v>
      </c>
      <c r="G3615">
        <v>9791170107064</v>
      </c>
      <c r="H3615" t="s">
        <v>67</v>
      </c>
      <c r="I3615" t="s">
        <v>901</v>
      </c>
      <c r="J3615" t="s">
        <v>902</v>
      </c>
      <c r="K3615" t="s">
        <v>29</v>
      </c>
      <c r="L3615">
        <v>0</v>
      </c>
      <c r="M3615" t="s">
        <v>933</v>
      </c>
      <c r="N3615">
        <v>0</v>
      </c>
      <c r="O3615">
        <v>0</v>
      </c>
      <c r="P3615" t="s">
        <v>934</v>
      </c>
      <c r="Q3615" s="2">
        <v>0.7</v>
      </c>
      <c r="R3615">
        <v>0</v>
      </c>
      <c r="V3615" t="str">
        <f>VLOOKUP(H3615,'[1]팀별 출판사'!A:B,2,0)</f>
        <v>소설1팀</v>
      </c>
      <c r="W3615" s="6">
        <f t="shared" si="112"/>
        <v>0</v>
      </c>
      <c r="X3615" s="6">
        <f t="shared" si="113"/>
        <v>0</v>
      </c>
    </row>
    <row r="3616" spans="1:24" x14ac:dyDescent="0.3">
      <c r="A3616" t="s">
        <v>5069</v>
      </c>
      <c r="B3616" t="s">
        <v>5177</v>
      </c>
      <c r="C3616" t="s">
        <v>23</v>
      </c>
      <c r="D3616" t="s">
        <v>24</v>
      </c>
      <c r="E3616" t="s">
        <v>25</v>
      </c>
      <c r="F3616">
        <v>1</v>
      </c>
      <c r="G3616">
        <v>9791136942142</v>
      </c>
      <c r="H3616" t="s">
        <v>26</v>
      </c>
      <c r="I3616" t="s">
        <v>180</v>
      </c>
      <c r="J3616" t="s">
        <v>46</v>
      </c>
      <c r="K3616" t="s">
        <v>29</v>
      </c>
      <c r="L3616">
        <v>0</v>
      </c>
      <c r="M3616" t="s">
        <v>47</v>
      </c>
      <c r="N3616">
        <v>0</v>
      </c>
      <c r="O3616">
        <v>0</v>
      </c>
      <c r="P3616" t="s">
        <v>48</v>
      </c>
      <c r="Q3616" s="2">
        <v>0.7</v>
      </c>
      <c r="R3616">
        <v>0</v>
      </c>
      <c r="V3616" t="str">
        <f>VLOOKUP(H3616,'[1]팀별 출판사'!A:B,2,0)</f>
        <v>소설1팀</v>
      </c>
      <c r="W3616" s="6">
        <f t="shared" si="112"/>
        <v>0</v>
      </c>
      <c r="X3616" s="6">
        <f t="shared" si="113"/>
        <v>0</v>
      </c>
    </row>
    <row r="3617" spans="1:24" x14ac:dyDescent="0.3">
      <c r="A3617" t="s">
        <v>5069</v>
      </c>
      <c r="B3617" t="s">
        <v>5178</v>
      </c>
      <c r="C3617" t="s">
        <v>23</v>
      </c>
      <c r="D3617" t="s">
        <v>24</v>
      </c>
      <c r="E3617" t="s">
        <v>25</v>
      </c>
      <c r="F3617">
        <v>1</v>
      </c>
      <c r="G3617">
        <v>9791136927255</v>
      </c>
      <c r="H3617" t="s">
        <v>36</v>
      </c>
      <c r="I3617" t="s">
        <v>90</v>
      </c>
      <c r="J3617" t="s">
        <v>38</v>
      </c>
      <c r="K3617" t="s">
        <v>29</v>
      </c>
      <c r="L3617" s="1">
        <v>3300</v>
      </c>
      <c r="M3617" t="s">
        <v>29</v>
      </c>
      <c r="N3617" s="1">
        <v>3300</v>
      </c>
      <c r="O3617" s="1">
        <v>3300</v>
      </c>
      <c r="P3617" t="s">
        <v>30</v>
      </c>
      <c r="Q3617" s="2">
        <v>0.7</v>
      </c>
      <c r="R3617" s="1">
        <v>2310</v>
      </c>
      <c r="S3617" t="s">
        <v>29</v>
      </c>
      <c r="T3617" s="1">
        <v>2310</v>
      </c>
      <c r="V3617" t="str">
        <f>VLOOKUP(H3617,'[1]팀별 출판사'!A:B,2,0)</f>
        <v>소설2팀</v>
      </c>
      <c r="W3617" s="6">
        <f t="shared" si="112"/>
        <v>0</v>
      </c>
      <c r="X3617" s="6">
        <f t="shared" si="113"/>
        <v>2310</v>
      </c>
    </row>
    <row r="3618" spans="1:24" x14ac:dyDescent="0.3">
      <c r="A3618" t="s">
        <v>5069</v>
      </c>
      <c r="B3618" t="s">
        <v>5179</v>
      </c>
      <c r="C3618" t="s">
        <v>23</v>
      </c>
      <c r="D3618" t="s">
        <v>24</v>
      </c>
      <c r="E3618" t="s">
        <v>25</v>
      </c>
      <c r="F3618">
        <v>1</v>
      </c>
      <c r="G3618">
        <v>9791136930224</v>
      </c>
      <c r="H3618" t="s">
        <v>32</v>
      </c>
      <c r="I3618" t="s">
        <v>172</v>
      </c>
      <c r="J3618" t="s">
        <v>46</v>
      </c>
      <c r="K3618" t="s">
        <v>29</v>
      </c>
      <c r="L3618">
        <v>0</v>
      </c>
      <c r="M3618" t="s">
        <v>47</v>
      </c>
      <c r="N3618">
        <v>0</v>
      </c>
      <c r="O3618">
        <v>0</v>
      </c>
      <c r="P3618" t="s">
        <v>48</v>
      </c>
      <c r="Q3618" s="2">
        <v>0.7</v>
      </c>
      <c r="R3618">
        <v>0</v>
      </c>
      <c r="V3618" t="str">
        <f>VLOOKUP(H3618,'[1]팀별 출판사'!A:B,2,0)</f>
        <v>소설1팀</v>
      </c>
      <c r="W3618" s="6">
        <f t="shared" si="112"/>
        <v>0</v>
      </c>
      <c r="X3618" s="6">
        <f t="shared" si="113"/>
        <v>0</v>
      </c>
    </row>
    <row r="3619" spans="1:24" x14ac:dyDescent="0.3">
      <c r="A3619" t="s">
        <v>5069</v>
      </c>
      <c r="B3619" t="s">
        <v>5180</v>
      </c>
      <c r="C3619" t="s">
        <v>23</v>
      </c>
      <c r="D3619" t="s">
        <v>24</v>
      </c>
      <c r="E3619" t="s">
        <v>25</v>
      </c>
      <c r="F3619">
        <v>1</v>
      </c>
      <c r="G3619">
        <v>9791136930613</v>
      </c>
      <c r="H3619" t="s">
        <v>32</v>
      </c>
      <c r="I3619" t="s">
        <v>57</v>
      </c>
      <c r="J3619" t="s">
        <v>34</v>
      </c>
      <c r="K3619" t="s">
        <v>29</v>
      </c>
      <c r="L3619">
        <v>0</v>
      </c>
      <c r="M3619" t="s">
        <v>47</v>
      </c>
      <c r="N3619">
        <v>0</v>
      </c>
      <c r="O3619">
        <v>0</v>
      </c>
      <c r="P3619" t="s">
        <v>48</v>
      </c>
      <c r="Q3619" s="2">
        <v>0.7</v>
      </c>
      <c r="R3619">
        <v>0</v>
      </c>
      <c r="V3619" t="str">
        <f>VLOOKUP(H3619,'[1]팀별 출판사'!A:B,2,0)</f>
        <v>소설1팀</v>
      </c>
      <c r="W3619" s="6">
        <f t="shared" si="112"/>
        <v>0</v>
      </c>
      <c r="X3619" s="6">
        <f t="shared" si="113"/>
        <v>0</v>
      </c>
    </row>
    <row r="3620" spans="1:24" x14ac:dyDescent="0.3">
      <c r="A3620" t="s">
        <v>5069</v>
      </c>
      <c r="B3620" t="s">
        <v>5181</v>
      </c>
      <c r="C3620" t="s">
        <v>23</v>
      </c>
      <c r="D3620" t="s">
        <v>24</v>
      </c>
      <c r="E3620" t="s">
        <v>25</v>
      </c>
      <c r="F3620">
        <v>1</v>
      </c>
      <c r="G3620">
        <v>9791136942036</v>
      </c>
      <c r="H3620" t="s">
        <v>26</v>
      </c>
      <c r="I3620" t="s">
        <v>1941</v>
      </c>
      <c r="J3620" t="s">
        <v>81</v>
      </c>
      <c r="K3620" t="s">
        <v>29</v>
      </c>
      <c r="L3620">
        <v>0</v>
      </c>
      <c r="M3620" t="s">
        <v>29</v>
      </c>
      <c r="N3620">
        <v>0</v>
      </c>
      <c r="O3620">
        <v>0</v>
      </c>
      <c r="P3620" t="s">
        <v>30</v>
      </c>
      <c r="Q3620" s="2">
        <v>0.7</v>
      </c>
      <c r="R3620">
        <v>0</v>
      </c>
      <c r="V3620" t="str">
        <f>VLOOKUP(H3620,'[1]팀별 출판사'!A:B,2,0)</f>
        <v>소설1팀</v>
      </c>
      <c r="W3620" s="6">
        <f t="shared" si="112"/>
        <v>0</v>
      </c>
      <c r="X3620" s="6">
        <f t="shared" si="113"/>
        <v>0</v>
      </c>
    </row>
    <row r="3621" spans="1:24" x14ac:dyDescent="0.3">
      <c r="A3621" t="s">
        <v>5069</v>
      </c>
      <c r="B3621" t="s">
        <v>5182</v>
      </c>
      <c r="C3621" t="s">
        <v>23</v>
      </c>
      <c r="D3621" t="s">
        <v>24</v>
      </c>
      <c r="E3621" t="s">
        <v>25</v>
      </c>
      <c r="F3621">
        <v>1</v>
      </c>
      <c r="G3621">
        <v>9791173786136</v>
      </c>
      <c r="H3621" t="s">
        <v>79</v>
      </c>
      <c r="I3621" t="s">
        <v>1476</v>
      </c>
      <c r="J3621" t="s">
        <v>81</v>
      </c>
      <c r="K3621" t="s">
        <v>29</v>
      </c>
      <c r="L3621">
        <v>0</v>
      </c>
      <c r="M3621" t="s">
        <v>29</v>
      </c>
      <c r="N3621">
        <v>0</v>
      </c>
      <c r="O3621">
        <v>0</v>
      </c>
      <c r="P3621" t="s">
        <v>30</v>
      </c>
      <c r="Q3621" s="2">
        <v>0.7</v>
      </c>
      <c r="R3621">
        <v>0</v>
      </c>
      <c r="V3621" t="str">
        <f>VLOOKUP(H3621,'[1]팀별 출판사'!A:B,2,0)</f>
        <v>소설1팀</v>
      </c>
      <c r="W3621" s="6">
        <f t="shared" si="112"/>
        <v>0</v>
      </c>
      <c r="X3621" s="6">
        <f t="shared" si="113"/>
        <v>0</v>
      </c>
    </row>
    <row r="3622" spans="1:24" x14ac:dyDescent="0.3">
      <c r="A3622" t="s">
        <v>5069</v>
      </c>
      <c r="B3622" t="s">
        <v>5183</v>
      </c>
      <c r="C3622" t="s">
        <v>23</v>
      </c>
      <c r="D3622" t="s">
        <v>24</v>
      </c>
      <c r="E3622" t="s">
        <v>25</v>
      </c>
      <c r="F3622">
        <v>1</v>
      </c>
      <c r="G3622" t="s">
        <v>1036</v>
      </c>
      <c r="H3622" t="s">
        <v>32</v>
      </c>
      <c r="I3622" t="s">
        <v>1037</v>
      </c>
      <c r="J3622" t="s">
        <v>311</v>
      </c>
      <c r="K3622" t="s">
        <v>29</v>
      </c>
      <c r="L3622">
        <v>0</v>
      </c>
      <c r="M3622" t="s">
        <v>29</v>
      </c>
      <c r="N3622">
        <v>0</v>
      </c>
      <c r="O3622">
        <v>0</v>
      </c>
      <c r="P3622" t="s">
        <v>30</v>
      </c>
      <c r="Q3622" s="2">
        <v>0.7</v>
      </c>
      <c r="R3622">
        <v>0</v>
      </c>
      <c r="V3622" t="str">
        <f>VLOOKUP(H3622,'[1]팀별 출판사'!A:B,2,0)</f>
        <v>소설1팀</v>
      </c>
      <c r="W3622" s="6">
        <f t="shared" si="112"/>
        <v>0</v>
      </c>
      <c r="X3622" s="6">
        <f t="shared" si="113"/>
        <v>0</v>
      </c>
    </row>
    <row r="3623" spans="1:24" x14ac:dyDescent="0.3">
      <c r="A3623" t="s">
        <v>5069</v>
      </c>
      <c r="B3623" t="s">
        <v>5184</v>
      </c>
      <c r="C3623" t="s">
        <v>23</v>
      </c>
      <c r="D3623" t="s">
        <v>24</v>
      </c>
      <c r="E3623" t="s">
        <v>25</v>
      </c>
      <c r="F3623">
        <v>1</v>
      </c>
      <c r="G3623">
        <v>9791136946829</v>
      </c>
      <c r="H3623" t="s">
        <v>26</v>
      </c>
      <c r="I3623" t="s">
        <v>4710</v>
      </c>
      <c r="J3623" t="s">
        <v>28</v>
      </c>
      <c r="K3623" t="s">
        <v>29</v>
      </c>
      <c r="L3623" s="1">
        <v>3200</v>
      </c>
      <c r="M3623" t="s">
        <v>29</v>
      </c>
      <c r="N3623" s="1">
        <v>3200</v>
      </c>
      <c r="O3623" s="1">
        <v>3200</v>
      </c>
      <c r="P3623" t="s">
        <v>30</v>
      </c>
      <c r="Q3623" s="2">
        <v>0.7</v>
      </c>
      <c r="R3623" s="1">
        <v>2240</v>
      </c>
      <c r="S3623" t="s">
        <v>29</v>
      </c>
      <c r="T3623" s="1">
        <v>2240</v>
      </c>
      <c r="V3623" t="str">
        <f>VLOOKUP(H3623,'[1]팀별 출판사'!A:B,2,0)</f>
        <v>소설1팀</v>
      </c>
      <c r="W3623" s="6">
        <f t="shared" si="112"/>
        <v>0</v>
      </c>
      <c r="X3623" s="6">
        <f t="shared" si="113"/>
        <v>2240</v>
      </c>
    </row>
    <row r="3624" spans="1:24" x14ac:dyDescent="0.3">
      <c r="A3624" t="s">
        <v>5069</v>
      </c>
      <c r="B3624" t="s">
        <v>5185</v>
      </c>
      <c r="C3624" t="s">
        <v>23</v>
      </c>
      <c r="D3624" t="s">
        <v>24</v>
      </c>
      <c r="E3624" t="s">
        <v>25</v>
      </c>
      <c r="F3624">
        <v>1</v>
      </c>
      <c r="G3624">
        <v>9791136935496</v>
      </c>
      <c r="H3624" t="s">
        <v>32</v>
      </c>
      <c r="I3624" t="s">
        <v>441</v>
      </c>
      <c r="J3624" t="s">
        <v>442</v>
      </c>
      <c r="K3624" t="s">
        <v>29</v>
      </c>
      <c r="L3624">
        <v>0</v>
      </c>
      <c r="M3624" t="s">
        <v>47</v>
      </c>
      <c r="N3624">
        <v>0</v>
      </c>
      <c r="O3624">
        <v>0</v>
      </c>
      <c r="P3624" t="s">
        <v>48</v>
      </c>
      <c r="Q3624" s="2">
        <v>0.7</v>
      </c>
      <c r="R3624">
        <v>0</v>
      </c>
      <c r="V3624" t="str">
        <f>VLOOKUP(H3624,'[1]팀별 출판사'!A:B,2,0)</f>
        <v>소설1팀</v>
      </c>
      <c r="W3624" s="6">
        <f t="shared" si="112"/>
        <v>0</v>
      </c>
      <c r="X3624" s="6">
        <f t="shared" si="113"/>
        <v>0</v>
      </c>
    </row>
    <row r="3625" spans="1:24" x14ac:dyDescent="0.3">
      <c r="A3625" t="s">
        <v>5069</v>
      </c>
      <c r="B3625" t="s">
        <v>5186</v>
      </c>
      <c r="C3625" t="s">
        <v>23</v>
      </c>
      <c r="D3625" t="s">
        <v>24</v>
      </c>
      <c r="E3625" t="s">
        <v>25</v>
      </c>
      <c r="F3625">
        <v>1</v>
      </c>
      <c r="G3625">
        <v>9791136909398</v>
      </c>
      <c r="H3625" t="s">
        <v>26</v>
      </c>
      <c r="I3625" t="s">
        <v>779</v>
      </c>
      <c r="J3625" t="s">
        <v>588</v>
      </c>
      <c r="K3625" t="s">
        <v>29</v>
      </c>
      <c r="L3625">
        <v>0</v>
      </c>
      <c r="M3625" t="s">
        <v>29</v>
      </c>
      <c r="N3625">
        <v>0</v>
      </c>
      <c r="O3625">
        <v>0</v>
      </c>
      <c r="P3625" t="s">
        <v>30</v>
      </c>
      <c r="Q3625" s="2">
        <v>0.7</v>
      </c>
      <c r="R3625">
        <v>0</v>
      </c>
      <c r="V3625" t="str">
        <f>VLOOKUP(H3625,'[1]팀별 출판사'!A:B,2,0)</f>
        <v>소설1팀</v>
      </c>
      <c r="W3625" s="6">
        <f t="shared" si="112"/>
        <v>0</v>
      </c>
      <c r="X3625" s="6">
        <f t="shared" si="113"/>
        <v>0</v>
      </c>
    </row>
    <row r="3626" spans="1:24" x14ac:dyDescent="0.3">
      <c r="A3626" t="s">
        <v>5069</v>
      </c>
      <c r="B3626" t="s">
        <v>5187</v>
      </c>
      <c r="C3626" t="s">
        <v>23</v>
      </c>
      <c r="D3626" t="s">
        <v>24</v>
      </c>
      <c r="E3626" t="s">
        <v>25</v>
      </c>
      <c r="F3626">
        <v>1</v>
      </c>
      <c r="G3626" t="s">
        <v>4452</v>
      </c>
      <c r="H3626" t="s">
        <v>32</v>
      </c>
      <c r="I3626" t="s">
        <v>4453</v>
      </c>
      <c r="J3626" t="s">
        <v>220</v>
      </c>
      <c r="K3626" t="s">
        <v>29</v>
      </c>
      <c r="L3626">
        <v>0</v>
      </c>
      <c r="M3626" t="s">
        <v>29</v>
      </c>
      <c r="N3626">
        <v>0</v>
      </c>
      <c r="O3626">
        <v>0</v>
      </c>
      <c r="P3626" t="s">
        <v>30</v>
      </c>
      <c r="Q3626" s="2">
        <v>0.7</v>
      </c>
      <c r="R3626">
        <v>0</v>
      </c>
      <c r="V3626" t="str">
        <f>VLOOKUP(H3626,'[1]팀별 출판사'!A:B,2,0)</f>
        <v>소설1팀</v>
      </c>
      <c r="W3626" s="6">
        <f t="shared" si="112"/>
        <v>0</v>
      </c>
      <c r="X3626" s="6">
        <f t="shared" si="113"/>
        <v>0</v>
      </c>
    </row>
    <row r="3627" spans="1:24" x14ac:dyDescent="0.3">
      <c r="A3627" t="s">
        <v>5069</v>
      </c>
      <c r="B3627" t="s">
        <v>5188</v>
      </c>
      <c r="C3627" t="s">
        <v>23</v>
      </c>
      <c r="D3627" t="s">
        <v>24</v>
      </c>
      <c r="E3627" t="s">
        <v>25</v>
      </c>
      <c r="F3627">
        <v>1</v>
      </c>
      <c r="G3627">
        <v>9791136910998</v>
      </c>
      <c r="H3627" t="s">
        <v>26</v>
      </c>
      <c r="I3627" t="s">
        <v>4090</v>
      </c>
      <c r="J3627" t="s">
        <v>160</v>
      </c>
      <c r="K3627" t="s">
        <v>29</v>
      </c>
      <c r="L3627" s="1">
        <v>3200</v>
      </c>
      <c r="M3627" t="s">
        <v>29</v>
      </c>
      <c r="N3627" s="1">
        <v>3200</v>
      </c>
      <c r="O3627" s="1">
        <v>3200</v>
      </c>
      <c r="P3627" t="s">
        <v>30</v>
      </c>
      <c r="Q3627" s="2">
        <v>0.7</v>
      </c>
      <c r="R3627" s="1">
        <v>2240</v>
      </c>
      <c r="S3627" t="s">
        <v>29</v>
      </c>
      <c r="T3627" s="1">
        <v>2240</v>
      </c>
      <c r="V3627" t="str">
        <f>VLOOKUP(H3627,'[1]팀별 출판사'!A:B,2,0)</f>
        <v>소설1팀</v>
      </c>
      <c r="W3627" s="6">
        <f t="shared" si="112"/>
        <v>0</v>
      </c>
      <c r="X3627" s="6">
        <f t="shared" si="113"/>
        <v>2240</v>
      </c>
    </row>
    <row r="3628" spans="1:24" x14ac:dyDescent="0.3">
      <c r="A3628" t="s">
        <v>5069</v>
      </c>
      <c r="B3628" t="s">
        <v>5189</v>
      </c>
      <c r="C3628" t="s">
        <v>23</v>
      </c>
      <c r="D3628" t="s">
        <v>24</v>
      </c>
      <c r="E3628" t="s">
        <v>25</v>
      </c>
      <c r="F3628">
        <v>1</v>
      </c>
      <c r="G3628">
        <v>9791136911612</v>
      </c>
      <c r="H3628" t="s">
        <v>26</v>
      </c>
      <c r="I3628" t="s">
        <v>587</v>
      </c>
      <c r="J3628" t="s">
        <v>588</v>
      </c>
      <c r="K3628" t="s">
        <v>29</v>
      </c>
      <c r="L3628">
        <v>0</v>
      </c>
      <c r="M3628" t="s">
        <v>29</v>
      </c>
      <c r="N3628">
        <v>0</v>
      </c>
      <c r="O3628">
        <v>0</v>
      </c>
      <c r="P3628" t="s">
        <v>30</v>
      </c>
      <c r="Q3628" s="2">
        <v>0.7</v>
      </c>
      <c r="R3628">
        <v>0</v>
      </c>
      <c r="V3628" t="str">
        <f>VLOOKUP(H3628,'[1]팀별 출판사'!A:B,2,0)</f>
        <v>소설1팀</v>
      </c>
      <c r="W3628" s="6">
        <f t="shared" si="112"/>
        <v>0</v>
      </c>
      <c r="X3628" s="6">
        <f t="shared" si="113"/>
        <v>0</v>
      </c>
    </row>
    <row r="3629" spans="1:24" x14ac:dyDescent="0.3">
      <c r="A3629" t="s">
        <v>5069</v>
      </c>
      <c r="B3629" t="s">
        <v>5190</v>
      </c>
      <c r="C3629" t="s">
        <v>23</v>
      </c>
      <c r="D3629" t="s">
        <v>24</v>
      </c>
      <c r="E3629" t="s">
        <v>25</v>
      </c>
      <c r="F3629">
        <v>1</v>
      </c>
      <c r="G3629">
        <v>9791172920111</v>
      </c>
      <c r="H3629" t="s">
        <v>26</v>
      </c>
      <c r="I3629" t="s">
        <v>5191</v>
      </c>
      <c r="J3629" t="s">
        <v>276</v>
      </c>
      <c r="K3629" t="s">
        <v>29</v>
      </c>
      <c r="L3629" s="1">
        <v>3200</v>
      </c>
      <c r="M3629" t="s">
        <v>29</v>
      </c>
      <c r="N3629" s="1">
        <v>3200</v>
      </c>
      <c r="O3629" s="1">
        <v>3200</v>
      </c>
      <c r="P3629" t="s">
        <v>30</v>
      </c>
      <c r="Q3629" s="2">
        <v>0.7</v>
      </c>
      <c r="R3629" s="1">
        <v>2240</v>
      </c>
      <c r="S3629" t="s">
        <v>29</v>
      </c>
      <c r="T3629" s="1">
        <v>2240</v>
      </c>
      <c r="V3629" t="str">
        <f>VLOOKUP(H3629,'[1]팀별 출판사'!A:B,2,0)</f>
        <v>소설1팀</v>
      </c>
      <c r="W3629" s="6">
        <f t="shared" si="112"/>
        <v>0</v>
      </c>
      <c r="X3629" s="6">
        <f t="shared" si="113"/>
        <v>2240</v>
      </c>
    </row>
    <row r="3630" spans="1:24" x14ac:dyDescent="0.3">
      <c r="A3630" t="s">
        <v>5069</v>
      </c>
      <c r="B3630" t="s">
        <v>5192</v>
      </c>
      <c r="C3630" t="s">
        <v>23</v>
      </c>
      <c r="D3630" t="s">
        <v>24</v>
      </c>
      <c r="E3630" t="s">
        <v>25</v>
      </c>
      <c r="F3630">
        <v>1</v>
      </c>
      <c r="G3630">
        <v>9791136927675</v>
      </c>
      <c r="H3630" t="s">
        <v>36</v>
      </c>
      <c r="I3630" t="s">
        <v>2259</v>
      </c>
      <c r="J3630" t="s">
        <v>38</v>
      </c>
      <c r="K3630" t="s">
        <v>29</v>
      </c>
      <c r="L3630" s="1">
        <v>3300</v>
      </c>
      <c r="M3630" t="s">
        <v>29</v>
      </c>
      <c r="N3630" s="1">
        <v>3300</v>
      </c>
      <c r="O3630" s="1">
        <v>3300</v>
      </c>
      <c r="P3630" t="s">
        <v>30</v>
      </c>
      <c r="Q3630" s="2">
        <v>0.7</v>
      </c>
      <c r="R3630" s="1">
        <v>2310</v>
      </c>
      <c r="S3630" t="s">
        <v>29</v>
      </c>
      <c r="T3630" s="1">
        <v>2310</v>
      </c>
      <c r="V3630" t="str">
        <f>VLOOKUP(H3630,'[1]팀별 출판사'!A:B,2,0)</f>
        <v>소설2팀</v>
      </c>
      <c r="W3630" s="6">
        <f t="shared" si="112"/>
        <v>0</v>
      </c>
      <c r="X3630" s="6">
        <f t="shared" si="113"/>
        <v>2310</v>
      </c>
    </row>
    <row r="3631" spans="1:24" x14ac:dyDescent="0.3">
      <c r="A3631" t="s">
        <v>5069</v>
      </c>
      <c r="B3631" t="s">
        <v>5193</v>
      </c>
      <c r="C3631" t="s">
        <v>23</v>
      </c>
      <c r="D3631" t="s">
        <v>24</v>
      </c>
      <c r="E3631" t="s">
        <v>25</v>
      </c>
      <c r="F3631">
        <v>1</v>
      </c>
      <c r="G3631">
        <v>9791172921033</v>
      </c>
      <c r="H3631" t="s">
        <v>79</v>
      </c>
      <c r="I3631" t="s">
        <v>738</v>
      </c>
      <c r="J3631" t="s">
        <v>46</v>
      </c>
      <c r="K3631" t="s">
        <v>29</v>
      </c>
      <c r="L3631">
        <v>0</v>
      </c>
      <c r="M3631" t="s">
        <v>47</v>
      </c>
      <c r="N3631">
        <v>0</v>
      </c>
      <c r="O3631">
        <v>0</v>
      </c>
      <c r="P3631" t="s">
        <v>48</v>
      </c>
      <c r="Q3631" s="2">
        <v>0.7</v>
      </c>
      <c r="R3631">
        <v>0</v>
      </c>
      <c r="V3631" t="str">
        <f>VLOOKUP(H3631,'[1]팀별 출판사'!A:B,2,0)</f>
        <v>소설1팀</v>
      </c>
      <c r="W3631" s="6">
        <f t="shared" si="112"/>
        <v>0</v>
      </c>
      <c r="X3631" s="6">
        <f t="shared" si="113"/>
        <v>0</v>
      </c>
    </row>
    <row r="3632" spans="1:24" x14ac:dyDescent="0.3">
      <c r="A3632" t="s">
        <v>5069</v>
      </c>
      <c r="B3632" t="s">
        <v>5194</v>
      </c>
      <c r="C3632" t="s">
        <v>23</v>
      </c>
      <c r="D3632" t="s">
        <v>24</v>
      </c>
      <c r="E3632" t="s">
        <v>25</v>
      </c>
      <c r="F3632">
        <v>1</v>
      </c>
      <c r="G3632">
        <v>9791136930491</v>
      </c>
      <c r="H3632" t="s">
        <v>26</v>
      </c>
      <c r="I3632" t="s">
        <v>151</v>
      </c>
      <c r="J3632" t="s">
        <v>46</v>
      </c>
      <c r="K3632" t="s">
        <v>29</v>
      </c>
      <c r="L3632">
        <v>0</v>
      </c>
      <c r="M3632" t="s">
        <v>47</v>
      </c>
      <c r="N3632">
        <v>0</v>
      </c>
      <c r="O3632">
        <v>0</v>
      </c>
      <c r="P3632" t="s">
        <v>48</v>
      </c>
      <c r="Q3632" s="2">
        <v>0.7</v>
      </c>
      <c r="R3632">
        <v>0</v>
      </c>
      <c r="V3632" t="str">
        <f>VLOOKUP(H3632,'[1]팀별 출판사'!A:B,2,0)</f>
        <v>소설1팀</v>
      </c>
      <c r="W3632" s="6">
        <f t="shared" si="112"/>
        <v>0</v>
      </c>
      <c r="X3632" s="6">
        <f t="shared" si="113"/>
        <v>0</v>
      </c>
    </row>
    <row r="3633" spans="1:24" x14ac:dyDescent="0.3">
      <c r="A3633" t="s">
        <v>5069</v>
      </c>
      <c r="B3633" t="s">
        <v>5195</v>
      </c>
      <c r="C3633" t="s">
        <v>23</v>
      </c>
      <c r="D3633" t="s">
        <v>24</v>
      </c>
      <c r="E3633" t="s">
        <v>25</v>
      </c>
      <c r="F3633">
        <v>1</v>
      </c>
      <c r="G3633">
        <v>9791170101468</v>
      </c>
      <c r="H3633" t="s">
        <v>67</v>
      </c>
      <c r="I3633" t="s">
        <v>404</v>
      </c>
      <c r="J3633" t="s">
        <v>405</v>
      </c>
      <c r="K3633" t="s">
        <v>29</v>
      </c>
      <c r="L3633">
        <v>0</v>
      </c>
      <c r="M3633" t="s">
        <v>29</v>
      </c>
      <c r="N3633">
        <v>0</v>
      </c>
      <c r="O3633">
        <v>0</v>
      </c>
      <c r="P3633" t="s">
        <v>30</v>
      </c>
      <c r="Q3633" s="2">
        <v>0.7</v>
      </c>
      <c r="R3633">
        <v>0</v>
      </c>
      <c r="V3633" t="str">
        <f>VLOOKUP(H3633,'[1]팀별 출판사'!A:B,2,0)</f>
        <v>소설1팀</v>
      </c>
      <c r="W3633" s="6">
        <f t="shared" si="112"/>
        <v>0</v>
      </c>
      <c r="X3633" s="6">
        <f t="shared" si="113"/>
        <v>0</v>
      </c>
    </row>
    <row r="3634" spans="1:24" x14ac:dyDescent="0.3">
      <c r="A3634" t="s">
        <v>5069</v>
      </c>
      <c r="B3634" t="s">
        <v>5196</v>
      </c>
      <c r="C3634" t="s">
        <v>23</v>
      </c>
      <c r="D3634" t="s">
        <v>24</v>
      </c>
      <c r="E3634" t="s">
        <v>25</v>
      </c>
      <c r="F3634">
        <v>1</v>
      </c>
      <c r="G3634">
        <v>9791133167258</v>
      </c>
      <c r="H3634" t="s">
        <v>32</v>
      </c>
      <c r="I3634" t="s">
        <v>1977</v>
      </c>
      <c r="J3634" t="s">
        <v>160</v>
      </c>
      <c r="K3634" t="s">
        <v>29</v>
      </c>
      <c r="L3634" s="1">
        <v>2500</v>
      </c>
      <c r="M3634" t="s">
        <v>29</v>
      </c>
      <c r="N3634" s="1">
        <v>2500</v>
      </c>
      <c r="O3634" s="1">
        <v>2500</v>
      </c>
      <c r="P3634" t="s">
        <v>30</v>
      </c>
      <c r="Q3634" s="2">
        <v>0.7</v>
      </c>
      <c r="R3634" s="1">
        <v>1750</v>
      </c>
      <c r="S3634" t="s">
        <v>29</v>
      </c>
      <c r="T3634" s="1">
        <v>1750</v>
      </c>
      <c r="V3634" t="str">
        <f>VLOOKUP(H3634,'[1]팀별 출판사'!A:B,2,0)</f>
        <v>소설1팀</v>
      </c>
      <c r="W3634" s="6">
        <f t="shared" si="112"/>
        <v>0</v>
      </c>
      <c r="X3634" s="6">
        <f t="shared" si="113"/>
        <v>1750</v>
      </c>
    </row>
    <row r="3635" spans="1:24" x14ac:dyDescent="0.3">
      <c r="A3635" t="s">
        <v>5069</v>
      </c>
      <c r="B3635" t="s">
        <v>5197</v>
      </c>
      <c r="C3635" t="s">
        <v>23</v>
      </c>
      <c r="D3635" t="s">
        <v>24</v>
      </c>
      <c r="E3635" t="s">
        <v>25</v>
      </c>
      <c r="F3635">
        <v>1</v>
      </c>
      <c r="G3635">
        <v>9791157539727</v>
      </c>
      <c r="H3635" t="s">
        <v>32</v>
      </c>
      <c r="I3635" t="s">
        <v>3752</v>
      </c>
      <c r="J3635" t="s">
        <v>88</v>
      </c>
      <c r="K3635" t="s">
        <v>29</v>
      </c>
      <c r="L3635" s="1">
        <v>3200</v>
      </c>
      <c r="M3635" t="s">
        <v>29</v>
      </c>
      <c r="N3635" s="1">
        <v>3200</v>
      </c>
      <c r="O3635" s="1">
        <v>3200</v>
      </c>
      <c r="P3635" t="s">
        <v>30</v>
      </c>
      <c r="Q3635" s="2">
        <v>0.7</v>
      </c>
      <c r="R3635" s="1">
        <v>2240</v>
      </c>
      <c r="S3635" t="s">
        <v>29</v>
      </c>
      <c r="T3635" s="1">
        <v>2240</v>
      </c>
      <c r="V3635" t="str">
        <f>VLOOKUP(H3635,'[1]팀별 출판사'!A:B,2,0)</f>
        <v>소설1팀</v>
      </c>
      <c r="W3635" s="6">
        <f t="shared" si="112"/>
        <v>0</v>
      </c>
      <c r="X3635" s="6">
        <f t="shared" si="113"/>
        <v>2240</v>
      </c>
    </row>
    <row r="3636" spans="1:24" x14ac:dyDescent="0.3">
      <c r="A3636" t="s">
        <v>5069</v>
      </c>
      <c r="B3636" t="s">
        <v>5198</v>
      </c>
      <c r="C3636" t="s">
        <v>23</v>
      </c>
      <c r="D3636" t="s">
        <v>24</v>
      </c>
      <c r="E3636" t="s">
        <v>25</v>
      </c>
      <c r="F3636">
        <v>1</v>
      </c>
      <c r="G3636">
        <v>9791136930613</v>
      </c>
      <c r="H3636" t="s">
        <v>32</v>
      </c>
      <c r="I3636" t="s">
        <v>57</v>
      </c>
      <c r="J3636" t="s">
        <v>34</v>
      </c>
      <c r="K3636" t="s">
        <v>29</v>
      </c>
      <c r="L3636">
        <v>0</v>
      </c>
      <c r="M3636" t="s">
        <v>47</v>
      </c>
      <c r="N3636">
        <v>0</v>
      </c>
      <c r="O3636">
        <v>0</v>
      </c>
      <c r="P3636" t="s">
        <v>48</v>
      </c>
      <c r="Q3636" s="2">
        <v>0.7</v>
      </c>
      <c r="R3636">
        <v>0</v>
      </c>
      <c r="V3636" t="str">
        <f>VLOOKUP(H3636,'[1]팀별 출판사'!A:B,2,0)</f>
        <v>소설1팀</v>
      </c>
      <c r="W3636" s="6">
        <f t="shared" si="112"/>
        <v>0</v>
      </c>
      <c r="X3636" s="6">
        <f t="shared" si="113"/>
        <v>0</v>
      </c>
    </row>
    <row r="3637" spans="1:24" x14ac:dyDescent="0.3">
      <c r="A3637" t="s">
        <v>5069</v>
      </c>
      <c r="B3637" t="s">
        <v>5199</v>
      </c>
      <c r="C3637" t="s">
        <v>23</v>
      </c>
      <c r="D3637" t="s">
        <v>24</v>
      </c>
      <c r="E3637" t="s">
        <v>25</v>
      </c>
      <c r="F3637">
        <v>1</v>
      </c>
      <c r="G3637">
        <v>9791173786051</v>
      </c>
      <c r="H3637" t="s">
        <v>26</v>
      </c>
      <c r="I3637" t="s">
        <v>5200</v>
      </c>
      <c r="J3637" t="s">
        <v>81</v>
      </c>
      <c r="K3637" t="s">
        <v>29</v>
      </c>
      <c r="L3637" s="1">
        <v>3200</v>
      </c>
      <c r="M3637" t="s">
        <v>29</v>
      </c>
      <c r="N3637" s="1">
        <v>3200</v>
      </c>
      <c r="O3637" s="1">
        <v>3200</v>
      </c>
      <c r="P3637" t="s">
        <v>30</v>
      </c>
      <c r="Q3637" s="2">
        <v>0.7</v>
      </c>
      <c r="R3637" s="1">
        <v>2240</v>
      </c>
      <c r="S3637" t="s">
        <v>29</v>
      </c>
      <c r="T3637" s="1">
        <v>2240</v>
      </c>
      <c r="V3637" t="str">
        <f>VLOOKUP(H3637,'[1]팀별 출판사'!A:B,2,0)</f>
        <v>소설1팀</v>
      </c>
      <c r="W3637" s="6">
        <f t="shared" si="112"/>
        <v>0</v>
      </c>
      <c r="X3637" s="6">
        <f t="shared" si="113"/>
        <v>2240</v>
      </c>
    </row>
    <row r="3638" spans="1:24" x14ac:dyDescent="0.3">
      <c r="A3638" t="s">
        <v>5069</v>
      </c>
      <c r="B3638" t="s">
        <v>5201</v>
      </c>
      <c r="C3638" t="s">
        <v>23</v>
      </c>
      <c r="D3638" t="s">
        <v>24</v>
      </c>
      <c r="E3638" t="s">
        <v>25</v>
      </c>
      <c r="F3638">
        <v>1</v>
      </c>
      <c r="G3638">
        <v>9791170105985</v>
      </c>
      <c r="H3638" t="s">
        <v>67</v>
      </c>
      <c r="I3638" t="s">
        <v>2420</v>
      </c>
      <c r="J3638" t="s">
        <v>2421</v>
      </c>
      <c r="K3638" t="s">
        <v>29</v>
      </c>
      <c r="L3638">
        <v>0</v>
      </c>
      <c r="M3638" t="s">
        <v>193</v>
      </c>
      <c r="N3638">
        <v>0</v>
      </c>
      <c r="O3638">
        <v>0</v>
      </c>
      <c r="P3638" t="s">
        <v>194</v>
      </c>
      <c r="Q3638" s="2">
        <v>0.7</v>
      </c>
      <c r="R3638">
        <v>0</v>
      </c>
      <c r="V3638" t="str">
        <f>VLOOKUP(H3638,'[1]팀별 출판사'!A:B,2,0)</f>
        <v>소설1팀</v>
      </c>
      <c r="W3638" s="6">
        <f t="shared" si="112"/>
        <v>0</v>
      </c>
      <c r="X3638" s="6">
        <f t="shared" si="113"/>
        <v>0</v>
      </c>
    </row>
    <row r="3639" spans="1:24" x14ac:dyDescent="0.3">
      <c r="A3639" t="s">
        <v>5069</v>
      </c>
      <c r="B3639" t="s">
        <v>5202</v>
      </c>
      <c r="C3639" t="s">
        <v>23</v>
      </c>
      <c r="D3639" t="s">
        <v>24</v>
      </c>
      <c r="E3639" t="s">
        <v>25</v>
      </c>
      <c r="F3639">
        <v>1</v>
      </c>
      <c r="G3639">
        <v>9791133107766</v>
      </c>
      <c r="H3639" t="s">
        <v>32</v>
      </c>
      <c r="I3639" t="s">
        <v>3737</v>
      </c>
      <c r="J3639" t="s">
        <v>51</v>
      </c>
      <c r="K3639" t="s">
        <v>29</v>
      </c>
      <c r="L3639">
        <v>0</v>
      </c>
      <c r="M3639" t="s">
        <v>29</v>
      </c>
      <c r="N3639">
        <v>0</v>
      </c>
      <c r="O3639">
        <v>0</v>
      </c>
      <c r="P3639" t="s">
        <v>30</v>
      </c>
      <c r="Q3639" s="2">
        <v>0.7</v>
      </c>
      <c r="R3639">
        <v>0</v>
      </c>
      <c r="V3639" t="str">
        <f>VLOOKUP(H3639,'[1]팀별 출판사'!A:B,2,0)</f>
        <v>소설1팀</v>
      </c>
      <c r="W3639" s="6">
        <f t="shared" si="112"/>
        <v>0</v>
      </c>
      <c r="X3639" s="6">
        <f t="shared" si="113"/>
        <v>0</v>
      </c>
    </row>
    <row r="3640" spans="1:24" x14ac:dyDescent="0.3">
      <c r="A3640" t="s">
        <v>5069</v>
      </c>
      <c r="B3640" t="s">
        <v>5203</v>
      </c>
      <c r="C3640" t="s">
        <v>23</v>
      </c>
      <c r="D3640" t="s">
        <v>24</v>
      </c>
      <c r="E3640" t="s">
        <v>25</v>
      </c>
      <c r="F3640">
        <v>1</v>
      </c>
      <c r="G3640">
        <v>9791133102662</v>
      </c>
      <c r="H3640" t="s">
        <v>32</v>
      </c>
      <c r="I3640" t="s">
        <v>675</v>
      </c>
      <c r="J3640" t="s">
        <v>51</v>
      </c>
      <c r="K3640" t="s">
        <v>29</v>
      </c>
      <c r="L3640">
        <v>0</v>
      </c>
      <c r="M3640" t="s">
        <v>29</v>
      </c>
      <c r="N3640">
        <v>0</v>
      </c>
      <c r="O3640">
        <v>0</v>
      </c>
      <c r="P3640" t="s">
        <v>30</v>
      </c>
      <c r="Q3640" s="2">
        <v>0.7</v>
      </c>
      <c r="R3640">
        <v>0</v>
      </c>
      <c r="V3640" t="str">
        <f>VLOOKUP(H3640,'[1]팀별 출판사'!A:B,2,0)</f>
        <v>소설1팀</v>
      </c>
      <c r="W3640" s="6">
        <f t="shared" si="112"/>
        <v>0</v>
      </c>
      <c r="X3640" s="6">
        <f t="shared" si="113"/>
        <v>0</v>
      </c>
    </row>
    <row r="3641" spans="1:24" x14ac:dyDescent="0.3">
      <c r="A3641" t="s">
        <v>5069</v>
      </c>
      <c r="B3641" t="s">
        <v>5204</v>
      </c>
      <c r="C3641" t="s">
        <v>23</v>
      </c>
      <c r="D3641" t="s">
        <v>24</v>
      </c>
      <c r="E3641" t="s">
        <v>25</v>
      </c>
      <c r="F3641">
        <v>1</v>
      </c>
      <c r="G3641">
        <v>9791133102945</v>
      </c>
      <c r="H3641" t="s">
        <v>32</v>
      </c>
      <c r="I3641" t="s">
        <v>5205</v>
      </c>
      <c r="J3641" t="s">
        <v>51</v>
      </c>
      <c r="K3641" t="s">
        <v>29</v>
      </c>
      <c r="L3641">
        <v>0</v>
      </c>
      <c r="M3641" t="s">
        <v>29</v>
      </c>
      <c r="N3641">
        <v>0</v>
      </c>
      <c r="O3641">
        <v>0</v>
      </c>
      <c r="P3641" t="s">
        <v>30</v>
      </c>
      <c r="Q3641" s="2">
        <v>0.7</v>
      </c>
      <c r="R3641">
        <v>0</v>
      </c>
      <c r="V3641" t="str">
        <f>VLOOKUP(H3641,'[1]팀별 출판사'!A:B,2,0)</f>
        <v>소설1팀</v>
      </c>
      <c r="W3641" s="6">
        <f t="shared" si="112"/>
        <v>0</v>
      </c>
      <c r="X3641" s="6">
        <f t="shared" si="113"/>
        <v>0</v>
      </c>
    </row>
    <row r="3642" spans="1:24" x14ac:dyDescent="0.3">
      <c r="A3642" t="s">
        <v>5069</v>
      </c>
      <c r="B3642" t="s">
        <v>5206</v>
      </c>
      <c r="C3642" t="s">
        <v>23</v>
      </c>
      <c r="D3642" t="s">
        <v>24</v>
      </c>
      <c r="E3642" t="s">
        <v>25</v>
      </c>
      <c r="F3642">
        <v>1</v>
      </c>
      <c r="G3642">
        <v>9791173786143</v>
      </c>
      <c r="H3642" t="s">
        <v>79</v>
      </c>
      <c r="I3642" t="s">
        <v>4374</v>
      </c>
      <c r="J3642" t="s">
        <v>81</v>
      </c>
      <c r="K3642" t="s">
        <v>29</v>
      </c>
      <c r="L3642" s="1">
        <v>3200</v>
      </c>
      <c r="M3642" t="s">
        <v>29</v>
      </c>
      <c r="N3642" s="1">
        <v>3200</v>
      </c>
      <c r="O3642" s="1">
        <v>3200</v>
      </c>
      <c r="P3642" t="s">
        <v>30</v>
      </c>
      <c r="Q3642" s="2">
        <v>0.7</v>
      </c>
      <c r="R3642" s="1">
        <v>2240</v>
      </c>
      <c r="S3642" t="s">
        <v>29</v>
      </c>
      <c r="T3642" s="1">
        <v>2240</v>
      </c>
      <c r="V3642" t="str">
        <f>VLOOKUP(H3642,'[1]팀별 출판사'!A:B,2,0)</f>
        <v>소설1팀</v>
      </c>
      <c r="W3642" s="6">
        <f t="shared" si="112"/>
        <v>0</v>
      </c>
      <c r="X3642" s="6">
        <f t="shared" si="113"/>
        <v>2240</v>
      </c>
    </row>
    <row r="3643" spans="1:24" x14ac:dyDescent="0.3">
      <c r="A3643" t="s">
        <v>5069</v>
      </c>
      <c r="B3643" t="s">
        <v>5207</v>
      </c>
      <c r="C3643" t="s">
        <v>23</v>
      </c>
      <c r="D3643" t="s">
        <v>24</v>
      </c>
      <c r="E3643" t="s">
        <v>25</v>
      </c>
      <c r="F3643">
        <v>1</v>
      </c>
      <c r="G3643">
        <v>9791170106951</v>
      </c>
      <c r="H3643" t="s">
        <v>67</v>
      </c>
      <c r="I3643" t="s">
        <v>5208</v>
      </c>
      <c r="J3643" t="s">
        <v>2583</v>
      </c>
      <c r="K3643" t="s">
        <v>29</v>
      </c>
      <c r="L3643" s="1">
        <v>2500</v>
      </c>
      <c r="M3643" t="s">
        <v>29</v>
      </c>
      <c r="N3643" s="1">
        <v>2500</v>
      </c>
      <c r="O3643" s="1">
        <v>2500</v>
      </c>
      <c r="P3643" t="s">
        <v>30</v>
      </c>
      <c r="Q3643" s="2">
        <v>0.7</v>
      </c>
      <c r="R3643" s="1">
        <v>1750</v>
      </c>
      <c r="S3643" t="s">
        <v>29</v>
      </c>
      <c r="T3643" s="1">
        <v>1750</v>
      </c>
      <c r="V3643" t="str">
        <f>VLOOKUP(H3643,'[1]팀별 출판사'!A:B,2,0)</f>
        <v>소설1팀</v>
      </c>
      <c r="W3643" s="6">
        <f t="shared" si="112"/>
        <v>0</v>
      </c>
      <c r="X3643" s="6">
        <f t="shared" si="113"/>
        <v>1750</v>
      </c>
    </row>
    <row r="3644" spans="1:24" x14ac:dyDescent="0.3">
      <c r="A3644" t="s">
        <v>5069</v>
      </c>
      <c r="B3644" t="s">
        <v>5209</v>
      </c>
      <c r="C3644" t="s">
        <v>23</v>
      </c>
      <c r="D3644" t="s">
        <v>24</v>
      </c>
      <c r="E3644" t="s">
        <v>25</v>
      </c>
      <c r="F3644">
        <v>1</v>
      </c>
      <c r="G3644">
        <v>9791172927950</v>
      </c>
      <c r="H3644" t="s">
        <v>79</v>
      </c>
      <c r="I3644" t="s">
        <v>4441</v>
      </c>
      <c r="J3644" t="s">
        <v>81</v>
      </c>
      <c r="K3644" t="s">
        <v>29</v>
      </c>
      <c r="L3644" s="1">
        <v>3200</v>
      </c>
      <c r="M3644" t="s">
        <v>29</v>
      </c>
      <c r="N3644" s="1">
        <v>3200</v>
      </c>
      <c r="O3644" s="1">
        <v>3200</v>
      </c>
      <c r="P3644" t="s">
        <v>30</v>
      </c>
      <c r="Q3644" s="2">
        <v>0.7</v>
      </c>
      <c r="R3644" s="1">
        <v>2240</v>
      </c>
      <c r="S3644" t="s">
        <v>29</v>
      </c>
      <c r="T3644" s="1">
        <v>2240</v>
      </c>
      <c r="V3644" t="str">
        <f>VLOOKUP(H3644,'[1]팀별 출판사'!A:B,2,0)</f>
        <v>소설1팀</v>
      </c>
      <c r="W3644" s="6">
        <f t="shared" si="112"/>
        <v>0</v>
      </c>
      <c r="X3644" s="6">
        <f t="shared" si="113"/>
        <v>2240</v>
      </c>
    </row>
    <row r="3645" spans="1:24" x14ac:dyDescent="0.3">
      <c r="A3645" t="s">
        <v>5069</v>
      </c>
      <c r="B3645" t="s">
        <v>5210</v>
      </c>
      <c r="C3645" t="s">
        <v>23</v>
      </c>
      <c r="D3645" t="s">
        <v>24</v>
      </c>
      <c r="E3645" t="s">
        <v>25</v>
      </c>
      <c r="F3645">
        <v>1</v>
      </c>
      <c r="G3645">
        <v>9791172927554</v>
      </c>
      <c r="H3645" t="s">
        <v>79</v>
      </c>
      <c r="I3645" t="s">
        <v>5211</v>
      </c>
      <c r="J3645" t="s">
        <v>571</v>
      </c>
      <c r="K3645" t="s">
        <v>29</v>
      </c>
      <c r="L3645" s="1">
        <v>3200</v>
      </c>
      <c r="M3645" t="s">
        <v>29</v>
      </c>
      <c r="N3645" s="1">
        <v>3200</v>
      </c>
      <c r="O3645" s="1">
        <v>3200</v>
      </c>
      <c r="P3645" t="s">
        <v>30</v>
      </c>
      <c r="Q3645" s="2">
        <v>0.7</v>
      </c>
      <c r="R3645" s="1">
        <v>2240</v>
      </c>
      <c r="S3645" t="s">
        <v>29</v>
      </c>
      <c r="T3645" s="1">
        <v>2240</v>
      </c>
      <c r="V3645" t="str">
        <f>VLOOKUP(H3645,'[1]팀별 출판사'!A:B,2,0)</f>
        <v>소설1팀</v>
      </c>
      <c r="W3645" s="6">
        <f t="shared" si="112"/>
        <v>0</v>
      </c>
      <c r="X3645" s="6">
        <f t="shared" si="113"/>
        <v>2240</v>
      </c>
    </row>
    <row r="3646" spans="1:24" x14ac:dyDescent="0.3">
      <c r="A3646" t="s">
        <v>5069</v>
      </c>
      <c r="B3646" t="s">
        <v>5212</v>
      </c>
      <c r="C3646" t="s">
        <v>23</v>
      </c>
      <c r="D3646" t="s">
        <v>24</v>
      </c>
      <c r="E3646" t="s">
        <v>25</v>
      </c>
      <c r="F3646">
        <v>1</v>
      </c>
      <c r="G3646">
        <v>9791157539727</v>
      </c>
      <c r="H3646" t="s">
        <v>32</v>
      </c>
      <c r="I3646" t="s">
        <v>3752</v>
      </c>
      <c r="J3646" t="s">
        <v>88</v>
      </c>
      <c r="K3646" t="s">
        <v>29</v>
      </c>
      <c r="L3646" s="1">
        <v>3200</v>
      </c>
      <c r="M3646" t="s">
        <v>29</v>
      </c>
      <c r="N3646" s="1">
        <v>3200</v>
      </c>
      <c r="O3646" s="1">
        <v>3200</v>
      </c>
      <c r="P3646" t="s">
        <v>30</v>
      </c>
      <c r="Q3646" s="2">
        <v>0.7</v>
      </c>
      <c r="R3646" s="1">
        <v>2240</v>
      </c>
      <c r="S3646" t="s">
        <v>29</v>
      </c>
      <c r="T3646" s="1">
        <v>2240</v>
      </c>
      <c r="V3646" t="str">
        <f>VLOOKUP(H3646,'[1]팀별 출판사'!A:B,2,0)</f>
        <v>소설1팀</v>
      </c>
      <c r="W3646" s="6">
        <f t="shared" si="112"/>
        <v>0</v>
      </c>
      <c r="X3646" s="6">
        <f t="shared" si="113"/>
        <v>2240</v>
      </c>
    </row>
    <row r="3647" spans="1:24" x14ac:dyDescent="0.3">
      <c r="A3647" t="s">
        <v>5069</v>
      </c>
      <c r="B3647" t="s">
        <v>5213</v>
      </c>
      <c r="C3647" t="s">
        <v>23</v>
      </c>
      <c r="D3647" t="s">
        <v>24</v>
      </c>
      <c r="E3647" t="s">
        <v>25</v>
      </c>
      <c r="F3647">
        <v>1</v>
      </c>
      <c r="G3647">
        <v>9791133152360</v>
      </c>
      <c r="H3647" t="s">
        <v>32</v>
      </c>
      <c r="I3647" t="s">
        <v>2961</v>
      </c>
      <c r="J3647" t="s">
        <v>1153</v>
      </c>
      <c r="K3647" t="s">
        <v>29</v>
      </c>
      <c r="L3647">
        <v>0</v>
      </c>
      <c r="M3647" t="s">
        <v>886</v>
      </c>
      <c r="N3647">
        <v>0</v>
      </c>
      <c r="O3647">
        <v>0</v>
      </c>
      <c r="P3647" t="s">
        <v>887</v>
      </c>
      <c r="Q3647" s="2">
        <v>0.7</v>
      </c>
      <c r="R3647">
        <v>0</v>
      </c>
      <c r="V3647" t="str">
        <f>VLOOKUP(H3647,'[1]팀별 출판사'!A:B,2,0)</f>
        <v>소설1팀</v>
      </c>
      <c r="W3647" s="6">
        <f t="shared" si="112"/>
        <v>0</v>
      </c>
      <c r="X3647" s="6">
        <f t="shared" si="113"/>
        <v>0</v>
      </c>
    </row>
    <row r="3648" spans="1:24" x14ac:dyDescent="0.3">
      <c r="A3648" t="s">
        <v>5069</v>
      </c>
      <c r="B3648" t="s">
        <v>5214</v>
      </c>
      <c r="C3648" t="s">
        <v>23</v>
      </c>
      <c r="D3648" t="s">
        <v>24</v>
      </c>
      <c r="E3648" t="s">
        <v>25</v>
      </c>
      <c r="F3648">
        <v>1</v>
      </c>
      <c r="G3648">
        <v>9791133143818</v>
      </c>
      <c r="H3648" t="s">
        <v>32</v>
      </c>
      <c r="I3648" t="s">
        <v>3818</v>
      </c>
      <c r="J3648" t="s">
        <v>88</v>
      </c>
      <c r="K3648" t="s">
        <v>29</v>
      </c>
      <c r="L3648" s="1">
        <v>3200</v>
      </c>
      <c r="M3648" t="s">
        <v>29</v>
      </c>
      <c r="N3648" s="1">
        <v>3200</v>
      </c>
      <c r="O3648" s="1">
        <v>3200</v>
      </c>
      <c r="P3648" t="s">
        <v>30</v>
      </c>
      <c r="Q3648" s="2">
        <v>0.7</v>
      </c>
      <c r="R3648" s="1">
        <v>2240</v>
      </c>
      <c r="S3648" t="s">
        <v>29</v>
      </c>
      <c r="T3648" s="1">
        <v>2240</v>
      </c>
      <c r="V3648" t="str">
        <f>VLOOKUP(H3648,'[1]팀별 출판사'!A:B,2,0)</f>
        <v>소설1팀</v>
      </c>
      <c r="W3648" s="6">
        <f t="shared" si="112"/>
        <v>0</v>
      </c>
      <c r="X3648" s="6">
        <f t="shared" si="113"/>
        <v>2240</v>
      </c>
    </row>
    <row r="3649" spans="1:24" x14ac:dyDescent="0.3">
      <c r="A3649" t="s">
        <v>5069</v>
      </c>
      <c r="B3649" t="s">
        <v>5215</v>
      </c>
      <c r="C3649" t="s">
        <v>23</v>
      </c>
      <c r="D3649" t="s">
        <v>24</v>
      </c>
      <c r="E3649" t="s">
        <v>25</v>
      </c>
      <c r="F3649">
        <v>1</v>
      </c>
      <c r="G3649">
        <v>9791133171347</v>
      </c>
      <c r="H3649" t="s">
        <v>26</v>
      </c>
      <c r="I3649" t="s">
        <v>2303</v>
      </c>
      <c r="J3649" t="s">
        <v>51</v>
      </c>
      <c r="K3649" t="s">
        <v>29</v>
      </c>
      <c r="L3649">
        <v>0</v>
      </c>
      <c r="M3649" t="s">
        <v>29</v>
      </c>
      <c r="N3649">
        <v>0</v>
      </c>
      <c r="O3649">
        <v>0</v>
      </c>
      <c r="P3649" t="s">
        <v>30</v>
      </c>
      <c r="Q3649" s="2">
        <v>0.7</v>
      </c>
      <c r="R3649">
        <v>0</v>
      </c>
      <c r="V3649" t="str">
        <f>VLOOKUP(H3649,'[1]팀별 출판사'!A:B,2,0)</f>
        <v>소설1팀</v>
      </c>
      <c r="W3649" s="6">
        <f t="shared" si="112"/>
        <v>0</v>
      </c>
      <c r="X3649" s="6">
        <f t="shared" si="113"/>
        <v>0</v>
      </c>
    </row>
    <row r="3650" spans="1:24" x14ac:dyDescent="0.3">
      <c r="A3650" t="s">
        <v>5069</v>
      </c>
      <c r="B3650" t="s">
        <v>5216</v>
      </c>
      <c r="C3650" t="s">
        <v>23</v>
      </c>
      <c r="D3650" t="s">
        <v>24</v>
      </c>
      <c r="E3650" t="s">
        <v>25</v>
      </c>
      <c r="F3650">
        <v>1</v>
      </c>
      <c r="G3650">
        <v>9791136942142</v>
      </c>
      <c r="H3650" t="s">
        <v>26</v>
      </c>
      <c r="I3650" t="s">
        <v>180</v>
      </c>
      <c r="J3650" t="s">
        <v>46</v>
      </c>
      <c r="K3650" t="s">
        <v>29</v>
      </c>
      <c r="L3650">
        <v>0</v>
      </c>
      <c r="M3650" t="s">
        <v>47</v>
      </c>
      <c r="N3650">
        <v>0</v>
      </c>
      <c r="O3650">
        <v>0</v>
      </c>
      <c r="P3650" t="s">
        <v>48</v>
      </c>
      <c r="Q3650" s="2">
        <v>0.7</v>
      </c>
      <c r="R3650">
        <v>0</v>
      </c>
      <c r="V3650" t="str">
        <f>VLOOKUP(H3650,'[1]팀별 출판사'!A:B,2,0)</f>
        <v>소설1팀</v>
      </c>
      <c r="W3650" s="6">
        <f t="shared" ref="W3650:W3713" si="114">IF(P3650="US", T3650*30%, 0)</f>
        <v>0</v>
      </c>
      <c r="X3650" s="6">
        <f t="shared" ref="X3650:X3713" si="115">T3650-W3650</f>
        <v>0</v>
      </c>
    </row>
    <row r="3651" spans="1:24" x14ac:dyDescent="0.3">
      <c r="A3651" t="s">
        <v>5069</v>
      </c>
      <c r="B3651" t="s">
        <v>5217</v>
      </c>
      <c r="C3651" t="s">
        <v>23</v>
      </c>
      <c r="D3651" t="s">
        <v>24</v>
      </c>
      <c r="E3651" t="s">
        <v>25</v>
      </c>
      <c r="F3651">
        <v>1</v>
      </c>
      <c r="G3651">
        <v>9791133190102</v>
      </c>
      <c r="H3651" t="s">
        <v>26</v>
      </c>
      <c r="I3651" t="s">
        <v>5218</v>
      </c>
      <c r="J3651" t="s">
        <v>1096</v>
      </c>
      <c r="K3651" t="s">
        <v>29</v>
      </c>
      <c r="L3651" s="1">
        <v>3200</v>
      </c>
      <c r="M3651" t="s">
        <v>29</v>
      </c>
      <c r="N3651" s="1">
        <v>3200</v>
      </c>
      <c r="O3651" s="1">
        <v>3200</v>
      </c>
      <c r="P3651" t="s">
        <v>30</v>
      </c>
      <c r="Q3651" s="2">
        <v>0.7</v>
      </c>
      <c r="R3651" s="1">
        <v>2240</v>
      </c>
      <c r="S3651" t="s">
        <v>29</v>
      </c>
      <c r="T3651" s="1">
        <v>2240</v>
      </c>
      <c r="V3651" t="str">
        <f>VLOOKUP(H3651,'[1]팀별 출판사'!A:B,2,0)</f>
        <v>소설1팀</v>
      </c>
      <c r="W3651" s="6">
        <f t="shared" si="114"/>
        <v>0</v>
      </c>
      <c r="X3651" s="6">
        <f t="shared" si="115"/>
        <v>2240</v>
      </c>
    </row>
    <row r="3652" spans="1:24" x14ac:dyDescent="0.3">
      <c r="A3652" t="s">
        <v>5069</v>
      </c>
      <c r="B3652" t="s">
        <v>5219</v>
      </c>
      <c r="C3652" t="s">
        <v>23</v>
      </c>
      <c r="D3652" t="s">
        <v>24</v>
      </c>
      <c r="E3652" t="s">
        <v>25</v>
      </c>
      <c r="F3652">
        <v>1</v>
      </c>
      <c r="G3652">
        <v>9791170106401</v>
      </c>
      <c r="H3652" t="s">
        <v>67</v>
      </c>
      <c r="I3652" t="s">
        <v>4066</v>
      </c>
      <c r="J3652" t="s">
        <v>69</v>
      </c>
      <c r="K3652" t="s">
        <v>29</v>
      </c>
      <c r="L3652">
        <v>0</v>
      </c>
      <c r="M3652" t="s">
        <v>70</v>
      </c>
      <c r="N3652">
        <v>0</v>
      </c>
      <c r="O3652">
        <v>0</v>
      </c>
      <c r="P3652" t="s">
        <v>4672</v>
      </c>
      <c r="Q3652" s="2">
        <v>0.7</v>
      </c>
      <c r="R3652">
        <v>0</v>
      </c>
      <c r="V3652" t="str">
        <f>VLOOKUP(H3652,'[1]팀별 출판사'!A:B,2,0)</f>
        <v>소설1팀</v>
      </c>
      <c r="W3652" s="6">
        <f t="shared" si="114"/>
        <v>0</v>
      </c>
      <c r="X3652" s="6">
        <f t="shared" si="115"/>
        <v>0</v>
      </c>
    </row>
    <row r="3653" spans="1:24" x14ac:dyDescent="0.3">
      <c r="A3653" t="s">
        <v>5069</v>
      </c>
      <c r="B3653" t="s">
        <v>5220</v>
      </c>
      <c r="C3653" t="s">
        <v>23</v>
      </c>
      <c r="D3653" t="s">
        <v>24</v>
      </c>
      <c r="E3653" t="s">
        <v>25</v>
      </c>
      <c r="F3653">
        <v>1</v>
      </c>
      <c r="G3653">
        <v>9791136934925</v>
      </c>
      <c r="H3653" t="s">
        <v>32</v>
      </c>
      <c r="I3653" t="s">
        <v>385</v>
      </c>
      <c r="J3653" t="s">
        <v>126</v>
      </c>
      <c r="K3653" t="s">
        <v>29</v>
      </c>
      <c r="L3653">
        <v>0</v>
      </c>
      <c r="M3653" t="s">
        <v>47</v>
      </c>
      <c r="N3653">
        <v>0</v>
      </c>
      <c r="O3653">
        <v>0</v>
      </c>
      <c r="P3653" t="s">
        <v>48</v>
      </c>
      <c r="Q3653" s="2">
        <v>0.7</v>
      </c>
      <c r="R3653">
        <v>0</v>
      </c>
      <c r="V3653" t="str">
        <f>VLOOKUP(H3653,'[1]팀별 출판사'!A:B,2,0)</f>
        <v>소설1팀</v>
      </c>
      <c r="W3653" s="6">
        <f t="shared" si="114"/>
        <v>0</v>
      </c>
      <c r="X3653" s="6">
        <f t="shared" si="115"/>
        <v>0</v>
      </c>
    </row>
    <row r="3654" spans="1:24" x14ac:dyDescent="0.3">
      <c r="A3654" t="s">
        <v>5069</v>
      </c>
      <c r="B3654" t="s">
        <v>5221</v>
      </c>
      <c r="C3654" t="s">
        <v>23</v>
      </c>
      <c r="D3654" t="s">
        <v>24</v>
      </c>
      <c r="E3654" t="s">
        <v>25</v>
      </c>
      <c r="F3654">
        <v>1</v>
      </c>
      <c r="G3654">
        <v>9791136931382</v>
      </c>
      <c r="H3654" t="s">
        <v>32</v>
      </c>
      <c r="I3654" t="s">
        <v>523</v>
      </c>
      <c r="J3654" t="s">
        <v>46</v>
      </c>
      <c r="K3654" t="s">
        <v>29</v>
      </c>
      <c r="L3654">
        <v>0</v>
      </c>
      <c r="M3654" t="s">
        <v>29</v>
      </c>
      <c r="N3654">
        <v>0</v>
      </c>
      <c r="O3654">
        <v>0</v>
      </c>
      <c r="P3654" t="s">
        <v>30</v>
      </c>
      <c r="Q3654" s="2">
        <v>0.7</v>
      </c>
      <c r="R3654">
        <v>0</v>
      </c>
      <c r="V3654" t="str">
        <f>VLOOKUP(H3654,'[1]팀별 출판사'!A:B,2,0)</f>
        <v>소설1팀</v>
      </c>
      <c r="W3654" s="6">
        <f t="shared" si="114"/>
        <v>0</v>
      </c>
      <c r="X3654" s="6">
        <f t="shared" si="115"/>
        <v>0</v>
      </c>
    </row>
    <row r="3655" spans="1:24" x14ac:dyDescent="0.3">
      <c r="A3655" t="s">
        <v>5069</v>
      </c>
      <c r="B3655" t="s">
        <v>5222</v>
      </c>
      <c r="C3655" t="s">
        <v>23</v>
      </c>
      <c r="D3655" t="s">
        <v>24</v>
      </c>
      <c r="E3655" t="s">
        <v>25</v>
      </c>
      <c r="F3655">
        <v>1</v>
      </c>
      <c r="G3655">
        <v>9791157533404</v>
      </c>
      <c r="H3655" t="s">
        <v>32</v>
      </c>
      <c r="I3655" t="s">
        <v>5223</v>
      </c>
      <c r="J3655" t="s">
        <v>187</v>
      </c>
      <c r="K3655" t="s">
        <v>29</v>
      </c>
      <c r="L3655" s="1">
        <v>3200</v>
      </c>
      <c r="M3655" t="s">
        <v>29</v>
      </c>
      <c r="N3655" s="1">
        <v>3200</v>
      </c>
      <c r="O3655" s="1">
        <v>3200</v>
      </c>
      <c r="P3655" t="s">
        <v>30</v>
      </c>
      <c r="Q3655" s="2">
        <v>0.7</v>
      </c>
      <c r="R3655" s="1">
        <v>2240</v>
      </c>
      <c r="S3655" t="s">
        <v>29</v>
      </c>
      <c r="T3655" s="1">
        <v>2240</v>
      </c>
      <c r="V3655" t="str">
        <f>VLOOKUP(H3655,'[1]팀별 출판사'!A:B,2,0)</f>
        <v>소설1팀</v>
      </c>
      <c r="W3655" s="6">
        <f t="shared" si="114"/>
        <v>0</v>
      </c>
      <c r="X3655" s="6">
        <f t="shared" si="115"/>
        <v>2240</v>
      </c>
    </row>
    <row r="3656" spans="1:24" x14ac:dyDescent="0.3">
      <c r="A3656" t="s">
        <v>5069</v>
      </c>
      <c r="B3656" t="s">
        <v>5224</v>
      </c>
      <c r="C3656" t="s">
        <v>23</v>
      </c>
      <c r="D3656" t="s">
        <v>24</v>
      </c>
      <c r="E3656" t="s">
        <v>25</v>
      </c>
      <c r="F3656">
        <v>1</v>
      </c>
      <c r="G3656">
        <v>9791133101863</v>
      </c>
      <c r="H3656" t="s">
        <v>32</v>
      </c>
      <c r="I3656" t="s">
        <v>159</v>
      </c>
      <c r="J3656" t="s">
        <v>160</v>
      </c>
      <c r="K3656" t="s">
        <v>29</v>
      </c>
      <c r="L3656">
        <v>0</v>
      </c>
      <c r="M3656" t="s">
        <v>29</v>
      </c>
      <c r="N3656">
        <v>0</v>
      </c>
      <c r="O3656">
        <v>0</v>
      </c>
      <c r="P3656" t="s">
        <v>30</v>
      </c>
      <c r="Q3656" s="2">
        <v>0.7</v>
      </c>
      <c r="R3656">
        <v>0</v>
      </c>
      <c r="V3656" t="str">
        <f>VLOOKUP(H3656,'[1]팀별 출판사'!A:B,2,0)</f>
        <v>소설1팀</v>
      </c>
      <c r="W3656" s="6">
        <f t="shared" si="114"/>
        <v>0</v>
      </c>
      <c r="X3656" s="6">
        <f t="shared" si="115"/>
        <v>0</v>
      </c>
    </row>
    <row r="3657" spans="1:24" x14ac:dyDescent="0.3">
      <c r="A3657" t="s">
        <v>5069</v>
      </c>
      <c r="B3657" t="s">
        <v>5225</v>
      </c>
      <c r="C3657" t="s">
        <v>23</v>
      </c>
      <c r="D3657" t="s">
        <v>24</v>
      </c>
      <c r="E3657" t="s">
        <v>25</v>
      </c>
      <c r="F3657">
        <v>1</v>
      </c>
      <c r="G3657">
        <v>9791136927248</v>
      </c>
      <c r="H3657" t="s">
        <v>36</v>
      </c>
      <c r="I3657" t="s">
        <v>2320</v>
      </c>
      <c r="J3657" t="s">
        <v>38</v>
      </c>
      <c r="K3657" t="s">
        <v>29</v>
      </c>
      <c r="L3657" s="1">
        <v>3300</v>
      </c>
      <c r="M3657" t="s">
        <v>1379</v>
      </c>
      <c r="N3657" s="1">
        <v>42311</v>
      </c>
      <c r="O3657" s="1">
        <v>38118</v>
      </c>
      <c r="P3657" t="s">
        <v>1380</v>
      </c>
      <c r="Q3657" s="2">
        <v>0.7</v>
      </c>
      <c r="R3657" s="1">
        <v>26683</v>
      </c>
      <c r="S3657" t="s">
        <v>29</v>
      </c>
      <c r="T3657" s="1">
        <v>2276</v>
      </c>
      <c r="U3657">
        <v>8.566E-2</v>
      </c>
      <c r="V3657" t="str">
        <f>VLOOKUP(H3657,'[1]팀별 출판사'!A:B,2,0)</f>
        <v>소설2팀</v>
      </c>
      <c r="W3657" s="6">
        <f t="shared" si="114"/>
        <v>0</v>
      </c>
      <c r="X3657" s="6">
        <f t="shared" si="115"/>
        <v>2276</v>
      </c>
    </row>
    <row r="3658" spans="1:24" x14ac:dyDescent="0.3">
      <c r="A3658" t="s">
        <v>5069</v>
      </c>
      <c r="B3658" t="s">
        <v>5226</v>
      </c>
      <c r="C3658" t="s">
        <v>23</v>
      </c>
      <c r="D3658" t="s">
        <v>24</v>
      </c>
      <c r="E3658" t="s">
        <v>25</v>
      </c>
      <c r="F3658">
        <v>1</v>
      </c>
      <c r="G3658">
        <v>9791172927844</v>
      </c>
      <c r="H3658" t="s">
        <v>79</v>
      </c>
      <c r="I3658" t="s">
        <v>1168</v>
      </c>
      <c r="J3658" t="s">
        <v>81</v>
      </c>
      <c r="K3658" t="s">
        <v>29</v>
      </c>
      <c r="L3658">
        <v>0</v>
      </c>
      <c r="M3658" t="s">
        <v>29</v>
      </c>
      <c r="N3658">
        <v>0</v>
      </c>
      <c r="O3658">
        <v>0</v>
      </c>
      <c r="P3658" t="s">
        <v>30</v>
      </c>
      <c r="Q3658" s="2">
        <v>0.7</v>
      </c>
      <c r="R3658">
        <v>0</v>
      </c>
      <c r="V3658" t="str">
        <f>VLOOKUP(H3658,'[1]팀별 출판사'!A:B,2,0)</f>
        <v>소설1팀</v>
      </c>
      <c r="W3658" s="6">
        <f t="shared" si="114"/>
        <v>0</v>
      </c>
      <c r="X3658" s="6">
        <f t="shared" si="115"/>
        <v>0</v>
      </c>
    </row>
    <row r="3659" spans="1:24" x14ac:dyDescent="0.3">
      <c r="A3659" t="s">
        <v>5069</v>
      </c>
      <c r="B3659" t="s">
        <v>5227</v>
      </c>
      <c r="C3659" t="s">
        <v>23</v>
      </c>
      <c r="D3659" t="s">
        <v>24</v>
      </c>
      <c r="E3659" t="s">
        <v>25</v>
      </c>
      <c r="F3659">
        <v>1</v>
      </c>
      <c r="G3659" t="s">
        <v>998</v>
      </c>
      <c r="H3659" t="s">
        <v>32</v>
      </c>
      <c r="I3659" t="s">
        <v>999</v>
      </c>
      <c r="J3659" t="s">
        <v>202</v>
      </c>
      <c r="K3659" t="s">
        <v>29</v>
      </c>
      <c r="L3659">
        <v>0</v>
      </c>
      <c r="M3659" t="s">
        <v>29</v>
      </c>
      <c r="N3659">
        <v>0</v>
      </c>
      <c r="O3659">
        <v>0</v>
      </c>
      <c r="P3659" t="s">
        <v>30</v>
      </c>
      <c r="Q3659" s="2">
        <v>0.7</v>
      </c>
      <c r="R3659">
        <v>0</v>
      </c>
      <c r="V3659" t="str">
        <f>VLOOKUP(H3659,'[1]팀별 출판사'!A:B,2,0)</f>
        <v>소설1팀</v>
      </c>
      <c r="W3659" s="6">
        <f t="shared" si="114"/>
        <v>0</v>
      </c>
      <c r="X3659" s="6">
        <f t="shared" si="115"/>
        <v>0</v>
      </c>
    </row>
    <row r="3660" spans="1:24" x14ac:dyDescent="0.3">
      <c r="A3660" t="s">
        <v>5069</v>
      </c>
      <c r="B3660" t="s">
        <v>5228</v>
      </c>
      <c r="C3660" t="s">
        <v>23</v>
      </c>
      <c r="D3660" t="s">
        <v>24</v>
      </c>
      <c r="E3660" t="s">
        <v>25</v>
      </c>
      <c r="F3660">
        <v>1</v>
      </c>
      <c r="G3660">
        <v>9791133101788</v>
      </c>
      <c r="H3660" t="s">
        <v>32</v>
      </c>
      <c r="I3660" t="s">
        <v>870</v>
      </c>
      <c r="J3660" t="s">
        <v>160</v>
      </c>
      <c r="K3660" t="s">
        <v>29</v>
      </c>
      <c r="L3660">
        <v>0</v>
      </c>
      <c r="M3660" t="s">
        <v>29</v>
      </c>
      <c r="N3660">
        <v>0</v>
      </c>
      <c r="O3660">
        <v>0</v>
      </c>
      <c r="P3660" t="s">
        <v>30</v>
      </c>
      <c r="Q3660" s="2">
        <v>0.7</v>
      </c>
      <c r="R3660">
        <v>0</v>
      </c>
      <c r="V3660" t="str">
        <f>VLOOKUP(H3660,'[1]팀별 출판사'!A:B,2,0)</f>
        <v>소설1팀</v>
      </c>
      <c r="W3660" s="6">
        <f t="shared" si="114"/>
        <v>0</v>
      </c>
      <c r="X3660" s="6">
        <f t="shared" si="115"/>
        <v>0</v>
      </c>
    </row>
    <row r="3661" spans="1:24" x14ac:dyDescent="0.3">
      <c r="A3661" t="s">
        <v>5069</v>
      </c>
      <c r="B3661" t="s">
        <v>5229</v>
      </c>
      <c r="C3661" t="s">
        <v>23</v>
      </c>
      <c r="D3661" t="s">
        <v>24</v>
      </c>
      <c r="E3661" t="s">
        <v>25</v>
      </c>
      <c r="F3661">
        <v>1</v>
      </c>
      <c r="G3661" t="s">
        <v>1036</v>
      </c>
      <c r="H3661" t="s">
        <v>32</v>
      </c>
      <c r="I3661" t="s">
        <v>1037</v>
      </c>
      <c r="J3661" t="s">
        <v>311</v>
      </c>
      <c r="K3661" t="s">
        <v>29</v>
      </c>
      <c r="L3661">
        <v>0</v>
      </c>
      <c r="M3661" t="s">
        <v>29</v>
      </c>
      <c r="N3661">
        <v>0</v>
      </c>
      <c r="O3661">
        <v>0</v>
      </c>
      <c r="P3661" t="s">
        <v>30</v>
      </c>
      <c r="Q3661" s="2">
        <v>0.7</v>
      </c>
      <c r="R3661">
        <v>0</v>
      </c>
      <c r="V3661" t="str">
        <f>VLOOKUP(H3661,'[1]팀별 출판사'!A:B,2,0)</f>
        <v>소설1팀</v>
      </c>
      <c r="W3661" s="6">
        <f t="shared" si="114"/>
        <v>0</v>
      </c>
      <c r="X3661" s="6">
        <f t="shared" si="115"/>
        <v>0</v>
      </c>
    </row>
    <row r="3662" spans="1:24" x14ac:dyDescent="0.3">
      <c r="A3662" t="s">
        <v>5069</v>
      </c>
      <c r="B3662" t="s">
        <v>5230</v>
      </c>
      <c r="C3662" t="s">
        <v>23</v>
      </c>
      <c r="D3662" t="s">
        <v>24</v>
      </c>
      <c r="E3662" t="s">
        <v>25</v>
      </c>
      <c r="F3662">
        <v>1</v>
      </c>
      <c r="G3662">
        <v>9791173783739</v>
      </c>
      <c r="H3662" t="s">
        <v>36</v>
      </c>
      <c r="I3662" t="s">
        <v>3229</v>
      </c>
      <c r="J3662" t="s">
        <v>119</v>
      </c>
      <c r="K3662" t="s">
        <v>29</v>
      </c>
      <c r="L3662" s="1">
        <v>3600</v>
      </c>
      <c r="M3662" t="s">
        <v>1379</v>
      </c>
      <c r="N3662" s="1">
        <v>46157</v>
      </c>
      <c r="O3662" s="1">
        <v>41583</v>
      </c>
      <c r="P3662" t="s">
        <v>1380</v>
      </c>
      <c r="Q3662" s="2">
        <v>0.7</v>
      </c>
      <c r="R3662" s="1">
        <v>29108</v>
      </c>
      <c r="S3662" t="s">
        <v>29</v>
      </c>
      <c r="T3662" s="1">
        <v>2487</v>
      </c>
      <c r="U3662">
        <v>8.566E-2</v>
      </c>
      <c r="V3662" t="str">
        <f>VLOOKUP(H3662,'[1]팀별 출판사'!A:B,2,0)</f>
        <v>소설2팀</v>
      </c>
      <c r="W3662" s="6">
        <f t="shared" si="114"/>
        <v>0</v>
      </c>
      <c r="X3662" s="6">
        <f t="shared" si="115"/>
        <v>2487</v>
      </c>
    </row>
    <row r="3663" spans="1:24" x14ac:dyDescent="0.3">
      <c r="A3663" t="s">
        <v>5069</v>
      </c>
      <c r="B3663" t="s">
        <v>5231</v>
      </c>
      <c r="C3663" t="s">
        <v>23</v>
      </c>
      <c r="D3663" t="s">
        <v>24</v>
      </c>
      <c r="E3663" t="s">
        <v>25</v>
      </c>
      <c r="F3663">
        <v>1</v>
      </c>
      <c r="G3663">
        <v>9791133180066</v>
      </c>
      <c r="H3663" t="s">
        <v>26</v>
      </c>
      <c r="I3663" t="s">
        <v>320</v>
      </c>
      <c r="J3663" t="s">
        <v>321</v>
      </c>
      <c r="K3663" t="s">
        <v>29</v>
      </c>
      <c r="L3663">
        <v>0</v>
      </c>
      <c r="M3663" t="s">
        <v>29</v>
      </c>
      <c r="N3663">
        <v>0</v>
      </c>
      <c r="O3663">
        <v>0</v>
      </c>
      <c r="P3663" t="s">
        <v>30</v>
      </c>
      <c r="Q3663" s="2">
        <v>0.7</v>
      </c>
      <c r="R3663">
        <v>0</v>
      </c>
      <c r="V3663" t="str">
        <f>VLOOKUP(H3663,'[1]팀별 출판사'!A:B,2,0)</f>
        <v>소설1팀</v>
      </c>
      <c r="W3663" s="6">
        <f t="shared" si="114"/>
        <v>0</v>
      </c>
      <c r="X3663" s="6">
        <f t="shared" si="115"/>
        <v>0</v>
      </c>
    </row>
    <row r="3664" spans="1:24" x14ac:dyDescent="0.3">
      <c r="A3664" t="s">
        <v>5069</v>
      </c>
      <c r="B3664" t="s">
        <v>5232</v>
      </c>
      <c r="C3664" t="s">
        <v>23</v>
      </c>
      <c r="D3664" t="s">
        <v>24</v>
      </c>
      <c r="E3664" t="s">
        <v>25</v>
      </c>
      <c r="F3664">
        <v>1</v>
      </c>
      <c r="G3664">
        <v>9791170106968</v>
      </c>
      <c r="H3664" t="s">
        <v>67</v>
      </c>
      <c r="I3664" t="s">
        <v>5233</v>
      </c>
      <c r="J3664" t="s">
        <v>2583</v>
      </c>
      <c r="K3664" t="s">
        <v>29</v>
      </c>
      <c r="L3664" s="1">
        <v>2500</v>
      </c>
      <c r="M3664" t="s">
        <v>29</v>
      </c>
      <c r="N3664" s="1">
        <v>2500</v>
      </c>
      <c r="O3664" s="1">
        <v>2500</v>
      </c>
      <c r="P3664" t="s">
        <v>30</v>
      </c>
      <c r="Q3664" s="2">
        <v>0.7</v>
      </c>
      <c r="R3664" s="1">
        <v>1750</v>
      </c>
      <c r="S3664" t="s">
        <v>29</v>
      </c>
      <c r="T3664" s="1">
        <v>1750</v>
      </c>
      <c r="V3664" t="str">
        <f>VLOOKUP(H3664,'[1]팀별 출판사'!A:B,2,0)</f>
        <v>소설1팀</v>
      </c>
      <c r="W3664" s="6">
        <f t="shared" si="114"/>
        <v>0</v>
      </c>
      <c r="X3664" s="6">
        <f t="shared" si="115"/>
        <v>1750</v>
      </c>
    </row>
    <row r="3665" spans="1:24" x14ac:dyDescent="0.3">
      <c r="A3665" t="s">
        <v>5069</v>
      </c>
      <c r="B3665" t="s">
        <v>5234</v>
      </c>
      <c r="C3665" t="s">
        <v>23</v>
      </c>
      <c r="D3665" t="s">
        <v>24</v>
      </c>
      <c r="E3665" t="s">
        <v>25</v>
      </c>
      <c r="F3665">
        <v>1</v>
      </c>
      <c r="G3665">
        <v>9791133105991</v>
      </c>
      <c r="H3665" t="s">
        <v>32</v>
      </c>
      <c r="I3665" t="s">
        <v>4800</v>
      </c>
      <c r="J3665" t="s">
        <v>311</v>
      </c>
      <c r="K3665" t="s">
        <v>29</v>
      </c>
      <c r="L3665">
        <v>0</v>
      </c>
      <c r="M3665" t="s">
        <v>29</v>
      </c>
      <c r="N3665">
        <v>0</v>
      </c>
      <c r="O3665">
        <v>0</v>
      </c>
      <c r="P3665" t="s">
        <v>30</v>
      </c>
      <c r="Q3665" s="2">
        <v>0.7</v>
      </c>
      <c r="R3665">
        <v>0</v>
      </c>
      <c r="V3665" t="str">
        <f>VLOOKUP(H3665,'[1]팀별 출판사'!A:B,2,0)</f>
        <v>소설1팀</v>
      </c>
      <c r="W3665" s="6">
        <f t="shared" si="114"/>
        <v>0</v>
      </c>
      <c r="X3665" s="6">
        <f t="shared" si="115"/>
        <v>0</v>
      </c>
    </row>
    <row r="3666" spans="1:24" x14ac:dyDescent="0.3">
      <c r="A3666" t="s">
        <v>5069</v>
      </c>
      <c r="B3666" t="s">
        <v>5235</v>
      </c>
      <c r="C3666" t="s">
        <v>23</v>
      </c>
      <c r="D3666" t="s">
        <v>24</v>
      </c>
      <c r="E3666" t="s">
        <v>25</v>
      </c>
      <c r="F3666">
        <v>1</v>
      </c>
      <c r="G3666">
        <v>9791136927248</v>
      </c>
      <c r="H3666" t="s">
        <v>36</v>
      </c>
      <c r="I3666" t="s">
        <v>2320</v>
      </c>
      <c r="J3666" t="s">
        <v>38</v>
      </c>
      <c r="K3666" t="s">
        <v>29</v>
      </c>
      <c r="L3666" s="1">
        <v>3300</v>
      </c>
      <c r="M3666" t="s">
        <v>2214</v>
      </c>
      <c r="N3666">
        <v>9.06</v>
      </c>
      <c r="O3666">
        <v>7.68</v>
      </c>
      <c r="P3666" t="s">
        <v>2215</v>
      </c>
      <c r="Q3666" s="2">
        <v>0.7</v>
      </c>
      <c r="R3666">
        <v>5.38</v>
      </c>
      <c r="S3666" t="s">
        <v>29</v>
      </c>
      <c r="T3666" s="1">
        <v>2301</v>
      </c>
      <c r="U3666">
        <v>429.25601999999998</v>
      </c>
      <c r="V3666" t="str">
        <f>VLOOKUP(H3666,'[1]팀별 출판사'!A:B,2,0)</f>
        <v>소설2팀</v>
      </c>
      <c r="W3666" s="6">
        <f t="shared" si="114"/>
        <v>0</v>
      </c>
      <c r="X3666" s="6">
        <f t="shared" si="115"/>
        <v>2301</v>
      </c>
    </row>
    <row r="3667" spans="1:24" x14ac:dyDescent="0.3">
      <c r="A3667" t="s">
        <v>5069</v>
      </c>
      <c r="B3667" t="s">
        <v>5236</v>
      </c>
      <c r="C3667" t="s">
        <v>23</v>
      </c>
      <c r="D3667" t="s">
        <v>24</v>
      </c>
      <c r="E3667" t="s">
        <v>25</v>
      </c>
      <c r="F3667">
        <v>1</v>
      </c>
      <c r="G3667">
        <v>9791172924942</v>
      </c>
      <c r="H3667" t="s">
        <v>26</v>
      </c>
      <c r="I3667" t="s">
        <v>5237</v>
      </c>
      <c r="J3667" t="s">
        <v>62</v>
      </c>
      <c r="K3667" t="s">
        <v>29</v>
      </c>
      <c r="L3667" s="1">
        <v>3200</v>
      </c>
      <c r="M3667" t="s">
        <v>29</v>
      </c>
      <c r="N3667" s="1">
        <v>3200</v>
      </c>
      <c r="O3667" s="1">
        <v>3200</v>
      </c>
      <c r="P3667" t="s">
        <v>30</v>
      </c>
      <c r="Q3667" s="2">
        <v>0.7</v>
      </c>
      <c r="R3667" s="1">
        <v>2240</v>
      </c>
      <c r="S3667" t="s">
        <v>29</v>
      </c>
      <c r="T3667" s="1">
        <v>2240</v>
      </c>
      <c r="V3667" t="str">
        <f>VLOOKUP(H3667,'[1]팀별 출판사'!A:B,2,0)</f>
        <v>소설1팀</v>
      </c>
      <c r="W3667" s="6">
        <f t="shared" si="114"/>
        <v>0</v>
      </c>
      <c r="X3667" s="6">
        <f t="shared" si="115"/>
        <v>2240</v>
      </c>
    </row>
    <row r="3668" spans="1:24" x14ac:dyDescent="0.3">
      <c r="A3668" t="s">
        <v>5069</v>
      </c>
      <c r="B3668" t="s">
        <v>5238</v>
      </c>
      <c r="C3668" t="s">
        <v>23</v>
      </c>
      <c r="D3668" t="s">
        <v>24</v>
      </c>
      <c r="E3668" t="s">
        <v>25</v>
      </c>
      <c r="F3668">
        <v>1</v>
      </c>
      <c r="G3668">
        <v>9791136931375</v>
      </c>
      <c r="H3668" t="s">
        <v>32</v>
      </c>
      <c r="I3668" t="s">
        <v>189</v>
      </c>
      <c r="J3668" t="s">
        <v>46</v>
      </c>
      <c r="K3668" t="s">
        <v>29</v>
      </c>
      <c r="L3668">
        <v>0</v>
      </c>
      <c r="M3668" t="s">
        <v>47</v>
      </c>
      <c r="N3668">
        <v>0</v>
      </c>
      <c r="O3668">
        <v>0</v>
      </c>
      <c r="P3668" t="s">
        <v>48</v>
      </c>
      <c r="Q3668" s="2">
        <v>0.7</v>
      </c>
      <c r="R3668">
        <v>0</v>
      </c>
      <c r="V3668" t="str">
        <f>VLOOKUP(H3668,'[1]팀별 출판사'!A:B,2,0)</f>
        <v>소설1팀</v>
      </c>
      <c r="W3668" s="6">
        <f t="shared" si="114"/>
        <v>0</v>
      </c>
      <c r="X3668" s="6">
        <f t="shared" si="115"/>
        <v>0</v>
      </c>
    </row>
    <row r="3669" spans="1:24" x14ac:dyDescent="0.3">
      <c r="A3669" t="s">
        <v>5069</v>
      </c>
      <c r="B3669" t="s">
        <v>5239</v>
      </c>
      <c r="C3669" t="s">
        <v>23</v>
      </c>
      <c r="D3669" t="s">
        <v>24</v>
      </c>
      <c r="E3669" t="s">
        <v>25</v>
      </c>
      <c r="F3669">
        <v>1</v>
      </c>
      <c r="G3669">
        <v>9791136930224</v>
      </c>
      <c r="H3669" t="s">
        <v>32</v>
      </c>
      <c r="I3669" t="s">
        <v>172</v>
      </c>
      <c r="J3669" t="s">
        <v>46</v>
      </c>
      <c r="K3669" t="s">
        <v>29</v>
      </c>
      <c r="L3669">
        <v>0</v>
      </c>
      <c r="M3669" t="s">
        <v>47</v>
      </c>
      <c r="N3669">
        <v>0</v>
      </c>
      <c r="O3669">
        <v>0</v>
      </c>
      <c r="P3669" t="s">
        <v>48</v>
      </c>
      <c r="Q3669" s="2">
        <v>0.7</v>
      </c>
      <c r="R3669">
        <v>0</v>
      </c>
      <c r="V3669" t="str">
        <f>VLOOKUP(H3669,'[1]팀별 출판사'!A:B,2,0)</f>
        <v>소설1팀</v>
      </c>
      <c r="W3669" s="6">
        <f t="shared" si="114"/>
        <v>0</v>
      </c>
      <c r="X3669" s="6">
        <f t="shared" si="115"/>
        <v>0</v>
      </c>
    </row>
    <row r="3670" spans="1:24" x14ac:dyDescent="0.3">
      <c r="A3670" t="s">
        <v>5069</v>
      </c>
      <c r="B3670" t="s">
        <v>5240</v>
      </c>
      <c r="C3670" t="s">
        <v>23</v>
      </c>
      <c r="D3670" t="s">
        <v>24</v>
      </c>
      <c r="E3670" t="s">
        <v>25</v>
      </c>
      <c r="F3670">
        <v>1</v>
      </c>
      <c r="G3670">
        <v>9791173786068</v>
      </c>
      <c r="H3670" t="s">
        <v>26</v>
      </c>
      <c r="I3670" t="s">
        <v>5241</v>
      </c>
      <c r="J3670" t="s">
        <v>81</v>
      </c>
      <c r="K3670" t="s">
        <v>29</v>
      </c>
      <c r="L3670" s="1">
        <v>3200</v>
      </c>
      <c r="M3670" t="s">
        <v>29</v>
      </c>
      <c r="N3670" s="1">
        <v>3200</v>
      </c>
      <c r="O3670" s="1">
        <v>3200</v>
      </c>
      <c r="P3670" t="s">
        <v>30</v>
      </c>
      <c r="Q3670" s="2">
        <v>0.7</v>
      </c>
      <c r="R3670" s="1">
        <v>2240</v>
      </c>
      <c r="S3670" t="s">
        <v>29</v>
      </c>
      <c r="T3670" s="1">
        <v>2240</v>
      </c>
      <c r="V3670" t="str">
        <f>VLOOKUP(H3670,'[1]팀별 출판사'!A:B,2,0)</f>
        <v>소설1팀</v>
      </c>
      <c r="W3670" s="6">
        <f t="shared" si="114"/>
        <v>0</v>
      </c>
      <c r="X3670" s="6">
        <f t="shared" si="115"/>
        <v>2240</v>
      </c>
    </row>
    <row r="3671" spans="1:24" x14ac:dyDescent="0.3">
      <c r="A3671" t="s">
        <v>5069</v>
      </c>
      <c r="B3671" t="s">
        <v>5235</v>
      </c>
      <c r="C3671" t="s">
        <v>23</v>
      </c>
      <c r="D3671" t="s">
        <v>1601</v>
      </c>
      <c r="E3671" t="s">
        <v>25</v>
      </c>
      <c r="F3671">
        <v>-1</v>
      </c>
      <c r="G3671">
        <v>9791136927248</v>
      </c>
      <c r="H3671" t="s">
        <v>36</v>
      </c>
      <c r="I3671" t="s">
        <v>2320</v>
      </c>
      <c r="J3671" t="s">
        <v>38</v>
      </c>
      <c r="K3671" t="s">
        <v>29</v>
      </c>
      <c r="L3671" s="1">
        <v>3300</v>
      </c>
      <c r="M3671" t="s">
        <v>2214</v>
      </c>
      <c r="N3671">
        <v>9.06</v>
      </c>
      <c r="O3671">
        <v>7.68</v>
      </c>
      <c r="P3671" t="s">
        <v>2215</v>
      </c>
      <c r="Q3671" s="2">
        <v>0.7</v>
      </c>
      <c r="R3671">
        <v>-5.38</v>
      </c>
      <c r="S3671" t="s">
        <v>29</v>
      </c>
      <c r="T3671" s="1">
        <v>-2301</v>
      </c>
      <c r="U3671">
        <v>429.25601999999998</v>
      </c>
      <c r="V3671" t="str">
        <f>VLOOKUP(H3671,'[1]팀별 출판사'!A:B,2,0)</f>
        <v>소설2팀</v>
      </c>
      <c r="W3671" s="6">
        <f t="shared" si="114"/>
        <v>0</v>
      </c>
      <c r="X3671" s="6">
        <f t="shared" si="115"/>
        <v>-2301</v>
      </c>
    </row>
    <row r="3672" spans="1:24" x14ac:dyDescent="0.3">
      <c r="A3672" t="s">
        <v>5069</v>
      </c>
      <c r="B3672" t="s">
        <v>5242</v>
      </c>
      <c r="C3672" t="s">
        <v>23</v>
      </c>
      <c r="D3672" t="s">
        <v>24</v>
      </c>
      <c r="E3672" t="s">
        <v>25</v>
      </c>
      <c r="F3672">
        <v>1</v>
      </c>
      <c r="G3672">
        <v>9791133143825</v>
      </c>
      <c r="H3672" t="s">
        <v>32</v>
      </c>
      <c r="I3672" t="s">
        <v>2224</v>
      </c>
      <c r="J3672" t="s">
        <v>88</v>
      </c>
      <c r="K3672" t="s">
        <v>29</v>
      </c>
      <c r="L3672" s="1">
        <v>3200</v>
      </c>
      <c r="M3672" t="s">
        <v>29</v>
      </c>
      <c r="N3672" s="1">
        <v>3200</v>
      </c>
      <c r="O3672" s="1">
        <v>3200</v>
      </c>
      <c r="P3672" t="s">
        <v>30</v>
      </c>
      <c r="Q3672" s="2">
        <v>0.7</v>
      </c>
      <c r="R3672" s="1">
        <v>2240</v>
      </c>
      <c r="S3672" t="s">
        <v>29</v>
      </c>
      <c r="T3672" s="1">
        <v>2240</v>
      </c>
      <c r="V3672" t="str">
        <f>VLOOKUP(H3672,'[1]팀별 출판사'!A:B,2,0)</f>
        <v>소설1팀</v>
      </c>
      <c r="W3672" s="6">
        <f t="shared" si="114"/>
        <v>0</v>
      </c>
      <c r="X3672" s="6">
        <f t="shared" si="115"/>
        <v>2240</v>
      </c>
    </row>
    <row r="3673" spans="1:24" x14ac:dyDescent="0.3">
      <c r="A3673" t="s">
        <v>5069</v>
      </c>
      <c r="B3673" t="s">
        <v>5243</v>
      </c>
      <c r="C3673" t="s">
        <v>23</v>
      </c>
      <c r="D3673" t="s">
        <v>24</v>
      </c>
      <c r="E3673" t="s">
        <v>25</v>
      </c>
      <c r="F3673">
        <v>1</v>
      </c>
      <c r="G3673">
        <v>9791136904782</v>
      </c>
      <c r="H3673" t="s">
        <v>26</v>
      </c>
      <c r="I3673" t="s">
        <v>1549</v>
      </c>
      <c r="J3673" t="s">
        <v>166</v>
      </c>
      <c r="K3673" t="s">
        <v>29</v>
      </c>
      <c r="L3673">
        <v>0</v>
      </c>
      <c r="M3673" t="s">
        <v>29</v>
      </c>
      <c r="N3673">
        <v>0</v>
      </c>
      <c r="O3673">
        <v>0</v>
      </c>
      <c r="P3673" t="s">
        <v>30</v>
      </c>
      <c r="Q3673" s="2">
        <v>0.7</v>
      </c>
      <c r="R3673">
        <v>0</v>
      </c>
      <c r="V3673" t="str">
        <f>VLOOKUP(H3673,'[1]팀별 출판사'!A:B,2,0)</f>
        <v>소설1팀</v>
      </c>
      <c r="W3673" s="6">
        <f t="shared" si="114"/>
        <v>0</v>
      </c>
      <c r="X3673" s="6">
        <f t="shared" si="115"/>
        <v>0</v>
      </c>
    </row>
    <row r="3674" spans="1:24" x14ac:dyDescent="0.3">
      <c r="A3674" t="s">
        <v>5069</v>
      </c>
      <c r="B3674" t="s">
        <v>5244</v>
      </c>
      <c r="C3674" t="s">
        <v>23</v>
      </c>
      <c r="D3674" t="s">
        <v>24</v>
      </c>
      <c r="E3674" t="s">
        <v>25</v>
      </c>
      <c r="F3674">
        <v>1</v>
      </c>
      <c r="G3674">
        <v>9791172924133</v>
      </c>
      <c r="H3674" t="s">
        <v>26</v>
      </c>
      <c r="I3674" t="s">
        <v>5245</v>
      </c>
      <c r="J3674" t="s">
        <v>652</v>
      </c>
      <c r="K3674" t="s">
        <v>29</v>
      </c>
      <c r="L3674">
        <v>0</v>
      </c>
      <c r="M3674" t="s">
        <v>29</v>
      </c>
      <c r="N3674">
        <v>0</v>
      </c>
      <c r="O3674">
        <v>0</v>
      </c>
      <c r="P3674" t="s">
        <v>30</v>
      </c>
      <c r="Q3674" s="2">
        <v>0.7</v>
      </c>
      <c r="R3674">
        <v>0</v>
      </c>
      <c r="V3674" t="str">
        <f>VLOOKUP(H3674,'[1]팀별 출판사'!A:B,2,0)</f>
        <v>소설1팀</v>
      </c>
      <c r="W3674" s="6">
        <f t="shared" si="114"/>
        <v>0</v>
      </c>
      <c r="X3674" s="6">
        <f t="shared" si="115"/>
        <v>0</v>
      </c>
    </row>
    <row r="3675" spans="1:24" x14ac:dyDescent="0.3">
      <c r="A3675" t="s">
        <v>5069</v>
      </c>
      <c r="B3675" t="s">
        <v>5246</v>
      </c>
      <c r="C3675" t="s">
        <v>23</v>
      </c>
      <c r="D3675" t="s">
        <v>24</v>
      </c>
      <c r="E3675" t="s">
        <v>25</v>
      </c>
      <c r="F3675">
        <v>1</v>
      </c>
      <c r="G3675">
        <v>9791136946782</v>
      </c>
      <c r="H3675" t="s">
        <v>26</v>
      </c>
      <c r="I3675" t="s">
        <v>291</v>
      </c>
      <c r="J3675" t="s">
        <v>28</v>
      </c>
      <c r="K3675" t="s">
        <v>29</v>
      </c>
      <c r="L3675">
        <v>0</v>
      </c>
      <c r="M3675" t="s">
        <v>29</v>
      </c>
      <c r="N3675">
        <v>0</v>
      </c>
      <c r="O3675">
        <v>0</v>
      </c>
      <c r="P3675" t="s">
        <v>30</v>
      </c>
      <c r="Q3675" s="2">
        <v>0.7</v>
      </c>
      <c r="R3675">
        <v>0</v>
      </c>
      <c r="V3675" t="str">
        <f>VLOOKUP(H3675,'[1]팀별 출판사'!A:B,2,0)</f>
        <v>소설1팀</v>
      </c>
      <c r="W3675" s="6">
        <f t="shared" si="114"/>
        <v>0</v>
      </c>
      <c r="X3675" s="6">
        <f t="shared" si="115"/>
        <v>0</v>
      </c>
    </row>
    <row r="3676" spans="1:24" x14ac:dyDescent="0.3">
      <c r="A3676" t="s">
        <v>5069</v>
      </c>
      <c r="B3676" t="s">
        <v>5247</v>
      </c>
      <c r="C3676" t="s">
        <v>23</v>
      </c>
      <c r="D3676" t="s">
        <v>24</v>
      </c>
      <c r="E3676" t="s">
        <v>25</v>
      </c>
      <c r="F3676">
        <v>1</v>
      </c>
      <c r="G3676">
        <v>9791173785146</v>
      </c>
      <c r="H3676" t="s">
        <v>26</v>
      </c>
      <c r="I3676" t="s">
        <v>2443</v>
      </c>
      <c r="J3676" t="s">
        <v>62</v>
      </c>
      <c r="K3676" t="s">
        <v>29</v>
      </c>
      <c r="L3676" s="1">
        <v>3200</v>
      </c>
      <c r="M3676" t="s">
        <v>29</v>
      </c>
      <c r="N3676" s="1">
        <v>3200</v>
      </c>
      <c r="O3676" s="1">
        <v>3200</v>
      </c>
      <c r="P3676" t="s">
        <v>30</v>
      </c>
      <c r="Q3676" s="2">
        <v>0.7</v>
      </c>
      <c r="R3676" s="1">
        <v>2240</v>
      </c>
      <c r="S3676" t="s">
        <v>29</v>
      </c>
      <c r="T3676" s="1">
        <v>2240</v>
      </c>
      <c r="V3676" t="str">
        <f>VLOOKUP(H3676,'[1]팀별 출판사'!A:B,2,0)</f>
        <v>소설1팀</v>
      </c>
      <c r="W3676" s="6">
        <f t="shared" si="114"/>
        <v>0</v>
      </c>
      <c r="X3676" s="6">
        <f t="shared" si="115"/>
        <v>2240</v>
      </c>
    </row>
    <row r="3677" spans="1:24" x14ac:dyDescent="0.3">
      <c r="A3677" t="s">
        <v>5069</v>
      </c>
      <c r="B3677" t="s">
        <v>5248</v>
      </c>
      <c r="C3677" t="s">
        <v>23</v>
      </c>
      <c r="D3677" t="s">
        <v>24</v>
      </c>
      <c r="E3677" t="s">
        <v>25</v>
      </c>
      <c r="F3677">
        <v>1</v>
      </c>
      <c r="G3677">
        <v>9791157532100</v>
      </c>
      <c r="H3677" t="s">
        <v>32</v>
      </c>
      <c r="I3677" t="s">
        <v>1432</v>
      </c>
      <c r="J3677" t="s">
        <v>112</v>
      </c>
      <c r="K3677" t="s">
        <v>29</v>
      </c>
      <c r="L3677">
        <v>0</v>
      </c>
      <c r="M3677" t="s">
        <v>29</v>
      </c>
      <c r="N3677">
        <v>0</v>
      </c>
      <c r="O3677">
        <v>0</v>
      </c>
      <c r="P3677" t="s">
        <v>30</v>
      </c>
      <c r="Q3677" s="2">
        <v>0.7</v>
      </c>
      <c r="R3677">
        <v>0</v>
      </c>
      <c r="V3677" t="str">
        <f>VLOOKUP(H3677,'[1]팀별 출판사'!A:B,2,0)</f>
        <v>소설1팀</v>
      </c>
      <c r="W3677" s="6">
        <f t="shared" si="114"/>
        <v>0</v>
      </c>
      <c r="X3677" s="6">
        <f t="shared" si="115"/>
        <v>0</v>
      </c>
    </row>
    <row r="3678" spans="1:24" x14ac:dyDescent="0.3">
      <c r="A3678" t="s">
        <v>5069</v>
      </c>
      <c r="B3678" t="s">
        <v>5249</v>
      </c>
      <c r="C3678" t="s">
        <v>23</v>
      </c>
      <c r="D3678" t="s">
        <v>24</v>
      </c>
      <c r="E3678" t="s">
        <v>25</v>
      </c>
      <c r="F3678">
        <v>1</v>
      </c>
      <c r="G3678">
        <v>9791136907363</v>
      </c>
      <c r="H3678" t="s">
        <v>26</v>
      </c>
      <c r="I3678" t="s">
        <v>5250</v>
      </c>
      <c r="J3678" t="s">
        <v>1348</v>
      </c>
      <c r="K3678" t="s">
        <v>29</v>
      </c>
      <c r="L3678" s="1">
        <v>3200</v>
      </c>
      <c r="M3678" t="s">
        <v>29</v>
      </c>
      <c r="N3678" s="1">
        <v>3200</v>
      </c>
      <c r="O3678" s="1">
        <v>3200</v>
      </c>
      <c r="P3678" t="s">
        <v>30</v>
      </c>
      <c r="Q3678" s="2">
        <v>0.7</v>
      </c>
      <c r="R3678" s="1">
        <v>2240</v>
      </c>
      <c r="S3678" t="s">
        <v>29</v>
      </c>
      <c r="T3678" s="1">
        <v>2240</v>
      </c>
      <c r="V3678" t="str">
        <f>VLOOKUP(H3678,'[1]팀별 출판사'!A:B,2,0)</f>
        <v>소설1팀</v>
      </c>
      <c r="W3678" s="6">
        <f t="shared" si="114"/>
        <v>0</v>
      </c>
      <c r="X3678" s="6">
        <f t="shared" si="115"/>
        <v>2240</v>
      </c>
    </row>
    <row r="3679" spans="1:24" x14ac:dyDescent="0.3">
      <c r="A3679" t="s">
        <v>5251</v>
      </c>
      <c r="B3679" t="s">
        <v>5252</v>
      </c>
      <c r="C3679" t="s">
        <v>23</v>
      </c>
      <c r="D3679" t="s">
        <v>24</v>
      </c>
      <c r="E3679" t="s">
        <v>25</v>
      </c>
      <c r="F3679">
        <v>1</v>
      </c>
      <c r="G3679">
        <v>9791136906373</v>
      </c>
      <c r="H3679" t="s">
        <v>26</v>
      </c>
      <c r="I3679" t="s">
        <v>5253</v>
      </c>
      <c r="J3679" t="s">
        <v>459</v>
      </c>
      <c r="K3679" t="s">
        <v>29</v>
      </c>
      <c r="L3679" s="1">
        <v>3200</v>
      </c>
      <c r="M3679" t="s">
        <v>29</v>
      </c>
      <c r="N3679" s="1">
        <v>3200</v>
      </c>
      <c r="O3679" s="1">
        <v>3200</v>
      </c>
      <c r="P3679" t="s">
        <v>30</v>
      </c>
      <c r="Q3679" s="2">
        <v>0.7</v>
      </c>
      <c r="R3679" s="1">
        <v>2240</v>
      </c>
      <c r="S3679" t="s">
        <v>29</v>
      </c>
      <c r="T3679" s="1">
        <v>2240</v>
      </c>
      <c r="V3679" t="str">
        <f>VLOOKUP(H3679,'[1]팀별 출판사'!A:B,2,0)</f>
        <v>소설1팀</v>
      </c>
      <c r="W3679" s="6">
        <f t="shared" si="114"/>
        <v>0</v>
      </c>
      <c r="X3679" s="6">
        <f t="shared" si="115"/>
        <v>2240</v>
      </c>
    </row>
    <row r="3680" spans="1:24" x14ac:dyDescent="0.3">
      <c r="A3680" t="s">
        <v>5251</v>
      </c>
      <c r="B3680" t="s">
        <v>5254</v>
      </c>
      <c r="C3680" t="s">
        <v>23</v>
      </c>
      <c r="D3680" t="s">
        <v>24</v>
      </c>
      <c r="E3680" t="s">
        <v>25</v>
      </c>
      <c r="F3680">
        <v>1</v>
      </c>
      <c r="G3680">
        <v>9791136910431</v>
      </c>
      <c r="H3680" t="s">
        <v>26</v>
      </c>
      <c r="I3680" t="s">
        <v>354</v>
      </c>
      <c r="J3680" t="s">
        <v>355</v>
      </c>
      <c r="K3680" t="s">
        <v>29</v>
      </c>
      <c r="L3680">
        <v>0</v>
      </c>
      <c r="M3680" t="s">
        <v>29</v>
      </c>
      <c r="N3680">
        <v>0</v>
      </c>
      <c r="O3680">
        <v>0</v>
      </c>
      <c r="P3680" t="s">
        <v>30</v>
      </c>
      <c r="Q3680" s="2">
        <v>0.7</v>
      </c>
      <c r="R3680">
        <v>0</v>
      </c>
      <c r="V3680" t="str">
        <f>VLOOKUP(H3680,'[1]팀별 출판사'!A:B,2,0)</f>
        <v>소설1팀</v>
      </c>
      <c r="W3680" s="6">
        <f t="shared" si="114"/>
        <v>0</v>
      </c>
      <c r="X3680" s="6">
        <f t="shared" si="115"/>
        <v>0</v>
      </c>
    </row>
    <row r="3681" spans="1:24" x14ac:dyDescent="0.3">
      <c r="A3681" t="s">
        <v>5251</v>
      </c>
      <c r="B3681" t="s">
        <v>5255</v>
      </c>
      <c r="C3681" t="s">
        <v>23</v>
      </c>
      <c r="D3681" t="s">
        <v>24</v>
      </c>
      <c r="E3681" t="s">
        <v>25</v>
      </c>
      <c r="F3681">
        <v>1</v>
      </c>
      <c r="G3681">
        <v>9791136965455</v>
      </c>
      <c r="H3681" t="s">
        <v>26</v>
      </c>
      <c r="I3681" t="s">
        <v>472</v>
      </c>
      <c r="J3681" t="s">
        <v>157</v>
      </c>
      <c r="K3681" t="s">
        <v>29</v>
      </c>
      <c r="L3681">
        <v>0</v>
      </c>
      <c r="M3681" t="s">
        <v>47</v>
      </c>
      <c r="N3681">
        <v>0</v>
      </c>
      <c r="O3681">
        <v>0</v>
      </c>
      <c r="P3681" t="s">
        <v>48</v>
      </c>
      <c r="Q3681" s="2">
        <v>0.7</v>
      </c>
      <c r="R3681">
        <v>0</v>
      </c>
      <c r="V3681" t="str">
        <f>VLOOKUP(H3681,'[1]팀별 출판사'!A:B,2,0)</f>
        <v>소설1팀</v>
      </c>
      <c r="W3681" s="6">
        <f t="shared" si="114"/>
        <v>0</v>
      </c>
      <c r="X3681" s="6">
        <f t="shared" si="115"/>
        <v>0</v>
      </c>
    </row>
    <row r="3682" spans="1:24" x14ac:dyDescent="0.3">
      <c r="A3682" t="s">
        <v>5251</v>
      </c>
      <c r="B3682" t="s">
        <v>5256</v>
      </c>
      <c r="C3682" t="s">
        <v>23</v>
      </c>
      <c r="D3682" t="s">
        <v>24</v>
      </c>
      <c r="E3682" t="s">
        <v>25</v>
      </c>
      <c r="F3682">
        <v>1</v>
      </c>
      <c r="G3682">
        <v>9791136935007</v>
      </c>
      <c r="H3682" t="s">
        <v>32</v>
      </c>
      <c r="I3682" t="s">
        <v>1081</v>
      </c>
      <c r="J3682" t="s">
        <v>1082</v>
      </c>
      <c r="K3682" t="s">
        <v>29</v>
      </c>
      <c r="L3682">
        <v>0</v>
      </c>
      <c r="M3682" t="s">
        <v>1486</v>
      </c>
      <c r="N3682">
        <v>0</v>
      </c>
      <c r="O3682">
        <v>0</v>
      </c>
      <c r="P3682" t="s">
        <v>1487</v>
      </c>
      <c r="Q3682" s="2">
        <v>0.7</v>
      </c>
      <c r="R3682">
        <v>0</v>
      </c>
      <c r="V3682" t="str">
        <f>VLOOKUP(H3682,'[1]팀별 출판사'!A:B,2,0)</f>
        <v>소설1팀</v>
      </c>
      <c r="W3682" s="6">
        <f t="shared" si="114"/>
        <v>0</v>
      </c>
      <c r="X3682" s="6">
        <f t="shared" si="115"/>
        <v>0</v>
      </c>
    </row>
    <row r="3683" spans="1:24" x14ac:dyDescent="0.3">
      <c r="A3683" t="s">
        <v>5251</v>
      </c>
      <c r="B3683" t="s">
        <v>5257</v>
      </c>
      <c r="C3683" t="s">
        <v>23</v>
      </c>
      <c r="D3683" t="s">
        <v>24</v>
      </c>
      <c r="E3683" t="s">
        <v>25</v>
      </c>
      <c r="F3683">
        <v>1</v>
      </c>
      <c r="G3683">
        <v>9791136958792</v>
      </c>
      <c r="H3683" t="s">
        <v>79</v>
      </c>
      <c r="I3683" t="s">
        <v>5258</v>
      </c>
      <c r="J3683" t="s">
        <v>81</v>
      </c>
      <c r="K3683" t="s">
        <v>29</v>
      </c>
      <c r="L3683" s="1">
        <v>3200</v>
      </c>
      <c r="M3683" t="s">
        <v>29</v>
      </c>
      <c r="N3683" s="1">
        <v>3200</v>
      </c>
      <c r="O3683" s="1">
        <v>3200</v>
      </c>
      <c r="P3683" t="s">
        <v>30</v>
      </c>
      <c r="Q3683" s="2">
        <v>0.7</v>
      </c>
      <c r="R3683" s="1">
        <v>2240</v>
      </c>
      <c r="S3683" t="s">
        <v>29</v>
      </c>
      <c r="T3683" s="1">
        <v>2240</v>
      </c>
      <c r="V3683" t="str">
        <f>VLOOKUP(H3683,'[1]팀별 출판사'!A:B,2,0)</f>
        <v>소설1팀</v>
      </c>
      <c r="W3683" s="6">
        <f t="shared" si="114"/>
        <v>0</v>
      </c>
      <c r="X3683" s="6">
        <f t="shared" si="115"/>
        <v>2240</v>
      </c>
    </row>
    <row r="3684" spans="1:24" x14ac:dyDescent="0.3">
      <c r="A3684" t="s">
        <v>5251</v>
      </c>
      <c r="B3684" t="s">
        <v>5259</v>
      </c>
      <c r="C3684" t="s">
        <v>23</v>
      </c>
      <c r="D3684" t="s">
        <v>24</v>
      </c>
      <c r="E3684" t="s">
        <v>25</v>
      </c>
      <c r="F3684">
        <v>1</v>
      </c>
      <c r="G3684">
        <v>9791170102687</v>
      </c>
      <c r="H3684" t="s">
        <v>67</v>
      </c>
      <c r="I3684" t="s">
        <v>398</v>
      </c>
      <c r="J3684" t="s">
        <v>399</v>
      </c>
      <c r="K3684" t="s">
        <v>29</v>
      </c>
      <c r="L3684">
        <v>0</v>
      </c>
      <c r="M3684" t="s">
        <v>29</v>
      </c>
      <c r="N3684">
        <v>0</v>
      </c>
      <c r="O3684">
        <v>0</v>
      </c>
      <c r="P3684" t="s">
        <v>30</v>
      </c>
      <c r="Q3684" s="2">
        <v>0.7</v>
      </c>
      <c r="R3684">
        <v>0</v>
      </c>
      <c r="V3684" t="str">
        <f>VLOOKUP(H3684,'[1]팀별 출판사'!A:B,2,0)</f>
        <v>소설1팀</v>
      </c>
      <c r="W3684" s="6">
        <f t="shared" si="114"/>
        <v>0</v>
      </c>
      <c r="X3684" s="6">
        <f t="shared" si="115"/>
        <v>0</v>
      </c>
    </row>
    <row r="3685" spans="1:24" x14ac:dyDescent="0.3">
      <c r="A3685" t="s">
        <v>5251</v>
      </c>
      <c r="B3685" t="s">
        <v>5260</v>
      </c>
      <c r="C3685" t="s">
        <v>23</v>
      </c>
      <c r="D3685" t="s">
        <v>24</v>
      </c>
      <c r="E3685" t="s">
        <v>25</v>
      </c>
      <c r="F3685">
        <v>1</v>
      </c>
      <c r="G3685">
        <v>9791133186501</v>
      </c>
      <c r="H3685" t="s">
        <v>26</v>
      </c>
      <c r="I3685" t="s">
        <v>64</v>
      </c>
      <c r="J3685" t="s">
        <v>65</v>
      </c>
      <c r="K3685" t="s">
        <v>29</v>
      </c>
      <c r="L3685">
        <v>0</v>
      </c>
      <c r="M3685" t="s">
        <v>29</v>
      </c>
      <c r="N3685">
        <v>0</v>
      </c>
      <c r="O3685">
        <v>0</v>
      </c>
      <c r="P3685" t="s">
        <v>30</v>
      </c>
      <c r="Q3685" s="2">
        <v>0.7</v>
      </c>
      <c r="R3685">
        <v>0</v>
      </c>
      <c r="V3685" t="str">
        <f>VLOOKUP(H3685,'[1]팀별 출판사'!A:B,2,0)</f>
        <v>소설1팀</v>
      </c>
      <c r="W3685" s="6">
        <f t="shared" si="114"/>
        <v>0</v>
      </c>
      <c r="X3685" s="6">
        <f t="shared" si="115"/>
        <v>0</v>
      </c>
    </row>
    <row r="3686" spans="1:24" x14ac:dyDescent="0.3">
      <c r="A3686" t="s">
        <v>5251</v>
      </c>
      <c r="B3686" t="s">
        <v>5261</v>
      </c>
      <c r="C3686" t="s">
        <v>23</v>
      </c>
      <c r="D3686" t="s">
        <v>24</v>
      </c>
      <c r="E3686" t="s">
        <v>25</v>
      </c>
      <c r="F3686">
        <v>1</v>
      </c>
      <c r="G3686">
        <v>9791133187010</v>
      </c>
      <c r="H3686" t="s">
        <v>26</v>
      </c>
      <c r="I3686" t="s">
        <v>745</v>
      </c>
      <c r="J3686" t="s">
        <v>743</v>
      </c>
      <c r="K3686" t="s">
        <v>29</v>
      </c>
      <c r="L3686">
        <v>0</v>
      </c>
      <c r="M3686" t="s">
        <v>29</v>
      </c>
      <c r="N3686">
        <v>0</v>
      </c>
      <c r="O3686">
        <v>0</v>
      </c>
      <c r="P3686" t="s">
        <v>30</v>
      </c>
      <c r="Q3686" s="2">
        <v>0.7</v>
      </c>
      <c r="R3686">
        <v>0</v>
      </c>
      <c r="V3686" t="str">
        <f>VLOOKUP(H3686,'[1]팀별 출판사'!A:B,2,0)</f>
        <v>소설1팀</v>
      </c>
      <c r="W3686" s="6">
        <f t="shared" si="114"/>
        <v>0</v>
      </c>
      <c r="X3686" s="6">
        <f t="shared" si="115"/>
        <v>0</v>
      </c>
    </row>
    <row r="3687" spans="1:24" x14ac:dyDescent="0.3">
      <c r="A3687" t="s">
        <v>5251</v>
      </c>
      <c r="B3687" t="s">
        <v>5262</v>
      </c>
      <c r="C3687" t="s">
        <v>23</v>
      </c>
      <c r="D3687" t="s">
        <v>24</v>
      </c>
      <c r="E3687" t="s">
        <v>25</v>
      </c>
      <c r="F3687">
        <v>1</v>
      </c>
      <c r="G3687">
        <v>9791170106715</v>
      </c>
      <c r="H3687" t="s">
        <v>67</v>
      </c>
      <c r="I3687" t="s">
        <v>68</v>
      </c>
      <c r="J3687" t="s">
        <v>69</v>
      </c>
      <c r="K3687" t="s">
        <v>29</v>
      </c>
      <c r="L3687">
        <v>0</v>
      </c>
      <c r="M3687" t="s">
        <v>1379</v>
      </c>
      <c r="N3687">
        <v>0</v>
      </c>
      <c r="O3687">
        <v>0</v>
      </c>
      <c r="P3687" t="s">
        <v>1380</v>
      </c>
      <c r="Q3687" s="2">
        <v>0.7</v>
      </c>
      <c r="R3687">
        <v>0</v>
      </c>
      <c r="V3687" t="str">
        <f>VLOOKUP(H3687,'[1]팀별 출판사'!A:B,2,0)</f>
        <v>소설1팀</v>
      </c>
      <c r="W3687" s="6">
        <f t="shared" si="114"/>
        <v>0</v>
      </c>
      <c r="X3687" s="6">
        <f t="shared" si="115"/>
        <v>0</v>
      </c>
    </row>
    <row r="3688" spans="1:24" x14ac:dyDescent="0.3">
      <c r="A3688" t="s">
        <v>5251</v>
      </c>
      <c r="B3688" t="s">
        <v>5263</v>
      </c>
      <c r="C3688" t="s">
        <v>23</v>
      </c>
      <c r="D3688" t="s">
        <v>24</v>
      </c>
      <c r="E3688" t="s">
        <v>25</v>
      </c>
      <c r="F3688">
        <v>1</v>
      </c>
      <c r="G3688">
        <v>9791170107064</v>
      </c>
      <c r="H3688" t="s">
        <v>67</v>
      </c>
      <c r="I3688" t="s">
        <v>901</v>
      </c>
      <c r="J3688" t="s">
        <v>902</v>
      </c>
      <c r="K3688" t="s">
        <v>29</v>
      </c>
      <c r="L3688">
        <v>0</v>
      </c>
      <c r="M3688" t="s">
        <v>1379</v>
      </c>
      <c r="N3688">
        <v>0</v>
      </c>
      <c r="O3688">
        <v>0</v>
      </c>
      <c r="P3688" t="s">
        <v>1380</v>
      </c>
      <c r="Q3688" s="2">
        <v>0.7</v>
      </c>
      <c r="R3688">
        <v>0</v>
      </c>
      <c r="V3688" t="str">
        <f>VLOOKUP(H3688,'[1]팀별 출판사'!A:B,2,0)</f>
        <v>소설1팀</v>
      </c>
      <c r="W3688" s="6">
        <f t="shared" si="114"/>
        <v>0</v>
      </c>
      <c r="X3688" s="6">
        <f t="shared" si="115"/>
        <v>0</v>
      </c>
    </row>
    <row r="3689" spans="1:24" x14ac:dyDescent="0.3">
      <c r="A3689" t="s">
        <v>5251</v>
      </c>
      <c r="B3689" t="s">
        <v>5264</v>
      </c>
      <c r="C3689" t="s">
        <v>23</v>
      </c>
      <c r="D3689" t="s">
        <v>24</v>
      </c>
      <c r="E3689" t="s">
        <v>25</v>
      </c>
      <c r="F3689">
        <v>1</v>
      </c>
      <c r="G3689">
        <v>9791136945013</v>
      </c>
      <c r="H3689" t="s">
        <v>26</v>
      </c>
      <c r="I3689" t="s">
        <v>125</v>
      </c>
      <c r="J3689" t="s">
        <v>126</v>
      </c>
      <c r="K3689" t="s">
        <v>29</v>
      </c>
      <c r="L3689">
        <v>0</v>
      </c>
      <c r="M3689" t="s">
        <v>47</v>
      </c>
      <c r="N3689">
        <v>0</v>
      </c>
      <c r="O3689">
        <v>0</v>
      </c>
      <c r="P3689" t="s">
        <v>48</v>
      </c>
      <c r="Q3689" s="2">
        <v>0.7</v>
      </c>
      <c r="R3689">
        <v>0</v>
      </c>
      <c r="V3689" t="str">
        <f>VLOOKUP(H3689,'[1]팀별 출판사'!A:B,2,0)</f>
        <v>소설1팀</v>
      </c>
      <c r="W3689" s="6">
        <f t="shared" si="114"/>
        <v>0</v>
      </c>
      <c r="X3689" s="6">
        <f t="shared" si="115"/>
        <v>0</v>
      </c>
    </row>
    <row r="3690" spans="1:24" x14ac:dyDescent="0.3">
      <c r="A3690" t="s">
        <v>5251</v>
      </c>
      <c r="B3690" t="s">
        <v>5265</v>
      </c>
      <c r="C3690" t="s">
        <v>23</v>
      </c>
      <c r="D3690" t="s">
        <v>24</v>
      </c>
      <c r="E3690" t="s">
        <v>25</v>
      </c>
      <c r="F3690">
        <v>1</v>
      </c>
      <c r="G3690">
        <v>9791133198382</v>
      </c>
      <c r="H3690" t="s">
        <v>26</v>
      </c>
      <c r="I3690" t="s">
        <v>358</v>
      </c>
      <c r="J3690" t="s">
        <v>359</v>
      </c>
      <c r="K3690" t="s">
        <v>29</v>
      </c>
      <c r="L3690">
        <v>0</v>
      </c>
      <c r="M3690" t="s">
        <v>29</v>
      </c>
      <c r="N3690">
        <v>0</v>
      </c>
      <c r="O3690">
        <v>0</v>
      </c>
      <c r="P3690" t="s">
        <v>30</v>
      </c>
      <c r="Q3690" s="2">
        <v>0.7</v>
      </c>
      <c r="R3690">
        <v>0</v>
      </c>
      <c r="V3690" t="str">
        <f>VLOOKUP(H3690,'[1]팀별 출판사'!A:B,2,0)</f>
        <v>소설1팀</v>
      </c>
      <c r="W3690" s="6">
        <f t="shared" si="114"/>
        <v>0</v>
      </c>
      <c r="X3690" s="6">
        <f t="shared" si="115"/>
        <v>0</v>
      </c>
    </row>
    <row r="3691" spans="1:24" x14ac:dyDescent="0.3">
      <c r="A3691" t="s">
        <v>5251</v>
      </c>
      <c r="B3691" t="s">
        <v>5266</v>
      </c>
      <c r="C3691" t="s">
        <v>23</v>
      </c>
      <c r="D3691" t="s">
        <v>24</v>
      </c>
      <c r="E3691" t="s">
        <v>25</v>
      </c>
      <c r="F3691">
        <v>1</v>
      </c>
      <c r="G3691">
        <v>9791136920485</v>
      </c>
      <c r="H3691" t="s">
        <v>26</v>
      </c>
      <c r="I3691" t="s">
        <v>3002</v>
      </c>
      <c r="J3691" t="s">
        <v>3003</v>
      </c>
      <c r="K3691" t="s">
        <v>29</v>
      </c>
      <c r="L3691">
        <v>0</v>
      </c>
      <c r="M3691" t="s">
        <v>29</v>
      </c>
      <c r="N3691">
        <v>0</v>
      </c>
      <c r="O3691">
        <v>0</v>
      </c>
      <c r="P3691" t="s">
        <v>30</v>
      </c>
      <c r="Q3691" s="2">
        <v>0.7</v>
      </c>
      <c r="R3691">
        <v>0</v>
      </c>
      <c r="V3691" t="str">
        <f>VLOOKUP(H3691,'[1]팀별 출판사'!A:B,2,0)</f>
        <v>소설1팀</v>
      </c>
      <c r="W3691" s="6">
        <f t="shared" si="114"/>
        <v>0</v>
      </c>
      <c r="X3691" s="6">
        <f t="shared" si="115"/>
        <v>0</v>
      </c>
    </row>
    <row r="3692" spans="1:24" x14ac:dyDescent="0.3">
      <c r="A3692" t="s">
        <v>5251</v>
      </c>
      <c r="B3692" t="s">
        <v>5267</v>
      </c>
      <c r="C3692" t="s">
        <v>23</v>
      </c>
      <c r="D3692" t="s">
        <v>24</v>
      </c>
      <c r="E3692" t="s">
        <v>25</v>
      </c>
      <c r="F3692">
        <v>1</v>
      </c>
      <c r="G3692">
        <v>9791133186501</v>
      </c>
      <c r="H3692" t="s">
        <v>26</v>
      </c>
      <c r="I3692" t="s">
        <v>64</v>
      </c>
      <c r="J3692" t="s">
        <v>65</v>
      </c>
      <c r="K3692" t="s">
        <v>29</v>
      </c>
      <c r="L3692">
        <v>0</v>
      </c>
      <c r="M3692" t="s">
        <v>29</v>
      </c>
      <c r="N3692">
        <v>0</v>
      </c>
      <c r="O3692">
        <v>0</v>
      </c>
      <c r="P3692" t="s">
        <v>30</v>
      </c>
      <c r="Q3692" s="2">
        <v>0.7</v>
      </c>
      <c r="R3692">
        <v>0</v>
      </c>
      <c r="V3692" t="str">
        <f>VLOOKUP(H3692,'[1]팀별 출판사'!A:B,2,0)</f>
        <v>소설1팀</v>
      </c>
      <c r="W3692" s="6">
        <f t="shared" si="114"/>
        <v>0</v>
      </c>
      <c r="X3692" s="6">
        <f t="shared" si="115"/>
        <v>0</v>
      </c>
    </row>
    <row r="3693" spans="1:24" x14ac:dyDescent="0.3">
      <c r="A3693" t="s">
        <v>5251</v>
      </c>
      <c r="B3693" t="s">
        <v>5268</v>
      </c>
      <c r="C3693" t="s">
        <v>23</v>
      </c>
      <c r="D3693" t="s">
        <v>24</v>
      </c>
      <c r="E3693" t="s">
        <v>25</v>
      </c>
      <c r="F3693">
        <v>1</v>
      </c>
      <c r="G3693">
        <v>9791136944160</v>
      </c>
      <c r="H3693" t="s">
        <v>26</v>
      </c>
      <c r="I3693" t="s">
        <v>3127</v>
      </c>
      <c r="J3693" t="s">
        <v>1692</v>
      </c>
      <c r="K3693" t="s">
        <v>29</v>
      </c>
      <c r="L3693">
        <v>0</v>
      </c>
      <c r="M3693" t="s">
        <v>29</v>
      </c>
      <c r="N3693">
        <v>0</v>
      </c>
      <c r="O3693">
        <v>0</v>
      </c>
      <c r="P3693" t="s">
        <v>30</v>
      </c>
      <c r="Q3693" s="2">
        <v>0.7</v>
      </c>
      <c r="R3693">
        <v>0</v>
      </c>
      <c r="V3693" t="str">
        <f>VLOOKUP(H3693,'[1]팀별 출판사'!A:B,2,0)</f>
        <v>소설1팀</v>
      </c>
      <c r="W3693" s="6">
        <f t="shared" si="114"/>
        <v>0</v>
      </c>
      <c r="X3693" s="6">
        <f t="shared" si="115"/>
        <v>0</v>
      </c>
    </row>
    <row r="3694" spans="1:24" x14ac:dyDescent="0.3">
      <c r="A3694" t="s">
        <v>5251</v>
      </c>
      <c r="B3694" t="s">
        <v>5269</v>
      </c>
      <c r="C3694" t="s">
        <v>23</v>
      </c>
      <c r="D3694" t="s">
        <v>24</v>
      </c>
      <c r="E3694" t="s">
        <v>25</v>
      </c>
      <c r="F3694">
        <v>1</v>
      </c>
      <c r="G3694">
        <v>9791136927255</v>
      </c>
      <c r="H3694" t="s">
        <v>36</v>
      </c>
      <c r="I3694" t="s">
        <v>90</v>
      </c>
      <c r="J3694" t="s">
        <v>38</v>
      </c>
      <c r="K3694" t="s">
        <v>29</v>
      </c>
      <c r="L3694" s="1">
        <v>3300</v>
      </c>
      <c r="M3694" t="s">
        <v>29</v>
      </c>
      <c r="N3694" s="1">
        <v>3300</v>
      </c>
      <c r="O3694" s="1">
        <v>3300</v>
      </c>
      <c r="P3694" t="s">
        <v>30</v>
      </c>
      <c r="Q3694" s="2">
        <v>0.7</v>
      </c>
      <c r="R3694" s="1">
        <v>2310</v>
      </c>
      <c r="S3694" t="s">
        <v>29</v>
      </c>
      <c r="T3694" s="1">
        <v>2310</v>
      </c>
      <c r="V3694" t="str">
        <f>VLOOKUP(H3694,'[1]팀별 출판사'!A:B,2,0)</f>
        <v>소설2팀</v>
      </c>
      <c r="W3694" s="6">
        <f t="shared" si="114"/>
        <v>0</v>
      </c>
      <c r="X3694" s="6">
        <f t="shared" si="115"/>
        <v>2310</v>
      </c>
    </row>
    <row r="3695" spans="1:24" x14ac:dyDescent="0.3">
      <c r="A3695" t="s">
        <v>5251</v>
      </c>
      <c r="B3695" t="s">
        <v>5270</v>
      </c>
      <c r="C3695" t="s">
        <v>23</v>
      </c>
      <c r="D3695" t="s">
        <v>24</v>
      </c>
      <c r="E3695" t="s">
        <v>25</v>
      </c>
      <c r="F3695">
        <v>1</v>
      </c>
      <c r="G3695">
        <v>9791173782794</v>
      </c>
      <c r="H3695" t="s">
        <v>26</v>
      </c>
      <c r="I3695" t="s">
        <v>1209</v>
      </c>
      <c r="J3695" t="s">
        <v>284</v>
      </c>
      <c r="K3695" t="s">
        <v>29</v>
      </c>
      <c r="L3695">
        <v>0</v>
      </c>
      <c r="M3695" t="s">
        <v>29</v>
      </c>
      <c r="N3695">
        <v>0</v>
      </c>
      <c r="O3695">
        <v>0</v>
      </c>
      <c r="P3695" t="s">
        <v>30</v>
      </c>
      <c r="Q3695" s="2">
        <v>0.7</v>
      </c>
      <c r="R3695">
        <v>0</v>
      </c>
      <c r="V3695" t="str">
        <f>VLOOKUP(H3695,'[1]팀별 출판사'!A:B,2,0)</f>
        <v>소설1팀</v>
      </c>
      <c r="W3695" s="6">
        <f t="shared" si="114"/>
        <v>0</v>
      </c>
      <c r="X3695" s="6">
        <f t="shared" si="115"/>
        <v>0</v>
      </c>
    </row>
    <row r="3696" spans="1:24" x14ac:dyDescent="0.3">
      <c r="A3696" t="s">
        <v>5251</v>
      </c>
      <c r="B3696" t="s">
        <v>5271</v>
      </c>
      <c r="C3696" t="s">
        <v>23</v>
      </c>
      <c r="D3696" t="s">
        <v>24</v>
      </c>
      <c r="E3696" t="s">
        <v>25</v>
      </c>
      <c r="F3696">
        <v>1</v>
      </c>
      <c r="G3696">
        <v>9791136958662</v>
      </c>
      <c r="H3696" t="s">
        <v>79</v>
      </c>
      <c r="I3696" t="s">
        <v>396</v>
      </c>
      <c r="J3696" t="s">
        <v>81</v>
      </c>
      <c r="K3696" t="s">
        <v>29</v>
      </c>
      <c r="L3696">
        <v>0</v>
      </c>
      <c r="M3696" t="s">
        <v>29</v>
      </c>
      <c r="N3696">
        <v>0</v>
      </c>
      <c r="O3696">
        <v>0</v>
      </c>
      <c r="P3696" t="s">
        <v>30</v>
      </c>
      <c r="Q3696" s="2">
        <v>0.7</v>
      </c>
      <c r="R3696">
        <v>0</v>
      </c>
      <c r="V3696" t="str">
        <f>VLOOKUP(H3696,'[1]팀별 출판사'!A:B,2,0)</f>
        <v>소설1팀</v>
      </c>
      <c r="W3696" s="6">
        <f t="shared" si="114"/>
        <v>0</v>
      </c>
      <c r="X3696" s="6">
        <f t="shared" si="115"/>
        <v>0</v>
      </c>
    </row>
    <row r="3697" spans="1:24" x14ac:dyDescent="0.3">
      <c r="A3697" t="s">
        <v>5251</v>
      </c>
      <c r="B3697" t="s">
        <v>5272</v>
      </c>
      <c r="C3697" t="s">
        <v>23</v>
      </c>
      <c r="D3697" t="s">
        <v>24</v>
      </c>
      <c r="E3697" t="s">
        <v>25</v>
      </c>
      <c r="F3697">
        <v>1</v>
      </c>
      <c r="G3697">
        <v>9791136934925</v>
      </c>
      <c r="H3697" t="s">
        <v>32</v>
      </c>
      <c r="I3697" t="s">
        <v>385</v>
      </c>
      <c r="J3697" t="s">
        <v>126</v>
      </c>
      <c r="K3697" t="s">
        <v>29</v>
      </c>
      <c r="L3697">
        <v>0</v>
      </c>
      <c r="M3697" t="s">
        <v>127</v>
      </c>
      <c r="N3697">
        <v>0</v>
      </c>
      <c r="O3697">
        <v>0</v>
      </c>
      <c r="P3697" t="s">
        <v>128</v>
      </c>
      <c r="Q3697" s="2">
        <v>0.7</v>
      </c>
      <c r="R3697">
        <v>0</v>
      </c>
      <c r="V3697" t="str">
        <f>VLOOKUP(H3697,'[1]팀별 출판사'!A:B,2,0)</f>
        <v>소설1팀</v>
      </c>
      <c r="W3697" s="6">
        <f t="shared" si="114"/>
        <v>0</v>
      </c>
      <c r="X3697" s="6">
        <f t="shared" si="115"/>
        <v>0</v>
      </c>
    </row>
    <row r="3698" spans="1:24" x14ac:dyDescent="0.3">
      <c r="A3698" t="s">
        <v>5251</v>
      </c>
      <c r="B3698" t="s">
        <v>5273</v>
      </c>
      <c r="C3698" t="s">
        <v>23</v>
      </c>
      <c r="D3698" t="s">
        <v>24</v>
      </c>
      <c r="E3698" t="s">
        <v>25</v>
      </c>
      <c r="F3698">
        <v>1</v>
      </c>
      <c r="G3698">
        <v>9791136942036</v>
      </c>
      <c r="H3698" t="s">
        <v>26</v>
      </c>
      <c r="I3698" t="s">
        <v>1941</v>
      </c>
      <c r="J3698" t="s">
        <v>81</v>
      </c>
      <c r="K3698" t="s">
        <v>29</v>
      </c>
      <c r="L3698">
        <v>0</v>
      </c>
      <c r="M3698" t="s">
        <v>29</v>
      </c>
      <c r="N3698">
        <v>0</v>
      </c>
      <c r="O3698">
        <v>0</v>
      </c>
      <c r="P3698" t="s">
        <v>30</v>
      </c>
      <c r="Q3698" s="2">
        <v>0.7</v>
      </c>
      <c r="R3698">
        <v>0</v>
      </c>
      <c r="V3698" t="str">
        <f>VLOOKUP(H3698,'[1]팀별 출판사'!A:B,2,0)</f>
        <v>소설1팀</v>
      </c>
      <c r="W3698" s="6">
        <f t="shared" si="114"/>
        <v>0</v>
      </c>
      <c r="X3698" s="6">
        <f t="shared" si="115"/>
        <v>0</v>
      </c>
    </row>
    <row r="3699" spans="1:24" x14ac:dyDescent="0.3">
      <c r="A3699" t="s">
        <v>5251</v>
      </c>
      <c r="B3699" t="s">
        <v>5274</v>
      </c>
      <c r="C3699" t="s">
        <v>23</v>
      </c>
      <c r="D3699" t="s">
        <v>24</v>
      </c>
      <c r="E3699" t="s">
        <v>25</v>
      </c>
      <c r="F3699">
        <v>1</v>
      </c>
      <c r="G3699">
        <v>9791133130184</v>
      </c>
      <c r="H3699" t="s">
        <v>32</v>
      </c>
      <c r="I3699" t="s">
        <v>669</v>
      </c>
      <c r="J3699" t="s">
        <v>160</v>
      </c>
      <c r="K3699" t="s">
        <v>29</v>
      </c>
      <c r="L3699">
        <v>0</v>
      </c>
      <c r="M3699" t="s">
        <v>29</v>
      </c>
      <c r="N3699">
        <v>0</v>
      </c>
      <c r="O3699">
        <v>0</v>
      </c>
      <c r="P3699" t="s">
        <v>30</v>
      </c>
      <c r="Q3699" s="2">
        <v>0.7</v>
      </c>
      <c r="R3699">
        <v>0</v>
      </c>
      <c r="V3699" t="str">
        <f>VLOOKUP(H3699,'[1]팀별 출판사'!A:B,2,0)</f>
        <v>소설1팀</v>
      </c>
      <c r="W3699" s="6">
        <f t="shared" si="114"/>
        <v>0</v>
      </c>
      <c r="X3699" s="6">
        <f t="shared" si="115"/>
        <v>0</v>
      </c>
    </row>
    <row r="3700" spans="1:24" x14ac:dyDescent="0.3">
      <c r="A3700" t="s">
        <v>5251</v>
      </c>
      <c r="B3700" t="s">
        <v>5275</v>
      </c>
      <c r="C3700" t="s">
        <v>23</v>
      </c>
      <c r="D3700" t="s">
        <v>24</v>
      </c>
      <c r="E3700" t="s">
        <v>25</v>
      </c>
      <c r="F3700">
        <v>1</v>
      </c>
      <c r="G3700">
        <v>9791170107064</v>
      </c>
      <c r="H3700" t="s">
        <v>67</v>
      </c>
      <c r="I3700" t="s">
        <v>901</v>
      </c>
      <c r="J3700" t="s">
        <v>902</v>
      </c>
      <c r="K3700" t="s">
        <v>29</v>
      </c>
      <c r="L3700">
        <v>0</v>
      </c>
      <c r="M3700" t="s">
        <v>1379</v>
      </c>
      <c r="N3700">
        <v>0</v>
      </c>
      <c r="O3700">
        <v>0</v>
      </c>
      <c r="P3700" t="s">
        <v>1380</v>
      </c>
      <c r="Q3700" s="2">
        <v>0.7</v>
      </c>
      <c r="R3700">
        <v>0</v>
      </c>
      <c r="V3700" t="str">
        <f>VLOOKUP(H3700,'[1]팀별 출판사'!A:B,2,0)</f>
        <v>소설1팀</v>
      </c>
      <c r="W3700" s="6">
        <f t="shared" si="114"/>
        <v>0</v>
      </c>
      <c r="X3700" s="6">
        <f t="shared" si="115"/>
        <v>0</v>
      </c>
    </row>
    <row r="3701" spans="1:24" x14ac:dyDescent="0.3">
      <c r="A3701" t="s">
        <v>5251</v>
      </c>
      <c r="B3701" t="s">
        <v>5276</v>
      </c>
      <c r="C3701" t="s">
        <v>23</v>
      </c>
      <c r="D3701" t="s">
        <v>24</v>
      </c>
      <c r="E3701" t="s">
        <v>25</v>
      </c>
      <c r="F3701">
        <v>1</v>
      </c>
      <c r="G3701">
        <v>9791170106470</v>
      </c>
      <c r="H3701" t="s">
        <v>67</v>
      </c>
      <c r="I3701" t="s">
        <v>5277</v>
      </c>
      <c r="J3701" t="s">
        <v>932</v>
      </c>
      <c r="K3701" t="s">
        <v>29</v>
      </c>
      <c r="L3701">
        <v>0</v>
      </c>
      <c r="M3701" t="s">
        <v>1379</v>
      </c>
      <c r="N3701">
        <v>0</v>
      </c>
      <c r="O3701">
        <v>0</v>
      </c>
      <c r="P3701" t="s">
        <v>1380</v>
      </c>
      <c r="Q3701" s="2">
        <v>0.7</v>
      </c>
      <c r="R3701">
        <v>0</v>
      </c>
      <c r="V3701" t="str">
        <f>VLOOKUP(H3701,'[1]팀별 출판사'!A:B,2,0)</f>
        <v>소설1팀</v>
      </c>
      <c r="W3701" s="6">
        <f t="shared" si="114"/>
        <v>0</v>
      </c>
      <c r="X3701" s="6">
        <f t="shared" si="115"/>
        <v>0</v>
      </c>
    </row>
    <row r="3702" spans="1:24" x14ac:dyDescent="0.3">
      <c r="A3702" t="s">
        <v>5251</v>
      </c>
      <c r="B3702" t="s">
        <v>5278</v>
      </c>
      <c r="C3702" t="s">
        <v>23</v>
      </c>
      <c r="D3702" t="s">
        <v>24</v>
      </c>
      <c r="E3702" t="s">
        <v>25</v>
      </c>
      <c r="F3702">
        <v>1</v>
      </c>
      <c r="G3702">
        <v>9791170105985</v>
      </c>
      <c r="H3702" t="s">
        <v>67</v>
      </c>
      <c r="I3702" t="s">
        <v>2420</v>
      </c>
      <c r="J3702" t="s">
        <v>2421</v>
      </c>
      <c r="K3702" t="s">
        <v>29</v>
      </c>
      <c r="L3702">
        <v>0</v>
      </c>
      <c r="M3702" t="s">
        <v>1379</v>
      </c>
      <c r="N3702">
        <v>0</v>
      </c>
      <c r="O3702">
        <v>0</v>
      </c>
      <c r="P3702" t="s">
        <v>1380</v>
      </c>
      <c r="Q3702" s="2">
        <v>0.7</v>
      </c>
      <c r="R3702">
        <v>0</v>
      </c>
      <c r="V3702" t="str">
        <f>VLOOKUP(H3702,'[1]팀별 출판사'!A:B,2,0)</f>
        <v>소설1팀</v>
      </c>
      <c r="W3702" s="6">
        <f t="shared" si="114"/>
        <v>0</v>
      </c>
      <c r="X3702" s="6">
        <f t="shared" si="115"/>
        <v>0</v>
      </c>
    </row>
    <row r="3703" spans="1:24" x14ac:dyDescent="0.3">
      <c r="A3703" t="s">
        <v>5251</v>
      </c>
      <c r="B3703" t="s">
        <v>5279</v>
      </c>
      <c r="C3703" t="s">
        <v>23</v>
      </c>
      <c r="D3703" t="s">
        <v>24</v>
      </c>
      <c r="E3703" t="s">
        <v>25</v>
      </c>
      <c r="F3703">
        <v>1</v>
      </c>
      <c r="G3703">
        <v>9791136930613</v>
      </c>
      <c r="H3703" t="s">
        <v>32</v>
      </c>
      <c r="I3703" t="s">
        <v>57</v>
      </c>
      <c r="J3703" t="s">
        <v>34</v>
      </c>
      <c r="K3703" t="s">
        <v>29</v>
      </c>
      <c r="L3703">
        <v>0</v>
      </c>
      <c r="M3703" t="s">
        <v>47</v>
      </c>
      <c r="N3703">
        <v>0</v>
      </c>
      <c r="O3703">
        <v>0</v>
      </c>
      <c r="P3703" t="s">
        <v>48</v>
      </c>
      <c r="Q3703" s="2">
        <v>0.7</v>
      </c>
      <c r="R3703">
        <v>0</v>
      </c>
      <c r="V3703" t="str">
        <f>VLOOKUP(H3703,'[1]팀별 출판사'!A:B,2,0)</f>
        <v>소설1팀</v>
      </c>
      <c r="W3703" s="6">
        <f t="shared" si="114"/>
        <v>0</v>
      </c>
      <c r="X3703" s="6">
        <f t="shared" si="115"/>
        <v>0</v>
      </c>
    </row>
    <row r="3704" spans="1:24" x14ac:dyDescent="0.3">
      <c r="A3704" t="s">
        <v>5251</v>
      </c>
      <c r="B3704" t="s">
        <v>5280</v>
      </c>
      <c r="C3704" t="s">
        <v>23</v>
      </c>
      <c r="D3704" t="s">
        <v>24</v>
      </c>
      <c r="E3704" t="s">
        <v>25</v>
      </c>
      <c r="F3704">
        <v>1</v>
      </c>
      <c r="G3704">
        <v>9791136930156</v>
      </c>
      <c r="H3704" t="s">
        <v>32</v>
      </c>
      <c r="I3704" t="s">
        <v>702</v>
      </c>
      <c r="J3704" t="s">
        <v>34</v>
      </c>
      <c r="K3704" t="s">
        <v>29</v>
      </c>
      <c r="L3704">
        <v>0</v>
      </c>
      <c r="M3704" t="s">
        <v>47</v>
      </c>
      <c r="N3704">
        <v>0</v>
      </c>
      <c r="O3704">
        <v>0</v>
      </c>
      <c r="P3704" t="s">
        <v>48</v>
      </c>
      <c r="Q3704" s="2">
        <v>0.7</v>
      </c>
      <c r="R3704">
        <v>0</v>
      </c>
      <c r="V3704" t="str">
        <f>VLOOKUP(H3704,'[1]팀별 출판사'!A:B,2,0)</f>
        <v>소설1팀</v>
      </c>
      <c r="W3704" s="6">
        <f t="shared" si="114"/>
        <v>0</v>
      </c>
      <c r="X3704" s="6">
        <f t="shared" si="115"/>
        <v>0</v>
      </c>
    </row>
    <row r="3705" spans="1:24" x14ac:dyDescent="0.3">
      <c r="A3705" t="s">
        <v>5251</v>
      </c>
      <c r="B3705" t="s">
        <v>5281</v>
      </c>
      <c r="C3705" t="s">
        <v>23</v>
      </c>
      <c r="D3705" t="s">
        <v>24</v>
      </c>
      <c r="E3705" t="s">
        <v>25</v>
      </c>
      <c r="F3705">
        <v>1</v>
      </c>
      <c r="G3705">
        <v>9791136910530</v>
      </c>
      <c r="H3705" t="s">
        <v>26</v>
      </c>
      <c r="I3705" t="s">
        <v>5282</v>
      </c>
      <c r="J3705" t="s">
        <v>355</v>
      </c>
      <c r="K3705" t="s">
        <v>29</v>
      </c>
      <c r="L3705" s="1">
        <v>3200</v>
      </c>
      <c r="M3705" t="s">
        <v>29</v>
      </c>
      <c r="N3705" s="1">
        <v>3200</v>
      </c>
      <c r="O3705" s="1">
        <v>3200</v>
      </c>
      <c r="P3705" t="s">
        <v>30</v>
      </c>
      <c r="Q3705" s="2">
        <v>0.7</v>
      </c>
      <c r="R3705" s="1">
        <v>2240</v>
      </c>
      <c r="S3705" t="s">
        <v>29</v>
      </c>
      <c r="T3705" s="1">
        <v>2240</v>
      </c>
      <c r="V3705" t="str">
        <f>VLOOKUP(H3705,'[1]팀별 출판사'!A:B,2,0)</f>
        <v>소설1팀</v>
      </c>
      <c r="W3705" s="6">
        <f t="shared" si="114"/>
        <v>0</v>
      </c>
      <c r="X3705" s="6">
        <f t="shared" si="115"/>
        <v>2240</v>
      </c>
    </row>
    <row r="3706" spans="1:24" x14ac:dyDescent="0.3">
      <c r="A3706" t="s">
        <v>5251</v>
      </c>
      <c r="B3706" t="s">
        <v>5283</v>
      </c>
      <c r="C3706" t="s">
        <v>23</v>
      </c>
      <c r="D3706" t="s">
        <v>24</v>
      </c>
      <c r="E3706" t="s">
        <v>25</v>
      </c>
      <c r="F3706">
        <v>1</v>
      </c>
      <c r="G3706">
        <v>9791170106944</v>
      </c>
      <c r="H3706" t="s">
        <v>67</v>
      </c>
      <c r="I3706" t="s">
        <v>2582</v>
      </c>
      <c r="J3706" t="s">
        <v>2583</v>
      </c>
      <c r="K3706" t="s">
        <v>29</v>
      </c>
      <c r="L3706">
        <v>0</v>
      </c>
      <c r="M3706" t="s">
        <v>29</v>
      </c>
      <c r="N3706">
        <v>0</v>
      </c>
      <c r="O3706">
        <v>0</v>
      </c>
      <c r="P3706" t="s">
        <v>30</v>
      </c>
      <c r="Q3706" s="2">
        <v>0.7</v>
      </c>
      <c r="R3706">
        <v>0</v>
      </c>
      <c r="V3706" t="str">
        <f>VLOOKUP(H3706,'[1]팀별 출판사'!A:B,2,0)</f>
        <v>소설1팀</v>
      </c>
      <c r="W3706" s="6">
        <f t="shared" si="114"/>
        <v>0</v>
      </c>
      <c r="X3706" s="6">
        <f t="shared" si="115"/>
        <v>0</v>
      </c>
    </row>
    <row r="3707" spans="1:24" x14ac:dyDescent="0.3">
      <c r="A3707" t="s">
        <v>5251</v>
      </c>
      <c r="B3707" t="s">
        <v>5284</v>
      </c>
      <c r="C3707" t="s">
        <v>23</v>
      </c>
      <c r="D3707" t="s">
        <v>24</v>
      </c>
      <c r="E3707" t="s">
        <v>25</v>
      </c>
      <c r="F3707">
        <v>1</v>
      </c>
      <c r="G3707">
        <v>9791136926784</v>
      </c>
      <c r="H3707" t="s">
        <v>26</v>
      </c>
      <c r="I3707" t="s">
        <v>1421</v>
      </c>
      <c r="J3707" t="s">
        <v>62</v>
      </c>
      <c r="K3707" t="s">
        <v>29</v>
      </c>
      <c r="L3707">
        <v>0</v>
      </c>
      <c r="M3707" t="s">
        <v>29</v>
      </c>
      <c r="N3707">
        <v>0</v>
      </c>
      <c r="O3707">
        <v>0</v>
      </c>
      <c r="P3707" t="s">
        <v>30</v>
      </c>
      <c r="Q3707" s="2">
        <v>0.7</v>
      </c>
      <c r="R3707">
        <v>0</v>
      </c>
      <c r="V3707" t="str">
        <f>VLOOKUP(H3707,'[1]팀별 출판사'!A:B,2,0)</f>
        <v>소설1팀</v>
      </c>
      <c r="W3707" s="6">
        <f t="shared" si="114"/>
        <v>0</v>
      </c>
      <c r="X3707" s="6">
        <f t="shared" si="115"/>
        <v>0</v>
      </c>
    </row>
    <row r="3708" spans="1:24" x14ac:dyDescent="0.3">
      <c r="A3708" t="s">
        <v>5251</v>
      </c>
      <c r="B3708" t="s">
        <v>5285</v>
      </c>
      <c r="C3708" t="s">
        <v>23</v>
      </c>
      <c r="D3708" t="s">
        <v>24</v>
      </c>
      <c r="E3708" t="s">
        <v>25</v>
      </c>
      <c r="F3708">
        <v>1</v>
      </c>
      <c r="G3708">
        <v>9791133167227</v>
      </c>
      <c r="H3708" t="s">
        <v>32</v>
      </c>
      <c r="I3708" t="s">
        <v>313</v>
      </c>
      <c r="J3708" t="s">
        <v>160</v>
      </c>
      <c r="K3708" t="s">
        <v>29</v>
      </c>
      <c r="L3708">
        <v>0</v>
      </c>
      <c r="M3708" t="s">
        <v>29</v>
      </c>
      <c r="N3708">
        <v>0</v>
      </c>
      <c r="O3708">
        <v>0</v>
      </c>
      <c r="P3708" t="s">
        <v>30</v>
      </c>
      <c r="Q3708" s="2">
        <v>0.7</v>
      </c>
      <c r="R3708">
        <v>0</v>
      </c>
      <c r="V3708" t="str">
        <f>VLOOKUP(H3708,'[1]팀별 출판사'!A:B,2,0)</f>
        <v>소설1팀</v>
      </c>
      <c r="W3708" s="6">
        <f t="shared" si="114"/>
        <v>0</v>
      </c>
      <c r="X3708" s="6">
        <f t="shared" si="115"/>
        <v>0</v>
      </c>
    </row>
    <row r="3709" spans="1:24" x14ac:dyDescent="0.3">
      <c r="A3709" t="s">
        <v>5251</v>
      </c>
      <c r="B3709" t="s">
        <v>5286</v>
      </c>
      <c r="C3709" t="s">
        <v>23</v>
      </c>
      <c r="D3709" t="s">
        <v>24</v>
      </c>
      <c r="E3709" t="s">
        <v>25</v>
      </c>
      <c r="F3709">
        <v>1</v>
      </c>
      <c r="G3709">
        <v>9791136916655</v>
      </c>
      <c r="H3709" t="s">
        <v>26</v>
      </c>
      <c r="I3709" t="s">
        <v>305</v>
      </c>
      <c r="J3709" t="s">
        <v>62</v>
      </c>
      <c r="K3709" t="s">
        <v>29</v>
      </c>
      <c r="L3709">
        <v>0</v>
      </c>
      <c r="M3709" t="s">
        <v>29</v>
      </c>
      <c r="N3709">
        <v>0</v>
      </c>
      <c r="O3709">
        <v>0</v>
      </c>
      <c r="P3709" t="s">
        <v>30</v>
      </c>
      <c r="Q3709" s="2">
        <v>0.7</v>
      </c>
      <c r="R3709">
        <v>0</v>
      </c>
      <c r="V3709" t="str">
        <f>VLOOKUP(H3709,'[1]팀별 출판사'!A:B,2,0)</f>
        <v>소설1팀</v>
      </c>
      <c r="W3709" s="6">
        <f t="shared" si="114"/>
        <v>0</v>
      </c>
      <c r="X3709" s="6">
        <f t="shared" si="115"/>
        <v>0</v>
      </c>
    </row>
    <row r="3710" spans="1:24" x14ac:dyDescent="0.3">
      <c r="A3710" t="s">
        <v>5251</v>
      </c>
      <c r="B3710" t="s">
        <v>5287</v>
      </c>
      <c r="C3710" t="s">
        <v>23</v>
      </c>
      <c r="D3710" t="s">
        <v>24</v>
      </c>
      <c r="E3710" t="s">
        <v>25</v>
      </c>
      <c r="F3710">
        <v>1</v>
      </c>
      <c r="G3710">
        <v>9791136927248</v>
      </c>
      <c r="H3710" t="s">
        <v>36</v>
      </c>
      <c r="I3710" t="s">
        <v>2320</v>
      </c>
      <c r="J3710" t="s">
        <v>38</v>
      </c>
      <c r="K3710" t="s">
        <v>29</v>
      </c>
      <c r="L3710" s="1">
        <v>3300</v>
      </c>
      <c r="M3710" t="s">
        <v>2630</v>
      </c>
      <c r="N3710">
        <v>10.01</v>
      </c>
      <c r="O3710">
        <v>9.27</v>
      </c>
      <c r="P3710" t="s">
        <v>2631</v>
      </c>
      <c r="Q3710" s="2">
        <v>0.7</v>
      </c>
      <c r="R3710">
        <v>6.49</v>
      </c>
      <c r="S3710" t="s">
        <v>29</v>
      </c>
      <c r="T3710" s="1">
        <v>2386</v>
      </c>
      <c r="U3710">
        <v>366.97985999999997</v>
      </c>
      <c r="V3710" t="str">
        <f>VLOOKUP(H3710,'[1]팀별 출판사'!A:B,2,0)</f>
        <v>소설2팀</v>
      </c>
      <c r="W3710" s="6">
        <f t="shared" si="114"/>
        <v>0</v>
      </c>
      <c r="X3710" s="6">
        <f t="shared" si="115"/>
        <v>2386</v>
      </c>
    </row>
    <row r="3711" spans="1:24" x14ac:dyDescent="0.3">
      <c r="A3711" t="s">
        <v>5251</v>
      </c>
      <c r="B3711" t="s">
        <v>5288</v>
      </c>
      <c r="C3711" t="s">
        <v>23</v>
      </c>
      <c r="D3711" t="s">
        <v>24</v>
      </c>
      <c r="E3711" t="s">
        <v>25</v>
      </c>
      <c r="F3711">
        <v>1</v>
      </c>
      <c r="G3711">
        <v>9791133143832</v>
      </c>
      <c r="H3711" t="s">
        <v>32</v>
      </c>
      <c r="I3711" t="s">
        <v>2813</v>
      </c>
      <c r="J3711" t="s">
        <v>88</v>
      </c>
      <c r="K3711" t="s">
        <v>29</v>
      </c>
      <c r="L3711" s="1">
        <v>3200</v>
      </c>
      <c r="M3711" t="s">
        <v>29</v>
      </c>
      <c r="N3711" s="1">
        <v>3200</v>
      </c>
      <c r="O3711" s="1">
        <v>3200</v>
      </c>
      <c r="P3711" t="s">
        <v>30</v>
      </c>
      <c r="Q3711" s="2">
        <v>0.7</v>
      </c>
      <c r="R3711" s="1">
        <v>2240</v>
      </c>
      <c r="S3711" t="s">
        <v>29</v>
      </c>
      <c r="T3711" s="1">
        <v>2240</v>
      </c>
      <c r="V3711" t="str">
        <f>VLOOKUP(H3711,'[1]팀별 출판사'!A:B,2,0)</f>
        <v>소설1팀</v>
      </c>
      <c r="W3711" s="6">
        <f t="shared" si="114"/>
        <v>0</v>
      </c>
      <c r="X3711" s="6">
        <f t="shared" si="115"/>
        <v>2240</v>
      </c>
    </row>
    <row r="3712" spans="1:24" x14ac:dyDescent="0.3">
      <c r="A3712" t="s">
        <v>5251</v>
      </c>
      <c r="B3712" t="s">
        <v>5289</v>
      </c>
      <c r="C3712" t="s">
        <v>23</v>
      </c>
      <c r="D3712" t="s">
        <v>24</v>
      </c>
      <c r="E3712" t="s">
        <v>25</v>
      </c>
      <c r="F3712">
        <v>1</v>
      </c>
      <c r="G3712" t="s">
        <v>245</v>
      </c>
      <c r="H3712" t="s">
        <v>32</v>
      </c>
      <c r="I3712" t="s">
        <v>246</v>
      </c>
      <c r="J3712" t="s">
        <v>166</v>
      </c>
      <c r="K3712" t="s">
        <v>29</v>
      </c>
      <c r="L3712">
        <v>0</v>
      </c>
      <c r="M3712" t="s">
        <v>29</v>
      </c>
      <c r="N3712">
        <v>0</v>
      </c>
      <c r="O3712">
        <v>0</v>
      </c>
      <c r="P3712" t="s">
        <v>30</v>
      </c>
      <c r="Q3712" s="2">
        <v>0.7</v>
      </c>
      <c r="R3712">
        <v>0</v>
      </c>
      <c r="V3712" t="str">
        <f>VLOOKUP(H3712,'[1]팀별 출판사'!A:B,2,0)</f>
        <v>소설1팀</v>
      </c>
      <c r="W3712" s="6">
        <f t="shared" si="114"/>
        <v>0</v>
      </c>
      <c r="X3712" s="6">
        <f t="shared" si="115"/>
        <v>0</v>
      </c>
    </row>
    <row r="3713" spans="1:24" x14ac:dyDescent="0.3">
      <c r="A3713" t="s">
        <v>5251</v>
      </c>
      <c r="B3713" t="s">
        <v>5290</v>
      </c>
      <c r="C3713" t="s">
        <v>23</v>
      </c>
      <c r="D3713" t="s">
        <v>24</v>
      </c>
      <c r="E3713" t="s">
        <v>25</v>
      </c>
      <c r="F3713">
        <v>1</v>
      </c>
      <c r="G3713">
        <v>9791136965455</v>
      </c>
      <c r="H3713" t="s">
        <v>26</v>
      </c>
      <c r="I3713" t="s">
        <v>472</v>
      </c>
      <c r="J3713" t="s">
        <v>157</v>
      </c>
      <c r="K3713" t="s">
        <v>29</v>
      </c>
      <c r="L3713">
        <v>0</v>
      </c>
      <c r="M3713" t="s">
        <v>29</v>
      </c>
      <c r="N3713">
        <v>0</v>
      </c>
      <c r="O3713">
        <v>0</v>
      </c>
      <c r="P3713" t="s">
        <v>30</v>
      </c>
      <c r="Q3713" s="2">
        <v>0.7</v>
      </c>
      <c r="R3713">
        <v>0</v>
      </c>
      <c r="V3713" t="str">
        <f>VLOOKUP(H3713,'[1]팀별 출판사'!A:B,2,0)</f>
        <v>소설1팀</v>
      </c>
      <c r="W3713" s="6">
        <f t="shared" si="114"/>
        <v>0</v>
      </c>
      <c r="X3713" s="6">
        <f t="shared" si="115"/>
        <v>0</v>
      </c>
    </row>
    <row r="3714" spans="1:24" x14ac:dyDescent="0.3">
      <c r="A3714" t="s">
        <v>5251</v>
      </c>
      <c r="B3714" t="s">
        <v>5291</v>
      </c>
      <c r="C3714" t="s">
        <v>23</v>
      </c>
      <c r="D3714" t="s">
        <v>24</v>
      </c>
      <c r="E3714" t="s">
        <v>25</v>
      </c>
      <c r="F3714">
        <v>1</v>
      </c>
      <c r="G3714">
        <v>9791136930910</v>
      </c>
      <c r="H3714" t="s">
        <v>32</v>
      </c>
      <c r="I3714" t="s">
        <v>872</v>
      </c>
      <c r="J3714" t="s">
        <v>34</v>
      </c>
      <c r="K3714" t="s">
        <v>29</v>
      </c>
      <c r="L3714">
        <v>0</v>
      </c>
      <c r="M3714" t="s">
        <v>29</v>
      </c>
      <c r="N3714">
        <v>0</v>
      </c>
      <c r="O3714">
        <v>0</v>
      </c>
      <c r="P3714" t="s">
        <v>30</v>
      </c>
      <c r="Q3714" s="2">
        <v>0.7</v>
      </c>
      <c r="R3714">
        <v>0</v>
      </c>
      <c r="V3714" t="str">
        <f>VLOOKUP(H3714,'[1]팀별 출판사'!A:B,2,0)</f>
        <v>소설1팀</v>
      </c>
      <c r="W3714" s="6">
        <f t="shared" ref="W3714:W3777" si="116">IF(P3714="US", T3714*30%, 0)</f>
        <v>0</v>
      </c>
      <c r="X3714" s="6">
        <f t="shared" ref="X3714:X3777" si="117">T3714-W3714</f>
        <v>0</v>
      </c>
    </row>
    <row r="3715" spans="1:24" x14ac:dyDescent="0.3">
      <c r="A3715" t="s">
        <v>5251</v>
      </c>
      <c r="B3715" t="s">
        <v>5292</v>
      </c>
      <c r="C3715" t="s">
        <v>23</v>
      </c>
      <c r="D3715" t="s">
        <v>24</v>
      </c>
      <c r="E3715" t="s">
        <v>25</v>
      </c>
      <c r="F3715">
        <v>1</v>
      </c>
      <c r="G3715">
        <v>9791136945013</v>
      </c>
      <c r="H3715" t="s">
        <v>26</v>
      </c>
      <c r="I3715" t="s">
        <v>125</v>
      </c>
      <c r="J3715" t="s">
        <v>126</v>
      </c>
      <c r="K3715" t="s">
        <v>29</v>
      </c>
      <c r="L3715">
        <v>0</v>
      </c>
      <c r="M3715" t="s">
        <v>29</v>
      </c>
      <c r="N3715">
        <v>0</v>
      </c>
      <c r="O3715">
        <v>0</v>
      </c>
      <c r="P3715" t="s">
        <v>30</v>
      </c>
      <c r="Q3715" s="2">
        <v>0.7</v>
      </c>
      <c r="R3715">
        <v>0</v>
      </c>
      <c r="V3715" t="str">
        <f>VLOOKUP(H3715,'[1]팀별 출판사'!A:B,2,0)</f>
        <v>소설1팀</v>
      </c>
      <c r="W3715" s="6">
        <f t="shared" si="116"/>
        <v>0</v>
      </c>
      <c r="X3715" s="6">
        <f t="shared" si="117"/>
        <v>0</v>
      </c>
    </row>
    <row r="3716" spans="1:24" x14ac:dyDescent="0.3">
      <c r="A3716" t="s">
        <v>5251</v>
      </c>
      <c r="B3716" t="s">
        <v>5293</v>
      </c>
      <c r="C3716" t="s">
        <v>23</v>
      </c>
      <c r="D3716" t="s">
        <v>24</v>
      </c>
      <c r="E3716" t="s">
        <v>25</v>
      </c>
      <c r="F3716">
        <v>1</v>
      </c>
      <c r="G3716">
        <v>9791136931382</v>
      </c>
      <c r="H3716" t="s">
        <v>32</v>
      </c>
      <c r="I3716" t="s">
        <v>523</v>
      </c>
      <c r="J3716" t="s">
        <v>46</v>
      </c>
      <c r="K3716" t="s">
        <v>29</v>
      </c>
      <c r="L3716">
        <v>0</v>
      </c>
      <c r="M3716" t="s">
        <v>47</v>
      </c>
      <c r="N3716">
        <v>0</v>
      </c>
      <c r="O3716">
        <v>0</v>
      </c>
      <c r="P3716" t="s">
        <v>48</v>
      </c>
      <c r="Q3716" s="2">
        <v>0.7</v>
      </c>
      <c r="R3716">
        <v>0</v>
      </c>
      <c r="V3716" t="str">
        <f>VLOOKUP(H3716,'[1]팀별 출판사'!A:B,2,0)</f>
        <v>소설1팀</v>
      </c>
      <c r="W3716" s="6">
        <f t="shared" si="116"/>
        <v>0</v>
      </c>
      <c r="X3716" s="6">
        <f t="shared" si="117"/>
        <v>0</v>
      </c>
    </row>
    <row r="3717" spans="1:24" x14ac:dyDescent="0.3">
      <c r="A3717" t="s">
        <v>5251</v>
      </c>
      <c r="B3717" t="s">
        <v>5294</v>
      </c>
      <c r="C3717" t="s">
        <v>23</v>
      </c>
      <c r="D3717" t="s">
        <v>24</v>
      </c>
      <c r="E3717" t="s">
        <v>25</v>
      </c>
      <c r="F3717">
        <v>1</v>
      </c>
      <c r="G3717">
        <v>9791136912732</v>
      </c>
      <c r="H3717" t="s">
        <v>26</v>
      </c>
      <c r="I3717" t="s">
        <v>1125</v>
      </c>
      <c r="J3717" t="s">
        <v>256</v>
      </c>
      <c r="K3717" t="s">
        <v>29</v>
      </c>
      <c r="L3717">
        <v>0</v>
      </c>
      <c r="M3717" t="s">
        <v>29</v>
      </c>
      <c r="N3717">
        <v>0</v>
      </c>
      <c r="O3717">
        <v>0</v>
      </c>
      <c r="P3717" t="s">
        <v>30</v>
      </c>
      <c r="Q3717" s="2">
        <v>0.7</v>
      </c>
      <c r="R3717">
        <v>0</v>
      </c>
      <c r="V3717" t="str">
        <f>VLOOKUP(H3717,'[1]팀별 출판사'!A:B,2,0)</f>
        <v>소설1팀</v>
      </c>
      <c r="W3717" s="6">
        <f t="shared" si="116"/>
        <v>0</v>
      </c>
      <c r="X3717" s="6">
        <f t="shared" si="117"/>
        <v>0</v>
      </c>
    </row>
    <row r="3718" spans="1:24" x14ac:dyDescent="0.3">
      <c r="A3718" t="s">
        <v>5251</v>
      </c>
      <c r="B3718" t="s">
        <v>5295</v>
      </c>
      <c r="C3718" t="s">
        <v>23</v>
      </c>
      <c r="D3718" t="s">
        <v>24</v>
      </c>
      <c r="E3718" t="s">
        <v>25</v>
      </c>
      <c r="F3718">
        <v>1</v>
      </c>
      <c r="G3718">
        <v>9791136988133</v>
      </c>
      <c r="H3718" t="s">
        <v>26</v>
      </c>
      <c r="I3718" t="s">
        <v>614</v>
      </c>
      <c r="J3718" t="s">
        <v>28</v>
      </c>
      <c r="K3718" t="s">
        <v>29</v>
      </c>
      <c r="L3718">
        <v>0</v>
      </c>
      <c r="M3718" t="s">
        <v>29</v>
      </c>
      <c r="N3718">
        <v>0</v>
      </c>
      <c r="O3718">
        <v>0</v>
      </c>
      <c r="P3718" t="s">
        <v>30</v>
      </c>
      <c r="Q3718" s="2">
        <v>0.7</v>
      </c>
      <c r="R3718">
        <v>0</v>
      </c>
      <c r="V3718" t="str">
        <f>VLOOKUP(H3718,'[1]팀별 출판사'!A:B,2,0)</f>
        <v>소설1팀</v>
      </c>
      <c r="W3718" s="6">
        <f t="shared" si="116"/>
        <v>0</v>
      </c>
      <c r="X3718" s="6">
        <f t="shared" si="117"/>
        <v>0</v>
      </c>
    </row>
    <row r="3719" spans="1:24" x14ac:dyDescent="0.3">
      <c r="A3719" t="s">
        <v>5251</v>
      </c>
      <c r="B3719" t="s">
        <v>5296</v>
      </c>
      <c r="C3719" t="s">
        <v>23</v>
      </c>
      <c r="D3719" t="s">
        <v>24</v>
      </c>
      <c r="E3719" t="s">
        <v>25</v>
      </c>
      <c r="F3719">
        <v>1</v>
      </c>
      <c r="G3719">
        <v>9791172920135</v>
      </c>
      <c r="H3719" t="s">
        <v>26</v>
      </c>
      <c r="I3719" t="s">
        <v>278</v>
      </c>
      <c r="J3719" t="s">
        <v>276</v>
      </c>
      <c r="K3719" t="s">
        <v>29</v>
      </c>
      <c r="L3719">
        <v>0</v>
      </c>
      <c r="M3719" t="s">
        <v>29</v>
      </c>
      <c r="N3719">
        <v>0</v>
      </c>
      <c r="O3719">
        <v>0</v>
      </c>
      <c r="P3719" t="s">
        <v>30</v>
      </c>
      <c r="Q3719" s="2">
        <v>0.7</v>
      </c>
      <c r="R3719">
        <v>0</v>
      </c>
      <c r="V3719" t="str">
        <f>VLOOKUP(H3719,'[1]팀별 출판사'!A:B,2,0)</f>
        <v>소설1팀</v>
      </c>
      <c r="W3719" s="6">
        <f t="shared" si="116"/>
        <v>0</v>
      </c>
      <c r="X3719" s="6">
        <f t="shared" si="117"/>
        <v>0</v>
      </c>
    </row>
    <row r="3720" spans="1:24" x14ac:dyDescent="0.3">
      <c r="A3720" t="s">
        <v>5251</v>
      </c>
      <c r="B3720" t="s">
        <v>5297</v>
      </c>
      <c r="C3720" t="s">
        <v>23</v>
      </c>
      <c r="D3720" t="s">
        <v>24</v>
      </c>
      <c r="E3720" t="s">
        <v>25</v>
      </c>
      <c r="F3720">
        <v>1</v>
      </c>
      <c r="G3720">
        <v>9791136935427</v>
      </c>
      <c r="H3720" t="s">
        <v>32</v>
      </c>
      <c r="I3720" t="s">
        <v>5298</v>
      </c>
      <c r="J3720" t="s">
        <v>5299</v>
      </c>
      <c r="K3720" t="s">
        <v>29</v>
      </c>
      <c r="L3720">
        <v>0</v>
      </c>
      <c r="M3720" t="s">
        <v>29</v>
      </c>
      <c r="N3720">
        <v>0</v>
      </c>
      <c r="O3720">
        <v>0</v>
      </c>
      <c r="P3720" t="s">
        <v>30</v>
      </c>
      <c r="Q3720" s="2">
        <v>0.7</v>
      </c>
      <c r="R3720">
        <v>0</v>
      </c>
      <c r="V3720" t="str">
        <f>VLOOKUP(H3720,'[1]팀별 출판사'!A:B,2,0)</f>
        <v>소설1팀</v>
      </c>
      <c r="W3720" s="6">
        <f t="shared" si="116"/>
        <v>0</v>
      </c>
      <c r="X3720" s="6">
        <f t="shared" si="117"/>
        <v>0</v>
      </c>
    </row>
    <row r="3721" spans="1:24" x14ac:dyDescent="0.3">
      <c r="A3721" t="s">
        <v>5251</v>
      </c>
      <c r="B3721" t="s">
        <v>5300</v>
      </c>
      <c r="C3721" t="s">
        <v>23</v>
      </c>
      <c r="D3721" t="s">
        <v>24</v>
      </c>
      <c r="E3721" t="s">
        <v>25</v>
      </c>
      <c r="F3721">
        <v>1</v>
      </c>
      <c r="G3721">
        <v>9791136942777</v>
      </c>
      <c r="H3721" t="s">
        <v>1617</v>
      </c>
      <c r="I3721" t="s">
        <v>4894</v>
      </c>
      <c r="J3721" t="s">
        <v>4895</v>
      </c>
      <c r="K3721" t="s">
        <v>29</v>
      </c>
      <c r="L3721" s="1">
        <v>3800</v>
      </c>
      <c r="M3721" t="s">
        <v>29</v>
      </c>
      <c r="N3721" s="1">
        <v>3800</v>
      </c>
      <c r="O3721" s="1">
        <v>3800</v>
      </c>
      <c r="P3721" t="s">
        <v>30</v>
      </c>
      <c r="Q3721" s="2">
        <v>0.7</v>
      </c>
      <c r="R3721" s="1">
        <v>2660</v>
      </c>
      <c r="S3721" t="s">
        <v>29</v>
      </c>
      <c r="T3721" s="1">
        <v>2660</v>
      </c>
      <c r="V3721" t="str">
        <f>VLOOKUP(H3721,'[1]팀별 출판사'!A:B,2,0)</f>
        <v>소설2팀</v>
      </c>
      <c r="W3721" s="6">
        <f t="shared" si="116"/>
        <v>0</v>
      </c>
      <c r="X3721" s="6">
        <f t="shared" si="117"/>
        <v>2660</v>
      </c>
    </row>
    <row r="3722" spans="1:24" x14ac:dyDescent="0.3">
      <c r="A3722" t="s">
        <v>5251</v>
      </c>
      <c r="B3722" t="s">
        <v>5301</v>
      </c>
      <c r="C3722" t="s">
        <v>23</v>
      </c>
      <c r="D3722" t="s">
        <v>24</v>
      </c>
      <c r="E3722" t="s">
        <v>25</v>
      </c>
      <c r="F3722">
        <v>1</v>
      </c>
      <c r="G3722">
        <v>9791133187119</v>
      </c>
      <c r="H3722" t="s">
        <v>26</v>
      </c>
      <c r="I3722" t="s">
        <v>5302</v>
      </c>
      <c r="J3722" t="s">
        <v>743</v>
      </c>
      <c r="K3722" t="s">
        <v>29</v>
      </c>
      <c r="L3722" s="1">
        <v>2500</v>
      </c>
      <c r="M3722" t="s">
        <v>29</v>
      </c>
      <c r="N3722" s="1">
        <v>2500</v>
      </c>
      <c r="O3722" s="1">
        <v>2500</v>
      </c>
      <c r="P3722" t="s">
        <v>30</v>
      </c>
      <c r="Q3722" s="2">
        <v>0.7</v>
      </c>
      <c r="R3722" s="1">
        <v>1750</v>
      </c>
      <c r="S3722" t="s">
        <v>29</v>
      </c>
      <c r="T3722" s="1">
        <v>1750</v>
      </c>
      <c r="V3722" t="str">
        <f>VLOOKUP(H3722,'[1]팀별 출판사'!A:B,2,0)</f>
        <v>소설1팀</v>
      </c>
      <c r="W3722" s="6">
        <f t="shared" si="116"/>
        <v>0</v>
      </c>
      <c r="X3722" s="6">
        <f t="shared" si="117"/>
        <v>1750</v>
      </c>
    </row>
    <row r="3723" spans="1:24" x14ac:dyDescent="0.3">
      <c r="A3723" t="s">
        <v>5251</v>
      </c>
      <c r="B3723" t="s">
        <v>5303</v>
      </c>
      <c r="C3723" t="s">
        <v>23</v>
      </c>
      <c r="D3723" t="s">
        <v>24</v>
      </c>
      <c r="E3723" t="s">
        <v>25</v>
      </c>
      <c r="F3723">
        <v>1</v>
      </c>
      <c r="G3723">
        <v>9791136927255</v>
      </c>
      <c r="H3723" t="s">
        <v>36</v>
      </c>
      <c r="I3723" t="s">
        <v>90</v>
      </c>
      <c r="J3723" t="s">
        <v>38</v>
      </c>
      <c r="K3723" t="s">
        <v>29</v>
      </c>
      <c r="L3723" s="1">
        <v>3300</v>
      </c>
      <c r="M3723" t="s">
        <v>2630</v>
      </c>
      <c r="N3723">
        <v>10.01</v>
      </c>
      <c r="O3723">
        <v>9.27</v>
      </c>
      <c r="P3723" t="s">
        <v>2631</v>
      </c>
      <c r="Q3723" s="2">
        <v>0.7</v>
      </c>
      <c r="R3723">
        <v>6.49</v>
      </c>
      <c r="S3723" t="s">
        <v>29</v>
      </c>
      <c r="T3723" s="1">
        <v>2381</v>
      </c>
      <c r="U3723">
        <v>366.97985999999997</v>
      </c>
      <c r="V3723" t="str">
        <f>VLOOKUP(H3723,'[1]팀별 출판사'!A:B,2,0)</f>
        <v>소설2팀</v>
      </c>
      <c r="W3723" s="6">
        <f t="shared" si="116"/>
        <v>0</v>
      </c>
      <c r="X3723" s="6">
        <f t="shared" si="117"/>
        <v>2381</v>
      </c>
    </row>
    <row r="3724" spans="1:24" x14ac:dyDescent="0.3">
      <c r="A3724" t="s">
        <v>5251</v>
      </c>
      <c r="B3724" t="s">
        <v>5304</v>
      </c>
      <c r="C3724" t="s">
        <v>23</v>
      </c>
      <c r="D3724" t="s">
        <v>24</v>
      </c>
      <c r="E3724" t="s">
        <v>25</v>
      </c>
      <c r="F3724">
        <v>1</v>
      </c>
      <c r="G3724">
        <v>9791136931375</v>
      </c>
      <c r="H3724" t="s">
        <v>32</v>
      </c>
      <c r="I3724" t="s">
        <v>189</v>
      </c>
      <c r="J3724" t="s">
        <v>46</v>
      </c>
      <c r="K3724" t="s">
        <v>29</v>
      </c>
      <c r="L3724">
        <v>0</v>
      </c>
      <c r="M3724" t="s">
        <v>362</v>
      </c>
      <c r="N3724">
        <v>0</v>
      </c>
      <c r="O3724">
        <v>0</v>
      </c>
      <c r="P3724" t="s">
        <v>363</v>
      </c>
      <c r="Q3724" s="2">
        <v>0.7</v>
      </c>
      <c r="R3724">
        <v>0</v>
      </c>
      <c r="V3724" t="str">
        <f>VLOOKUP(H3724,'[1]팀별 출판사'!A:B,2,0)</f>
        <v>소설1팀</v>
      </c>
      <c r="W3724" s="6">
        <f t="shared" si="116"/>
        <v>0</v>
      </c>
      <c r="X3724" s="6">
        <f t="shared" si="117"/>
        <v>0</v>
      </c>
    </row>
    <row r="3725" spans="1:24" x14ac:dyDescent="0.3">
      <c r="A3725" t="s">
        <v>5251</v>
      </c>
      <c r="B3725" t="s">
        <v>5305</v>
      </c>
      <c r="C3725" t="s">
        <v>23</v>
      </c>
      <c r="D3725" t="s">
        <v>24</v>
      </c>
      <c r="E3725" t="s">
        <v>25</v>
      </c>
      <c r="F3725">
        <v>1</v>
      </c>
      <c r="G3725" t="s">
        <v>2372</v>
      </c>
      <c r="H3725" t="s">
        <v>32</v>
      </c>
      <c r="I3725" t="s">
        <v>2373</v>
      </c>
      <c r="J3725" t="s">
        <v>88</v>
      </c>
      <c r="K3725" t="s">
        <v>29</v>
      </c>
      <c r="L3725">
        <v>0</v>
      </c>
      <c r="M3725" t="s">
        <v>29</v>
      </c>
      <c r="N3725">
        <v>0</v>
      </c>
      <c r="O3725">
        <v>0</v>
      </c>
      <c r="P3725" t="s">
        <v>30</v>
      </c>
      <c r="Q3725" s="2">
        <v>0.7</v>
      </c>
      <c r="R3725">
        <v>0</v>
      </c>
      <c r="V3725" t="str">
        <f>VLOOKUP(H3725,'[1]팀별 출판사'!A:B,2,0)</f>
        <v>소설1팀</v>
      </c>
      <c r="W3725" s="6">
        <f t="shared" si="116"/>
        <v>0</v>
      </c>
      <c r="X3725" s="6">
        <f t="shared" si="117"/>
        <v>0</v>
      </c>
    </row>
    <row r="3726" spans="1:24" x14ac:dyDescent="0.3">
      <c r="A3726" t="s">
        <v>5251</v>
      </c>
      <c r="B3726" t="s">
        <v>5306</v>
      </c>
      <c r="C3726" t="s">
        <v>23</v>
      </c>
      <c r="D3726" t="s">
        <v>24</v>
      </c>
      <c r="E3726" t="s">
        <v>25</v>
      </c>
      <c r="F3726">
        <v>1</v>
      </c>
      <c r="G3726">
        <v>9791136930491</v>
      </c>
      <c r="H3726" t="s">
        <v>26</v>
      </c>
      <c r="I3726" t="s">
        <v>151</v>
      </c>
      <c r="J3726" t="s">
        <v>46</v>
      </c>
      <c r="K3726" t="s">
        <v>29</v>
      </c>
      <c r="L3726">
        <v>0</v>
      </c>
      <c r="M3726" t="s">
        <v>47</v>
      </c>
      <c r="N3726">
        <v>0</v>
      </c>
      <c r="O3726">
        <v>0</v>
      </c>
      <c r="P3726" t="s">
        <v>48</v>
      </c>
      <c r="Q3726" s="2">
        <v>0.7</v>
      </c>
      <c r="R3726">
        <v>0</v>
      </c>
      <c r="V3726" t="str">
        <f>VLOOKUP(H3726,'[1]팀별 출판사'!A:B,2,0)</f>
        <v>소설1팀</v>
      </c>
      <c r="W3726" s="6">
        <f t="shared" si="116"/>
        <v>0</v>
      </c>
      <c r="X3726" s="6">
        <f t="shared" si="117"/>
        <v>0</v>
      </c>
    </row>
    <row r="3727" spans="1:24" x14ac:dyDescent="0.3">
      <c r="A3727" t="s">
        <v>5251</v>
      </c>
      <c r="B3727" t="s">
        <v>5307</v>
      </c>
      <c r="C3727" t="s">
        <v>23</v>
      </c>
      <c r="D3727" t="s">
        <v>24</v>
      </c>
      <c r="E3727" t="s">
        <v>25</v>
      </c>
      <c r="F3727">
        <v>1</v>
      </c>
      <c r="G3727">
        <v>9791136927248</v>
      </c>
      <c r="H3727" t="s">
        <v>36</v>
      </c>
      <c r="I3727" t="s">
        <v>2320</v>
      </c>
      <c r="J3727" t="s">
        <v>38</v>
      </c>
      <c r="K3727" t="s">
        <v>29</v>
      </c>
      <c r="L3727" s="1">
        <v>3300</v>
      </c>
      <c r="M3727" t="s">
        <v>1181</v>
      </c>
      <c r="N3727">
        <v>72</v>
      </c>
      <c r="O3727">
        <v>72</v>
      </c>
      <c r="P3727" t="s">
        <v>1182</v>
      </c>
      <c r="Q3727" s="2">
        <v>0.7</v>
      </c>
      <c r="R3727">
        <v>50.4</v>
      </c>
      <c r="S3727" t="s">
        <v>29</v>
      </c>
      <c r="T3727" s="1">
        <v>2314</v>
      </c>
      <c r="U3727">
        <v>45.949489999999997</v>
      </c>
      <c r="V3727" t="str">
        <f>VLOOKUP(H3727,'[1]팀별 출판사'!A:B,2,0)</f>
        <v>소설2팀</v>
      </c>
      <c r="W3727" s="6">
        <f t="shared" si="116"/>
        <v>0</v>
      </c>
      <c r="X3727" s="6">
        <f t="shared" si="117"/>
        <v>2314</v>
      </c>
    </row>
    <row r="3728" spans="1:24" x14ac:dyDescent="0.3">
      <c r="A3728" t="s">
        <v>5251</v>
      </c>
      <c r="B3728" t="s">
        <v>5308</v>
      </c>
      <c r="C3728" t="s">
        <v>23</v>
      </c>
      <c r="D3728" t="s">
        <v>24</v>
      </c>
      <c r="E3728" t="s">
        <v>25</v>
      </c>
      <c r="F3728">
        <v>1</v>
      </c>
      <c r="G3728">
        <v>9791170100164</v>
      </c>
      <c r="H3728" t="s">
        <v>67</v>
      </c>
      <c r="I3728" t="s">
        <v>106</v>
      </c>
      <c r="J3728" t="s">
        <v>107</v>
      </c>
      <c r="K3728" t="s">
        <v>29</v>
      </c>
      <c r="L3728">
        <v>0</v>
      </c>
      <c r="M3728" t="s">
        <v>29</v>
      </c>
      <c r="N3728">
        <v>0</v>
      </c>
      <c r="O3728">
        <v>0</v>
      </c>
      <c r="P3728" t="s">
        <v>30</v>
      </c>
      <c r="Q3728" s="2">
        <v>0.7</v>
      </c>
      <c r="R3728">
        <v>0</v>
      </c>
      <c r="V3728" t="str">
        <f>VLOOKUP(H3728,'[1]팀별 출판사'!A:B,2,0)</f>
        <v>소설1팀</v>
      </c>
      <c r="W3728" s="6">
        <f t="shared" si="116"/>
        <v>0</v>
      </c>
      <c r="X3728" s="6">
        <f t="shared" si="117"/>
        <v>0</v>
      </c>
    </row>
    <row r="3729" spans="1:24" x14ac:dyDescent="0.3">
      <c r="A3729" t="s">
        <v>5251</v>
      </c>
      <c r="B3729" t="s">
        <v>5309</v>
      </c>
      <c r="C3729" t="s">
        <v>23</v>
      </c>
      <c r="D3729" t="s">
        <v>24</v>
      </c>
      <c r="E3729" t="s">
        <v>25</v>
      </c>
      <c r="F3729">
        <v>1</v>
      </c>
      <c r="G3729">
        <v>9791133186501</v>
      </c>
      <c r="H3729" t="s">
        <v>26</v>
      </c>
      <c r="I3729" t="s">
        <v>64</v>
      </c>
      <c r="J3729" t="s">
        <v>65</v>
      </c>
      <c r="K3729" t="s">
        <v>29</v>
      </c>
      <c r="L3729">
        <v>0</v>
      </c>
      <c r="M3729" t="s">
        <v>29</v>
      </c>
      <c r="N3729">
        <v>0</v>
      </c>
      <c r="O3729">
        <v>0</v>
      </c>
      <c r="P3729" t="s">
        <v>30</v>
      </c>
      <c r="Q3729" s="2">
        <v>0.7</v>
      </c>
      <c r="R3729">
        <v>0</v>
      </c>
      <c r="V3729" t="str">
        <f>VLOOKUP(H3729,'[1]팀별 출판사'!A:B,2,0)</f>
        <v>소설1팀</v>
      </c>
      <c r="W3729" s="6">
        <f t="shared" si="116"/>
        <v>0</v>
      </c>
      <c r="X3729" s="6">
        <f t="shared" si="117"/>
        <v>0</v>
      </c>
    </row>
    <row r="3730" spans="1:24" x14ac:dyDescent="0.3">
      <c r="A3730" t="s">
        <v>5251</v>
      </c>
      <c r="B3730" t="s">
        <v>5310</v>
      </c>
      <c r="C3730" t="s">
        <v>23</v>
      </c>
      <c r="D3730" t="s">
        <v>24</v>
      </c>
      <c r="E3730" t="s">
        <v>25</v>
      </c>
      <c r="F3730">
        <v>1</v>
      </c>
      <c r="G3730">
        <v>9791136930224</v>
      </c>
      <c r="H3730" t="s">
        <v>32</v>
      </c>
      <c r="I3730" t="s">
        <v>172</v>
      </c>
      <c r="J3730" t="s">
        <v>46</v>
      </c>
      <c r="K3730" t="s">
        <v>29</v>
      </c>
      <c r="L3730">
        <v>0</v>
      </c>
      <c r="M3730" t="s">
        <v>47</v>
      </c>
      <c r="N3730">
        <v>0</v>
      </c>
      <c r="O3730">
        <v>0</v>
      </c>
      <c r="P3730" t="s">
        <v>48</v>
      </c>
      <c r="Q3730" s="2">
        <v>0.7</v>
      </c>
      <c r="R3730">
        <v>0</v>
      </c>
      <c r="V3730" t="str">
        <f>VLOOKUP(H3730,'[1]팀별 출판사'!A:B,2,0)</f>
        <v>소설1팀</v>
      </c>
      <c r="W3730" s="6">
        <f t="shared" si="116"/>
        <v>0</v>
      </c>
      <c r="X3730" s="6">
        <f t="shared" si="117"/>
        <v>0</v>
      </c>
    </row>
    <row r="3731" spans="1:24" x14ac:dyDescent="0.3">
      <c r="A3731" t="s">
        <v>5251</v>
      </c>
      <c r="B3731" t="s">
        <v>5311</v>
      </c>
      <c r="C3731" t="s">
        <v>23</v>
      </c>
      <c r="D3731" t="s">
        <v>24</v>
      </c>
      <c r="E3731" t="s">
        <v>25</v>
      </c>
      <c r="F3731">
        <v>1</v>
      </c>
      <c r="G3731">
        <v>9791136936080</v>
      </c>
      <c r="H3731" t="s">
        <v>36</v>
      </c>
      <c r="I3731" t="s">
        <v>4612</v>
      </c>
      <c r="J3731" t="s">
        <v>4613</v>
      </c>
      <c r="K3731" t="s">
        <v>29</v>
      </c>
      <c r="L3731" s="1">
        <v>3400</v>
      </c>
      <c r="M3731" t="s">
        <v>70</v>
      </c>
      <c r="N3731">
        <v>2.35</v>
      </c>
      <c r="O3731">
        <v>2.35</v>
      </c>
      <c r="P3731" t="s">
        <v>71</v>
      </c>
      <c r="Q3731" s="2">
        <v>0.7</v>
      </c>
      <c r="R3731">
        <v>1.64</v>
      </c>
      <c r="S3731" t="s">
        <v>29</v>
      </c>
      <c r="T3731" s="1">
        <v>2341</v>
      </c>
      <c r="U3731" s="3">
        <v>1427.80412</v>
      </c>
      <c r="V3731" t="str">
        <f>VLOOKUP(H3731,'[1]팀별 출판사'!A:B,2,0)</f>
        <v>소설2팀</v>
      </c>
      <c r="W3731" s="6">
        <f t="shared" si="116"/>
        <v>702.3</v>
      </c>
      <c r="X3731" s="6">
        <f t="shared" si="117"/>
        <v>1638.7</v>
      </c>
    </row>
    <row r="3732" spans="1:24" x14ac:dyDescent="0.3">
      <c r="A3732" t="s">
        <v>5251</v>
      </c>
      <c r="B3732" t="s">
        <v>5312</v>
      </c>
      <c r="C3732" t="s">
        <v>23</v>
      </c>
      <c r="D3732" t="s">
        <v>24</v>
      </c>
      <c r="E3732" t="s">
        <v>25</v>
      </c>
      <c r="F3732">
        <v>1</v>
      </c>
      <c r="G3732">
        <v>9791170100546</v>
      </c>
      <c r="H3732" t="s">
        <v>67</v>
      </c>
      <c r="I3732" t="s">
        <v>428</v>
      </c>
      <c r="J3732" t="s">
        <v>429</v>
      </c>
      <c r="K3732" t="s">
        <v>29</v>
      </c>
      <c r="L3732">
        <v>0</v>
      </c>
      <c r="M3732" t="s">
        <v>29</v>
      </c>
      <c r="N3732">
        <v>0</v>
      </c>
      <c r="O3732">
        <v>0</v>
      </c>
      <c r="P3732" t="s">
        <v>30</v>
      </c>
      <c r="Q3732" s="2">
        <v>0.7</v>
      </c>
      <c r="R3732">
        <v>0</v>
      </c>
      <c r="V3732" t="str">
        <f>VLOOKUP(H3732,'[1]팀별 출판사'!A:B,2,0)</f>
        <v>소설1팀</v>
      </c>
      <c r="W3732" s="6">
        <f t="shared" si="116"/>
        <v>0</v>
      </c>
      <c r="X3732" s="6">
        <f t="shared" si="117"/>
        <v>0</v>
      </c>
    </row>
    <row r="3733" spans="1:24" x14ac:dyDescent="0.3">
      <c r="A3733" t="s">
        <v>5251</v>
      </c>
      <c r="B3733" t="s">
        <v>5313</v>
      </c>
      <c r="C3733" t="s">
        <v>23</v>
      </c>
      <c r="D3733" t="s">
        <v>24</v>
      </c>
      <c r="E3733" t="s">
        <v>25</v>
      </c>
      <c r="F3733">
        <v>1</v>
      </c>
      <c r="G3733">
        <v>9791170106715</v>
      </c>
      <c r="H3733" t="s">
        <v>67</v>
      </c>
      <c r="I3733" t="s">
        <v>68</v>
      </c>
      <c r="J3733" t="s">
        <v>69</v>
      </c>
      <c r="K3733" t="s">
        <v>29</v>
      </c>
      <c r="L3733">
        <v>0</v>
      </c>
      <c r="M3733" t="s">
        <v>47</v>
      </c>
      <c r="N3733">
        <v>0</v>
      </c>
      <c r="O3733">
        <v>0</v>
      </c>
      <c r="P3733" t="s">
        <v>48</v>
      </c>
      <c r="Q3733" s="2">
        <v>0.7</v>
      </c>
      <c r="R3733">
        <v>0</v>
      </c>
      <c r="V3733" t="str">
        <f>VLOOKUP(H3733,'[1]팀별 출판사'!A:B,2,0)</f>
        <v>소설1팀</v>
      </c>
      <c r="W3733" s="6">
        <f t="shared" si="116"/>
        <v>0</v>
      </c>
      <c r="X3733" s="6">
        <f t="shared" si="117"/>
        <v>0</v>
      </c>
    </row>
    <row r="3734" spans="1:24" x14ac:dyDescent="0.3">
      <c r="A3734" t="s">
        <v>5251</v>
      </c>
      <c r="B3734" t="s">
        <v>5314</v>
      </c>
      <c r="C3734" t="s">
        <v>23</v>
      </c>
      <c r="D3734" t="s">
        <v>24</v>
      </c>
      <c r="E3734" t="s">
        <v>25</v>
      </c>
      <c r="F3734">
        <v>1</v>
      </c>
      <c r="G3734">
        <v>9791170101864</v>
      </c>
      <c r="H3734" t="s">
        <v>67</v>
      </c>
      <c r="I3734" t="s">
        <v>1985</v>
      </c>
      <c r="J3734" t="s">
        <v>402</v>
      </c>
      <c r="K3734" t="s">
        <v>29</v>
      </c>
      <c r="L3734">
        <v>0</v>
      </c>
      <c r="M3734" t="s">
        <v>47</v>
      </c>
      <c r="N3734">
        <v>0</v>
      </c>
      <c r="O3734">
        <v>0</v>
      </c>
      <c r="P3734" t="s">
        <v>48</v>
      </c>
      <c r="Q3734" s="2">
        <v>0.7</v>
      </c>
      <c r="R3734">
        <v>0</v>
      </c>
      <c r="V3734" t="str">
        <f>VLOOKUP(H3734,'[1]팀별 출판사'!A:B,2,0)</f>
        <v>소설1팀</v>
      </c>
      <c r="W3734" s="6">
        <f t="shared" si="116"/>
        <v>0</v>
      </c>
      <c r="X3734" s="6">
        <f t="shared" si="117"/>
        <v>0</v>
      </c>
    </row>
    <row r="3735" spans="1:24" x14ac:dyDescent="0.3">
      <c r="A3735" t="s">
        <v>5251</v>
      </c>
      <c r="B3735" t="s">
        <v>5315</v>
      </c>
      <c r="C3735" t="s">
        <v>23</v>
      </c>
      <c r="D3735" t="s">
        <v>24</v>
      </c>
      <c r="E3735" t="s">
        <v>25</v>
      </c>
      <c r="F3735">
        <v>1</v>
      </c>
      <c r="G3735">
        <v>9791136923110</v>
      </c>
      <c r="H3735" t="s">
        <v>26</v>
      </c>
      <c r="I3735" t="s">
        <v>907</v>
      </c>
      <c r="J3735" t="s">
        <v>908</v>
      </c>
      <c r="K3735" t="s">
        <v>29</v>
      </c>
      <c r="L3735">
        <v>0</v>
      </c>
      <c r="M3735" t="s">
        <v>29</v>
      </c>
      <c r="N3735">
        <v>0</v>
      </c>
      <c r="O3735">
        <v>0</v>
      </c>
      <c r="P3735" t="s">
        <v>30</v>
      </c>
      <c r="Q3735" s="2">
        <v>0.7</v>
      </c>
      <c r="R3735">
        <v>0</v>
      </c>
      <c r="V3735" t="str">
        <f>VLOOKUP(H3735,'[1]팀별 출판사'!A:B,2,0)</f>
        <v>소설1팀</v>
      </c>
      <c r="W3735" s="6">
        <f t="shared" si="116"/>
        <v>0</v>
      </c>
      <c r="X3735" s="6">
        <f t="shared" si="117"/>
        <v>0</v>
      </c>
    </row>
    <row r="3736" spans="1:24" x14ac:dyDescent="0.3">
      <c r="A3736" t="s">
        <v>5251</v>
      </c>
      <c r="B3736" t="s">
        <v>5316</v>
      </c>
      <c r="C3736" t="s">
        <v>23</v>
      </c>
      <c r="D3736" t="s">
        <v>24</v>
      </c>
      <c r="E3736" t="s">
        <v>25</v>
      </c>
      <c r="F3736">
        <v>1</v>
      </c>
      <c r="G3736" t="s">
        <v>5317</v>
      </c>
      <c r="H3736" t="s">
        <v>32</v>
      </c>
      <c r="I3736" t="s">
        <v>5318</v>
      </c>
      <c r="J3736" t="s">
        <v>5319</v>
      </c>
      <c r="K3736" t="s">
        <v>29</v>
      </c>
      <c r="L3736">
        <v>0</v>
      </c>
      <c r="M3736" t="s">
        <v>29</v>
      </c>
      <c r="N3736">
        <v>0</v>
      </c>
      <c r="O3736">
        <v>0</v>
      </c>
      <c r="P3736" t="s">
        <v>30</v>
      </c>
      <c r="Q3736" s="2">
        <v>0.7</v>
      </c>
      <c r="R3736">
        <v>0</v>
      </c>
      <c r="V3736" t="str">
        <f>VLOOKUP(H3736,'[1]팀별 출판사'!A:B,2,0)</f>
        <v>소설1팀</v>
      </c>
      <c r="W3736" s="6">
        <f t="shared" si="116"/>
        <v>0</v>
      </c>
      <c r="X3736" s="6">
        <f t="shared" si="117"/>
        <v>0</v>
      </c>
    </row>
    <row r="3737" spans="1:24" x14ac:dyDescent="0.3">
      <c r="A3737" t="s">
        <v>5251</v>
      </c>
      <c r="B3737" t="s">
        <v>5320</v>
      </c>
      <c r="C3737" t="s">
        <v>23</v>
      </c>
      <c r="D3737" t="s">
        <v>24</v>
      </c>
      <c r="E3737" t="s">
        <v>25</v>
      </c>
      <c r="F3737">
        <v>1</v>
      </c>
      <c r="G3737">
        <v>9791175301962</v>
      </c>
      <c r="H3737" t="s">
        <v>26</v>
      </c>
      <c r="I3737" t="s">
        <v>2406</v>
      </c>
      <c r="J3737" t="s">
        <v>256</v>
      </c>
      <c r="K3737" t="s">
        <v>29</v>
      </c>
      <c r="L3737" s="1">
        <v>3200</v>
      </c>
      <c r="M3737" t="s">
        <v>70</v>
      </c>
      <c r="N3737">
        <v>2.2200000000000002</v>
      </c>
      <c r="O3737">
        <v>2.2200000000000002</v>
      </c>
      <c r="P3737" t="s">
        <v>71</v>
      </c>
      <c r="Q3737" s="2">
        <v>0.7</v>
      </c>
      <c r="R3737">
        <v>1.55</v>
      </c>
      <c r="S3737" t="s">
        <v>29</v>
      </c>
      <c r="T3737" s="1">
        <v>2212</v>
      </c>
      <c r="U3737" s="3">
        <v>1427.80412</v>
      </c>
      <c r="V3737" t="str">
        <f>VLOOKUP(H3737,'[1]팀별 출판사'!A:B,2,0)</f>
        <v>소설1팀</v>
      </c>
      <c r="W3737" s="6">
        <f t="shared" si="116"/>
        <v>663.6</v>
      </c>
      <c r="X3737" s="6">
        <f t="shared" si="117"/>
        <v>1548.4</v>
      </c>
    </row>
    <row r="3738" spans="1:24" x14ac:dyDescent="0.3">
      <c r="A3738" t="s">
        <v>5251</v>
      </c>
      <c r="B3738" t="s">
        <v>5320</v>
      </c>
      <c r="C3738" t="s">
        <v>23</v>
      </c>
      <c r="D3738" t="s">
        <v>24</v>
      </c>
      <c r="E3738" t="s">
        <v>25</v>
      </c>
      <c r="F3738">
        <v>1</v>
      </c>
      <c r="G3738">
        <v>9791175301979</v>
      </c>
      <c r="H3738" t="s">
        <v>26</v>
      </c>
      <c r="I3738" t="s">
        <v>2407</v>
      </c>
      <c r="J3738" t="s">
        <v>256</v>
      </c>
      <c r="K3738" t="s">
        <v>29</v>
      </c>
      <c r="L3738" s="1">
        <v>3200</v>
      </c>
      <c r="M3738" t="s">
        <v>70</v>
      </c>
      <c r="N3738">
        <v>2.2200000000000002</v>
      </c>
      <c r="O3738">
        <v>2.2200000000000002</v>
      </c>
      <c r="P3738" t="s">
        <v>71</v>
      </c>
      <c r="Q3738" s="2">
        <v>0.7</v>
      </c>
      <c r="R3738">
        <v>1.55</v>
      </c>
      <c r="S3738" t="s">
        <v>29</v>
      </c>
      <c r="T3738" s="1">
        <v>2212</v>
      </c>
      <c r="U3738" s="3">
        <v>1427.80412</v>
      </c>
      <c r="V3738" t="str">
        <f>VLOOKUP(H3738,'[1]팀별 출판사'!A:B,2,0)</f>
        <v>소설1팀</v>
      </c>
      <c r="W3738" s="6">
        <f t="shared" si="116"/>
        <v>663.6</v>
      </c>
      <c r="X3738" s="6">
        <f t="shared" si="117"/>
        <v>1548.4</v>
      </c>
    </row>
    <row r="3739" spans="1:24" x14ac:dyDescent="0.3">
      <c r="A3739" t="s">
        <v>5251</v>
      </c>
      <c r="B3739" t="s">
        <v>5320</v>
      </c>
      <c r="C3739" t="s">
        <v>23</v>
      </c>
      <c r="D3739" t="s">
        <v>24</v>
      </c>
      <c r="E3739" t="s">
        <v>25</v>
      </c>
      <c r="F3739">
        <v>1</v>
      </c>
      <c r="G3739">
        <v>9791175301986</v>
      </c>
      <c r="H3739" t="s">
        <v>26</v>
      </c>
      <c r="I3739" t="s">
        <v>2408</v>
      </c>
      <c r="J3739" t="s">
        <v>256</v>
      </c>
      <c r="K3739" t="s">
        <v>29</v>
      </c>
      <c r="L3739" s="1">
        <v>3200</v>
      </c>
      <c r="M3739" t="s">
        <v>70</v>
      </c>
      <c r="N3739">
        <v>2.2200000000000002</v>
      </c>
      <c r="O3739">
        <v>2.2200000000000002</v>
      </c>
      <c r="P3739" t="s">
        <v>71</v>
      </c>
      <c r="Q3739" s="2">
        <v>0.7</v>
      </c>
      <c r="R3739">
        <v>1.55</v>
      </c>
      <c r="S3739" t="s">
        <v>29</v>
      </c>
      <c r="T3739" s="1">
        <v>2212</v>
      </c>
      <c r="U3739" s="3">
        <v>1427.80412</v>
      </c>
      <c r="V3739" t="str">
        <f>VLOOKUP(H3739,'[1]팀별 출판사'!A:B,2,0)</f>
        <v>소설1팀</v>
      </c>
      <c r="W3739" s="6">
        <f t="shared" si="116"/>
        <v>663.6</v>
      </c>
      <c r="X3739" s="6">
        <f t="shared" si="117"/>
        <v>1548.4</v>
      </c>
    </row>
    <row r="3740" spans="1:24" x14ac:dyDescent="0.3">
      <c r="A3740" t="s">
        <v>5251</v>
      </c>
      <c r="B3740" t="s">
        <v>5321</v>
      </c>
      <c r="C3740" t="s">
        <v>23</v>
      </c>
      <c r="D3740" t="s">
        <v>24</v>
      </c>
      <c r="E3740" t="s">
        <v>25</v>
      </c>
      <c r="F3740">
        <v>1</v>
      </c>
      <c r="G3740">
        <v>9791170100393</v>
      </c>
      <c r="H3740" t="s">
        <v>67</v>
      </c>
      <c r="I3740" t="s">
        <v>5322</v>
      </c>
      <c r="J3740" t="s">
        <v>1007</v>
      </c>
      <c r="K3740" t="s">
        <v>29</v>
      </c>
      <c r="L3740" s="1">
        <v>2500</v>
      </c>
      <c r="M3740" t="s">
        <v>29</v>
      </c>
      <c r="N3740" s="1">
        <v>2500</v>
      </c>
      <c r="O3740" s="1">
        <v>2500</v>
      </c>
      <c r="P3740" t="s">
        <v>30</v>
      </c>
      <c r="Q3740" s="2">
        <v>0.7</v>
      </c>
      <c r="R3740" s="1">
        <v>1750</v>
      </c>
      <c r="S3740" t="s">
        <v>29</v>
      </c>
      <c r="T3740" s="1">
        <v>1750</v>
      </c>
      <c r="V3740" t="str">
        <f>VLOOKUP(H3740,'[1]팀별 출판사'!A:B,2,0)</f>
        <v>소설1팀</v>
      </c>
      <c r="W3740" s="6">
        <f t="shared" si="116"/>
        <v>0</v>
      </c>
      <c r="X3740" s="6">
        <f t="shared" si="117"/>
        <v>1750</v>
      </c>
    </row>
    <row r="3741" spans="1:24" x14ac:dyDescent="0.3">
      <c r="A3741" t="s">
        <v>5251</v>
      </c>
      <c r="B3741" t="s">
        <v>5323</v>
      </c>
      <c r="C3741" t="s">
        <v>23</v>
      </c>
      <c r="D3741" t="s">
        <v>24</v>
      </c>
      <c r="E3741" t="s">
        <v>25</v>
      </c>
      <c r="F3741">
        <v>1</v>
      </c>
      <c r="G3741">
        <v>9791186248058</v>
      </c>
      <c r="H3741" t="s">
        <v>67</v>
      </c>
      <c r="I3741" t="s">
        <v>4740</v>
      </c>
      <c r="J3741" t="s">
        <v>2583</v>
      </c>
      <c r="K3741" t="s">
        <v>29</v>
      </c>
      <c r="L3741">
        <v>0</v>
      </c>
      <c r="M3741" t="s">
        <v>29</v>
      </c>
      <c r="N3741">
        <v>0</v>
      </c>
      <c r="O3741">
        <v>0</v>
      </c>
      <c r="P3741" t="s">
        <v>30</v>
      </c>
      <c r="Q3741" s="2">
        <v>0.7</v>
      </c>
      <c r="R3741">
        <v>0</v>
      </c>
      <c r="V3741" t="str">
        <f>VLOOKUP(H3741,'[1]팀별 출판사'!A:B,2,0)</f>
        <v>소설1팀</v>
      </c>
      <c r="W3741" s="6">
        <f t="shared" si="116"/>
        <v>0</v>
      </c>
      <c r="X3741" s="6">
        <f t="shared" si="117"/>
        <v>0</v>
      </c>
    </row>
    <row r="3742" spans="1:24" x14ac:dyDescent="0.3">
      <c r="A3742" t="s">
        <v>5251</v>
      </c>
      <c r="B3742" t="s">
        <v>5324</v>
      </c>
      <c r="C3742" t="s">
        <v>23</v>
      </c>
      <c r="D3742" t="s">
        <v>24</v>
      </c>
      <c r="E3742" t="s">
        <v>25</v>
      </c>
      <c r="F3742">
        <v>1</v>
      </c>
      <c r="G3742">
        <v>9791136931382</v>
      </c>
      <c r="H3742" t="s">
        <v>32</v>
      </c>
      <c r="I3742" t="s">
        <v>523</v>
      </c>
      <c r="J3742" t="s">
        <v>46</v>
      </c>
      <c r="K3742" t="s">
        <v>29</v>
      </c>
      <c r="L3742">
        <v>0</v>
      </c>
      <c r="M3742" t="s">
        <v>152</v>
      </c>
      <c r="N3742">
        <v>0</v>
      </c>
      <c r="O3742">
        <v>0</v>
      </c>
      <c r="P3742" t="s">
        <v>153</v>
      </c>
      <c r="Q3742" s="2">
        <v>0.7</v>
      </c>
      <c r="R3742">
        <v>0</v>
      </c>
      <c r="V3742" t="str">
        <f>VLOOKUP(H3742,'[1]팀별 출판사'!A:B,2,0)</f>
        <v>소설1팀</v>
      </c>
      <c r="W3742" s="6">
        <f t="shared" si="116"/>
        <v>0</v>
      </c>
      <c r="X3742" s="6">
        <f t="shared" si="117"/>
        <v>0</v>
      </c>
    </row>
    <row r="3743" spans="1:24" x14ac:dyDescent="0.3">
      <c r="A3743" t="s">
        <v>5251</v>
      </c>
      <c r="B3743" t="s">
        <v>5325</v>
      </c>
      <c r="C3743" t="s">
        <v>23</v>
      </c>
      <c r="D3743" t="s">
        <v>24</v>
      </c>
      <c r="E3743" t="s">
        <v>25</v>
      </c>
      <c r="F3743">
        <v>1</v>
      </c>
      <c r="G3743">
        <v>9791136930224</v>
      </c>
      <c r="H3743" t="s">
        <v>32</v>
      </c>
      <c r="I3743" t="s">
        <v>172</v>
      </c>
      <c r="J3743" t="s">
        <v>46</v>
      </c>
      <c r="K3743" t="s">
        <v>29</v>
      </c>
      <c r="L3743">
        <v>0</v>
      </c>
      <c r="M3743" t="s">
        <v>152</v>
      </c>
      <c r="N3743">
        <v>0</v>
      </c>
      <c r="O3743">
        <v>0</v>
      </c>
      <c r="P3743" t="s">
        <v>153</v>
      </c>
      <c r="Q3743" s="2">
        <v>0.7</v>
      </c>
      <c r="R3743">
        <v>0</v>
      </c>
      <c r="V3743" t="str">
        <f>VLOOKUP(H3743,'[1]팀별 출판사'!A:B,2,0)</f>
        <v>소설1팀</v>
      </c>
      <c r="W3743" s="6">
        <f t="shared" si="116"/>
        <v>0</v>
      </c>
      <c r="X3743" s="6">
        <f t="shared" si="117"/>
        <v>0</v>
      </c>
    </row>
    <row r="3744" spans="1:24" x14ac:dyDescent="0.3">
      <c r="A3744" t="s">
        <v>5251</v>
      </c>
      <c r="B3744" t="s">
        <v>5326</v>
      </c>
      <c r="C3744" t="s">
        <v>23</v>
      </c>
      <c r="D3744" t="s">
        <v>24</v>
      </c>
      <c r="E3744" t="s">
        <v>25</v>
      </c>
      <c r="F3744">
        <v>1</v>
      </c>
      <c r="G3744">
        <v>9791194664369</v>
      </c>
      <c r="H3744" t="s">
        <v>79</v>
      </c>
      <c r="I3744" t="s">
        <v>156</v>
      </c>
      <c r="J3744" t="s">
        <v>157</v>
      </c>
      <c r="K3744" t="s">
        <v>29</v>
      </c>
      <c r="L3744">
        <v>0</v>
      </c>
      <c r="M3744" t="s">
        <v>47</v>
      </c>
      <c r="N3744">
        <v>0</v>
      </c>
      <c r="O3744">
        <v>0</v>
      </c>
      <c r="P3744" t="s">
        <v>48</v>
      </c>
      <c r="Q3744" s="2">
        <v>0.7</v>
      </c>
      <c r="R3744">
        <v>0</v>
      </c>
      <c r="V3744" t="str">
        <f>VLOOKUP(H3744,'[1]팀별 출판사'!A:B,2,0)</f>
        <v>소설1팀</v>
      </c>
      <c r="W3744" s="6">
        <f t="shared" si="116"/>
        <v>0</v>
      </c>
      <c r="X3744" s="6">
        <f t="shared" si="117"/>
        <v>0</v>
      </c>
    </row>
    <row r="3745" spans="1:24" x14ac:dyDescent="0.3">
      <c r="A3745" t="s">
        <v>5251</v>
      </c>
      <c r="B3745" t="s">
        <v>5327</v>
      </c>
      <c r="C3745" t="s">
        <v>23</v>
      </c>
      <c r="D3745" t="s">
        <v>24</v>
      </c>
      <c r="E3745" t="s">
        <v>25</v>
      </c>
      <c r="F3745">
        <v>1</v>
      </c>
      <c r="G3745" t="s">
        <v>2122</v>
      </c>
      <c r="H3745" t="s">
        <v>32</v>
      </c>
      <c r="I3745" t="s">
        <v>2123</v>
      </c>
      <c r="J3745" t="s">
        <v>166</v>
      </c>
      <c r="K3745" t="s">
        <v>29</v>
      </c>
      <c r="L3745">
        <v>0</v>
      </c>
      <c r="M3745" t="s">
        <v>29</v>
      </c>
      <c r="N3745">
        <v>0</v>
      </c>
      <c r="O3745">
        <v>0</v>
      </c>
      <c r="P3745" t="s">
        <v>30</v>
      </c>
      <c r="Q3745" s="2">
        <v>0.7</v>
      </c>
      <c r="R3745">
        <v>0</v>
      </c>
      <c r="V3745" t="str">
        <f>VLOOKUP(H3745,'[1]팀별 출판사'!A:B,2,0)</f>
        <v>소설1팀</v>
      </c>
      <c r="W3745" s="6">
        <f t="shared" si="116"/>
        <v>0</v>
      </c>
      <c r="X3745" s="6">
        <f t="shared" si="117"/>
        <v>0</v>
      </c>
    </row>
    <row r="3746" spans="1:24" x14ac:dyDescent="0.3">
      <c r="A3746" t="s">
        <v>5251</v>
      </c>
      <c r="B3746" t="s">
        <v>5328</v>
      </c>
      <c r="C3746" t="s">
        <v>23</v>
      </c>
      <c r="D3746" t="s">
        <v>24</v>
      </c>
      <c r="E3746" t="s">
        <v>25</v>
      </c>
      <c r="F3746">
        <v>1</v>
      </c>
      <c r="G3746">
        <v>9791136988133</v>
      </c>
      <c r="H3746" t="s">
        <v>26</v>
      </c>
      <c r="I3746" t="s">
        <v>614</v>
      </c>
      <c r="J3746" t="s">
        <v>28</v>
      </c>
      <c r="K3746" t="s">
        <v>29</v>
      </c>
      <c r="L3746">
        <v>0</v>
      </c>
      <c r="M3746" t="s">
        <v>29</v>
      </c>
      <c r="N3746">
        <v>0</v>
      </c>
      <c r="O3746">
        <v>0</v>
      </c>
      <c r="P3746" t="s">
        <v>30</v>
      </c>
      <c r="Q3746" s="2">
        <v>0.7</v>
      </c>
      <c r="R3746">
        <v>0</v>
      </c>
      <c r="V3746" t="str">
        <f>VLOOKUP(H3746,'[1]팀별 출판사'!A:B,2,0)</f>
        <v>소설1팀</v>
      </c>
      <c r="W3746" s="6">
        <f t="shared" si="116"/>
        <v>0</v>
      </c>
      <c r="X3746" s="6">
        <f t="shared" si="117"/>
        <v>0</v>
      </c>
    </row>
    <row r="3747" spans="1:24" x14ac:dyDescent="0.3">
      <c r="A3747" t="s">
        <v>5251</v>
      </c>
      <c r="B3747" t="s">
        <v>5329</v>
      </c>
      <c r="C3747" t="s">
        <v>23</v>
      </c>
      <c r="D3747" t="s">
        <v>24</v>
      </c>
      <c r="E3747" t="s">
        <v>25</v>
      </c>
      <c r="F3747">
        <v>1</v>
      </c>
      <c r="G3747">
        <v>9791136931382</v>
      </c>
      <c r="H3747" t="s">
        <v>32</v>
      </c>
      <c r="I3747" t="s">
        <v>523</v>
      </c>
      <c r="J3747" t="s">
        <v>46</v>
      </c>
      <c r="K3747" t="s">
        <v>29</v>
      </c>
      <c r="L3747">
        <v>0</v>
      </c>
      <c r="M3747" t="s">
        <v>127</v>
      </c>
      <c r="N3747">
        <v>0</v>
      </c>
      <c r="O3747">
        <v>0</v>
      </c>
      <c r="P3747" t="s">
        <v>128</v>
      </c>
      <c r="Q3747" s="2">
        <v>0.7</v>
      </c>
      <c r="R3747">
        <v>0</v>
      </c>
      <c r="V3747" t="str">
        <f>VLOOKUP(H3747,'[1]팀별 출판사'!A:B,2,0)</f>
        <v>소설1팀</v>
      </c>
      <c r="W3747" s="6">
        <f t="shared" si="116"/>
        <v>0</v>
      </c>
      <c r="X3747" s="6">
        <f t="shared" si="117"/>
        <v>0</v>
      </c>
    </row>
    <row r="3748" spans="1:24" x14ac:dyDescent="0.3">
      <c r="A3748" t="s">
        <v>5251</v>
      </c>
      <c r="B3748" t="s">
        <v>5330</v>
      </c>
      <c r="C3748" t="s">
        <v>23</v>
      </c>
      <c r="D3748" t="s">
        <v>24</v>
      </c>
      <c r="E3748" t="s">
        <v>25</v>
      </c>
      <c r="F3748">
        <v>1</v>
      </c>
      <c r="G3748">
        <v>9791133102662</v>
      </c>
      <c r="H3748" t="s">
        <v>32</v>
      </c>
      <c r="I3748" t="s">
        <v>675</v>
      </c>
      <c r="J3748" t="s">
        <v>51</v>
      </c>
      <c r="K3748" t="s">
        <v>29</v>
      </c>
      <c r="L3748">
        <v>0</v>
      </c>
      <c r="M3748" t="s">
        <v>29</v>
      </c>
      <c r="N3748">
        <v>0</v>
      </c>
      <c r="O3748">
        <v>0</v>
      </c>
      <c r="P3748" t="s">
        <v>30</v>
      </c>
      <c r="Q3748" s="2">
        <v>0.7</v>
      </c>
      <c r="R3748">
        <v>0</v>
      </c>
      <c r="V3748" t="str">
        <f>VLOOKUP(H3748,'[1]팀별 출판사'!A:B,2,0)</f>
        <v>소설1팀</v>
      </c>
      <c r="W3748" s="6">
        <f t="shared" si="116"/>
        <v>0</v>
      </c>
      <c r="X3748" s="6">
        <f t="shared" si="117"/>
        <v>0</v>
      </c>
    </row>
    <row r="3749" spans="1:24" x14ac:dyDescent="0.3">
      <c r="A3749" t="s">
        <v>5251</v>
      </c>
      <c r="B3749" t="s">
        <v>5331</v>
      </c>
      <c r="C3749" t="s">
        <v>23</v>
      </c>
      <c r="D3749" t="s">
        <v>24</v>
      </c>
      <c r="E3749" t="s">
        <v>25</v>
      </c>
      <c r="F3749">
        <v>1</v>
      </c>
      <c r="G3749">
        <v>9791170106715</v>
      </c>
      <c r="H3749" t="s">
        <v>67</v>
      </c>
      <c r="I3749" t="s">
        <v>68</v>
      </c>
      <c r="J3749" t="s">
        <v>69</v>
      </c>
      <c r="K3749" t="s">
        <v>29</v>
      </c>
      <c r="L3749">
        <v>0</v>
      </c>
      <c r="M3749" t="s">
        <v>478</v>
      </c>
      <c r="N3749">
        <v>0</v>
      </c>
      <c r="O3749">
        <v>0</v>
      </c>
      <c r="P3749" t="s">
        <v>479</v>
      </c>
      <c r="Q3749" s="2">
        <v>0.7</v>
      </c>
      <c r="R3749">
        <v>0</v>
      </c>
      <c r="V3749" t="str">
        <f>VLOOKUP(H3749,'[1]팀별 출판사'!A:B,2,0)</f>
        <v>소설1팀</v>
      </c>
      <c r="W3749" s="6">
        <f t="shared" si="116"/>
        <v>0</v>
      </c>
      <c r="X3749" s="6">
        <f t="shared" si="117"/>
        <v>0</v>
      </c>
    </row>
    <row r="3750" spans="1:24" x14ac:dyDescent="0.3">
      <c r="A3750" t="s">
        <v>5251</v>
      </c>
      <c r="B3750" t="s">
        <v>5332</v>
      </c>
      <c r="C3750" t="s">
        <v>23</v>
      </c>
      <c r="D3750" t="s">
        <v>24</v>
      </c>
      <c r="E3750" t="s">
        <v>25</v>
      </c>
      <c r="F3750">
        <v>1</v>
      </c>
      <c r="G3750">
        <v>9791195412358</v>
      </c>
      <c r="H3750" t="s">
        <v>67</v>
      </c>
      <c r="I3750" t="s">
        <v>2651</v>
      </c>
      <c r="J3750" t="s">
        <v>2583</v>
      </c>
      <c r="K3750" t="s">
        <v>29</v>
      </c>
      <c r="L3750">
        <v>0</v>
      </c>
      <c r="M3750" t="s">
        <v>29</v>
      </c>
      <c r="N3750">
        <v>0</v>
      </c>
      <c r="O3750">
        <v>0</v>
      </c>
      <c r="P3750" t="s">
        <v>30</v>
      </c>
      <c r="Q3750" s="2">
        <v>0.7</v>
      </c>
      <c r="R3750">
        <v>0</v>
      </c>
      <c r="V3750" t="str">
        <f>VLOOKUP(H3750,'[1]팀별 출판사'!A:B,2,0)</f>
        <v>소설1팀</v>
      </c>
      <c r="W3750" s="6">
        <f t="shared" si="116"/>
        <v>0</v>
      </c>
      <c r="X3750" s="6">
        <f t="shared" si="117"/>
        <v>0</v>
      </c>
    </row>
    <row r="3751" spans="1:24" x14ac:dyDescent="0.3">
      <c r="A3751" t="s">
        <v>5251</v>
      </c>
      <c r="B3751" t="s">
        <v>5333</v>
      </c>
      <c r="C3751" t="s">
        <v>23</v>
      </c>
      <c r="D3751" t="s">
        <v>24</v>
      </c>
      <c r="E3751" t="s">
        <v>25</v>
      </c>
      <c r="F3751">
        <v>1</v>
      </c>
      <c r="G3751">
        <v>9791170106944</v>
      </c>
      <c r="H3751" t="s">
        <v>67</v>
      </c>
      <c r="I3751" t="s">
        <v>2582</v>
      </c>
      <c r="J3751" t="s">
        <v>2583</v>
      </c>
      <c r="K3751" t="s">
        <v>29</v>
      </c>
      <c r="L3751">
        <v>0</v>
      </c>
      <c r="M3751" t="s">
        <v>29</v>
      </c>
      <c r="N3751">
        <v>0</v>
      </c>
      <c r="O3751">
        <v>0</v>
      </c>
      <c r="P3751" t="s">
        <v>30</v>
      </c>
      <c r="Q3751" s="2">
        <v>0.7</v>
      </c>
      <c r="R3751">
        <v>0</v>
      </c>
      <c r="V3751" t="str">
        <f>VLOOKUP(H3751,'[1]팀별 출판사'!A:B,2,0)</f>
        <v>소설1팀</v>
      </c>
      <c r="W3751" s="6">
        <f t="shared" si="116"/>
        <v>0</v>
      </c>
      <c r="X3751" s="6">
        <f t="shared" si="117"/>
        <v>0</v>
      </c>
    </row>
    <row r="3752" spans="1:24" x14ac:dyDescent="0.3">
      <c r="A3752" t="s">
        <v>5251</v>
      </c>
      <c r="B3752" t="s">
        <v>5334</v>
      </c>
      <c r="C3752" t="s">
        <v>23</v>
      </c>
      <c r="D3752" t="s">
        <v>24</v>
      </c>
      <c r="E3752" t="s">
        <v>25</v>
      </c>
      <c r="F3752">
        <v>1</v>
      </c>
      <c r="G3752">
        <v>9791172924850</v>
      </c>
      <c r="H3752" t="s">
        <v>26</v>
      </c>
      <c r="I3752" t="s">
        <v>61</v>
      </c>
      <c r="J3752" t="s">
        <v>62</v>
      </c>
      <c r="K3752" t="s">
        <v>29</v>
      </c>
      <c r="L3752">
        <v>0</v>
      </c>
      <c r="M3752" t="s">
        <v>29</v>
      </c>
      <c r="N3752">
        <v>0</v>
      </c>
      <c r="O3752">
        <v>0</v>
      </c>
      <c r="P3752" t="s">
        <v>30</v>
      </c>
      <c r="Q3752" s="2">
        <v>0.7</v>
      </c>
      <c r="R3752">
        <v>0</v>
      </c>
      <c r="V3752" t="str">
        <f>VLOOKUP(H3752,'[1]팀별 출판사'!A:B,2,0)</f>
        <v>소설1팀</v>
      </c>
      <c r="W3752" s="6">
        <f t="shared" si="116"/>
        <v>0</v>
      </c>
      <c r="X3752" s="6">
        <f t="shared" si="117"/>
        <v>0</v>
      </c>
    </row>
    <row r="3753" spans="1:24" x14ac:dyDescent="0.3">
      <c r="A3753" t="s">
        <v>5251</v>
      </c>
      <c r="B3753" t="s">
        <v>5335</v>
      </c>
      <c r="C3753" t="s">
        <v>23</v>
      </c>
      <c r="D3753" t="s">
        <v>24</v>
      </c>
      <c r="E3753" t="s">
        <v>25</v>
      </c>
      <c r="F3753">
        <v>1</v>
      </c>
      <c r="G3753" t="s">
        <v>1458</v>
      </c>
      <c r="H3753" t="s">
        <v>32</v>
      </c>
      <c r="I3753" t="s">
        <v>3420</v>
      </c>
      <c r="J3753" t="s">
        <v>166</v>
      </c>
      <c r="K3753" t="s">
        <v>29</v>
      </c>
      <c r="L3753">
        <v>0</v>
      </c>
      <c r="M3753" t="s">
        <v>29</v>
      </c>
      <c r="N3753">
        <v>0</v>
      </c>
      <c r="O3753">
        <v>0</v>
      </c>
      <c r="P3753" t="s">
        <v>30</v>
      </c>
      <c r="Q3753" s="2">
        <v>0.7</v>
      </c>
      <c r="R3753">
        <v>0</v>
      </c>
      <c r="V3753" t="str">
        <f>VLOOKUP(H3753,'[1]팀별 출판사'!A:B,2,0)</f>
        <v>소설1팀</v>
      </c>
      <c r="W3753" s="6">
        <f t="shared" si="116"/>
        <v>0</v>
      </c>
      <c r="X3753" s="6">
        <f t="shared" si="117"/>
        <v>0</v>
      </c>
    </row>
    <row r="3754" spans="1:24" x14ac:dyDescent="0.3">
      <c r="A3754" t="s">
        <v>5251</v>
      </c>
      <c r="B3754" t="s">
        <v>5336</v>
      </c>
      <c r="C3754" t="s">
        <v>23</v>
      </c>
      <c r="D3754" t="s">
        <v>24</v>
      </c>
      <c r="E3754" t="s">
        <v>25</v>
      </c>
      <c r="F3754">
        <v>1</v>
      </c>
      <c r="G3754">
        <v>9791136927255</v>
      </c>
      <c r="H3754" t="s">
        <v>36</v>
      </c>
      <c r="I3754" t="s">
        <v>90</v>
      </c>
      <c r="J3754" t="s">
        <v>38</v>
      </c>
      <c r="K3754" t="s">
        <v>29</v>
      </c>
      <c r="L3754" s="1">
        <v>3300</v>
      </c>
      <c r="M3754" t="s">
        <v>1181</v>
      </c>
      <c r="N3754">
        <v>72</v>
      </c>
      <c r="O3754">
        <v>72</v>
      </c>
      <c r="P3754" t="s">
        <v>1182</v>
      </c>
      <c r="Q3754" s="2">
        <v>0.7</v>
      </c>
      <c r="R3754">
        <v>50.4</v>
      </c>
      <c r="S3754" t="s">
        <v>29</v>
      </c>
      <c r="T3754" s="1">
        <v>2315</v>
      </c>
      <c r="U3754">
        <v>45.949489999999997</v>
      </c>
      <c r="V3754" t="str">
        <f>VLOOKUP(H3754,'[1]팀별 출판사'!A:B,2,0)</f>
        <v>소설2팀</v>
      </c>
      <c r="W3754" s="6">
        <f t="shared" si="116"/>
        <v>0</v>
      </c>
      <c r="X3754" s="6">
        <f t="shared" si="117"/>
        <v>2315</v>
      </c>
    </row>
    <row r="3755" spans="1:24" x14ac:dyDescent="0.3">
      <c r="A3755" t="s">
        <v>5251</v>
      </c>
      <c r="B3755" t="s">
        <v>5337</v>
      </c>
      <c r="C3755" t="s">
        <v>23</v>
      </c>
      <c r="D3755" t="s">
        <v>24</v>
      </c>
      <c r="E3755" t="s">
        <v>25</v>
      </c>
      <c r="F3755">
        <v>1</v>
      </c>
      <c r="G3755">
        <v>9791157539734</v>
      </c>
      <c r="H3755" t="s">
        <v>32</v>
      </c>
      <c r="I3755" t="s">
        <v>3845</v>
      </c>
      <c r="J3755" t="s">
        <v>88</v>
      </c>
      <c r="K3755" t="s">
        <v>29</v>
      </c>
      <c r="L3755" s="1">
        <v>3200</v>
      </c>
      <c r="M3755" t="s">
        <v>29</v>
      </c>
      <c r="N3755" s="1">
        <v>3200</v>
      </c>
      <c r="O3755" s="1">
        <v>3200</v>
      </c>
      <c r="P3755" t="s">
        <v>30</v>
      </c>
      <c r="Q3755" s="2">
        <v>0.7</v>
      </c>
      <c r="R3755" s="1">
        <v>2240</v>
      </c>
      <c r="S3755" t="s">
        <v>29</v>
      </c>
      <c r="T3755" s="1">
        <v>2240</v>
      </c>
      <c r="V3755" t="str">
        <f>VLOOKUP(H3755,'[1]팀별 출판사'!A:B,2,0)</f>
        <v>소설1팀</v>
      </c>
      <c r="W3755" s="6">
        <f t="shared" si="116"/>
        <v>0</v>
      </c>
      <c r="X3755" s="6">
        <f t="shared" si="117"/>
        <v>2240</v>
      </c>
    </row>
    <row r="3756" spans="1:24" x14ac:dyDescent="0.3">
      <c r="A3756" t="s">
        <v>5251</v>
      </c>
      <c r="B3756" t="s">
        <v>5338</v>
      </c>
      <c r="C3756" t="s">
        <v>23</v>
      </c>
      <c r="D3756" t="s">
        <v>24</v>
      </c>
      <c r="E3756" t="s">
        <v>25</v>
      </c>
      <c r="F3756">
        <v>1</v>
      </c>
      <c r="G3756">
        <v>9791133147762</v>
      </c>
      <c r="H3756" t="s">
        <v>32</v>
      </c>
      <c r="I3756" t="s">
        <v>1293</v>
      </c>
      <c r="J3756" t="s">
        <v>284</v>
      </c>
      <c r="K3756" t="s">
        <v>29</v>
      </c>
      <c r="L3756">
        <v>0</v>
      </c>
      <c r="M3756" t="s">
        <v>29</v>
      </c>
      <c r="N3756">
        <v>0</v>
      </c>
      <c r="O3756">
        <v>0</v>
      </c>
      <c r="P3756" t="s">
        <v>30</v>
      </c>
      <c r="Q3756" s="2">
        <v>0.7</v>
      </c>
      <c r="R3756">
        <v>0</v>
      </c>
      <c r="V3756" t="str">
        <f>VLOOKUP(H3756,'[1]팀별 출판사'!A:B,2,0)</f>
        <v>소설1팀</v>
      </c>
      <c r="W3756" s="6">
        <f t="shared" si="116"/>
        <v>0</v>
      </c>
      <c r="X3756" s="6">
        <f t="shared" si="117"/>
        <v>0</v>
      </c>
    </row>
    <row r="3757" spans="1:24" x14ac:dyDescent="0.3">
      <c r="A3757" t="s">
        <v>5251</v>
      </c>
      <c r="B3757" t="s">
        <v>5339</v>
      </c>
      <c r="C3757" t="s">
        <v>23</v>
      </c>
      <c r="D3757" t="s">
        <v>24</v>
      </c>
      <c r="E3757" t="s">
        <v>25</v>
      </c>
      <c r="F3757">
        <v>1</v>
      </c>
      <c r="G3757">
        <v>9791172927851</v>
      </c>
      <c r="H3757" t="s">
        <v>79</v>
      </c>
      <c r="I3757" t="s">
        <v>4276</v>
      </c>
      <c r="J3757" t="s">
        <v>81</v>
      </c>
      <c r="K3757" t="s">
        <v>29</v>
      </c>
      <c r="L3757" s="1">
        <v>3200</v>
      </c>
      <c r="M3757" t="s">
        <v>29</v>
      </c>
      <c r="N3757" s="1">
        <v>3200</v>
      </c>
      <c r="O3757" s="1">
        <v>3200</v>
      </c>
      <c r="P3757" t="s">
        <v>30</v>
      </c>
      <c r="Q3757" s="2">
        <v>0.7</v>
      </c>
      <c r="R3757" s="1">
        <v>2240</v>
      </c>
      <c r="S3757" t="s">
        <v>29</v>
      </c>
      <c r="T3757" s="1">
        <v>2240</v>
      </c>
      <c r="V3757" t="str">
        <f>VLOOKUP(H3757,'[1]팀별 출판사'!A:B,2,0)</f>
        <v>소설1팀</v>
      </c>
      <c r="W3757" s="6">
        <f t="shared" si="116"/>
        <v>0</v>
      </c>
      <c r="X3757" s="6">
        <f t="shared" si="117"/>
        <v>2240</v>
      </c>
    </row>
    <row r="3758" spans="1:24" x14ac:dyDescent="0.3">
      <c r="A3758" t="s">
        <v>5251</v>
      </c>
      <c r="B3758" t="s">
        <v>5340</v>
      </c>
      <c r="C3758" t="s">
        <v>23</v>
      </c>
      <c r="D3758" t="s">
        <v>24</v>
      </c>
      <c r="E3758" t="s">
        <v>25</v>
      </c>
      <c r="F3758">
        <v>1</v>
      </c>
      <c r="G3758" t="s">
        <v>5341</v>
      </c>
      <c r="H3758" t="s">
        <v>32</v>
      </c>
      <c r="I3758" t="s">
        <v>5342</v>
      </c>
      <c r="J3758" t="s">
        <v>220</v>
      </c>
      <c r="K3758" t="s">
        <v>29</v>
      </c>
      <c r="L3758">
        <v>0</v>
      </c>
      <c r="M3758" t="s">
        <v>29</v>
      </c>
      <c r="N3758">
        <v>0</v>
      </c>
      <c r="O3758">
        <v>0</v>
      </c>
      <c r="P3758" t="s">
        <v>30</v>
      </c>
      <c r="Q3758" s="2">
        <v>0.7</v>
      </c>
      <c r="R3758">
        <v>0</v>
      </c>
      <c r="V3758" t="str">
        <f>VLOOKUP(H3758,'[1]팀별 출판사'!A:B,2,0)</f>
        <v>소설1팀</v>
      </c>
      <c r="W3758" s="6">
        <f t="shared" si="116"/>
        <v>0</v>
      </c>
      <c r="X3758" s="6">
        <f t="shared" si="117"/>
        <v>0</v>
      </c>
    </row>
    <row r="3759" spans="1:24" x14ac:dyDescent="0.3">
      <c r="A3759" t="s">
        <v>5251</v>
      </c>
      <c r="B3759" t="s">
        <v>5343</v>
      </c>
      <c r="C3759" t="s">
        <v>23</v>
      </c>
      <c r="D3759" t="s">
        <v>24</v>
      </c>
      <c r="E3759" t="s">
        <v>25</v>
      </c>
      <c r="F3759">
        <v>1</v>
      </c>
      <c r="G3759" t="s">
        <v>1138</v>
      </c>
      <c r="H3759" t="s">
        <v>32</v>
      </c>
      <c r="I3759" t="s">
        <v>1139</v>
      </c>
      <c r="J3759" t="s">
        <v>311</v>
      </c>
      <c r="K3759" t="s">
        <v>29</v>
      </c>
      <c r="L3759">
        <v>0</v>
      </c>
      <c r="M3759" t="s">
        <v>29</v>
      </c>
      <c r="N3759">
        <v>0</v>
      </c>
      <c r="O3759">
        <v>0</v>
      </c>
      <c r="P3759" t="s">
        <v>30</v>
      </c>
      <c r="Q3759" s="2">
        <v>0.7</v>
      </c>
      <c r="R3759">
        <v>0</v>
      </c>
      <c r="V3759" t="str">
        <f>VLOOKUP(H3759,'[1]팀별 출판사'!A:B,2,0)</f>
        <v>소설1팀</v>
      </c>
      <c r="W3759" s="6">
        <f t="shared" si="116"/>
        <v>0</v>
      </c>
      <c r="X3759" s="6">
        <f t="shared" si="117"/>
        <v>0</v>
      </c>
    </row>
    <row r="3760" spans="1:24" x14ac:dyDescent="0.3">
      <c r="A3760" t="s">
        <v>5251</v>
      </c>
      <c r="B3760" t="s">
        <v>5344</v>
      </c>
      <c r="C3760" t="s">
        <v>23</v>
      </c>
      <c r="D3760" t="s">
        <v>24</v>
      </c>
      <c r="E3760" t="s">
        <v>25</v>
      </c>
      <c r="F3760">
        <v>1</v>
      </c>
      <c r="G3760" t="s">
        <v>5345</v>
      </c>
      <c r="H3760" t="s">
        <v>32</v>
      </c>
      <c r="I3760" t="s">
        <v>5346</v>
      </c>
      <c r="J3760" t="s">
        <v>5319</v>
      </c>
      <c r="K3760" t="s">
        <v>29</v>
      </c>
      <c r="L3760" s="1">
        <v>3500</v>
      </c>
      <c r="M3760" t="s">
        <v>29</v>
      </c>
      <c r="N3760" s="1">
        <v>3500</v>
      </c>
      <c r="O3760" s="1">
        <v>3500</v>
      </c>
      <c r="P3760" t="s">
        <v>30</v>
      </c>
      <c r="Q3760" s="2">
        <v>0.7</v>
      </c>
      <c r="R3760" s="1">
        <v>2450</v>
      </c>
      <c r="S3760" t="s">
        <v>29</v>
      </c>
      <c r="T3760" s="1">
        <v>2450</v>
      </c>
      <c r="V3760" t="str">
        <f>VLOOKUP(H3760,'[1]팀별 출판사'!A:B,2,0)</f>
        <v>소설1팀</v>
      </c>
      <c r="W3760" s="6">
        <f t="shared" si="116"/>
        <v>0</v>
      </c>
      <c r="X3760" s="6">
        <f t="shared" si="117"/>
        <v>2450</v>
      </c>
    </row>
    <row r="3761" spans="1:24" x14ac:dyDescent="0.3">
      <c r="A3761" t="s">
        <v>5251</v>
      </c>
      <c r="B3761" t="s">
        <v>5347</v>
      </c>
      <c r="C3761" t="s">
        <v>23</v>
      </c>
      <c r="D3761" t="s">
        <v>24</v>
      </c>
      <c r="E3761" t="s">
        <v>25</v>
      </c>
      <c r="F3761">
        <v>1</v>
      </c>
      <c r="G3761" t="s">
        <v>2867</v>
      </c>
      <c r="H3761" t="s">
        <v>32</v>
      </c>
      <c r="I3761" t="s">
        <v>2868</v>
      </c>
      <c r="J3761" t="s">
        <v>166</v>
      </c>
      <c r="K3761" t="s">
        <v>29</v>
      </c>
      <c r="L3761">
        <v>0</v>
      </c>
      <c r="M3761" t="s">
        <v>29</v>
      </c>
      <c r="N3761">
        <v>0</v>
      </c>
      <c r="O3761">
        <v>0</v>
      </c>
      <c r="P3761" t="s">
        <v>30</v>
      </c>
      <c r="Q3761" s="2">
        <v>0.7</v>
      </c>
      <c r="R3761">
        <v>0</v>
      </c>
      <c r="V3761" t="str">
        <f>VLOOKUP(H3761,'[1]팀별 출판사'!A:B,2,0)</f>
        <v>소설1팀</v>
      </c>
      <c r="W3761" s="6">
        <f t="shared" si="116"/>
        <v>0</v>
      </c>
      <c r="X3761" s="6">
        <f t="shared" si="117"/>
        <v>0</v>
      </c>
    </row>
    <row r="3762" spans="1:24" x14ac:dyDescent="0.3">
      <c r="A3762" t="s">
        <v>5251</v>
      </c>
      <c r="B3762" t="s">
        <v>5348</v>
      </c>
      <c r="C3762" t="s">
        <v>23</v>
      </c>
      <c r="D3762" t="s">
        <v>24</v>
      </c>
      <c r="E3762" t="s">
        <v>25</v>
      </c>
      <c r="F3762">
        <v>1</v>
      </c>
      <c r="G3762">
        <v>9791136941862</v>
      </c>
      <c r="H3762" t="s">
        <v>26</v>
      </c>
      <c r="I3762" t="s">
        <v>894</v>
      </c>
      <c r="J3762" t="s">
        <v>81</v>
      </c>
      <c r="K3762" t="s">
        <v>29</v>
      </c>
      <c r="L3762">
        <v>0</v>
      </c>
      <c r="M3762" t="s">
        <v>29</v>
      </c>
      <c r="N3762">
        <v>0</v>
      </c>
      <c r="O3762">
        <v>0</v>
      </c>
      <c r="P3762" t="s">
        <v>30</v>
      </c>
      <c r="Q3762" s="2">
        <v>0.7</v>
      </c>
      <c r="R3762">
        <v>0</v>
      </c>
      <c r="V3762" t="str">
        <f>VLOOKUP(H3762,'[1]팀별 출판사'!A:B,2,0)</f>
        <v>소설1팀</v>
      </c>
      <c r="W3762" s="6">
        <f t="shared" si="116"/>
        <v>0</v>
      </c>
      <c r="X3762" s="6">
        <f t="shared" si="117"/>
        <v>0</v>
      </c>
    </row>
    <row r="3763" spans="1:24" x14ac:dyDescent="0.3">
      <c r="A3763" t="s">
        <v>5251</v>
      </c>
      <c r="B3763" t="s">
        <v>5349</v>
      </c>
      <c r="C3763" t="s">
        <v>23</v>
      </c>
      <c r="D3763" t="s">
        <v>24</v>
      </c>
      <c r="E3763" t="s">
        <v>25</v>
      </c>
      <c r="F3763">
        <v>1</v>
      </c>
      <c r="G3763">
        <v>9791157532407</v>
      </c>
      <c r="H3763" t="s">
        <v>32</v>
      </c>
      <c r="I3763" t="s">
        <v>1655</v>
      </c>
      <c r="J3763" t="s">
        <v>43</v>
      </c>
      <c r="K3763" t="s">
        <v>29</v>
      </c>
      <c r="L3763">
        <v>0</v>
      </c>
      <c r="M3763" t="s">
        <v>29</v>
      </c>
      <c r="N3763">
        <v>0</v>
      </c>
      <c r="O3763">
        <v>0</v>
      </c>
      <c r="P3763" t="s">
        <v>30</v>
      </c>
      <c r="Q3763" s="2">
        <v>0.7</v>
      </c>
      <c r="R3763">
        <v>0</v>
      </c>
      <c r="V3763" t="str">
        <f>VLOOKUP(H3763,'[1]팀별 출판사'!A:B,2,0)</f>
        <v>소설1팀</v>
      </c>
      <c r="W3763" s="6">
        <f t="shared" si="116"/>
        <v>0</v>
      </c>
      <c r="X3763" s="6">
        <f t="shared" si="117"/>
        <v>0</v>
      </c>
    </row>
    <row r="3764" spans="1:24" x14ac:dyDescent="0.3">
      <c r="A3764" t="s">
        <v>5251</v>
      </c>
      <c r="B3764" t="s">
        <v>5350</v>
      </c>
      <c r="C3764" t="s">
        <v>23</v>
      </c>
      <c r="D3764" t="s">
        <v>24</v>
      </c>
      <c r="E3764" t="s">
        <v>25</v>
      </c>
      <c r="F3764">
        <v>1</v>
      </c>
      <c r="G3764">
        <v>9791170106944</v>
      </c>
      <c r="H3764" t="s">
        <v>67</v>
      </c>
      <c r="I3764" t="s">
        <v>2582</v>
      </c>
      <c r="J3764" t="s">
        <v>2583</v>
      </c>
      <c r="K3764" t="s">
        <v>29</v>
      </c>
      <c r="L3764">
        <v>0</v>
      </c>
      <c r="M3764" t="s">
        <v>29</v>
      </c>
      <c r="N3764">
        <v>0</v>
      </c>
      <c r="O3764">
        <v>0</v>
      </c>
      <c r="P3764" t="s">
        <v>30</v>
      </c>
      <c r="Q3764" s="2">
        <v>0.7</v>
      </c>
      <c r="R3764">
        <v>0</v>
      </c>
      <c r="V3764" t="str">
        <f>VLOOKUP(H3764,'[1]팀별 출판사'!A:B,2,0)</f>
        <v>소설1팀</v>
      </c>
      <c r="W3764" s="6">
        <f t="shared" si="116"/>
        <v>0</v>
      </c>
      <c r="X3764" s="6">
        <f t="shared" si="117"/>
        <v>0</v>
      </c>
    </row>
    <row r="3765" spans="1:24" x14ac:dyDescent="0.3">
      <c r="A3765" t="s">
        <v>5251</v>
      </c>
      <c r="B3765" t="s">
        <v>5351</v>
      </c>
      <c r="C3765" t="s">
        <v>23</v>
      </c>
      <c r="D3765" t="s">
        <v>24</v>
      </c>
      <c r="E3765" t="s">
        <v>25</v>
      </c>
      <c r="F3765">
        <v>1</v>
      </c>
      <c r="G3765">
        <v>9791136979452</v>
      </c>
      <c r="H3765" t="s">
        <v>1617</v>
      </c>
      <c r="I3765" t="s">
        <v>2623</v>
      </c>
      <c r="J3765" t="s">
        <v>2624</v>
      </c>
      <c r="K3765" t="s">
        <v>29</v>
      </c>
      <c r="L3765" s="1">
        <v>5500</v>
      </c>
      <c r="M3765" t="s">
        <v>70</v>
      </c>
      <c r="N3765">
        <v>3.81</v>
      </c>
      <c r="O3765">
        <v>3.81</v>
      </c>
      <c r="P3765" t="s">
        <v>71</v>
      </c>
      <c r="Q3765" s="2">
        <v>0.7</v>
      </c>
      <c r="R3765">
        <v>2.67</v>
      </c>
      <c r="S3765" t="s">
        <v>29</v>
      </c>
      <c r="T3765" s="1">
        <v>3804</v>
      </c>
      <c r="U3765" s="3">
        <v>1427.80412</v>
      </c>
      <c r="V3765" t="str">
        <f>VLOOKUP(H3765,'[1]팀별 출판사'!A:B,2,0)</f>
        <v>소설2팀</v>
      </c>
      <c r="W3765" s="6">
        <f t="shared" si="116"/>
        <v>1141.2</v>
      </c>
      <c r="X3765" s="6">
        <f t="shared" si="117"/>
        <v>2662.8</v>
      </c>
    </row>
    <row r="3766" spans="1:24" x14ac:dyDescent="0.3">
      <c r="A3766" t="s">
        <v>5251</v>
      </c>
      <c r="B3766" t="s">
        <v>5352</v>
      </c>
      <c r="C3766" t="s">
        <v>23</v>
      </c>
      <c r="D3766" t="s">
        <v>24</v>
      </c>
      <c r="E3766" t="s">
        <v>25</v>
      </c>
      <c r="F3766">
        <v>1</v>
      </c>
      <c r="G3766">
        <v>9791136932648</v>
      </c>
      <c r="H3766" t="s">
        <v>32</v>
      </c>
      <c r="I3766" t="s">
        <v>832</v>
      </c>
      <c r="J3766" t="s">
        <v>34</v>
      </c>
      <c r="K3766" t="s">
        <v>29</v>
      </c>
      <c r="L3766">
        <v>0</v>
      </c>
      <c r="M3766" t="s">
        <v>29</v>
      </c>
      <c r="N3766">
        <v>0</v>
      </c>
      <c r="O3766">
        <v>0</v>
      </c>
      <c r="P3766" t="s">
        <v>30</v>
      </c>
      <c r="Q3766" s="2">
        <v>0.7</v>
      </c>
      <c r="R3766">
        <v>0</v>
      </c>
      <c r="V3766" t="str">
        <f>VLOOKUP(H3766,'[1]팀별 출판사'!A:B,2,0)</f>
        <v>소설1팀</v>
      </c>
      <c r="W3766" s="6">
        <f t="shared" si="116"/>
        <v>0</v>
      </c>
      <c r="X3766" s="6">
        <f t="shared" si="117"/>
        <v>0</v>
      </c>
    </row>
    <row r="3767" spans="1:24" x14ac:dyDescent="0.3">
      <c r="A3767" t="s">
        <v>5251</v>
      </c>
      <c r="B3767" t="s">
        <v>5353</v>
      </c>
      <c r="C3767" t="s">
        <v>23</v>
      </c>
      <c r="D3767" t="s">
        <v>24</v>
      </c>
      <c r="E3767" t="s">
        <v>25</v>
      </c>
      <c r="F3767">
        <v>1</v>
      </c>
      <c r="G3767">
        <v>9791170100041</v>
      </c>
      <c r="H3767" t="s">
        <v>67</v>
      </c>
      <c r="I3767" t="s">
        <v>346</v>
      </c>
      <c r="J3767" t="s">
        <v>347</v>
      </c>
      <c r="K3767" t="s">
        <v>29</v>
      </c>
      <c r="L3767">
        <v>0</v>
      </c>
      <c r="M3767" t="s">
        <v>29</v>
      </c>
      <c r="N3767">
        <v>0</v>
      </c>
      <c r="O3767">
        <v>0</v>
      </c>
      <c r="P3767" t="s">
        <v>30</v>
      </c>
      <c r="Q3767" s="2">
        <v>0.7</v>
      </c>
      <c r="R3767">
        <v>0</v>
      </c>
      <c r="V3767" t="str">
        <f>VLOOKUP(H3767,'[1]팀별 출판사'!A:B,2,0)</f>
        <v>소설1팀</v>
      </c>
      <c r="W3767" s="6">
        <f t="shared" si="116"/>
        <v>0</v>
      </c>
      <c r="X3767" s="6">
        <f t="shared" si="117"/>
        <v>0</v>
      </c>
    </row>
    <row r="3768" spans="1:24" x14ac:dyDescent="0.3">
      <c r="A3768" t="s">
        <v>5251</v>
      </c>
      <c r="B3768" t="s">
        <v>5354</v>
      </c>
      <c r="C3768" t="s">
        <v>23</v>
      </c>
      <c r="D3768" t="s">
        <v>24</v>
      </c>
      <c r="E3768" t="s">
        <v>25</v>
      </c>
      <c r="F3768">
        <v>1</v>
      </c>
      <c r="G3768">
        <v>9791133190119</v>
      </c>
      <c r="H3768" t="s">
        <v>26</v>
      </c>
      <c r="I3768" t="s">
        <v>5355</v>
      </c>
      <c r="J3768" t="s">
        <v>1096</v>
      </c>
      <c r="K3768" t="s">
        <v>29</v>
      </c>
      <c r="L3768" s="1">
        <v>3200</v>
      </c>
      <c r="M3768" t="s">
        <v>29</v>
      </c>
      <c r="N3768" s="1">
        <v>3200</v>
      </c>
      <c r="O3768" s="1">
        <v>3200</v>
      </c>
      <c r="P3768" t="s">
        <v>30</v>
      </c>
      <c r="Q3768" s="2">
        <v>0.7</v>
      </c>
      <c r="R3768" s="1">
        <v>2240</v>
      </c>
      <c r="S3768" t="s">
        <v>29</v>
      </c>
      <c r="T3768" s="1">
        <v>2240</v>
      </c>
      <c r="V3768" t="str">
        <f>VLOOKUP(H3768,'[1]팀별 출판사'!A:B,2,0)</f>
        <v>소설1팀</v>
      </c>
      <c r="W3768" s="6">
        <f t="shared" si="116"/>
        <v>0</v>
      </c>
      <c r="X3768" s="6">
        <f t="shared" si="117"/>
        <v>2240</v>
      </c>
    </row>
    <row r="3769" spans="1:24" x14ac:dyDescent="0.3">
      <c r="A3769" t="s">
        <v>5251</v>
      </c>
      <c r="B3769" t="s">
        <v>5356</v>
      </c>
      <c r="C3769" t="s">
        <v>23</v>
      </c>
      <c r="D3769" t="s">
        <v>24</v>
      </c>
      <c r="E3769" t="s">
        <v>25</v>
      </c>
      <c r="F3769">
        <v>1</v>
      </c>
      <c r="G3769">
        <v>9791172925789</v>
      </c>
      <c r="H3769" t="s">
        <v>26</v>
      </c>
      <c r="I3769" t="s">
        <v>3032</v>
      </c>
      <c r="J3769" t="s">
        <v>937</v>
      </c>
      <c r="K3769" t="s">
        <v>29</v>
      </c>
      <c r="L3769">
        <v>0</v>
      </c>
      <c r="M3769" t="s">
        <v>29</v>
      </c>
      <c r="N3769">
        <v>0</v>
      </c>
      <c r="O3769">
        <v>0</v>
      </c>
      <c r="P3769" t="s">
        <v>30</v>
      </c>
      <c r="Q3769" s="2">
        <v>0.7</v>
      </c>
      <c r="R3769">
        <v>0</v>
      </c>
      <c r="V3769" t="str">
        <f>VLOOKUP(H3769,'[1]팀별 출판사'!A:B,2,0)</f>
        <v>소설1팀</v>
      </c>
      <c r="W3769" s="6">
        <f t="shared" si="116"/>
        <v>0</v>
      </c>
      <c r="X3769" s="6">
        <f t="shared" si="117"/>
        <v>0</v>
      </c>
    </row>
    <row r="3770" spans="1:24" x14ac:dyDescent="0.3">
      <c r="A3770" t="s">
        <v>5251</v>
      </c>
      <c r="B3770" t="s">
        <v>5357</v>
      </c>
      <c r="C3770" t="s">
        <v>23</v>
      </c>
      <c r="D3770" t="s">
        <v>24</v>
      </c>
      <c r="E3770" t="s">
        <v>25</v>
      </c>
      <c r="F3770">
        <v>1</v>
      </c>
      <c r="G3770">
        <v>9791170106715</v>
      </c>
      <c r="H3770" t="s">
        <v>67</v>
      </c>
      <c r="I3770" t="s">
        <v>68</v>
      </c>
      <c r="J3770" t="s">
        <v>69</v>
      </c>
      <c r="K3770" t="s">
        <v>29</v>
      </c>
      <c r="L3770">
        <v>0</v>
      </c>
      <c r="M3770" t="s">
        <v>465</v>
      </c>
      <c r="N3770">
        <v>0</v>
      </c>
      <c r="O3770">
        <v>0</v>
      </c>
      <c r="P3770" t="s">
        <v>466</v>
      </c>
      <c r="Q3770" s="2">
        <v>0.7</v>
      </c>
      <c r="R3770">
        <v>0</v>
      </c>
      <c r="V3770" t="str">
        <f>VLOOKUP(H3770,'[1]팀별 출판사'!A:B,2,0)</f>
        <v>소설1팀</v>
      </c>
      <c r="W3770" s="6">
        <f t="shared" si="116"/>
        <v>0</v>
      </c>
      <c r="X3770" s="6">
        <f t="shared" si="117"/>
        <v>0</v>
      </c>
    </row>
    <row r="3771" spans="1:24" x14ac:dyDescent="0.3">
      <c r="A3771" t="s">
        <v>5251</v>
      </c>
      <c r="B3771" t="s">
        <v>5358</v>
      </c>
      <c r="C3771" t="s">
        <v>23</v>
      </c>
      <c r="D3771" t="s">
        <v>24</v>
      </c>
      <c r="E3771" t="s">
        <v>25</v>
      </c>
      <c r="F3771">
        <v>1</v>
      </c>
      <c r="G3771">
        <v>9791136946775</v>
      </c>
      <c r="H3771" t="s">
        <v>26</v>
      </c>
      <c r="I3771" t="s">
        <v>238</v>
      </c>
      <c r="J3771" t="s">
        <v>28</v>
      </c>
      <c r="K3771" t="s">
        <v>29</v>
      </c>
      <c r="L3771">
        <v>0</v>
      </c>
      <c r="M3771" t="s">
        <v>29</v>
      </c>
      <c r="N3771">
        <v>0</v>
      </c>
      <c r="O3771">
        <v>0</v>
      </c>
      <c r="P3771" t="s">
        <v>30</v>
      </c>
      <c r="Q3771" s="2">
        <v>0.7</v>
      </c>
      <c r="R3771">
        <v>0</v>
      </c>
      <c r="V3771" t="str">
        <f>VLOOKUP(H3771,'[1]팀별 출판사'!A:B,2,0)</f>
        <v>소설1팀</v>
      </c>
      <c r="W3771" s="6">
        <f t="shared" si="116"/>
        <v>0</v>
      </c>
      <c r="X3771" s="6">
        <f t="shared" si="117"/>
        <v>0</v>
      </c>
    </row>
    <row r="3772" spans="1:24" x14ac:dyDescent="0.3">
      <c r="A3772" t="s">
        <v>5251</v>
      </c>
      <c r="B3772" t="s">
        <v>5358</v>
      </c>
      <c r="C3772" t="s">
        <v>23</v>
      </c>
      <c r="D3772" t="s">
        <v>24</v>
      </c>
      <c r="E3772" t="s">
        <v>25</v>
      </c>
      <c r="F3772">
        <v>1</v>
      </c>
      <c r="G3772">
        <v>9791136946782</v>
      </c>
      <c r="H3772" t="s">
        <v>26</v>
      </c>
      <c r="I3772" t="s">
        <v>291</v>
      </c>
      <c r="J3772" t="s">
        <v>28</v>
      </c>
      <c r="K3772" t="s">
        <v>29</v>
      </c>
      <c r="L3772">
        <v>0</v>
      </c>
      <c r="M3772" t="s">
        <v>29</v>
      </c>
      <c r="N3772">
        <v>0</v>
      </c>
      <c r="O3772">
        <v>0</v>
      </c>
      <c r="P3772" t="s">
        <v>30</v>
      </c>
      <c r="Q3772" s="2">
        <v>0.7</v>
      </c>
      <c r="R3772">
        <v>0</v>
      </c>
      <c r="V3772" t="str">
        <f>VLOOKUP(H3772,'[1]팀별 출판사'!A:B,2,0)</f>
        <v>소설1팀</v>
      </c>
      <c r="W3772" s="6">
        <f t="shared" si="116"/>
        <v>0</v>
      </c>
      <c r="X3772" s="6">
        <f t="shared" si="117"/>
        <v>0</v>
      </c>
    </row>
    <row r="3773" spans="1:24" x14ac:dyDescent="0.3">
      <c r="A3773" t="s">
        <v>5251</v>
      </c>
      <c r="B3773" t="s">
        <v>5359</v>
      </c>
      <c r="C3773" t="s">
        <v>23</v>
      </c>
      <c r="D3773" t="s">
        <v>24</v>
      </c>
      <c r="E3773" t="s">
        <v>25</v>
      </c>
      <c r="F3773">
        <v>1</v>
      </c>
      <c r="G3773">
        <v>9791133186501</v>
      </c>
      <c r="H3773" t="s">
        <v>26</v>
      </c>
      <c r="I3773" t="s">
        <v>64</v>
      </c>
      <c r="J3773" t="s">
        <v>65</v>
      </c>
      <c r="K3773" t="s">
        <v>29</v>
      </c>
      <c r="L3773">
        <v>0</v>
      </c>
      <c r="M3773" t="s">
        <v>29</v>
      </c>
      <c r="N3773">
        <v>0</v>
      </c>
      <c r="O3773">
        <v>0</v>
      </c>
      <c r="P3773" t="s">
        <v>30</v>
      </c>
      <c r="Q3773" s="2">
        <v>0.7</v>
      </c>
      <c r="R3773">
        <v>0</v>
      </c>
      <c r="V3773" t="str">
        <f>VLOOKUP(H3773,'[1]팀별 출판사'!A:B,2,0)</f>
        <v>소설1팀</v>
      </c>
      <c r="W3773" s="6">
        <f t="shared" si="116"/>
        <v>0</v>
      </c>
      <c r="X3773" s="6">
        <f t="shared" si="117"/>
        <v>0</v>
      </c>
    </row>
    <row r="3774" spans="1:24" x14ac:dyDescent="0.3">
      <c r="A3774" t="s">
        <v>5251</v>
      </c>
      <c r="B3774" t="s">
        <v>5360</v>
      </c>
      <c r="C3774" t="s">
        <v>23</v>
      </c>
      <c r="D3774" t="s">
        <v>24</v>
      </c>
      <c r="E3774" t="s">
        <v>25</v>
      </c>
      <c r="F3774">
        <v>1</v>
      </c>
      <c r="G3774">
        <v>9791133143849</v>
      </c>
      <c r="H3774" t="s">
        <v>32</v>
      </c>
      <c r="I3774" t="s">
        <v>2815</v>
      </c>
      <c r="J3774" t="s">
        <v>88</v>
      </c>
      <c r="K3774" t="s">
        <v>29</v>
      </c>
      <c r="L3774" s="1">
        <v>3200</v>
      </c>
      <c r="M3774" t="s">
        <v>29</v>
      </c>
      <c r="N3774" s="1">
        <v>3200</v>
      </c>
      <c r="O3774" s="1">
        <v>3200</v>
      </c>
      <c r="P3774" t="s">
        <v>30</v>
      </c>
      <c r="Q3774" s="2">
        <v>0.7</v>
      </c>
      <c r="R3774" s="1">
        <v>2240</v>
      </c>
      <c r="S3774" t="s">
        <v>29</v>
      </c>
      <c r="T3774" s="1">
        <v>2240</v>
      </c>
      <c r="V3774" t="str">
        <f>VLOOKUP(H3774,'[1]팀별 출판사'!A:B,2,0)</f>
        <v>소설1팀</v>
      </c>
      <c r="W3774" s="6">
        <f t="shared" si="116"/>
        <v>0</v>
      </c>
      <c r="X3774" s="6">
        <f t="shared" si="117"/>
        <v>2240</v>
      </c>
    </row>
    <row r="3775" spans="1:24" x14ac:dyDescent="0.3">
      <c r="A3775" t="s">
        <v>5251</v>
      </c>
      <c r="B3775" t="s">
        <v>5361</v>
      </c>
      <c r="C3775" t="s">
        <v>23</v>
      </c>
      <c r="D3775" t="s">
        <v>24</v>
      </c>
      <c r="E3775" t="s">
        <v>25</v>
      </c>
      <c r="F3775">
        <v>1</v>
      </c>
      <c r="G3775">
        <v>9791136970244</v>
      </c>
      <c r="H3775" t="s">
        <v>1617</v>
      </c>
      <c r="I3775" t="s">
        <v>2625</v>
      </c>
      <c r="J3775" t="s">
        <v>2624</v>
      </c>
      <c r="K3775" t="s">
        <v>29</v>
      </c>
      <c r="L3775" s="1">
        <v>5500</v>
      </c>
      <c r="M3775" t="s">
        <v>70</v>
      </c>
      <c r="N3775">
        <v>3.81</v>
      </c>
      <c r="O3775">
        <v>3.81</v>
      </c>
      <c r="P3775" t="s">
        <v>71</v>
      </c>
      <c r="Q3775" s="2">
        <v>0.7</v>
      </c>
      <c r="R3775">
        <v>2.67</v>
      </c>
      <c r="S3775" t="s">
        <v>29</v>
      </c>
      <c r="T3775" s="1">
        <v>3801</v>
      </c>
      <c r="U3775" s="3">
        <v>1427.80412</v>
      </c>
      <c r="V3775" t="str">
        <f>VLOOKUP(H3775,'[1]팀별 출판사'!A:B,2,0)</f>
        <v>소설2팀</v>
      </c>
      <c r="W3775" s="6">
        <f t="shared" si="116"/>
        <v>1140.3</v>
      </c>
      <c r="X3775" s="6">
        <f t="shared" si="117"/>
        <v>2660.7</v>
      </c>
    </row>
    <row r="3776" spans="1:24" x14ac:dyDescent="0.3">
      <c r="A3776" t="s">
        <v>5251</v>
      </c>
      <c r="B3776" t="s">
        <v>5362</v>
      </c>
      <c r="C3776" t="s">
        <v>23</v>
      </c>
      <c r="D3776" t="s">
        <v>24</v>
      </c>
      <c r="E3776" t="s">
        <v>25</v>
      </c>
      <c r="F3776">
        <v>1</v>
      </c>
      <c r="G3776">
        <v>9791173785153</v>
      </c>
      <c r="H3776" t="s">
        <v>26</v>
      </c>
      <c r="I3776" t="s">
        <v>2493</v>
      </c>
      <c r="J3776" t="s">
        <v>62</v>
      </c>
      <c r="K3776" t="s">
        <v>29</v>
      </c>
      <c r="L3776" s="1">
        <v>3200</v>
      </c>
      <c r="M3776" t="s">
        <v>29</v>
      </c>
      <c r="N3776" s="1">
        <v>3200</v>
      </c>
      <c r="O3776" s="1">
        <v>3200</v>
      </c>
      <c r="P3776" t="s">
        <v>30</v>
      </c>
      <c r="Q3776" s="2">
        <v>0.7</v>
      </c>
      <c r="R3776" s="1">
        <v>2240</v>
      </c>
      <c r="S3776" t="s">
        <v>29</v>
      </c>
      <c r="T3776" s="1">
        <v>2240</v>
      </c>
      <c r="V3776" t="str">
        <f>VLOOKUP(H3776,'[1]팀별 출판사'!A:B,2,0)</f>
        <v>소설1팀</v>
      </c>
      <c r="W3776" s="6">
        <f t="shared" si="116"/>
        <v>0</v>
      </c>
      <c r="X3776" s="6">
        <f t="shared" si="117"/>
        <v>2240</v>
      </c>
    </row>
    <row r="3777" spans="1:24" x14ac:dyDescent="0.3">
      <c r="A3777" t="s">
        <v>5251</v>
      </c>
      <c r="B3777" t="s">
        <v>5363</v>
      </c>
      <c r="C3777" t="s">
        <v>23</v>
      </c>
      <c r="D3777" t="s">
        <v>24</v>
      </c>
      <c r="E3777" t="s">
        <v>25</v>
      </c>
      <c r="F3777">
        <v>1</v>
      </c>
      <c r="G3777">
        <v>9791133105557</v>
      </c>
      <c r="H3777" t="s">
        <v>32</v>
      </c>
      <c r="I3777" t="s">
        <v>3674</v>
      </c>
      <c r="J3777" t="s">
        <v>187</v>
      </c>
      <c r="K3777" t="s">
        <v>29</v>
      </c>
      <c r="L3777">
        <v>0</v>
      </c>
      <c r="M3777" t="s">
        <v>29</v>
      </c>
      <c r="N3777">
        <v>0</v>
      </c>
      <c r="O3777">
        <v>0</v>
      </c>
      <c r="P3777" t="s">
        <v>30</v>
      </c>
      <c r="Q3777" s="2">
        <v>0.7</v>
      </c>
      <c r="R3777">
        <v>0</v>
      </c>
      <c r="V3777" t="str">
        <f>VLOOKUP(H3777,'[1]팀별 출판사'!A:B,2,0)</f>
        <v>소설1팀</v>
      </c>
      <c r="W3777" s="6">
        <f t="shared" si="116"/>
        <v>0</v>
      </c>
      <c r="X3777" s="6">
        <f t="shared" si="117"/>
        <v>0</v>
      </c>
    </row>
    <row r="3778" spans="1:24" x14ac:dyDescent="0.3">
      <c r="A3778" t="s">
        <v>5251</v>
      </c>
      <c r="B3778" t="s">
        <v>5364</v>
      </c>
      <c r="C3778" t="s">
        <v>23</v>
      </c>
      <c r="D3778" t="s">
        <v>24</v>
      </c>
      <c r="E3778" t="s">
        <v>25</v>
      </c>
      <c r="F3778">
        <v>1</v>
      </c>
      <c r="G3778">
        <v>9791172921095</v>
      </c>
      <c r="H3778" t="s">
        <v>79</v>
      </c>
      <c r="I3778" t="s">
        <v>5365</v>
      </c>
      <c r="J3778" t="s">
        <v>46</v>
      </c>
      <c r="K3778" t="s">
        <v>29</v>
      </c>
      <c r="L3778" s="1">
        <v>3200</v>
      </c>
      <c r="M3778" t="s">
        <v>29</v>
      </c>
      <c r="N3778" s="1">
        <v>3200</v>
      </c>
      <c r="O3778" s="1">
        <v>3200</v>
      </c>
      <c r="P3778" t="s">
        <v>30</v>
      </c>
      <c r="Q3778" s="2">
        <v>0.7</v>
      </c>
      <c r="R3778" s="1">
        <v>2240</v>
      </c>
      <c r="S3778" t="s">
        <v>29</v>
      </c>
      <c r="T3778" s="1">
        <v>2240</v>
      </c>
      <c r="V3778" t="str">
        <f>VLOOKUP(H3778,'[1]팀별 출판사'!A:B,2,0)</f>
        <v>소설1팀</v>
      </c>
      <c r="W3778" s="6">
        <f t="shared" ref="W3778:W3841" si="118">IF(P3778="US", T3778*30%, 0)</f>
        <v>0</v>
      </c>
      <c r="X3778" s="6">
        <f t="shared" ref="X3778:X3841" si="119">T3778-W3778</f>
        <v>2240</v>
      </c>
    </row>
    <row r="3779" spans="1:24" x14ac:dyDescent="0.3">
      <c r="A3779" t="s">
        <v>5251</v>
      </c>
      <c r="B3779" t="s">
        <v>5366</v>
      </c>
      <c r="C3779" t="s">
        <v>23</v>
      </c>
      <c r="D3779" t="s">
        <v>24</v>
      </c>
      <c r="E3779" t="s">
        <v>25</v>
      </c>
      <c r="F3779">
        <v>1</v>
      </c>
      <c r="G3779">
        <v>9791136934925</v>
      </c>
      <c r="H3779" t="s">
        <v>32</v>
      </c>
      <c r="I3779" t="s">
        <v>385</v>
      </c>
      <c r="J3779" t="s">
        <v>126</v>
      </c>
      <c r="K3779" t="s">
        <v>29</v>
      </c>
      <c r="L3779">
        <v>0</v>
      </c>
      <c r="M3779" t="s">
        <v>127</v>
      </c>
      <c r="N3779">
        <v>0</v>
      </c>
      <c r="O3779">
        <v>0</v>
      </c>
      <c r="P3779" t="s">
        <v>128</v>
      </c>
      <c r="Q3779" s="2">
        <v>0.7</v>
      </c>
      <c r="R3779">
        <v>0</v>
      </c>
      <c r="V3779" t="str">
        <f>VLOOKUP(H3779,'[1]팀별 출판사'!A:B,2,0)</f>
        <v>소설1팀</v>
      </c>
      <c r="W3779" s="6">
        <f t="shared" si="118"/>
        <v>0</v>
      </c>
      <c r="X3779" s="6">
        <f t="shared" si="119"/>
        <v>0</v>
      </c>
    </row>
    <row r="3780" spans="1:24" x14ac:dyDescent="0.3">
      <c r="A3780" t="s">
        <v>5251</v>
      </c>
      <c r="B3780" t="s">
        <v>5367</v>
      </c>
      <c r="C3780" t="s">
        <v>23</v>
      </c>
      <c r="D3780" t="s">
        <v>24</v>
      </c>
      <c r="E3780" t="s">
        <v>25</v>
      </c>
      <c r="F3780">
        <v>1</v>
      </c>
      <c r="G3780">
        <v>9791136931382</v>
      </c>
      <c r="H3780" t="s">
        <v>32</v>
      </c>
      <c r="I3780" t="s">
        <v>523</v>
      </c>
      <c r="J3780" t="s">
        <v>46</v>
      </c>
      <c r="K3780" t="s">
        <v>29</v>
      </c>
      <c r="L3780">
        <v>0</v>
      </c>
      <c r="M3780" t="s">
        <v>127</v>
      </c>
      <c r="N3780">
        <v>0</v>
      </c>
      <c r="O3780">
        <v>0</v>
      </c>
      <c r="P3780" t="s">
        <v>128</v>
      </c>
      <c r="Q3780" s="2">
        <v>0.7</v>
      </c>
      <c r="R3780">
        <v>0</v>
      </c>
      <c r="V3780" t="str">
        <f>VLOOKUP(H3780,'[1]팀별 출판사'!A:B,2,0)</f>
        <v>소설1팀</v>
      </c>
      <c r="W3780" s="6">
        <f t="shared" si="118"/>
        <v>0</v>
      </c>
      <c r="X3780" s="6">
        <f t="shared" si="119"/>
        <v>0</v>
      </c>
    </row>
    <row r="3781" spans="1:24" x14ac:dyDescent="0.3">
      <c r="A3781" t="s">
        <v>5251</v>
      </c>
      <c r="B3781" t="s">
        <v>5368</v>
      </c>
      <c r="C3781" t="s">
        <v>23</v>
      </c>
      <c r="D3781" t="s">
        <v>24</v>
      </c>
      <c r="E3781" t="s">
        <v>25</v>
      </c>
      <c r="F3781">
        <v>1</v>
      </c>
      <c r="G3781">
        <v>9791136930811</v>
      </c>
      <c r="H3781" t="s">
        <v>32</v>
      </c>
      <c r="I3781" t="s">
        <v>1011</v>
      </c>
      <c r="J3781" t="s">
        <v>34</v>
      </c>
      <c r="K3781" t="s">
        <v>29</v>
      </c>
      <c r="L3781">
        <v>0</v>
      </c>
      <c r="M3781" t="s">
        <v>127</v>
      </c>
      <c r="N3781">
        <v>0</v>
      </c>
      <c r="O3781">
        <v>0</v>
      </c>
      <c r="P3781" t="s">
        <v>128</v>
      </c>
      <c r="Q3781" s="2">
        <v>0.7</v>
      </c>
      <c r="R3781">
        <v>0</v>
      </c>
      <c r="V3781" t="str">
        <f>VLOOKUP(H3781,'[1]팀별 출판사'!A:B,2,0)</f>
        <v>소설1팀</v>
      </c>
      <c r="W3781" s="6">
        <f t="shared" si="118"/>
        <v>0</v>
      </c>
      <c r="X3781" s="6">
        <f t="shared" si="119"/>
        <v>0</v>
      </c>
    </row>
    <row r="3782" spans="1:24" x14ac:dyDescent="0.3">
      <c r="A3782" t="s">
        <v>5251</v>
      </c>
      <c r="B3782" t="s">
        <v>5369</v>
      </c>
      <c r="C3782" t="s">
        <v>23</v>
      </c>
      <c r="D3782" t="s">
        <v>24</v>
      </c>
      <c r="E3782" t="s">
        <v>25</v>
      </c>
      <c r="F3782">
        <v>1</v>
      </c>
      <c r="G3782">
        <v>9791170106715</v>
      </c>
      <c r="H3782" t="s">
        <v>67</v>
      </c>
      <c r="I3782" t="s">
        <v>68</v>
      </c>
      <c r="J3782" t="s">
        <v>69</v>
      </c>
      <c r="K3782" t="s">
        <v>29</v>
      </c>
      <c r="L3782">
        <v>0</v>
      </c>
      <c r="M3782" t="s">
        <v>1379</v>
      </c>
      <c r="N3782">
        <v>0</v>
      </c>
      <c r="O3782">
        <v>0</v>
      </c>
      <c r="P3782" t="s">
        <v>1380</v>
      </c>
      <c r="Q3782" s="2">
        <v>0.7</v>
      </c>
      <c r="R3782">
        <v>0</v>
      </c>
      <c r="V3782" t="str">
        <f>VLOOKUP(H3782,'[1]팀별 출판사'!A:B,2,0)</f>
        <v>소설1팀</v>
      </c>
      <c r="W3782" s="6">
        <f t="shared" si="118"/>
        <v>0</v>
      </c>
      <c r="X3782" s="6">
        <f t="shared" si="119"/>
        <v>0</v>
      </c>
    </row>
    <row r="3783" spans="1:24" x14ac:dyDescent="0.3">
      <c r="A3783" t="s">
        <v>5251</v>
      </c>
      <c r="B3783" t="s">
        <v>5370</v>
      </c>
      <c r="C3783" t="s">
        <v>23</v>
      </c>
      <c r="D3783" t="s">
        <v>24</v>
      </c>
      <c r="E3783" t="s">
        <v>25</v>
      </c>
      <c r="F3783">
        <v>1</v>
      </c>
      <c r="G3783" t="s">
        <v>1138</v>
      </c>
      <c r="H3783" t="s">
        <v>32</v>
      </c>
      <c r="I3783" t="s">
        <v>1139</v>
      </c>
      <c r="J3783" t="s">
        <v>311</v>
      </c>
      <c r="K3783" t="s">
        <v>29</v>
      </c>
      <c r="L3783">
        <v>0</v>
      </c>
      <c r="M3783" t="s">
        <v>29</v>
      </c>
      <c r="N3783">
        <v>0</v>
      </c>
      <c r="O3783">
        <v>0</v>
      </c>
      <c r="P3783" t="s">
        <v>30</v>
      </c>
      <c r="Q3783" s="2">
        <v>0.7</v>
      </c>
      <c r="R3783">
        <v>0</v>
      </c>
      <c r="V3783" t="str">
        <f>VLOOKUP(H3783,'[1]팀별 출판사'!A:B,2,0)</f>
        <v>소설1팀</v>
      </c>
      <c r="W3783" s="6">
        <f t="shared" si="118"/>
        <v>0</v>
      </c>
      <c r="X3783" s="6">
        <f t="shared" si="119"/>
        <v>0</v>
      </c>
    </row>
    <row r="3784" spans="1:24" x14ac:dyDescent="0.3">
      <c r="A3784" t="s">
        <v>5251</v>
      </c>
      <c r="B3784" t="s">
        <v>5371</v>
      </c>
      <c r="C3784" t="s">
        <v>23</v>
      </c>
      <c r="D3784" t="s">
        <v>24</v>
      </c>
      <c r="E3784" t="s">
        <v>25</v>
      </c>
      <c r="F3784">
        <v>1</v>
      </c>
      <c r="G3784">
        <v>9791136904782</v>
      </c>
      <c r="H3784" t="s">
        <v>26</v>
      </c>
      <c r="I3784" t="s">
        <v>1549</v>
      </c>
      <c r="J3784" t="s">
        <v>166</v>
      </c>
      <c r="K3784" t="s">
        <v>29</v>
      </c>
      <c r="L3784">
        <v>0</v>
      </c>
      <c r="M3784" t="s">
        <v>29</v>
      </c>
      <c r="N3784">
        <v>0</v>
      </c>
      <c r="O3784">
        <v>0</v>
      </c>
      <c r="P3784" t="s">
        <v>30</v>
      </c>
      <c r="Q3784" s="2">
        <v>0.7</v>
      </c>
      <c r="R3784">
        <v>0</v>
      </c>
      <c r="V3784" t="str">
        <f>VLOOKUP(H3784,'[1]팀별 출판사'!A:B,2,0)</f>
        <v>소설1팀</v>
      </c>
      <c r="W3784" s="6">
        <f t="shared" si="118"/>
        <v>0</v>
      </c>
      <c r="X3784" s="6">
        <f t="shared" si="119"/>
        <v>0</v>
      </c>
    </row>
    <row r="3785" spans="1:24" x14ac:dyDescent="0.3">
      <c r="A3785" t="s">
        <v>5251</v>
      </c>
      <c r="B3785" t="s">
        <v>5372</v>
      </c>
      <c r="C3785" t="s">
        <v>23</v>
      </c>
      <c r="D3785" t="s">
        <v>24</v>
      </c>
      <c r="E3785" t="s">
        <v>25</v>
      </c>
      <c r="F3785">
        <v>1</v>
      </c>
      <c r="G3785">
        <v>9791136941589</v>
      </c>
      <c r="H3785" t="s">
        <v>26</v>
      </c>
      <c r="I3785" t="s">
        <v>275</v>
      </c>
      <c r="J3785" t="s">
        <v>276</v>
      </c>
      <c r="K3785" t="s">
        <v>29</v>
      </c>
      <c r="L3785">
        <v>0</v>
      </c>
      <c r="M3785" t="s">
        <v>29</v>
      </c>
      <c r="N3785">
        <v>0</v>
      </c>
      <c r="O3785">
        <v>0</v>
      </c>
      <c r="P3785" t="s">
        <v>30</v>
      </c>
      <c r="Q3785" s="2">
        <v>0.7</v>
      </c>
      <c r="R3785">
        <v>0</v>
      </c>
      <c r="V3785" t="str">
        <f>VLOOKUP(H3785,'[1]팀별 출판사'!A:B,2,0)</f>
        <v>소설1팀</v>
      </c>
      <c r="W3785" s="6">
        <f t="shared" si="118"/>
        <v>0</v>
      </c>
      <c r="X3785" s="6">
        <f t="shared" si="119"/>
        <v>0</v>
      </c>
    </row>
    <row r="3786" spans="1:24" x14ac:dyDescent="0.3">
      <c r="A3786" t="s">
        <v>5251</v>
      </c>
      <c r="B3786" t="s">
        <v>5373</v>
      </c>
      <c r="C3786" t="s">
        <v>23</v>
      </c>
      <c r="D3786" t="s">
        <v>24</v>
      </c>
      <c r="E3786" t="s">
        <v>25</v>
      </c>
      <c r="F3786">
        <v>1</v>
      </c>
      <c r="G3786">
        <v>9791133102549</v>
      </c>
      <c r="H3786" t="s">
        <v>32</v>
      </c>
      <c r="I3786" t="s">
        <v>3010</v>
      </c>
      <c r="J3786" t="s">
        <v>51</v>
      </c>
      <c r="K3786" t="s">
        <v>29</v>
      </c>
      <c r="L3786">
        <v>0</v>
      </c>
      <c r="M3786" t="s">
        <v>29</v>
      </c>
      <c r="N3786">
        <v>0</v>
      </c>
      <c r="O3786">
        <v>0</v>
      </c>
      <c r="P3786" t="s">
        <v>30</v>
      </c>
      <c r="Q3786" s="2">
        <v>0.7</v>
      </c>
      <c r="R3786">
        <v>0</v>
      </c>
      <c r="V3786" t="str">
        <f>VLOOKUP(H3786,'[1]팀별 출판사'!A:B,2,0)</f>
        <v>소설1팀</v>
      </c>
      <c r="W3786" s="6">
        <f t="shared" si="118"/>
        <v>0</v>
      </c>
      <c r="X3786" s="6">
        <f t="shared" si="119"/>
        <v>0</v>
      </c>
    </row>
    <row r="3787" spans="1:24" x14ac:dyDescent="0.3">
      <c r="A3787" t="s">
        <v>5251</v>
      </c>
      <c r="B3787" t="s">
        <v>5374</v>
      </c>
      <c r="C3787" t="s">
        <v>23</v>
      </c>
      <c r="D3787" t="s">
        <v>24</v>
      </c>
      <c r="E3787" t="s">
        <v>25</v>
      </c>
      <c r="F3787">
        <v>1</v>
      </c>
      <c r="G3787">
        <v>9791172920029</v>
      </c>
      <c r="H3787" t="s">
        <v>26</v>
      </c>
      <c r="I3787" t="s">
        <v>369</v>
      </c>
      <c r="J3787" t="s">
        <v>276</v>
      </c>
      <c r="K3787" t="s">
        <v>29</v>
      </c>
      <c r="L3787">
        <v>0</v>
      </c>
      <c r="M3787" t="s">
        <v>29</v>
      </c>
      <c r="N3787">
        <v>0</v>
      </c>
      <c r="O3787">
        <v>0</v>
      </c>
      <c r="P3787" t="s">
        <v>30</v>
      </c>
      <c r="Q3787" s="2">
        <v>0.7</v>
      </c>
      <c r="R3787">
        <v>0</v>
      </c>
      <c r="V3787" t="str">
        <f>VLOOKUP(H3787,'[1]팀별 출판사'!A:B,2,0)</f>
        <v>소설1팀</v>
      </c>
      <c r="W3787" s="6">
        <f t="shared" si="118"/>
        <v>0</v>
      </c>
      <c r="X3787" s="6">
        <f t="shared" si="119"/>
        <v>0</v>
      </c>
    </row>
    <row r="3788" spans="1:24" x14ac:dyDescent="0.3">
      <c r="A3788" t="s">
        <v>5251</v>
      </c>
      <c r="B3788" t="s">
        <v>5375</v>
      </c>
      <c r="C3788" t="s">
        <v>23</v>
      </c>
      <c r="D3788" t="s">
        <v>24</v>
      </c>
      <c r="E3788" t="s">
        <v>25</v>
      </c>
      <c r="F3788">
        <v>1</v>
      </c>
      <c r="G3788">
        <v>9791172925789</v>
      </c>
      <c r="H3788" t="s">
        <v>26</v>
      </c>
      <c r="I3788" t="s">
        <v>3032</v>
      </c>
      <c r="J3788" t="s">
        <v>937</v>
      </c>
      <c r="K3788" t="s">
        <v>29</v>
      </c>
      <c r="L3788">
        <v>0</v>
      </c>
      <c r="M3788" t="s">
        <v>29</v>
      </c>
      <c r="N3788">
        <v>0</v>
      </c>
      <c r="O3788">
        <v>0</v>
      </c>
      <c r="P3788" t="s">
        <v>30</v>
      </c>
      <c r="Q3788" s="2">
        <v>0.7</v>
      </c>
      <c r="R3788">
        <v>0</v>
      </c>
      <c r="V3788" t="str">
        <f>VLOOKUP(H3788,'[1]팀별 출판사'!A:B,2,0)</f>
        <v>소설1팀</v>
      </c>
      <c r="W3788" s="6">
        <f t="shared" si="118"/>
        <v>0</v>
      </c>
      <c r="X3788" s="6">
        <f t="shared" si="119"/>
        <v>0</v>
      </c>
    </row>
    <row r="3789" spans="1:24" x14ac:dyDescent="0.3">
      <c r="A3789" t="s">
        <v>5251</v>
      </c>
      <c r="B3789" t="s">
        <v>5376</v>
      </c>
      <c r="C3789" t="s">
        <v>23</v>
      </c>
      <c r="D3789" t="s">
        <v>24</v>
      </c>
      <c r="E3789" t="s">
        <v>25</v>
      </c>
      <c r="F3789">
        <v>1</v>
      </c>
      <c r="G3789">
        <v>9791157532100</v>
      </c>
      <c r="H3789" t="s">
        <v>32</v>
      </c>
      <c r="I3789" t="s">
        <v>1432</v>
      </c>
      <c r="J3789" t="s">
        <v>112</v>
      </c>
      <c r="K3789" t="s">
        <v>29</v>
      </c>
      <c r="L3789">
        <v>0</v>
      </c>
      <c r="M3789" t="s">
        <v>29</v>
      </c>
      <c r="N3789">
        <v>0</v>
      </c>
      <c r="O3789">
        <v>0</v>
      </c>
      <c r="P3789" t="s">
        <v>30</v>
      </c>
      <c r="Q3789" s="2">
        <v>0.7</v>
      </c>
      <c r="R3789">
        <v>0</v>
      </c>
      <c r="V3789" t="str">
        <f>VLOOKUP(H3789,'[1]팀별 출판사'!A:B,2,0)</f>
        <v>소설1팀</v>
      </c>
      <c r="W3789" s="6">
        <f t="shared" si="118"/>
        <v>0</v>
      </c>
      <c r="X3789" s="6">
        <f t="shared" si="119"/>
        <v>0</v>
      </c>
    </row>
    <row r="3790" spans="1:24" x14ac:dyDescent="0.3">
      <c r="A3790" t="s">
        <v>5251</v>
      </c>
      <c r="B3790" t="s">
        <v>5377</v>
      </c>
      <c r="C3790" t="s">
        <v>23</v>
      </c>
      <c r="D3790" t="s">
        <v>24</v>
      </c>
      <c r="E3790" t="s">
        <v>25</v>
      </c>
      <c r="F3790">
        <v>1</v>
      </c>
      <c r="G3790">
        <v>9791136995032</v>
      </c>
      <c r="H3790" t="s">
        <v>36</v>
      </c>
      <c r="I3790" t="s">
        <v>5378</v>
      </c>
      <c r="J3790" t="s">
        <v>135</v>
      </c>
      <c r="K3790" t="s">
        <v>29</v>
      </c>
      <c r="L3790" s="1">
        <v>3800</v>
      </c>
      <c r="M3790" t="s">
        <v>29</v>
      </c>
      <c r="N3790" s="1">
        <v>3800</v>
      </c>
      <c r="O3790" s="1">
        <v>3800</v>
      </c>
      <c r="P3790" t="s">
        <v>30</v>
      </c>
      <c r="Q3790" s="2">
        <v>0.7</v>
      </c>
      <c r="R3790" s="1">
        <v>2660</v>
      </c>
      <c r="S3790" t="s">
        <v>29</v>
      </c>
      <c r="T3790" s="1">
        <v>2660</v>
      </c>
      <c r="V3790" t="str">
        <f>VLOOKUP(H3790,'[1]팀별 출판사'!A:B,2,0)</f>
        <v>소설2팀</v>
      </c>
      <c r="W3790" s="6">
        <f t="shared" si="118"/>
        <v>0</v>
      </c>
      <c r="X3790" s="6">
        <f t="shared" si="119"/>
        <v>2660</v>
      </c>
    </row>
    <row r="3791" spans="1:24" x14ac:dyDescent="0.3">
      <c r="A3791" t="s">
        <v>5251</v>
      </c>
      <c r="B3791" t="s">
        <v>5379</v>
      </c>
      <c r="C3791" t="s">
        <v>23</v>
      </c>
      <c r="D3791" t="s">
        <v>24</v>
      </c>
      <c r="E3791" t="s">
        <v>25</v>
      </c>
      <c r="F3791">
        <v>1</v>
      </c>
      <c r="G3791">
        <v>9791136994578</v>
      </c>
      <c r="H3791" t="s">
        <v>36</v>
      </c>
      <c r="I3791" t="s">
        <v>5380</v>
      </c>
      <c r="J3791" t="s">
        <v>135</v>
      </c>
      <c r="K3791" t="s">
        <v>29</v>
      </c>
      <c r="L3791" s="1">
        <v>3800</v>
      </c>
      <c r="M3791" t="s">
        <v>29</v>
      </c>
      <c r="N3791" s="1">
        <v>3800</v>
      </c>
      <c r="O3791" s="1">
        <v>3800</v>
      </c>
      <c r="P3791" t="s">
        <v>30</v>
      </c>
      <c r="Q3791" s="2">
        <v>0.7</v>
      </c>
      <c r="R3791" s="1">
        <v>2660</v>
      </c>
      <c r="S3791" t="s">
        <v>29</v>
      </c>
      <c r="T3791" s="1">
        <v>2660</v>
      </c>
      <c r="V3791" t="str">
        <f>VLOOKUP(H3791,'[1]팀별 출판사'!A:B,2,0)</f>
        <v>소설2팀</v>
      </c>
      <c r="W3791" s="6">
        <f t="shared" si="118"/>
        <v>0</v>
      </c>
      <c r="X3791" s="6">
        <f t="shared" si="119"/>
        <v>2660</v>
      </c>
    </row>
    <row r="3792" spans="1:24" x14ac:dyDescent="0.3">
      <c r="A3792" t="s">
        <v>5251</v>
      </c>
      <c r="B3792" t="s">
        <v>5379</v>
      </c>
      <c r="C3792" t="s">
        <v>23</v>
      </c>
      <c r="D3792" t="s">
        <v>24</v>
      </c>
      <c r="E3792" t="s">
        <v>25</v>
      </c>
      <c r="F3792">
        <v>1</v>
      </c>
      <c r="G3792">
        <v>9791136995155</v>
      </c>
      <c r="H3792" t="s">
        <v>36</v>
      </c>
      <c r="I3792" t="s">
        <v>5381</v>
      </c>
      <c r="J3792" t="s">
        <v>135</v>
      </c>
      <c r="K3792" t="s">
        <v>29</v>
      </c>
      <c r="L3792" s="1">
        <v>3800</v>
      </c>
      <c r="M3792" t="s">
        <v>29</v>
      </c>
      <c r="N3792" s="1">
        <v>3800</v>
      </c>
      <c r="O3792" s="1">
        <v>3800</v>
      </c>
      <c r="P3792" t="s">
        <v>30</v>
      </c>
      <c r="Q3792" s="2">
        <v>0.7</v>
      </c>
      <c r="R3792" s="1">
        <v>2660</v>
      </c>
      <c r="S3792" t="s">
        <v>29</v>
      </c>
      <c r="T3792" s="1">
        <v>2660</v>
      </c>
      <c r="V3792" t="str">
        <f>VLOOKUP(H3792,'[1]팀별 출판사'!A:B,2,0)</f>
        <v>소설2팀</v>
      </c>
      <c r="W3792" s="6">
        <f t="shared" si="118"/>
        <v>0</v>
      </c>
      <c r="X3792" s="6">
        <f t="shared" si="119"/>
        <v>2660</v>
      </c>
    </row>
    <row r="3793" spans="1:24" x14ac:dyDescent="0.3">
      <c r="A3793" t="s">
        <v>5251</v>
      </c>
      <c r="B3793" t="s">
        <v>5379</v>
      </c>
      <c r="C3793" t="s">
        <v>23</v>
      </c>
      <c r="D3793" t="s">
        <v>24</v>
      </c>
      <c r="E3793" t="s">
        <v>25</v>
      </c>
      <c r="F3793">
        <v>1</v>
      </c>
      <c r="G3793">
        <v>9791136995193</v>
      </c>
      <c r="H3793" t="s">
        <v>36</v>
      </c>
      <c r="I3793" t="s">
        <v>5382</v>
      </c>
      <c r="J3793" t="s">
        <v>135</v>
      </c>
      <c r="K3793" t="s">
        <v>29</v>
      </c>
      <c r="L3793" s="1">
        <v>3800</v>
      </c>
      <c r="M3793" t="s">
        <v>29</v>
      </c>
      <c r="N3793" s="1">
        <v>3800</v>
      </c>
      <c r="O3793" s="1">
        <v>3800</v>
      </c>
      <c r="P3793" t="s">
        <v>30</v>
      </c>
      <c r="Q3793" s="2">
        <v>0.7</v>
      </c>
      <c r="R3793" s="1">
        <v>2660</v>
      </c>
      <c r="S3793" t="s">
        <v>29</v>
      </c>
      <c r="T3793" s="1">
        <v>2660</v>
      </c>
      <c r="V3793" t="str">
        <f>VLOOKUP(H3793,'[1]팀별 출판사'!A:B,2,0)</f>
        <v>소설2팀</v>
      </c>
      <c r="W3793" s="6">
        <f t="shared" si="118"/>
        <v>0</v>
      </c>
      <c r="X3793" s="6">
        <f t="shared" si="119"/>
        <v>2660</v>
      </c>
    </row>
    <row r="3794" spans="1:24" x14ac:dyDescent="0.3">
      <c r="A3794" t="s">
        <v>5251</v>
      </c>
      <c r="B3794" t="s">
        <v>5379</v>
      </c>
      <c r="C3794" t="s">
        <v>23</v>
      </c>
      <c r="D3794" t="s">
        <v>24</v>
      </c>
      <c r="E3794" t="s">
        <v>25</v>
      </c>
      <c r="F3794">
        <v>1</v>
      </c>
      <c r="G3794">
        <v>9791194664222</v>
      </c>
      <c r="H3794" t="s">
        <v>36</v>
      </c>
      <c r="I3794" t="s">
        <v>5383</v>
      </c>
      <c r="J3794" t="s">
        <v>135</v>
      </c>
      <c r="K3794" t="s">
        <v>29</v>
      </c>
      <c r="L3794" s="1">
        <v>2000</v>
      </c>
      <c r="M3794" t="s">
        <v>29</v>
      </c>
      <c r="N3794" s="1">
        <v>2000</v>
      </c>
      <c r="O3794" s="1">
        <v>2000</v>
      </c>
      <c r="P3794" t="s">
        <v>30</v>
      </c>
      <c r="Q3794" s="2">
        <v>0.7</v>
      </c>
      <c r="R3794" s="1">
        <v>1400</v>
      </c>
      <c r="S3794" t="s">
        <v>29</v>
      </c>
      <c r="T3794" s="1">
        <v>1400</v>
      </c>
      <c r="V3794" t="str">
        <f>VLOOKUP(H3794,'[1]팀별 출판사'!A:B,2,0)</f>
        <v>소설2팀</v>
      </c>
      <c r="W3794" s="6">
        <f t="shared" si="118"/>
        <v>0</v>
      </c>
      <c r="X3794" s="6">
        <f t="shared" si="119"/>
        <v>1400</v>
      </c>
    </row>
    <row r="3795" spans="1:24" x14ac:dyDescent="0.3">
      <c r="A3795" t="s">
        <v>5251</v>
      </c>
      <c r="B3795" t="s">
        <v>5384</v>
      </c>
      <c r="C3795" t="s">
        <v>23</v>
      </c>
      <c r="D3795" t="s">
        <v>24</v>
      </c>
      <c r="E3795" t="s">
        <v>25</v>
      </c>
      <c r="F3795">
        <v>1</v>
      </c>
      <c r="G3795">
        <v>9791173785993</v>
      </c>
      <c r="H3795" t="s">
        <v>26</v>
      </c>
      <c r="I3795" t="s">
        <v>769</v>
      </c>
      <c r="J3795" t="s">
        <v>81</v>
      </c>
      <c r="K3795" t="s">
        <v>29</v>
      </c>
      <c r="L3795">
        <v>0</v>
      </c>
      <c r="M3795" t="s">
        <v>29</v>
      </c>
      <c r="N3795">
        <v>0</v>
      </c>
      <c r="O3795">
        <v>0</v>
      </c>
      <c r="P3795" t="s">
        <v>30</v>
      </c>
      <c r="Q3795" s="2">
        <v>0.7</v>
      </c>
      <c r="R3795">
        <v>0</v>
      </c>
      <c r="V3795" t="str">
        <f>VLOOKUP(H3795,'[1]팀별 출판사'!A:B,2,0)</f>
        <v>소설1팀</v>
      </c>
      <c r="W3795" s="6">
        <f t="shared" si="118"/>
        <v>0</v>
      </c>
      <c r="X3795" s="6">
        <f t="shared" si="119"/>
        <v>0</v>
      </c>
    </row>
    <row r="3796" spans="1:24" x14ac:dyDescent="0.3">
      <c r="A3796" t="s">
        <v>5251</v>
      </c>
      <c r="B3796" t="s">
        <v>5385</v>
      </c>
      <c r="C3796" t="s">
        <v>23</v>
      </c>
      <c r="D3796" t="s">
        <v>24</v>
      </c>
      <c r="E3796" t="s">
        <v>25</v>
      </c>
      <c r="F3796">
        <v>1</v>
      </c>
      <c r="G3796">
        <v>9791172921101</v>
      </c>
      <c r="H3796" t="s">
        <v>79</v>
      </c>
      <c r="I3796" t="s">
        <v>5386</v>
      </c>
      <c r="J3796" t="s">
        <v>46</v>
      </c>
      <c r="K3796" t="s">
        <v>29</v>
      </c>
      <c r="L3796" s="1">
        <v>3200</v>
      </c>
      <c r="M3796" t="s">
        <v>29</v>
      </c>
      <c r="N3796" s="1">
        <v>3200</v>
      </c>
      <c r="O3796" s="1">
        <v>3200</v>
      </c>
      <c r="P3796" t="s">
        <v>30</v>
      </c>
      <c r="Q3796" s="2">
        <v>0.7</v>
      </c>
      <c r="R3796" s="1">
        <v>2240</v>
      </c>
      <c r="S3796" t="s">
        <v>29</v>
      </c>
      <c r="T3796" s="1">
        <v>2240</v>
      </c>
      <c r="V3796" t="str">
        <f>VLOOKUP(H3796,'[1]팀별 출판사'!A:B,2,0)</f>
        <v>소설1팀</v>
      </c>
      <c r="W3796" s="6">
        <f t="shared" si="118"/>
        <v>0</v>
      </c>
      <c r="X3796" s="6">
        <f t="shared" si="119"/>
        <v>2240</v>
      </c>
    </row>
    <row r="3797" spans="1:24" x14ac:dyDescent="0.3">
      <c r="A3797" t="s">
        <v>5251</v>
      </c>
      <c r="B3797" t="s">
        <v>5387</v>
      </c>
      <c r="C3797" t="s">
        <v>23</v>
      </c>
      <c r="D3797" t="s">
        <v>24</v>
      </c>
      <c r="E3797" t="s">
        <v>25</v>
      </c>
      <c r="F3797">
        <v>1</v>
      </c>
      <c r="G3797">
        <v>9791136930361</v>
      </c>
      <c r="H3797" t="s">
        <v>32</v>
      </c>
      <c r="I3797" t="s">
        <v>33</v>
      </c>
      <c r="J3797" t="s">
        <v>34</v>
      </c>
      <c r="K3797" t="s">
        <v>29</v>
      </c>
      <c r="L3797">
        <v>0</v>
      </c>
      <c r="M3797" t="s">
        <v>29</v>
      </c>
      <c r="N3797">
        <v>0</v>
      </c>
      <c r="O3797">
        <v>0</v>
      </c>
      <c r="P3797" t="s">
        <v>30</v>
      </c>
      <c r="Q3797" s="2">
        <v>0.7</v>
      </c>
      <c r="R3797">
        <v>0</v>
      </c>
      <c r="V3797" t="str">
        <f>VLOOKUP(H3797,'[1]팀별 출판사'!A:B,2,0)</f>
        <v>소설1팀</v>
      </c>
      <c r="W3797" s="6">
        <f t="shared" si="118"/>
        <v>0</v>
      </c>
      <c r="X3797" s="6">
        <f t="shared" si="119"/>
        <v>0</v>
      </c>
    </row>
    <row r="3798" spans="1:24" x14ac:dyDescent="0.3">
      <c r="A3798" t="s">
        <v>5251</v>
      </c>
      <c r="B3798" t="s">
        <v>5388</v>
      </c>
      <c r="C3798" t="s">
        <v>23</v>
      </c>
      <c r="D3798" t="s">
        <v>24</v>
      </c>
      <c r="E3798" t="s">
        <v>25</v>
      </c>
      <c r="F3798">
        <v>1</v>
      </c>
      <c r="G3798" t="s">
        <v>543</v>
      </c>
      <c r="H3798" t="s">
        <v>32</v>
      </c>
      <c r="I3798" t="s">
        <v>544</v>
      </c>
      <c r="J3798" t="s">
        <v>311</v>
      </c>
      <c r="K3798" t="s">
        <v>29</v>
      </c>
      <c r="L3798">
        <v>0</v>
      </c>
      <c r="M3798" t="s">
        <v>29</v>
      </c>
      <c r="N3798">
        <v>0</v>
      </c>
      <c r="O3798">
        <v>0</v>
      </c>
      <c r="P3798" t="s">
        <v>30</v>
      </c>
      <c r="Q3798" s="2">
        <v>0.7</v>
      </c>
      <c r="R3798">
        <v>0</v>
      </c>
      <c r="V3798" t="str">
        <f>VLOOKUP(H3798,'[1]팀별 출판사'!A:B,2,0)</f>
        <v>소설1팀</v>
      </c>
      <c r="W3798" s="6">
        <f t="shared" si="118"/>
        <v>0</v>
      </c>
      <c r="X3798" s="6">
        <f t="shared" si="119"/>
        <v>0</v>
      </c>
    </row>
    <row r="3799" spans="1:24" x14ac:dyDescent="0.3">
      <c r="A3799" t="s">
        <v>5251</v>
      </c>
      <c r="B3799" t="s">
        <v>5389</v>
      </c>
      <c r="C3799" t="s">
        <v>23</v>
      </c>
      <c r="D3799" t="s">
        <v>24</v>
      </c>
      <c r="E3799" t="s">
        <v>25</v>
      </c>
      <c r="F3799">
        <v>1</v>
      </c>
      <c r="G3799">
        <v>9791136907219</v>
      </c>
      <c r="H3799" t="s">
        <v>26</v>
      </c>
      <c r="I3799" t="s">
        <v>5390</v>
      </c>
      <c r="J3799" t="s">
        <v>1348</v>
      </c>
      <c r="K3799" t="s">
        <v>29</v>
      </c>
      <c r="L3799" s="1">
        <v>3200</v>
      </c>
      <c r="M3799" t="s">
        <v>29</v>
      </c>
      <c r="N3799" s="1">
        <v>3200</v>
      </c>
      <c r="O3799" s="1">
        <v>3200</v>
      </c>
      <c r="P3799" t="s">
        <v>30</v>
      </c>
      <c r="Q3799" s="2">
        <v>0.7</v>
      </c>
      <c r="R3799" s="1">
        <v>2240</v>
      </c>
      <c r="S3799" t="s">
        <v>29</v>
      </c>
      <c r="T3799" s="1">
        <v>2240</v>
      </c>
      <c r="V3799" t="str">
        <f>VLOOKUP(H3799,'[1]팀별 출판사'!A:B,2,0)</f>
        <v>소설1팀</v>
      </c>
      <c r="W3799" s="6">
        <f t="shared" si="118"/>
        <v>0</v>
      </c>
      <c r="X3799" s="6">
        <f t="shared" si="119"/>
        <v>2240</v>
      </c>
    </row>
    <row r="3800" spans="1:24" x14ac:dyDescent="0.3">
      <c r="A3800" t="s">
        <v>5251</v>
      </c>
      <c r="B3800" t="s">
        <v>5391</v>
      </c>
      <c r="C3800" t="s">
        <v>23</v>
      </c>
      <c r="D3800" t="s">
        <v>24</v>
      </c>
      <c r="E3800" t="s">
        <v>25</v>
      </c>
      <c r="F3800">
        <v>1</v>
      </c>
      <c r="G3800">
        <v>9791136999658</v>
      </c>
      <c r="H3800" t="s">
        <v>26</v>
      </c>
      <c r="I3800" t="s">
        <v>2170</v>
      </c>
      <c r="J3800" t="s">
        <v>937</v>
      </c>
      <c r="K3800" t="s">
        <v>29</v>
      </c>
      <c r="L3800">
        <v>0</v>
      </c>
      <c r="M3800" t="s">
        <v>29</v>
      </c>
      <c r="N3800">
        <v>0</v>
      </c>
      <c r="O3800">
        <v>0</v>
      </c>
      <c r="P3800" t="s">
        <v>30</v>
      </c>
      <c r="Q3800" s="2">
        <v>0.7</v>
      </c>
      <c r="R3800">
        <v>0</v>
      </c>
      <c r="V3800" t="str">
        <f>VLOOKUP(H3800,'[1]팀별 출판사'!A:B,2,0)</f>
        <v>소설1팀</v>
      </c>
      <c r="W3800" s="6">
        <f t="shared" si="118"/>
        <v>0</v>
      </c>
      <c r="X3800" s="6">
        <f t="shared" si="119"/>
        <v>0</v>
      </c>
    </row>
    <row r="3801" spans="1:24" x14ac:dyDescent="0.3">
      <c r="A3801" t="s">
        <v>5392</v>
      </c>
      <c r="B3801" t="s">
        <v>5393</v>
      </c>
      <c r="C3801" t="s">
        <v>23</v>
      </c>
      <c r="D3801" t="s">
        <v>24</v>
      </c>
      <c r="E3801" t="s">
        <v>25</v>
      </c>
      <c r="F3801">
        <v>1</v>
      </c>
      <c r="G3801">
        <v>9791136931382</v>
      </c>
      <c r="H3801" t="s">
        <v>32</v>
      </c>
      <c r="I3801" t="s">
        <v>523</v>
      </c>
      <c r="J3801" t="s">
        <v>46</v>
      </c>
      <c r="K3801" t="s">
        <v>29</v>
      </c>
      <c r="L3801">
        <v>0</v>
      </c>
      <c r="M3801" t="s">
        <v>47</v>
      </c>
      <c r="N3801">
        <v>0</v>
      </c>
      <c r="O3801">
        <v>0</v>
      </c>
      <c r="P3801" t="s">
        <v>48</v>
      </c>
      <c r="Q3801" s="2">
        <v>0.7</v>
      </c>
      <c r="R3801">
        <v>0</v>
      </c>
      <c r="V3801" t="str">
        <f>VLOOKUP(H3801,'[1]팀별 출판사'!A:B,2,0)</f>
        <v>소설1팀</v>
      </c>
      <c r="W3801" s="6">
        <f t="shared" si="118"/>
        <v>0</v>
      </c>
      <c r="X3801" s="6">
        <f t="shared" si="119"/>
        <v>0</v>
      </c>
    </row>
    <row r="3802" spans="1:24" x14ac:dyDescent="0.3">
      <c r="A3802" t="s">
        <v>5392</v>
      </c>
      <c r="B3802" t="s">
        <v>5394</v>
      </c>
      <c r="C3802" t="s">
        <v>23</v>
      </c>
      <c r="D3802" t="s">
        <v>24</v>
      </c>
      <c r="E3802" t="s">
        <v>25</v>
      </c>
      <c r="F3802">
        <v>1</v>
      </c>
      <c r="G3802" t="s">
        <v>5395</v>
      </c>
      <c r="H3802" t="s">
        <v>32</v>
      </c>
      <c r="I3802" t="s">
        <v>5396</v>
      </c>
      <c r="J3802" t="s">
        <v>5397</v>
      </c>
      <c r="K3802" t="s">
        <v>29</v>
      </c>
      <c r="L3802">
        <v>0</v>
      </c>
      <c r="M3802" t="s">
        <v>29</v>
      </c>
      <c r="N3802">
        <v>0</v>
      </c>
      <c r="O3802">
        <v>0</v>
      </c>
      <c r="P3802" t="s">
        <v>30</v>
      </c>
      <c r="Q3802" s="2">
        <v>0.7</v>
      </c>
      <c r="R3802">
        <v>0</v>
      </c>
      <c r="V3802" t="str">
        <f>VLOOKUP(H3802,'[1]팀별 출판사'!A:B,2,0)</f>
        <v>소설1팀</v>
      </c>
      <c r="W3802" s="6">
        <f t="shared" si="118"/>
        <v>0</v>
      </c>
      <c r="X3802" s="6">
        <f t="shared" si="119"/>
        <v>0</v>
      </c>
    </row>
    <row r="3803" spans="1:24" x14ac:dyDescent="0.3">
      <c r="A3803" t="s">
        <v>5392</v>
      </c>
      <c r="B3803" t="s">
        <v>5398</v>
      </c>
      <c r="C3803" t="s">
        <v>23</v>
      </c>
      <c r="D3803" t="s">
        <v>24</v>
      </c>
      <c r="E3803" t="s">
        <v>25</v>
      </c>
      <c r="F3803">
        <v>1</v>
      </c>
      <c r="G3803">
        <v>9791136931382</v>
      </c>
      <c r="H3803" t="s">
        <v>32</v>
      </c>
      <c r="I3803" t="s">
        <v>523</v>
      </c>
      <c r="J3803" t="s">
        <v>46</v>
      </c>
      <c r="K3803" t="s">
        <v>29</v>
      </c>
      <c r="L3803">
        <v>0</v>
      </c>
      <c r="M3803" t="s">
        <v>47</v>
      </c>
      <c r="N3803">
        <v>0</v>
      </c>
      <c r="O3803">
        <v>0</v>
      </c>
      <c r="P3803" t="s">
        <v>48</v>
      </c>
      <c r="Q3803" s="2">
        <v>0.7</v>
      </c>
      <c r="R3803">
        <v>0</v>
      </c>
      <c r="V3803" t="str">
        <f>VLOOKUP(H3803,'[1]팀별 출판사'!A:B,2,0)</f>
        <v>소설1팀</v>
      </c>
      <c r="W3803" s="6">
        <f t="shared" si="118"/>
        <v>0</v>
      </c>
      <c r="X3803" s="6">
        <f t="shared" si="119"/>
        <v>0</v>
      </c>
    </row>
    <row r="3804" spans="1:24" x14ac:dyDescent="0.3">
      <c r="A3804" t="s">
        <v>5392</v>
      </c>
      <c r="B3804" t="s">
        <v>5399</v>
      </c>
      <c r="C3804" t="s">
        <v>23</v>
      </c>
      <c r="D3804" t="s">
        <v>24</v>
      </c>
      <c r="E3804" t="s">
        <v>25</v>
      </c>
      <c r="F3804">
        <v>1</v>
      </c>
      <c r="G3804" t="s">
        <v>5400</v>
      </c>
      <c r="H3804" t="s">
        <v>32</v>
      </c>
      <c r="I3804" t="s">
        <v>5401</v>
      </c>
      <c r="J3804" t="s">
        <v>5402</v>
      </c>
      <c r="K3804" t="s">
        <v>29</v>
      </c>
      <c r="L3804">
        <v>0</v>
      </c>
      <c r="M3804" t="s">
        <v>29</v>
      </c>
      <c r="N3804">
        <v>0</v>
      </c>
      <c r="O3804">
        <v>0</v>
      </c>
      <c r="P3804" t="s">
        <v>30</v>
      </c>
      <c r="Q3804" s="2">
        <v>0.7</v>
      </c>
      <c r="R3804">
        <v>0</v>
      </c>
      <c r="V3804" t="str">
        <f>VLOOKUP(H3804,'[1]팀별 출판사'!A:B,2,0)</f>
        <v>소설1팀</v>
      </c>
      <c r="W3804" s="6">
        <f t="shared" si="118"/>
        <v>0</v>
      </c>
      <c r="X3804" s="6">
        <f t="shared" si="119"/>
        <v>0</v>
      </c>
    </row>
    <row r="3805" spans="1:24" x14ac:dyDescent="0.3">
      <c r="A3805" t="s">
        <v>5392</v>
      </c>
      <c r="B3805" t="s">
        <v>5403</v>
      </c>
      <c r="C3805" t="s">
        <v>23</v>
      </c>
      <c r="D3805" t="s">
        <v>24</v>
      </c>
      <c r="E3805" t="s">
        <v>25</v>
      </c>
      <c r="F3805">
        <v>1</v>
      </c>
      <c r="G3805">
        <v>9791136942319</v>
      </c>
      <c r="H3805" t="s">
        <v>26</v>
      </c>
      <c r="I3805" t="s">
        <v>2595</v>
      </c>
      <c r="J3805" t="s">
        <v>284</v>
      </c>
      <c r="K3805" t="s">
        <v>29</v>
      </c>
      <c r="L3805">
        <v>0</v>
      </c>
      <c r="M3805" t="s">
        <v>29</v>
      </c>
      <c r="N3805">
        <v>0</v>
      </c>
      <c r="O3805">
        <v>0</v>
      </c>
      <c r="P3805" t="s">
        <v>30</v>
      </c>
      <c r="Q3805" s="2">
        <v>0.7</v>
      </c>
      <c r="R3805">
        <v>0</v>
      </c>
      <c r="V3805" t="str">
        <f>VLOOKUP(H3805,'[1]팀별 출판사'!A:B,2,0)</f>
        <v>소설1팀</v>
      </c>
      <c r="W3805" s="6">
        <f t="shared" si="118"/>
        <v>0</v>
      </c>
      <c r="X3805" s="6">
        <f t="shared" si="119"/>
        <v>0</v>
      </c>
    </row>
    <row r="3806" spans="1:24" x14ac:dyDescent="0.3">
      <c r="A3806" t="s">
        <v>5392</v>
      </c>
      <c r="B3806" t="s">
        <v>5404</v>
      </c>
      <c r="C3806" t="s">
        <v>23</v>
      </c>
      <c r="D3806" t="s">
        <v>24</v>
      </c>
      <c r="E3806" t="s">
        <v>25</v>
      </c>
      <c r="F3806">
        <v>1</v>
      </c>
      <c r="G3806">
        <v>9791172921118</v>
      </c>
      <c r="H3806" t="s">
        <v>79</v>
      </c>
      <c r="I3806" t="s">
        <v>5405</v>
      </c>
      <c r="J3806" t="s">
        <v>46</v>
      </c>
      <c r="K3806" t="s">
        <v>29</v>
      </c>
      <c r="L3806" s="1">
        <v>3200</v>
      </c>
      <c r="M3806" t="s">
        <v>29</v>
      </c>
      <c r="N3806" s="1">
        <v>3200</v>
      </c>
      <c r="O3806" s="1">
        <v>3200</v>
      </c>
      <c r="P3806" t="s">
        <v>30</v>
      </c>
      <c r="Q3806" s="2">
        <v>0.7</v>
      </c>
      <c r="R3806" s="1">
        <v>2240</v>
      </c>
      <c r="S3806" t="s">
        <v>29</v>
      </c>
      <c r="T3806" s="1">
        <v>2240</v>
      </c>
      <c r="V3806" t="str">
        <f>VLOOKUP(H3806,'[1]팀별 출판사'!A:B,2,0)</f>
        <v>소설1팀</v>
      </c>
      <c r="W3806" s="6">
        <f t="shared" si="118"/>
        <v>0</v>
      </c>
      <c r="X3806" s="6">
        <f t="shared" si="119"/>
        <v>2240</v>
      </c>
    </row>
    <row r="3807" spans="1:24" x14ac:dyDescent="0.3">
      <c r="A3807" t="s">
        <v>5392</v>
      </c>
      <c r="B3807" t="s">
        <v>5406</v>
      </c>
      <c r="C3807" t="s">
        <v>23</v>
      </c>
      <c r="D3807" t="s">
        <v>24</v>
      </c>
      <c r="E3807" t="s">
        <v>25</v>
      </c>
      <c r="F3807">
        <v>1</v>
      </c>
      <c r="G3807">
        <v>9791133143856</v>
      </c>
      <c r="H3807" t="s">
        <v>32</v>
      </c>
      <c r="I3807" t="s">
        <v>3725</v>
      </c>
      <c r="J3807" t="s">
        <v>88</v>
      </c>
      <c r="K3807" t="s">
        <v>29</v>
      </c>
      <c r="L3807" s="1">
        <v>3200</v>
      </c>
      <c r="M3807" t="s">
        <v>29</v>
      </c>
      <c r="N3807" s="1">
        <v>3200</v>
      </c>
      <c r="O3807" s="1">
        <v>3200</v>
      </c>
      <c r="P3807" t="s">
        <v>30</v>
      </c>
      <c r="Q3807" s="2">
        <v>0.7</v>
      </c>
      <c r="R3807" s="1">
        <v>2240</v>
      </c>
      <c r="S3807" t="s">
        <v>29</v>
      </c>
      <c r="T3807" s="1">
        <v>2240</v>
      </c>
      <c r="V3807" t="str">
        <f>VLOOKUP(H3807,'[1]팀별 출판사'!A:B,2,0)</f>
        <v>소설1팀</v>
      </c>
      <c r="W3807" s="6">
        <f t="shared" si="118"/>
        <v>0</v>
      </c>
      <c r="X3807" s="6">
        <f t="shared" si="119"/>
        <v>2240</v>
      </c>
    </row>
    <row r="3808" spans="1:24" x14ac:dyDescent="0.3">
      <c r="A3808" t="s">
        <v>5392</v>
      </c>
      <c r="B3808" t="s">
        <v>5407</v>
      </c>
      <c r="C3808" t="s">
        <v>23</v>
      </c>
      <c r="D3808" t="s">
        <v>24</v>
      </c>
      <c r="E3808" t="s">
        <v>25</v>
      </c>
      <c r="F3808">
        <v>1</v>
      </c>
      <c r="G3808">
        <v>9791133109029</v>
      </c>
      <c r="H3808" t="s">
        <v>32</v>
      </c>
      <c r="I3808" t="s">
        <v>5408</v>
      </c>
      <c r="J3808" t="s">
        <v>144</v>
      </c>
      <c r="K3808" t="s">
        <v>29</v>
      </c>
      <c r="L3808" s="1">
        <v>3200</v>
      </c>
      <c r="M3808" t="s">
        <v>29</v>
      </c>
      <c r="N3808" s="1">
        <v>3200</v>
      </c>
      <c r="O3808" s="1">
        <v>3200</v>
      </c>
      <c r="P3808" t="s">
        <v>30</v>
      </c>
      <c r="Q3808" s="2">
        <v>0.7</v>
      </c>
      <c r="R3808" s="1">
        <v>2240</v>
      </c>
      <c r="S3808" t="s">
        <v>29</v>
      </c>
      <c r="T3808" s="1">
        <v>2240</v>
      </c>
      <c r="V3808" t="str">
        <f>VLOOKUP(H3808,'[1]팀별 출판사'!A:B,2,0)</f>
        <v>소설1팀</v>
      </c>
      <c r="W3808" s="6">
        <f t="shared" si="118"/>
        <v>0</v>
      </c>
      <c r="X3808" s="6">
        <f t="shared" si="119"/>
        <v>2240</v>
      </c>
    </row>
    <row r="3809" spans="1:24" x14ac:dyDescent="0.3">
      <c r="A3809" t="s">
        <v>5392</v>
      </c>
      <c r="B3809" t="s">
        <v>5409</v>
      </c>
      <c r="C3809" t="s">
        <v>23</v>
      </c>
      <c r="D3809" t="s">
        <v>24</v>
      </c>
      <c r="E3809" t="s">
        <v>25</v>
      </c>
      <c r="F3809">
        <v>1</v>
      </c>
      <c r="G3809">
        <v>9791175301634</v>
      </c>
      <c r="H3809" t="s">
        <v>26</v>
      </c>
      <c r="I3809" t="s">
        <v>2482</v>
      </c>
      <c r="J3809" t="s">
        <v>2483</v>
      </c>
      <c r="K3809" t="s">
        <v>29</v>
      </c>
      <c r="L3809">
        <v>0</v>
      </c>
      <c r="M3809" t="s">
        <v>29</v>
      </c>
      <c r="N3809">
        <v>0</v>
      </c>
      <c r="O3809">
        <v>0</v>
      </c>
      <c r="P3809" t="s">
        <v>30</v>
      </c>
      <c r="Q3809" s="2">
        <v>0.7</v>
      </c>
      <c r="R3809">
        <v>0</v>
      </c>
      <c r="V3809" t="str">
        <f>VLOOKUP(H3809,'[1]팀별 출판사'!A:B,2,0)</f>
        <v>소설1팀</v>
      </c>
      <c r="W3809" s="6">
        <f t="shared" si="118"/>
        <v>0</v>
      </c>
      <c r="X3809" s="6">
        <f t="shared" si="119"/>
        <v>0</v>
      </c>
    </row>
    <row r="3810" spans="1:24" x14ac:dyDescent="0.3">
      <c r="A3810" t="s">
        <v>5392</v>
      </c>
      <c r="B3810" t="s">
        <v>5410</v>
      </c>
      <c r="C3810" t="s">
        <v>23</v>
      </c>
      <c r="D3810" t="s">
        <v>24</v>
      </c>
      <c r="E3810" t="s">
        <v>25</v>
      </c>
      <c r="F3810">
        <v>1</v>
      </c>
      <c r="G3810">
        <v>9791170106715</v>
      </c>
      <c r="H3810" t="s">
        <v>67</v>
      </c>
      <c r="I3810" t="s">
        <v>68</v>
      </c>
      <c r="J3810" t="s">
        <v>69</v>
      </c>
      <c r="K3810" t="s">
        <v>29</v>
      </c>
      <c r="L3810">
        <v>0</v>
      </c>
      <c r="M3810" t="s">
        <v>1379</v>
      </c>
      <c r="N3810">
        <v>0</v>
      </c>
      <c r="O3810">
        <v>0</v>
      </c>
      <c r="P3810" t="s">
        <v>1380</v>
      </c>
      <c r="Q3810" s="2">
        <v>0.7</v>
      </c>
      <c r="R3810">
        <v>0</v>
      </c>
      <c r="V3810" t="str">
        <f>VLOOKUP(H3810,'[1]팀별 출판사'!A:B,2,0)</f>
        <v>소설1팀</v>
      </c>
      <c r="W3810" s="6">
        <f t="shared" si="118"/>
        <v>0</v>
      </c>
      <c r="X3810" s="6">
        <f t="shared" si="119"/>
        <v>0</v>
      </c>
    </row>
    <row r="3811" spans="1:24" x14ac:dyDescent="0.3">
      <c r="A3811" t="s">
        <v>5392</v>
      </c>
      <c r="B3811" t="s">
        <v>5411</v>
      </c>
      <c r="C3811" t="s">
        <v>23</v>
      </c>
      <c r="D3811" t="s">
        <v>24</v>
      </c>
      <c r="E3811" t="s">
        <v>25</v>
      </c>
      <c r="F3811">
        <v>1</v>
      </c>
      <c r="G3811">
        <v>9791133167227</v>
      </c>
      <c r="H3811" t="s">
        <v>32</v>
      </c>
      <c r="I3811" t="s">
        <v>313</v>
      </c>
      <c r="J3811" t="s">
        <v>160</v>
      </c>
      <c r="K3811" t="s">
        <v>29</v>
      </c>
      <c r="L3811">
        <v>0</v>
      </c>
      <c r="M3811" t="s">
        <v>29</v>
      </c>
      <c r="N3811">
        <v>0</v>
      </c>
      <c r="O3811">
        <v>0</v>
      </c>
      <c r="P3811" t="s">
        <v>30</v>
      </c>
      <c r="Q3811" s="2">
        <v>0.7</v>
      </c>
      <c r="R3811">
        <v>0</v>
      </c>
      <c r="V3811" t="str">
        <f>VLOOKUP(H3811,'[1]팀별 출판사'!A:B,2,0)</f>
        <v>소설1팀</v>
      </c>
      <c r="W3811" s="6">
        <f t="shared" si="118"/>
        <v>0</v>
      </c>
      <c r="X3811" s="6">
        <f t="shared" si="119"/>
        <v>0</v>
      </c>
    </row>
    <row r="3812" spans="1:24" x14ac:dyDescent="0.3">
      <c r="A3812" t="s">
        <v>5392</v>
      </c>
      <c r="B3812" t="s">
        <v>5412</v>
      </c>
      <c r="C3812" t="s">
        <v>23</v>
      </c>
      <c r="D3812" t="s">
        <v>24</v>
      </c>
      <c r="E3812" t="s">
        <v>25</v>
      </c>
      <c r="F3812">
        <v>1</v>
      </c>
      <c r="G3812">
        <v>9791136910516</v>
      </c>
      <c r="H3812" t="s">
        <v>26</v>
      </c>
      <c r="I3812" t="s">
        <v>5102</v>
      </c>
      <c r="J3812" t="s">
        <v>355</v>
      </c>
      <c r="K3812" t="s">
        <v>29</v>
      </c>
      <c r="L3812" s="1">
        <v>3200</v>
      </c>
      <c r="M3812" t="s">
        <v>29</v>
      </c>
      <c r="N3812" s="1">
        <v>3200</v>
      </c>
      <c r="O3812" s="1">
        <v>3200</v>
      </c>
      <c r="P3812" t="s">
        <v>30</v>
      </c>
      <c r="Q3812" s="2">
        <v>0.7</v>
      </c>
      <c r="R3812" s="1">
        <v>2240</v>
      </c>
      <c r="S3812" t="s">
        <v>29</v>
      </c>
      <c r="T3812" s="1">
        <v>2240</v>
      </c>
      <c r="V3812" t="str">
        <f>VLOOKUP(H3812,'[1]팀별 출판사'!A:B,2,0)</f>
        <v>소설1팀</v>
      </c>
      <c r="W3812" s="6">
        <f t="shared" si="118"/>
        <v>0</v>
      </c>
      <c r="X3812" s="6">
        <f t="shared" si="119"/>
        <v>2240</v>
      </c>
    </row>
    <row r="3813" spans="1:24" x14ac:dyDescent="0.3">
      <c r="A3813" t="s">
        <v>5392</v>
      </c>
      <c r="B3813" t="s">
        <v>5412</v>
      </c>
      <c r="C3813" t="s">
        <v>23</v>
      </c>
      <c r="D3813" t="s">
        <v>24</v>
      </c>
      <c r="E3813" t="s">
        <v>25</v>
      </c>
      <c r="F3813">
        <v>1</v>
      </c>
      <c r="G3813">
        <v>9791136910523</v>
      </c>
      <c r="H3813" t="s">
        <v>26</v>
      </c>
      <c r="I3813" t="s">
        <v>5141</v>
      </c>
      <c r="J3813" t="s">
        <v>355</v>
      </c>
      <c r="K3813" t="s">
        <v>29</v>
      </c>
      <c r="L3813" s="1">
        <v>3200</v>
      </c>
      <c r="M3813" t="s">
        <v>29</v>
      </c>
      <c r="N3813" s="1">
        <v>3200</v>
      </c>
      <c r="O3813" s="1">
        <v>3200</v>
      </c>
      <c r="P3813" t="s">
        <v>30</v>
      </c>
      <c r="Q3813" s="2">
        <v>0.7</v>
      </c>
      <c r="R3813" s="1">
        <v>2240</v>
      </c>
      <c r="S3813" t="s">
        <v>29</v>
      </c>
      <c r="T3813" s="1">
        <v>2240</v>
      </c>
      <c r="V3813" t="str">
        <f>VLOOKUP(H3813,'[1]팀별 출판사'!A:B,2,0)</f>
        <v>소설1팀</v>
      </c>
      <c r="W3813" s="6">
        <f t="shared" si="118"/>
        <v>0</v>
      </c>
      <c r="X3813" s="6">
        <f t="shared" si="119"/>
        <v>2240</v>
      </c>
    </row>
    <row r="3814" spans="1:24" x14ac:dyDescent="0.3">
      <c r="A3814" t="s">
        <v>5392</v>
      </c>
      <c r="B3814" t="s">
        <v>5412</v>
      </c>
      <c r="C3814" t="s">
        <v>23</v>
      </c>
      <c r="D3814" t="s">
        <v>24</v>
      </c>
      <c r="E3814" t="s">
        <v>25</v>
      </c>
      <c r="F3814">
        <v>1</v>
      </c>
      <c r="G3814">
        <v>9791136910530</v>
      </c>
      <c r="H3814" t="s">
        <v>26</v>
      </c>
      <c r="I3814" t="s">
        <v>5282</v>
      </c>
      <c r="J3814" t="s">
        <v>355</v>
      </c>
      <c r="K3814" t="s">
        <v>29</v>
      </c>
      <c r="L3814" s="1">
        <v>3200</v>
      </c>
      <c r="M3814" t="s">
        <v>29</v>
      </c>
      <c r="N3814" s="1">
        <v>3200</v>
      </c>
      <c r="O3814" s="1">
        <v>3200</v>
      </c>
      <c r="P3814" t="s">
        <v>30</v>
      </c>
      <c r="Q3814" s="2">
        <v>0.7</v>
      </c>
      <c r="R3814" s="1">
        <v>2240</v>
      </c>
      <c r="S3814" t="s">
        <v>29</v>
      </c>
      <c r="T3814" s="1">
        <v>2240</v>
      </c>
      <c r="V3814" t="str">
        <f>VLOOKUP(H3814,'[1]팀별 출판사'!A:B,2,0)</f>
        <v>소설1팀</v>
      </c>
      <c r="W3814" s="6">
        <f t="shared" si="118"/>
        <v>0</v>
      </c>
      <c r="X3814" s="6">
        <f t="shared" si="119"/>
        <v>2240</v>
      </c>
    </row>
    <row r="3815" spans="1:24" x14ac:dyDescent="0.3">
      <c r="A3815" t="s">
        <v>5392</v>
      </c>
      <c r="B3815" t="s">
        <v>5413</v>
      </c>
      <c r="C3815" t="s">
        <v>23</v>
      </c>
      <c r="D3815" t="s">
        <v>24</v>
      </c>
      <c r="E3815" t="s">
        <v>25</v>
      </c>
      <c r="F3815">
        <v>1</v>
      </c>
      <c r="G3815">
        <v>9791136957986</v>
      </c>
      <c r="H3815" t="s">
        <v>26</v>
      </c>
      <c r="I3815" t="s">
        <v>4294</v>
      </c>
      <c r="J3815" t="s">
        <v>4295</v>
      </c>
      <c r="K3815" t="s">
        <v>29</v>
      </c>
      <c r="L3815">
        <v>0</v>
      </c>
      <c r="M3815" t="s">
        <v>29</v>
      </c>
      <c r="N3815">
        <v>0</v>
      </c>
      <c r="O3815">
        <v>0</v>
      </c>
      <c r="P3815" t="s">
        <v>30</v>
      </c>
      <c r="Q3815" s="2">
        <v>0.7</v>
      </c>
      <c r="R3815">
        <v>0</v>
      </c>
      <c r="V3815" t="str">
        <f>VLOOKUP(H3815,'[1]팀별 출판사'!A:B,2,0)</f>
        <v>소설1팀</v>
      </c>
      <c r="W3815" s="6">
        <f t="shared" si="118"/>
        <v>0</v>
      </c>
      <c r="X3815" s="6">
        <f t="shared" si="119"/>
        <v>0</v>
      </c>
    </row>
    <row r="3816" spans="1:24" x14ac:dyDescent="0.3">
      <c r="A3816" t="s">
        <v>5392</v>
      </c>
      <c r="B3816" t="s">
        <v>5414</v>
      </c>
      <c r="C3816" t="s">
        <v>23</v>
      </c>
      <c r="D3816" t="s">
        <v>24</v>
      </c>
      <c r="E3816" t="s">
        <v>25</v>
      </c>
      <c r="F3816">
        <v>1</v>
      </c>
      <c r="G3816">
        <v>9791172921125</v>
      </c>
      <c r="H3816" t="s">
        <v>79</v>
      </c>
      <c r="I3816" t="s">
        <v>5415</v>
      </c>
      <c r="J3816" t="s">
        <v>46</v>
      </c>
      <c r="K3816" t="s">
        <v>29</v>
      </c>
      <c r="L3816" s="1">
        <v>3200</v>
      </c>
      <c r="M3816" t="s">
        <v>29</v>
      </c>
      <c r="N3816" s="1">
        <v>3200</v>
      </c>
      <c r="O3816" s="1">
        <v>3200</v>
      </c>
      <c r="P3816" t="s">
        <v>30</v>
      </c>
      <c r="Q3816" s="2">
        <v>0.7</v>
      </c>
      <c r="R3816" s="1">
        <v>2240</v>
      </c>
      <c r="S3816" t="s">
        <v>29</v>
      </c>
      <c r="T3816" s="1">
        <v>2240</v>
      </c>
      <c r="V3816" t="str">
        <f>VLOOKUP(H3816,'[1]팀별 출판사'!A:B,2,0)</f>
        <v>소설1팀</v>
      </c>
      <c r="W3816" s="6">
        <f t="shared" si="118"/>
        <v>0</v>
      </c>
      <c r="X3816" s="6">
        <f t="shared" si="119"/>
        <v>2240</v>
      </c>
    </row>
    <row r="3817" spans="1:24" x14ac:dyDescent="0.3">
      <c r="A3817" t="s">
        <v>5392</v>
      </c>
      <c r="B3817" t="s">
        <v>5416</v>
      </c>
      <c r="C3817" t="s">
        <v>23</v>
      </c>
      <c r="D3817" t="s">
        <v>24</v>
      </c>
      <c r="E3817" t="s">
        <v>25</v>
      </c>
      <c r="F3817">
        <v>1</v>
      </c>
      <c r="G3817">
        <v>9791136931382</v>
      </c>
      <c r="H3817" t="s">
        <v>32</v>
      </c>
      <c r="I3817" t="s">
        <v>523</v>
      </c>
      <c r="J3817" t="s">
        <v>46</v>
      </c>
      <c r="K3817" t="s">
        <v>29</v>
      </c>
      <c r="L3817">
        <v>0</v>
      </c>
      <c r="M3817" t="s">
        <v>47</v>
      </c>
      <c r="N3817">
        <v>0</v>
      </c>
      <c r="O3817">
        <v>0</v>
      </c>
      <c r="P3817" t="s">
        <v>48</v>
      </c>
      <c r="Q3817" s="2">
        <v>0.7</v>
      </c>
      <c r="R3817">
        <v>0</v>
      </c>
      <c r="V3817" t="str">
        <f>VLOOKUP(H3817,'[1]팀별 출판사'!A:B,2,0)</f>
        <v>소설1팀</v>
      </c>
      <c r="W3817" s="6">
        <f t="shared" si="118"/>
        <v>0</v>
      </c>
      <c r="X3817" s="6">
        <f t="shared" si="119"/>
        <v>0</v>
      </c>
    </row>
    <row r="3818" spans="1:24" x14ac:dyDescent="0.3">
      <c r="A3818" t="s">
        <v>5392</v>
      </c>
      <c r="B3818" t="s">
        <v>5417</v>
      </c>
      <c r="C3818" t="s">
        <v>23</v>
      </c>
      <c r="D3818" t="s">
        <v>24</v>
      </c>
      <c r="E3818" t="s">
        <v>25</v>
      </c>
      <c r="F3818">
        <v>1</v>
      </c>
      <c r="G3818">
        <v>9791170107965</v>
      </c>
      <c r="H3818" t="s">
        <v>67</v>
      </c>
      <c r="I3818" t="s">
        <v>843</v>
      </c>
      <c r="J3818" t="s">
        <v>402</v>
      </c>
      <c r="K3818" t="s">
        <v>29</v>
      </c>
      <c r="L3818">
        <v>0</v>
      </c>
      <c r="M3818" t="s">
        <v>29</v>
      </c>
      <c r="N3818">
        <v>0</v>
      </c>
      <c r="O3818">
        <v>0</v>
      </c>
      <c r="P3818" t="s">
        <v>30</v>
      </c>
      <c r="Q3818" s="2">
        <v>0.7</v>
      </c>
      <c r="R3818">
        <v>0</v>
      </c>
      <c r="V3818" t="str">
        <f>VLOOKUP(H3818,'[1]팀별 출판사'!A:B,2,0)</f>
        <v>소설1팀</v>
      </c>
      <c r="W3818" s="6">
        <f t="shared" si="118"/>
        <v>0</v>
      </c>
      <c r="X3818" s="6">
        <f t="shared" si="119"/>
        <v>0</v>
      </c>
    </row>
    <row r="3819" spans="1:24" x14ac:dyDescent="0.3">
      <c r="A3819" t="s">
        <v>5392</v>
      </c>
      <c r="B3819" t="s">
        <v>5418</v>
      </c>
      <c r="C3819" t="s">
        <v>23</v>
      </c>
      <c r="D3819" t="s">
        <v>24</v>
      </c>
      <c r="E3819" t="s">
        <v>25</v>
      </c>
      <c r="F3819">
        <v>1</v>
      </c>
      <c r="G3819">
        <v>9791173785092</v>
      </c>
      <c r="H3819" t="s">
        <v>26</v>
      </c>
      <c r="I3819" t="s">
        <v>327</v>
      </c>
      <c r="J3819" t="s">
        <v>62</v>
      </c>
      <c r="K3819" t="s">
        <v>29</v>
      </c>
      <c r="L3819">
        <v>0</v>
      </c>
      <c r="M3819" t="s">
        <v>29</v>
      </c>
      <c r="N3819">
        <v>0</v>
      </c>
      <c r="O3819">
        <v>0</v>
      </c>
      <c r="P3819" t="s">
        <v>30</v>
      </c>
      <c r="Q3819" s="2">
        <v>0.7</v>
      </c>
      <c r="R3819">
        <v>0</v>
      </c>
      <c r="V3819" t="str">
        <f>VLOOKUP(H3819,'[1]팀별 출판사'!A:B,2,0)</f>
        <v>소설1팀</v>
      </c>
      <c r="W3819" s="6">
        <f t="shared" si="118"/>
        <v>0</v>
      </c>
      <c r="X3819" s="6">
        <f t="shared" si="119"/>
        <v>0</v>
      </c>
    </row>
    <row r="3820" spans="1:24" x14ac:dyDescent="0.3">
      <c r="A3820" t="s">
        <v>5392</v>
      </c>
      <c r="B3820" t="s">
        <v>5419</v>
      </c>
      <c r="C3820" t="s">
        <v>23</v>
      </c>
      <c r="D3820" t="s">
        <v>24</v>
      </c>
      <c r="E3820" t="s">
        <v>25</v>
      </c>
      <c r="F3820">
        <v>1</v>
      </c>
      <c r="G3820">
        <v>9791133188260</v>
      </c>
      <c r="H3820" t="s">
        <v>26</v>
      </c>
      <c r="I3820" t="s">
        <v>822</v>
      </c>
      <c r="J3820" t="s">
        <v>743</v>
      </c>
      <c r="K3820" t="s">
        <v>29</v>
      </c>
      <c r="L3820">
        <v>0</v>
      </c>
      <c r="M3820" t="s">
        <v>29</v>
      </c>
      <c r="N3820">
        <v>0</v>
      </c>
      <c r="O3820">
        <v>0</v>
      </c>
      <c r="P3820" t="s">
        <v>30</v>
      </c>
      <c r="Q3820" s="2">
        <v>0.7</v>
      </c>
      <c r="R3820">
        <v>0</v>
      </c>
      <c r="V3820" t="str">
        <f>VLOOKUP(H3820,'[1]팀별 출판사'!A:B,2,0)</f>
        <v>소설1팀</v>
      </c>
      <c r="W3820" s="6">
        <f t="shared" si="118"/>
        <v>0</v>
      </c>
      <c r="X3820" s="6">
        <f t="shared" si="119"/>
        <v>0</v>
      </c>
    </row>
    <row r="3821" spans="1:24" x14ac:dyDescent="0.3">
      <c r="A3821" t="s">
        <v>5392</v>
      </c>
      <c r="B3821" t="s">
        <v>5420</v>
      </c>
      <c r="C3821" t="s">
        <v>23</v>
      </c>
      <c r="D3821" t="s">
        <v>24</v>
      </c>
      <c r="E3821" t="s">
        <v>25</v>
      </c>
      <c r="F3821">
        <v>1</v>
      </c>
      <c r="G3821" t="s">
        <v>1036</v>
      </c>
      <c r="H3821" t="s">
        <v>32</v>
      </c>
      <c r="I3821" t="s">
        <v>1037</v>
      </c>
      <c r="J3821" t="s">
        <v>311</v>
      </c>
      <c r="K3821" t="s">
        <v>29</v>
      </c>
      <c r="L3821">
        <v>0</v>
      </c>
      <c r="M3821" t="s">
        <v>29</v>
      </c>
      <c r="N3821">
        <v>0</v>
      </c>
      <c r="O3821">
        <v>0</v>
      </c>
      <c r="P3821" t="s">
        <v>30</v>
      </c>
      <c r="Q3821" s="2">
        <v>0.7</v>
      </c>
      <c r="R3821">
        <v>0</v>
      </c>
      <c r="V3821" t="str">
        <f>VLOOKUP(H3821,'[1]팀별 출판사'!A:B,2,0)</f>
        <v>소설1팀</v>
      </c>
      <c r="W3821" s="6">
        <f t="shared" si="118"/>
        <v>0</v>
      </c>
      <c r="X3821" s="6">
        <f t="shared" si="119"/>
        <v>0</v>
      </c>
    </row>
    <row r="3822" spans="1:24" x14ac:dyDescent="0.3">
      <c r="A3822" t="s">
        <v>5392</v>
      </c>
      <c r="B3822" t="s">
        <v>5421</v>
      </c>
      <c r="C3822" t="s">
        <v>23</v>
      </c>
      <c r="D3822" t="s">
        <v>24</v>
      </c>
      <c r="E3822" t="s">
        <v>25</v>
      </c>
      <c r="F3822">
        <v>1</v>
      </c>
      <c r="G3822" t="s">
        <v>2146</v>
      </c>
      <c r="H3822" t="s">
        <v>32</v>
      </c>
      <c r="I3822" t="s">
        <v>2147</v>
      </c>
      <c r="J3822" t="s">
        <v>311</v>
      </c>
      <c r="K3822" t="s">
        <v>29</v>
      </c>
      <c r="L3822" s="1">
        <v>3200</v>
      </c>
      <c r="M3822" t="s">
        <v>29</v>
      </c>
      <c r="N3822" s="1">
        <v>3200</v>
      </c>
      <c r="O3822" s="1">
        <v>3200</v>
      </c>
      <c r="P3822" t="s">
        <v>30</v>
      </c>
      <c r="Q3822" s="2">
        <v>0.7</v>
      </c>
      <c r="R3822" s="1">
        <v>2240</v>
      </c>
      <c r="S3822" t="s">
        <v>29</v>
      </c>
      <c r="T3822" s="1">
        <v>2240</v>
      </c>
      <c r="V3822" t="str">
        <f>VLOOKUP(H3822,'[1]팀별 출판사'!A:B,2,0)</f>
        <v>소설1팀</v>
      </c>
      <c r="W3822" s="6">
        <f t="shared" si="118"/>
        <v>0</v>
      </c>
      <c r="X3822" s="6">
        <f t="shared" si="119"/>
        <v>2240</v>
      </c>
    </row>
    <row r="3823" spans="1:24" x14ac:dyDescent="0.3">
      <c r="A3823" t="s">
        <v>5392</v>
      </c>
      <c r="B3823" t="s">
        <v>5422</v>
      </c>
      <c r="C3823" t="s">
        <v>23</v>
      </c>
      <c r="D3823" t="s">
        <v>24</v>
      </c>
      <c r="E3823" t="s">
        <v>25</v>
      </c>
      <c r="F3823">
        <v>1</v>
      </c>
      <c r="G3823">
        <v>9791133130375</v>
      </c>
      <c r="H3823" t="s">
        <v>32</v>
      </c>
      <c r="I3823" t="s">
        <v>536</v>
      </c>
      <c r="J3823" t="s">
        <v>160</v>
      </c>
      <c r="K3823" t="s">
        <v>29</v>
      </c>
      <c r="L3823">
        <v>0</v>
      </c>
      <c r="M3823" t="s">
        <v>29</v>
      </c>
      <c r="N3823">
        <v>0</v>
      </c>
      <c r="O3823">
        <v>0</v>
      </c>
      <c r="P3823" t="s">
        <v>30</v>
      </c>
      <c r="Q3823" s="2">
        <v>0.7</v>
      </c>
      <c r="R3823">
        <v>0</v>
      </c>
      <c r="V3823" t="str">
        <f>VLOOKUP(H3823,'[1]팀별 출판사'!A:B,2,0)</f>
        <v>소설1팀</v>
      </c>
      <c r="W3823" s="6">
        <f t="shared" si="118"/>
        <v>0</v>
      </c>
      <c r="X3823" s="6">
        <f t="shared" si="119"/>
        <v>0</v>
      </c>
    </row>
    <row r="3824" spans="1:24" x14ac:dyDescent="0.3">
      <c r="A3824" t="s">
        <v>5392</v>
      </c>
      <c r="B3824" t="s">
        <v>5423</v>
      </c>
      <c r="C3824" t="s">
        <v>23</v>
      </c>
      <c r="D3824" t="s">
        <v>24</v>
      </c>
      <c r="E3824" t="s">
        <v>25</v>
      </c>
      <c r="F3824">
        <v>1</v>
      </c>
      <c r="G3824">
        <v>9791136931382</v>
      </c>
      <c r="H3824" t="s">
        <v>32</v>
      </c>
      <c r="I3824" t="s">
        <v>523</v>
      </c>
      <c r="J3824" t="s">
        <v>46</v>
      </c>
      <c r="K3824" t="s">
        <v>29</v>
      </c>
      <c r="L3824">
        <v>0</v>
      </c>
      <c r="M3824" t="s">
        <v>47</v>
      </c>
      <c r="N3824">
        <v>0</v>
      </c>
      <c r="O3824">
        <v>0</v>
      </c>
      <c r="P3824" t="s">
        <v>48</v>
      </c>
      <c r="Q3824" s="2">
        <v>0.7</v>
      </c>
      <c r="R3824">
        <v>0</v>
      </c>
      <c r="V3824" t="str">
        <f>VLOOKUP(H3824,'[1]팀별 출판사'!A:B,2,0)</f>
        <v>소설1팀</v>
      </c>
      <c r="W3824" s="6">
        <f t="shared" si="118"/>
        <v>0</v>
      </c>
      <c r="X3824" s="6">
        <f t="shared" si="119"/>
        <v>0</v>
      </c>
    </row>
    <row r="3825" spans="1:24" x14ac:dyDescent="0.3">
      <c r="A3825" t="s">
        <v>5392</v>
      </c>
      <c r="B3825" t="s">
        <v>5424</v>
      </c>
      <c r="C3825" t="s">
        <v>23</v>
      </c>
      <c r="D3825" t="s">
        <v>24</v>
      </c>
      <c r="E3825" t="s">
        <v>25</v>
      </c>
      <c r="F3825">
        <v>1</v>
      </c>
      <c r="G3825">
        <v>9791172920029</v>
      </c>
      <c r="H3825" t="s">
        <v>26</v>
      </c>
      <c r="I3825" t="s">
        <v>369</v>
      </c>
      <c r="J3825" t="s">
        <v>276</v>
      </c>
      <c r="K3825" t="s">
        <v>29</v>
      </c>
      <c r="L3825">
        <v>0</v>
      </c>
      <c r="M3825" t="s">
        <v>29</v>
      </c>
      <c r="N3825">
        <v>0</v>
      </c>
      <c r="O3825">
        <v>0</v>
      </c>
      <c r="P3825" t="s">
        <v>30</v>
      </c>
      <c r="Q3825" s="2">
        <v>0.7</v>
      </c>
      <c r="R3825">
        <v>0</v>
      </c>
      <c r="V3825" t="str">
        <f>VLOOKUP(H3825,'[1]팀별 출판사'!A:B,2,0)</f>
        <v>소설1팀</v>
      </c>
      <c r="W3825" s="6">
        <f t="shared" si="118"/>
        <v>0</v>
      </c>
      <c r="X3825" s="6">
        <f t="shared" si="119"/>
        <v>0</v>
      </c>
    </row>
    <row r="3826" spans="1:24" x14ac:dyDescent="0.3">
      <c r="A3826" t="s">
        <v>5392</v>
      </c>
      <c r="B3826" t="s">
        <v>5425</v>
      </c>
      <c r="C3826" t="s">
        <v>23</v>
      </c>
      <c r="D3826" t="s">
        <v>24</v>
      </c>
      <c r="E3826" t="s">
        <v>25</v>
      </c>
      <c r="F3826">
        <v>1</v>
      </c>
      <c r="G3826">
        <v>9791136988133</v>
      </c>
      <c r="H3826" t="s">
        <v>26</v>
      </c>
      <c r="I3826" t="s">
        <v>614</v>
      </c>
      <c r="J3826" t="s">
        <v>28</v>
      </c>
      <c r="K3826" t="s">
        <v>29</v>
      </c>
      <c r="L3826">
        <v>0</v>
      </c>
      <c r="M3826" t="s">
        <v>29</v>
      </c>
      <c r="N3826">
        <v>0</v>
      </c>
      <c r="O3826">
        <v>0</v>
      </c>
      <c r="P3826" t="s">
        <v>30</v>
      </c>
      <c r="Q3826" s="2">
        <v>0.7</v>
      </c>
      <c r="R3826">
        <v>0</v>
      </c>
      <c r="V3826" t="str">
        <f>VLOOKUP(H3826,'[1]팀별 출판사'!A:B,2,0)</f>
        <v>소설1팀</v>
      </c>
      <c r="W3826" s="6">
        <f t="shared" si="118"/>
        <v>0</v>
      </c>
      <c r="X3826" s="6">
        <f t="shared" si="119"/>
        <v>0</v>
      </c>
    </row>
    <row r="3827" spans="1:24" x14ac:dyDescent="0.3">
      <c r="A3827" t="s">
        <v>5392</v>
      </c>
      <c r="B3827" t="s">
        <v>5426</v>
      </c>
      <c r="C3827" t="s">
        <v>23</v>
      </c>
      <c r="D3827" t="s">
        <v>24</v>
      </c>
      <c r="E3827" t="s">
        <v>25</v>
      </c>
      <c r="F3827">
        <v>1</v>
      </c>
      <c r="G3827">
        <v>9791172927844</v>
      </c>
      <c r="H3827" t="s">
        <v>79</v>
      </c>
      <c r="I3827" t="s">
        <v>1168</v>
      </c>
      <c r="J3827" t="s">
        <v>81</v>
      </c>
      <c r="K3827" t="s">
        <v>29</v>
      </c>
      <c r="L3827">
        <v>0</v>
      </c>
      <c r="M3827" t="s">
        <v>29</v>
      </c>
      <c r="N3827">
        <v>0</v>
      </c>
      <c r="O3827">
        <v>0</v>
      </c>
      <c r="P3827" t="s">
        <v>30</v>
      </c>
      <c r="Q3827" s="2">
        <v>0.7</v>
      </c>
      <c r="R3827">
        <v>0</v>
      </c>
      <c r="V3827" t="str">
        <f>VLOOKUP(H3827,'[1]팀별 출판사'!A:B,2,0)</f>
        <v>소설1팀</v>
      </c>
      <c r="W3827" s="6">
        <f t="shared" si="118"/>
        <v>0</v>
      </c>
      <c r="X3827" s="6">
        <f t="shared" si="119"/>
        <v>0</v>
      </c>
    </row>
    <row r="3828" spans="1:24" x14ac:dyDescent="0.3">
      <c r="A3828" t="s">
        <v>5392</v>
      </c>
      <c r="B3828" t="s">
        <v>5427</v>
      </c>
      <c r="C3828" t="s">
        <v>23</v>
      </c>
      <c r="D3828" t="s">
        <v>24</v>
      </c>
      <c r="E3828" t="s">
        <v>25</v>
      </c>
      <c r="F3828">
        <v>1</v>
      </c>
      <c r="G3828">
        <v>9791136907370</v>
      </c>
      <c r="H3828" t="s">
        <v>26</v>
      </c>
      <c r="I3828" t="s">
        <v>5428</v>
      </c>
      <c r="J3828" t="s">
        <v>1348</v>
      </c>
      <c r="K3828" t="s">
        <v>29</v>
      </c>
      <c r="L3828" s="1">
        <v>3200</v>
      </c>
      <c r="M3828" t="s">
        <v>29</v>
      </c>
      <c r="N3828" s="1">
        <v>3200</v>
      </c>
      <c r="O3828" s="1">
        <v>3200</v>
      </c>
      <c r="P3828" t="s">
        <v>30</v>
      </c>
      <c r="Q3828" s="2">
        <v>0.7</v>
      </c>
      <c r="R3828" s="1">
        <v>2240</v>
      </c>
      <c r="S3828" t="s">
        <v>29</v>
      </c>
      <c r="T3828" s="1">
        <v>2240</v>
      </c>
      <c r="V3828" t="str">
        <f>VLOOKUP(H3828,'[1]팀별 출판사'!A:B,2,0)</f>
        <v>소설1팀</v>
      </c>
      <c r="W3828" s="6">
        <f t="shared" si="118"/>
        <v>0</v>
      </c>
      <c r="X3828" s="6">
        <f t="shared" si="119"/>
        <v>2240</v>
      </c>
    </row>
    <row r="3829" spans="1:24" x14ac:dyDescent="0.3">
      <c r="A3829" t="s">
        <v>5392</v>
      </c>
      <c r="B3829" t="s">
        <v>5429</v>
      </c>
      <c r="C3829" t="s">
        <v>23</v>
      </c>
      <c r="D3829" t="s">
        <v>24</v>
      </c>
      <c r="E3829" t="s">
        <v>25</v>
      </c>
      <c r="F3829">
        <v>1</v>
      </c>
      <c r="G3829">
        <v>9791133103355</v>
      </c>
      <c r="H3829" t="s">
        <v>32</v>
      </c>
      <c r="I3829" t="s">
        <v>5430</v>
      </c>
      <c r="J3829" t="s">
        <v>160</v>
      </c>
      <c r="K3829" t="s">
        <v>29</v>
      </c>
      <c r="L3829" s="1">
        <v>2500</v>
      </c>
      <c r="M3829" t="s">
        <v>29</v>
      </c>
      <c r="N3829" s="1">
        <v>2500</v>
      </c>
      <c r="O3829" s="1">
        <v>2500</v>
      </c>
      <c r="P3829" t="s">
        <v>30</v>
      </c>
      <c r="Q3829" s="2">
        <v>0.7</v>
      </c>
      <c r="R3829" s="1">
        <v>1750</v>
      </c>
      <c r="S3829" t="s">
        <v>29</v>
      </c>
      <c r="T3829" s="1">
        <v>1750</v>
      </c>
      <c r="V3829" t="str">
        <f>VLOOKUP(H3829,'[1]팀별 출판사'!A:B,2,0)</f>
        <v>소설1팀</v>
      </c>
      <c r="W3829" s="6">
        <f t="shared" si="118"/>
        <v>0</v>
      </c>
      <c r="X3829" s="6">
        <f t="shared" si="119"/>
        <v>1750</v>
      </c>
    </row>
    <row r="3830" spans="1:24" x14ac:dyDescent="0.3">
      <c r="A3830" t="s">
        <v>5392</v>
      </c>
      <c r="B3830" t="s">
        <v>5431</v>
      </c>
      <c r="C3830" t="s">
        <v>23</v>
      </c>
      <c r="D3830" t="s">
        <v>24</v>
      </c>
      <c r="E3830" t="s">
        <v>25</v>
      </c>
      <c r="F3830">
        <v>1</v>
      </c>
      <c r="G3830">
        <v>9791170106500</v>
      </c>
      <c r="H3830" t="s">
        <v>67</v>
      </c>
      <c r="I3830" t="s">
        <v>931</v>
      </c>
      <c r="J3830" t="s">
        <v>932</v>
      </c>
      <c r="K3830" t="s">
        <v>29</v>
      </c>
      <c r="L3830">
        <v>0</v>
      </c>
      <c r="M3830" t="s">
        <v>252</v>
      </c>
      <c r="N3830">
        <v>0</v>
      </c>
      <c r="O3830">
        <v>0</v>
      </c>
      <c r="P3830" t="s">
        <v>253</v>
      </c>
      <c r="Q3830" s="2">
        <v>0.7</v>
      </c>
      <c r="R3830">
        <v>0</v>
      </c>
      <c r="V3830" t="str">
        <f>VLOOKUP(H3830,'[1]팀별 출판사'!A:B,2,0)</f>
        <v>소설1팀</v>
      </c>
      <c r="W3830" s="6">
        <f t="shared" si="118"/>
        <v>0</v>
      </c>
      <c r="X3830" s="6">
        <f t="shared" si="119"/>
        <v>0</v>
      </c>
    </row>
    <row r="3831" spans="1:24" x14ac:dyDescent="0.3">
      <c r="A3831" t="s">
        <v>5392</v>
      </c>
      <c r="B3831" t="s">
        <v>5432</v>
      </c>
      <c r="C3831" t="s">
        <v>23</v>
      </c>
      <c r="D3831" t="s">
        <v>24</v>
      </c>
      <c r="E3831" t="s">
        <v>25</v>
      </c>
      <c r="F3831">
        <v>1</v>
      </c>
      <c r="G3831">
        <v>9791136942784</v>
      </c>
      <c r="H3831" t="s">
        <v>1617</v>
      </c>
      <c r="I3831" t="s">
        <v>4911</v>
      </c>
      <c r="J3831" t="s">
        <v>4895</v>
      </c>
      <c r="K3831" t="s">
        <v>29</v>
      </c>
      <c r="L3831" s="1">
        <v>3800</v>
      </c>
      <c r="M3831" t="s">
        <v>29</v>
      </c>
      <c r="N3831" s="1">
        <v>3800</v>
      </c>
      <c r="O3831" s="1">
        <v>3800</v>
      </c>
      <c r="P3831" t="s">
        <v>30</v>
      </c>
      <c r="Q3831" s="2">
        <v>0.7</v>
      </c>
      <c r="R3831" s="1">
        <v>2660</v>
      </c>
      <c r="S3831" t="s">
        <v>29</v>
      </c>
      <c r="T3831" s="1">
        <v>2660</v>
      </c>
      <c r="V3831" t="str">
        <f>VLOOKUP(H3831,'[1]팀별 출판사'!A:B,2,0)</f>
        <v>소설2팀</v>
      </c>
      <c r="W3831" s="6">
        <f t="shared" si="118"/>
        <v>0</v>
      </c>
      <c r="X3831" s="6">
        <f t="shared" si="119"/>
        <v>2660</v>
      </c>
    </row>
    <row r="3832" spans="1:24" x14ac:dyDescent="0.3">
      <c r="A3832" t="s">
        <v>5392</v>
      </c>
      <c r="B3832" t="s">
        <v>5433</v>
      </c>
      <c r="C3832" t="s">
        <v>23</v>
      </c>
      <c r="D3832" t="s">
        <v>24</v>
      </c>
      <c r="E3832" t="s">
        <v>25</v>
      </c>
      <c r="F3832">
        <v>1</v>
      </c>
      <c r="G3832">
        <v>9791136927347</v>
      </c>
      <c r="H3832" t="s">
        <v>26</v>
      </c>
      <c r="I3832" t="s">
        <v>5434</v>
      </c>
      <c r="J3832" t="s">
        <v>459</v>
      </c>
      <c r="K3832" t="s">
        <v>29</v>
      </c>
      <c r="L3832" s="1">
        <v>3200</v>
      </c>
      <c r="M3832" t="s">
        <v>29</v>
      </c>
      <c r="N3832" s="1">
        <v>3200</v>
      </c>
      <c r="O3832" s="1">
        <v>3200</v>
      </c>
      <c r="P3832" t="s">
        <v>30</v>
      </c>
      <c r="Q3832" s="2">
        <v>0.7</v>
      </c>
      <c r="R3832" s="1">
        <v>2240</v>
      </c>
      <c r="S3832" t="s">
        <v>29</v>
      </c>
      <c r="T3832" s="1">
        <v>2240</v>
      </c>
      <c r="V3832" t="str">
        <f>VLOOKUP(H3832,'[1]팀별 출판사'!A:B,2,0)</f>
        <v>소설1팀</v>
      </c>
      <c r="W3832" s="6">
        <f t="shared" si="118"/>
        <v>0</v>
      </c>
      <c r="X3832" s="6">
        <f t="shared" si="119"/>
        <v>2240</v>
      </c>
    </row>
    <row r="3833" spans="1:24" x14ac:dyDescent="0.3">
      <c r="A3833" t="s">
        <v>5392</v>
      </c>
      <c r="B3833" t="s">
        <v>5435</v>
      </c>
      <c r="C3833" t="s">
        <v>23</v>
      </c>
      <c r="D3833" t="s">
        <v>24</v>
      </c>
      <c r="E3833" t="s">
        <v>25</v>
      </c>
      <c r="F3833">
        <v>1</v>
      </c>
      <c r="G3833">
        <v>9791173785993</v>
      </c>
      <c r="H3833" t="s">
        <v>26</v>
      </c>
      <c r="I3833" t="s">
        <v>769</v>
      </c>
      <c r="J3833" t="s">
        <v>81</v>
      </c>
      <c r="K3833" t="s">
        <v>29</v>
      </c>
      <c r="L3833">
        <v>0</v>
      </c>
      <c r="M3833" t="s">
        <v>29</v>
      </c>
      <c r="N3833">
        <v>0</v>
      </c>
      <c r="O3833">
        <v>0</v>
      </c>
      <c r="P3833" t="s">
        <v>30</v>
      </c>
      <c r="Q3833" s="2">
        <v>0.7</v>
      </c>
      <c r="R3833">
        <v>0</v>
      </c>
      <c r="V3833" t="str">
        <f>VLOOKUP(H3833,'[1]팀별 출판사'!A:B,2,0)</f>
        <v>소설1팀</v>
      </c>
      <c r="W3833" s="6">
        <f t="shared" si="118"/>
        <v>0</v>
      </c>
      <c r="X3833" s="6">
        <f t="shared" si="119"/>
        <v>0</v>
      </c>
    </row>
    <row r="3834" spans="1:24" x14ac:dyDescent="0.3">
      <c r="A3834" t="s">
        <v>5392</v>
      </c>
      <c r="B3834" t="s">
        <v>5436</v>
      </c>
      <c r="C3834" t="s">
        <v>23</v>
      </c>
      <c r="D3834" t="s">
        <v>24</v>
      </c>
      <c r="E3834" t="s">
        <v>25</v>
      </c>
      <c r="F3834">
        <v>1</v>
      </c>
      <c r="G3834">
        <v>9791136941862</v>
      </c>
      <c r="H3834" t="s">
        <v>26</v>
      </c>
      <c r="I3834" t="s">
        <v>894</v>
      </c>
      <c r="J3834" t="s">
        <v>81</v>
      </c>
      <c r="K3834" t="s">
        <v>29</v>
      </c>
      <c r="L3834">
        <v>0</v>
      </c>
      <c r="M3834" t="s">
        <v>29</v>
      </c>
      <c r="N3834">
        <v>0</v>
      </c>
      <c r="O3834">
        <v>0</v>
      </c>
      <c r="P3834" t="s">
        <v>30</v>
      </c>
      <c r="Q3834" s="2">
        <v>0.7</v>
      </c>
      <c r="R3834">
        <v>0</v>
      </c>
      <c r="V3834" t="str">
        <f>VLOOKUP(H3834,'[1]팀별 출판사'!A:B,2,0)</f>
        <v>소설1팀</v>
      </c>
      <c r="W3834" s="6">
        <f t="shared" si="118"/>
        <v>0</v>
      </c>
      <c r="X3834" s="6">
        <f t="shared" si="119"/>
        <v>0</v>
      </c>
    </row>
    <row r="3835" spans="1:24" x14ac:dyDescent="0.3">
      <c r="A3835" t="s">
        <v>5392</v>
      </c>
      <c r="B3835" t="s">
        <v>5437</v>
      </c>
      <c r="C3835" t="s">
        <v>23</v>
      </c>
      <c r="D3835" t="s">
        <v>24</v>
      </c>
      <c r="E3835" t="s">
        <v>25</v>
      </c>
      <c r="F3835">
        <v>1</v>
      </c>
      <c r="G3835">
        <v>9791136907431</v>
      </c>
      <c r="H3835" t="s">
        <v>26</v>
      </c>
      <c r="I3835" t="s">
        <v>5438</v>
      </c>
      <c r="J3835" t="s">
        <v>1348</v>
      </c>
      <c r="K3835" t="s">
        <v>29</v>
      </c>
      <c r="L3835">
        <v>0</v>
      </c>
      <c r="M3835" t="s">
        <v>29</v>
      </c>
      <c r="N3835">
        <v>0</v>
      </c>
      <c r="O3835">
        <v>0</v>
      </c>
      <c r="P3835" t="s">
        <v>30</v>
      </c>
      <c r="Q3835" s="2">
        <v>0.7</v>
      </c>
      <c r="R3835">
        <v>0</v>
      </c>
      <c r="V3835" t="str">
        <f>VLOOKUP(H3835,'[1]팀별 출판사'!A:B,2,0)</f>
        <v>소설1팀</v>
      </c>
      <c r="W3835" s="6">
        <f t="shared" si="118"/>
        <v>0</v>
      </c>
      <c r="X3835" s="6">
        <f t="shared" si="119"/>
        <v>0</v>
      </c>
    </row>
    <row r="3836" spans="1:24" x14ac:dyDescent="0.3">
      <c r="A3836" t="s">
        <v>5392</v>
      </c>
      <c r="B3836" t="s">
        <v>5439</v>
      </c>
      <c r="C3836" t="s">
        <v>23</v>
      </c>
      <c r="D3836" t="s">
        <v>24</v>
      </c>
      <c r="E3836" t="s">
        <v>25</v>
      </c>
      <c r="F3836">
        <v>1</v>
      </c>
      <c r="G3836">
        <v>9791136904935</v>
      </c>
      <c r="H3836" t="s">
        <v>26</v>
      </c>
      <c r="I3836" t="s">
        <v>505</v>
      </c>
      <c r="J3836" t="s">
        <v>506</v>
      </c>
      <c r="K3836" t="s">
        <v>29</v>
      </c>
      <c r="L3836">
        <v>0</v>
      </c>
      <c r="M3836" t="s">
        <v>29</v>
      </c>
      <c r="N3836">
        <v>0</v>
      </c>
      <c r="O3836">
        <v>0</v>
      </c>
      <c r="P3836" t="s">
        <v>30</v>
      </c>
      <c r="Q3836" s="2">
        <v>0.7</v>
      </c>
      <c r="R3836">
        <v>0</v>
      </c>
      <c r="V3836" t="str">
        <f>VLOOKUP(H3836,'[1]팀별 출판사'!A:B,2,0)</f>
        <v>소설1팀</v>
      </c>
      <c r="W3836" s="6">
        <f t="shared" si="118"/>
        <v>0</v>
      </c>
      <c r="X3836" s="6">
        <f t="shared" si="119"/>
        <v>0</v>
      </c>
    </row>
    <row r="3837" spans="1:24" x14ac:dyDescent="0.3">
      <c r="A3837" t="s">
        <v>5392</v>
      </c>
      <c r="B3837" t="s">
        <v>5440</v>
      </c>
      <c r="C3837" t="s">
        <v>23</v>
      </c>
      <c r="D3837" t="s">
        <v>24</v>
      </c>
      <c r="E3837" t="s">
        <v>25</v>
      </c>
      <c r="F3837">
        <v>1</v>
      </c>
      <c r="G3837">
        <v>9791172924348</v>
      </c>
      <c r="H3837" t="s">
        <v>1311</v>
      </c>
      <c r="I3837" t="s">
        <v>3105</v>
      </c>
      <c r="J3837" t="s">
        <v>1313</v>
      </c>
      <c r="K3837" t="s">
        <v>29</v>
      </c>
      <c r="L3837" s="1">
        <v>3000</v>
      </c>
      <c r="M3837" t="s">
        <v>29</v>
      </c>
      <c r="N3837" s="1">
        <v>3000</v>
      </c>
      <c r="O3837" s="1">
        <v>3000</v>
      </c>
      <c r="P3837" t="s">
        <v>30</v>
      </c>
      <c r="Q3837" s="2">
        <v>0.7</v>
      </c>
      <c r="R3837" s="1">
        <v>2100</v>
      </c>
      <c r="S3837" t="s">
        <v>29</v>
      </c>
      <c r="T3837" s="1">
        <v>2100</v>
      </c>
      <c r="V3837" t="str">
        <f>VLOOKUP(H3837,'[1]팀별 출판사'!A:B,2,0)</f>
        <v>소설2팀</v>
      </c>
      <c r="W3837" s="6">
        <f t="shared" si="118"/>
        <v>0</v>
      </c>
      <c r="X3837" s="6">
        <f t="shared" si="119"/>
        <v>2100</v>
      </c>
    </row>
    <row r="3838" spans="1:24" x14ac:dyDescent="0.3">
      <c r="A3838" t="s">
        <v>5392</v>
      </c>
      <c r="B3838" t="s">
        <v>5441</v>
      </c>
      <c r="C3838" t="s">
        <v>23</v>
      </c>
      <c r="D3838" t="s">
        <v>24</v>
      </c>
      <c r="E3838" t="s">
        <v>25</v>
      </c>
      <c r="F3838">
        <v>1</v>
      </c>
      <c r="G3838">
        <v>9791172924362</v>
      </c>
      <c r="H3838" t="s">
        <v>1311</v>
      </c>
      <c r="I3838" t="s">
        <v>3106</v>
      </c>
      <c r="J3838" t="s">
        <v>1313</v>
      </c>
      <c r="K3838" t="s">
        <v>29</v>
      </c>
      <c r="L3838" s="1">
        <v>3000</v>
      </c>
      <c r="M3838" t="s">
        <v>29</v>
      </c>
      <c r="N3838" s="1">
        <v>3000</v>
      </c>
      <c r="O3838" s="1">
        <v>3000</v>
      </c>
      <c r="P3838" t="s">
        <v>30</v>
      </c>
      <c r="Q3838" s="2">
        <v>0.7</v>
      </c>
      <c r="R3838" s="1">
        <v>2100</v>
      </c>
      <c r="S3838" t="s">
        <v>29</v>
      </c>
      <c r="T3838" s="1">
        <v>2100</v>
      </c>
      <c r="V3838" t="str">
        <f>VLOOKUP(H3838,'[1]팀별 출판사'!A:B,2,0)</f>
        <v>소설2팀</v>
      </c>
      <c r="W3838" s="6">
        <f t="shared" si="118"/>
        <v>0</v>
      </c>
      <c r="X3838" s="6">
        <f t="shared" si="119"/>
        <v>2100</v>
      </c>
    </row>
    <row r="3839" spans="1:24" x14ac:dyDescent="0.3">
      <c r="A3839" t="s">
        <v>5392</v>
      </c>
      <c r="B3839" t="s">
        <v>5442</v>
      </c>
      <c r="C3839" t="s">
        <v>23</v>
      </c>
      <c r="D3839" t="s">
        <v>24</v>
      </c>
      <c r="E3839" t="s">
        <v>25</v>
      </c>
      <c r="F3839">
        <v>1</v>
      </c>
      <c r="G3839">
        <v>9791133143863</v>
      </c>
      <c r="H3839" t="s">
        <v>32</v>
      </c>
      <c r="I3839" t="s">
        <v>4081</v>
      </c>
      <c r="J3839" t="s">
        <v>88</v>
      </c>
      <c r="K3839" t="s">
        <v>29</v>
      </c>
      <c r="L3839" s="1">
        <v>3200</v>
      </c>
      <c r="M3839" t="s">
        <v>29</v>
      </c>
      <c r="N3839" s="1">
        <v>3200</v>
      </c>
      <c r="O3839" s="1">
        <v>3200</v>
      </c>
      <c r="P3839" t="s">
        <v>30</v>
      </c>
      <c r="Q3839" s="2">
        <v>0.7</v>
      </c>
      <c r="R3839" s="1">
        <v>2240</v>
      </c>
      <c r="S3839" t="s">
        <v>29</v>
      </c>
      <c r="T3839" s="1">
        <v>2240</v>
      </c>
      <c r="V3839" t="str">
        <f>VLOOKUP(H3839,'[1]팀별 출판사'!A:B,2,0)</f>
        <v>소설1팀</v>
      </c>
      <c r="W3839" s="6">
        <f t="shared" si="118"/>
        <v>0</v>
      </c>
      <c r="X3839" s="6">
        <f t="shared" si="119"/>
        <v>2240</v>
      </c>
    </row>
    <row r="3840" spans="1:24" x14ac:dyDescent="0.3">
      <c r="A3840" t="s">
        <v>5392</v>
      </c>
      <c r="B3840" t="s">
        <v>5443</v>
      </c>
      <c r="C3840" t="s">
        <v>23</v>
      </c>
      <c r="D3840" t="s">
        <v>24</v>
      </c>
      <c r="E3840" t="s">
        <v>25</v>
      </c>
      <c r="F3840">
        <v>1</v>
      </c>
      <c r="G3840">
        <v>9791136931375</v>
      </c>
      <c r="H3840" t="s">
        <v>32</v>
      </c>
      <c r="I3840" t="s">
        <v>189</v>
      </c>
      <c r="J3840" t="s">
        <v>46</v>
      </c>
      <c r="K3840" t="s">
        <v>29</v>
      </c>
      <c r="L3840">
        <v>0</v>
      </c>
      <c r="M3840" t="s">
        <v>152</v>
      </c>
      <c r="N3840">
        <v>0</v>
      </c>
      <c r="O3840">
        <v>0</v>
      </c>
      <c r="P3840" t="s">
        <v>153</v>
      </c>
      <c r="Q3840" s="2">
        <v>0.7</v>
      </c>
      <c r="R3840">
        <v>0</v>
      </c>
      <c r="V3840" t="str">
        <f>VLOOKUP(H3840,'[1]팀별 출판사'!A:B,2,0)</f>
        <v>소설1팀</v>
      </c>
      <c r="W3840" s="6">
        <f t="shared" si="118"/>
        <v>0</v>
      </c>
      <c r="X3840" s="6">
        <f t="shared" si="119"/>
        <v>0</v>
      </c>
    </row>
    <row r="3841" spans="1:24" x14ac:dyDescent="0.3">
      <c r="A3841" t="s">
        <v>5392</v>
      </c>
      <c r="B3841" t="s">
        <v>5444</v>
      </c>
      <c r="C3841" t="s">
        <v>23</v>
      </c>
      <c r="D3841" t="s">
        <v>24</v>
      </c>
      <c r="E3841" t="s">
        <v>25</v>
      </c>
      <c r="F3841">
        <v>1</v>
      </c>
      <c r="G3841">
        <v>9791175306073</v>
      </c>
      <c r="H3841" t="s">
        <v>26</v>
      </c>
      <c r="I3841" t="s">
        <v>654</v>
      </c>
      <c r="J3841" t="s">
        <v>311</v>
      </c>
      <c r="K3841" t="s">
        <v>29</v>
      </c>
      <c r="L3841">
        <v>0</v>
      </c>
      <c r="M3841" t="s">
        <v>29</v>
      </c>
      <c r="N3841">
        <v>0</v>
      </c>
      <c r="O3841">
        <v>0</v>
      </c>
      <c r="P3841" t="s">
        <v>30</v>
      </c>
      <c r="Q3841" s="2">
        <v>0.7</v>
      </c>
      <c r="R3841">
        <v>0</v>
      </c>
      <c r="V3841" t="str">
        <f>VLOOKUP(H3841,'[1]팀별 출판사'!A:B,2,0)</f>
        <v>소설1팀</v>
      </c>
      <c r="W3841" s="6">
        <f t="shared" si="118"/>
        <v>0</v>
      </c>
      <c r="X3841" s="6">
        <f t="shared" si="119"/>
        <v>0</v>
      </c>
    </row>
    <row r="3842" spans="1:24" x14ac:dyDescent="0.3">
      <c r="A3842" t="s">
        <v>5392</v>
      </c>
      <c r="B3842" t="s">
        <v>5445</v>
      </c>
      <c r="C3842" t="s">
        <v>23</v>
      </c>
      <c r="D3842" t="s">
        <v>24</v>
      </c>
      <c r="E3842" t="s">
        <v>25</v>
      </c>
      <c r="F3842">
        <v>1</v>
      </c>
      <c r="G3842">
        <v>9791175302488</v>
      </c>
      <c r="H3842" t="s">
        <v>26</v>
      </c>
      <c r="I3842" t="s">
        <v>602</v>
      </c>
      <c r="J3842" t="s">
        <v>603</v>
      </c>
      <c r="K3842" t="s">
        <v>29</v>
      </c>
      <c r="L3842">
        <v>0</v>
      </c>
      <c r="M3842" t="s">
        <v>29</v>
      </c>
      <c r="N3842">
        <v>0</v>
      </c>
      <c r="O3842">
        <v>0</v>
      </c>
      <c r="P3842" t="s">
        <v>30</v>
      </c>
      <c r="Q3842" s="2">
        <v>0.7</v>
      </c>
      <c r="R3842">
        <v>0</v>
      </c>
      <c r="V3842" t="str">
        <f>VLOOKUP(H3842,'[1]팀별 출판사'!A:B,2,0)</f>
        <v>소설1팀</v>
      </c>
      <c r="W3842" s="6">
        <f t="shared" ref="W3842:W3905" si="120">IF(P3842="US", T3842*30%, 0)</f>
        <v>0</v>
      </c>
      <c r="X3842" s="6">
        <f t="shared" ref="X3842:X3905" si="121">T3842-W3842</f>
        <v>0</v>
      </c>
    </row>
    <row r="3843" spans="1:24" x14ac:dyDescent="0.3">
      <c r="A3843" t="s">
        <v>5392</v>
      </c>
      <c r="B3843" t="s">
        <v>5446</v>
      </c>
      <c r="C3843" t="s">
        <v>23</v>
      </c>
      <c r="D3843" t="s">
        <v>24</v>
      </c>
      <c r="E3843" t="s">
        <v>25</v>
      </c>
      <c r="F3843">
        <v>1</v>
      </c>
      <c r="G3843">
        <v>9791136930552</v>
      </c>
      <c r="H3843" t="s">
        <v>26</v>
      </c>
      <c r="I3843" t="s">
        <v>45</v>
      </c>
      <c r="J3843" t="s">
        <v>46</v>
      </c>
      <c r="K3843" t="s">
        <v>29</v>
      </c>
      <c r="L3843">
        <v>0</v>
      </c>
      <c r="M3843" t="s">
        <v>47</v>
      </c>
      <c r="N3843">
        <v>0</v>
      </c>
      <c r="O3843">
        <v>0</v>
      </c>
      <c r="P3843" t="s">
        <v>48</v>
      </c>
      <c r="Q3843" s="2">
        <v>0.7</v>
      </c>
      <c r="R3843">
        <v>0</v>
      </c>
      <c r="V3843" t="str">
        <f>VLOOKUP(H3843,'[1]팀별 출판사'!A:B,2,0)</f>
        <v>소설1팀</v>
      </c>
      <c r="W3843" s="6">
        <f t="shared" si="120"/>
        <v>0</v>
      </c>
      <c r="X3843" s="6">
        <f t="shared" si="121"/>
        <v>0</v>
      </c>
    </row>
    <row r="3844" spans="1:24" x14ac:dyDescent="0.3">
      <c r="A3844" t="s">
        <v>5392</v>
      </c>
      <c r="B3844" t="s">
        <v>5447</v>
      </c>
      <c r="C3844" t="s">
        <v>23</v>
      </c>
      <c r="D3844" t="s">
        <v>24</v>
      </c>
      <c r="E3844" t="s">
        <v>25</v>
      </c>
      <c r="F3844">
        <v>1</v>
      </c>
      <c r="G3844">
        <v>9791136931375</v>
      </c>
      <c r="H3844" t="s">
        <v>32</v>
      </c>
      <c r="I3844" t="s">
        <v>189</v>
      </c>
      <c r="J3844" t="s">
        <v>46</v>
      </c>
      <c r="K3844" t="s">
        <v>29</v>
      </c>
      <c r="L3844">
        <v>0</v>
      </c>
      <c r="M3844" t="s">
        <v>47</v>
      </c>
      <c r="N3844">
        <v>0</v>
      </c>
      <c r="O3844">
        <v>0</v>
      </c>
      <c r="P3844" t="s">
        <v>48</v>
      </c>
      <c r="Q3844" s="2">
        <v>0.7</v>
      </c>
      <c r="R3844">
        <v>0</v>
      </c>
      <c r="V3844" t="str">
        <f>VLOOKUP(H3844,'[1]팀별 출판사'!A:B,2,0)</f>
        <v>소설1팀</v>
      </c>
      <c r="W3844" s="6">
        <f t="shared" si="120"/>
        <v>0</v>
      </c>
      <c r="X3844" s="6">
        <f t="shared" si="121"/>
        <v>0</v>
      </c>
    </row>
    <row r="3845" spans="1:24" x14ac:dyDescent="0.3">
      <c r="A3845" t="s">
        <v>5392</v>
      </c>
      <c r="B3845" t="s">
        <v>5448</v>
      </c>
      <c r="C3845" t="s">
        <v>23</v>
      </c>
      <c r="D3845" t="s">
        <v>24</v>
      </c>
      <c r="E3845" t="s">
        <v>25</v>
      </c>
      <c r="F3845">
        <v>1</v>
      </c>
      <c r="G3845">
        <v>9791170107835</v>
      </c>
      <c r="H3845" t="s">
        <v>67</v>
      </c>
      <c r="I3845" t="s">
        <v>2427</v>
      </c>
      <c r="J3845" t="s">
        <v>2428</v>
      </c>
      <c r="K3845" t="s">
        <v>29</v>
      </c>
      <c r="L3845">
        <v>0</v>
      </c>
      <c r="M3845" t="s">
        <v>47</v>
      </c>
      <c r="N3845">
        <v>0</v>
      </c>
      <c r="O3845">
        <v>0</v>
      </c>
      <c r="P3845" t="s">
        <v>48</v>
      </c>
      <c r="Q3845" s="2">
        <v>0.7</v>
      </c>
      <c r="R3845">
        <v>0</v>
      </c>
      <c r="V3845" t="str">
        <f>VLOOKUP(H3845,'[1]팀별 출판사'!A:B,2,0)</f>
        <v>소설1팀</v>
      </c>
      <c r="W3845" s="6">
        <f t="shared" si="120"/>
        <v>0</v>
      </c>
      <c r="X3845" s="6">
        <f t="shared" si="121"/>
        <v>0</v>
      </c>
    </row>
    <row r="3846" spans="1:24" x14ac:dyDescent="0.3">
      <c r="A3846" t="s">
        <v>5392</v>
      </c>
      <c r="B3846" t="s">
        <v>5449</v>
      </c>
      <c r="C3846" t="s">
        <v>23</v>
      </c>
      <c r="D3846" t="s">
        <v>24</v>
      </c>
      <c r="E3846" t="s">
        <v>25</v>
      </c>
      <c r="F3846">
        <v>1</v>
      </c>
      <c r="G3846">
        <v>9791170105619</v>
      </c>
      <c r="H3846" t="s">
        <v>67</v>
      </c>
      <c r="I3846" t="s">
        <v>174</v>
      </c>
      <c r="J3846" t="s">
        <v>175</v>
      </c>
      <c r="K3846" t="s">
        <v>29</v>
      </c>
      <c r="L3846">
        <v>0</v>
      </c>
      <c r="M3846" t="s">
        <v>47</v>
      </c>
      <c r="N3846">
        <v>0</v>
      </c>
      <c r="O3846">
        <v>0</v>
      </c>
      <c r="P3846" t="s">
        <v>48</v>
      </c>
      <c r="Q3846" s="2">
        <v>0.7</v>
      </c>
      <c r="R3846">
        <v>0</v>
      </c>
      <c r="V3846" t="str">
        <f>VLOOKUP(H3846,'[1]팀별 출판사'!A:B,2,0)</f>
        <v>소설1팀</v>
      </c>
      <c r="W3846" s="6">
        <f t="shared" si="120"/>
        <v>0</v>
      </c>
      <c r="X3846" s="6">
        <f t="shared" si="121"/>
        <v>0</v>
      </c>
    </row>
    <row r="3847" spans="1:24" x14ac:dyDescent="0.3">
      <c r="A3847" t="s">
        <v>5392</v>
      </c>
      <c r="B3847" t="s">
        <v>5450</v>
      </c>
      <c r="C3847" t="s">
        <v>23</v>
      </c>
      <c r="D3847" t="s">
        <v>24</v>
      </c>
      <c r="E3847" t="s">
        <v>25</v>
      </c>
      <c r="F3847">
        <v>1</v>
      </c>
      <c r="G3847">
        <v>9791170106302</v>
      </c>
      <c r="H3847" t="s">
        <v>67</v>
      </c>
      <c r="I3847" t="s">
        <v>2293</v>
      </c>
      <c r="J3847" t="s">
        <v>2294</v>
      </c>
      <c r="K3847" t="s">
        <v>29</v>
      </c>
      <c r="L3847">
        <v>0</v>
      </c>
      <c r="M3847" t="s">
        <v>47</v>
      </c>
      <c r="N3847">
        <v>0</v>
      </c>
      <c r="O3847">
        <v>0</v>
      </c>
      <c r="P3847" t="s">
        <v>48</v>
      </c>
      <c r="Q3847" s="2">
        <v>0.7</v>
      </c>
      <c r="R3847">
        <v>0</v>
      </c>
      <c r="V3847" t="str">
        <f>VLOOKUP(H3847,'[1]팀별 출판사'!A:B,2,0)</f>
        <v>소설1팀</v>
      </c>
      <c r="W3847" s="6">
        <f t="shared" si="120"/>
        <v>0</v>
      </c>
      <c r="X3847" s="6">
        <f t="shared" si="121"/>
        <v>0</v>
      </c>
    </row>
    <row r="3848" spans="1:24" x14ac:dyDescent="0.3">
      <c r="A3848" t="s">
        <v>5392</v>
      </c>
      <c r="B3848" t="s">
        <v>5451</v>
      </c>
      <c r="C3848" t="s">
        <v>23</v>
      </c>
      <c r="D3848" t="s">
        <v>24</v>
      </c>
      <c r="E3848" t="s">
        <v>25</v>
      </c>
      <c r="F3848">
        <v>1</v>
      </c>
      <c r="G3848">
        <v>9791136930156</v>
      </c>
      <c r="H3848" t="s">
        <v>32</v>
      </c>
      <c r="I3848" t="s">
        <v>702</v>
      </c>
      <c r="J3848" t="s">
        <v>34</v>
      </c>
      <c r="K3848" t="s">
        <v>29</v>
      </c>
      <c r="L3848">
        <v>0</v>
      </c>
      <c r="M3848" t="s">
        <v>47</v>
      </c>
      <c r="N3848">
        <v>0</v>
      </c>
      <c r="O3848">
        <v>0</v>
      </c>
      <c r="P3848" t="s">
        <v>48</v>
      </c>
      <c r="Q3848" s="2">
        <v>0.7</v>
      </c>
      <c r="R3848">
        <v>0</v>
      </c>
      <c r="V3848" t="str">
        <f>VLOOKUP(H3848,'[1]팀별 출판사'!A:B,2,0)</f>
        <v>소설1팀</v>
      </c>
      <c r="W3848" s="6">
        <f t="shared" si="120"/>
        <v>0</v>
      </c>
      <c r="X3848" s="6">
        <f t="shared" si="121"/>
        <v>0</v>
      </c>
    </row>
    <row r="3849" spans="1:24" x14ac:dyDescent="0.3">
      <c r="A3849" t="s">
        <v>5392</v>
      </c>
      <c r="B3849" t="s">
        <v>5452</v>
      </c>
      <c r="C3849" t="s">
        <v>23</v>
      </c>
      <c r="D3849" t="s">
        <v>24</v>
      </c>
      <c r="E3849" t="s">
        <v>25</v>
      </c>
      <c r="F3849">
        <v>1</v>
      </c>
      <c r="G3849">
        <v>9791136997623</v>
      </c>
      <c r="H3849" t="s">
        <v>2005</v>
      </c>
      <c r="I3849" t="s">
        <v>5453</v>
      </c>
      <c r="J3849" t="s">
        <v>5454</v>
      </c>
      <c r="K3849" t="s">
        <v>29</v>
      </c>
      <c r="L3849" s="1">
        <v>3300</v>
      </c>
      <c r="M3849" t="s">
        <v>29</v>
      </c>
      <c r="N3849" s="1">
        <v>3300</v>
      </c>
      <c r="O3849" s="1">
        <v>3300</v>
      </c>
      <c r="P3849" t="s">
        <v>30</v>
      </c>
      <c r="Q3849" s="2">
        <v>0.7</v>
      </c>
      <c r="R3849" s="1">
        <v>2310</v>
      </c>
      <c r="S3849" t="s">
        <v>29</v>
      </c>
      <c r="T3849" s="1">
        <v>2310</v>
      </c>
      <c r="V3849" t="str">
        <f>VLOOKUP(H3849,'[1]팀별 출판사'!A:B,2,0)</f>
        <v>소설2팀</v>
      </c>
      <c r="W3849" s="6">
        <f t="shared" si="120"/>
        <v>0</v>
      </c>
      <c r="X3849" s="6">
        <f t="shared" si="121"/>
        <v>2310</v>
      </c>
    </row>
    <row r="3850" spans="1:24" x14ac:dyDescent="0.3">
      <c r="A3850" t="s">
        <v>5392</v>
      </c>
      <c r="B3850" t="s">
        <v>5455</v>
      </c>
      <c r="C3850" t="s">
        <v>23</v>
      </c>
      <c r="D3850" t="s">
        <v>24</v>
      </c>
      <c r="E3850" t="s">
        <v>25</v>
      </c>
      <c r="F3850">
        <v>1</v>
      </c>
      <c r="G3850">
        <v>9791173785993</v>
      </c>
      <c r="H3850" t="s">
        <v>26</v>
      </c>
      <c r="I3850" t="s">
        <v>769</v>
      </c>
      <c r="J3850" t="s">
        <v>81</v>
      </c>
      <c r="K3850" t="s">
        <v>29</v>
      </c>
      <c r="L3850">
        <v>0</v>
      </c>
      <c r="M3850" t="s">
        <v>29</v>
      </c>
      <c r="N3850">
        <v>0</v>
      </c>
      <c r="O3850">
        <v>0</v>
      </c>
      <c r="P3850" t="s">
        <v>30</v>
      </c>
      <c r="Q3850" s="2">
        <v>0.7</v>
      </c>
      <c r="R3850">
        <v>0</v>
      </c>
      <c r="V3850" t="str">
        <f>VLOOKUP(H3850,'[1]팀별 출판사'!A:B,2,0)</f>
        <v>소설1팀</v>
      </c>
      <c r="W3850" s="6">
        <f t="shared" si="120"/>
        <v>0</v>
      </c>
      <c r="X3850" s="6">
        <f t="shared" si="121"/>
        <v>0</v>
      </c>
    </row>
    <row r="3851" spans="1:24" x14ac:dyDescent="0.3">
      <c r="A3851" t="s">
        <v>5392</v>
      </c>
      <c r="B3851" t="s">
        <v>5456</v>
      </c>
      <c r="C3851" t="s">
        <v>23</v>
      </c>
      <c r="D3851" t="s">
        <v>24</v>
      </c>
      <c r="E3851" t="s">
        <v>25</v>
      </c>
      <c r="F3851">
        <v>1</v>
      </c>
      <c r="G3851">
        <v>9791136988157</v>
      </c>
      <c r="H3851" t="s">
        <v>26</v>
      </c>
      <c r="I3851" t="s">
        <v>2545</v>
      </c>
      <c r="J3851" t="s">
        <v>28</v>
      </c>
      <c r="K3851" t="s">
        <v>29</v>
      </c>
      <c r="L3851" s="1">
        <v>3200</v>
      </c>
      <c r="M3851" t="s">
        <v>29</v>
      </c>
      <c r="N3851" s="1">
        <v>3200</v>
      </c>
      <c r="O3851" s="1">
        <v>3200</v>
      </c>
      <c r="P3851" t="s">
        <v>30</v>
      </c>
      <c r="Q3851" s="2">
        <v>0.7</v>
      </c>
      <c r="R3851" s="1">
        <v>2240</v>
      </c>
      <c r="S3851" t="s">
        <v>29</v>
      </c>
      <c r="T3851" s="1">
        <v>2240</v>
      </c>
      <c r="V3851" t="str">
        <f>VLOOKUP(H3851,'[1]팀별 출판사'!A:B,2,0)</f>
        <v>소설1팀</v>
      </c>
      <c r="W3851" s="6">
        <f t="shared" si="120"/>
        <v>0</v>
      </c>
      <c r="X3851" s="6">
        <f t="shared" si="121"/>
        <v>2240</v>
      </c>
    </row>
    <row r="3852" spans="1:24" x14ac:dyDescent="0.3">
      <c r="A3852" t="s">
        <v>5392</v>
      </c>
      <c r="B3852" t="s">
        <v>5457</v>
      </c>
      <c r="C3852" t="s">
        <v>23</v>
      </c>
      <c r="D3852" t="s">
        <v>24</v>
      </c>
      <c r="E3852" t="s">
        <v>25</v>
      </c>
      <c r="F3852">
        <v>1</v>
      </c>
      <c r="G3852">
        <v>9791172920791</v>
      </c>
      <c r="H3852" t="s">
        <v>2005</v>
      </c>
      <c r="I3852" t="s">
        <v>5458</v>
      </c>
      <c r="J3852" t="s">
        <v>5454</v>
      </c>
      <c r="K3852" t="s">
        <v>29</v>
      </c>
      <c r="L3852" s="1">
        <v>2000</v>
      </c>
      <c r="M3852" t="s">
        <v>29</v>
      </c>
      <c r="N3852" s="1">
        <v>2000</v>
      </c>
      <c r="O3852" s="1">
        <v>2000</v>
      </c>
      <c r="P3852" t="s">
        <v>30</v>
      </c>
      <c r="Q3852" s="2">
        <v>0.7</v>
      </c>
      <c r="R3852" s="1">
        <v>1400</v>
      </c>
      <c r="S3852" t="s">
        <v>29</v>
      </c>
      <c r="T3852" s="1">
        <v>1400</v>
      </c>
      <c r="V3852" t="str">
        <f>VLOOKUP(H3852,'[1]팀별 출판사'!A:B,2,0)</f>
        <v>소설2팀</v>
      </c>
      <c r="W3852" s="6">
        <f t="shared" si="120"/>
        <v>0</v>
      </c>
      <c r="X3852" s="6">
        <f t="shared" si="121"/>
        <v>1400</v>
      </c>
    </row>
    <row r="3853" spans="1:24" x14ac:dyDescent="0.3">
      <c r="A3853" t="s">
        <v>5392</v>
      </c>
      <c r="B3853" t="s">
        <v>5459</v>
      </c>
      <c r="C3853" t="s">
        <v>23</v>
      </c>
      <c r="D3853" t="s">
        <v>24</v>
      </c>
      <c r="E3853" t="s">
        <v>25</v>
      </c>
      <c r="F3853">
        <v>1</v>
      </c>
      <c r="G3853">
        <v>9791136935496</v>
      </c>
      <c r="H3853" t="s">
        <v>32</v>
      </c>
      <c r="I3853" t="s">
        <v>441</v>
      </c>
      <c r="J3853" t="s">
        <v>442</v>
      </c>
      <c r="K3853" t="s">
        <v>29</v>
      </c>
      <c r="L3853">
        <v>0</v>
      </c>
      <c r="M3853" t="s">
        <v>127</v>
      </c>
      <c r="N3853">
        <v>0</v>
      </c>
      <c r="O3853">
        <v>0</v>
      </c>
      <c r="P3853" t="s">
        <v>128</v>
      </c>
      <c r="Q3853" s="2">
        <v>0.7</v>
      </c>
      <c r="R3853">
        <v>0</v>
      </c>
      <c r="V3853" t="str">
        <f>VLOOKUP(H3853,'[1]팀별 출판사'!A:B,2,0)</f>
        <v>소설1팀</v>
      </c>
      <c r="W3853" s="6">
        <f t="shared" si="120"/>
        <v>0</v>
      </c>
      <c r="X3853" s="6">
        <f t="shared" si="121"/>
        <v>0</v>
      </c>
    </row>
    <row r="3854" spans="1:24" x14ac:dyDescent="0.3">
      <c r="A3854" t="s">
        <v>5392</v>
      </c>
      <c r="B3854" t="s">
        <v>5460</v>
      </c>
      <c r="C3854" t="s">
        <v>23</v>
      </c>
      <c r="D3854" t="s">
        <v>24</v>
      </c>
      <c r="E3854" t="s">
        <v>25</v>
      </c>
      <c r="F3854">
        <v>1</v>
      </c>
      <c r="G3854">
        <v>9791136934925</v>
      </c>
      <c r="H3854" t="s">
        <v>32</v>
      </c>
      <c r="I3854" t="s">
        <v>385</v>
      </c>
      <c r="J3854" t="s">
        <v>126</v>
      </c>
      <c r="K3854" t="s">
        <v>29</v>
      </c>
      <c r="L3854">
        <v>0</v>
      </c>
      <c r="M3854" t="s">
        <v>127</v>
      </c>
      <c r="N3854">
        <v>0</v>
      </c>
      <c r="O3854">
        <v>0</v>
      </c>
      <c r="P3854" t="s">
        <v>128</v>
      </c>
      <c r="Q3854" s="2">
        <v>0.7</v>
      </c>
      <c r="R3854">
        <v>0</v>
      </c>
      <c r="V3854" t="str">
        <f>VLOOKUP(H3854,'[1]팀별 출판사'!A:B,2,0)</f>
        <v>소설1팀</v>
      </c>
      <c r="W3854" s="6">
        <f t="shared" si="120"/>
        <v>0</v>
      </c>
      <c r="X3854" s="6">
        <f t="shared" si="121"/>
        <v>0</v>
      </c>
    </row>
    <row r="3855" spans="1:24" x14ac:dyDescent="0.3">
      <c r="A3855" t="s">
        <v>5392</v>
      </c>
      <c r="B3855" t="s">
        <v>5461</v>
      </c>
      <c r="C3855" t="s">
        <v>23</v>
      </c>
      <c r="D3855" t="s">
        <v>24</v>
      </c>
      <c r="E3855" t="s">
        <v>25</v>
      </c>
      <c r="F3855">
        <v>1</v>
      </c>
      <c r="G3855">
        <v>9791136965455</v>
      </c>
      <c r="H3855" t="s">
        <v>26</v>
      </c>
      <c r="I3855" t="s">
        <v>472</v>
      </c>
      <c r="J3855" t="s">
        <v>157</v>
      </c>
      <c r="K3855" t="s">
        <v>29</v>
      </c>
      <c r="L3855">
        <v>0</v>
      </c>
      <c r="M3855" t="s">
        <v>127</v>
      </c>
      <c r="N3855">
        <v>0</v>
      </c>
      <c r="O3855">
        <v>0</v>
      </c>
      <c r="P3855" t="s">
        <v>128</v>
      </c>
      <c r="Q3855" s="2">
        <v>0.7</v>
      </c>
      <c r="R3855">
        <v>0</v>
      </c>
      <c r="V3855" t="str">
        <f>VLOOKUP(H3855,'[1]팀별 출판사'!A:B,2,0)</f>
        <v>소설1팀</v>
      </c>
      <c r="W3855" s="6">
        <f t="shared" si="120"/>
        <v>0</v>
      </c>
      <c r="X3855" s="6">
        <f t="shared" si="121"/>
        <v>0</v>
      </c>
    </row>
    <row r="3856" spans="1:24" x14ac:dyDescent="0.3">
      <c r="A3856" t="s">
        <v>5392</v>
      </c>
      <c r="B3856" t="s">
        <v>5462</v>
      </c>
      <c r="C3856" t="s">
        <v>23</v>
      </c>
      <c r="D3856" t="s">
        <v>24</v>
      </c>
      <c r="E3856" t="s">
        <v>25</v>
      </c>
      <c r="F3856">
        <v>1</v>
      </c>
      <c r="G3856">
        <v>9791172927844</v>
      </c>
      <c r="H3856" t="s">
        <v>79</v>
      </c>
      <c r="I3856" t="s">
        <v>1168</v>
      </c>
      <c r="J3856" t="s">
        <v>81</v>
      </c>
      <c r="K3856" t="s">
        <v>29</v>
      </c>
      <c r="L3856">
        <v>0</v>
      </c>
      <c r="M3856" t="s">
        <v>29</v>
      </c>
      <c r="N3856">
        <v>0</v>
      </c>
      <c r="O3856">
        <v>0</v>
      </c>
      <c r="P3856" t="s">
        <v>30</v>
      </c>
      <c r="Q3856" s="2">
        <v>0.7</v>
      </c>
      <c r="R3856">
        <v>0</v>
      </c>
      <c r="V3856" t="str">
        <f>VLOOKUP(H3856,'[1]팀별 출판사'!A:B,2,0)</f>
        <v>소설1팀</v>
      </c>
      <c r="W3856" s="6">
        <f t="shared" si="120"/>
        <v>0</v>
      </c>
      <c r="X3856" s="6">
        <f t="shared" si="121"/>
        <v>0</v>
      </c>
    </row>
    <row r="3857" spans="1:24" x14ac:dyDescent="0.3">
      <c r="A3857" t="s">
        <v>5392</v>
      </c>
      <c r="B3857" t="s">
        <v>5463</v>
      </c>
      <c r="C3857" t="s">
        <v>23</v>
      </c>
      <c r="D3857" t="s">
        <v>24</v>
      </c>
      <c r="E3857" t="s">
        <v>25</v>
      </c>
      <c r="F3857">
        <v>1</v>
      </c>
      <c r="G3857">
        <v>9791170107361</v>
      </c>
      <c r="H3857" t="s">
        <v>67</v>
      </c>
      <c r="I3857" t="s">
        <v>1474</v>
      </c>
      <c r="J3857" t="s">
        <v>392</v>
      </c>
      <c r="K3857" t="s">
        <v>29</v>
      </c>
      <c r="L3857">
        <v>0</v>
      </c>
      <c r="M3857" t="s">
        <v>70</v>
      </c>
      <c r="N3857">
        <v>0</v>
      </c>
      <c r="O3857">
        <v>0</v>
      </c>
      <c r="P3857" t="s">
        <v>71</v>
      </c>
      <c r="Q3857" s="2">
        <v>0.7</v>
      </c>
      <c r="R3857">
        <v>0</v>
      </c>
      <c r="V3857" t="str">
        <f>VLOOKUP(H3857,'[1]팀별 출판사'!A:B,2,0)</f>
        <v>소설1팀</v>
      </c>
      <c r="W3857" s="6">
        <f t="shared" si="120"/>
        <v>0</v>
      </c>
      <c r="X3857" s="6">
        <f t="shared" si="121"/>
        <v>0</v>
      </c>
    </row>
    <row r="3858" spans="1:24" x14ac:dyDescent="0.3">
      <c r="A3858" t="s">
        <v>5392</v>
      </c>
      <c r="B3858" t="s">
        <v>5464</v>
      </c>
      <c r="C3858" t="s">
        <v>23</v>
      </c>
      <c r="D3858" t="s">
        <v>24</v>
      </c>
      <c r="E3858" t="s">
        <v>25</v>
      </c>
      <c r="F3858">
        <v>1</v>
      </c>
      <c r="G3858">
        <v>9791136931375</v>
      </c>
      <c r="H3858" t="s">
        <v>32</v>
      </c>
      <c r="I3858" t="s">
        <v>189</v>
      </c>
      <c r="J3858" t="s">
        <v>46</v>
      </c>
      <c r="K3858" t="s">
        <v>29</v>
      </c>
      <c r="L3858">
        <v>0</v>
      </c>
      <c r="M3858" t="s">
        <v>152</v>
      </c>
      <c r="N3858">
        <v>0</v>
      </c>
      <c r="O3858">
        <v>0</v>
      </c>
      <c r="P3858" t="s">
        <v>153</v>
      </c>
      <c r="Q3858" s="2">
        <v>0.7</v>
      </c>
      <c r="R3858">
        <v>0</v>
      </c>
      <c r="V3858" t="str">
        <f>VLOOKUP(H3858,'[1]팀별 출판사'!A:B,2,0)</f>
        <v>소설1팀</v>
      </c>
      <c r="W3858" s="6">
        <f t="shared" si="120"/>
        <v>0</v>
      </c>
      <c r="X3858" s="6">
        <f t="shared" si="121"/>
        <v>0</v>
      </c>
    </row>
    <row r="3859" spans="1:24" x14ac:dyDescent="0.3">
      <c r="A3859" t="s">
        <v>5392</v>
      </c>
      <c r="B3859" t="s">
        <v>5465</v>
      </c>
      <c r="C3859" t="s">
        <v>23</v>
      </c>
      <c r="D3859" t="s">
        <v>24</v>
      </c>
      <c r="E3859" t="s">
        <v>25</v>
      </c>
      <c r="F3859">
        <v>1</v>
      </c>
      <c r="G3859">
        <v>9791136989543</v>
      </c>
      <c r="H3859" t="s">
        <v>79</v>
      </c>
      <c r="I3859" t="s">
        <v>5466</v>
      </c>
      <c r="J3859" t="s">
        <v>183</v>
      </c>
      <c r="K3859" t="s">
        <v>29</v>
      </c>
      <c r="L3859">
        <v>0</v>
      </c>
      <c r="M3859" t="s">
        <v>29</v>
      </c>
      <c r="N3859">
        <v>0</v>
      </c>
      <c r="O3859">
        <v>0</v>
      </c>
      <c r="P3859" t="s">
        <v>30</v>
      </c>
      <c r="Q3859" s="2">
        <v>0.7</v>
      </c>
      <c r="R3859">
        <v>0</v>
      </c>
      <c r="V3859" t="str">
        <f>VLOOKUP(H3859,'[1]팀별 출판사'!A:B,2,0)</f>
        <v>소설1팀</v>
      </c>
      <c r="W3859" s="6">
        <f t="shared" si="120"/>
        <v>0</v>
      </c>
      <c r="X3859" s="6">
        <f t="shared" si="121"/>
        <v>0</v>
      </c>
    </row>
    <row r="3860" spans="1:24" x14ac:dyDescent="0.3">
      <c r="A3860" t="s">
        <v>5392</v>
      </c>
      <c r="B3860" t="s">
        <v>5467</v>
      </c>
      <c r="C3860" t="s">
        <v>23</v>
      </c>
      <c r="D3860" t="s">
        <v>24</v>
      </c>
      <c r="E3860" t="s">
        <v>25</v>
      </c>
      <c r="F3860">
        <v>1</v>
      </c>
      <c r="G3860">
        <v>9791172921033</v>
      </c>
      <c r="H3860" t="s">
        <v>79</v>
      </c>
      <c r="I3860" t="s">
        <v>738</v>
      </c>
      <c r="J3860" t="s">
        <v>46</v>
      </c>
      <c r="K3860" t="s">
        <v>29</v>
      </c>
      <c r="L3860">
        <v>0</v>
      </c>
      <c r="M3860" t="s">
        <v>47</v>
      </c>
      <c r="N3860">
        <v>0</v>
      </c>
      <c r="O3860">
        <v>0</v>
      </c>
      <c r="P3860" t="s">
        <v>48</v>
      </c>
      <c r="Q3860" s="2">
        <v>0.7</v>
      </c>
      <c r="R3860">
        <v>0</v>
      </c>
      <c r="V3860" t="str">
        <f>VLOOKUP(H3860,'[1]팀별 출판사'!A:B,2,0)</f>
        <v>소설1팀</v>
      </c>
      <c r="W3860" s="6">
        <f t="shared" si="120"/>
        <v>0</v>
      </c>
      <c r="X3860" s="6">
        <f t="shared" si="121"/>
        <v>0</v>
      </c>
    </row>
    <row r="3861" spans="1:24" x14ac:dyDescent="0.3">
      <c r="A3861" t="s">
        <v>5392</v>
      </c>
      <c r="B3861" t="s">
        <v>5468</v>
      </c>
      <c r="C3861" t="s">
        <v>23</v>
      </c>
      <c r="D3861" t="s">
        <v>24</v>
      </c>
      <c r="E3861" t="s">
        <v>25</v>
      </c>
      <c r="F3861">
        <v>1</v>
      </c>
      <c r="G3861">
        <v>9791157532827</v>
      </c>
      <c r="H3861" t="s">
        <v>32</v>
      </c>
      <c r="I3861" t="s">
        <v>1024</v>
      </c>
      <c r="J3861" t="s">
        <v>187</v>
      </c>
      <c r="K3861" t="s">
        <v>29</v>
      </c>
      <c r="L3861">
        <v>0</v>
      </c>
      <c r="M3861" t="s">
        <v>29</v>
      </c>
      <c r="N3861">
        <v>0</v>
      </c>
      <c r="O3861">
        <v>0</v>
      </c>
      <c r="P3861" t="s">
        <v>30</v>
      </c>
      <c r="Q3861" s="2">
        <v>0.7</v>
      </c>
      <c r="R3861">
        <v>0</v>
      </c>
      <c r="V3861" t="str">
        <f>VLOOKUP(H3861,'[1]팀별 출판사'!A:B,2,0)</f>
        <v>소설1팀</v>
      </c>
      <c r="W3861" s="6">
        <f t="shared" si="120"/>
        <v>0</v>
      </c>
      <c r="X3861" s="6">
        <f t="shared" si="121"/>
        <v>0</v>
      </c>
    </row>
    <row r="3862" spans="1:24" x14ac:dyDescent="0.3">
      <c r="A3862" t="s">
        <v>5392</v>
      </c>
      <c r="B3862" t="s">
        <v>5469</v>
      </c>
      <c r="C3862" t="s">
        <v>23</v>
      </c>
      <c r="D3862" t="s">
        <v>24</v>
      </c>
      <c r="E3862" t="s">
        <v>25</v>
      </c>
      <c r="F3862">
        <v>1</v>
      </c>
      <c r="G3862">
        <v>9791136942906</v>
      </c>
      <c r="H3862" t="s">
        <v>26</v>
      </c>
      <c r="I3862" t="s">
        <v>2900</v>
      </c>
      <c r="J3862" t="s">
        <v>284</v>
      </c>
      <c r="K3862" t="s">
        <v>29</v>
      </c>
      <c r="L3862">
        <v>0</v>
      </c>
      <c r="M3862" t="s">
        <v>29</v>
      </c>
      <c r="N3862">
        <v>0</v>
      </c>
      <c r="O3862">
        <v>0</v>
      </c>
      <c r="P3862" t="s">
        <v>30</v>
      </c>
      <c r="Q3862" s="2">
        <v>0.7</v>
      </c>
      <c r="R3862">
        <v>0</v>
      </c>
      <c r="V3862" t="str">
        <f>VLOOKUP(H3862,'[1]팀별 출판사'!A:B,2,0)</f>
        <v>소설1팀</v>
      </c>
      <c r="W3862" s="6">
        <f t="shared" si="120"/>
        <v>0</v>
      </c>
      <c r="X3862" s="6">
        <f t="shared" si="121"/>
        <v>0</v>
      </c>
    </row>
    <row r="3863" spans="1:24" x14ac:dyDescent="0.3">
      <c r="A3863" t="s">
        <v>5392</v>
      </c>
      <c r="B3863" t="s">
        <v>5470</v>
      </c>
      <c r="C3863" t="s">
        <v>23</v>
      </c>
      <c r="D3863" t="s">
        <v>24</v>
      </c>
      <c r="E3863" t="s">
        <v>25</v>
      </c>
      <c r="F3863">
        <v>1</v>
      </c>
      <c r="G3863">
        <v>9791136934925</v>
      </c>
      <c r="H3863" t="s">
        <v>32</v>
      </c>
      <c r="I3863" t="s">
        <v>385</v>
      </c>
      <c r="J3863" t="s">
        <v>126</v>
      </c>
      <c r="K3863" t="s">
        <v>29</v>
      </c>
      <c r="L3863">
        <v>0</v>
      </c>
      <c r="M3863" t="s">
        <v>47</v>
      </c>
      <c r="N3863">
        <v>0</v>
      </c>
      <c r="O3863">
        <v>0</v>
      </c>
      <c r="P3863" t="s">
        <v>48</v>
      </c>
      <c r="Q3863" s="2">
        <v>0.7</v>
      </c>
      <c r="R3863">
        <v>0</v>
      </c>
      <c r="V3863" t="str">
        <f>VLOOKUP(H3863,'[1]팀별 출판사'!A:B,2,0)</f>
        <v>소설1팀</v>
      </c>
      <c r="W3863" s="6">
        <f t="shared" si="120"/>
        <v>0</v>
      </c>
      <c r="X3863" s="6">
        <f t="shared" si="121"/>
        <v>0</v>
      </c>
    </row>
    <row r="3864" spans="1:24" x14ac:dyDescent="0.3">
      <c r="A3864" t="s">
        <v>5392</v>
      </c>
      <c r="B3864" t="s">
        <v>5471</v>
      </c>
      <c r="C3864" t="s">
        <v>23</v>
      </c>
      <c r="D3864" t="s">
        <v>24</v>
      </c>
      <c r="E3864" t="s">
        <v>25</v>
      </c>
      <c r="F3864">
        <v>1</v>
      </c>
      <c r="G3864">
        <v>9791136930286</v>
      </c>
      <c r="H3864" t="s">
        <v>32</v>
      </c>
      <c r="I3864" t="s">
        <v>818</v>
      </c>
      <c r="J3864" t="s">
        <v>157</v>
      </c>
      <c r="K3864" t="s">
        <v>29</v>
      </c>
      <c r="L3864">
        <v>0</v>
      </c>
      <c r="M3864" t="s">
        <v>47</v>
      </c>
      <c r="N3864">
        <v>0</v>
      </c>
      <c r="O3864">
        <v>0</v>
      </c>
      <c r="P3864" t="s">
        <v>48</v>
      </c>
      <c r="Q3864" s="2">
        <v>0.7</v>
      </c>
      <c r="R3864">
        <v>0</v>
      </c>
      <c r="V3864" t="str">
        <f>VLOOKUP(H3864,'[1]팀별 출판사'!A:B,2,0)</f>
        <v>소설1팀</v>
      </c>
      <c r="W3864" s="6">
        <f t="shared" si="120"/>
        <v>0</v>
      </c>
      <c r="X3864" s="6">
        <f t="shared" si="121"/>
        <v>0</v>
      </c>
    </row>
    <row r="3865" spans="1:24" x14ac:dyDescent="0.3">
      <c r="A3865" t="s">
        <v>5392</v>
      </c>
      <c r="B3865" t="s">
        <v>5472</v>
      </c>
      <c r="C3865" t="s">
        <v>23</v>
      </c>
      <c r="D3865" t="s">
        <v>24</v>
      </c>
      <c r="E3865" t="s">
        <v>25</v>
      </c>
      <c r="F3865">
        <v>1</v>
      </c>
      <c r="G3865">
        <v>9791172926977</v>
      </c>
      <c r="H3865" t="s">
        <v>1311</v>
      </c>
      <c r="I3865" t="s">
        <v>2265</v>
      </c>
      <c r="J3865" t="s">
        <v>2266</v>
      </c>
      <c r="K3865" t="s">
        <v>29</v>
      </c>
      <c r="L3865" s="1">
        <v>3500</v>
      </c>
      <c r="M3865" t="s">
        <v>29</v>
      </c>
      <c r="N3865" s="1">
        <v>3500</v>
      </c>
      <c r="O3865" s="1">
        <v>3500</v>
      </c>
      <c r="P3865" t="s">
        <v>30</v>
      </c>
      <c r="Q3865" s="2">
        <v>0.7</v>
      </c>
      <c r="R3865" s="1">
        <v>2450</v>
      </c>
      <c r="S3865" t="s">
        <v>29</v>
      </c>
      <c r="T3865" s="1">
        <v>2450</v>
      </c>
      <c r="V3865" t="str">
        <f>VLOOKUP(H3865,'[1]팀별 출판사'!A:B,2,0)</f>
        <v>소설2팀</v>
      </c>
      <c r="W3865" s="6">
        <f t="shared" si="120"/>
        <v>0</v>
      </c>
      <c r="X3865" s="6">
        <f t="shared" si="121"/>
        <v>2450</v>
      </c>
    </row>
    <row r="3866" spans="1:24" x14ac:dyDescent="0.3">
      <c r="A3866" t="s">
        <v>5392</v>
      </c>
      <c r="B3866" t="s">
        <v>5473</v>
      </c>
      <c r="C3866" t="s">
        <v>23</v>
      </c>
      <c r="D3866" t="s">
        <v>24</v>
      </c>
      <c r="E3866" t="s">
        <v>25</v>
      </c>
      <c r="F3866">
        <v>1</v>
      </c>
      <c r="G3866">
        <v>9791136934925</v>
      </c>
      <c r="H3866" t="s">
        <v>32</v>
      </c>
      <c r="I3866" t="s">
        <v>385</v>
      </c>
      <c r="J3866" t="s">
        <v>126</v>
      </c>
      <c r="K3866" t="s">
        <v>29</v>
      </c>
      <c r="L3866">
        <v>0</v>
      </c>
      <c r="M3866" t="s">
        <v>152</v>
      </c>
      <c r="N3866">
        <v>0</v>
      </c>
      <c r="O3866">
        <v>0</v>
      </c>
      <c r="P3866" t="s">
        <v>153</v>
      </c>
      <c r="Q3866" s="2">
        <v>0.7</v>
      </c>
      <c r="R3866">
        <v>0</v>
      </c>
      <c r="V3866" t="str">
        <f>VLOOKUP(H3866,'[1]팀별 출판사'!A:B,2,0)</f>
        <v>소설1팀</v>
      </c>
      <c r="W3866" s="6">
        <f t="shared" si="120"/>
        <v>0</v>
      </c>
      <c r="X3866" s="6">
        <f t="shared" si="121"/>
        <v>0</v>
      </c>
    </row>
    <row r="3867" spans="1:24" x14ac:dyDescent="0.3">
      <c r="A3867" t="s">
        <v>5392</v>
      </c>
      <c r="B3867" t="s">
        <v>5474</v>
      </c>
      <c r="C3867" t="s">
        <v>23</v>
      </c>
      <c r="D3867" t="s">
        <v>24</v>
      </c>
      <c r="E3867" t="s">
        <v>25</v>
      </c>
      <c r="F3867">
        <v>1</v>
      </c>
      <c r="G3867">
        <v>9791136965455</v>
      </c>
      <c r="H3867" t="s">
        <v>26</v>
      </c>
      <c r="I3867" t="s">
        <v>472</v>
      </c>
      <c r="J3867" t="s">
        <v>157</v>
      </c>
      <c r="K3867" t="s">
        <v>29</v>
      </c>
      <c r="L3867">
        <v>0</v>
      </c>
      <c r="M3867" t="s">
        <v>127</v>
      </c>
      <c r="N3867">
        <v>0</v>
      </c>
      <c r="O3867">
        <v>0</v>
      </c>
      <c r="P3867" t="s">
        <v>128</v>
      </c>
      <c r="Q3867" s="2">
        <v>0.7</v>
      </c>
      <c r="R3867">
        <v>0</v>
      </c>
      <c r="V3867" t="str">
        <f>VLOOKUP(H3867,'[1]팀별 출판사'!A:B,2,0)</f>
        <v>소설1팀</v>
      </c>
      <c r="W3867" s="6">
        <f t="shared" si="120"/>
        <v>0</v>
      </c>
      <c r="X3867" s="6">
        <f t="shared" si="121"/>
        <v>0</v>
      </c>
    </row>
    <row r="3868" spans="1:24" x14ac:dyDescent="0.3">
      <c r="A3868" t="s">
        <v>5392</v>
      </c>
      <c r="B3868" t="s">
        <v>5475</v>
      </c>
      <c r="C3868" t="s">
        <v>23</v>
      </c>
      <c r="D3868" t="s">
        <v>24</v>
      </c>
      <c r="E3868" t="s">
        <v>25</v>
      </c>
      <c r="F3868">
        <v>1</v>
      </c>
      <c r="G3868">
        <v>9791136930224</v>
      </c>
      <c r="H3868" t="s">
        <v>32</v>
      </c>
      <c r="I3868" t="s">
        <v>172</v>
      </c>
      <c r="J3868" t="s">
        <v>46</v>
      </c>
      <c r="K3868" t="s">
        <v>29</v>
      </c>
      <c r="L3868">
        <v>0</v>
      </c>
      <c r="M3868" t="s">
        <v>47</v>
      </c>
      <c r="N3868">
        <v>0</v>
      </c>
      <c r="O3868">
        <v>0</v>
      </c>
      <c r="P3868" t="s">
        <v>48</v>
      </c>
      <c r="Q3868" s="2">
        <v>0.7</v>
      </c>
      <c r="R3868">
        <v>0</v>
      </c>
      <c r="V3868" t="str">
        <f>VLOOKUP(H3868,'[1]팀별 출판사'!A:B,2,0)</f>
        <v>소설1팀</v>
      </c>
      <c r="W3868" s="6">
        <f t="shared" si="120"/>
        <v>0</v>
      </c>
      <c r="X3868" s="6">
        <f t="shared" si="121"/>
        <v>0</v>
      </c>
    </row>
    <row r="3869" spans="1:24" x14ac:dyDescent="0.3">
      <c r="A3869" t="s">
        <v>5392</v>
      </c>
      <c r="B3869" t="s">
        <v>5476</v>
      </c>
      <c r="C3869" t="s">
        <v>23</v>
      </c>
      <c r="D3869" t="s">
        <v>24</v>
      </c>
      <c r="E3869" t="s">
        <v>25</v>
      </c>
      <c r="F3869">
        <v>1</v>
      </c>
      <c r="G3869">
        <v>9791136931375</v>
      </c>
      <c r="H3869" t="s">
        <v>32</v>
      </c>
      <c r="I3869" t="s">
        <v>189</v>
      </c>
      <c r="J3869" t="s">
        <v>46</v>
      </c>
      <c r="K3869" t="s">
        <v>29</v>
      </c>
      <c r="L3869">
        <v>0</v>
      </c>
      <c r="M3869" t="s">
        <v>152</v>
      </c>
      <c r="N3869">
        <v>0</v>
      </c>
      <c r="O3869">
        <v>0</v>
      </c>
      <c r="P3869" t="s">
        <v>153</v>
      </c>
      <c r="Q3869" s="2">
        <v>0.7</v>
      </c>
      <c r="R3869">
        <v>0</v>
      </c>
      <c r="V3869" t="str">
        <f>VLOOKUP(H3869,'[1]팀별 출판사'!A:B,2,0)</f>
        <v>소설1팀</v>
      </c>
      <c r="W3869" s="6">
        <f t="shared" si="120"/>
        <v>0</v>
      </c>
      <c r="X3869" s="6">
        <f t="shared" si="121"/>
        <v>0</v>
      </c>
    </row>
    <row r="3870" spans="1:24" x14ac:dyDescent="0.3">
      <c r="A3870" t="s">
        <v>5392</v>
      </c>
      <c r="B3870" t="s">
        <v>5477</v>
      </c>
      <c r="C3870" t="s">
        <v>23</v>
      </c>
      <c r="D3870" t="s">
        <v>24</v>
      </c>
      <c r="E3870" t="s">
        <v>25</v>
      </c>
      <c r="F3870">
        <v>1</v>
      </c>
      <c r="G3870">
        <v>9791157533411</v>
      </c>
      <c r="H3870" t="s">
        <v>32</v>
      </c>
      <c r="I3870" t="s">
        <v>5478</v>
      </c>
      <c r="J3870" t="s">
        <v>187</v>
      </c>
      <c r="K3870" t="s">
        <v>29</v>
      </c>
      <c r="L3870" s="1">
        <v>3200</v>
      </c>
      <c r="M3870" t="s">
        <v>29</v>
      </c>
      <c r="N3870" s="1">
        <v>3200</v>
      </c>
      <c r="O3870" s="1">
        <v>3200</v>
      </c>
      <c r="P3870" t="s">
        <v>30</v>
      </c>
      <c r="Q3870" s="2">
        <v>0.7</v>
      </c>
      <c r="R3870" s="1">
        <v>2240</v>
      </c>
      <c r="S3870" t="s">
        <v>29</v>
      </c>
      <c r="T3870" s="1">
        <v>2240</v>
      </c>
      <c r="V3870" t="str">
        <f>VLOOKUP(H3870,'[1]팀별 출판사'!A:B,2,0)</f>
        <v>소설1팀</v>
      </c>
      <c r="W3870" s="6">
        <f t="shared" si="120"/>
        <v>0</v>
      </c>
      <c r="X3870" s="6">
        <f t="shared" si="121"/>
        <v>2240</v>
      </c>
    </row>
    <row r="3871" spans="1:24" x14ac:dyDescent="0.3">
      <c r="A3871" t="s">
        <v>5392</v>
      </c>
      <c r="B3871" t="s">
        <v>5479</v>
      </c>
      <c r="C3871" t="s">
        <v>23</v>
      </c>
      <c r="D3871" t="s">
        <v>24</v>
      </c>
      <c r="E3871" t="s">
        <v>25</v>
      </c>
      <c r="F3871">
        <v>1</v>
      </c>
      <c r="G3871">
        <v>9791136931375</v>
      </c>
      <c r="H3871" t="s">
        <v>32</v>
      </c>
      <c r="I3871" t="s">
        <v>189</v>
      </c>
      <c r="J3871" t="s">
        <v>46</v>
      </c>
      <c r="K3871" t="s">
        <v>29</v>
      </c>
      <c r="L3871">
        <v>0</v>
      </c>
      <c r="M3871" t="s">
        <v>152</v>
      </c>
      <c r="N3871">
        <v>0</v>
      </c>
      <c r="O3871">
        <v>0</v>
      </c>
      <c r="P3871" t="s">
        <v>153</v>
      </c>
      <c r="Q3871" s="2">
        <v>0.7</v>
      </c>
      <c r="R3871">
        <v>0</v>
      </c>
      <c r="V3871" t="str">
        <f>VLOOKUP(H3871,'[1]팀별 출판사'!A:B,2,0)</f>
        <v>소설1팀</v>
      </c>
      <c r="W3871" s="6">
        <f t="shared" si="120"/>
        <v>0</v>
      </c>
      <c r="X3871" s="6">
        <f t="shared" si="121"/>
        <v>0</v>
      </c>
    </row>
    <row r="3872" spans="1:24" x14ac:dyDescent="0.3">
      <c r="A3872" t="s">
        <v>5392</v>
      </c>
      <c r="B3872" t="s">
        <v>5480</v>
      </c>
      <c r="C3872" t="s">
        <v>23</v>
      </c>
      <c r="D3872" t="s">
        <v>24</v>
      </c>
      <c r="E3872" t="s">
        <v>25</v>
      </c>
      <c r="F3872">
        <v>1</v>
      </c>
      <c r="G3872">
        <v>9791133101795</v>
      </c>
      <c r="H3872" t="s">
        <v>32</v>
      </c>
      <c r="I3872" t="s">
        <v>566</v>
      </c>
      <c r="J3872" t="s">
        <v>160</v>
      </c>
      <c r="K3872" t="s">
        <v>29</v>
      </c>
      <c r="L3872">
        <v>0</v>
      </c>
      <c r="M3872" t="s">
        <v>29</v>
      </c>
      <c r="N3872">
        <v>0</v>
      </c>
      <c r="O3872">
        <v>0</v>
      </c>
      <c r="P3872" t="s">
        <v>30</v>
      </c>
      <c r="Q3872" s="2">
        <v>0.7</v>
      </c>
      <c r="R3872">
        <v>0</v>
      </c>
      <c r="V3872" t="str">
        <f>VLOOKUP(H3872,'[1]팀별 출판사'!A:B,2,0)</f>
        <v>소설1팀</v>
      </c>
      <c r="W3872" s="6">
        <f t="shared" si="120"/>
        <v>0</v>
      </c>
      <c r="X3872" s="6">
        <f t="shared" si="121"/>
        <v>0</v>
      </c>
    </row>
    <row r="3873" spans="1:24" x14ac:dyDescent="0.3">
      <c r="A3873" t="s">
        <v>5392</v>
      </c>
      <c r="B3873" t="s">
        <v>5481</v>
      </c>
      <c r="C3873" t="s">
        <v>23</v>
      </c>
      <c r="D3873" t="s">
        <v>24</v>
      </c>
      <c r="E3873" t="s">
        <v>25</v>
      </c>
      <c r="F3873">
        <v>1</v>
      </c>
      <c r="G3873">
        <v>9791136988133</v>
      </c>
      <c r="H3873" t="s">
        <v>26</v>
      </c>
      <c r="I3873" t="s">
        <v>614</v>
      </c>
      <c r="J3873" t="s">
        <v>28</v>
      </c>
      <c r="K3873" t="s">
        <v>29</v>
      </c>
      <c r="L3873">
        <v>0</v>
      </c>
      <c r="M3873" t="s">
        <v>29</v>
      </c>
      <c r="N3873">
        <v>0</v>
      </c>
      <c r="O3873">
        <v>0</v>
      </c>
      <c r="P3873" t="s">
        <v>30</v>
      </c>
      <c r="Q3873" s="2">
        <v>0.7</v>
      </c>
      <c r="R3873">
        <v>0</v>
      </c>
      <c r="V3873" t="str">
        <f>VLOOKUP(H3873,'[1]팀별 출판사'!A:B,2,0)</f>
        <v>소설1팀</v>
      </c>
      <c r="W3873" s="6">
        <f t="shared" si="120"/>
        <v>0</v>
      </c>
      <c r="X3873" s="6">
        <f t="shared" si="121"/>
        <v>0</v>
      </c>
    </row>
    <row r="3874" spans="1:24" x14ac:dyDescent="0.3">
      <c r="A3874" t="s">
        <v>5392</v>
      </c>
      <c r="B3874" t="s">
        <v>5482</v>
      </c>
      <c r="C3874" t="s">
        <v>23</v>
      </c>
      <c r="D3874" t="s">
        <v>24</v>
      </c>
      <c r="E3874" t="s">
        <v>25</v>
      </c>
      <c r="F3874">
        <v>1</v>
      </c>
      <c r="G3874">
        <v>9791136934994</v>
      </c>
      <c r="H3874" t="s">
        <v>32</v>
      </c>
      <c r="I3874" t="s">
        <v>5483</v>
      </c>
      <c r="J3874" t="s">
        <v>126</v>
      </c>
      <c r="K3874" t="s">
        <v>29</v>
      </c>
      <c r="L3874" s="1">
        <v>3200</v>
      </c>
      <c r="M3874" t="s">
        <v>29</v>
      </c>
      <c r="N3874" s="1">
        <v>3200</v>
      </c>
      <c r="O3874" s="1">
        <v>3200</v>
      </c>
      <c r="P3874" t="s">
        <v>30</v>
      </c>
      <c r="Q3874" s="2">
        <v>0.7</v>
      </c>
      <c r="R3874" s="1">
        <v>2240</v>
      </c>
      <c r="S3874" t="s">
        <v>29</v>
      </c>
      <c r="T3874" s="1">
        <v>2240</v>
      </c>
      <c r="V3874" t="str">
        <f>VLOOKUP(H3874,'[1]팀별 출판사'!A:B,2,0)</f>
        <v>소설1팀</v>
      </c>
      <c r="W3874" s="6">
        <f t="shared" si="120"/>
        <v>0</v>
      </c>
      <c r="X3874" s="6">
        <f t="shared" si="121"/>
        <v>2240</v>
      </c>
    </row>
    <row r="3875" spans="1:24" x14ac:dyDescent="0.3">
      <c r="A3875" t="s">
        <v>5392</v>
      </c>
      <c r="B3875" t="s">
        <v>5484</v>
      </c>
      <c r="C3875" t="s">
        <v>23</v>
      </c>
      <c r="D3875" t="s">
        <v>24</v>
      </c>
      <c r="E3875" t="s">
        <v>25</v>
      </c>
      <c r="F3875">
        <v>1</v>
      </c>
      <c r="G3875">
        <v>9791170106715</v>
      </c>
      <c r="H3875" t="s">
        <v>67</v>
      </c>
      <c r="I3875" t="s">
        <v>68</v>
      </c>
      <c r="J3875" t="s">
        <v>69</v>
      </c>
      <c r="K3875" t="s">
        <v>29</v>
      </c>
      <c r="L3875">
        <v>0</v>
      </c>
      <c r="M3875" t="s">
        <v>193</v>
      </c>
      <c r="N3875">
        <v>0</v>
      </c>
      <c r="O3875">
        <v>0</v>
      </c>
      <c r="P3875" t="s">
        <v>194</v>
      </c>
      <c r="Q3875" s="2">
        <v>0.7</v>
      </c>
      <c r="R3875">
        <v>0</v>
      </c>
      <c r="V3875" t="str">
        <f>VLOOKUP(H3875,'[1]팀별 출판사'!A:B,2,0)</f>
        <v>소설1팀</v>
      </c>
      <c r="W3875" s="6">
        <f t="shared" si="120"/>
        <v>0</v>
      </c>
      <c r="X3875" s="6">
        <f t="shared" si="121"/>
        <v>0</v>
      </c>
    </row>
    <row r="3876" spans="1:24" x14ac:dyDescent="0.3">
      <c r="A3876" t="s">
        <v>5392</v>
      </c>
      <c r="B3876" t="s">
        <v>5485</v>
      </c>
      <c r="C3876" t="s">
        <v>23</v>
      </c>
      <c r="D3876" t="s">
        <v>24</v>
      </c>
      <c r="E3876" t="s">
        <v>25</v>
      </c>
      <c r="F3876">
        <v>1</v>
      </c>
      <c r="G3876">
        <v>9791136931399</v>
      </c>
      <c r="H3876" t="s">
        <v>32</v>
      </c>
      <c r="I3876" t="s">
        <v>482</v>
      </c>
      <c r="J3876" t="s">
        <v>46</v>
      </c>
      <c r="K3876" t="s">
        <v>29</v>
      </c>
      <c r="L3876">
        <v>0</v>
      </c>
      <c r="M3876" t="s">
        <v>152</v>
      </c>
      <c r="N3876">
        <v>0</v>
      </c>
      <c r="O3876">
        <v>0</v>
      </c>
      <c r="P3876" t="s">
        <v>153</v>
      </c>
      <c r="Q3876" s="2">
        <v>0.7</v>
      </c>
      <c r="R3876">
        <v>0</v>
      </c>
      <c r="V3876" t="str">
        <f>VLOOKUP(H3876,'[1]팀별 출판사'!A:B,2,0)</f>
        <v>소설1팀</v>
      </c>
      <c r="W3876" s="6">
        <f t="shared" si="120"/>
        <v>0</v>
      </c>
      <c r="X3876" s="6">
        <f t="shared" si="121"/>
        <v>0</v>
      </c>
    </row>
    <row r="3877" spans="1:24" x14ac:dyDescent="0.3">
      <c r="A3877" t="s">
        <v>5392</v>
      </c>
      <c r="B3877" t="s">
        <v>5486</v>
      </c>
      <c r="C3877" t="s">
        <v>23</v>
      </c>
      <c r="D3877" t="s">
        <v>24</v>
      </c>
      <c r="E3877" t="s">
        <v>25</v>
      </c>
      <c r="F3877">
        <v>1</v>
      </c>
      <c r="G3877">
        <v>9791136988133</v>
      </c>
      <c r="H3877" t="s">
        <v>26</v>
      </c>
      <c r="I3877" t="s">
        <v>614</v>
      </c>
      <c r="J3877" t="s">
        <v>28</v>
      </c>
      <c r="K3877" t="s">
        <v>29</v>
      </c>
      <c r="L3877">
        <v>0</v>
      </c>
      <c r="M3877" t="s">
        <v>29</v>
      </c>
      <c r="N3877">
        <v>0</v>
      </c>
      <c r="O3877">
        <v>0</v>
      </c>
      <c r="P3877" t="s">
        <v>30</v>
      </c>
      <c r="Q3877" s="2">
        <v>0.7</v>
      </c>
      <c r="R3877">
        <v>0</v>
      </c>
      <c r="V3877" t="str">
        <f>VLOOKUP(H3877,'[1]팀별 출판사'!A:B,2,0)</f>
        <v>소설1팀</v>
      </c>
      <c r="W3877" s="6">
        <f t="shared" si="120"/>
        <v>0</v>
      </c>
      <c r="X3877" s="6">
        <f t="shared" si="121"/>
        <v>0</v>
      </c>
    </row>
    <row r="3878" spans="1:24" x14ac:dyDescent="0.3">
      <c r="A3878" t="s">
        <v>5392</v>
      </c>
      <c r="B3878" t="s">
        <v>5487</v>
      </c>
      <c r="C3878" t="s">
        <v>23</v>
      </c>
      <c r="D3878" t="s">
        <v>24</v>
      </c>
      <c r="E3878" t="s">
        <v>25</v>
      </c>
      <c r="F3878">
        <v>1</v>
      </c>
      <c r="G3878">
        <v>9791170104643</v>
      </c>
      <c r="H3878" t="s">
        <v>67</v>
      </c>
      <c r="I3878" t="s">
        <v>407</v>
      </c>
      <c r="J3878" t="s">
        <v>408</v>
      </c>
      <c r="K3878" t="s">
        <v>29</v>
      </c>
      <c r="L3878">
        <v>0</v>
      </c>
      <c r="M3878" t="s">
        <v>29</v>
      </c>
      <c r="N3878">
        <v>0</v>
      </c>
      <c r="O3878">
        <v>0</v>
      </c>
      <c r="P3878" t="s">
        <v>30</v>
      </c>
      <c r="Q3878" s="2">
        <v>0.7</v>
      </c>
      <c r="R3878">
        <v>0</v>
      </c>
      <c r="V3878" t="str">
        <f>VLOOKUP(H3878,'[1]팀별 출판사'!A:B,2,0)</f>
        <v>소설1팀</v>
      </c>
      <c r="W3878" s="6">
        <f t="shared" si="120"/>
        <v>0</v>
      </c>
      <c r="X3878" s="6">
        <f t="shared" si="121"/>
        <v>0</v>
      </c>
    </row>
    <row r="3879" spans="1:24" x14ac:dyDescent="0.3">
      <c r="A3879" t="s">
        <v>5392</v>
      </c>
      <c r="B3879" t="s">
        <v>5488</v>
      </c>
      <c r="C3879" t="s">
        <v>23</v>
      </c>
      <c r="D3879" t="s">
        <v>24</v>
      </c>
      <c r="E3879" t="s">
        <v>25</v>
      </c>
      <c r="F3879">
        <v>1</v>
      </c>
      <c r="G3879">
        <v>9791136988164</v>
      </c>
      <c r="H3879" t="s">
        <v>26</v>
      </c>
      <c r="I3879" t="s">
        <v>2110</v>
      </c>
      <c r="J3879" t="s">
        <v>28</v>
      </c>
      <c r="K3879" t="s">
        <v>29</v>
      </c>
      <c r="L3879" s="1">
        <v>3200</v>
      </c>
      <c r="M3879" t="s">
        <v>29</v>
      </c>
      <c r="N3879" s="1">
        <v>3200</v>
      </c>
      <c r="O3879" s="1">
        <v>3200</v>
      </c>
      <c r="P3879" t="s">
        <v>30</v>
      </c>
      <c r="Q3879" s="2">
        <v>0.7</v>
      </c>
      <c r="R3879" s="1">
        <v>2240</v>
      </c>
      <c r="S3879" t="s">
        <v>29</v>
      </c>
      <c r="T3879" s="1">
        <v>2240</v>
      </c>
      <c r="V3879" t="str">
        <f>VLOOKUP(H3879,'[1]팀별 출판사'!A:B,2,0)</f>
        <v>소설1팀</v>
      </c>
      <c r="W3879" s="6">
        <f t="shared" si="120"/>
        <v>0</v>
      </c>
      <c r="X3879" s="6">
        <f t="shared" si="121"/>
        <v>2240</v>
      </c>
    </row>
    <row r="3880" spans="1:24" x14ac:dyDescent="0.3">
      <c r="A3880" t="s">
        <v>5392</v>
      </c>
      <c r="B3880" t="s">
        <v>5489</v>
      </c>
      <c r="C3880" t="s">
        <v>23</v>
      </c>
      <c r="D3880" t="s">
        <v>24</v>
      </c>
      <c r="E3880" t="s">
        <v>25</v>
      </c>
      <c r="F3880">
        <v>1</v>
      </c>
      <c r="G3880">
        <v>9791133105441</v>
      </c>
      <c r="H3880" t="s">
        <v>32</v>
      </c>
      <c r="I3880" t="s">
        <v>116</v>
      </c>
      <c r="J3880" t="s">
        <v>88</v>
      </c>
      <c r="K3880" t="s">
        <v>29</v>
      </c>
      <c r="L3880">
        <v>0</v>
      </c>
      <c r="M3880" t="s">
        <v>29</v>
      </c>
      <c r="N3880">
        <v>0</v>
      </c>
      <c r="O3880">
        <v>0</v>
      </c>
      <c r="P3880" t="s">
        <v>30</v>
      </c>
      <c r="Q3880" s="2">
        <v>0.7</v>
      </c>
      <c r="R3880">
        <v>0</v>
      </c>
      <c r="V3880" t="str">
        <f>VLOOKUP(H3880,'[1]팀별 출판사'!A:B,2,0)</f>
        <v>소설1팀</v>
      </c>
      <c r="W3880" s="6">
        <f t="shared" si="120"/>
        <v>0</v>
      </c>
      <c r="X3880" s="6">
        <f t="shared" si="121"/>
        <v>0</v>
      </c>
    </row>
    <row r="3881" spans="1:24" x14ac:dyDescent="0.3">
      <c r="A3881" t="s">
        <v>5392</v>
      </c>
      <c r="B3881" t="s">
        <v>5490</v>
      </c>
      <c r="C3881" t="s">
        <v>23</v>
      </c>
      <c r="D3881" t="s">
        <v>24</v>
      </c>
      <c r="E3881" t="s">
        <v>25</v>
      </c>
      <c r="F3881">
        <v>1</v>
      </c>
      <c r="G3881">
        <v>9791133186501</v>
      </c>
      <c r="H3881" t="s">
        <v>26</v>
      </c>
      <c r="I3881" t="s">
        <v>64</v>
      </c>
      <c r="J3881" t="s">
        <v>65</v>
      </c>
      <c r="K3881" t="s">
        <v>29</v>
      </c>
      <c r="L3881">
        <v>0</v>
      </c>
      <c r="M3881" t="s">
        <v>29</v>
      </c>
      <c r="N3881">
        <v>0</v>
      </c>
      <c r="O3881">
        <v>0</v>
      </c>
      <c r="P3881" t="s">
        <v>30</v>
      </c>
      <c r="Q3881" s="2">
        <v>0.7</v>
      </c>
      <c r="R3881">
        <v>0</v>
      </c>
      <c r="V3881" t="str">
        <f>VLOOKUP(H3881,'[1]팀별 출판사'!A:B,2,0)</f>
        <v>소설1팀</v>
      </c>
      <c r="W3881" s="6">
        <f t="shared" si="120"/>
        <v>0</v>
      </c>
      <c r="X3881" s="6">
        <f t="shared" si="121"/>
        <v>0</v>
      </c>
    </row>
    <row r="3882" spans="1:24" x14ac:dyDescent="0.3">
      <c r="A3882" t="s">
        <v>5392</v>
      </c>
      <c r="B3882" t="s">
        <v>5491</v>
      </c>
      <c r="C3882" t="s">
        <v>23</v>
      </c>
      <c r="D3882" t="s">
        <v>24</v>
      </c>
      <c r="E3882" t="s">
        <v>25</v>
      </c>
      <c r="F3882">
        <v>1</v>
      </c>
      <c r="G3882">
        <v>9791136921758</v>
      </c>
      <c r="H3882" t="s">
        <v>26</v>
      </c>
      <c r="I3882" t="s">
        <v>875</v>
      </c>
      <c r="J3882" t="s">
        <v>876</v>
      </c>
      <c r="K3882" t="s">
        <v>29</v>
      </c>
      <c r="L3882">
        <v>0</v>
      </c>
      <c r="M3882" t="s">
        <v>29</v>
      </c>
      <c r="N3882">
        <v>0</v>
      </c>
      <c r="O3882">
        <v>0</v>
      </c>
      <c r="P3882" t="s">
        <v>30</v>
      </c>
      <c r="Q3882" s="2">
        <v>0.7</v>
      </c>
      <c r="R3882">
        <v>0</v>
      </c>
      <c r="V3882" t="str">
        <f>VLOOKUP(H3882,'[1]팀별 출판사'!A:B,2,0)</f>
        <v>소설1팀</v>
      </c>
      <c r="W3882" s="6">
        <f t="shared" si="120"/>
        <v>0</v>
      </c>
      <c r="X3882" s="6">
        <f t="shared" si="121"/>
        <v>0</v>
      </c>
    </row>
    <row r="3883" spans="1:24" x14ac:dyDescent="0.3">
      <c r="A3883" t="s">
        <v>5392</v>
      </c>
      <c r="B3883" t="s">
        <v>5492</v>
      </c>
      <c r="C3883" t="s">
        <v>23</v>
      </c>
      <c r="D3883" t="s">
        <v>24</v>
      </c>
      <c r="E3883" t="s">
        <v>25</v>
      </c>
      <c r="F3883">
        <v>1</v>
      </c>
      <c r="G3883">
        <v>9791136958662</v>
      </c>
      <c r="H3883" t="s">
        <v>79</v>
      </c>
      <c r="I3883" t="s">
        <v>396</v>
      </c>
      <c r="J3883" t="s">
        <v>81</v>
      </c>
      <c r="K3883" t="s">
        <v>29</v>
      </c>
      <c r="L3883">
        <v>0</v>
      </c>
      <c r="M3883" t="s">
        <v>29</v>
      </c>
      <c r="N3883">
        <v>0</v>
      </c>
      <c r="O3883">
        <v>0</v>
      </c>
      <c r="P3883" t="s">
        <v>30</v>
      </c>
      <c r="Q3883" s="2">
        <v>0.7</v>
      </c>
      <c r="R3883">
        <v>0</v>
      </c>
      <c r="V3883" t="str">
        <f>VLOOKUP(H3883,'[1]팀별 출판사'!A:B,2,0)</f>
        <v>소설1팀</v>
      </c>
      <c r="W3883" s="6">
        <f t="shared" si="120"/>
        <v>0</v>
      </c>
      <c r="X3883" s="6">
        <f t="shared" si="121"/>
        <v>0</v>
      </c>
    </row>
    <row r="3884" spans="1:24" x14ac:dyDescent="0.3">
      <c r="A3884" t="s">
        <v>5392</v>
      </c>
      <c r="B3884" t="s">
        <v>5493</v>
      </c>
      <c r="C3884" t="s">
        <v>23</v>
      </c>
      <c r="D3884" t="s">
        <v>24</v>
      </c>
      <c r="E3884" t="s">
        <v>25</v>
      </c>
      <c r="F3884">
        <v>1</v>
      </c>
      <c r="G3884">
        <v>9791133186570</v>
      </c>
      <c r="H3884" t="s">
        <v>32</v>
      </c>
      <c r="I3884" t="s">
        <v>4256</v>
      </c>
      <c r="J3884" t="s">
        <v>166</v>
      </c>
      <c r="K3884" t="s">
        <v>29</v>
      </c>
      <c r="L3884">
        <v>0</v>
      </c>
      <c r="M3884" t="s">
        <v>886</v>
      </c>
      <c r="N3884">
        <v>0</v>
      </c>
      <c r="O3884">
        <v>0</v>
      </c>
      <c r="P3884" t="s">
        <v>887</v>
      </c>
      <c r="Q3884" s="2">
        <v>0.7</v>
      </c>
      <c r="R3884">
        <v>0</v>
      </c>
      <c r="V3884" t="str">
        <f>VLOOKUP(H3884,'[1]팀별 출판사'!A:B,2,0)</f>
        <v>소설1팀</v>
      </c>
      <c r="W3884" s="6">
        <f t="shared" si="120"/>
        <v>0</v>
      </c>
      <c r="X3884" s="6">
        <f t="shared" si="121"/>
        <v>0</v>
      </c>
    </row>
    <row r="3885" spans="1:24" x14ac:dyDescent="0.3">
      <c r="A3885" t="s">
        <v>5392</v>
      </c>
      <c r="B3885" t="s">
        <v>5494</v>
      </c>
      <c r="C3885" t="s">
        <v>23</v>
      </c>
      <c r="D3885" t="s">
        <v>24</v>
      </c>
      <c r="E3885" t="s">
        <v>25</v>
      </c>
      <c r="F3885">
        <v>1</v>
      </c>
      <c r="G3885">
        <v>9791133184941</v>
      </c>
      <c r="H3885" t="s">
        <v>32</v>
      </c>
      <c r="I3885" t="s">
        <v>1088</v>
      </c>
      <c r="J3885" t="s">
        <v>166</v>
      </c>
      <c r="K3885" t="s">
        <v>29</v>
      </c>
      <c r="L3885">
        <v>0</v>
      </c>
      <c r="M3885" t="s">
        <v>886</v>
      </c>
      <c r="N3885">
        <v>0</v>
      </c>
      <c r="O3885">
        <v>0</v>
      </c>
      <c r="P3885" t="s">
        <v>887</v>
      </c>
      <c r="Q3885" s="2">
        <v>0.7</v>
      </c>
      <c r="R3885">
        <v>0</v>
      </c>
      <c r="V3885" t="str">
        <f>VLOOKUP(H3885,'[1]팀별 출판사'!A:B,2,0)</f>
        <v>소설1팀</v>
      </c>
      <c r="W3885" s="6">
        <f t="shared" si="120"/>
        <v>0</v>
      </c>
      <c r="X3885" s="6">
        <f t="shared" si="121"/>
        <v>0</v>
      </c>
    </row>
    <row r="3886" spans="1:24" x14ac:dyDescent="0.3">
      <c r="A3886" t="s">
        <v>5392</v>
      </c>
      <c r="B3886" t="s">
        <v>5495</v>
      </c>
      <c r="C3886" t="s">
        <v>23</v>
      </c>
      <c r="D3886" t="s">
        <v>24</v>
      </c>
      <c r="E3886" t="s">
        <v>25</v>
      </c>
      <c r="F3886">
        <v>1</v>
      </c>
      <c r="G3886">
        <v>9791136906380</v>
      </c>
      <c r="H3886" t="s">
        <v>26</v>
      </c>
      <c r="I3886" t="s">
        <v>5496</v>
      </c>
      <c r="J3886" t="s">
        <v>459</v>
      </c>
      <c r="K3886" t="s">
        <v>29</v>
      </c>
      <c r="L3886" s="1">
        <v>3200</v>
      </c>
      <c r="M3886" t="s">
        <v>29</v>
      </c>
      <c r="N3886" s="1">
        <v>3200</v>
      </c>
      <c r="O3886" s="1">
        <v>3200</v>
      </c>
      <c r="P3886" t="s">
        <v>30</v>
      </c>
      <c r="Q3886" s="2">
        <v>0.7</v>
      </c>
      <c r="R3886" s="1">
        <v>2240</v>
      </c>
      <c r="S3886" t="s">
        <v>29</v>
      </c>
      <c r="T3886" s="1">
        <v>2240</v>
      </c>
      <c r="V3886" t="str">
        <f>VLOOKUP(H3886,'[1]팀별 출판사'!A:B,2,0)</f>
        <v>소설1팀</v>
      </c>
      <c r="W3886" s="6">
        <f t="shared" si="120"/>
        <v>0</v>
      </c>
      <c r="X3886" s="6">
        <f t="shared" si="121"/>
        <v>2240</v>
      </c>
    </row>
    <row r="3887" spans="1:24" x14ac:dyDescent="0.3">
      <c r="A3887" t="s">
        <v>5392</v>
      </c>
      <c r="B3887" t="s">
        <v>5497</v>
      </c>
      <c r="C3887" t="s">
        <v>23</v>
      </c>
      <c r="D3887" t="s">
        <v>24</v>
      </c>
      <c r="E3887" t="s">
        <v>25</v>
      </c>
      <c r="F3887">
        <v>1</v>
      </c>
      <c r="G3887">
        <v>9791136905642</v>
      </c>
      <c r="H3887" t="s">
        <v>26</v>
      </c>
      <c r="I3887" t="s">
        <v>374</v>
      </c>
      <c r="J3887" t="s">
        <v>311</v>
      </c>
      <c r="K3887" t="s">
        <v>29</v>
      </c>
      <c r="L3887">
        <v>0</v>
      </c>
      <c r="M3887" t="s">
        <v>29</v>
      </c>
      <c r="N3887">
        <v>0</v>
      </c>
      <c r="O3887">
        <v>0</v>
      </c>
      <c r="P3887" t="s">
        <v>30</v>
      </c>
      <c r="Q3887" s="2">
        <v>0.7</v>
      </c>
      <c r="R3887">
        <v>0</v>
      </c>
      <c r="V3887" t="str">
        <f>VLOOKUP(H3887,'[1]팀별 출판사'!A:B,2,0)</f>
        <v>소설1팀</v>
      </c>
      <c r="W3887" s="6">
        <f t="shared" si="120"/>
        <v>0</v>
      </c>
      <c r="X3887" s="6">
        <f t="shared" si="121"/>
        <v>0</v>
      </c>
    </row>
    <row r="3888" spans="1:24" x14ac:dyDescent="0.3">
      <c r="A3888" t="s">
        <v>5392</v>
      </c>
      <c r="B3888" t="s">
        <v>5498</v>
      </c>
      <c r="C3888" t="s">
        <v>23</v>
      </c>
      <c r="D3888" t="s">
        <v>24</v>
      </c>
      <c r="E3888" t="s">
        <v>25</v>
      </c>
      <c r="F3888">
        <v>1</v>
      </c>
      <c r="G3888">
        <v>9791170106401</v>
      </c>
      <c r="H3888" t="s">
        <v>67</v>
      </c>
      <c r="I3888" t="s">
        <v>4066</v>
      </c>
      <c r="J3888" t="s">
        <v>69</v>
      </c>
      <c r="K3888" t="s">
        <v>29</v>
      </c>
      <c r="L3888">
        <v>0</v>
      </c>
      <c r="M3888" t="s">
        <v>2255</v>
      </c>
      <c r="N3888">
        <v>0</v>
      </c>
      <c r="O3888">
        <v>0</v>
      </c>
      <c r="P3888" t="s">
        <v>2256</v>
      </c>
      <c r="Q3888" s="2">
        <v>0.7</v>
      </c>
      <c r="R3888">
        <v>0</v>
      </c>
      <c r="V3888" t="str">
        <f>VLOOKUP(H3888,'[1]팀별 출판사'!A:B,2,0)</f>
        <v>소설1팀</v>
      </c>
      <c r="W3888" s="6">
        <f t="shared" si="120"/>
        <v>0</v>
      </c>
      <c r="X3888" s="6">
        <f t="shared" si="121"/>
        <v>0</v>
      </c>
    </row>
    <row r="3889" spans="1:24" x14ac:dyDescent="0.3">
      <c r="A3889" t="s">
        <v>5392</v>
      </c>
      <c r="B3889" t="s">
        <v>5499</v>
      </c>
      <c r="C3889" t="s">
        <v>23</v>
      </c>
      <c r="D3889" t="s">
        <v>24</v>
      </c>
      <c r="E3889" t="s">
        <v>25</v>
      </c>
      <c r="F3889">
        <v>1</v>
      </c>
      <c r="G3889">
        <v>9791136930361</v>
      </c>
      <c r="H3889" t="s">
        <v>32</v>
      </c>
      <c r="I3889" t="s">
        <v>33</v>
      </c>
      <c r="J3889" t="s">
        <v>34</v>
      </c>
      <c r="K3889" t="s">
        <v>29</v>
      </c>
      <c r="L3889">
        <v>0</v>
      </c>
      <c r="M3889" t="s">
        <v>29</v>
      </c>
      <c r="N3889">
        <v>0</v>
      </c>
      <c r="O3889">
        <v>0</v>
      </c>
      <c r="P3889" t="s">
        <v>30</v>
      </c>
      <c r="Q3889" s="2">
        <v>0.7</v>
      </c>
      <c r="R3889">
        <v>0</v>
      </c>
      <c r="V3889" t="str">
        <f>VLOOKUP(H3889,'[1]팀별 출판사'!A:B,2,0)</f>
        <v>소설1팀</v>
      </c>
      <c r="W3889" s="6">
        <f t="shared" si="120"/>
        <v>0</v>
      </c>
      <c r="X3889" s="6">
        <f t="shared" si="121"/>
        <v>0</v>
      </c>
    </row>
    <row r="3890" spans="1:24" x14ac:dyDescent="0.3">
      <c r="A3890" t="s">
        <v>5392</v>
      </c>
      <c r="B3890" t="s">
        <v>5500</v>
      </c>
      <c r="C3890" t="s">
        <v>23</v>
      </c>
      <c r="D3890" t="s">
        <v>24</v>
      </c>
      <c r="E3890" t="s">
        <v>25</v>
      </c>
      <c r="F3890">
        <v>1</v>
      </c>
      <c r="G3890" t="s">
        <v>2336</v>
      </c>
      <c r="H3890" t="s">
        <v>32</v>
      </c>
      <c r="I3890" t="s">
        <v>2337</v>
      </c>
      <c r="J3890" t="s">
        <v>88</v>
      </c>
      <c r="K3890" t="s">
        <v>29</v>
      </c>
      <c r="L3890">
        <v>0</v>
      </c>
      <c r="M3890" t="s">
        <v>70</v>
      </c>
      <c r="N3890">
        <v>0</v>
      </c>
      <c r="O3890">
        <v>0</v>
      </c>
      <c r="P3890" t="s">
        <v>426</v>
      </c>
      <c r="Q3890" s="2">
        <v>0.7</v>
      </c>
      <c r="R3890">
        <v>0</v>
      </c>
      <c r="V3890" t="str">
        <f>VLOOKUP(H3890,'[1]팀별 출판사'!A:B,2,0)</f>
        <v>소설1팀</v>
      </c>
      <c r="W3890" s="6">
        <f t="shared" si="120"/>
        <v>0</v>
      </c>
      <c r="X3890" s="6">
        <f t="shared" si="121"/>
        <v>0</v>
      </c>
    </row>
    <row r="3891" spans="1:24" x14ac:dyDescent="0.3">
      <c r="A3891" t="s">
        <v>5392</v>
      </c>
      <c r="B3891" t="s">
        <v>5501</v>
      </c>
      <c r="C3891" t="s">
        <v>23</v>
      </c>
      <c r="D3891" t="s">
        <v>24</v>
      </c>
      <c r="E3891" t="s">
        <v>25</v>
      </c>
      <c r="F3891">
        <v>1</v>
      </c>
      <c r="G3891">
        <v>9791136930880</v>
      </c>
      <c r="H3891" t="s">
        <v>32</v>
      </c>
      <c r="I3891" t="s">
        <v>59</v>
      </c>
      <c r="J3891" t="s">
        <v>34</v>
      </c>
      <c r="K3891" t="s">
        <v>29</v>
      </c>
      <c r="L3891">
        <v>0</v>
      </c>
      <c r="M3891" t="s">
        <v>29</v>
      </c>
      <c r="N3891">
        <v>0</v>
      </c>
      <c r="O3891">
        <v>0</v>
      </c>
      <c r="P3891" t="s">
        <v>30</v>
      </c>
      <c r="Q3891" s="2">
        <v>0.7</v>
      </c>
      <c r="R3891">
        <v>0</v>
      </c>
      <c r="V3891" t="str">
        <f>VLOOKUP(H3891,'[1]팀별 출판사'!A:B,2,0)</f>
        <v>소설1팀</v>
      </c>
      <c r="W3891" s="6">
        <f t="shared" si="120"/>
        <v>0</v>
      </c>
      <c r="X3891" s="6">
        <f t="shared" si="121"/>
        <v>0</v>
      </c>
    </row>
    <row r="3892" spans="1:24" x14ac:dyDescent="0.3">
      <c r="A3892" t="s">
        <v>5392</v>
      </c>
      <c r="B3892" t="s">
        <v>5502</v>
      </c>
      <c r="C3892" t="s">
        <v>23</v>
      </c>
      <c r="D3892" t="s">
        <v>24</v>
      </c>
      <c r="E3892" t="s">
        <v>25</v>
      </c>
      <c r="F3892">
        <v>1</v>
      </c>
      <c r="G3892">
        <v>9791136937230</v>
      </c>
      <c r="H3892" t="s">
        <v>26</v>
      </c>
      <c r="I3892" t="s">
        <v>5503</v>
      </c>
      <c r="J3892" t="s">
        <v>183</v>
      </c>
      <c r="K3892" t="s">
        <v>29</v>
      </c>
      <c r="L3892">
        <v>0</v>
      </c>
      <c r="M3892" t="s">
        <v>29</v>
      </c>
      <c r="N3892">
        <v>0</v>
      </c>
      <c r="O3892">
        <v>0</v>
      </c>
      <c r="P3892" t="s">
        <v>30</v>
      </c>
      <c r="Q3892" s="2">
        <v>0.7</v>
      </c>
      <c r="R3892">
        <v>0</v>
      </c>
      <c r="V3892" t="str">
        <f>VLOOKUP(H3892,'[1]팀별 출판사'!A:B,2,0)</f>
        <v>소설1팀</v>
      </c>
      <c r="W3892" s="6">
        <f t="shared" si="120"/>
        <v>0</v>
      </c>
      <c r="X3892" s="6">
        <f t="shared" si="121"/>
        <v>0</v>
      </c>
    </row>
    <row r="3893" spans="1:24" x14ac:dyDescent="0.3">
      <c r="A3893" t="s">
        <v>5392</v>
      </c>
      <c r="B3893" t="s">
        <v>5504</v>
      </c>
      <c r="C3893" t="s">
        <v>23</v>
      </c>
      <c r="D3893" t="s">
        <v>24</v>
      </c>
      <c r="E3893" t="s">
        <v>25</v>
      </c>
      <c r="F3893">
        <v>1</v>
      </c>
      <c r="G3893">
        <v>9791173785160</v>
      </c>
      <c r="H3893" t="s">
        <v>26</v>
      </c>
      <c r="I3893" t="s">
        <v>2535</v>
      </c>
      <c r="J3893" t="s">
        <v>62</v>
      </c>
      <c r="K3893" t="s">
        <v>29</v>
      </c>
      <c r="L3893" s="1">
        <v>3200</v>
      </c>
      <c r="M3893" t="s">
        <v>29</v>
      </c>
      <c r="N3893" s="1">
        <v>3200</v>
      </c>
      <c r="O3893" s="1">
        <v>3200</v>
      </c>
      <c r="P3893" t="s">
        <v>30</v>
      </c>
      <c r="Q3893" s="2">
        <v>0.7</v>
      </c>
      <c r="R3893" s="1">
        <v>2240</v>
      </c>
      <c r="S3893" t="s">
        <v>29</v>
      </c>
      <c r="T3893" s="1">
        <v>2240</v>
      </c>
      <c r="V3893" t="str">
        <f>VLOOKUP(H3893,'[1]팀별 출판사'!A:B,2,0)</f>
        <v>소설1팀</v>
      </c>
      <c r="W3893" s="6">
        <f t="shared" si="120"/>
        <v>0</v>
      </c>
      <c r="X3893" s="6">
        <f t="shared" si="121"/>
        <v>2240</v>
      </c>
    </row>
    <row r="3894" spans="1:24" x14ac:dyDescent="0.3">
      <c r="A3894" t="s">
        <v>5392</v>
      </c>
      <c r="B3894" t="s">
        <v>5505</v>
      </c>
      <c r="C3894" t="s">
        <v>23</v>
      </c>
      <c r="D3894" t="s">
        <v>24</v>
      </c>
      <c r="E3894" t="s">
        <v>25</v>
      </c>
      <c r="F3894">
        <v>1</v>
      </c>
      <c r="G3894">
        <v>9791170107378</v>
      </c>
      <c r="H3894" t="s">
        <v>67</v>
      </c>
      <c r="I3894" t="s">
        <v>5506</v>
      </c>
      <c r="J3894" t="s">
        <v>392</v>
      </c>
      <c r="K3894" t="s">
        <v>29</v>
      </c>
      <c r="L3894" s="1">
        <v>2500</v>
      </c>
      <c r="M3894" t="s">
        <v>70</v>
      </c>
      <c r="N3894">
        <v>1.73</v>
      </c>
      <c r="O3894">
        <v>1.73</v>
      </c>
      <c r="P3894" t="s">
        <v>71</v>
      </c>
      <c r="Q3894" s="2">
        <v>0.7</v>
      </c>
      <c r="R3894">
        <v>1.21</v>
      </c>
      <c r="S3894" t="s">
        <v>29</v>
      </c>
      <c r="T3894" s="1">
        <v>1736</v>
      </c>
      <c r="U3894" s="3">
        <v>1431.55853</v>
      </c>
      <c r="V3894" t="str">
        <f>VLOOKUP(H3894,'[1]팀별 출판사'!A:B,2,0)</f>
        <v>소설1팀</v>
      </c>
      <c r="W3894" s="6">
        <f t="shared" si="120"/>
        <v>520.79999999999995</v>
      </c>
      <c r="X3894" s="6">
        <f t="shared" si="121"/>
        <v>1215.2</v>
      </c>
    </row>
    <row r="3895" spans="1:24" x14ac:dyDescent="0.3">
      <c r="A3895" t="s">
        <v>5392</v>
      </c>
      <c r="B3895" t="s">
        <v>5505</v>
      </c>
      <c r="C3895" t="s">
        <v>23</v>
      </c>
      <c r="D3895" t="s">
        <v>24</v>
      </c>
      <c r="E3895" t="s">
        <v>25</v>
      </c>
      <c r="F3895">
        <v>1</v>
      </c>
      <c r="G3895">
        <v>9791170107385</v>
      </c>
      <c r="H3895" t="s">
        <v>67</v>
      </c>
      <c r="I3895" t="s">
        <v>5507</v>
      </c>
      <c r="J3895" t="s">
        <v>392</v>
      </c>
      <c r="K3895" t="s">
        <v>29</v>
      </c>
      <c r="L3895" s="1">
        <v>2500</v>
      </c>
      <c r="M3895" t="s">
        <v>70</v>
      </c>
      <c r="N3895">
        <v>1.73</v>
      </c>
      <c r="O3895">
        <v>1.73</v>
      </c>
      <c r="P3895" t="s">
        <v>71</v>
      </c>
      <c r="Q3895" s="2">
        <v>0.7</v>
      </c>
      <c r="R3895">
        <v>1.21</v>
      </c>
      <c r="S3895" t="s">
        <v>29</v>
      </c>
      <c r="T3895" s="1">
        <v>1736</v>
      </c>
      <c r="U3895" s="3">
        <v>1431.55853</v>
      </c>
      <c r="V3895" t="str">
        <f>VLOOKUP(H3895,'[1]팀별 출판사'!A:B,2,0)</f>
        <v>소설1팀</v>
      </c>
      <c r="W3895" s="6">
        <f t="shared" si="120"/>
        <v>520.79999999999995</v>
      </c>
      <c r="X3895" s="6">
        <f t="shared" si="121"/>
        <v>1215.2</v>
      </c>
    </row>
    <row r="3896" spans="1:24" x14ac:dyDescent="0.3">
      <c r="A3896" t="s">
        <v>5392</v>
      </c>
      <c r="B3896" t="s">
        <v>5508</v>
      </c>
      <c r="C3896" t="s">
        <v>23</v>
      </c>
      <c r="D3896" t="s">
        <v>24</v>
      </c>
      <c r="E3896" t="s">
        <v>25</v>
      </c>
      <c r="F3896">
        <v>1</v>
      </c>
      <c r="G3896">
        <v>9791136931375</v>
      </c>
      <c r="H3896" t="s">
        <v>32</v>
      </c>
      <c r="I3896" t="s">
        <v>189</v>
      </c>
      <c r="J3896" t="s">
        <v>46</v>
      </c>
      <c r="K3896" t="s">
        <v>29</v>
      </c>
      <c r="L3896">
        <v>0</v>
      </c>
      <c r="M3896" t="s">
        <v>47</v>
      </c>
      <c r="N3896">
        <v>0</v>
      </c>
      <c r="O3896">
        <v>0</v>
      </c>
      <c r="P3896" t="s">
        <v>48</v>
      </c>
      <c r="Q3896" s="2">
        <v>0.7</v>
      </c>
      <c r="R3896">
        <v>0</v>
      </c>
      <c r="V3896" t="str">
        <f>VLOOKUP(H3896,'[1]팀별 출판사'!A:B,2,0)</f>
        <v>소설1팀</v>
      </c>
      <c r="W3896" s="6">
        <f t="shared" si="120"/>
        <v>0</v>
      </c>
      <c r="X3896" s="6">
        <f t="shared" si="121"/>
        <v>0</v>
      </c>
    </row>
    <row r="3897" spans="1:24" x14ac:dyDescent="0.3">
      <c r="A3897" t="s">
        <v>5392</v>
      </c>
      <c r="B3897" t="s">
        <v>5509</v>
      </c>
      <c r="C3897" t="s">
        <v>23</v>
      </c>
      <c r="D3897" t="s">
        <v>24</v>
      </c>
      <c r="E3897" t="s">
        <v>25</v>
      </c>
      <c r="F3897">
        <v>1</v>
      </c>
      <c r="G3897">
        <v>9791136900197</v>
      </c>
      <c r="H3897" t="s">
        <v>26</v>
      </c>
      <c r="I3897" t="s">
        <v>5510</v>
      </c>
      <c r="J3897" t="s">
        <v>436</v>
      </c>
      <c r="K3897" t="s">
        <v>29</v>
      </c>
      <c r="L3897" s="1">
        <v>3200</v>
      </c>
      <c r="M3897" t="s">
        <v>29</v>
      </c>
      <c r="N3897" s="1">
        <v>3200</v>
      </c>
      <c r="O3897" s="1">
        <v>3200</v>
      </c>
      <c r="P3897" t="s">
        <v>30</v>
      </c>
      <c r="Q3897" s="2">
        <v>0.7</v>
      </c>
      <c r="R3897" s="1">
        <v>2240</v>
      </c>
      <c r="S3897" t="s">
        <v>29</v>
      </c>
      <c r="T3897" s="1">
        <v>2240</v>
      </c>
      <c r="V3897" t="str">
        <f>VLOOKUP(H3897,'[1]팀별 출판사'!A:B,2,0)</f>
        <v>소설1팀</v>
      </c>
      <c r="W3897" s="6">
        <f t="shared" si="120"/>
        <v>0</v>
      </c>
      <c r="X3897" s="6">
        <f t="shared" si="121"/>
        <v>2240</v>
      </c>
    </row>
    <row r="3898" spans="1:24" x14ac:dyDescent="0.3">
      <c r="A3898" t="s">
        <v>5392</v>
      </c>
      <c r="B3898" t="s">
        <v>5511</v>
      </c>
      <c r="C3898" t="s">
        <v>23</v>
      </c>
      <c r="D3898" t="s">
        <v>24</v>
      </c>
      <c r="E3898" t="s">
        <v>25</v>
      </c>
      <c r="F3898">
        <v>1</v>
      </c>
      <c r="G3898">
        <v>9791136930361</v>
      </c>
      <c r="H3898" t="s">
        <v>32</v>
      </c>
      <c r="I3898" t="s">
        <v>33</v>
      </c>
      <c r="J3898" t="s">
        <v>34</v>
      </c>
      <c r="K3898" t="s">
        <v>29</v>
      </c>
      <c r="L3898">
        <v>0</v>
      </c>
      <c r="M3898" t="s">
        <v>29</v>
      </c>
      <c r="N3898">
        <v>0</v>
      </c>
      <c r="O3898">
        <v>0</v>
      </c>
      <c r="P3898" t="s">
        <v>30</v>
      </c>
      <c r="Q3898" s="2">
        <v>0.7</v>
      </c>
      <c r="R3898">
        <v>0</v>
      </c>
      <c r="V3898" t="str">
        <f>VLOOKUP(H3898,'[1]팀별 출판사'!A:B,2,0)</f>
        <v>소설1팀</v>
      </c>
      <c r="W3898" s="6">
        <f t="shared" si="120"/>
        <v>0</v>
      </c>
      <c r="X3898" s="6">
        <f t="shared" si="121"/>
        <v>0</v>
      </c>
    </row>
    <row r="3899" spans="1:24" x14ac:dyDescent="0.3">
      <c r="A3899" t="s">
        <v>5392</v>
      </c>
      <c r="B3899" t="s">
        <v>5512</v>
      </c>
      <c r="C3899" t="s">
        <v>23</v>
      </c>
      <c r="D3899" t="s">
        <v>24</v>
      </c>
      <c r="E3899" t="s">
        <v>25</v>
      </c>
      <c r="F3899">
        <v>1</v>
      </c>
      <c r="G3899">
        <v>9791175303966</v>
      </c>
      <c r="H3899" t="s">
        <v>79</v>
      </c>
      <c r="I3899" t="s">
        <v>570</v>
      </c>
      <c r="J3899" t="s">
        <v>571</v>
      </c>
      <c r="K3899" t="s">
        <v>29</v>
      </c>
      <c r="L3899">
        <v>0</v>
      </c>
      <c r="M3899" t="s">
        <v>29</v>
      </c>
      <c r="N3899">
        <v>0</v>
      </c>
      <c r="O3899">
        <v>0</v>
      </c>
      <c r="P3899" t="s">
        <v>30</v>
      </c>
      <c r="Q3899" s="2">
        <v>0.7</v>
      </c>
      <c r="R3899">
        <v>0</v>
      </c>
      <c r="V3899" t="str">
        <f>VLOOKUP(H3899,'[1]팀별 출판사'!A:B,2,0)</f>
        <v>소설1팀</v>
      </c>
      <c r="W3899" s="6">
        <f t="shared" si="120"/>
        <v>0</v>
      </c>
      <c r="X3899" s="6">
        <f t="shared" si="121"/>
        <v>0</v>
      </c>
    </row>
    <row r="3900" spans="1:24" x14ac:dyDescent="0.3">
      <c r="A3900" t="s">
        <v>5392</v>
      </c>
      <c r="B3900" t="s">
        <v>5513</v>
      </c>
      <c r="C3900" t="s">
        <v>23</v>
      </c>
      <c r="D3900" t="s">
        <v>24</v>
      </c>
      <c r="E3900" t="s">
        <v>25</v>
      </c>
      <c r="F3900">
        <v>1</v>
      </c>
      <c r="G3900">
        <v>9791136930491</v>
      </c>
      <c r="H3900" t="s">
        <v>26</v>
      </c>
      <c r="I3900" t="s">
        <v>151</v>
      </c>
      <c r="J3900" t="s">
        <v>46</v>
      </c>
      <c r="K3900" t="s">
        <v>29</v>
      </c>
      <c r="L3900">
        <v>0</v>
      </c>
      <c r="M3900" t="s">
        <v>47</v>
      </c>
      <c r="N3900">
        <v>0</v>
      </c>
      <c r="O3900">
        <v>0</v>
      </c>
      <c r="P3900" t="s">
        <v>48</v>
      </c>
      <c r="Q3900" s="2">
        <v>0.7</v>
      </c>
      <c r="R3900">
        <v>0</v>
      </c>
      <c r="V3900" t="str">
        <f>VLOOKUP(H3900,'[1]팀별 출판사'!A:B,2,0)</f>
        <v>소설1팀</v>
      </c>
      <c r="W3900" s="6">
        <f t="shared" si="120"/>
        <v>0</v>
      </c>
      <c r="X3900" s="6">
        <f t="shared" si="121"/>
        <v>0</v>
      </c>
    </row>
    <row r="3901" spans="1:24" x14ac:dyDescent="0.3">
      <c r="A3901" t="s">
        <v>5392</v>
      </c>
      <c r="B3901" t="s">
        <v>5514</v>
      </c>
      <c r="C3901" t="s">
        <v>23</v>
      </c>
      <c r="D3901" t="s">
        <v>24</v>
      </c>
      <c r="E3901" t="s">
        <v>25</v>
      </c>
      <c r="F3901">
        <v>1</v>
      </c>
      <c r="G3901">
        <v>9791133190133</v>
      </c>
      <c r="H3901" t="s">
        <v>26</v>
      </c>
      <c r="I3901" t="s">
        <v>5515</v>
      </c>
      <c r="J3901" t="s">
        <v>1096</v>
      </c>
      <c r="K3901" t="s">
        <v>29</v>
      </c>
      <c r="L3901" s="1">
        <v>3200</v>
      </c>
      <c r="M3901" t="s">
        <v>29</v>
      </c>
      <c r="N3901" s="1">
        <v>3200</v>
      </c>
      <c r="O3901" s="1">
        <v>3200</v>
      </c>
      <c r="P3901" t="s">
        <v>30</v>
      </c>
      <c r="Q3901" s="2">
        <v>0.7</v>
      </c>
      <c r="R3901" s="1">
        <v>2240</v>
      </c>
      <c r="S3901" t="s">
        <v>29</v>
      </c>
      <c r="T3901" s="1">
        <v>2240</v>
      </c>
      <c r="V3901" t="str">
        <f>VLOOKUP(H3901,'[1]팀별 출판사'!A:B,2,0)</f>
        <v>소설1팀</v>
      </c>
      <c r="W3901" s="6">
        <f t="shared" si="120"/>
        <v>0</v>
      </c>
      <c r="X3901" s="6">
        <f t="shared" si="121"/>
        <v>2240</v>
      </c>
    </row>
    <row r="3902" spans="1:24" x14ac:dyDescent="0.3">
      <c r="A3902" t="s">
        <v>5392</v>
      </c>
      <c r="B3902" t="s">
        <v>5516</v>
      </c>
      <c r="C3902" t="s">
        <v>23</v>
      </c>
      <c r="D3902" t="s">
        <v>24</v>
      </c>
      <c r="E3902" t="s">
        <v>25</v>
      </c>
      <c r="F3902">
        <v>1</v>
      </c>
      <c r="G3902">
        <v>9791136935496</v>
      </c>
      <c r="H3902" t="s">
        <v>32</v>
      </c>
      <c r="I3902" t="s">
        <v>441</v>
      </c>
      <c r="J3902" t="s">
        <v>442</v>
      </c>
      <c r="K3902" t="s">
        <v>29</v>
      </c>
      <c r="L3902">
        <v>0</v>
      </c>
      <c r="M3902" t="s">
        <v>127</v>
      </c>
      <c r="N3902">
        <v>0</v>
      </c>
      <c r="O3902">
        <v>0</v>
      </c>
      <c r="P3902" t="s">
        <v>128</v>
      </c>
      <c r="Q3902" s="2">
        <v>0.7</v>
      </c>
      <c r="R3902">
        <v>0</v>
      </c>
      <c r="V3902" t="str">
        <f>VLOOKUP(H3902,'[1]팀별 출판사'!A:B,2,0)</f>
        <v>소설1팀</v>
      </c>
      <c r="W3902" s="6">
        <f t="shared" si="120"/>
        <v>0</v>
      </c>
      <c r="X3902" s="6">
        <f t="shared" si="121"/>
        <v>0</v>
      </c>
    </row>
    <row r="3903" spans="1:24" x14ac:dyDescent="0.3">
      <c r="A3903" t="s">
        <v>5392</v>
      </c>
      <c r="B3903" t="s">
        <v>5517</v>
      </c>
      <c r="C3903" t="s">
        <v>23</v>
      </c>
      <c r="D3903" t="s">
        <v>24</v>
      </c>
      <c r="E3903" t="s">
        <v>25</v>
      </c>
      <c r="F3903">
        <v>1</v>
      </c>
      <c r="G3903">
        <v>9791157539741</v>
      </c>
      <c r="H3903" t="s">
        <v>32</v>
      </c>
      <c r="I3903" t="s">
        <v>4175</v>
      </c>
      <c r="J3903" t="s">
        <v>88</v>
      </c>
      <c r="K3903" t="s">
        <v>29</v>
      </c>
      <c r="L3903" s="1">
        <v>3200</v>
      </c>
      <c r="M3903" t="s">
        <v>29</v>
      </c>
      <c r="N3903" s="1">
        <v>3200</v>
      </c>
      <c r="O3903" s="1">
        <v>3200</v>
      </c>
      <c r="P3903" t="s">
        <v>30</v>
      </c>
      <c r="Q3903" s="2">
        <v>0.7</v>
      </c>
      <c r="R3903" s="1">
        <v>2240</v>
      </c>
      <c r="S3903" t="s">
        <v>29</v>
      </c>
      <c r="T3903" s="1">
        <v>2240</v>
      </c>
      <c r="V3903" t="str">
        <f>VLOOKUP(H3903,'[1]팀별 출판사'!A:B,2,0)</f>
        <v>소설1팀</v>
      </c>
      <c r="W3903" s="6">
        <f t="shared" si="120"/>
        <v>0</v>
      </c>
      <c r="X3903" s="6">
        <f t="shared" si="121"/>
        <v>2240</v>
      </c>
    </row>
    <row r="3904" spans="1:24" x14ac:dyDescent="0.3">
      <c r="A3904" t="s">
        <v>5392</v>
      </c>
      <c r="B3904" t="s">
        <v>5518</v>
      </c>
      <c r="C3904" t="s">
        <v>23</v>
      </c>
      <c r="D3904" t="s">
        <v>24</v>
      </c>
      <c r="E3904" t="s">
        <v>25</v>
      </c>
      <c r="F3904">
        <v>1</v>
      </c>
      <c r="G3904">
        <v>9791173785993</v>
      </c>
      <c r="H3904" t="s">
        <v>26</v>
      </c>
      <c r="I3904" t="s">
        <v>769</v>
      </c>
      <c r="J3904" t="s">
        <v>81</v>
      </c>
      <c r="K3904" t="s">
        <v>29</v>
      </c>
      <c r="L3904">
        <v>0</v>
      </c>
      <c r="M3904" t="s">
        <v>29</v>
      </c>
      <c r="N3904">
        <v>0</v>
      </c>
      <c r="O3904">
        <v>0</v>
      </c>
      <c r="P3904" t="s">
        <v>30</v>
      </c>
      <c r="Q3904" s="2">
        <v>0.7</v>
      </c>
      <c r="R3904">
        <v>0</v>
      </c>
      <c r="V3904" t="str">
        <f>VLOOKUP(H3904,'[1]팀별 출판사'!A:B,2,0)</f>
        <v>소설1팀</v>
      </c>
      <c r="W3904" s="6">
        <f t="shared" si="120"/>
        <v>0</v>
      </c>
      <c r="X3904" s="6">
        <f t="shared" si="121"/>
        <v>0</v>
      </c>
    </row>
    <row r="3905" spans="1:24" x14ac:dyDescent="0.3">
      <c r="A3905" t="s">
        <v>5392</v>
      </c>
      <c r="B3905" t="s">
        <v>5519</v>
      </c>
      <c r="C3905" t="s">
        <v>23</v>
      </c>
      <c r="D3905" t="s">
        <v>24</v>
      </c>
      <c r="E3905" t="s">
        <v>25</v>
      </c>
      <c r="F3905">
        <v>1</v>
      </c>
      <c r="G3905">
        <v>9791133186501</v>
      </c>
      <c r="H3905" t="s">
        <v>26</v>
      </c>
      <c r="I3905" t="s">
        <v>64</v>
      </c>
      <c r="J3905" t="s">
        <v>65</v>
      </c>
      <c r="K3905" t="s">
        <v>29</v>
      </c>
      <c r="L3905">
        <v>0</v>
      </c>
      <c r="M3905" t="s">
        <v>29</v>
      </c>
      <c r="N3905">
        <v>0</v>
      </c>
      <c r="O3905">
        <v>0</v>
      </c>
      <c r="P3905" t="s">
        <v>30</v>
      </c>
      <c r="Q3905" s="2">
        <v>0.7</v>
      </c>
      <c r="R3905">
        <v>0</v>
      </c>
      <c r="V3905" t="str">
        <f>VLOOKUP(H3905,'[1]팀별 출판사'!A:B,2,0)</f>
        <v>소설1팀</v>
      </c>
      <c r="W3905" s="6">
        <f t="shared" si="120"/>
        <v>0</v>
      </c>
      <c r="X3905" s="6">
        <f t="shared" si="121"/>
        <v>0</v>
      </c>
    </row>
    <row r="3906" spans="1:24" x14ac:dyDescent="0.3">
      <c r="A3906" t="s">
        <v>5392</v>
      </c>
      <c r="B3906" t="s">
        <v>5520</v>
      </c>
      <c r="C3906" t="s">
        <v>23</v>
      </c>
      <c r="D3906" t="s">
        <v>24</v>
      </c>
      <c r="E3906" t="s">
        <v>25</v>
      </c>
      <c r="F3906">
        <v>1</v>
      </c>
      <c r="G3906">
        <v>9791136946782</v>
      </c>
      <c r="H3906" t="s">
        <v>26</v>
      </c>
      <c r="I3906" t="s">
        <v>291</v>
      </c>
      <c r="J3906" t="s">
        <v>28</v>
      </c>
      <c r="K3906" t="s">
        <v>29</v>
      </c>
      <c r="L3906">
        <v>0</v>
      </c>
      <c r="M3906" t="s">
        <v>29</v>
      </c>
      <c r="N3906">
        <v>0</v>
      </c>
      <c r="O3906">
        <v>0</v>
      </c>
      <c r="P3906" t="s">
        <v>30</v>
      </c>
      <c r="Q3906" s="2">
        <v>0.7</v>
      </c>
      <c r="R3906">
        <v>0</v>
      </c>
      <c r="V3906" t="str">
        <f>VLOOKUP(H3906,'[1]팀별 출판사'!A:B,2,0)</f>
        <v>소설1팀</v>
      </c>
      <c r="W3906" s="6">
        <f t="shared" ref="W3906:W3969" si="122">IF(P3906="US", T3906*30%, 0)</f>
        <v>0</v>
      </c>
      <c r="X3906" s="6">
        <f t="shared" ref="X3906:X3969" si="123">T3906-W3906</f>
        <v>0</v>
      </c>
    </row>
    <row r="3907" spans="1:24" x14ac:dyDescent="0.3">
      <c r="A3907" t="s">
        <v>5392</v>
      </c>
      <c r="B3907" t="s">
        <v>5521</v>
      </c>
      <c r="C3907" t="s">
        <v>23</v>
      </c>
      <c r="D3907" t="s">
        <v>24</v>
      </c>
      <c r="E3907" t="s">
        <v>25</v>
      </c>
      <c r="F3907">
        <v>1</v>
      </c>
      <c r="G3907">
        <v>9791136946775</v>
      </c>
      <c r="H3907" t="s">
        <v>26</v>
      </c>
      <c r="I3907" t="s">
        <v>238</v>
      </c>
      <c r="J3907" t="s">
        <v>28</v>
      </c>
      <c r="K3907" t="s">
        <v>29</v>
      </c>
      <c r="L3907">
        <v>0</v>
      </c>
      <c r="M3907" t="s">
        <v>29</v>
      </c>
      <c r="N3907">
        <v>0</v>
      </c>
      <c r="O3907">
        <v>0</v>
      </c>
      <c r="P3907" t="s">
        <v>30</v>
      </c>
      <c r="Q3907" s="2">
        <v>0.7</v>
      </c>
      <c r="R3907">
        <v>0</v>
      </c>
      <c r="V3907" t="str">
        <f>VLOOKUP(H3907,'[1]팀별 출판사'!A:B,2,0)</f>
        <v>소설1팀</v>
      </c>
      <c r="W3907" s="6">
        <f t="shared" si="122"/>
        <v>0</v>
      </c>
      <c r="X3907" s="6">
        <f t="shared" si="123"/>
        <v>0</v>
      </c>
    </row>
    <row r="3908" spans="1:24" x14ac:dyDescent="0.3">
      <c r="A3908" t="s">
        <v>5392</v>
      </c>
      <c r="B3908" t="s">
        <v>5522</v>
      </c>
      <c r="C3908" t="s">
        <v>23</v>
      </c>
      <c r="D3908" t="s">
        <v>24</v>
      </c>
      <c r="E3908" t="s">
        <v>25</v>
      </c>
      <c r="F3908">
        <v>1</v>
      </c>
      <c r="G3908">
        <v>9791170100638</v>
      </c>
      <c r="H3908" t="s">
        <v>67</v>
      </c>
      <c r="I3908" t="s">
        <v>1342</v>
      </c>
      <c r="J3908" t="s">
        <v>1343</v>
      </c>
      <c r="K3908" t="s">
        <v>29</v>
      </c>
      <c r="L3908">
        <v>0</v>
      </c>
      <c r="M3908" t="s">
        <v>29</v>
      </c>
      <c r="N3908">
        <v>0</v>
      </c>
      <c r="O3908">
        <v>0</v>
      </c>
      <c r="P3908" t="s">
        <v>30</v>
      </c>
      <c r="Q3908" s="2">
        <v>0.7</v>
      </c>
      <c r="R3908">
        <v>0</v>
      </c>
      <c r="V3908" t="str">
        <f>VLOOKUP(H3908,'[1]팀별 출판사'!A:B,2,0)</f>
        <v>소설1팀</v>
      </c>
      <c r="W3908" s="6">
        <f t="shared" si="122"/>
        <v>0</v>
      </c>
      <c r="X3908" s="6">
        <f t="shared" si="123"/>
        <v>0</v>
      </c>
    </row>
    <row r="3909" spans="1:24" x14ac:dyDescent="0.3">
      <c r="A3909" t="s">
        <v>5392</v>
      </c>
      <c r="B3909" t="s">
        <v>5523</v>
      </c>
      <c r="C3909" t="s">
        <v>23</v>
      </c>
      <c r="D3909" t="s">
        <v>24</v>
      </c>
      <c r="E3909" t="s">
        <v>25</v>
      </c>
      <c r="F3909">
        <v>1</v>
      </c>
      <c r="G3909">
        <v>9791133101788</v>
      </c>
      <c r="H3909" t="s">
        <v>32</v>
      </c>
      <c r="I3909" t="s">
        <v>870</v>
      </c>
      <c r="J3909" t="s">
        <v>160</v>
      </c>
      <c r="K3909" t="s">
        <v>29</v>
      </c>
      <c r="L3909">
        <v>0</v>
      </c>
      <c r="M3909" t="s">
        <v>29</v>
      </c>
      <c r="N3909">
        <v>0</v>
      </c>
      <c r="O3909">
        <v>0</v>
      </c>
      <c r="P3909" t="s">
        <v>30</v>
      </c>
      <c r="Q3909" s="2">
        <v>0.7</v>
      </c>
      <c r="R3909">
        <v>0</v>
      </c>
      <c r="V3909" t="str">
        <f>VLOOKUP(H3909,'[1]팀별 출판사'!A:B,2,0)</f>
        <v>소설1팀</v>
      </c>
      <c r="W3909" s="6">
        <f t="shared" si="122"/>
        <v>0</v>
      </c>
      <c r="X3909" s="6">
        <f t="shared" si="123"/>
        <v>0</v>
      </c>
    </row>
    <row r="3910" spans="1:24" x14ac:dyDescent="0.3">
      <c r="A3910" t="s">
        <v>5392</v>
      </c>
      <c r="B3910" t="s">
        <v>5524</v>
      </c>
      <c r="C3910" t="s">
        <v>23</v>
      </c>
      <c r="D3910" t="s">
        <v>24</v>
      </c>
      <c r="E3910" t="s">
        <v>25</v>
      </c>
      <c r="F3910">
        <v>1</v>
      </c>
      <c r="G3910">
        <v>9791170102687</v>
      </c>
      <c r="H3910" t="s">
        <v>67</v>
      </c>
      <c r="I3910" t="s">
        <v>398</v>
      </c>
      <c r="J3910" t="s">
        <v>399</v>
      </c>
      <c r="K3910" t="s">
        <v>29</v>
      </c>
      <c r="L3910">
        <v>0</v>
      </c>
      <c r="M3910" t="s">
        <v>29</v>
      </c>
      <c r="N3910">
        <v>0</v>
      </c>
      <c r="O3910">
        <v>0</v>
      </c>
      <c r="P3910" t="s">
        <v>30</v>
      </c>
      <c r="Q3910" s="2">
        <v>0.7</v>
      </c>
      <c r="R3910">
        <v>0</v>
      </c>
      <c r="V3910" t="str">
        <f>VLOOKUP(H3910,'[1]팀별 출판사'!A:B,2,0)</f>
        <v>소설1팀</v>
      </c>
      <c r="W3910" s="6">
        <f t="shared" si="122"/>
        <v>0</v>
      </c>
      <c r="X3910" s="6">
        <f t="shared" si="123"/>
        <v>0</v>
      </c>
    </row>
    <row r="3911" spans="1:24" x14ac:dyDescent="0.3">
      <c r="A3911" t="s">
        <v>5392</v>
      </c>
      <c r="B3911" t="s">
        <v>5525</v>
      </c>
      <c r="C3911" t="s">
        <v>23</v>
      </c>
      <c r="D3911" t="s">
        <v>24</v>
      </c>
      <c r="E3911" t="s">
        <v>25</v>
      </c>
      <c r="F3911">
        <v>1</v>
      </c>
      <c r="G3911">
        <v>9791136919816</v>
      </c>
      <c r="H3911" t="s">
        <v>263</v>
      </c>
      <c r="I3911" t="s">
        <v>5526</v>
      </c>
      <c r="J3911" t="s">
        <v>4878</v>
      </c>
      <c r="K3911" t="s">
        <v>29</v>
      </c>
      <c r="L3911" s="1">
        <v>3200</v>
      </c>
      <c r="M3911" t="s">
        <v>29</v>
      </c>
      <c r="N3911" s="1">
        <v>3200</v>
      </c>
      <c r="O3911" s="1">
        <v>3200</v>
      </c>
      <c r="P3911" t="s">
        <v>30</v>
      </c>
      <c r="Q3911" s="2">
        <v>0.7</v>
      </c>
      <c r="R3911" s="1">
        <v>2240</v>
      </c>
      <c r="S3911" t="s">
        <v>29</v>
      </c>
      <c r="T3911" s="1">
        <v>2240</v>
      </c>
      <c r="V3911" t="str">
        <f>VLOOKUP(H3911,'[1]팀별 출판사'!A:B,2,0)</f>
        <v>소설2팀</v>
      </c>
      <c r="W3911" s="6">
        <f t="shared" si="122"/>
        <v>0</v>
      </c>
      <c r="X3911" s="6">
        <f t="shared" si="123"/>
        <v>2240</v>
      </c>
    </row>
    <row r="3912" spans="1:24" x14ac:dyDescent="0.3">
      <c r="A3912" t="s">
        <v>5392</v>
      </c>
      <c r="B3912" t="s">
        <v>5527</v>
      </c>
      <c r="C3912" t="s">
        <v>23</v>
      </c>
      <c r="D3912" t="s">
        <v>24</v>
      </c>
      <c r="E3912" t="s">
        <v>25</v>
      </c>
      <c r="F3912">
        <v>1</v>
      </c>
      <c r="G3912">
        <v>9791172921033</v>
      </c>
      <c r="H3912" t="s">
        <v>79</v>
      </c>
      <c r="I3912" t="s">
        <v>738</v>
      </c>
      <c r="J3912" t="s">
        <v>46</v>
      </c>
      <c r="K3912" t="s">
        <v>29</v>
      </c>
      <c r="L3912">
        <v>0</v>
      </c>
      <c r="M3912" t="s">
        <v>29</v>
      </c>
      <c r="N3912">
        <v>0</v>
      </c>
      <c r="O3912">
        <v>0</v>
      </c>
      <c r="P3912" t="s">
        <v>30</v>
      </c>
      <c r="Q3912" s="2">
        <v>0.7</v>
      </c>
      <c r="R3912">
        <v>0</v>
      </c>
      <c r="V3912" t="str">
        <f>VLOOKUP(H3912,'[1]팀별 출판사'!A:B,2,0)</f>
        <v>소설1팀</v>
      </c>
      <c r="W3912" s="6">
        <f t="shared" si="122"/>
        <v>0</v>
      </c>
      <c r="X3912" s="6">
        <f t="shared" si="123"/>
        <v>0</v>
      </c>
    </row>
    <row r="3913" spans="1:24" x14ac:dyDescent="0.3">
      <c r="A3913" t="s">
        <v>5392</v>
      </c>
      <c r="B3913" t="s">
        <v>5528</v>
      </c>
      <c r="C3913" t="s">
        <v>23</v>
      </c>
      <c r="D3913" t="s">
        <v>24</v>
      </c>
      <c r="E3913" t="s">
        <v>25</v>
      </c>
      <c r="F3913">
        <v>1</v>
      </c>
      <c r="G3913">
        <v>9791136910486</v>
      </c>
      <c r="H3913" t="s">
        <v>26</v>
      </c>
      <c r="I3913" t="s">
        <v>4788</v>
      </c>
      <c r="J3913" t="s">
        <v>355</v>
      </c>
      <c r="K3913" t="s">
        <v>29</v>
      </c>
      <c r="L3913" s="1">
        <v>3200</v>
      </c>
      <c r="M3913" t="s">
        <v>29</v>
      </c>
      <c r="N3913" s="1">
        <v>3200</v>
      </c>
      <c r="O3913" s="1">
        <v>3200</v>
      </c>
      <c r="P3913" t="s">
        <v>30</v>
      </c>
      <c r="Q3913" s="2">
        <v>0.7</v>
      </c>
      <c r="R3913" s="1">
        <v>2240</v>
      </c>
      <c r="S3913" t="s">
        <v>29</v>
      </c>
      <c r="T3913" s="1">
        <v>2240</v>
      </c>
      <c r="V3913" t="str">
        <f>VLOOKUP(H3913,'[1]팀별 출판사'!A:B,2,0)</f>
        <v>소설1팀</v>
      </c>
      <c r="W3913" s="6">
        <f t="shared" si="122"/>
        <v>0</v>
      </c>
      <c r="X3913" s="6">
        <f t="shared" si="123"/>
        <v>2240</v>
      </c>
    </row>
    <row r="3914" spans="1:24" x14ac:dyDescent="0.3">
      <c r="A3914" t="s">
        <v>5392</v>
      </c>
      <c r="B3914" t="s">
        <v>5529</v>
      </c>
      <c r="C3914" t="s">
        <v>23</v>
      </c>
      <c r="D3914" t="s">
        <v>24</v>
      </c>
      <c r="E3914" t="s">
        <v>25</v>
      </c>
      <c r="F3914">
        <v>1</v>
      </c>
      <c r="G3914" t="s">
        <v>3591</v>
      </c>
      <c r="H3914" t="s">
        <v>32</v>
      </c>
      <c r="I3914" t="s">
        <v>3592</v>
      </c>
      <c r="J3914" t="s">
        <v>311</v>
      </c>
      <c r="K3914" t="s">
        <v>29</v>
      </c>
      <c r="L3914">
        <v>0</v>
      </c>
      <c r="M3914" t="s">
        <v>29</v>
      </c>
      <c r="N3914">
        <v>0</v>
      </c>
      <c r="O3914">
        <v>0</v>
      </c>
      <c r="P3914" t="s">
        <v>30</v>
      </c>
      <c r="Q3914" s="2">
        <v>0.7</v>
      </c>
      <c r="R3914">
        <v>0</v>
      </c>
      <c r="V3914" t="str">
        <f>VLOOKUP(H3914,'[1]팀별 출판사'!A:B,2,0)</f>
        <v>소설1팀</v>
      </c>
      <c r="W3914" s="6">
        <f t="shared" si="122"/>
        <v>0</v>
      </c>
      <c r="X3914" s="6">
        <f t="shared" si="123"/>
        <v>0</v>
      </c>
    </row>
    <row r="3915" spans="1:24" x14ac:dyDescent="0.3">
      <c r="A3915" t="s">
        <v>5392</v>
      </c>
      <c r="B3915" t="s">
        <v>5530</v>
      </c>
      <c r="C3915" t="s">
        <v>23</v>
      </c>
      <c r="D3915" t="s">
        <v>24</v>
      </c>
      <c r="E3915" t="s">
        <v>25</v>
      </c>
      <c r="F3915">
        <v>1</v>
      </c>
      <c r="G3915">
        <v>9791136931382</v>
      </c>
      <c r="H3915" t="s">
        <v>32</v>
      </c>
      <c r="I3915" t="s">
        <v>523</v>
      </c>
      <c r="J3915" t="s">
        <v>46</v>
      </c>
      <c r="K3915" t="s">
        <v>29</v>
      </c>
      <c r="L3915">
        <v>0</v>
      </c>
      <c r="M3915" t="s">
        <v>29</v>
      </c>
      <c r="N3915">
        <v>0</v>
      </c>
      <c r="O3915">
        <v>0</v>
      </c>
      <c r="P3915" t="s">
        <v>30</v>
      </c>
      <c r="Q3915" s="2">
        <v>0.7</v>
      </c>
      <c r="R3915">
        <v>0</v>
      </c>
      <c r="V3915" t="str">
        <f>VLOOKUP(H3915,'[1]팀별 출판사'!A:B,2,0)</f>
        <v>소설1팀</v>
      </c>
      <c r="W3915" s="6">
        <f t="shared" si="122"/>
        <v>0</v>
      </c>
      <c r="X3915" s="6">
        <f t="shared" si="123"/>
        <v>0</v>
      </c>
    </row>
    <row r="3916" spans="1:24" x14ac:dyDescent="0.3">
      <c r="A3916" t="s">
        <v>5392</v>
      </c>
      <c r="B3916" t="s">
        <v>5531</v>
      </c>
      <c r="C3916" t="s">
        <v>23</v>
      </c>
      <c r="D3916" t="s">
        <v>24</v>
      </c>
      <c r="E3916" t="s">
        <v>25</v>
      </c>
      <c r="F3916">
        <v>1</v>
      </c>
      <c r="G3916">
        <v>9791136930880</v>
      </c>
      <c r="H3916" t="s">
        <v>32</v>
      </c>
      <c r="I3916" t="s">
        <v>59</v>
      </c>
      <c r="J3916" t="s">
        <v>34</v>
      </c>
      <c r="K3916" t="s">
        <v>29</v>
      </c>
      <c r="L3916">
        <v>0</v>
      </c>
      <c r="M3916" t="s">
        <v>29</v>
      </c>
      <c r="N3916">
        <v>0</v>
      </c>
      <c r="O3916">
        <v>0</v>
      </c>
      <c r="P3916" t="s">
        <v>30</v>
      </c>
      <c r="Q3916" s="2">
        <v>0.7</v>
      </c>
      <c r="R3916">
        <v>0</v>
      </c>
      <c r="V3916" t="str">
        <f>VLOOKUP(H3916,'[1]팀별 출판사'!A:B,2,0)</f>
        <v>소설1팀</v>
      </c>
      <c r="W3916" s="6">
        <f t="shared" si="122"/>
        <v>0</v>
      </c>
      <c r="X3916" s="6">
        <f t="shared" si="123"/>
        <v>0</v>
      </c>
    </row>
    <row r="3917" spans="1:24" x14ac:dyDescent="0.3">
      <c r="A3917" t="s">
        <v>5392</v>
      </c>
      <c r="B3917" t="s">
        <v>5532</v>
      </c>
      <c r="C3917" t="s">
        <v>23</v>
      </c>
      <c r="D3917" t="s">
        <v>24</v>
      </c>
      <c r="E3917" t="s">
        <v>25</v>
      </c>
      <c r="F3917">
        <v>1</v>
      </c>
      <c r="G3917">
        <v>9791136958686</v>
      </c>
      <c r="H3917" t="s">
        <v>79</v>
      </c>
      <c r="I3917" t="s">
        <v>2659</v>
      </c>
      <c r="J3917" t="s">
        <v>81</v>
      </c>
      <c r="K3917" t="s">
        <v>29</v>
      </c>
      <c r="L3917" s="1">
        <v>3200</v>
      </c>
      <c r="M3917" t="s">
        <v>29</v>
      </c>
      <c r="N3917" s="1">
        <v>3200</v>
      </c>
      <c r="O3917" s="1">
        <v>3200</v>
      </c>
      <c r="P3917" t="s">
        <v>30</v>
      </c>
      <c r="Q3917" s="2">
        <v>0.7</v>
      </c>
      <c r="R3917" s="1">
        <v>2240</v>
      </c>
      <c r="S3917" t="s">
        <v>29</v>
      </c>
      <c r="T3917" s="1">
        <v>2240</v>
      </c>
      <c r="V3917" t="str">
        <f>VLOOKUP(H3917,'[1]팀별 출판사'!A:B,2,0)</f>
        <v>소설1팀</v>
      </c>
      <c r="W3917" s="6">
        <f t="shared" si="122"/>
        <v>0</v>
      </c>
      <c r="X3917" s="6">
        <f t="shared" si="123"/>
        <v>2240</v>
      </c>
    </row>
    <row r="3918" spans="1:24" x14ac:dyDescent="0.3">
      <c r="A3918" t="s">
        <v>5392</v>
      </c>
      <c r="B3918" t="s">
        <v>5533</v>
      </c>
      <c r="C3918" t="s">
        <v>23</v>
      </c>
      <c r="D3918" t="s">
        <v>24</v>
      </c>
      <c r="E3918" t="s">
        <v>25</v>
      </c>
      <c r="F3918">
        <v>1</v>
      </c>
      <c r="G3918">
        <v>9791136930156</v>
      </c>
      <c r="H3918" t="s">
        <v>32</v>
      </c>
      <c r="I3918" t="s">
        <v>702</v>
      </c>
      <c r="J3918" t="s">
        <v>34</v>
      </c>
      <c r="K3918" t="s">
        <v>29</v>
      </c>
      <c r="L3918">
        <v>0</v>
      </c>
      <c r="M3918" t="s">
        <v>29</v>
      </c>
      <c r="N3918">
        <v>0</v>
      </c>
      <c r="O3918">
        <v>0</v>
      </c>
      <c r="P3918" t="s">
        <v>30</v>
      </c>
      <c r="Q3918" s="2">
        <v>0.7</v>
      </c>
      <c r="R3918">
        <v>0</v>
      </c>
      <c r="V3918" t="str">
        <f>VLOOKUP(H3918,'[1]팀별 출판사'!A:B,2,0)</f>
        <v>소설1팀</v>
      </c>
      <c r="W3918" s="6">
        <f t="shared" si="122"/>
        <v>0</v>
      </c>
      <c r="X3918" s="6">
        <f t="shared" si="123"/>
        <v>0</v>
      </c>
    </row>
    <row r="3919" spans="1:24" x14ac:dyDescent="0.3">
      <c r="A3919" t="s">
        <v>5534</v>
      </c>
      <c r="B3919" t="s">
        <v>5535</v>
      </c>
      <c r="C3919" t="s">
        <v>23</v>
      </c>
      <c r="D3919" t="s">
        <v>24</v>
      </c>
      <c r="E3919" t="s">
        <v>25</v>
      </c>
      <c r="F3919">
        <v>1</v>
      </c>
      <c r="G3919">
        <v>9791170106500</v>
      </c>
      <c r="H3919" t="s">
        <v>67</v>
      </c>
      <c r="I3919" t="s">
        <v>931</v>
      </c>
      <c r="J3919" t="s">
        <v>932</v>
      </c>
      <c r="K3919" t="s">
        <v>29</v>
      </c>
      <c r="L3919">
        <v>0</v>
      </c>
      <c r="M3919" t="s">
        <v>1482</v>
      </c>
      <c r="N3919">
        <v>0</v>
      </c>
      <c r="O3919">
        <v>0</v>
      </c>
      <c r="P3919" t="s">
        <v>1483</v>
      </c>
      <c r="Q3919" s="2">
        <v>0.7</v>
      </c>
      <c r="R3919">
        <v>0</v>
      </c>
      <c r="V3919" t="str">
        <f>VLOOKUP(H3919,'[1]팀별 출판사'!A:B,2,0)</f>
        <v>소설1팀</v>
      </c>
      <c r="W3919" s="6">
        <f t="shared" si="122"/>
        <v>0</v>
      </c>
      <c r="X3919" s="6">
        <f t="shared" si="123"/>
        <v>0</v>
      </c>
    </row>
    <row r="3920" spans="1:24" x14ac:dyDescent="0.3">
      <c r="A3920" t="s">
        <v>5534</v>
      </c>
      <c r="B3920" t="s">
        <v>5536</v>
      </c>
      <c r="C3920" t="s">
        <v>23</v>
      </c>
      <c r="D3920" t="s">
        <v>24</v>
      </c>
      <c r="E3920" t="s">
        <v>25</v>
      </c>
      <c r="F3920">
        <v>1</v>
      </c>
      <c r="G3920">
        <v>9791173786013</v>
      </c>
      <c r="H3920" t="s">
        <v>26</v>
      </c>
      <c r="I3920" t="s">
        <v>3639</v>
      </c>
      <c r="J3920" t="s">
        <v>81</v>
      </c>
      <c r="K3920" t="s">
        <v>29</v>
      </c>
      <c r="L3920" s="1">
        <v>3200</v>
      </c>
      <c r="M3920" t="s">
        <v>29</v>
      </c>
      <c r="N3920" s="1">
        <v>3200</v>
      </c>
      <c r="O3920" s="1">
        <v>3200</v>
      </c>
      <c r="P3920" t="s">
        <v>30</v>
      </c>
      <c r="Q3920" s="2">
        <v>0.7</v>
      </c>
      <c r="R3920" s="1">
        <v>2240</v>
      </c>
      <c r="S3920" t="s">
        <v>29</v>
      </c>
      <c r="T3920" s="1">
        <v>2240</v>
      </c>
      <c r="V3920" t="str">
        <f>VLOOKUP(H3920,'[1]팀별 출판사'!A:B,2,0)</f>
        <v>소설1팀</v>
      </c>
      <c r="W3920" s="6">
        <f t="shared" si="122"/>
        <v>0</v>
      </c>
      <c r="X3920" s="6">
        <f t="shared" si="123"/>
        <v>2240</v>
      </c>
    </row>
    <row r="3921" spans="1:24" x14ac:dyDescent="0.3">
      <c r="A3921" t="s">
        <v>5534</v>
      </c>
      <c r="B3921" t="s">
        <v>5537</v>
      </c>
      <c r="C3921" t="s">
        <v>23</v>
      </c>
      <c r="D3921" t="s">
        <v>24</v>
      </c>
      <c r="E3921" t="s">
        <v>25</v>
      </c>
      <c r="F3921">
        <v>1</v>
      </c>
      <c r="G3921">
        <v>9791136930491</v>
      </c>
      <c r="H3921" t="s">
        <v>26</v>
      </c>
      <c r="I3921" t="s">
        <v>151</v>
      </c>
      <c r="J3921" t="s">
        <v>46</v>
      </c>
      <c r="K3921" t="s">
        <v>29</v>
      </c>
      <c r="L3921">
        <v>0</v>
      </c>
      <c r="M3921" t="s">
        <v>1482</v>
      </c>
      <c r="N3921">
        <v>0</v>
      </c>
      <c r="O3921">
        <v>0</v>
      </c>
      <c r="P3921" t="s">
        <v>1483</v>
      </c>
      <c r="Q3921" s="2">
        <v>0.7</v>
      </c>
      <c r="R3921">
        <v>0</v>
      </c>
      <c r="V3921" t="str">
        <f>VLOOKUP(H3921,'[1]팀별 출판사'!A:B,2,0)</f>
        <v>소설1팀</v>
      </c>
      <c r="W3921" s="6">
        <f t="shared" si="122"/>
        <v>0</v>
      </c>
      <c r="X3921" s="6">
        <f t="shared" si="123"/>
        <v>0</v>
      </c>
    </row>
    <row r="3922" spans="1:24" x14ac:dyDescent="0.3">
      <c r="A3922" t="s">
        <v>5534</v>
      </c>
      <c r="B3922" t="s">
        <v>5538</v>
      </c>
      <c r="C3922" t="s">
        <v>23</v>
      </c>
      <c r="D3922" t="s">
        <v>24</v>
      </c>
      <c r="E3922" t="s">
        <v>25</v>
      </c>
      <c r="F3922">
        <v>1</v>
      </c>
      <c r="G3922">
        <v>9791136946263</v>
      </c>
      <c r="H3922" t="s">
        <v>26</v>
      </c>
      <c r="I3922" t="s">
        <v>781</v>
      </c>
      <c r="J3922" t="s">
        <v>421</v>
      </c>
      <c r="K3922" t="s">
        <v>29</v>
      </c>
      <c r="L3922">
        <v>0</v>
      </c>
      <c r="M3922" t="s">
        <v>29</v>
      </c>
      <c r="N3922">
        <v>0</v>
      </c>
      <c r="O3922">
        <v>0</v>
      </c>
      <c r="P3922" t="s">
        <v>30</v>
      </c>
      <c r="Q3922" s="2">
        <v>0.7</v>
      </c>
      <c r="R3922">
        <v>0</v>
      </c>
      <c r="V3922" t="str">
        <f>VLOOKUP(H3922,'[1]팀별 출판사'!A:B,2,0)</f>
        <v>소설1팀</v>
      </c>
      <c r="W3922" s="6">
        <f t="shared" si="122"/>
        <v>0</v>
      </c>
      <c r="X3922" s="6">
        <f t="shared" si="123"/>
        <v>0</v>
      </c>
    </row>
    <row r="3923" spans="1:24" x14ac:dyDescent="0.3">
      <c r="A3923" t="s">
        <v>5534</v>
      </c>
      <c r="B3923" t="s">
        <v>5539</v>
      </c>
      <c r="C3923" t="s">
        <v>23</v>
      </c>
      <c r="D3923" t="s">
        <v>24</v>
      </c>
      <c r="E3923" t="s">
        <v>25</v>
      </c>
      <c r="F3923">
        <v>1</v>
      </c>
      <c r="G3923">
        <v>9791136988157</v>
      </c>
      <c r="H3923" t="s">
        <v>26</v>
      </c>
      <c r="I3923" t="s">
        <v>2545</v>
      </c>
      <c r="J3923" t="s">
        <v>28</v>
      </c>
      <c r="K3923" t="s">
        <v>29</v>
      </c>
      <c r="L3923" s="1">
        <v>3200</v>
      </c>
      <c r="M3923" t="s">
        <v>29</v>
      </c>
      <c r="N3923" s="1">
        <v>3200</v>
      </c>
      <c r="O3923" s="1">
        <v>3200</v>
      </c>
      <c r="P3923" t="s">
        <v>30</v>
      </c>
      <c r="Q3923" s="2">
        <v>0.7</v>
      </c>
      <c r="R3923" s="1">
        <v>2240</v>
      </c>
      <c r="S3923" t="s">
        <v>29</v>
      </c>
      <c r="T3923" s="1">
        <v>2240</v>
      </c>
      <c r="V3923" t="str">
        <f>VLOOKUP(H3923,'[1]팀별 출판사'!A:B,2,0)</f>
        <v>소설1팀</v>
      </c>
      <c r="W3923" s="6">
        <f t="shared" si="122"/>
        <v>0</v>
      </c>
      <c r="X3923" s="6">
        <f t="shared" si="123"/>
        <v>2240</v>
      </c>
    </row>
    <row r="3924" spans="1:24" x14ac:dyDescent="0.3">
      <c r="A3924" t="s">
        <v>5534</v>
      </c>
      <c r="B3924" t="s">
        <v>5539</v>
      </c>
      <c r="C3924" t="s">
        <v>23</v>
      </c>
      <c r="D3924" t="s">
        <v>24</v>
      </c>
      <c r="E3924" t="s">
        <v>25</v>
      </c>
      <c r="F3924">
        <v>1</v>
      </c>
      <c r="G3924">
        <v>9791136988164</v>
      </c>
      <c r="H3924" t="s">
        <v>26</v>
      </c>
      <c r="I3924" t="s">
        <v>2110</v>
      </c>
      <c r="J3924" t="s">
        <v>28</v>
      </c>
      <c r="K3924" t="s">
        <v>29</v>
      </c>
      <c r="L3924" s="1">
        <v>3200</v>
      </c>
      <c r="M3924" t="s">
        <v>29</v>
      </c>
      <c r="N3924" s="1">
        <v>3200</v>
      </c>
      <c r="O3924" s="1">
        <v>3200</v>
      </c>
      <c r="P3924" t="s">
        <v>30</v>
      </c>
      <c r="Q3924" s="2">
        <v>0.7</v>
      </c>
      <c r="R3924" s="1">
        <v>2240</v>
      </c>
      <c r="S3924" t="s">
        <v>29</v>
      </c>
      <c r="T3924" s="1">
        <v>2240</v>
      </c>
      <c r="V3924" t="str">
        <f>VLOOKUP(H3924,'[1]팀별 출판사'!A:B,2,0)</f>
        <v>소설1팀</v>
      </c>
      <c r="W3924" s="6">
        <f t="shared" si="122"/>
        <v>0</v>
      </c>
      <c r="X3924" s="6">
        <f t="shared" si="123"/>
        <v>2240</v>
      </c>
    </row>
    <row r="3925" spans="1:24" x14ac:dyDescent="0.3">
      <c r="A3925" t="s">
        <v>5534</v>
      </c>
      <c r="B3925" t="s">
        <v>5539</v>
      </c>
      <c r="C3925" t="s">
        <v>23</v>
      </c>
      <c r="D3925" t="s">
        <v>24</v>
      </c>
      <c r="E3925" t="s">
        <v>25</v>
      </c>
      <c r="F3925">
        <v>1</v>
      </c>
      <c r="G3925">
        <v>9791136988256</v>
      </c>
      <c r="H3925" t="s">
        <v>26</v>
      </c>
      <c r="I3925" t="s">
        <v>2353</v>
      </c>
      <c r="J3925" t="s">
        <v>28</v>
      </c>
      <c r="K3925" t="s">
        <v>29</v>
      </c>
      <c r="L3925" s="1">
        <v>3200</v>
      </c>
      <c r="M3925" t="s">
        <v>29</v>
      </c>
      <c r="N3925" s="1">
        <v>3200</v>
      </c>
      <c r="O3925" s="1">
        <v>3200</v>
      </c>
      <c r="P3925" t="s">
        <v>30</v>
      </c>
      <c r="Q3925" s="2">
        <v>0.7</v>
      </c>
      <c r="R3925" s="1">
        <v>2240</v>
      </c>
      <c r="S3925" t="s">
        <v>29</v>
      </c>
      <c r="T3925" s="1">
        <v>2240</v>
      </c>
      <c r="V3925" t="str">
        <f>VLOOKUP(H3925,'[1]팀별 출판사'!A:B,2,0)</f>
        <v>소설1팀</v>
      </c>
      <c r="W3925" s="6">
        <f t="shared" si="122"/>
        <v>0</v>
      </c>
      <c r="X3925" s="6">
        <f t="shared" si="123"/>
        <v>2240</v>
      </c>
    </row>
    <row r="3926" spans="1:24" x14ac:dyDescent="0.3">
      <c r="A3926" t="s">
        <v>5534</v>
      </c>
      <c r="B3926" t="s">
        <v>5539</v>
      </c>
      <c r="C3926" t="s">
        <v>23</v>
      </c>
      <c r="D3926" t="s">
        <v>24</v>
      </c>
      <c r="E3926" t="s">
        <v>25</v>
      </c>
      <c r="F3926">
        <v>1</v>
      </c>
      <c r="G3926">
        <v>9791136988324</v>
      </c>
      <c r="H3926" t="s">
        <v>26</v>
      </c>
      <c r="I3926" t="s">
        <v>2611</v>
      </c>
      <c r="J3926" t="s">
        <v>28</v>
      </c>
      <c r="K3926" t="s">
        <v>29</v>
      </c>
      <c r="L3926" s="1">
        <v>3200</v>
      </c>
      <c r="M3926" t="s">
        <v>29</v>
      </c>
      <c r="N3926" s="1">
        <v>3200</v>
      </c>
      <c r="O3926" s="1">
        <v>3200</v>
      </c>
      <c r="P3926" t="s">
        <v>30</v>
      </c>
      <c r="Q3926" s="2">
        <v>0.7</v>
      </c>
      <c r="R3926" s="1">
        <v>2240</v>
      </c>
      <c r="S3926" t="s">
        <v>29</v>
      </c>
      <c r="T3926" s="1">
        <v>2240</v>
      </c>
      <c r="V3926" t="str">
        <f>VLOOKUP(H3926,'[1]팀별 출판사'!A:B,2,0)</f>
        <v>소설1팀</v>
      </c>
      <c r="W3926" s="6">
        <f t="shared" si="122"/>
        <v>0</v>
      </c>
      <c r="X3926" s="6">
        <f t="shared" si="123"/>
        <v>2240</v>
      </c>
    </row>
    <row r="3927" spans="1:24" x14ac:dyDescent="0.3">
      <c r="A3927" t="s">
        <v>5534</v>
      </c>
      <c r="B3927" t="s">
        <v>5540</v>
      </c>
      <c r="C3927" t="s">
        <v>23</v>
      </c>
      <c r="D3927" t="s">
        <v>24</v>
      </c>
      <c r="E3927" t="s">
        <v>25</v>
      </c>
      <c r="F3927">
        <v>1</v>
      </c>
      <c r="G3927">
        <v>9791173783647</v>
      </c>
      <c r="H3927" t="s">
        <v>1617</v>
      </c>
      <c r="I3927" t="s">
        <v>3588</v>
      </c>
      <c r="J3927" t="s">
        <v>3589</v>
      </c>
      <c r="K3927" t="s">
        <v>29</v>
      </c>
      <c r="L3927" s="1">
        <v>3600</v>
      </c>
      <c r="M3927" t="s">
        <v>29</v>
      </c>
      <c r="N3927" s="1">
        <v>3600</v>
      </c>
      <c r="O3927" s="1">
        <v>3600</v>
      </c>
      <c r="P3927" t="s">
        <v>30</v>
      </c>
      <c r="Q3927" s="2">
        <v>0.7</v>
      </c>
      <c r="R3927" s="1">
        <v>2520</v>
      </c>
      <c r="S3927" t="s">
        <v>29</v>
      </c>
      <c r="T3927" s="1">
        <v>2520</v>
      </c>
      <c r="V3927" t="str">
        <f>VLOOKUP(H3927,'[1]팀별 출판사'!A:B,2,0)</f>
        <v>소설2팀</v>
      </c>
      <c r="W3927" s="6">
        <f t="shared" si="122"/>
        <v>0</v>
      </c>
      <c r="X3927" s="6">
        <f t="shared" si="123"/>
        <v>2520</v>
      </c>
    </row>
    <row r="3928" spans="1:24" x14ac:dyDescent="0.3">
      <c r="A3928" t="s">
        <v>5534</v>
      </c>
      <c r="B3928" t="s">
        <v>5541</v>
      </c>
      <c r="C3928" t="s">
        <v>23</v>
      </c>
      <c r="D3928" t="s">
        <v>24</v>
      </c>
      <c r="E3928" t="s">
        <v>25</v>
      </c>
      <c r="F3928">
        <v>1</v>
      </c>
      <c r="G3928">
        <v>9791170106715</v>
      </c>
      <c r="H3928" t="s">
        <v>67</v>
      </c>
      <c r="I3928" t="s">
        <v>68</v>
      </c>
      <c r="J3928" t="s">
        <v>69</v>
      </c>
      <c r="K3928" t="s">
        <v>29</v>
      </c>
      <c r="L3928">
        <v>0</v>
      </c>
      <c r="M3928" t="s">
        <v>1482</v>
      </c>
      <c r="N3928">
        <v>0</v>
      </c>
      <c r="O3928">
        <v>0</v>
      </c>
      <c r="P3928" t="s">
        <v>1483</v>
      </c>
      <c r="Q3928" s="2">
        <v>0.7</v>
      </c>
      <c r="R3928">
        <v>0</v>
      </c>
      <c r="V3928" t="str">
        <f>VLOOKUP(H3928,'[1]팀별 출판사'!A:B,2,0)</f>
        <v>소설1팀</v>
      </c>
      <c r="W3928" s="6">
        <f t="shared" si="122"/>
        <v>0</v>
      </c>
      <c r="X3928" s="6">
        <f t="shared" si="123"/>
        <v>0</v>
      </c>
    </row>
    <row r="3929" spans="1:24" x14ac:dyDescent="0.3">
      <c r="A3929" t="s">
        <v>5534</v>
      </c>
      <c r="B3929" t="s">
        <v>5542</v>
      </c>
      <c r="C3929" t="s">
        <v>23</v>
      </c>
      <c r="D3929" t="s">
        <v>24</v>
      </c>
      <c r="E3929" t="s">
        <v>25</v>
      </c>
      <c r="F3929">
        <v>1</v>
      </c>
      <c r="G3929">
        <v>9791170106401</v>
      </c>
      <c r="H3929" t="s">
        <v>67</v>
      </c>
      <c r="I3929" t="s">
        <v>4066</v>
      </c>
      <c r="J3929" t="s">
        <v>69</v>
      </c>
      <c r="K3929" t="s">
        <v>29</v>
      </c>
      <c r="L3929">
        <v>0</v>
      </c>
      <c r="M3929" t="s">
        <v>1482</v>
      </c>
      <c r="N3929">
        <v>0</v>
      </c>
      <c r="O3929">
        <v>0</v>
      </c>
      <c r="P3929" t="s">
        <v>1483</v>
      </c>
      <c r="Q3929" s="2">
        <v>0.7</v>
      </c>
      <c r="R3929">
        <v>0</v>
      </c>
      <c r="V3929" t="str">
        <f>VLOOKUP(H3929,'[1]팀별 출판사'!A:B,2,0)</f>
        <v>소설1팀</v>
      </c>
      <c r="W3929" s="6">
        <f t="shared" si="122"/>
        <v>0</v>
      </c>
      <c r="X3929" s="6">
        <f t="shared" si="123"/>
        <v>0</v>
      </c>
    </row>
    <row r="3930" spans="1:24" x14ac:dyDescent="0.3">
      <c r="A3930" t="s">
        <v>5534</v>
      </c>
      <c r="B3930" t="s">
        <v>5543</v>
      </c>
      <c r="C3930" t="s">
        <v>23</v>
      </c>
      <c r="D3930" t="s">
        <v>24</v>
      </c>
      <c r="E3930" t="s">
        <v>25</v>
      </c>
      <c r="F3930">
        <v>1</v>
      </c>
      <c r="G3930">
        <v>9791170107064</v>
      </c>
      <c r="H3930" t="s">
        <v>67</v>
      </c>
      <c r="I3930" t="s">
        <v>901</v>
      </c>
      <c r="J3930" t="s">
        <v>902</v>
      </c>
      <c r="K3930" t="s">
        <v>29</v>
      </c>
      <c r="L3930">
        <v>0</v>
      </c>
      <c r="M3930" t="s">
        <v>1482</v>
      </c>
      <c r="N3930">
        <v>0</v>
      </c>
      <c r="O3930">
        <v>0</v>
      </c>
      <c r="P3930" t="s">
        <v>1483</v>
      </c>
      <c r="Q3930" s="2">
        <v>0.7</v>
      </c>
      <c r="R3930">
        <v>0</v>
      </c>
      <c r="V3930" t="str">
        <f>VLOOKUP(H3930,'[1]팀별 출판사'!A:B,2,0)</f>
        <v>소설1팀</v>
      </c>
      <c r="W3930" s="6">
        <f t="shared" si="122"/>
        <v>0</v>
      </c>
      <c r="X3930" s="6">
        <f t="shared" si="123"/>
        <v>0</v>
      </c>
    </row>
    <row r="3931" spans="1:24" x14ac:dyDescent="0.3">
      <c r="A3931" t="s">
        <v>5534</v>
      </c>
      <c r="B3931" t="s">
        <v>5544</v>
      </c>
      <c r="C3931" t="s">
        <v>23</v>
      </c>
      <c r="D3931" t="s">
        <v>24</v>
      </c>
      <c r="E3931" t="s">
        <v>25</v>
      </c>
      <c r="F3931">
        <v>1</v>
      </c>
      <c r="G3931">
        <v>9791136942791</v>
      </c>
      <c r="H3931" t="s">
        <v>1617</v>
      </c>
      <c r="I3931" t="s">
        <v>5545</v>
      </c>
      <c r="J3931" t="s">
        <v>4895</v>
      </c>
      <c r="K3931" t="s">
        <v>29</v>
      </c>
      <c r="L3931" s="1">
        <v>3800</v>
      </c>
      <c r="M3931" t="s">
        <v>29</v>
      </c>
      <c r="N3931" s="1">
        <v>3800</v>
      </c>
      <c r="O3931" s="1">
        <v>3800</v>
      </c>
      <c r="P3931" t="s">
        <v>30</v>
      </c>
      <c r="Q3931" s="2">
        <v>0.7</v>
      </c>
      <c r="R3931" s="1">
        <v>2660</v>
      </c>
      <c r="S3931" t="s">
        <v>29</v>
      </c>
      <c r="T3931" s="1">
        <v>2660</v>
      </c>
      <c r="V3931" t="str">
        <f>VLOOKUP(H3931,'[1]팀별 출판사'!A:B,2,0)</f>
        <v>소설2팀</v>
      </c>
      <c r="W3931" s="6">
        <f t="shared" si="122"/>
        <v>0</v>
      </c>
      <c r="X3931" s="6">
        <f t="shared" si="123"/>
        <v>2660</v>
      </c>
    </row>
    <row r="3932" spans="1:24" x14ac:dyDescent="0.3">
      <c r="A3932" t="s">
        <v>5534</v>
      </c>
      <c r="B3932" t="s">
        <v>5544</v>
      </c>
      <c r="C3932" t="s">
        <v>23</v>
      </c>
      <c r="D3932" t="s">
        <v>24</v>
      </c>
      <c r="E3932" t="s">
        <v>25</v>
      </c>
      <c r="F3932">
        <v>1</v>
      </c>
      <c r="G3932">
        <v>9791136942807</v>
      </c>
      <c r="H3932" t="s">
        <v>1617</v>
      </c>
      <c r="I3932" t="s">
        <v>5546</v>
      </c>
      <c r="J3932" t="s">
        <v>4895</v>
      </c>
      <c r="K3932" t="s">
        <v>29</v>
      </c>
      <c r="L3932" s="1">
        <v>3800</v>
      </c>
      <c r="M3932" t="s">
        <v>29</v>
      </c>
      <c r="N3932" s="1">
        <v>3800</v>
      </c>
      <c r="O3932" s="1">
        <v>3800</v>
      </c>
      <c r="P3932" t="s">
        <v>30</v>
      </c>
      <c r="Q3932" s="2">
        <v>0.7</v>
      </c>
      <c r="R3932" s="1">
        <v>2660</v>
      </c>
      <c r="S3932" t="s">
        <v>29</v>
      </c>
      <c r="T3932" s="1">
        <v>2660</v>
      </c>
      <c r="V3932" t="str">
        <f>VLOOKUP(H3932,'[1]팀별 출판사'!A:B,2,0)</f>
        <v>소설2팀</v>
      </c>
      <c r="W3932" s="6">
        <f t="shared" si="122"/>
        <v>0</v>
      </c>
      <c r="X3932" s="6">
        <f t="shared" si="123"/>
        <v>2660</v>
      </c>
    </row>
    <row r="3933" spans="1:24" x14ac:dyDescent="0.3">
      <c r="A3933" t="s">
        <v>5534</v>
      </c>
      <c r="B3933" t="s">
        <v>5547</v>
      </c>
      <c r="C3933" t="s">
        <v>23</v>
      </c>
      <c r="D3933" t="s">
        <v>24</v>
      </c>
      <c r="E3933" t="s">
        <v>25</v>
      </c>
      <c r="F3933">
        <v>1</v>
      </c>
      <c r="G3933">
        <v>9791133157112</v>
      </c>
      <c r="H3933" t="s">
        <v>32</v>
      </c>
      <c r="I3933" t="s">
        <v>527</v>
      </c>
      <c r="J3933" t="s">
        <v>51</v>
      </c>
      <c r="K3933" t="s">
        <v>29</v>
      </c>
      <c r="L3933">
        <v>0</v>
      </c>
      <c r="M3933" t="s">
        <v>29</v>
      </c>
      <c r="N3933">
        <v>0</v>
      </c>
      <c r="O3933">
        <v>0</v>
      </c>
      <c r="P3933" t="s">
        <v>30</v>
      </c>
      <c r="Q3933" s="2">
        <v>0.7</v>
      </c>
      <c r="R3933">
        <v>0</v>
      </c>
      <c r="V3933" t="str">
        <f>VLOOKUP(H3933,'[1]팀별 출판사'!A:B,2,0)</f>
        <v>소설1팀</v>
      </c>
      <c r="W3933" s="6">
        <f t="shared" si="122"/>
        <v>0</v>
      </c>
      <c r="X3933" s="6">
        <f t="shared" si="123"/>
        <v>0</v>
      </c>
    </row>
    <row r="3934" spans="1:24" x14ac:dyDescent="0.3">
      <c r="A3934" t="s">
        <v>5534</v>
      </c>
      <c r="B3934" t="s">
        <v>5548</v>
      </c>
      <c r="C3934" t="s">
        <v>23</v>
      </c>
      <c r="D3934" t="s">
        <v>24</v>
      </c>
      <c r="E3934" t="s">
        <v>25</v>
      </c>
      <c r="F3934">
        <v>1</v>
      </c>
      <c r="G3934">
        <v>9791136935496</v>
      </c>
      <c r="H3934" t="s">
        <v>32</v>
      </c>
      <c r="I3934" t="s">
        <v>441</v>
      </c>
      <c r="J3934" t="s">
        <v>442</v>
      </c>
      <c r="K3934" t="s">
        <v>29</v>
      </c>
      <c r="L3934">
        <v>0</v>
      </c>
      <c r="M3934" t="s">
        <v>127</v>
      </c>
      <c r="N3934">
        <v>0</v>
      </c>
      <c r="O3934">
        <v>0</v>
      </c>
      <c r="P3934" t="s">
        <v>128</v>
      </c>
      <c r="Q3934" s="2">
        <v>0.7</v>
      </c>
      <c r="R3934">
        <v>0</v>
      </c>
      <c r="V3934" t="str">
        <f>VLOOKUP(H3934,'[1]팀별 출판사'!A:B,2,0)</f>
        <v>소설1팀</v>
      </c>
      <c r="W3934" s="6">
        <f t="shared" si="122"/>
        <v>0</v>
      </c>
      <c r="X3934" s="6">
        <f t="shared" si="123"/>
        <v>0</v>
      </c>
    </row>
    <row r="3935" spans="1:24" x14ac:dyDescent="0.3">
      <c r="A3935" t="s">
        <v>5534</v>
      </c>
      <c r="B3935" t="s">
        <v>5549</v>
      </c>
      <c r="C3935" t="s">
        <v>23</v>
      </c>
      <c r="D3935" t="s">
        <v>24</v>
      </c>
      <c r="E3935" t="s">
        <v>25</v>
      </c>
      <c r="F3935">
        <v>1</v>
      </c>
      <c r="G3935" t="s">
        <v>3764</v>
      </c>
      <c r="H3935" t="s">
        <v>208</v>
      </c>
      <c r="I3935" t="s">
        <v>3765</v>
      </c>
      <c r="J3935" t="s">
        <v>210</v>
      </c>
      <c r="K3935" t="s">
        <v>29</v>
      </c>
      <c r="L3935" s="1">
        <v>2000</v>
      </c>
      <c r="M3935" t="s">
        <v>29</v>
      </c>
      <c r="N3935" s="1">
        <v>2000</v>
      </c>
      <c r="O3935" s="1">
        <v>2000</v>
      </c>
      <c r="P3935" t="s">
        <v>30</v>
      </c>
      <c r="Q3935" s="2">
        <v>0.7</v>
      </c>
      <c r="R3935" s="1">
        <v>1400</v>
      </c>
      <c r="S3935" t="s">
        <v>29</v>
      </c>
      <c r="T3935" s="1">
        <v>1400</v>
      </c>
      <c r="V3935" t="str">
        <f>VLOOKUP(H3935,'[1]팀별 출판사'!A:B,2,0)</f>
        <v>소설1팀</v>
      </c>
      <c r="W3935" s="6">
        <f t="shared" si="122"/>
        <v>0</v>
      </c>
      <c r="X3935" s="6">
        <f t="shared" si="123"/>
        <v>1400</v>
      </c>
    </row>
    <row r="3936" spans="1:24" x14ac:dyDescent="0.3">
      <c r="A3936" t="s">
        <v>5534</v>
      </c>
      <c r="B3936" t="s">
        <v>5550</v>
      </c>
      <c r="C3936" t="s">
        <v>23</v>
      </c>
      <c r="D3936" t="s">
        <v>24</v>
      </c>
      <c r="E3936" t="s">
        <v>25</v>
      </c>
      <c r="F3936">
        <v>1</v>
      </c>
      <c r="G3936">
        <v>9791136934925</v>
      </c>
      <c r="H3936" t="s">
        <v>32</v>
      </c>
      <c r="I3936" t="s">
        <v>385</v>
      </c>
      <c r="J3936" t="s">
        <v>126</v>
      </c>
      <c r="K3936" t="s">
        <v>29</v>
      </c>
      <c r="L3936">
        <v>0</v>
      </c>
      <c r="M3936" t="s">
        <v>127</v>
      </c>
      <c r="N3936">
        <v>0</v>
      </c>
      <c r="O3936">
        <v>0</v>
      </c>
      <c r="P3936" t="s">
        <v>128</v>
      </c>
      <c r="Q3936" s="2">
        <v>0.7</v>
      </c>
      <c r="R3936">
        <v>0</v>
      </c>
      <c r="V3936" t="str">
        <f>VLOOKUP(H3936,'[1]팀별 출판사'!A:B,2,0)</f>
        <v>소설1팀</v>
      </c>
      <c r="W3936" s="6">
        <f t="shared" si="122"/>
        <v>0</v>
      </c>
      <c r="X3936" s="6">
        <f t="shared" si="123"/>
        <v>0</v>
      </c>
    </row>
    <row r="3937" spans="1:24" x14ac:dyDescent="0.3">
      <c r="A3937" t="s">
        <v>5534</v>
      </c>
      <c r="B3937" t="s">
        <v>5551</v>
      </c>
      <c r="C3937" t="s">
        <v>23</v>
      </c>
      <c r="D3937" t="s">
        <v>24</v>
      </c>
      <c r="E3937" t="s">
        <v>25</v>
      </c>
      <c r="F3937">
        <v>1</v>
      </c>
      <c r="G3937">
        <v>9791136932648</v>
      </c>
      <c r="H3937" t="s">
        <v>32</v>
      </c>
      <c r="I3937" t="s">
        <v>832</v>
      </c>
      <c r="J3937" t="s">
        <v>34</v>
      </c>
      <c r="K3937" t="s">
        <v>29</v>
      </c>
      <c r="L3937">
        <v>0</v>
      </c>
      <c r="M3937" t="s">
        <v>127</v>
      </c>
      <c r="N3937">
        <v>0</v>
      </c>
      <c r="O3937">
        <v>0</v>
      </c>
      <c r="P3937" t="s">
        <v>128</v>
      </c>
      <c r="Q3937" s="2">
        <v>0.7</v>
      </c>
      <c r="R3937">
        <v>0</v>
      </c>
      <c r="V3937" t="str">
        <f>VLOOKUP(H3937,'[1]팀별 출판사'!A:B,2,0)</f>
        <v>소설1팀</v>
      </c>
      <c r="W3937" s="6">
        <f t="shared" si="122"/>
        <v>0</v>
      </c>
      <c r="X3937" s="6">
        <f t="shared" si="123"/>
        <v>0</v>
      </c>
    </row>
    <row r="3938" spans="1:24" x14ac:dyDescent="0.3">
      <c r="A3938" t="s">
        <v>5534</v>
      </c>
      <c r="B3938" t="s">
        <v>5552</v>
      </c>
      <c r="C3938" t="s">
        <v>23</v>
      </c>
      <c r="D3938" t="s">
        <v>24</v>
      </c>
      <c r="E3938" t="s">
        <v>25</v>
      </c>
      <c r="F3938">
        <v>1</v>
      </c>
      <c r="G3938">
        <v>9791136945013</v>
      </c>
      <c r="H3938" t="s">
        <v>26</v>
      </c>
      <c r="I3938" t="s">
        <v>125</v>
      </c>
      <c r="J3938" t="s">
        <v>126</v>
      </c>
      <c r="K3938" t="s">
        <v>29</v>
      </c>
      <c r="L3938">
        <v>0</v>
      </c>
      <c r="M3938" t="s">
        <v>127</v>
      </c>
      <c r="N3938">
        <v>0</v>
      </c>
      <c r="O3938">
        <v>0</v>
      </c>
      <c r="P3938" t="s">
        <v>128</v>
      </c>
      <c r="Q3938" s="2">
        <v>0.7</v>
      </c>
      <c r="R3938">
        <v>0</v>
      </c>
      <c r="V3938" t="str">
        <f>VLOOKUP(H3938,'[1]팀별 출판사'!A:B,2,0)</f>
        <v>소설1팀</v>
      </c>
      <c r="W3938" s="6">
        <f t="shared" si="122"/>
        <v>0</v>
      </c>
      <c r="X3938" s="6">
        <f t="shared" si="123"/>
        <v>0</v>
      </c>
    </row>
    <row r="3939" spans="1:24" x14ac:dyDescent="0.3">
      <c r="A3939" t="s">
        <v>5534</v>
      </c>
      <c r="B3939" t="s">
        <v>5553</v>
      </c>
      <c r="C3939" t="s">
        <v>23</v>
      </c>
      <c r="D3939" t="s">
        <v>24</v>
      </c>
      <c r="E3939" t="s">
        <v>25</v>
      </c>
      <c r="F3939">
        <v>1</v>
      </c>
      <c r="G3939">
        <v>9791136931382</v>
      </c>
      <c r="H3939" t="s">
        <v>32</v>
      </c>
      <c r="I3939" t="s">
        <v>523</v>
      </c>
      <c r="J3939" t="s">
        <v>46</v>
      </c>
      <c r="K3939" t="s">
        <v>29</v>
      </c>
      <c r="L3939">
        <v>0</v>
      </c>
      <c r="M3939" t="s">
        <v>127</v>
      </c>
      <c r="N3939">
        <v>0</v>
      </c>
      <c r="O3939">
        <v>0</v>
      </c>
      <c r="P3939" t="s">
        <v>128</v>
      </c>
      <c r="Q3939" s="2">
        <v>0.7</v>
      </c>
      <c r="R3939">
        <v>0</v>
      </c>
      <c r="V3939" t="str">
        <f>VLOOKUP(H3939,'[1]팀별 출판사'!A:B,2,0)</f>
        <v>소설1팀</v>
      </c>
      <c r="W3939" s="6">
        <f t="shared" si="122"/>
        <v>0</v>
      </c>
      <c r="X3939" s="6">
        <f t="shared" si="123"/>
        <v>0</v>
      </c>
    </row>
    <row r="3940" spans="1:24" x14ac:dyDescent="0.3">
      <c r="A3940" t="s">
        <v>5534</v>
      </c>
      <c r="B3940" t="s">
        <v>5554</v>
      </c>
      <c r="C3940" t="s">
        <v>23</v>
      </c>
      <c r="D3940" t="s">
        <v>24</v>
      </c>
      <c r="E3940" t="s">
        <v>25</v>
      </c>
      <c r="F3940">
        <v>1</v>
      </c>
      <c r="G3940">
        <v>9791136931375</v>
      </c>
      <c r="H3940" t="s">
        <v>32</v>
      </c>
      <c r="I3940" t="s">
        <v>189</v>
      </c>
      <c r="J3940" t="s">
        <v>46</v>
      </c>
      <c r="K3940" t="s">
        <v>29</v>
      </c>
      <c r="L3940">
        <v>0</v>
      </c>
      <c r="M3940" t="s">
        <v>127</v>
      </c>
      <c r="N3940">
        <v>0</v>
      </c>
      <c r="O3940">
        <v>0</v>
      </c>
      <c r="P3940" t="s">
        <v>128</v>
      </c>
      <c r="Q3940" s="2">
        <v>0.7</v>
      </c>
      <c r="R3940">
        <v>0</v>
      </c>
      <c r="V3940" t="str">
        <f>VLOOKUP(H3940,'[1]팀별 출판사'!A:B,2,0)</f>
        <v>소설1팀</v>
      </c>
      <c r="W3940" s="6">
        <f t="shared" si="122"/>
        <v>0</v>
      </c>
      <c r="X3940" s="6">
        <f t="shared" si="123"/>
        <v>0</v>
      </c>
    </row>
    <row r="3941" spans="1:24" x14ac:dyDescent="0.3">
      <c r="A3941" t="s">
        <v>5534</v>
      </c>
      <c r="B3941" t="s">
        <v>5555</v>
      </c>
      <c r="C3941" t="s">
        <v>23</v>
      </c>
      <c r="D3941" t="s">
        <v>24</v>
      </c>
      <c r="E3941" t="s">
        <v>25</v>
      </c>
      <c r="F3941">
        <v>1</v>
      </c>
      <c r="G3941">
        <v>9791136958709</v>
      </c>
      <c r="H3941" t="s">
        <v>79</v>
      </c>
      <c r="I3941" t="s">
        <v>3053</v>
      </c>
      <c r="J3941" t="s">
        <v>81</v>
      </c>
      <c r="K3941" t="s">
        <v>29</v>
      </c>
      <c r="L3941" s="1">
        <v>3200</v>
      </c>
      <c r="M3941" t="s">
        <v>29</v>
      </c>
      <c r="N3941" s="1">
        <v>3200</v>
      </c>
      <c r="O3941" s="1">
        <v>3200</v>
      </c>
      <c r="P3941" t="s">
        <v>30</v>
      </c>
      <c r="Q3941" s="2">
        <v>0.7</v>
      </c>
      <c r="R3941" s="1">
        <v>2240</v>
      </c>
      <c r="S3941" t="s">
        <v>29</v>
      </c>
      <c r="T3941" s="1">
        <v>2240</v>
      </c>
      <c r="V3941" t="str">
        <f>VLOOKUP(H3941,'[1]팀별 출판사'!A:B,2,0)</f>
        <v>소설1팀</v>
      </c>
      <c r="W3941" s="6">
        <f t="shared" si="122"/>
        <v>0</v>
      </c>
      <c r="X3941" s="6">
        <f t="shared" si="123"/>
        <v>2240</v>
      </c>
    </row>
    <row r="3942" spans="1:24" x14ac:dyDescent="0.3">
      <c r="A3942" t="s">
        <v>5534</v>
      </c>
      <c r="B3942" t="s">
        <v>5556</v>
      </c>
      <c r="C3942" t="s">
        <v>23</v>
      </c>
      <c r="D3942" t="s">
        <v>24</v>
      </c>
      <c r="E3942" t="s">
        <v>25</v>
      </c>
      <c r="F3942">
        <v>1</v>
      </c>
      <c r="G3942">
        <v>9791133157112</v>
      </c>
      <c r="H3942" t="s">
        <v>32</v>
      </c>
      <c r="I3942" t="s">
        <v>527</v>
      </c>
      <c r="J3942" t="s">
        <v>51</v>
      </c>
      <c r="K3942" t="s">
        <v>29</v>
      </c>
      <c r="L3942">
        <v>0</v>
      </c>
      <c r="M3942" t="s">
        <v>933</v>
      </c>
      <c r="N3942">
        <v>0</v>
      </c>
      <c r="O3942">
        <v>0</v>
      </c>
      <c r="P3942" t="s">
        <v>934</v>
      </c>
      <c r="Q3942" s="2">
        <v>0.7</v>
      </c>
      <c r="R3942">
        <v>0</v>
      </c>
      <c r="V3942" t="str">
        <f>VLOOKUP(H3942,'[1]팀별 출판사'!A:B,2,0)</f>
        <v>소설1팀</v>
      </c>
      <c r="W3942" s="6">
        <f t="shared" si="122"/>
        <v>0</v>
      </c>
      <c r="X3942" s="6">
        <f t="shared" si="123"/>
        <v>0</v>
      </c>
    </row>
    <row r="3943" spans="1:24" x14ac:dyDescent="0.3">
      <c r="A3943" t="s">
        <v>5534</v>
      </c>
      <c r="B3943" t="s">
        <v>5557</v>
      </c>
      <c r="C3943" t="s">
        <v>23</v>
      </c>
      <c r="D3943" t="s">
        <v>24</v>
      </c>
      <c r="E3943" t="s">
        <v>25</v>
      </c>
      <c r="F3943">
        <v>1</v>
      </c>
      <c r="G3943">
        <v>9791136988256</v>
      </c>
      <c r="H3943" t="s">
        <v>26</v>
      </c>
      <c r="I3943" t="s">
        <v>2353</v>
      </c>
      <c r="J3943" t="s">
        <v>28</v>
      </c>
      <c r="K3943" t="s">
        <v>29</v>
      </c>
      <c r="L3943" s="1">
        <v>3200</v>
      </c>
      <c r="M3943" t="s">
        <v>29</v>
      </c>
      <c r="N3943" s="1">
        <v>3200</v>
      </c>
      <c r="O3943" s="1">
        <v>3200</v>
      </c>
      <c r="P3943" t="s">
        <v>30</v>
      </c>
      <c r="Q3943" s="2">
        <v>0.7</v>
      </c>
      <c r="R3943" s="1">
        <v>2240</v>
      </c>
      <c r="S3943" t="s">
        <v>29</v>
      </c>
      <c r="T3943" s="1">
        <v>2240</v>
      </c>
      <c r="V3943" t="str">
        <f>VLOOKUP(H3943,'[1]팀별 출판사'!A:B,2,0)</f>
        <v>소설1팀</v>
      </c>
      <c r="W3943" s="6">
        <f t="shared" si="122"/>
        <v>0</v>
      </c>
      <c r="X3943" s="6">
        <f t="shared" si="123"/>
        <v>2240</v>
      </c>
    </row>
    <row r="3944" spans="1:24" x14ac:dyDescent="0.3">
      <c r="A3944" t="s">
        <v>5534</v>
      </c>
      <c r="B3944" t="s">
        <v>5558</v>
      </c>
      <c r="C3944" t="s">
        <v>23</v>
      </c>
      <c r="D3944" t="s">
        <v>24</v>
      </c>
      <c r="E3944" t="s">
        <v>25</v>
      </c>
      <c r="F3944">
        <v>1</v>
      </c>
      <c r="G3944">
        <v>9791157539734</v>
      </c>
      <c r="H3944" t="s">
        <v>32</v>
      </c>
      <c r="I3944" t="s">
        <v>3845</v>
      </c>
      <c r="J3944" t="s">
        <v>88</v>
      </c>
      <c r="K3944" t="s">
        <v>29</v>
      </c>
      <c r="L3944" s="1">
        <v>3200</v>
      </c>
      <c r="M3944" t="s">
        <v>29</v>
      </c>
      <c r="N3944" s="1">
        <v>3200</v>
      </c>
      <c r="O3944" s="1">
        <v>3200</v>
      </c>
      <c r="P3944" t="s">
        <v>30</v>
      </c>
      <c r="Q3944" s="2">
        <v>0.7</v>
      </c>
      <c r="R3944" s="1">
        <v>2240</v>
      </c>
      <c r="S3944" t="s">
        <v>29</v>
      </c>
      <c r="T3944" s="1">
        <v>2240</v>
      </c>
      <c r="V3944" t="str">
        <f>VLOOKUP(H3944,'[1]팀별 출판사'!A:B,2,0)</f>
        <v>소설1팀</v>
      </c>
      <c r="W3944" s="6">
        <f t="shared" si="122"/>
        <v>0</v>
      </c>
      <c r="X3944" s="6">
        <f t="shared" si="123"/>
        <v>2240</v>
      </c>
    </row>
    <row r="3945" spans="1:24" x14ac:dyDescent="0.3">
      <c r="A3945" t="s">
        <v>5534</v>
      </c>
      <c r="B3945" t="s">
        <v>5559</v>
      </c>
      <c r="C3945" t="s">
        <v>23</v>
      </c>
      <c r="D3945" t="s">
        <v>24</v>
      </c>
      <c r="E3945" t="s">
        <v>25</v>
      </c>
      <c r="F3945">
        <v>1</v>
      </c>
      <c r="G3945">
        <v>9791136900203</v>
      </c>
      <c r="H3945" t="s">
        <v>26</v>
      </c>
      <c r="I3945" t="s">
        <v>5560</v>
      </c>
      <c r="J3945" t="s">
        <v>436</v>
      </c>
      <c r="K3945" t="s">
        <v>29</v>
      </c>
      <c r="L3945" s="1">
        <v>3200</v>
      </c>
      <c r="M3945" t="s">
        <v>29</v>
      </c>
      <c r="N3945" s="1">
        <v>3200</v>
      </c>
      <c r="O3945" s="1">
        <v>3200</v>
      </c>
      <c r="P3945" t="s">
        <v>30</v>
      </c>
      <c r="Q3945" s="2">
        <v>0.7</v>
      </c>
      <c r="R3945" s="1">
        <v>2240</v>
      </c>
      <c r="S3945" t="s">
        <v>29</v>
      </c>
      <c r="T3945" s="1">
        <v>2240</v>
      </c>
      <c r="V3945" t="str">
        <f>VLOOKUP(H3945,'[1]팀별 출판사'!A:B,2,0)</f>
        <v>소설1팀</v>
      </c>
      <c r="W3945" s="6">
        <f t="shared" si="122"/>
        <v>0</v>
      </c>
      <c r="X3945" s="6">
        <f t="shared" si="123"/>
        <v>2240</v>
      </c>
    </row>
    <row r="3946" spans="1:24" x14ac:dyDescent="0.3">
      <c r="A3946" t="s">
        <v>5534</v>
      </c>
      <c r="B3946" t="s">
        <v>5561</v>
      </c>
      <c r="C3946" t="s">
        <v>23</v>
      </c>
      <c r="D3946" t="s">
        <v>24</v>
      </c>
      <c r="E3946" t="s">
        <v>25</v>
      </c>
      <c r="F3946">
        <v>1</v>
      </c>
      <c r="G3946">
        <v>9791136907387</v>
      </c>
      <c r="H3946" t="s">
        <v>26</v>
      </c>
      <c r="I3946" t="s">
        <v>5562</v>
      </c>
      <c r="J3946" t="s">
        <v>1348</v>
      </c>
      <c r="K3946" t="s">
        <v>29</v>
      </c>
      <c r="L3946" s="1">
        <v>3200</v>
      </c>
      <c r="M3946" t="s">
        <v>29</v>
      </c>
      <c r="N3946" s="1">
        <v>3200</v>
      </c>
      <c r="O3946" s="1">
        <v>3200</v>
      </c>
      <c r="P3946" t="s">
        <v>30</v>
      </c>
      <c r="Q3946" s="2">
        <v>0.7</v>
      </c>
      <c r="R3946" s="1">
        <v>2240</v>
      </c>
      <c r="S3946" t="s">
        <v>29</v>
      </c>
      <c r="T3946" s="1">
        <v>2240</v>
      </c>
      <c r="V3946" t="str">
        <f>VLOOKUP(H3946,'[1]팀별 출판사'!A:B,2,0)</f>
        <v>소설1팀</v>
      </c>
      <c r="W3946" s="6">
        <f t="shared" si="122"/>
        <v>0</v>
      </c>
      <c r="X3946" s="6">
        <f t="shared" si="123"/>
        <v>2240</v>
      </c>
    </row>
    <row r="3947" spans="1:24" x14ac:dyDescent="0.3">
      <c r="A3947" t="s">
        <v>5534</v>
      </c>
      <c r="B3947" t="s">
        <v>5563</v>
      </c>
      <c r="C3947" t="s">
        <v>23</v>
      </c>
      <c r="D3947" t="s">
        <v>24</v>
      </c>
      <c r="E3947" t="s">
        <v>25</v>
      </c>
      <c r="F3947">
        <v>1</v>
      </c>
      <c r="G3947">
        <v>9791136958716</v>
      </c>
      <c r="H3947" t="s">
        <v>79</v>
      </c>
      <c r="I3947" t="s">
        <v>2276</v>
      </c>
      <c r="J3947" t="s">
        <v>81</v>
      </c>
      <c r="K3947" t="s">
        <v>29</v>
      </c>
      <c r="L3947" s="1">
        <v>3200</v>
      </c>
      <c r="M3947" t="s">
        <v>29</v>
      </c>
      <c r="N3947" s="1">
        <v>3200</v>
      </c>
      <c r="O3947" s="1">
        <v>3200</v>
      </c>
      <c r="P3947" t="s">
        <v>30</v>
      </c>
      <c r="Q3947" s="2">
        <v>0.7</v>
      </c>
      <c r="R3947" s="1">
        <v>2240</v>
      </c>
      <c r="S3947" t="s">
        <v>29</v>
      </c>
      <c r="T3947" s="1">
        <v>2240</v>
      </c>
      <c r="V3947" t="str">
        <f>VLOOKUP(H3947,'[1]팀별 출판사'!A:B,2,0)</f>
        <v>소설1팀</v>
      </c>
      <c r="W3947" s="6">
        <f t="shared" si="122"/>
        <v>0</v>
      </c>
      <c r="X3947" s="6">
        <f t="shared" si="123"/>
        <v>2240</v>
      </c>
    </row>
    <row r="3948" spans="1:24" x14ac:dyDescent="0.3">
      <c r="A3948" t="s">
        <v>5534</v>
      </c>
      <c r="B3948" t="s">
        <v>5564</v>
      </c>
      <c r="C3948" t="s">
        <v>23</v>
      </c>
      <c r="D3948" t="s">
        <v>24</v>
      </c>
      <c r="E3948" t="s">
        <v>25</v>
      </c>
      <c r="F3948">
        <v>1</v>
      </c>
      <c r="G3948">
        <v>9791133167272</v>
      </c>
      <c r="H3948" t="s">
        <v>32</v>
      </c>
      <c r="I3948" t="s">
        <v>2235</v>
      </c>
      <c r="J3948" t="s">
        <v>160</v>
      </c>
      <c r="K3948" t="s">
        <v>29</v>
      </c>
      <c r="L3948" s="1">
        <v>2500</v>
      </c>
      <c r="M3948" t="s">
        <v>29</v>
      </c>
      <c r="N3948" s="1">
        <v>2500</v>
      </c>
      <c r="O3948" s="1">
        <v>2500</v>
      </c>
      <c r="P3948" t="s">
        <v>30</v>
      </c>
      <c r="Q3948" s="2">
        <v>0.7</v>
      </c>
      <c r="R3948" s="1">
        <v>1750</v>
      </c>
      <c r="S3948" t="s">
        <v>29</v>
      </c>
      <c r="T3948" s="1">
        <v>1750</v>
      </c>
      <c r="V3948" t="str">
        <f>VLOOKUP(H3948,'[1]팀별 출판사'!A:B,2,0)</f>
        <v>소설1팀</v>
      </c>
      <c r="W3948" s="6">
        <f t="shared" si="122"/>
        <v>0</v>
      </c>
      <c r="X3948" s="6">
        <f t="shared" si="123"/>
        <v>1750</v>
      </c>
    </row>
    <row r="3949" spans="1:24" x14ac:dyDescent="0.3">
      <c r="A3949" t="s">
        <v>5534</v>
      </c>
      <c r="B3949" t="s">
        <v>5565</v>
      </c>
      <c r="C3949" t="s">
        <v>23</v>
      </c>
      <c r="D3949" t="s">
        <v>24</v>
      </c>
      <c r="E3949" t="s">
        <v>25</v>
      </c>
      <c r="F3949">
        <v>1</v>
      </c>
      <c r="G3949">
        <v>9791136930491</v>
      </c>
      <c r="H3949" t="s">
        <v>26</v>
      </c>
      <c r="I3949" t="s">
        <v>151</v>
      </c>
      <c r="J3949" t="s">
        <v>46</v>
      </c>
      <c r="K3949" t="s">
        <v>29</v>
      </c>
      <c r="L3949">
        <v>0</v>
      </c>
      <c r="M3949" t="s">
        <v>152</v>
      </c>
      <c r="N3949">
        <v>0</v>
      </c>
      <c r="O3949">
        <v>0</v>
      </c>
      <c r="P3949" t="s">
        <v>153</v>
      </c>
      <c r="Q3949" s="2">
        <v>0.7</v>
      </c>
      <c r="R3949">
        <v>0</v>
      </c>
      <c r="V3949" t="str">
        <f>VLOOKUP(H3949,'[1]팀별 출판사'!A:B,2,0)</f>
        <v>소설1팀</v>
      </c>
      <c r="W3949" s="6">
        <f t="shared" si="122"/>
        <v>0</v>
      </c>
      <c r="X3949" s="6">
        <f t="shared" si="123"/>
        <v>0</v>
      </c>
    </row>
    <row r="3950" spans="1:24" x14ac:dyDescent="0.3">
      <c r="A3950" t="s">
        <v>5534</v>
      </c>
      <c r="B3950" t="s">
        <v>5566</v>
      </c>
      <c r="C3950" t="s">
        <v>23</v>
      </c>
      <c r="D3950" t="s">
        <v>24</v>
      </c>
      <c r="E3950" t="s">
        <v>25</v>
      </c>
      <c r="F3950">
        <v>1</v>
      </c>
      <c r="G3950">
        <v>9791136946782</v>
      </c>
      <c r="H3950" t="s">
        <v>26</v>
      </c>
      <c r="I3950" t="s">
        <v>291</v>
      </c>
      <c r="J3950" t="s">
        <v>28</v>
      </c>
      <c r="K3950" t="s">
        <v>29</v>
      </c>
      <c r="L3950">
        <v>0</v>
      </c>
      <c r="M3950" t="s">
        <v>29</v>
      </c>
      <c r="N3950">
        <v>0</v>
      </c>
      <c r="O3950">
        <v>0</v>
      </c>
      <c r="P3950" t="s">
        <v>30</v>
      </c>
      <c r="Q3950" s="2">
        <v>0.7</v>
      </c>
      <c r="R3950">
        <v>0</v>
      </c>
      <c r="V3950" t="str">
        <f>VLOOKUP(H3950,'[1]팀별 출판사'!A:B,2,0)</f>
        <v>소설1팀</v>
      </c>
      <c r="W3950" s="6">
        <f t="shared" si="122"/>
        <v>0</v>
      </c>
      <c r="X3950" s="6">
        <f t="shared" si="123"/>
        <v>0</v>
      </c>
    </row>
    <row r="3951" spans="1:24" x14ac:dyDescent="0.3">
      <c r="A3951" t="s">
        <v>5534</v>
      </c>
      <c r="B3951" t="s">
        <v>5567</v>
      </c>
      <c r="C3951" t="s">
        <v>23</v>
      </c>
      <c r="D3951" t="s">
        <v>24</v>
      </c>
      <c r="E3951" t="s">
        <v>25</v>
      </c>
      <c r="F3951">
        <v>1</v>
      </c>
      <c r="G3951" t="s">
        <v>5568</v>
      </c>
      <c r="H3951" t="s">
        <v>32</v>
      </c>
      <c r="I3951" t="s">
        <v>5569</v>
      </c>
      <c r="J3951" t="s">
        <v>5570</v>
      </c>
      <c r="K3951" t="s">
        <v>29</v>
      </c>
      <c r="L3951">
        <v>0</v>
      </c>
      <c r="M3951" t="s">
        <v>29</v>
      </c>
      <c r="N3951">
        <v>0</v>
      </c>
      <c r="O3951">
        <v>0</v>
      </c>
      <c r="P3951" t="s">
        <v>30</v>
      </c>
      <c r="Q3951" s="2">
        <v>0.7</v>
      </c>
      <c r="R3951">
        <v>0</v>
      </c>
      <c r="V3951" t="str">
        <f>VLOOKUP(H3951,'[1]팀별 출판사'!A:B,2,0)</f>
        <v>소설1팀</v>
      </c>
      <c r="W3951" s="6">
        <f t="shared" si="122"/>
        <v>0</v>
      </c>
      <c r="X3951" s="6">
        <f t="shared" si="123"/>
        <v>0</v>
      </c>
    </row>
    <row r="3952" spans="1:24" x14ac:dyDescent="0.3">
      <c r="A3952" t="s">
        <v>5534</v>
      </c>
      <c r="B3952" t="s">
        <v>5571</v>
      </c>
      <c r="C3952" t="s">
        <v>23</v>
      </c>
      <c r="D3952" t="s">
        <v>24</v>
      </c>
      <c r="E3952" t="s">
        <v>25</v>
      </c>
      <c r="F3952">
        <v>1</v>
      </c>
      <c r="G3952">
        <v>9791133186501</v>
      </c>
      <c r="H3952" t="s">
        <v>26</v>
      </c>
      <c r="I3952" t="s">
        <v>64</v>
      </c>
      <c r="J3952" t="s">
        <v>65</v>
      </c>
      <c r="K3952" t="s">
        <v>29</v>
      </c>
      <c r="L3952">
        <v>0</v>
      </c>
      <c r="M3952" t="s">
        <v>29</v>
      </c>
      <c r="N3952">
        <v>0</v>
      </c>
      <c r="O3952">
        <v>0</v>
      </c>
      <c r="P3952" t="s">
        <v>30</v>
      </c>
      <c r="Q3952" s="2">
        <v>0.7</v>
      </c>
      <c r="R3952">
        <v>0</v>
      </c>
      <c r="V3952" t="str">
        <f>VLOOKUP(H3952,'[1]팀별 출판사'!A:B,2,0)</f>
        <v>소설1팀</v>
      </c>
      <c r="W3952" s="6">
        <f t="shared" si="122"/>
        <v>0</v>
      </c>
      <c r="X3952" s="6">
        <f t="shared" si="123"/>
        <v>0</v>
      </c>
    </row>
    <row r="3953" spans="1:24" x14ac:dyDescent="0.3">
      <c r="A3953" t="s">
        <v>5534</v>
      </c>
      <c r="B3953" t="s">
        <v>5572</v>
      </c>
      <c r="C3953" t="s">
        <v>23</v>
      </c>
      <c r="D3953" t="s">
        <v>24</v>
      </c>
      <c r="E3953" t="s">
        <v>25</v>
      </c>
      <c r="F3953">
        <v>1</v>
      </c>
      <c r="G3953">
        <v>9791133128334</v>
      </c>
      <c r="H3953" t="s">
        <v>32</v>
      </c>
      <c r="I3953" t="s">
        <v>5573</v>
      </c>
      <c r="J3953" t="s">
        <v>4056</v>
      </c>
      <c r="K3953" t="s">
        <v>29</v>
      </c>
      <c r="L3953">
        <v>0</v>
      </c>
      <c r="M3953" t="s">
        <v>29</v>
      </c>
      <c r="N3953">
        <v>0</v>
      </c>
      <c r="O3953">
        <v>0</v>
      </c>
      <c r="P3953" t="s">
        <v>30</v>
      </c>
      <c r="Q3953" s="2">
        <v>0.7</v>
      </c>
      <c r="R3953">
        <v>0</v>
      </c>
      <c r="V3953" t="str">
        <f>VLOOKUP(H3953,'[1]팀별 출판사'!A:B,2,0)</f>
        <v>소설1팀</v>
      </c>
      <c r="W3953" s="6">
        <f t="shared" si="122"/>
        <v>0</v>
      </c>
      <c r="X3953" s="6">
        <f t="shared" si="123"/>
        <v>0</v>
      </c>
    </row>
    <row r="3954" spans="1:24" x14ac:dyDescent="0.3">
      <c r="A3954" t="s">
        <v>5534</v>
      </c>
      <c r="B3954" t="s">
        <v>5574</v>
      </c>
      <c r="C3954" t="s">
        <v>23</v>
      </c>
      <c r="D3954" t="s">
        <v>24</v>
      </c>
      <c r="E3954" t="s">
        <v>25</v>
      </c>
      <c r="F3954">
        <v>1</v>
      </c>
      <c r="G3954">
        <v>9791136958730</v>
      </c>
      <c r="H3954" t="s">
        <v>79</v>
      </c>
      <c r="I3954" t="s">
        <v>2775</v>
      </c>
      <c r="J3954" t="s">
        <v>81</v>
      </c>
      <c r="K3954" t="s">
        <v>29</v>
      </c>
      <c r="L3954" s="1">
        <v>3200</v>
      </c>
      <c r="M3954" t="s">
        <v>29</v>
      </c>
      <c r="N3954" s="1">
        <v>3200</v>
      </c>
      <c r="O3954" s="1">
        <v>3200</v>
      </c>
      <c r="P3954" t="s">
        <v>30</v>
      </c>
      <c r="Q3954" s="2">
        <v>0.7</v>
      </c>
      <c r="R3954" s="1">
        <v>2240</v>
      </c>
      <c r="S3954" t="s">
        <v>29</v>
      </c>
      <c r="T3954" s="1">
        <v>2240</v>
      </c>
      <c r="V3954" t="str">
        <f>VLOOKUP(H3954,'[1]팀별 출판사'!A:B,2,0)</f>
        <v>소설1팀</v>
      </c>
      <c r="W3954" s="6">
        <f t="shared" si="122"/>
        <v>0</v>
      </c>
      <c r="X3954" s="6">
        <f t="shared" si="123"/>
        <v>2240</v>
      </c>
    </row>
    <row r="3955" spans="1:24" x14ac:dyDescent="0.3">
      <c r="A3955" t="s">
        <v>5534</v>
      </c>
      <c r="B3955" t="s">
        <v>5575</v>
      </c>
      <c r="C3955" t="s">
        <v>23</v>
      </c>
      <c r="D3955" t="s">
        <v>24</v>
      </c>
      <c r="E3955" t="s">
        <v>25</v>
      </c>
      <c r="F3955">
        <v>1</v>
      </c>
      <c r="G3955">
        <v>9791133130832</v>
      </c>
      <c r="H3955" t="s">
        <v>32</v>
      </c>
      <c r="I3955" t="s">
        <v>5576</v>
      </c>
      <c r="J3955" t="s">
        <v>160</v>
      </c>
      <c r="K3955" t="s">
        <v>29</v>
      </c>
      <c r="L3955" s="1">
        <v>3500</v>
      </c>
      <c r="M3955" t="s">
        <v>29</v>
      </c>
      <c r="N3955" s="1">
        <v>3500</v>
      </c>
      <c r="O3955" s="1">
        <v>3500</v>
      </c>
      <c r="P3955" t="s">
        <v>30</v>
      </c>
      <c r="Q3955" s="2">
        <v>0.7</v>
      </c>
      <c r="R3955" s="1">
        <v>2450</v>
      </c>
      <c r="S3955" t="s">
        <v>29</v>
      </c>
      <c r="T3955" s="1">
        <v>2450</v>
      </c>
      <c r="V3955" t="str">
        <f>VLOOKUP(H3955,'[1]팀별 출판사'!A:B,2,0)</f>
        <v>소설1팀</v>
      </c>
      <c r="W3955" s="6">
        <f t="shared" si="122"/>
        <v>0</v>
      </c>
      <c r="X3955" s="6">
        <f t="shared" si="123"/>
        <v>2450</v>
      </c>
    </row>
    <row r="3956" spans="1:24" x14ac:dyDescent="0.3">
      <c r="A3956" t="s">
        <v>5534</v>
      </c>
      <c r="B3956" t="s">
        <v>5577</v>
      </c>
      <c r="C3956" t="s">
        <v>23</v>
      </c>
      <c r="D3956" t="s">
        <v>24</v>
      </c>
      <c r="E3956" t="s">
        <v>25</v>
      </c>
      <c r="F3956">
        <v>1</v>
      </c>
      <c r="G3956">
        <v>9791133109036</v>
      </c>
      <c r="H3956" t="s">
        <v>32</v>
      </c>
      <c r="I3956" t="s">
        <v>5578</v>
      </c>
      <c r="J3956" t="s">
        <v>144</v>
      </c>
      <c r="K3956" t="s">
        <v>29</v>
      </c>
      <c r="L3956" s="1">
        <v>3200</v>
      </c>
      <c r="M3956" t="s">
        <v>29</v>
      </c>
      <c r="N3956" s="1">
        <v>3200</v>
      </c>
      <c r="O3956" s="1">
        <v>3200</v>
      </c>
      <c r="P3956" t="s">
        <v>30</v>
      </c>
      <c r="Q3956" s="2">
        <v>0.7</v>
      </c>
      <c r="R3956" s="1">
        <v>2240</v>
      </c>
      <c r="S3956" t="s">
        <v>29</v>
      </c>
      <c r="T3956" s="1">
        <v>2240</v>
      </c>
      <c r="V3956" t="str">
        <f>VLOOKUP(H3956,'[1]팀별 출판사'!A:B,2,0)</f>
        <v>소설1팀</v>
      </c>
      <c r="W3956" s="6">
        <f t="shared" si="122"/>
        <v>0</v>
      </c>
      <c r="X3956" s="6">
        <f t="shared" si="123"/>
        <v>2240</v>
      </c>
    </row>
    <row r="3957" spans="1:24" x14ac:dyDescent="0.3">
      <c r="A3957" t="s">
        <v>5534</v>
      </c>
      <c r="B3957" t="s">
        <v>5579</v>
      </c>
      <c r="C3957" t="s">
        <v>23</v>
      </c>
      <c r="D3957" t="s">
        <v>24</v>
      </c>
      <c r="E3957" t="s">
        <v>25</v>
      </c>
      <c r="F3957">
        <v>1</v>
      </c>
      <c r="G3957">
        <v>9791136958747</v>
      </c>
      <c r="H3957" t="s">
        <v>79</v>
      </c>
      <c r="I3957" t="s">
        <v>3014</v>
      </c>
      <c r="J3957" t="s">
        <v>81</v>
      </c>
      <c r="K3957" t="s">
        <v>29</v>
      </c>
      <c r="L3957" s="1">
        <v>3200</v>
      </c>
      <c r="M3957" t="s">
        <v>29</v>
      </c>
      <c r="N3957" s="1">
        <v>3200</v>
      </c>
      <c r="O3957" s="1">
        <v>3200</v>
      </c>
      <c r="P3957" t="s">
        <v>30</v>
      </c>
      <c r="Q3957" s="2">
        <v>0.7</v>
      </c>
      <c r="R3957" s="1">
        <v>2240</v>
      </c>
      <c r="S3957" t="s">
        <v>29</v>
      </c>
      <c r="T3957" s="1">
        <v>2240</v>
      </c>
      <c r="V3957" t="str">
        <f>VLOOKUP(H3957,'[1]팀별 출판사'!A:B,2,0)</f>
        <v>소설1팀</v>
      </c>
      <c r="W3957" s="6">
        <f t="shared" si="122"/>
        <v>0</v>
      </c>
      <c r="X3957" s="6">
        <f t="shared" si="123"/>
        <v>2240</v>
      </c>
    </row>
    <row r="3958" spans="1:24" x14ac:dyDescent="0.3">
      <c r="A3958" t="s">
        <v>5534</v>
      </c>
      <c r="B3958" t="s">
        <v>5580</v>
      </c>
      <c r="C3958" t="s">
        <v>23</v>
      </c>
      <c r="D3958" t="s">
        <v>24</v>
      </c>
      <c r="E3958" t="s">
        <v>25</v>
      </c>
      <c r="F3958">
        <v>1</v>
      </c>
      <c r="G3958">
        <v>9791136958754</v>
      </c>
      <c r="H3958" t="s">
        <v>79</v>
      </c>
      <c r="I3958" t="s">
        <v>3669</v>
      </c>
      <c r="J3958" t="s">
        <v>81</v>
      </c>
      <c r="K3958" t="s">
        <v>29</v>
      </c>
      <c r="L3958" s="1">
        <v>3200</v>
      </c>
      <c r="M3958" t="s">
        <v>29</v>
      </c>
      <c r="N3958" s="1">
        <v>3200</v>
      </c>
      <c r="O3958" s="1">
        <v>3200</v>
      </c>
      <c r="P3958" t="s">
        <v>30</v>
      </c>
      <c r="Q3958" s="2">
        <v>0.7</v>
      </c>
      <c r="R3958" s="1">
        <v>2240</v>
      </c>
      <c r="S3958" t="s">
        <v>29</v>
      </c>
      <c r="T3958" s="1">
        <v>2240</v>
      </c>
      <c r="V3958" t="str">
        <f>VLOOKUP(H3958,'[1]팀별 출판사'!A:B,2,0)</f>
        <v>소설1팀</v>
      </c>
      <c r="W3958" s="6">
        <f t="shared" si="122"/>
        <v>0</v>
      </c>
      <c r="X3958" s="6">
        <f t="shared" si="123"/>
        <v>2240</v>
      </c>
    </row>
    <row r="3959" spans="1:24" x14ac:dyDescent="0.3">
      <c r="A3959" t="s">
        <v>5534</v>
      </c>
      <c r="B3959" t="s">
        <v>5581</v>
      </c>
      <c r="C3959" t="s">
        <v>23</v>
      </c>
      <c r="D3959" t="s">
        <v>24</v>
      </c>
      <c r="E3959" t="s">
        <v>25</v>
      </c>
      <c r="F3959">
        <v>1</v>
      </c>
      <c r="G3959">
        <v>9791136928511</v>
      </c>
      <c r="H3959" t="s">
        <v>26</v>
      </c>
      <c r="I3959" t="s">
        <v>5582</v>
      </c>
      <c r="J3959" t="s">
        <v>1348</v>
      </c>
      <c r="K3959" t="s">
        <v>29</v>
      </c>
      <c r="L3959" s="1">
        <v>3200</v>
      </c>
      <c r="M3959" t="s">
        <v>29</v>
      </c>
      <c r="N3959" s="1">
        <v>3200</v>
      </c>
      <c r="O3959" s="1">
        <v>3200</v>
      </c>
      <c r="P3959" t="s">
        <v>30</v>
      </c>
      <c r="Q3959" s="2">
        <v>0.7</v>
      </c>
      <c r="R3959" s="1">
        <v>2240</v>
      </c>
      <c r="S3959" t="s">
        <v>29</v>
      </c>
      <c r="T3959" s="1">
        <v>2240</v>
      </c>
      <c r="V3959" t="str">
        <f>VLOOKUP(H3959,'[1]팀별 출판사'!A:B,2,0)</f>
        <v>소설1팀</v>
      </c>
      <c r="W3959" s="6">
        <f t="shared" si="122"/>
        <v>0</v>
      </c>
      <c r="X3959" s="6">
        <f t="shared" si="123"/>
        <v>2240</v>
      </c>
    </row>
    <row r="3960" spans="1:24" x14ac:dyDescent="0.3">
      <c r="A3960" t="s">
        <v>5534</v>
      </c>
      <c r="B3960" t="s">
        <v>5583</v>
      </c>
      <c r="C3960" t="s">
        <v>23</v>
      </c>
      <c r="D3960" t="s">
        <v>24</v>
      </c>
      <c r="E3960" t="s">
        <v>25</v>
      </c>
      <c r="F3960">
        <v>1</v>
      </c>
      <c r="G3960">
        <v>9791136965455</v>
      </c>
      <c r="H3960" t="s">
        <v>26</v>
      </c>
      <c r="I3960" t="s">
        <v>472</v>
      </c>
      <c r="J3960" t="s">
        <v>157</v>
      </c>
      <c r="K3960" t="s">
        <v>29</v>
      </c>
      <c r="L3960">
        <v>0</v>
      </c>
      <c r="M3960" t="s">
        <v>47</v>
      </c>
      <c r="N3960">
        <v>0</v>
      </c>
      <c r="O3960">
        <v>0</v>
      </c>
      <c r="P3960" t="s">
        <v>48</v>
      </c>
      <c r="Q3960" s="2">
        <v>0.7</v>
      </c>
      <c r="R3960">
        <v>0</v>
      </c>
      <c r="V3960" t="str">
        <f>VLOOKUP(H3960,'[1]팀별 출판사'!A:B,2,0)</f>
        <v>소설1팀</v>
      </c>
      <c r="W3960" s="6">
        <f t="shared" si="122"/>
        <v>0</v>
      </c>
      <c r="X3960" s="6">
        <f t="shared" si="123"/>
        <v>0</v>
      </c>
    </row>
    <row r="3961" spans="1:24" x14ac:dyDescent="0.3">
      <c r="A3961" t="s">
        <v>5534</v>
      </c>
      <c r="B3961" t="s">
        <v>5584</v>
      </c>
      <c r="C3961" t="s">
        <v>23</v>
      </c>
      <c r="D3961" t="s">
        <v>24</v>
      </c>
      <c r="E3961" t="s">
        <v>25</v>
      </c>
      <c r="F3961">
        <v>1</v>
      </c>
      <c r="G3961">
        <v>9791136931375</v>
      </c>
      <c r="H3961" t="s">
        <v>32</v>
      </c>
      <c r="I3961" t="s">
        <v>189</v>
      </c>
      <c r="J3961" t="s">
        <v>46</v>
      </c>
      <c r="K3961" t="s">
        <v>29</v>
      </c>
      <c r="L3961">
        <v>0</v>
      </c>
      <c r="M3961" t="s">
        <v>152</v>
      </c>
      <c r="N3961">
        <v>0</v>
      </c>
      <c r="O3961">
        <v>0</v>
      </c>
      <c r="P3961" t="s">
        <v>153</v>
      </c>
      <c r="Q3961" s="2">
        <v>0.7</v>
      </c>
      <c r="R3961">
        <v>0</v>
      </c>
      <c r="V3961" t="str">
        <f>VLOOKUP(H3961,'[1]팀별 출판사'!A:B,2,0)</f>
        <v>소설1팀</v>
      </c>
      <c r="W3961" s="6">
        <f t="shared" si="122"/>
        <v>0</v>
      </c>
      <c r="X3961" s="6">
        <f t="shared" si="123"/>
        <v>0</v>
      </c>
    </row>
    <row r="3962" spans="1:24" x14ac:dyDescent="0.3">
      <c r="A3962" t="s">
        <v>5534</v>
      </c>
      <c r="B3962" t="s">
        <v>5585</v>
      </c>
      <c r="C3962" t="s">
        <v>23</v>
      </c>
      <c r="D3962" t="s">
        <v>24</v>
      </c>
      <c r="E3962" t="s">
        <v>25</v>
      </c>
      <c r="F3962">
        <v>1</v>
      </c>
      <c r="G3962">
        <v>9791136930491</v>
      </c>
      <c r="H3962" t="s">
        <v>26</v>
      </c>
      <c r="I3962" t="s">
        <v>151</v>
      </c>
      <c r="J3962" t="s">
        <v>46</v>
      </c>
      <c r="K3962" t="s">
        <v>29</v>
      </c>
      <c r="L3962">
        <v>0</v>
      </c>
      <c r="M3962" t="s">
        <v>152</v>
      </c>
      <c r="N3962">
        <v>0</v>
      </c>
      <c r="O3962">
        <v>0</v>
      </c>
      <c r="P3962" t="s">
        <v>153</v>
      </c>
      <c r="Q3962" s="2">
        <v>0.7</v>
      </c>
      <c r="R3962">
        <v>0</v>
      </c>
      <c r="V3962" t="str">
        <f>VLOOKUP(H3962,'[1]팀별 출판사'!A:B,2,0)</f>
        <v>소설1팀</v>
      </c>
      <c r="W3962" s="6">
        <f t="shared" si="122"/>
        <v>0</v>
      </c>
      <c r="X3962" s="6">
        <f t="shared" si="123"/>
        <v>0</v>
      </c>
    </row>
    <row r="3963" spans="1:24" x14ac:dyDescent="0.3">
      <c r="A3963" t="s">
        <v>5534</v>
      </c>
      <c r="B3963" t="s">
        <v>5586</v>
      </c>
      <c r="C3963" t="s">
        <v>23</v>
      </c>
      <c r="D3963" t="s">
        <v>24</v>
      </c>
      <c r="E3963" t="s">
        <v>25</v>
      </c>
      <c r="F3963">
        <v>1</v>
      </c>
      <c r="G3963">
        <v>9791136942142</v>
      </c>
      <c r="H3963" t="s">
        <v>26</v>
      </c>
      <c r="I3963" t="s">
        <v>180</v>
      </c>
      <c r="J3963" t="s">
        <v>46</v>
      </c>
      <c r="K3963" t="s">
        <v>29</v>
      </c>
      <c r="L3963">
        <v>0</v>
      </c>
      <c r="M3963" t="s">
        <v>152</v>
      </c>
      <c r="N3963">
        <v>0</v>
      </c>
      <c r="O3963">
        <v>0</v>
      </c>
      <c r="P3963" t="s">
        <v>153</v>
      </c>
      <c r="Q3963" s="2">
        <v>0.7</v>
      </c>
      <c r="R3963">
        <v>0</v>
      </c>
      <c r="V3963" t="str">
        <f>VLOOKUP(H3963,'[1]팀별 출판사'!A:B,2,0)</f>
        <v>소설1팀</v>
      </c>
      <c r="W3963" s="6">
        <f t="shared" si="122"/>
        <v>0</v>
      </c>
      <c r="X3963" s="6">
        <f t="shared" si="123"/>
        <v>0</v>
      </c>
    </row>
    <row r="3964" spans="1:24" x14ac:dyDescent="0.3">
      <c r="A3964" t="s">
        <v>5534</v>
      </c>
      <c r="B3964" t="s">
        <v>5587</v>
      </c>
      <c r="C3964" t="s">
        <v>23</v>
      </c>
      <c r="D3964" t="s">
        <v>24</v>
      </c>
      <c r="E3964" t="s">
        <v>25</v>
      </c>
      <c r="F3964">
        <v>1</v>
      </c>
      <c r="G3964" t="s">
        <v>5588</v>
      </c>
      <c r="H3964" t="s">
        <v>32</v>
      </c>
      <c r="I3964" t="s">
        <v>5589</v>
      </c>
      <c r="J3964" t="s">
        <v>5590</v>
      </c>
      <c r="K3964" t="s">
        <v>29</v>
      </c>
      <c r="L3964">
        <v>0</v>
      </c>
      <c r="M3964" t="s">
        <v>29</v>
      </c>
      <c r="N3964">
        <v>0</v>
      </c>
      <c r="O3964">
        <v>0</v>
      </c>
      <c r="P3964" t="s">
        <v>30</v>
      </c>
      <c r="Q3964" s="2">
        <v>0.7</v>
      </c>
      <c r="R3964">
        <v>0</v>
      </c>
      <c r="V3964" t="str">
        <f>VLOOKUP(H3964,'[1]팀별 출판사'!A:B,2,0)</f>
        <v>소설1팀</v>
      </c>
      <c r="W3964" s="6">
        <f t="shared" si="122"/>
        <v>0</v>
      </c>
      <c r="X3964" s="6">
        <f t="shared" si="123"/>
        <v>0</v>
      </c>
    </row>
    <row r="3965" spans="1:24" x14ac:dyDescent="0.3">
      <c r="A3965" t="s">
        <v>5534</v>
      </c>
      <c r="B3965" t="s">
        <v>5591</v>
      </c>
      <c r="C3965" t="s">
        <v>23</v>
      </c>
      <c r="D3965" t="s">
        <v>24</v>
      </c>
      <c r="E3965" t="s">
        <v>25</v>
      </c>
      <c r="F3965">
        <v>1</v>
      </c>
      <c r="G3965" t="s">
        <v>797</v>
      </c>
      <c r="H3965" t="s">
        <v>32</v>
      </c>
      <c r="I3965" t="s">
        <v>798</v>
      </c>
      <c r="J3965" t="s">
        <v>43</v>
      </c>
      <c r="K3965" t="s">
        <v>29</v>
      </c>
      <c r="L3965">
        <v>0</v>
      </c>
      <c r="M3965" t="s">
        <v>29</v>
      </c>
      <c r="N3965">
        <v>0</v>
      </c>
      <c r="O3965">
        <v>0</v>
      </c>
      <c r="P3965" t="s">
        <v>30</v>
      </c>
      <c r="Q3965" s="2">
        <v>0.7</v>
      </c>
      <c r="R3965">
        <v>0</v>
      </c>
      <c r="V3965" t="str">
        <f>VLOOKUP(H3965,'[1]팀별 출판사'!A:B,2,0)</f>
        <v>소설1팀</v>
      </c>
      <c r="W3965" s="6">
        <f t="shared" si="122"/>
        <v>0</v>
      </c>
      <c r="X3965" s="6">
        <f t="shared" si="123"/>
        <v>0</v>
      </c>
    </row>
    <row r="3966" spans="1:24" x14ac:dyDescent="0.3">
      <c r="A3966" t="s">
        <v>5534</v>
      </c>
      <c r="B3966" t="s">
        <v>5592</v>
      </c>
      <c r="C3966" t="s">
        <v>23</v>
      </c>
      <c r="D3966" t="s">
        <v>24</v>
      </c>
      <c r="E3966" t="s">
        <v>25</v>
      </c>
      <c r="F3966">
        <v>1</v>
      </c>
      <c r="G3966">
        <v>9791170106715</v>
      </c>
      <c r="H3966" t="s">
        <v>67</v>
      </c>
      <c r="I3966" t="s">
        <v>68</v>
      </c>
      <c r="J3966" t="s">
        <v>69</v>
      </c>
      <c r="K3966" t="s">
        <v>29</v>
      </c>
      <c r="L3966">
        <v>0</v>
      </c>
      <c r="M3966" t="s">
        <v>252</v>
      </c>
      <c r="N3966">
        <v>0</v>
      </c>
      <c r="O3966">
        <v>0</v>
      </c>
      <c r="P3966" t="s">
        <v>253</v>
      </c>
      <c r="Q3966" s="2">
        <v>0.7</v>
      </c>
      <c r="R3966">
        <v>0</v>
      </c>
      <c r="V3966" t="str">
        <f>VLOOKUP(H3966,'[1]팀별 출판사'!A:B,2,0)</f>
        <v>소설1팀</v>
      </c>
      <c r="W3966" s="6">
        <f t="shared" si="122"/>
        <v>0</v>
      </c>
      <c r="X3966" s="6">
        <f t="shared" si="123"/>
        <v>0</v>
      </c>
    </row>
    <row r="3967" spans="1:24" x14ac:dyDescent="0.3">
      <c r="A3967" t="s">
        <v>5534</v>
      </c>
      <c r="B3967" t="s">
        <v>5593</v>
      </c>
      <c r="C3967" t="s">
        <v>23</v>
      </c>
      <c r="D3967" t="s">
        <v>24</v>
      </c>
      <c r="E3967" t="s">
        <v>25</v>
      </c>
      <c r="F3967">
        <v>1</v>
      </c>
      <c r="G3967">
        <v>9791136958761</v>
      </c>
      <c r="H3967" t="s">
        <v>79</v>
      </c>
      <c r="I3967" t="s">
        <v>4100</v>
      </c>
      <c r="J3967" t="s">
        <v>81</v>
      </c>
      <c r="K3967" t="s">
        <v>29</v>
      </c>
      <c r="L3967" s="1">
        <v>3200</v>
      </c>
      <c r="M3967" t="s">
        <v>29</v>
      </c>
      <c r="N3967" s="1">
        <v>3200</v>
      </c>
      <c r="O3967" s="1">
        <v>3200</v>
      </c>
      <c r="P3967" t="s">
        <v>30</v>
      </c>
      <c r="Q3967" s="2">
        <v>0.7</v>
      </c>
      <c r="R3967" s="1">
        <v>2240</v>
      </c>
      <c r="S3967" t="s">
        <v>29</v>
      </c>
      <c r="T3967" s="1">
        <v>2240</v>
      </c>
      <c r="V3967" t="str">
        <f>VLOOKUP(H3967,'[1]팀별 출판사'!A:B,2,0)</f>
        <v>소설1팀</v>
      </c>
      <c r="W3967" s="6">
        <f t="shared" si="122"/>
        <v>0</v>
      </c>
      <c r="X3967" s="6">
        <f t="shared" si="123"/>
        <v>2240</v>
      </c>
    </row>
    <row r="3968" spans="1:24" x14ac:dyDescent="0.3">
      <c r="A3968" t="s">
        <v>5534</v>
      </c>
      <c r="B3968" t="s">
        <v>5594</v>
      </c>
      <c r="C3968" t="s">
        <v>23</v>
      </c>
      <c r="D3968" t="s">
        <v>24</v>
      </c>
      <c r="E3968" t="s">
        <v>25</v>
      </c>
      <c r="F3968">
        <v>1</v>
      </c>
      <c r="G3968">
        <v>9791136942142</v>
      </c>
      <c r="H3968" t="s">
        <v>26</v>
      </c>
      <c r="I3968" t="s">
        <v>180</v>
      </c>
      <c r="J3968" t="s">
        <v>46</v>
      </c>
      <c r="K3968" t="s">
        <v>29</v>
      </c>
      <c r="L3968">
        <v>0</v>
      </c>
      <c r="M3968" t="s">
        <v>47</v>
      </c>
      <c r="N3968">
        <v>0</v>
      </c>
      <c r="O3968">
        <v>0</v>
      </c>
      <c r="P3968" t="s">
        <v>48</v>
      </c>
      <c r="Q3968" s="2">
        <v>0.7</v>
      </c>
      <c r="R3968">
        <v>0</v>
      </c>
      <c r="V3968" t="str">
        <f>VLOOKUP(H3968,'[1]팀별 출판사'!A:B,2,0)</f>
        <v>소설1팀</v>
      </c>
      <c r="W3968" s="6">
        <f t="shared" si="122"/>
        <v>0</v>
      </c>
      <c r="X3968" s="6">
        <f t="shared" si="123"/>
        <v>0</v>
      </c>
    </row>
    <row r="3969" spans="1:24" x14ac:dyDescent="0.3">
      <c r="A3969" t="s">
        <v>5534</v>
      </c>
      <c r="B3969" t="s">
        <v>5595</v>
      </c>
      <c r="C3969" t="s">
        <v>23</v>
      </c>
      <c r="D3969" t="s">
        <v>24</v>
      </c>
      <c r="E3969" t="s">
        <v>25</v>
      </c>
      <c r="F3969">
        <v>1</v>
      </c>
      <c r="G3969">
        <v>9791136935496</v>
      </c>
      <c r="H3969" t="s">
        <v>32</v>
      </c>
      <c r="I3969" t="s">
        <v>441</v>
      </c>
      <c r="J3969" t="s">
        <v>442</v>
      </c>
      <c r="K3969" t="s">
        <v>29</v>
      </c>
      <c r="L3969">
        <v>0</v>
      </c>
      <c r="M3969" t="s">
        <v>29</v>
      </c>
      <c r="N3969">
        <v>0</v>
      </c>
      <c r="O3969">
        <v>0</v>
      </c>
      <c r="P3969" t="s">
        <v>30</v>
      </c>
      <c r="Q3969" s="2">
        <v>0.7</v>
      </c>
      <c r="R3969">
        <v>0</v>
      </c>
      <c r="V3969" t="str">
        <f>VLOOKUP(H3969,'[1]팀별 출판사'!A:B,2,0)</f>
        <v>소설1팀</v>
      </c>
      <c r="W3969" s="6">
        <f t="shared" si="122"/>
        <v>0</v>
      </c>
      <c r="X3969" s="6">
        <f t="shared" si="123"/>
        <v>0</v>
      </c>
    </row>
    <row r="3970" spans="1:24" x14ac:dyDescent="0.3">
      <c r="A3970" t="s">
        <v>5534</v>
      </c>
      <c r="B3970" t="s">
        <v>5596</v>
      </c>
      <c r="C3970" t="s">
        <v>23</v>
      </c>
      <c r="D3970" t="s">
        <v>24</v>
      </c>
      <c r="E3970" t="s">
        <v>25</v>
      </c>
      <c r="F3970">
        <v>1</v>
      </c>
      <c r="G3970">
        <v>9791133172702</v>
      </c>
      <c r="H3970" t="s">
        <v>26</v>
      </c>
      <c r="I3970" t="s">
        <v>4041</v>
      </c>
      <c r="J3970" t="s">
        <v>588</v>
      </c>
      <c r="K3970" t="s">
        <v>29</v>
      </c>
      <c r="L3970">
        <v>0</v>
      </c>
      <c r="M3970" t="s">
        <v>70</v>
      </c>
      <c r="N3970">
        <v>0</v>
      </c>
      <c r="O3970">
        <v>0</v>
      </c>
      <c r="P3970" t="s">
        <v>426</v>
      </c>
      <c r="Q3970" s="2">
        <v>0.7</v>
      </c>
      <c r="R3970">
        <v>0</v>
      </c>
      <c r="V3970" t="str">
        <f>VLOOKUP(H3970,'[1]팀별 출판사'!A:B,2,0)</f>
        <v>소설1팀</v>
      </c>
      <c r="W3970" s="6">
        <f t="shared" ref="W3970:W4033" si="124">IF(P3970="US", T3970*30%, 0)</f>
        <v>0</v>
      </c>
      <c r="X3970" s="6">
        <f t="shared" ref="X3970:X4033" si="125">T3970-W3970</f>
        <v>0</v>
      </c>
    </row>
    <row r="3971" spans="1:24" x14ac:dyDescent="0.3">
      <c r="A3971" t="s">
        <v>5534</v>
      </c>
      <c r="B3971" t="s">
        <v>5597</v>
      </c>
      <c r="C3971" t="s">
        <v>23</v>
      </c>
      <c r="D3971" t="s">
        <v>24</v>
      </c>
      <c r="E3971" t="s">
        <v>25</v>
      </c>
      <c r="F3971">
        <v>1</v>
      </c>
      <c r="G3971">
        <v>9791133171491</v>
      </c>
      <c r="H3971" t="s">
        <v>26</v>
      </c>
      <c r="I3971" t="s">
        <v>2649</v>
      </c>
      <c r="J3971" t="s">
        <v>588</v>
      </c>
      <c r="K3971" t="s">
        <v>29</v>
      </c>
      <c r="L3971">
        <v>0</v>
      </c>
      <c r="M3971" t="s">
        <v>70</v>
      </c>
      <c r="N3971">
        <v>0</v>
      </c>
      <c r="O3971">
        <v>0</v>
      </c>
      <c r="P3971" t="s">
        <v>426</v>
      </c>
      <c r="Q3971" s="2">
        <v>0.7</v>
      </c>
      <c r="R3971">
        <v>0</v>
      </c>
      <c r="V3971" t="str">
        <f>VLOOKUP(H3971,'[1]팀별 출판사'!A:B,2,0)</f>
        <v>소설1팀</v>
      </c>
      <c r="W3971" s="6">
        <f t="shared" si="124"/>
        <v>0</v>
      </c>
      <c r="X3971" s="6">
        <f t="shared" si="125"/>
        <v>0</v>
      </c>
    </row>
    <row r="3972" spans="1:24" x14ac:dyDescent="0.3">
      <c r="A3972" t="s">
        <v>5534</v>
      </c>
      <c r="B3972" t="s">
        <v>5598</v>
      </c>
      <c r="C3972" t="s">
        <v>23</v>
      </c>
      <c r="D3972" t="s">
        <v>24</v>
      </c>
      <c r="E3972" t="s">
        <v>25</v>
      </c>
      <c r="F3972">
        <v>1</v>
      </c>
      <c r="G3972">
        <v>9791133183968</v>
      </c>
      <c r="H3972" t="s">
        <v>26</v>
      </c>
      <c r="I3972" t="s">
        <v>2770</v>
      </c>
      <c r="J3972" t="s">
        <v>2771</v>
      </c>
      <c r="K3972" t="s">
        <v>29</v>
      </c>
      <c r="L3972">
        <v>0</v>
      </c>
      <c r="M3972" t="s">
        <v>70</v>
      </c>
      <c r="N3972">
        <v>0</v>
      </c>
      <c r="O3972">
        <v>0</v>
      </c>
      <c r="P3972" t="s">
        <v>426</v>
      </c>
      <c r="Q3972" s="2">
        <v>0.7</v>
      </c>
      <c r="R3972">
        <v>0</v>
      </c>
      <c r="V3972" t="str">
        <f>VLOOKUP(H3972,'[1]팀별 출판사'!A:B,2,0)</f>
        <v>소설1팀</v>
      </c>
      <c r="W3972" s="6">
        <f t="shared" si="124"/>
        <v>0</v>
      </c>
      <c r="X3972" s="6">
        <f t="shared" si="125"/>
        <v>0</v>
      </c>
    </row>
    <row r="3973" spans="1:24" x14ac:dyDescent="0.3">
      <c r="A3973" t="s">
        <v>5534</v>
      </c>
      <c r="B3973" t="s">
        <v>5599</v>
      </c>
      <c r="C3973" t="s">
        <v>23</v>
      </c>
      <c r="D3973" t="s">
        <v>24</v>
      </c>
      <c r="E3973" t="s">
        <v>25</v>
      </c>
      <c r="F3973">
        <v>1</v>
      </c>
      <c r="G3973">
        <v>9791136958808</v>
      </c>
      <c r="H3973" t="s">
        <v>79</v>
      </c>
      <c r="I3973" t="s">
        <v>5600</v>
      </c>
      <c r="J3973" t="s">
        <v>81</v>
      </c>
      <c r="K3973" t="s">
        <v>29</v>
      </c>
      <c r="L3973" s="1">
        <v>3200</v>
      </c>
      <c r="M3973" t="s">
        <v>29</v>
      </c>
      <c r="N3973" s="1">
        <v>3200</v>
      </c>
      <c r="O3973" s="1">
        <v>3200</v>
      </c>
      <c r="P3973" t="s">
        <v>30</v>
      </c>
      <c r="Q3973" s="2">
        <v>0.7</v>
      </c>
      <c r="R3973" s="1">
        <v>2240</v>
      </c>
      <c r="S3973" t="s">
        <v>29</v>
      </c>
      <c r="T3973" s="1">
        <v>2240</v>
      </c>
      <c r="V3973" t="str">
        <f>VLOOKUP(H3973,'[1]팀별 출판사'!A:B,2,0)</f>
        <v>소설1팀</v>
      </c>
      <c r="W3973" s="6">
        <f t="shared" si="124"/>
        <v>0</v>
      </c>
      <c r="X3973" s="6">
        <f t="shared" si="125"/>
        <v>2240</v>
      </c>
    </row>
    <row r="3974" spans="1:24" x14ac:dyDescent="0.3">
      <c r="A3974" t="s">
        <v>5534</v>
      </c>
      <c r="B3974" t="s">
        <v>5601</v>
      </c>
      <c r="C3974" t="s">
        <v>23</v>
      </c>
      <c r="D3974" t="s">
        <v>24</v>
      </c>
      <c r="E3974" t="s">
        <v>25</v>
      </c>
      <c r="F3974">
        <v>1</v>
      </c>
      <c r="G3974">
        <v>9791136930361</v>
      </c>
      <c r="H3974" t="s">
        <v>32</v>
      </c>
      <c r="I3974" t="s">
        <v>33</v>
      </c>
      <c r="J3974" t="s">
        <v>34</v>
      </c>
      <c r="K3974" t="s">
        <v>29</v>
      </c>
      <c r="L3974">
        <v>0</v>
      </c>
      <c r="M3974" t="s">
        <v>29</v>
      </c>
      <c r="N3974">
        <v>0</v>
      </c>
      <c r="O3974">
        <v>0</v>
      </c>
      <c r="P3974" t="s">
        <v>30</v>
      </c>
      <c r="Q3974" s="2">
        <v>0.7</v>
      </c>
      <c r="R3974">
        <v>0</v>
      </c>
      <c r="V3974" t="str">
        <f>VLOOKUP(H3974,'[1]팀별 출판사'!A:B,2,0)</f>
        <v>소설1팀</v>
      </c>
      <c r="W3974" s="6">
        <f t="shared" si="124"/>
        <v>0</v>
      </c>
      <c r="X3974" s="6">
        <f t="shared" si="125"/>
        <v>0</v>
      </c>
    </row>
    <row r="3975" spans="1:24" x14ac:dyDescent="0.3">
      <c r="A3975" t="s">
        <v>5534</v>
      </c>
      <c r="B3975" t="s">
        <v>5602</v>
      </c>
      <c r="C3975" t="s">
        <v>23</v>
      </c>
      <c r="D3975" t="s">
        <v>24</v>
      </c>
      <c r="E3975" t="s">
        <v>25</v>
      </c>
      <c r="F3975">
        <v>1</v>
      </c>
      <c r="G3975">
        <v>9791136931375</v>
      </c>
      <c r="H3975" t="s">
        <v>32</v>
      </c>
      <c r="I3975" t="s">
        <v>189</v>
      </c>
      <c r="J3975" t="s">
        <v>46</v>
      </c>
      <c r="K3975" t="s">
        <v>29</v>
      </c>
      <c r="L3975">
        <v>0</v>
      </c>
      <c r="M3975" t="s">
        <v>47</v>
      </c>
      <c r="N3975">
        <v>0</v>
      </c>
      <c r="O3975">
        <v>0</v>
      </c>
      <c r="P3975" t="s">
        <v>48</v>
      </c>
      <c r="Q3975" s="2">
        <v>0.7</v>
      </c>
      <c r="R3975">
        <v>0</v>
      </c>
      <c r="V3975" t="str">
        <f>VLOOKUP(H3975,'[1]팀별 출판사'!A:B,2,0)</f>
        <v>소설1팀</v>
      </c>
      <c r="W3975" s="6">
        <f t="shared" si="124"/>
        <v>0</v>
      </c>
      <c r="X3975" s="6">
        <f t="shared" si="125"/>
        <v>0</v>
      </c>
    </row>
    <row r="3976" spans="1:24" x14ac:dyDescent="0.3">
      <c r="A3976" t="s">
        <v>5534</v>
      </c>
      <c r="B3976" t="s">
        <v>5603</v>
      </c>
      <c r="C3976" t="s">
        <v>23</v>
      </c>
      <c r="D3976" t="s">
        <v>24</v>
      </c>
      <c r="E3976" t="s">
        <v>25</v>
      </c>
      <c r="F3976">
        <v>1</v>
      </c>
      <c r="G3976">
        <v>9791136934925</v>
      </c>
      <c r="H3976" t="s">
        <v>32</v>
      </c>
      <c r="I3976" t="s">
        <v>385</v>
      </c>
      <c r="J3976" t="s">
        <v>126</v>
      </c>
      <c r="K3976" t="s">
        <v>29</v>
      </c>
      <c r="L3976">
        <v>0</v>
      </c>
      <c r="M3976" t="s">
        <v>29</v>
      </c>
      <c r="N3976">
        <v>0</v>
      </c>
      <c r="O3976">
        <v>0</v>
      </c>
      <c r="P3976" t="s">
        <v>30</v>
      </c>
      <c r="Q3976" s="2">
        <v>0.7</v>
      </c>
      <c r="R3976">
        <v>0</v>
      </c>
      <c r="V3976" t="str">
        <f>VLOOKUP(H3976,'[1]팀별 출판사'!A:B,2,0)</f>
        <v>소설1팀</v>
      </c>
      <c r="W3976" s="6">
        <f t="shared" si="124"/>
        <v>0</v>
      </c>
      <c r="X3976" s="6">
        <f t="shared" si="125"/>
        <v>0</v>
      </c>
    </row>
    <row r="3977" spans="1:24" x14ac:dyDescent="0.3">
      <c r="A3977" t="s">
        <v>5534</v>
      </c>
      <c r="B3977" t="s">
        <v>5604</v>
      </c>
      <c r="C3977" t="s">
        <v>23</v>
      </c>
      <c r="D3977" t="s">
        <v>24</v>
      </c>
      <c r="E3977" t="s">
        <v>25</v>
      </c>
      <c r="F3977">
        <v>1</v>
      </c>
      <c r="G3977">
        <v>9791136911018</v>
      </c>
      <c r="H3977" t="s">
        <v>26</v>
      </c>
      <c r="I3977" t="s">
        <v>4117</v>
      </c>
      <c r="J3977" t="s">
        <v>160</v>
      </c>
      <c r="K3977" t="s">
        <v>29</v>
      </c>
      <c r="L3977" s="1">
        <v>3200</v>
      </c>
      <c r="M3977" t="s">
        <v>29</v>
      </c>
      <c r="N3977" s="1">
        <v>3200</v>
      </c>
      <c r="O3977" s="1">
        <v>3200</v>
      </c>
      <c r="P3977" t="s">
        <v>30</v>
      </c>
      <c r="Q3977" s="2">
        <v>0.7</v>
      </c>
      <c r="R3977" s="1">
        <v>2240</v>
      </c>
      <c r="S3977" t="s">
        <v>29</v>
      </c>
      <c r="T3977" s="1">
        <v>2240</v>
      </c>
      <c r="V3977" t="str">
        <f>VLOOKUP(H3977,'[1]팀별 출판사'!A:B,2,0)</f>
        <v>소설1팀</v>
      </c>
      <c r="W3977" s="6">
        <f t="shared" si="124"/>
        <v>0</v>
      </c>
      <c r="X3977" s="6">
        <f t="shared" si="125"/>
        <v>2240</v>
      </c>
    </row>
    <row r="3978" spans="1:24" x14ac:dyDescent="0.3">
      <c r="A3978" t="s">
        <v>5534</v>
      </c>
      <c r="B3978" t="s">
        <v>5605</v>
      </c>
      <c r="C3978" t="s">
        <v>23</v>
      </c>
      <c r="D3978" t="s">
        <v>24</v>
      </c>
      <c r="E3978" t="s">
        <v>25</v>
      </c>
      <c r="F3978">
        <v>1</v>
      </c>
      <c r="G3978">
        <v>9791136958662</v>
      </c>
      <c r="H3978" t="s">
        <v>79</v>
      </c>
      <c r="I3978" t="s">
        <v>396</v>
      </c>
      <c r="J3978" t="s">
        <v>81</v>
      </c>
      <c r="K3978" t="s">
        <v>29</v>
      </c>
      <c r="L3978">
        <v>0</v>
      </c>
      <c r="M3978" t="s">
        <v>29</v>
      </c>
      <c r="N3978">
        <v>0</v>
      </c>
      <c r="O3978">
        <v>0</v>
      </c>
      <c r="P3978" t="s">
        <v>30</v>
      </c>
      <c r="Q3978" s="2">
        <v>0.7</v>
      </c>
      <c r="R3978">
        <v>0</v>
      </c>
      <c r="V3978" t="str">
        <f>VLOOKUP(H3978,'[1]팀별 출판사'!A:B,2,0)</f>
        <v>소설1팀</v>
      </c>
      <c r="W3978" s="6">
        <f t="shared" si="124"/>
        <v>0</v>
      </c>
      <c r="X3978" s="6">
        <f t="shared" si="125"/>
        <v>0</v>
      </c>
    </row>
    <row r="3979" spans="1:24" x14ac:dyDescent="0.3">
      <c r="A3979" t="s">
        <v>5534</v>
      </c>
      <c r="B3979" t="s">
        <v>5606</v>
      </c>
      <c r="C3979" t="s">
        <v>23</v>
      </c>
      <c r="D3979" t="s">
        <v>24</v>
      </c>
      <c r="E3979" t="s">
        <v>25</v>
      </c>
      <c r="F3979">
        <v>1</v>
      </c>
      <c r="G3979">
        <v>9791136931375</v>
      </c>
      <c r="H3979" t="s">
        <v>32</v>
      </c>
      <c r="I3979" t="s">
        <v>189</v>
      </c>
      <c r="J3979" t="s">
        <v>46</v>
      </c>
      <c r="K3979" t="s">
        <v>29</v>
      </c>
      <c r="L3979">
        <v>0</v>
      </c>
      <c r="M3979" t="s">
        <v>152</v>
      </c>
      <c r="N3979">
        <v>0</v>
      </c>
      <c r="O3979">
        <v>0</v>
      </c>
      <c r="P3979" t="s">
        <v>153</v>
      </c>
      <c r="Q3979" s="2">
        <v>0.7</v>
      </c>
      <c r="R3979">
        <v>0</v>
      </c>
      <c r="V3979" t="str">
        <f>VLOOKUP(H3979,'[1]팀별 출판사'!A:B,2,0)</f>
        <v>소설1팀</v>
      </c>
      <c r="W3979" s="6">
        <f t="shared" si="124"/>
        <v>0</v>
      </c>
      <c r="X3979" s="6">
        <f t="shared" si="125"/>
        <v>0</v>
      </c>
    </row>
    <row r="3980" spans="1:24" x14ac:dyDescent="0.3">
      <c r="A3980" t="s">
        <v>5534</v>
      </c>
      <c r="B3980" t="s">
        <v>5607</v>
      </c>
      <c r="C3980" t="s">
        <v>23</v>
      </c>
      <c r="D3980" t="s">
        <v>24</v>
      </c>
      <c r="E3980" t="s">
        <v>25</v>
      </c>
      <c r="F3980">
        <v>1</v>
      </c>
      <c r="G3980">
        <v>9791157539741</v>
      </c>
      <c r="H3980" t="s">
        <v>32</v>
      </c>
      <c r="I3980" t="s">
        <v>4175</v>
      </c>
      <c r="J3980" t="s">
        <v>88</v>
      </c>
      <c r="K3980" t="s">
        <v>29</v>
      </c>
      <c r="L3980" s="1">
        <v>3200</v>
      </c>
      <c r="M3980" t="s">
        <v>29</v>
      </c>
      <c r="N3980" s="1">
        <v>3200</v>
      </c>
      <c r="O3980" s="1">
        <v>3200</v>
      </c>
      <c r="P3980" t="s">
        <v>30</v>
      </c>
      <c r="Q3980" s="2">
        <v>0.7</v>
      </c>
      <c r="R3980" s="1">
        <v>2240</v>
      </c>
      <c r="S3980" t="s">
        <v>29</v>
      </c>
      <c r="T3980" s="1">
        <v>2240</v>
      </c>
      <c r="V3980" t="str">
        <f>VLOOKUP(H3980,'[1]팀별 출판사'!A:B,2,0)</f>
        <v>소설1팀</v>
      </c>
      <c r="W3980" s="6">
        <f t="shared" si="124"/>
        <v>0</v>
      </c>
      <c r="X3980" s="6">
        <f t="shared" si="125"/>
        <v>2240</v>
      </c>
    </row>
    <row r="3981" spans="1:24" x14ac:dyDescent="0.3">
      <c r="A3981" t="s">
        <v>5534</v>
      </c>
      <c r="B3981" t="s">
        <v>5608</v>
      </c>
      <c r="C3981" t="s">
        <v>23</v>
      </c>
      <c r="D3981" t="s">
        <v>24</v>
      </c>
      <c r="E3981" t="s">
        <v>25</v>
      </c>
      <c r="F3981">
        <v>1</v>
      </c>
      <c r="G3981">
        <v>9791170101505</v>
      </c>
      <c r="H3981" t="s">
        <v>67</v>
      </c>
      <c r="I3981" t="s">
        <v>4626</v>
      </c>
      <c r="J3981" t="s">
        <v>4627</v>
      </c>
      <c r="K3981" t="s">
        <v>29</v>
      </c>
      <c r="L3981">
        <v>0</v>
      </c>
      <c r="M3981" t="s">
        <v>29</v>
      </c>
      <c r="N3981">
        <v>0</v>
      </c>
      <c r="O3981">
        <v>0</v>
      </c>
      <c r="P3981" t="s">
        <v>30</v>
      </c>
      <c r="Q3981" s="2">
        <v>0.7</v>
      </c>
      <c r="R3981">
        <v>0</v>
      </c>
      <c r="V3981" t="str">
        <f>VLOOKUP(H3981,'[1]팀별 출판사'!A:B,2,0)</f>
        <v>소설1팀</v>
      </c>
      <c r="W3981" s="6">
        <f t="shared" si="124"/>
        <v>0</v>
      </c>
      <c r="X3981" s="6">
        <f t="shared" si="125"/>
        <v>0</v>
      </c>
    </row>
    <row r="3982" spans="1:24" x14ac:dyDescent="0.3">
      <c r="A3982" t="s">
        <v>5534</v>
      </c>
      <c r="B3982" t="s">
        <v>5609</v>
      </c>
      <c r="C3982" t="s">
        <v>23</v>
      </c>
      <c r="D3982" t="s">
        <v>24</v>
      </c>
      <c r="E3982" t="s">
        <v>25</v>
      </c>
      <c r="F3982">
        <v>1</v>
      </c>
      <c r="G3982">
        <v>9791136904782</v>
      </c>
      <c r="H3982" t="s">
        <v>26</v>
      </c>
      <c r="I3982" t="s">
        <v>1549</v>
      </c>
      <c r="J3982" t="s">
        <v>166</v>
      </c>
      <c r="K3982" t="s">
        <v>29</v>
      </c>
      <c r="L3982">
        <v>0</v>
      </c>
      <c r="M3982" t="s">
        <v>120</v>
      </c>
      <c r="N3982">
        <v>0</v>
      </c>
      <c r="O3982">
        <v>0</v>
      </c>
      <c r="P3982" t="s">
        <v>121</v>
      </c>
      <c r="Q3982" s="2">
        <v>0.7</v>
      </c>
      <c r="R3982">
        <v>0</v>
      </c>
      <c r="V3982" t="str">
        <f>VLOOKUP(H3982,'[1]팀별 출판사'!A:B,2,0)</f>
        <v>소설1팀</v>
      </c>
      <c r="W3982" s="6">
        <f t="shared" si="124"/>
        <v>0</v>
      </c>
      <c r="X3982" s="6">
        <f t="shared" si="125"/>
        <v>0</v>
      </c>
    </row>
    <row r="3983" spans="1:24" x14ac:dyDescent="0.3">
      <c r="A3983" t="s">
        <v>5534</v>
      </c>
      <c r="B3983" t="s">
        <v>5610</v>
      </c>
      <c r="C3983" t="s">
        <v>23</v>
      </c>
      <c r="D3983" t="s">
        <v>24</v>
      </c>
      <c r="E3983" t="s">
        <v>25</v>
      </c>
      <c r="F3983">
        <v>1</v>
      </c>
      <c r="G3983" t="s">
        <v>3766</v>
      </c>
      <c r="H3983" t="s">
        <v>208</v>
      </c>
      <c r="I3983" t="s">
        <v>3767</v>
      </c>
      <c r="J3983" t="s">
        <v>210</v>
      </c>
      <c r="K3983" t="s">
        <v>29</v>
      </c>
      <c r="L3983" s="1">
        <v>2000</v>
      </c>
      <c r="M3983" t="s">
        <v>29</v>
      </c>
      <c r="N3983" s="1">
        <v>2000</v>
      </c>
      <c r="O3983" s="1">
        <v>2000</v>
      </c>
      <c r="P3983" t="s">
        <v>30</v>
      </c>
      <c r="Q3983" s="2">
        <v>0.7</v>
      </c>
      <c r="R3983" s="1">
        <v>1400</v>
      </c>
      <c r="S3983" t="s">
        <v>29</v>
      </c>
      <c r="T3983" s="1">
        <v>1400</v>
      </c>
      <c r="V3983" t="str">
        <f>VLOOKUP(H3983,'[1]팀별 출판사'!A:B,2,0)</f>
        <v>소설1팀</v>
      </c>
      <c r="W3983" s="6">
        <f t="shared" si="124"/>
        <v>0</v>
      </c>
      <c r="X3983" s="6">
        <f t="shared" si="125"/>
        <v>1400</v>
      </c>
    </row>
    <row r="3984" spans="1:24" x14ac:dyDescent="0.3">
      <c r="A3984" t="s">
        <v>5534</v>
      </c>
      <c r="B3984" t="s">
        <v>5611</v>
      </c>
      <c r="C3984" t="s">
        <v>23</v>
      </c>
      <c r="D3984" t="s">
        <v>24</v>
      </c>
      <c r="E3984" t="s">
        <v>25</v>
      </c>
      <c r="F3984">
        <v>1</v>
      </c>
      <c r="G3984">
        <v>9791170108122</v>
      </c>
      <c r="H3984" t="s">
        <v>67</v>
      </c>
      <c r="I3984" t="s">
        <v>2423</v>
      </c>
      <c r="J3984" t="s">
        <v>2424</v>
      </c>
      <c r="K3984" t="s">
        <v>29</v>
      </c>
      <c r="L3984">
        <v>0</v>
      </c>
      <c r="M3984" t="s">
        <v>1379</v>
      </c>
      <c r="N3984">
        <v>0</v>
      </c>
      <c r="O3984">
        <v>0</v>
      </c>
      <c r="P3984" t="s">
        <v>1380</v>
      </c>
      <c r="Q3984" s="2">
        <v>0.7</v>
      </c>
      <c r="R3984">
        <v>0</v>
      </c>
      <c r="V3984" t="str">
        <f>VLOOKUP(H3984,'[1]팀별 출판사'!A:B,2,0)</f>
        <v>소설1팀</v>
      </c>
      <c r="W3984" s="6">
        <f t="shared" si="124"/>
        <v>0</v>
      </c>
      <c r="X3984" s="6">
        <f t="shared" si="125"/>
        <v>0</v>
      </c>
    </row>
    <row r="3985" spans="1:24" x14ac:dyDescent="0.3">
      <c r="A3985" t="s">
        <v>5534</v>
      </c>
      <c r="B3985" t="s">
        <v>5612</v>
      </c>
      <c r="C3985" t="s">
        <v>23</v>
      </c>
      <c r="D3985" t="s">
        <v>24</v>
      </c>
      <c r="E3985" t="s">
        <v>25</v>
      </c>
      <c r="F3985">
        <v>1</v>
      </c>
      <c r="G3985">
        <v>9791173785092</v>
      </c>
      <c r="H3985" t="s">
        <v>26</v>
      </c>
      <c r="I3985" t="s">
        <v>327</v>
      </c>
      <c r="J3985" t="s">
        <v>62</v>
      </c>
      <c r="K3985" t="s">
        <v>29</v>
      </c>
      <c r="L3985">
        <v>0</v>
      </c>
      <c r="M3985" t="s">
        <v>120</v>
      </c>
      <c r="N3985">
        <v>0</v>
      </c>
      <c r="O3985">
        <v>0</v>
      </c>
      <c r="P3985" t="s">
        <v>121</v>
      </c>
      <c r="Q3985" s="2">
        <v>0.7</v>
      </c>
      <c r="R3985">
        <v>0</v>
      </c>
      <c r="V3985" t="str">
        <f>VLOOKUP(H3985,'[1]팀별 출판사'!A:B,2,0)</f>
        <v>소설1팀</v>
      </c>
      <c r="W3985" s="6">
        <f t="shared" si="124"/>
        <v>0</v>
      </c>
      <c r="X3985" s="6">
        <f t="shared" si="125"/>
        <v>0</v>
      </c>
    </row>
    <row r="3986" spans="1:24" x14ac:dyDescent="0.3">
      <c r="A3986" t="s">
        <v>5534</v>
      </c>
      <c r="B3986" t="s">
        <v>5613</v>
      </c>
      <c r="C3986" t="s">
        <v>23</v>
      </c>
      <c r="D3986" t="s">
        <v>24</v>
      </c>
      <c r="E3986" t="s">
        <v>25</v>
      </c>
      <c r="F3986">
        <v>1</v>
      </c>
      <c r="G3986">
        <v>9791136927293</v>
      </c>
      <c r="H3986" t="s">
        <v>26</v>
      </c>
      <c r="I3986" t="s">
        <v>945</v>
      </c>
      <c r="J3986" t="s">
        <v>459</v>
      </c>
      <c r="K3986" t="s">
        <v>29</v>
      </c>
      <c r="L3986">
        <v>0</v>
      </c>
      <c r="M3986" t="s">
        <v>120</v>
      </c>
      <c r="N3986">
        <v>0</v>
      </c>
      <c r="O3986">
        <v>0</v>
      </c>
      <c r="P3986" t="s">
        <v>121</v>
      </c>
      <c r="Q3986" s="2">
        <v>0.7</v>
      </c>
      <c r="R3986">
        <v>0</v>
      </c>
      <c r="V3986" t="str">
        <f>VLOOKUP(H3986,'[1]팀별 출판사'!A:B,2,0)</f>
        <v>소설1팀</v>
      </c>
      <c r="W3986" s="6">
        <f t="shared" si="124"/>
        <v>0</v>
      </c>
      <c r="X3986" s="6">
        <f t="shared" si="125"/>
        <v>0</v>
      </c>
    </row>
    <row r="3987" spans="1:24" x14ac:dyDescent="0.3">
      <c r="A3987" t="s">
        <v>5534</v>
      </c>
      <c r="B3987" t="s">
        <v>5614</v>
      </c>
      <c r="C3987" t="s">
        <v>23</v>
      </c>
      <c r="D3987" t="s">
        <v>24</v>
      </c>
      <c r="E3987" t="s">
        <v>25</v>
      </c>
      <c r="F3987">
        <v>1</v>
      </c>
      <c r="G3987">
        <v>9791157538034</v>
      </c>
      <c r="H3987" t="s">
        <v>32</v>
      </c>
      <c r="I3987" t="s">
        <v>3297</v>
      </c>
      <c r="J3987" t="s">
        <v>166</v>
      </c>
      <c r="K3987" t="s">
        <v>29</v>
      </c>
      <c r="L3987">
        <v>0</v>
      </c>
      <c r="M3987" t="s">
        <v>29</v>
      </c>
      <c r="N3987">
        <v>0</v>
      </c>
      <c r="O3987">
        <v>0</v>
      </c>
      <c r="P3987" t="s">
        <v>30</v>
      </c>
      <c r="Q3987" s="2">
        <v>0.7</v>
      </c>
      <c r="R3987">
        <v>0</v>
      </c>
      <c r="V3987" t="str">
        <f>VLOOKUP(H3987,'[1]팀별 출판사'!A:B,2,0)</f>
        <v>소설1팀</v>
      </c>
      <c r="W3987" s="6">
        <f t="shared" si="124"/>
        <v>0</v>
      </c>
      <c r="X3987" s="6">
        <f t="shared" si="125"/>
        <v>0</v>
      </c>
    </row>
    <row r="3988" spans="1:24" x14ac:dyDescent="0.3">
      <c r="A3988" t="s">
        <v>5534</v>
      </c>
      <c r="B3988" t="s">
        <v>5615</v>
      </c>
      <c r="C3988" t="s">
        <v>23</v>
      </c>
      <c r="D3988" t="s">
        <v>24</v>
      </c>
      <c r="E3988" t="s">
        <v>25</v>
      </c>
      <c r="F3988">
        <v>1</v>
      </c>
      <c r="G3988">
        <v>9791170106784</v>
      </c>
      <c r="H3988" t="s">
        <v>67</v>
      </c>
      <c r="I3988" t="s">
        <v>5616</v>
      </c>
      <c r="J3988" t="s">
        <v>5617</v>
      </c>
      <c r="K3988" t="s">
        <v>29</v>
      </c>
      <c r="L3988">
        <v>0</v>
      </c>
      <c r="M3988" t="s">
        <v>47</v>
      </c>
      <c r="N3988">
        <v>0</v>
      </c>
      <c r="O3988">
        <v>0</v>
      </c>
      <c r="P3988" t="s">
        <v>48</v>
      </c>
      <c r="Q3988" s="2">
        <v>0.7</v>
      </c>
      <c r="R3988">
        <v>0</v>
      </c>
      <c r="V3988" t="str">
        <f>VLOOKUP(H3988,'[1]팀별 출판사'!A:B,2,0)</f>
        <v>소설1팀</v>
      </c>
      <c r="W3988" s="6">
        <f t="shared" si="124"/>
        <v>0</v>
      </c>
      <c r="X3988" s="6">
        <f t="shared" si="125"/>
        <v>0</v>
      </c>
    </row>
    <row r="3989" spans="1:24" x14ac:dyDescent="0.3">
      <c r="A3989" t="s">
        <v>5534</v>
      </c>
      <c r="B3989" t="s">
        <v>5618</v>
      </c>
      <c r="C3989" t="s">
        <v>23</v>
      </c>
      <c r="D3989" t="s">
        <v>24</v>
      </c>
      <c r="E3989" t="s">
        <v>25</v>
      </c>
      <c r="F3989">
        <v>1</v>
      </c>
      <c r="G3989">
        <v>9791170107767</v>
      </c>
      <c r="H3989" t="s">
        <v>67</v>
      </c>
      <c r="I3989" t="s">
        <v>2284</v>
      </c>
      <c r="J3989" t="s">
        <v>2285</v>
      </c>
      <c r="K3989" t="s">
        <v>29</v>
      </c>
      <c r="L3989">
        <v>0</v>
      </c>
      <c r="M3989" t="s">
        <v>47</v>
      </c>
      <c r="N3989">
        <v>0</v>
      </c>
      <c r="O3989">
        <v>0</v>
      </c>
      <c r="P3989" t="s">
        <v>48</v>
      </c>
      <c r="Q3989" s="2">
        <v>0.7</v>
      </c>
      <c r="R3989">
        <v>0</v>
      </c>
      <c r="V3989" t="str">
        <f>VLOOKUP(H3989,'[1]팀별 출판사'!A:B,2,0)</f>
        <v>소설1팀</v>
      </c>
      <c r="W3989" s="6">
        <f t="shared" si="124"/>
        <v>0</v>
      </c>
      <c r="X3989" s="6">
        <f t="shared" si="125"/>
        <v>0</v>
      </c>
    </row>
    <row r="3990" spans="1:24" x14ac:dyDescent="0.3">
      <c r="A3990" t="s">
        <v>5534</v>
      </c>
      <c r="B3990" t="s">
        <v>5619</v>
      </c>
      <c r="C3990" t="s">
        <v>23</v>
      </c>
      <c r="D3990" t="s">
        <v>24</v>
      </c>
      <c r="E3990" t="s">
        <v>25</v>
      </c>
      <c r="F3990">
        <v>1</v>
      </c>
      <c r="G3990">
        <v>9791170107255</v>
      </c>
      <c r="H3990" t="s">
        <v>67</v>
      </c>
      <c r="I3990" t="s">
        <v>5620</v>
      </c>
      <c r="J3990" t="s">
        <v>5621</v>
      </c>
      <c r="K3990" t="s">
        <v>29</v>
      </c>
      <c r="L3990">
        <v>0</v>
      </c>
      <c r="M3990" t="s">
        <v>47</v>
      </c>
      <c r="N3990">
        <v>0</v>
      </c>
      <c r="O3990">
        <v>0</v>
      </c>
      <c r="P3990" t="s">
        <v>48</v>
      </c>
      <c r="Q3990" s="2">
        <v>0.7</v>
      </c>
      <c r="R3990">
        <v>0</v>
      </c>
      <c r="V3990" t="str">
        <f>VLOOKUP(H3990,'[1]팀별 출판사'!A:B,2,0)</f>
        <v>소설1팀</v>
      </c>
      <c r="W3990" s="6">
        <f t="shared" si="124"/>
        <v>0</v>
      </c>
      <c r="X3990" s="6">
        <f t="shared" si="125"/>
        <v>0</v>
      </c>
    </row>
    <row r="3991" spans="1:24" x14ac:dyDescent="0.3">
      <c r="A3991" t="s">
        <v>5534</v>
      </c>
      <c r="B3991" t="s">
        <v>5622</v>
      </c>
      <c r="C3991" t="s">
        <v>23</v>
      </c>
      <c r="D3991" t="s">
        <v>24</v>
      </c>
      <c r="E3991" t="s">
        <v>25</v>
      </c>
      <c r="F3991">
        <v>1</v>
      </c>
      <c r="G3991">
        <v>9791170105985</v>
      </c>
      <c r="H3991" t="s">
        <v>67</v>
      </c>
      <c r="I3991" t="s">
        <v>2420</v>
      </c>
      <c r="J3991" t="s">
        <v>2421</v>
      </c>
      <c r="K3991" t="s">
        <v>29</v>
      </c>
      <c r="L3991">
        <v>0</v>
      </c>
      <c r="M3991" t="s">
        <v>47</v>
      </c>
      <c r="N3991">
        <v>0</v>
      </c>
      <c r="O3991">
        <v>0</v>
      </c>
      <c r="P3991" t="s">
        <v>48</v>
      </c>
      <c r="Q3991" s="2">
        <v>0.7</v>
      </c>
      <c r="R3991">
        <v>0</v>
      </c>
      <c r="V3991" t="str">
        <f>VLOOKUP(H3991,'[1]팀별 출판사'!A:B,2,0)</f>
        <v>소설1팀</v>
      </c>
      <c r="W3991" s="6">
        <f t="shared" si="124"/>
        <v>0</v>
      </c>
      <c r="X3991" s="6">
        <f t="shared" si="125"/>
        <v>0</v>
      </c>
    </row>
    <row r="3992" spans="1:24" x14ac:dyDescent="0.3">
      <c r="A3992" t="s">
        <v>5534</v>
      </c>
      <c r="B3992" t="s">
        <v>5623</v>
      </c>
      <c r="C3992" t="s">
        <v>23</v>
      </c>
      <c r="D3992" t="s">
        <v>24</v>
      </c>
      <c r="E3992" t="s">
        <v>25</v>
      </c>
      <c r="F3992">
        <v>1</v>
      </c>
      <c r="G3992">
        <v>9791133106424</v>
      </c>
      <c r="H3992" t="s">
        <v>32</v>
      </c>
      <c r="I3992" t="s">
        <v>1173</v>
      </c>
      <c r="J3992" t="s">
        <v>51</v>
      </c>
      <c r="K3992" t="s">
        <v>29</v>
      </c>
      <c r="L3992">
        <v>0</v>
      </c>
      <c r="M3992" t="s">
        <v>29</v>
      </c>
      <c r="N3992">
        <v>0</v>
      </c>
      <c r="O3992">
        <v>0</v>
      </c>
      <c r="P3992" t="s">
        <v>30</v>
      </c>
      <c r="Q3992" s="2">
        <v>0.7</v>
      </c>
      <c r="R3992">
        <v>0</v>
      </c>
      <c r="V3992" t="str">
        <f>VLOOKUP(H3992,'[1]팀별 출판사'!A:B,2,0)</f>
        <v>소설1팀</v>
      </c>
      <c r="W3992" s="6">
        <f t="shared" si="124"/>
        <v>0</v>
      </c>
      <c r="X3992" s="6">
        <f t="shared" si="125"/>
        <v>0</v>
      </c>
    </row>
    <row r="3993" spans="1:24" x14ac:dyDescent="0.3">
      <c r="A3993" t="s">
        <v>5534</v>
      </c>
      <c r="B3993" t="s">
        <v>5624</v>
      </c>
      <c r="C3993" t="s">
        <v>23</v>
      </c>
      <c r="D3993" t="s">
        <v>24</v>
      </c>
      <c r="E3993" t="s">
        <v>25</v>
      </c>
      <c r="F3993">
        <v>1</v>
      </c>
      <c r="G3993">
        <v>9791172926984</v>
      </c>
      <c r="H3993" t="s">
        <v>1311</v>
      </c>
      <c r="I3993" t="s">
        <v>5625</v>
      </c>
      <c r="J3993" t="s">
        <v>2266</v>
      </c>
      <c r="K3993" t="s">
        <v>29</v>
      </c>
      <c r="L3993" s="1">
        <v>3500</v>
      </c>
      <c r="M3993" t="s">
        <v>29</v>
      </c>
      <c r="N3993" s="1">
        <v>3500</v>
      </c>
      <c r="O3993" s="1">
        <v>3500</v>
      </c>
      <c r="P3993" t="s">
        <v>30</v>
      </c>
      <c r="Q3993" s="2">
        <v>0.7</v>
      </c>
      <c r="R3993" s="1">
        <v>2450</v>
      </c>
      <c r="S3993" t="s">
        <v>29</v>
      </c>
      <c r="T3993" s="1">
        <v>2450</v>
      </c>
      <c r="V3993" t="str">
        <f>VLOOKUP(H3993,'[1]팀별 출판사'!A:B,2,0)</f>
        <v>소설2팀</v>
      </c>
      <c r="W3993" s="6">
        <f t="shared" si="124"/>
        <v>0</v>
      </c>
      <c r="X3993" s="6">
        <f t="shared" si="125"/>
        <v>2450</v>
      </c>
    </row>
    <row r="3994" spans="1:24" x14ac:dyDescent="0.3">
      <c r="A3994" t="s">
        <v>5534</v>
      </c>
      <c r="B3994" t="s">
        <v>5626</v>
      </c>
      <c r="C3994" t="s">
        <v>23</v>
      </c>
      <c r="D3994" t="s">
        <v>24</v>
      </c>
      <c r="E3994" t="s">
        <v>25</v>
      </c>
      <c r="F3994">
        <v>1</v>
      </c>
      <c r="G3994">
        <v>9791170107064</v>
      </c>
      <c r="H3994" t="s">
        <v>67</v>
      </c>
      <c r="I3994" t="s">
        <v>901</v>
      </c>
      <c r="J3994" t="s">
        <v>902</v>
      </c>
      <c r="K3994" t="s">
        <v>29</v>
      </c>
      <c r="L3994">
        <v>0</v>
      </c>
      <c r="M3994" t="s">
        <v>47</v>
      </c>
      <c r="N3994">
        <v>0</v>
      </c>
      <c r="O3994">
        <v>0</v>
      </c>
      <c r="P3994" t="s">
        <v>48</v>
      </c>
      <c r="Q3994" s="2">
        <v>0.7</v>
      </c>
      <c r="R3994">
        <v>0</v>
      </c>
      <c r="V3994" t="str">
        <f>VLOOKUP(H3994,'[1]팀별 출판사'!A:B,2,0)</f>
        <v>소설1팀</v>
      </c>
      <c r="W3994" s="6">
        <f t="shared" si="124"/>
        <v>0</v>
      </c>
      <c r="X3994" s="6">
        <f t="shared" si="125"/>
        <v>0</v>
      </c>
    </row>
    <row r="3995" spans="1:24" x14ac:dyDescent="0.3">
      <c r="A3995" t="s">
        <v>5534</v>
      </c>
      <c r="B3995" t="s">
        <v>5627</v>
      </c>
      <c r="C3995" t="s">
        <v>23</v>
      </c>
      <c r="D3995" t="s">
        <v>24</v>
      </c>
      <c r="E3995" t="s">
        <v>25</v>
      </c>
      <c r="F3995">
        <v>1</v>
      </c>
      <c r="G3995">
        <v>9791170106715</v>
      </c>
      <c r="H3995" t="s">
        <v>67</v>
      </c>
      <c r="I3995" t="s">
        <v>68</v>
      </c>
      <c r="J3995" t="s">
        <v>69</v>
      </c>
      <c r="K3995" t="s">
        <v>29</v>
      </c>
      <c r="L3995">
        <v>0</v>
      </c>
      <c r="M3995" t="s">
        <v>465</v>
      </c>
      <c r="N3995">
        <v>0</v>
      </c>
      <c r="O3995">
        <v>0</v>
      </c>
      <c r="P3995" t="s">
        <v>466</v>
      </c>
      <c r="Q3995" s="2">
        <v>0.7</v>
      </c>
      <c r="R3995">
        <v>0</v>
      </c>
      <c r="V3995" t="str">
        <f>VLOOKUP(H3995,'[1]팀별 출판사'!A:B,2,0)</f>
        <v>소설1팀</v>
      </c>
      <c r="W3995" s="6">
        <f t="shared" si="124"/>
        <v>0</v>
      </c>
      <c r="X3995" s="6">
        <f t="shared" si="125"/>
        <v>0</v>
      </c>
    </row>
    <row r="3996" spans="1:24" x14ac:dyDescent="0.3">
      <c r="A3996" t="s">
        <v>5534</v>
      </c>
      <c r="B3996" t="s">
        <v>5628</v>
      </c>
      <c r="C3996" t="s">
        <v>23</v>
      </c>
      <c r="D3996" t="s">
        <v>24</v>
      </c>
      <c r="E3996" t="s">
        <v>25</v>
      </c>
      <c r="F3996">
        <v>1</v>
      </c>
      <c r="G3996">
        <v>9791170106401</v>
      </c>
      <c r="H3996" t="s">
        <v>67</v>
      </c>
      <c r="I3996" t="s">
        <v>4066</v>
      </c>
      <c r="J3996" t="s">
        <v>69</v>
      </c>
      <c r="K3996" t="s">
        <v>29</v>
      </c>
      <c r="L3996">
        <v>0</v>
      </c>
      <c r="M3996" t="s">
        <v>465</v>
      </c>
      <c r="N3996">
        <v>0</v>
      </c>
      <c r="O3996">
        <v>0</v>
      </c>
      <c r="P3996" t="s">
        <v>466</v>
      </c>
      <c r="Q3996" s="2">
        <v>0.7</v>
      </c>
      <c r="R3996">
        <v>0</v>
      </c>
      <c r="V3996" t="str">
        <f>VLOOKUP(H3996,'[1]팀별 출판사'!A:B,2,0)</f>
        <v>소설1팀</v>
      </c>
      <c r="W3996" s="6">
        <f t="shared" si="124"/>
        <v>0</v>
      </c>
      <c r="X3996" s="6">
        <f t="shared" si="125"/>
        <v>0</v>
      </c>
    </row>
    <row r="3997" spans="1:24" x14ac:dyDescent="0.3">
      <c r="A3997" t="s">
        <v>5534</v>
      </c>
      <c r="B3997" t="s">
        <v>5629</v>
      </c>
      <c r="C3997" t="s">
        <v>23</v>
      </c>
      <c r="D3997" t="s">
        <v>24</v>
      </c>
      <c r="E3997" t="s">
        <v>25</v>
      </c>
      <c r="F3997">
        <v>1</v>
      </c>
      <c r="G3997">
        <v>9791136965455</v>
      </c>
      <c r="H3997" t="s">
        <v>26</v>
      </c>
      <c r="I3997" t="s">
        <v>472</v>
      </c>
      <c r="J3997" t="s">
        <v>157</v>
      </c>
      <c r="K3997" t="s">
        <v>29</v>
      </c>
      <c r="L3997">
        <v>0</v>
      </c>
      <c r="M3997" t="s">
        <v>47</v>
      </c>
      <c r="N3997">
        <v>0</v>
      </c>
      <c r="O3997">
        <v>0</v>
      </c>
      <c r="P3997" t="s">
        <v>48</v>
      </c>
      <c r="Q3997" s="2">
        <v>0.7</v>
      </c>
      <c r="R3997">
        <v>0</v>
      </c>
      <c r="V3997" t="str">
        <f>VLOOKUP(H3997,'[1]팀별 출판사'!A:B,2,0)</f>
        <v>소설1팀</v>
      </c>
      <c r="W3997" s="6">
        <f t="shared" si="124"/>
        <v>0</v>
      </c>
      <c r="X3997" s="6">
        <f t="shared" si="125"/>
        <v>0</v>
      </c>
    </row>
    <row r="3998" spans="1:24" x14ac:dyDescent="0.3">
      <c r="A3998" t="s">
        <v>5534</v>
      </c>
      <c r="B3998" t="s">
        <v>5630</v>
      </c>
      <c r="C3998" t="s">
        <v>23</v>
      </c>
      <c r="D3998" t="s">
        <v>24</v>
      </c>
      <c r="E3998" t="s">
        <v>25</v>
      </c>
      <c r="F3998">
        <v>1</v>
      </c>
      <c r="G3998">
        <v>9791136940704</v>
      </c>
      <c r="H3998" t="s">
        <v>36</v>
      </c>
      <c r="I3998" t="s">
        <v>2260</v>
      </c>
      <c r="J3998" t="s">
        <v>38</v>
      </c>
      <c r="K3998" t="s">
        <v>29</v>
      </c>
      <c r="L3998" s="1">
        <v>3300</v>
      </c>
      <c r="M3998" t="s">
        <v>29</v>
      </c>
      <c r="N3998" s="1">
        <v>3300</v>
      </c>
      <c r="O3998" s="1">
        <v>3300</v>
      </c>
      <c r="P3998" t="s">
        <v>30</v>
      </c>
      <c r="Q3998" s="2">
        <v>0.7</v>
      </c>
      <c r="R3998" s="1">
        <v>2310</v>
      </c>
      <c r="S3998" t="s">
        <v>29</v>
      </c>
      <c r="T3998" s="1">
        <v>2310</v>
      </c>
      <c r="V3998" t="str">
        <f>VLOOKUP(H3998,'[1]팀별 출판사'!A:B,2,0)</f>
        <v>소설2팀</v>
      </c>
      <c r="W3998" s="6">
        <f t="shared" si="124"/>
        <v>0</v>
      </c>
      <c r="X3998" s="6">
        <f t="shared" si="125"/>
        <v>2310</v>
      </c>
    </row>
    <row r="3999" spans="1:24" x14ac:dyDescent="0.3">
      <c r="A3999" t="s">
        <v>5534</v>
      </c>
      <c r="B3999" t="s">
        <v>5631</v>
      </c>
      <c r="C3999" t="s">
        <v>23</v>
      </c>
      <c r="D3999" t="s">
        <v>24</v>
      </c>
      <c r="E3999" t="s">
        <v>25</v>
      </c>
      <c r="F3999">
        <v>1</v>
      </c>
      <c r="G3999" t="s">
        <v>5632</v>
      </c>
      <c r="H3999" t="s">
        <v>32</v>
      </c>
      <c r="I3999" t="s">
        <v>5633</v>
      </c>
      <c r="J3999" t="s">
        <v>166</v>
      </c>
      <c r="K3999" t="s">
        <v>29</v>
      </c>
      <c r="L3999">
        <v>0</v>
      </c>
      <c r="M3999" t="s">
        <v>70</v>
      </c>
      <c r="N3999">
        <v>0</v>
      </c>
      <c r="O3999">
        <v>0</v>
      </c>
      <c r="P3999" t="s">
        <v>71</v>
      </c>
      <c r="Q3999" s="2">
        <v>0.7</v>
      </c>
      <c r="R3999">
        <v>0</v>
      </c>
      <c r="V3999" t="str">
        <f>VLOOKUP(H3999,'[1]팀별 출판사'!A:B,2,0)</f>
        <v>소설1팀</v>
      </c>
      <c r="W3999" s="6">
        <f t="shared" si="124"/>
        <v>0</v>
      </c>
      <c r="X3999" s="6">
        <f t="shared" si="125"/>
        <v>0</v>
      </c>
    </row>
    <row r="4000" spans="1:24" x14ac:dyDescent="0.3">
      <c r="A4000" t="s">
        <v>5534</v>
      </c>
      <c r="B4000" t="s">
        <v>5634</v>
      </c>
      <c r="C4000" t="s">
        <v>23</v>
      </c>
      <c r="D4000" t="s">
        <v>24</v>
      </c>
      <c r="E4000" t="s">
        <v>25</v>
      </c>
      <c r="F4000">
        <v>1</v>
      </c>
      <c r="G4000">
        <v>9791170100911</v>
      </c>
      <c r="H4000" t="s">
        <v>67</v>
      </c>
      <c r="I4000" t="s">
        <v>5635</v>
      </c>
      <c r="J4000" t="s">
        <v>5636</v>
      </c>
      <c r="K4000" t="s">
        <v>29</v>
      </c>
      <c r="L4000">
        <v>0</v>
      </c>
      <c r="M4000" t="s">
        <v>29</v>
      </c>
      <c r="N4000">
        <v>0</v>
      </c>
      <c r="O4000">
        <v>0</v>
      </c>
      <c r="P4000" t="s">
        <v>30</v>
      </c>
      <c r="Q4000" s="2">
        <v>0.7</v>
      </c>
      <c r="R4000">
        <v>0</v>
      </c>
      <c r="V4000" t="str">
        <f>VLOOKUP(H4000,'[1]팀별 출판사'!A:B,2,0)</f>
        <v>소설1팀</v>
      </c>
      <c r="W4000" s="6">
        <f t="shared" si="124"/>
        <v>0</v>
      </c>
      <c r="X4000" s="6">
        <f t="shared" si="125"/>
        <v>0</v>
      </c>
    </row>
    <row r="4001" spans="1:24" x14ac:dyDescent="0.3">
      <c r="A4001" t="s">
        <v>5534</v>
      </c>
      <c r="B4001" t="s">
        <v>5637</v>
      </c>
      <c r="C4001" t="s">
        <v>23</v>
      </c>
      <c r="D4001" t="s">
        <v>24</v>
      </c>
      <c r="E4001" t="s">
        <v>25</v>
      </c>
      <c r="F4001">
        <v>1</v>
      </c>
      <c r="G4001">
        <v>9791136900210</v>
      </c>
      <c r="H4001" t="s">
        <v>26</v>
      </c>
      <c r="I4001" t="s">
        <v>5638</v>
      </c>
      <c r="J4001" t="s">
        <v>436</v>
      </c>
      <c r="K4001" t="s">
        <v>29</v>
      </c>
      <c r="L4001" s="1">
        <v>3200</v>
      </c>
      <c r="M4001" t="s">
        <v>29</v>
      </c>
      <c r="N4001" s="1">
        <v>3200</v>
      </c>
      <c r="O4001" s="1">
        <v>3200</v>
      </c>
      <c r="P4001" t="s">
        <v>30</v>
      </c>
      <c r="Q4001" s="2">
        <v>0.7</v>
      </c>
      <c r="R4001" s="1">
        <v>2240</v>
      </c>
      <c r="S4001" t="s">
        <v>29</v>
      </c>
      <c r="T4001" s="1">
        <v>2240</v>
      </c>
      <c r="V4001" t="str">
        <f>VLOOKUP(H4001,'[1]팀별 출판사'!A:B,2,0)</f>
        <v>소설1팀</v>
      </c>
      <c r="W4001" s="6">
        <f t="shared" si="124"/>
        <v>0</v>
      </c>
      <c r="X4001" s="6">
        <f t="shared" si="125"/>
        <v>2240</v>
      </c>
    </row>
    <row r="4002" spans="1:24" x14ac:dyDescent="0.3">
      <c r="A4002" t="s">
        <v>5534</v>
      </c>
      <c r="B4002" t="s">
        <v>5639</v>
      </c>
      <c r="C4002" t="s">
        <v>23</v>
      </c>
      <c r="D4002" t="s">
        <v>24</v>
      </c>
      <c r="E4002" t="s">
        <v>25</v>
      </c>
      <c r="F4002">
        <v>1</v>
      </c>
      <c r="G4002">
        <v>9791170105930</v>
      </c>
      <c r="H4002" t="s">
        <v>67</v>
      </c>
      <c r="I4002" t="s">
        <v>866</v>
      </c>
      <c r="J4002" t="s">
        <v>867</v>
      </c>
      <c r="K4002" t="s">
        <v>29</v>
      </c>
      <c r="L4002">
        <v>0</v>
      </c>
      <c r="M4002" t="s">
        <v>47</v>
      </c>
      <c r="N4002">
        <v>0</v>
      </c>
      <c r="O4002">
        <v>0</v>
      </c>
      <c r="P4002" t="s">
        <v>48</v>
      </c>
      <c r="Q4002" s="2">
        <v>0.7</v>
      </c>
      <c r="R4002">
        <v>0</v>
      </c>
      <c r="V4002" t="str">
        <f>VLOOKUP(H4002,'[1]팀별 출판사'!A:B,2,0)</f>
        <v>소설1팀</v>
      </c>
      <c r="W4002" s="6">
        <f t="shared" si="124"/>
        <v>0</v>
      </c>
      <c r="X4002" s="6">
        <f t="shared" si="125"/>
        <v>0</v>
      </c>
    </row>
    <row r="4003" spans="1:24" x14ac:dyDescent="0.3">
      <c r="A4003" t="s">
        <v>5534</v>
      </c>
      <c r="B4003" t="s">
        <v>5640</v>
      </c>
      <c r="C4003" t="s">
        <v>23</v>
      </c>
      <c r="D4003" t="s">
        <v>24</v>
      </c>
      <c r="E4003" t="s">
        <v>25</v>
      </c>
      <c r="F4003">
        <v>1</v>
      </c>
      <c r="G4003">
        <v>9791136932648</v>
      </c>
      <c r="H4003" t="s">
        <v>32</v>
      </c>
      <c r="I4003" t="s">
        <v>832</v>
      </c>
      <c r="J4003" t="s">
        <v>34</v>
      </c>
      <c r="K4003" t="s">
        <v>29</v>
      </c>
      <c r="L4003">
        <v>0</v>
      </c>
      <c r="M4003" t="s">
        <v>47</v>
      </c>
      <c r="N4003">
        <v>0</v>
      </c>
      <c r="O4003">
        <v>0</v>
      </c>
      <c r="P4003" t="s">
        <v>48</v>
      </c>
      <c r="Q4003" s="2">
        <v>0.7</v>
      </c>
      <c r="R4003">
        <v>0</v>
      </c>
      <c r="V4003" t="str">
        <f>VLOOKUP(H4003,'[1]팀별 출판사'!A:B,2,0)</f>
        <v>소설1팀</v>
      </c>
      <c r="W4003" s="6">
        <f t="shared" si="124"/>
        <v>0</v>
      </c>
      <c r="X4003" s="6">
        <f t="shared" si="125"/>
        <v>0</v>
      </c>
    </row>
    <row r="4004" spans="1:24" x14ac:dyDescent="0.3">
      <c r="A4004" t="s">
        <v>5534</v>
      </c>
      <c r="B4004" t="s">
        <v>5641</v>
      </c>
      <c r="C4004" t="s">
        <v>23</v>
      </c>
      <c r="D4004" t="s">
        <v>24</v>
      </c>
      <c r="E4004" t="s">
        <v>25</v>
      </c>
      <c r="F4004">
        <v>1</v>
      </c>
      <c r="G4004">
        <v>9791136940728</v>
      </c>
      <c r="H4004" t="s">
        <v>36</v>
      </c>
      <c r="I4004" t="s">
        <v>2019</v>
      </c>
      <c r="J4004" t="s">
        <v>38</v>
      </c>
      <c r="K4004" t="s">
        <v>29</v>
      </c>
      <c r="L4004" s="1">
        <v>3300</v>
      </c>
      <c r="M4004" t="s">
        <v>29</v>
      </c>
      <c r="N4004" s="1">
        <v>3300</v>
      </c>
      <c r="O4004" s="1">
        <v>3300</v>
      </c>
      <c r="P4004" t="s">
        <v>30</v>
      </c>
      <c r="Q4004" s="2">
        <v>0.7</v>
      </c>
      <c r="R4004" s="1">
        <v>2310</v>
      </c>
      <c r="S4004" t="s">
        <v>29</v>
      </c>
      <c r="T4004" s="1">
        <v>2310</v>
      </c>
      <c r="V4004" t="str">
        <f>VLOOKUP(H4004,'[1]팀별 출판사'!A:B,2,0)</f>
        <v>소설2팀</v>
      </c>
      <c r="W4004" s="6">
        <f t="shared" si="124"/>
        <v>0</v>
      </c>
      <c r="X4004" s="6">
        <f t="shared" si="125"/>
        <v>2310</v>
      </c>
    </row>
    <row r="4005" spans="1:24" x14ac:dyDescent="0.3">
      <c r="A4005" t="s">
        <v>5534</v>
      </c>
      <c r="B4005" t="s">
        <v>5642</v>
      </c>
      <c r="C4005" t="s">
        <v>23</v>
      </c>
      <c r="D4005" t="s">
        <v>24</v>
      </c>
      <c r="E4005" t="s">
        <v>25</v>
      </c>
      <c r="F4005">
        <v>1</v>
      </c>
      <c r="G4005">
        <v>9791170106623</v>
      </c>
      <c r="H4005" t="s">
        <v>67</v>
      </c>
      <c r="I4005" t="s">
        <v>2287</v>
      </c>
      <c r="J4005" t="s">
        <v>2288</v>
      </c>
      <c r="K4005" t="s">
        <v>29</v>
      </c>
      <c r="L4005">
        <v>0</v>
      </c>
      <c r="M4005" t="s">
        <v>47</v>
      </c>
      <c r="N4005">
        <v>0</v>
      </c>
      <c r="O4005">
        <v>0</v>
      </c>
      <c r="P4005" t="s">
        <v>48</v>
      </c>
      <c r="Q4005" s="2">
        <v>0.7</v>
      </c>
      <c r="R4005">
        <v>0</v>
      </c>
      <c r="V4005" t="str">
        <f>VLOOKUP(H4005,'[1]팀별 출판사'!A:B,2,0)</f>
        <v>소설1팀</v>
      </c>
      <c r="W4005" s="6">
        <f t="shared" si="124"/>
        <v>0</v>
      </c>
      <c r="X4005" s="6">
        <f t="shared" si="125"/>
        <v>0</v>
      </c>
    </row>
    <row r="4006" spans="1:24" x14ac:dyDescent="0.3">
      <c r="A4006" t="s">
        <v>5534</v>
      </c>
      <c r="B4006" t="s">
        <v>5643</v>
      </c>
      <c r="C4006" t="s">
        <v>23</v>
      </c>
      <c r="D4006" t="s">
        <v>24</v>
      </c>
      <c r="E4006" t="s">
        <v>25</v>
      </c>
      <c r="F4006">
        <v>1</v>
      </c>
      <c r="G4006">
        <v>9791170101307</v>
      </c>
      <c r="H4006" t="s">
        <v>67</v>
      </c>
      <c r="I4006" t="s">
        <v>413</v>
      </c>
      <c r="J4006" t="s">
        <v>414</v>
      </c>
      <c r="K4006" t="s">
        <v>29</v>
      </c>
      <c r="L4006">
        <v>0</v>
      </c>
      <c r="M4006" t="s">
        <v>29</v>
      </c>
      <c r="N4006">
        <v>0</v>
      </c>
      <c r="O4006">
        <v>0</v>
      </c>
      <c r="P4006" t="s">
        <v>30</v>
      </c>
      <c r="Q4006" s="2">
        <v>0.7</v>
      </c>
      <c r="R4006">
        <v>0</v>
      </c>
      <c r="V4006" t="str">
        <f>VLOOKUP(H4006,'[1]팀별 출판사'!A:B,2,0)</f>
        <v>소설1팀</v>
      </c>
      <c r="W4006" s="6">
        <f t="shared" si="124"/>
        <v>0</v>
      </c>
      <c r="X4006" s="6">
        <f t="shared" si="125"/>
        <v>0</v>
      </c>
    </row>
    <row r="4007" spans="1:24" x14ac:dyDescent="0.3">
      <c r="A4007" t="s">
        <v>5534</v>
      </c>
      <c r="B4007" t="s">
        <v>5644</v>
      </c>
      <c r="C4007" t="s">
        <v>23</v>
      </c>
      <c r="D4007" t="s">
        <v>24</v>
      </c>
      <c r="E4007" t="s">
        <v>25</v>
      </c>
      <c r="F4007">
        <v>1</v>
      </c>
      <c r="G4007">
        <v>9791157539758</v>
      </c>
      <c r="H4007" t="s">
        <v>32</v>
      </c>
      <c r="I4007" t="s">
        <v>4384</v>
      </c>
      <c r="J4007" t="s">
        <v>88</v>
      </c>
      <c r="K4007" t="s">
        <v>29</v>
      </c>
      <c r="L4007" s="1">
        <v>3200</v>
      </c>
      <c r="M4007" t="s">
        <v>29</v>
      </c>
      <c r="N4007" s="1">
        <v>3200</v>
      </c>
      <c r="O4007" s="1">
        <v>3200</v>
      </c>
      <c r="P4007" t="s">
        <v>30</v>
      </c>
      <c r="Q4007" s="2">
        <v>0.7</v>
      </c>
      <c r="R4007" s="1">
        <v>2240</v>
      </c>
      <c r="S4007" t="s">
        <v>29</v>
      </c>
      <c r="T4007" s="1">
        <v>2240</v>
      </c>
      <c r="V4007" t="str">
        <f>VLOOKUP(H4007,'[1]팀별 출판사'!A:B,2,0)</f>
        <v>소설1팀</v>
      </c>
      <c r="W4007" s="6">
        <f t="shared" si="124"/>
        <v>0</v>
      </c>
      <c r="X4007" s="6">
        <f t="shared" si="125"/>
        <v>2240</v>
      </c>
    </row>
    <row r="4008" spans="1:24" x14ac:dyDescent="0.3">
      <c r="A4008" t="s">
        <v>5534</v>
      </c>
      <c r="B4008" t="s">
        <v>5645</v>
      </c>
      <c r="C4008" t="s">
        <v>23</v>
      </c>
      <c r="D4008" t="s">
        <v>24</v>
      </c>
      <c r="E4008" t="s">
        <v>25</v>
      </c>
      <c r="F4008">
        <v>1</v>
      </c>
      <c r="G4008">
        <v>9791133151943</v>
      </c>
      <c r="H4008" t="s">
        <v>32</v>
      </c>
      <c r="I4008" t="s">
        <v>302</v>
      </c>
      <c r="J4008" t="s">
        <v>51</v>
      </c>
      <c r="K4008" t="s">
        <v>29</v>
      </c>
      <c r="L4008">
        <v>0</v>
      </c>
      <c r="M4008" t="s">
        <v>120</v>
      </c>
      <c r="N4008">
        <v>0</v>
      </c>
      <c r="O4008">
        <v>0</v>
      </c>
      <c r="P4008" t="s">
        <v>121</v>
      </c>
      <c r="Q4008" s="2">
        <v>0.7</v>
      </c>
      <c r="R4008">
        <v>0</v>
      </c>
      <c r="V4008" t="str">
        <f>VLOOKUP(H4008,'[1]팀별 출판사'!A:B,2,0)</f>
        <v>소설1팀</v>
      </c>
      <c r="W4008" s="6">
        <f t="shared" si="124"/>
        <v>0</v>
      </c>
      <c r="X4008" s="6">
        <f t="shared" si="125"/>
        <v>0</v>
      </c>
    </row>
    <row r="4009" spans="1:24" x14ac:dyDescent="0.3">
      <c r="A4009" t="s">
        <v>5534</v>
      </c>
      <c r="B4009" t="s">
        <v>5646</v>
      </c>
      <c r="C4009" t="s">
        <v>23</v>
      </c>
      <c r="D4009" t="s">
        <v>24</v>
      </c>
      <c r="E4009" t="s">
        <v>25</v>
      </c>
      <c r="F4009">
        <v>1</v>
      </c>
      <c r="G4009">
        <v>9791136930491</v>
      </c>
      <c r="H4009" t="s">
        <v>26</v>
      </c>
      <c r="I4009" t="s">
        <v>151</v>
      </c>
      <c r="J4009" t="s">
        <v>46</v>
      </c>
      <c r="K4009" t="s">
        <v>29</v>
      </c>
      <c r="L4009">
        <v>0</v>
      </c>
      <c r="M4009" t="s">
        <v>152</v>
      </c>
      <c r="N4009">
        <v>0</v>
      </c>
      <c r="O4009">
        <v>0</v>
      </c>
      <c r="P4009" t="s">
        <v>153</v>
      </c>
      <c r="Q4009" s="2">
        <v>0.7</v>
      </c>
      <c r="R4009">
        <v>0</v>
      </c>
      <c r="V4009" t="str">
        <f>VLOOKUP(H4009,'[1]팀별 출판사'!A:B,2,0)</f>
        <v>소설1팀</v>
      </c>
      <c r="W4009" s="6">
        <f t="shared" si="124"/>
        <v>0</v>
      </c>
      <c r="X4009" s="6">
        <f t="shared" si="125"/>
        <v>0</v>
      </c>
    </row>
    <row r="4010" spans="1:24" x14ac:dyDescent="0.3">
      <c r="A4010" t="s">
        <v>5534</v>
      </c>
      <c r="B4010" t="s">
        <v>5647</v>
      </c>
      <c r="C4010" t="s">
        <v>23</v>
      </c>
      <c r="D4010" t="s">
        <v>24</v>
      </c>
      <c r="E4010" t="s">
        <v>25</v>
      </c>
      <c r="F4010">
        <v>1</v>
      </c>
      <c r="G4010" t="s">
        <v>1001</v>
      </c>
      <c r="H4010" t="s">
        <v>32</v>
      </c>
      <c r="I4010" t="s">
        <v>2785</v>
      </c>
      <c r="J4010" t="s">
        <v>166</v>
      </c>
      <c r="K4010" t="s">
        <v>29</v>
      </c>
      <c r="L4010">
        <v>0</v>
      </c>
      <c r="M4010" t="s">
        <v>120</v>
      </c>
      <c r="N4010">
        <v>0</v>
      </c>
      <c r="O4010">
        <v>0</v>
      </c>
      <c r="P4010" t="s">
        <v>121</v>
      </c>
      <c r="Q4010" s="2">
        <v>0.7</v>
      </c>
      <c r="R4010">
        <v>0</v>
      </c>
      <c r="V4010" t="str">
        <f>VLOOKUP(H4010,'[1]팀별 출판사'!A:B,2,0)</f>
        <v>소설1팀</v>
      </c>
      <c r="W4010" s="6">
        <f t="shared" si="124"/>
        <v>0</v>
      </c>
      <c r="X4010" s="6">
        <f t="shared" si="125"/>
        <v>0</v>
      </c>
    </row>
    <row r="4011" spans="1:24" x14ac:dyDescent="0.3">
      <c r="A4011" t="s">
        <v>5534</v>
      </c>
      <c r="B4011" t="s">
        <v>5648</v>
      </c>
      <c r="C4011" t="s">
        <v>23</v>
      </c>
      <c r="D4011" t="s">
        <v>24</v>
      </c>
      <c r="E4011" t="s">
        <v>25</v>
      </c>
      <c r="F4011">
        <v>1</v>
      </c>
      <c r="G4011">
        <v>9791133167289</v>
      </c>
      <c r="H4011" t="s">
        <v>32</v>
      </c>
      <c r="I4011" t="s">
        <v>2236</v>
      </c>
      <c r="J4011" t="s">
        <v>160</v>
      </c>
      <c r="K4011" t="s">
        <v>29</v>
      </c>
      <c r="L4011" s="1">
        <v>2500</v>
      </c>
      <c r="M4011" t="s">
        <v>29</v>
      </c>
      <c r="N4011" s="1">
        <v>2500</v>
      </c>
      <c r="O4011" s="1">
        <v>2500</v>
      </c>
      <c r="P4011" t="s">
        <v>30</v>
      </c>
      <c r="Q4011" s="2">
        <v>0.7</v>
      </c>
      <c r="R4011" s="1">
        <v>1750</v>
      </c>
      <c r="S4011" t="s">
        <v>29</v>
      </c>
      <c r="T4011" s="1">
        <v>1750</v>
      </c>
      <c r="V4011" t="str">
        <f>VLOOKUP(H4011,'[1]팀별 출판사'!A:B,2,0)</f>
        <v>소설1팀</v>
      </c>
      <c r="W4011" s="6">
        <f t="shared" si="124"/>
        <v>0</v>
      </c>
      <c r="X4011" s="6">
        <f t="shared" si="125"/>
        <v>1750</v>
      </c>
    </row>
    <row r="4012" spans="1:24" x14ac:dyDescent="0.3">
      <c r="A4012" t="s">
        <v>5534</v>
      </c>
      <c r="B4012" t="s">
        <v>5649</v>
      </c>
      <c r="C4012" t="s">
        <v>23</v>
      </c>
      <c r="D4012" t="s">
        <v>24</v>
      </c>
      <c r="E4012" t="s">
        <v>25</v>
      </c>
      <c r="F4012">
        <v>1</v>
      </c>
      <c r="G4012">
        <v>9791170107767</v>
      </c>
      <c r="H4012" t="s">
        <v>67</v>
      </c>
      <c r="I4012" t="s">
        <v>2284</v>
      </c>
      <c r="J4012" t="s">
        <v>2285</v>
      </c>
      <c r="K4012" t="s">
        <v>29</v>
      </c>
      <c r="L4012">
        <v>0</v>
      </c>
      <c r="M4012" t="s">
        <v>29</v>
      </c>
      <c r="N4012">
        <v>0</v>
      </c>
      <c r="O4012">
        <v>0</v>
      </c>
      <c r="P4012" t="s">
        <v>30</v>
      </c>
      <c r="Q4012" s="2">
        <v>0.7</v>
      </c>
      <c r="R4012">
        <v>0</v>
      </c>
      <c r="V4012" t="str">
        <f>VLOOKUP(H4012,'[1]팀별 출판사'!A:B,2,0)</f>
        <v>소설1팀</v>
      </c>
      <c r="W4012" s="6">
        <f t="shared" si="124"/>
        <v>0</v>
      </c>
      <c r="X4012" s="6">
        <f t="shared" si="125"/>
        <v>0</v>
      </c>
    </row>
    <row r="4013" spans="1:24" x14ac:dyDescent="0.3">
      <c r="A4013" t="s">
        <v>5534</v>
      </c>
      <c r="B4013" t="s">
        <v>5650</v>
      </c>
      <c r="C4013" t="s">
        <v>23</v>
      </c>
      <c r="D4013" t="s">
        <v>24</v>
      </c>
      <c r="E4013" t="s">
        <v>25</v>
      </c>
      <c r="F4013">
        <v>1</v>
      </c>
      <c r="G4013">
        <v>9791136945082</v>
      </c>
      <c r="H4013" t="s">
        <v>1617</v>
      </c>
      <c r="I4013" t="s">
        <v>5651</v>
      </c>
      <c r="J4013" t="s">
        <v>2624</v>
      </c>
      <c r="K4013" t="s">
        <v>29</v>
      </c>
      <c r="L4013" s="1">
        <v>6500</v>
      </c>
      <c r="M4013" t="s">
        <v>136</v>
      </c>
      <c r="N4013">
        <v>774</v>
      </c>
      <c r="O4013">
        <v>704</v>
      </c>
      <c r="P4013" t="s">
        <v>137</v>
      </c>
      <c r="Q4013" s="2">
        <v>0.7</v>
      </c>
      <c r="R4013">
        <v>493</v>
      </c>
      <c r="S4013" t="s">
        <v>29</v>
      </c>
      <c r="T4013" s="1">
        <v>4546</v>
      </c>
      <c r="U4013">
        <v>9.2297200000000004</v>
      </c>
      <c r="V4013" t="str">
        <f>VLOOKUP(H4013,'[1]팀별 출판사'!A:B,2,0)</f>
        <v>소설2팀</v>
      </c>
      <c r="W4013" s="6">
        <f t="shared" si="124"/>
        <v>0</v>
      </c>
      <c r="X4013" s="6">
        <f t="shared" si="125"/>
        <v>4546</v>
      </c>
    </row>
    <row r="4014" spans="1:24" x14ac:dyDescent="0.3">
      <c r="A4014" t="s">
        <v>5534</v>
      </c>
      <c r="B4014" t="s">
        <v>5652</v>
      </c>
      <c r="C4014" t="s">
        <v>23</v>
      </c>
      <c r="D4014" t="s">
        <v>24</v>
      </c>
      <c r="E4014" t="s">
        <v>25</v>
      </c>
      <c r="F4014">
        <v>1</v>
      </c>
      <c r="G4014">
        <v>9791136945099</v>
      </c>
      <c r="H4014" t="s">
        <v>1617</v>
      </c>
      <c r="I4014" t="s">
        <v>5653</v>
      </c>
      <c r="J4014" t="s">
        <v>2624</v>
      </c>
      <c r="K4014" t="s">
        <v>29</v>
      </c>
      <c r="L4014" s="1">
        <v>6500</v>
      </c>
      <c r="M4014" t="s">
        <v>136</v>
      </c>
      <c r="N4014">
        <v>774</v>
      </c>
      <c r="O4014">
        <v>704</v>
      </c>
      <c r="P4014" t="s">
        <v>137</v>
      </c>
      <c r="Q4014" s="2">
        <v>0.7</v>
      </c>
      <c r="R4014">
        <v>493</v>
      </c>
      <c r="S4014" t="s">
        <v>29</v>
      </c>
      <c r="T4014" s="1">
        <v>4546</v>
      </c>
      <c r="U4014">
        <v>9.2297200000000004</v>
      </c>
      <c r="V4014" t="str">
        <f>VLOOKUP(H4014,'[1]팀별 출판사'!A:B,2,0)</f>
        <v>소설2팀</v>
      </c>
      <c r="W4014" s="6">
        <f t="shared" si="124"/>
        <v>0</v>
      </c>
      <c r="X4014" s="6">
        <f t="shared" si="125"/>
        <v>4546</v>
      </c>
    </row>
    <row r="4015" spans="1:24" x14ac:dyDescent="0.3">
      <c r="A4015" t="s">
        <v>5534</v>
      </c>
      <c r="B4015" t="s">
        <v>5654</v>
      </c>
      <c r="C4015" t="s">
        <v>23</v>
      </c>
      <c r="D4015" t="s">
        <v>24</v>
      </c>
      <c r="E4015" t="s">
        <v>25</v>
      </c>
      <c r="F4015">
        <v>1</v>
      </c>
      <c r="G4015">
        <v>9791175300651</v>
      </c>
      <c r="H4015" t="s">
        <v>26</v>
      </c>
      <c r="I4015" t="s">
        <v>1090</v>
      </c>
      <c r="J4015" t="s">
        <v>256</v>
      </c>
      <c r="K4015" t="s">
        <v>29</v>
      </c>
      <c r="L4015">
        <v>0</v>
      </c>
      <c r="M4015" t="s">
        <v>70</v>
      </c>
      <c r="N4015">
        <v>0</v>
      </c>
      <c r="O4015">
        <v>0</v>
      </c>
      <c r="P4015" t="s">
        <v>71</v>
      </c>
      <c r="Q4015" s="2">
        <v>0.7</v>
      </c>
      <c r="R4015">
        <v>0</v>
      </c>
      <c r="V4015" t="str">
        <f>VLOOKUP(H4015,'[1]팀별 출판사'!A:B,2,0)</f>
        <v>소설1팀</v>
      </c>
      <c r="W4015" s="6">
        <f t="shared" si="124"/>
        <v>0</v>
      </c>
      <c r="X4015" s="6">
        <f t="shared" si="125"/>
        <v>0</v>
      </c>
    </row>
    <row r="4016" spans="1:24" x14ac:dyDescent="0.3">
      <c r="A4016" t="s">
        <v>5534</v>
      </c>
      <c r="B4016" t="s">
        <v>5655</v>
      </c>
      <c r="C4016" t="s">
        <v>23</v>
      </c>
      <c r="D4016" t="s">
        <v>24</v>
      </c>
      <c r="E4016" t="s">
        <v>25</v>
      </c>
      <c r="F4016">
        <v>1</v>
      </c>
      <c r="G4016">
        <v>9791170103387</v>
      </c>
      <c r="H4016" t="s">
        <v>67</v>
      </c>
      <c r="I4016" t="s">
        <v>307</v>
      </c>
      <c r="J4016" t="s">
        <v>308</v>
      </c>
      <c r="K4016" t="s">
        <v>29</v>
      </c>
      <c r="L4016">
        <v>0</v>
      </c>
      <c r="M4016" t="s">
        <v>29</v>
      </c>
      <c r="N4016">
        <v>0</v>
      </c>
      <c r="O4016">
        <v>0</v>
      </c>
      <c r="P4016" t="s">
        <v>30</v>
      </c>
      <c r="Q4016" s="2">
        <v>0.7</v>
      </c>
      <c r="R4016">
        <v>0</v>
      </c>
      <c r="V4016" t="str">
        <f>VLOOKUP(H4016,'[1]팀별 출판사'!A:B,2,0)</f>
        <v>소설1팀</v>
      </c>
      <c r="W4016" s="6">
        <f t="shared" si="124"/>
        <v>0</v>
      </c>
      <c r="X4016" s="6">
        <f t="shared" si="125"/>
        <v>0</v>
      </c>
    </row>
    <row r="4017" spans="1:24" x14ac:dyDescent="0.3">
      <c r="A4017" t="s">
        <v>5534</v>
      </c>
      <c r="B4017" t="s">
        <v>5656</v>
      </c>
      <c r="C4017" t="s">
        <v>23</v>
      </c>
      <c r="D4017" t="s">
        <v>24</v>
      </c>
      <c r="E4017" t="s">
        <v>25</v>
      </c>
      <c r="F4017">
        <v>1</v>
      </c>
      <c r="G4017">
        <v>9791136958778</v>
      </c>
      <c r="H4017" t="s">
        <v>79</v>
      </c>
      <c r="I4017" t="s">
        <v>4574</v>
      </c>
      <c r="J4017" t="s">
        <v>81</v>
      </c>
      <c r="K4017" t="s">
        <v>29</v>
      </c>
      <c r="L4017" s="1">
        <v>3200</v>
      </c>
      <c r="M4017" t="s">
        <v>29</v>
      </c>
      <c r="N4017" s="1">
        <v>3200</v>
      </c>
      <c r="O4017" s="1">
        <v>3200</v>
      </c>
      <c r="P4017" t="s">
        <v>30</v>
      </c>
      <c r="Q4017" s="2">
        <v>0.7</v>
      </c>
      <c r="R4017" s="1">
        <v>2240</v>
      </c>
      <c r="S4017" t="s">
        <v>29</v>
      </c>
      <c r="T4017" s="1">
        <v>2240</v>
      </c>
      <c r="V4017" t="str">
        <f>VLOOKUP(H4017,'[1]팀별 출판사'!A:B,2,0)</f>
        <v>소설1팀</v>
      </c>
      <c r="W4017" s="6">
        <f t="shared" si="124"/>
        <v>0</v>
      </c>
      <c r="X4017" s="6">
        <f t="shared" si="125"/>
        <v>2240</v>
      </c>
    </row>
    <row r="4018" spans="1:24" x14ac:dyDescent="0.3">
      <c r="A4018" t="s">
        <v>5534</v>
      </c>
      <c r="B4018" t="s">
        <v>5657</v>
      </c>
      <c r="C4018" t="s">
        <v>23</v>
      </c>
      <c r="D4018" t="s">
        <v>24</v>
      </c>
      <c r="E4018" t="s">
        <v>25</v>
      </c>
      <c r="F4018">
        <v>1</v>
      </c>
      <c r="G4018">
        <v>9791173788864</v>
      </c>
      <c r="H4018" t="s">
        <v>26</v>
      </c>
      <c r="I4018" t="s">
        <v>1930</v>
      </c>
      <c r="J4018" t="s">
        <v>256</v>
      </c>
      <c r="K4018" t="s">
        <v>29</v>
      </c>
      <c r="L4018">
        <v>0</v>
      </c>
      <c r="M4018" t="s">
        <v>70</v>
      </c>
      <c r="N4018">
        <v>0</v>
      </c>
      <c r="O4018">
        <v>0</v>
      </c>
      <c r="P4018" t="s">
        <v>71</v>
      </c>
      <c r="Q4018" s="2">
        <v>0.7</v>
      </c>
      <c r="R4018">
        <v>0</v>
      </c>
      <c r="S4018" t="s">
        <v>29</v>
      </c>
      <c r="T4018">
        <v>0</v>
      </c>
      <c r="U4018" s="3">
        <v>1440.34079</v>
      </c>
      <c r="V4018" t="str">
        <f>VLOOKUP(H4018,'[1]팀별 출판사'!A:B,2,0)</f>
        <v>소설1팀</v>
      </c>
      <c r="W4018" s="6">
        <f t="shared" si="124"/>
        <v>0</v>
      </c>
      <c r="X4018" s="6">
        <f t="shared" si="125"/>
        <v>0</v>
      </c>
    </row>
    <row r="4019" spans="1:24" x14ac:dyDescent="0.3">
      <c r="A4019" t="s">
        <v>5534</v>
      </c>
      <c r="B4019" t="s">
        <v>5657</v>
      </c>
      <c r="C4019" t="s">
        <v>23</v>
      </c>
      <c r="D4019" t="s">
        <v>24</v>
      </c>
      <c r="E4019" t="s">
        <v>25</v>
      </c>
      <c r="F4019">
        <v>1</v>
      </c>
      <c r="G4019">
        <v>9791173788871</v>
      </c>
      <c r="H4019" t="s">
        <v>26</v>
      </c>
      <c r="I4019" t="s">
        <v>2637</v>
      </c>
      <c r="J4019" t="s">
        <v>256</v>
      </c>
      <c r="K4019" t="s">
        <v>29</v>
      </c>
      <c r="L4019" s="1">
        <v>3200</v>
      </c>
      <c r="M4019" t="s">
        <v>70</v>
      </c>
      <c r="N4019">
        <v>2.2200000000000002</v>
      </c>
      <c r="O4019">
        <v>2.2200000000000002</v>
      </c>
      <c r="P4019" t="s">
        <v>71</v>
      </c>
      <c r="Q4019" s="2">
        <v>0.7</v>
      </c>
      <c r="R4019">
        <v>1.55</v>
      </c>
      <c r="S4019" t="s">
        <v>29</v>
      </c>
      <c r="T4019" s="1">
        <v>2232</v>
      </c>
      <c r="U4019" s="3">
        <v>1440.34079</v>
      </c>
      <c r="V4019" t="str">
        <f>VLOOKUP(H4019,'[1]팀별 출판사'!A:B,2,0)</f>
        <v>소설1팀</v>
      </c>
      <c r="W4019" s="6">
        <f t="shared" si="124"/>
        <v>669.6</v>
      </c>
      <c r="X4019" s="6">
        <f t="shared" si="125"/>
        <v>1562.4</v>
      </c>
    </row>
    <row r="4020" spans="1:24" x14ac:dyDescent="0.3">
      <c r="A4020" t="s">
        <v>5534</v>
      </c>
      <c r="B4020" t="s">
        <v>5657</v>
      </c>
      <c r="C4020" t="s">
        <v>23</v>
      </c>
      <c r="D4020" t="s">
        <v>24</v>
      </c>
      <c r="E4020" t="s">
        <v>25</v>
      </c>
      <c r="F4020">
        <v>1</v>
      </c>
      <c r="G4020">
        <v>9791173788888</v>
      </c>
      <c r="H4020" t="s">
        <v>26</v>
      </c>
      <c r="I4020" t="s">
        <v>2918</v>
      </c>
      <c r="J4020" t="s">
        <v>256</v>
      </c>
      <c r="K4020" t="s">
        <v>29</v>
      </c>
      <c r="L4020" s="1">
        <v>3200</v>
      </c>
      <c r="M4020" t="s">
        <v>70</v>
      </c>
      <c r="N4020">
        <v>2.2200000000000002</v>
      </c>
      <c r="O4020">
        <v>2.2200000000000002</v>
      </c>
      <c r="P4020" t="s">
        <v>71</v>
      </c>
      <c r="Q4020" s="2">
        <v>0.7</v>
      </c>
      <c r="R4020">
        <v>1.55</v>
      </c>
      <c r="S4020" t="s">
        <v>29</v>
      </c>
      <c r="T4020" s="1">
        <v>2232</v>
      </c>
      <c r="U4020" s="3">
        <v>1440.34079</v>
      </c>
      <c r="V4020" t="str">
        <f>VLOOKUP(H4020,'[1]팀별 출판사'!A:B,2,0)</f>
        <v>소설1팀</v>
      </c>
      <c r="W4020" s="6">
        <f t="shared" si="124"/>
        <v>669.6</v>
      </c>
      <c r="X4020" s="6">
        <f t="shared" si="125"/>
        <v>1562.4</v>
      </c>
    </row>
    <row r="4021" spans="1:24" x14ac:dyDescent="0.3">
      <c r="A4021" t="s">
        <v>5534</v>
      </c>
      <c r="B4021" t="s">
        <v>5657</v>
      </c>
      <c r="C4021" t="s">
        <v>23</v>
      </c>
      <c r="D4021" t="s">
        <v>24</v>
      </c>
      <c r="E4021" t="s">
        <v>25</v>
      </c>
      <c r="F4021">
        <v>1</v>
      </c>
      <c r="G4021">
        <v>9791173788895</v>
      </c>
      <c r="H4021" t="s">
        <v>26</v>
      </c>
      <c r="I4021" t="s">
        <v>3251</v>
      </c>
      <c r="J4021" t="s">
        <v>256</v>
      </c>
      <c r="K4021" t="s">
        <v>29</v>
      </c>
      <c r="L4021" s="1">
        <v>3200</v>
      </c>
      <c r="M4021" t="s">
        <v>70</v>
      </c>
      <c r="N4021">
        <v>2.2200000000000002</v>
      </c>
      <c r="O4021">
        <v>2.2200000000000002</v>
      </c>
      <c r="P4021" t="s">
        <v>71</v>
      </c>
      <c r="Q4021" s="2">
        <v>0.7</v>
      </c>
      <c r="R4021">
        <v>1.55</v>
      </c>
      <c r="S4021" t="s">
        <v>29</v>
      </c>
      <c r="T4021" s="1">
        <v>2232</v>
      </c>
      <c r="U4021" s="3">
        <v>1440.34079</v>
      </c>
      <c r="V4021" t="str">
        <f>VLOOKUP(H4021,'[1]팀별 출판사'!A:B,2,0)</f>
        <v>소설1팀</v>
      </c>
      <c r="W4021" s="6">
        <f t="shared" si="124"/>
        <v>669.6</v>
      </c>
      <c r="X4021" s="6">
        <f t="shared" si="125"/>
        <v>1562.4</v>
      </c>
    </row>
    <row r="4022" spans="1:24" x14ac:dyDescent="0.3">
      <c r="A4022" t="s">
        <v>5534</v>
      </c>
      <c r="B4022" t="s">
        <v>5657</v>
      </c>
      <c r="C4022" t="s">
        <v>23</v>
      </c>
      <c r="D4022" t="s">
        <v>24</v>
      </c>
      <c r="E4022" t="s">
        <v>25</v>
      </c>
      <c r="F4022">
        <v>1</v>
      </c>
      <c r="G4022">
        <v>9791173788901</v>
      </c>
      <c r="H4022" t="s">
        <v>26</v>
      </c>
      <c r="I4022" t="s">
        <v>3545</v>
      </c>
      <c r="J4022" t="s">
        <v>256</v>
      </c>
      <c r="K4022" t="s">
        <v>29</v>
      </c>
      <c r="L4022" s="1">
        <v>3200</v>
      </c>
      <c r="M4022" t="s">
        <v>70</v>
      </c>
      <c r="N4022">
        <v>2.2200000000000002</v>
      </c>
      <c r="O4022">
        <v>2.2200000000000002</v>
      </c>
      <c r="P4022" t="s">
        <v>71</v>
      </c>
      <c r="Q4022" s="2">
        <v>0.7</v>
      </c>
      <c r="R4022">
        <v>1.55</v>
      </c>
      <c r="S4022" t="s">
        <v>29</v>
      </c>
      <c r="T4022" s="1">
        <v>2232</v>
      </c>
      <c r="U4022" s="3">
        <v>1440.34079</v>
      </c>
      <c r="V4022" t="str">
        <f>VLOOKUP(H4022,'[1]팀별 출판사'!A:B,2,0)</f>
        <v>소설1팀</v>
      </c>
      <c r="W4022" s="6">
        <f t="shared" si="124"/>
        <v>669.6</v>
      </c>
      <c r="X4022" s="6">
        <f t="shared" si="125"/>
        <v>1562.4</v>
      </c>
    </row>
    <row r="4023" spans="1:24" x14ac:dyDescent="0.3">
      <c r="A4023" t="s">
        <v>5534</v>
      </c>
      <c r="B4023" t="s">
        <v>5657</v>
      </c>
      <c r="C4023" t="s">
        <v>23</v>
      </c>
      <c r="D4023" t="s">
        <v>24</v>
      </c>
      <c r="E4023" t="s">
        <v>25</v>
      </c>
      <c r="F4023">
        <v>1</v>
      </c>
      <c r="G4023">
        <v>9791173788918</v>
      </c>
      <c r="H4023" t="s">
        <v>26</v>
      </c>
      <c r="I4023" t="s">
        <v>3654</v>
      </c>
      <c r="J4023" t="s">
        <v>256</v>
      </c>
      <c r="K4023" t="s">
        <v>29</v>
      </c>
      <c r="L4023" s="1">
        <v>3200</v>
      </c>
      <c r="M4023" t="s">
        <v>70</v>
      </c>
      <c r="N4023">
        <v>2.2200000000000002</v>
      </c>
      <c r="O4023">
        <v>2.2200000000000002</v>
      </c>
      <c r="P4023" t="s">
        <v>71</v>
      </c>
      <c r="Q4023" s="2">
        <v>0.7</v>
      </c>
      <c r="R4023">
        <v>1.55</v>
      </c>
      <c r="S4023" t="s">
        <v>29</v>
      </c>
      <c r="T4023" s="1">
        <v>2232</v>
      </c>
      <c r="U4023" s="3">
        <v>1440.34079</v>
      </c>
      <c r="V4023" t="str">
        <f>VLOOKUP(H4023,'[1]팀별 출판사'!A:B,2,0)</f>
        <v>소설1팀</v>
      </c>
      <c r="W4023" s="6">
        <f t="shared" si="124"/>
        <v>669.6</v>
      </c>
      <c r="X4023" s="6">
        <f t="shared" si="125"/>
        <v>1562.4</v>
      </c>
    </row>
    <row r="4024" spans="1:24" x14ac:dyDescent="0.3">
      <c r="A4024" t="s">
        <v>5534</v>
      </c>
      <c r="B4024" t="s">
        <v>5657</v>
      </c>
      <c r="C4024" t="s">
        <v>23</v>
      </c>
      <c r="D4024" t="s">
        <v>24</v>
      </c>
      <c r="E4024" t="s">
        <v>25</v>
      </c>
      <c r="F4024">
        <v>1</v>
      </c>
      <c r="G4024">
        <v>9791173788925</v>
      </c>
      <c r="H4024" t="s">
        <v>26</v>
      </c>
      <c r="I4024" t="s">
        <v>4297</v>
      </c>
      <c r="J4024" t="s">
        <v>256</v>
      </c>
      <c r="K4024" t="s">
        <v>29</v>
      </c>
      <c r="L4024" s="1">
        <v>3200</v>
      </c>
      <c r="M4024" t="s">
        <v>70</v>
      </c>
      <c r="N4024">
        <v>2.2200000000000002</v>
      </c>
      <c r="O4024">
        <v>2.2200000000000002</v>
      </c>
      <c r="P4024" t="s">
        <v>71</v>
      </c>
      <c r="Q4024" s="2">
        <v>0.7</v>
      </c>
      <c r="R4024">
        <v>1.55</v>
      </c>
      <c r="S4024" t="s">
        <v>29</v>
      </c>
      <c r="T4024" s="1">
        <v>2232</v>
      </c>
      <c r="U4024" s="3">
        <v>1440.34079</v>
      </c>
      <c r="V4024" t="str">
        <f>VLOOKUP(H4024,'[1]팀별 출판사'!A:B,2,0)</f>
        <v>소설1팀</v>
      </c>
      <c r="W4024" s="6">
        <f t="shared" si="124"/>
        <v>669.6</v>
      </c>
      <c r="X4024" s="6">
        <f t="shared" si="125"/>
        <v>1562.4</v>
      </c>
    </row>
    <row r="4025" spans="1:24" x14ac:dyDescent="0.3">
      <c r="A4025" t="s">
        <v>5534</v>
      </c>
      <c r="B4025" t="s">
        <v>5657</v>
      </c>
      <c r="C4025" t="s">
        <v>23</v>
      </c>
      <c r="D4025" t="s">
        <v>24</v>
      </c>
      <c r="E4025" t="s">
        <v>25</v>
      </c>
      <c r="F4025">
        <v>1</v>
      </c>
      <c r="G4025">
        <v>9791173788932</v>
      </c>
      <c r="H4025" t="s">
        <v>26</v>
      </c>
      <c r="I4025" t="s">
        <v>4476</v>
      </c>
      <c r="J4025" t="s">
        <v>256</v>
      </c>
      <c r="K4025" t="s">
        <v>29</v>
      </c>
      <c r="L4025" s="1">
        <v>3200</v>
      </c>
      <c r="M4025" t="s">
        <v>70</v>
      </c>
      <c r="N4025">
        <v>2.2200000000000002</v>
      </c>
      <c r="O4025">
        <v>2.2200000000000002</v>
      </c>
      <c r="P4025" t="s">
        <v>71</v>
      </c>
      <c r="Q4025" s="2">
        <v>0.7</v>
      </c>
      <c r="R4025">
        <v>1.55</v>
      </c>
      <c r="S4025" t="s">
        <v>29</v>
      </c>
      <c r="T4025" s="1">
        <v>2232</v>
      </c>
      <c r="U4025" s="3">
        <v>1440.34079</v>
      </c>
      <c r="V4025" t="str">
        <f>VLOOKUP(H4025,'[1]팀별 출판사'!A:B,2,0)</f>
        <v>소설1팀</v>
      </c>
      <c r="W4025" s="6">
        <f t="shared" si="124"/>
        <v>669.6</v>
      </c>
      <c r="X4025" s="6">
        <f t="shared" si="125"/>
        <v>1562.4</v>
      </c>
    </row>
    <row r="4026" spans="1:24" x14ac:dyDescent="0.3">
      <c r="A4026" t="s">
        <v>5534</v>
      </c>
      <c r="B4026" t="s">
        <v>5657</v>
      </c>
      <c r="C4026" t="s">
        <v>23</v>
      </c>
      <c r="D4026" t="s">
        <v>24</v>
      </c>
      <c r="E4026" t="s">
        <v>25</v>
      </c>
      <c r="F4026">
        <v>1</v>
      </c>
      <c r="G4026">
        <v>9791173788949</v>
      </c>
      <c r="H4026" t="s">
        <v>26</v>
      </c>
      <c r="I4026" t="s">
        <v>4914</v>
      </c>
      <c r="J4026" t="s">
        <v>256</v>
      </c>
      <c r="K4026" t="s">
        <v>29</v>
      </c>
      <c r="L4026" s="1">
        <v>3200</v>
      </c>
      <c r="M4026" t="s">
        <v>70</v>
      </c>
      <c r="N4026">
        <v>2.2200000000000002</v>
      </c>
      <c r="O4026">
        <v>2.2200000000000002</v>
      </c>
      <c r="P4026" t="s">
        <v>71</v>
      </c>
      <c r="Q4026" s="2">
        <v>0.7</v>
      </c>
      <c r="R4026">
        <v>1.55</v>
      </c>
      <c r="S4026" t="s">
        <v>29</v>
      </c>
      <c r="T4026" s="1">
        <v>2232</v>
      </c>
      <c r="U4026" s="3">
        <v>1440.34079</v>
      </c>
      <c r="V4026" t="str">
        <f>VLOOKUP(H4026,'[1]팀별 출판사'!A:B,2,0)</f>
        <v>소설1팀</v>
      </c>
      <c r="W4026" s="6">
        <f t="shared" si="124"/>
        <v>669.6</v>
      </c>
      <c r="X4026" s="6">
        <f t="shared" si="125"/>
        <v>1562.4</v>
      </c>
    </row>
    <row r="4027" spans="1:24" x14ac:dyDescent="0.3">
      <c r="A4027" t="s">
        <v>5534</v>
      </c>
      <c r="B4027" t="s">
        <v>5657</v>
      </c>
      <c r="C4027" t="s">
        <v>23</v>
      </c>
      <c r="D4027" t="s">
        <v>24</v>
      </c>
      <c r="E4027" t="s">
        <v>25</v>
      </c>
      <c r="F4027">
        <v>1</v>
      </c>
      <c r="G4027">
        <v>9791173788956</v>
      </c>
      <c r="H4027" t="s">
        <v>26</v>
      </c>
      <c r="I4027" t="s">
        <v>5658</v>
      </c>
      <c r="J4027" t="s">
        <v>256</v>
      </c>
      <c r="K4027" t="s">
        <v>29</v>
      </c>
      <c r="L4027" s="1">
        <v>3200</v>
      </c>
      <c r="M4027" t="s">
        <v>70</v>
      </c>
      <c r="N4027">
        <v>2.2200000000000002</v>
      </c>
      <c r="O4027">
        <v>2.2200000000000002</v>
      </c>
      <c r="P4027" t="s">
        <v>71</v>
      </c>
      <c r="Q4027" s="2">
        <v>0.7</v>
      </c>
      <c r="R4027">
        <v>1.55</v>
      </c>
      <c r="S4027" t="s">
        <v>29</v>
      </c>
      <c r="T4027" s="1">
        <v>2232</v>
      </c>
      <c r="U4027" s="3">
        <v>1440.34079</v>
      </c>
      <c r="V4027" t="str">
        <f>VLOOKUP(H4027,'[1]팀별 출판사'!A:B,2,0)</f>
        <v>소설1팀</v>
      </c>
      <c r="W4027" s="6">
        <f t="shared" si="124"/>
        <v>669.6</v>
      </c>
      <c r="X4027" s="6">
        <f t="shared" si="125"/>
        <v>1562.4</v>
      </c>
    </row>
    <row r="4028" spans="1:24" x14ac:dyDescent="0.3">
      <c r="A4028" t="s">
        <v>5534</v>
      </c>
      <c r="B4028" t="s">
        <v>5659</v>
      </c>
      <c r="C4028" t="s">
        <v>23</v>
      </c>
      <c r="D4028" t="s">
        <v>24</v>
      </c>
      <c r="E4028" t="s">
        <v>25</v>
      </c>
      <c r="F4028">
        <v>1</v>
      </c>
      <c r="G4028" t="s">
        <v>543</v>
      </c>
      <c r="H4028" t="s">
        <v>32</v>
      </c>
      <c r="I4028" t="s">
        <v>544</v>
      </c>
      <c r="J4028" t="s">
        <v>311</v>
      </c>
      <c r="K4028" t="s">
        <v>29</v>
      </c>
      <c r="L4028">
        <v>0</v>
      </c>
      <c r="M4028" t="s">
        <v>29</v>
      </c>
      <c r="N4028">
        <v>0</v>
      </c>
      <c r="O4028">
        <v>0</v>
      </c>
      <c r="P4028" t="s">
        <v>30</v>
      </c>
      <c r="Q4028" s="2">
        <v>0.7</v>
      </c>
      <c r="R4028">
        <v>0</v>
      </c>
      <c r="V4028" t="str">
        <f>VLOOKUP(H4028,'[1]팀별 출판사'!A:B,2,0)</f>
        <v>소설1팀</v>
      </c>
      <c r="W4028" s="6">
        <f t="shared" si="124"/>
        <v>0</v>
      </c>
      <c r="X4028" s="6">
        <f t="shared" si="125"/>
        <v>0</v>
      </c>
    </row>
    <row r="4029" spans="1:24" x14ac:dyDescent="0.3">
      <c r="A4029" t="s">
        <v>5534</v>
      </c>
      <c r="B4029" t="s">
        <v>5660</v>
      </c>
      <c r="C4029" t="s">
        <v>23</v>
      </c>
      <c r="D4029" t="s">
        <v>24</v>
      </c>
      <c r="E4029" t="s">
        <v>25</v>
      </c>
      <c r="F4029">
        <v>1</v>
      </c>
      <c r="G4029">
        <v>9791136930491</v>
      </c>
      <c r="H4029" t="s">
        <v>26</v>
      </c>
      <c r="I4029" t="s">
        <v>151</v>
      </c>
      <c r="J4029" t="s">
        <v>46</v>
      </c>
      <c r="K4029" t="s">
        <v>29</v>
      </c>
      <c r="L4029">
        <v>0</v>
      </c>
      <c r="M4029" t="s">
        <v>152</v>
      </c>
      <c r="N4029">
        <v>0</v>
      </c>
      <c r="O4029">
        <v>0</v>
      </c>
      <c r="P4029" t="s">
        <v>153</v>
      </c>
      <c r="Q4029" s="2">
        <v>0.7</v>
      </c>
      <c r="R4029">
        <v>0</v>
      </c>
      <c r="V4029" t="str">
        <f>VLOOKUP(H4029,'[1]팀별 출판사'!A:B,2,0)</f>
        <v>소설1팀</v>
      </c>
      <c r="W4029" s="6">
        <f t="shared" si="124"/>
        <v>0</v>
      </c>
      <c r="X4029" s="6">
        <f t="shared" si="125"/>
        <v>0</v>
      </c>
    </row>
    <row r="4030" spans="1:24" x14ac:dyDescent="0.3">
      <c r="A4030" t="s">
        <v>5534</v>
      </c>
      <c r="B4030" t="s">
        <v>5661</v>
      </c>
      <c r="C4030" t="s">
        <v>23</v>
      </c>
      <c r="D4030" t="s">
        <v>24</v>
      </c>
      <c r="E4030" t="s">
        <v>25</v>
      </c>
      <c r="F4030">
        <v>1</v>
      </c>
      <c r="G4030">
        <v>9791136943361</v>
      </c>
      <c r="H4030" t="s">
        <v>26</v>
      </c>
      <c r="I4030" t="s">
        <v>2346</v>
      </c>
      <c r="J4030" t="s">
        <v>284</v>
      </c>
      <c r="K4030" t="s">
        <v>29</v>
      </c>
      <c r="L4030">
        <v>0</v>
      </c>
      <c r="M4030" t="s">
        <v>29</v>
      </c>
      <c r="N4030">
        <v>0</v>
      </c>
      <c r="O4030">
        <v>0</v>
      </c>
      <c r="P4030" t="s">
        <v>30</v>
      </c>
      <c r="Q4030" s="2">
        <v>0.7</v>
      </c>
      <c r="R4030">
        <v>0</v>
      </c>
      <c r="V4030" t="str">
        <f>VLOOKUP(H4030,'[1]팀별 출판사'!A:B,2,0)</f>
        <v>소설1팀</v>
      </c>
      <c r="W4030" s="6">
        <f t="shared" si="124"/>
        <v>0</v>
      </c>
      <c r="X4030" s="6">
        <f t="shared" si="125"/>
        <v>0</v>
      </c>
    </row>
    <row r="4031" spans="1:24" x14ac:dyDescent="0.3">
      <c r="A4031" t="s">
        <v>5534</v>
      </c>
      <c r="B4031" t="s">
        <v>5662</v>
      </c>
      <c r="C4031" t="s">
        <v>23</v>
      </c>
      <c r="D4031" t="s">
        <v>24</v>
      </c>
      <c r="E4031" t="s">
        <v>25</v>
      </c>
      <c r="F4031">
        <v>1</v>
      </c>
      <c r="G4031">
        <v>9791136927248</v>
      </c>
      <c r="H4031" t="s">
        <v>36</v>
      </c>
      <c r="I4031" t="s">
        <v>2320</v>
      </c>
      <c r="J4031" t="s">
        <v>38</v>
      </c>
      <c r="K4031" t="s">
        <v>29</v>
      </c>
      <c r="L4031" s="1">
        <v>3300</v>
      </c>
      <c r="M4031" t="s">
        <v>70</v>
      </c>
      <c r="N4031">
        <v>2.2799999999999998</v>
      </c>
      <c r="O4031">
        <v>2.2799999999999998</v>
      </c>
      <c r="P4031" t="s">
        <v>71</v>
      </c>
      <c r="Q4031" s="2">
        <v>0.7</v>
      </c>
      <c r="R4031">
        <v>1.6</v>
      </c>
      <c r="S4031" t="s">
        <v>29</v>
      </c>
      <c r="T4031" s="1">
        <v>2304</v>
      </c>
      <c r="U4031" s="3">
        <v>1440.34079</v>
      </c>
      <c r="V4031" t="str">
        <f>VLOOKUP(H4031,'[1]팀별 출판사'!A:B,2,0)</f>
        <v>소설2팀</v>
      </c>
      <c r="W4031" s="6">
        <f t="shared" si="124"/>
        <v>691.19999999999993</v>
      </c>
      <c r="X4031" s="6">
        <f t="shared" si="125"/>
        <v>1612.8000000000002</v>
      </c>
    </row>
    <row r="4032" spans="1:24" x14ac:dyDescent="0.3">
      <c r="A4032" t="s">
        <v>5534</v>
      </c>
      <c r="B4032" t="s">
        <v>5662</v>
      </c>
      <c r="C4032" t="s">
        <v>23</v>
      </c>
      <c r="D4032" t="s">
        <v>24</v>
      </c>
      <c r="E4032" t="s">
        <v>25</v>
      </c>
      <c r="F4032">
        <v>1</v>
      </c>
      <c r="G4032">
        <v>9791136927255</v>
      </c>
      <c r="H4032" t="s">
        <v>36</v>
      </c>
      <c r="I4032" t="s">
        <v>90</v>
      </c>
      <c r="J4032" t="s">
        <v>38</v>
      </c>
      <c r="K4032" t="s">
        <v>29</v>
      </c>
      <c r="L4032" s="1">
        <v>3300</v>
      </c>
      <c r="M4032" t="s">
        <v>70</v>
      </c>
      <c r="N4032">
        <v>2.2799999999999998</v>
      </c>
      <c r="O4032">
        <v>2.2799999999999998</v>
      </c>
      <c r="P4032" t="s">
        <v>71</v>
      </c>
      <c r="Q4032" s="2">
        <v>0.7</v>
      </c>
      <c r="R4032">
        <v>1.6</v>
      </c>
      <c r="S4032" t="s">
        <v>29</v>
      </c>
      <c r="T4032" s="1">
        <v>2304</v>
      </c>
      <c r="U4032" s="3">
        <v>1440.34079</v>
      </c>
      <c r="V4032" t="str">
        <f>VLOOKUP(H4032,'[1]팀별 출판사'!A:B,2,0)</f>
        <v>소설2팀</v>
      </c>
      <c r="W4032" s="6">
        <f t="shared" si="124"/>
        <v>691.19999999999993</v>
      </c>
      <c r="X4032" s="6">
        <f t="shared" si="125"/>
        <v>1612.8000000000002</v>
      </c>
    </row>
    <row r="4033" spans="1:24" x14ac:dyDescent="0.3">
      <c r="A4033" t="s">
        <v>5534</v>
      </c>
      <c r="B4033" t="s">
        <v>5662</v>
      </c>
      <c r="C4033" t="s">
        <v>23</v>
      </c>
      <c r="D4033" t="s">
        <v>24</v>
      </c>
      <c r="E4033" t="s">
        <v>25</v>
      </c>
      <c r="F4033">
        <v>1</v>
      </c>
      <c r="G4033">
        <v>9791136927675</v>
      </c>
      <c r="H4033" t="s">
        <v>36</v>
      </c>
      <c r="I4033" t="s">
        <v>2259</v>
      </c>
      <c r="J4033" t="s">
        <v>38</v>
      </c>
      <c r="K4033" t="s">
        <v>29</v>
      </c>
      <c r="L4033" s="1">
        <v>3300</v>
      </c>
      <c r="M4033" t="s">
        <v>70</v>
      </c>
      <c r="N4033">
        <v>2.2799999999999998</v>
      </c>
      <c r="O4033">
        <v>2.2799999999999998</v>
      </c>
      <c r="P4033" t="s">
        <v>71</v>
      </c>
      <c r="Q4033" s="2">
        <v>0.7</v>
      </c>
      <c r="R4033">
        <v>1.6</v>
      </c>
      <c r="S4033" t="s">
        <v>29</v>
      </c>
      <c r="T4033" s="1">
        <v>2304</v>
      </c>
      <c r="U4033" s="3">
        <v>1440.34079</v>
      </c>
      <c r="V4033" t="str">
        <f>VLOOKUP(H4033,'[1]팀별 출판사'!A:B,2,0)</f>
        <v>소설2팀</v>
      </c>
      <c r="W4033" s="6">
        <f t="shared" si="124"/>
        <v>691.19999999999993</v>
      </c>
      <c r="X4033" s="6">
        <f t="shared" si="125"/>
        <v>1612.8000000000002</v>
      </c>
    </row>
    <row r="4034" spans="1:24" x14ac:dyDescent="0.3">
      <c r="A4034" t="s">
        <v>5534</v>
      </c>
      <c r="B4034" t="s">
        <v>5662</v>
      </c>
      <c r="C4034" t="s">
        <v>23</v>
      </c>
      <c r="D4034" t="s">
        <v>24</v>
      </c>
      <c r="E4034" t="s">
        <v>25</v>
      </c>
      <c r="F4034">
        <v>1</v>
      </c>
      <c r="G4034">
        <v>9791136940704</v>
      </c>
      <c r="H4034" t="s">
        <v>36</v>
      </c>
      <c r="I4034" t="s">
        <v>2260</v>
      </c>
      <c r="J4034" t="s">
        <v>38</v>
      </c>
      <c r="K4034" t="s">
        <v>29</v>
      </c>
      <c r="L4034" s="1">
        <v>3300</v>
      </c>
      <c r="M4034" t="s">
        <v>70</v>
      </c>
      <c r="N4034">
        <v>2.2799999999999998</v>
      </c>
      <c r="O4034">
        <v>2.2799999999999998</v>
      </c>
      <c r="P4034" t="s">
        <v>71</v>
      </c>
      <c r="Q4034" s="2">
        <v>0.7</v>
      </c>
      <c r="R4034">
        <v>1.6</v>
      </c>
      <c r="S4034" t="s">
        <v>29</v>
      </c>
      <c r="T4034" s="1">
        <v>2304</v>
      </c>
      <c r="U4034" s="3">
        <v>1440.34079</v>
      </c>
      <c r="V4034" t="str">
        <f>VLOOKUP(H4034,'[1]팀별 출판사'!A:B,2,0)</f>
        <v>소설2팀</v>
      </c>
      <c r="W4034" s="6">
        <f t="shared" ref="W4034:W4097" si="126">IF(P4034="US", T4034*30%, 0)</f>
        <v>691.19999999999993</v>
      </c>
      <c r="X4034" s="6">
        <f t="shared" ref="X4034:X4097" si="127">T4034-W4034</f>
        <v>1612.8000000000002</v>
      </c>
    </row>
    <row r="4035" spans="1:24" x14ac:dyDescent="0.3">
      <c r="A4035" t="s">
        <v>5534</v>
      </c>
      <c r="B4035" t="s">
        <v>5662</v>
      </c>
      <c r="C4035" t="s">
        <v>23</v>
      </c>
      <c r="D4035" t="s">
        <v>24</v>
      </c>
      <c r="E4035" t="s">
        <v>25</v>
      </c>
      <c r="F4035">
        <v>1</v>
      </c>
      <c r="G4035">
        <v>9791136940728</v>
      </c>
      <c r="H4035" t="s">
        <v>36</v>
      </c>
      <c r="I4035" t="s">
        <v>2019</v>
      </c>
      <c r="J4035" t="s">
        <v>38</v>
      </c>
      <c r="K4035" t="s">
        <v>29</v>
      </c>
      <c r="L4035" s="1">
        <v>3300</v>
      </c>
      <c r="M4035" t="s">
        <v>70</v>
      </c>
      <c r="N4035">
        <v>2.2799999999999998</v>
      </c>
      <c r="O4035">
        <v>2.2799999999999998</v>
      </c>
      <c r="P4035" t="s">
        <v>71</v>
      </c>
      <c r="Q4035" s="2">
        <v>0.7</v>
      </c>
      <c r="R4035">
        <v>1.6</v>
      </c>
      <c r="S4035" t="s">
        <v>29</v>
      </c>
      <c r="T4035" s="1">
        <v>2304</v>
      </c>
      <c r="U4035" s="3">
        <v>1440.34079</v>
      </c>
      <c r="V4035" t="str">
        <f>VLOOKUP(H4035,'[1]팀별 출판사'!A:B,2,0)</f>
        <v>소설2팀</v>
      </c>
      <c r="W4035" s="6">
        <f t="shared" si="126"/>
        <v>691.19999999999993</v>
      </c>
      <c r="X4035" s="6">
        <f t="shared" si="127"/>
        <v>1612.8000000000002</v>
      </c>
    </row>
    <row r="4036" spans="1:24" x14ac:dyDescent="0.3">
      <c r="A4036" t="s">
        <v>5534</v>
      </c>
      <c r="B4036" t="s">
        <v>5662</v>
      </c>
      <c r="C4036" t="s">
        <v>23</v>
      </c>
      <c r="D4036" t="s">
        <v>24</v>
      </c>
      <c r="E4036" t="s">
        <v>25</v>
      </c>
      <c r="F4036">
        <v>1</v>
      </c>
      <c r="G4036">
        <v>9791173786648</v>
      </c>
      <c r="H4036" t="s">
        <v>36</v>
      </c>
      <c r="I4036" t="s">
        <v>2003</v>
      </c>
      <c r="J4036" t="s">
        <v>38</v>
      </c>
      <c r="K4036" t="s">
        <v>29</v>
      </c>
      <c r="L4036" s="1">
        <v>1800</v>
      </c>
      <c r="M4036" t="s">
        <v>70</v>
      </c>
      <c r="N4036">
        <v>1.25</v>
      </c>
      <c r="O4036">
        <v>1.25</v>
      </c>
      <c r="P4036" t="s">
        <v>71</v>
      </c>
      <c r="Q4036" s="2">
        <v>0.7</v>
      </c>
      <c r="R4036">
        <v>0.87</v>
      </c>
      <c r="S4036" t="s">
        <v>29</v>
      </c>
      <c r="T4036" s="1">
        <v>1253</v>
      </c>
      <c r="U4036" s="3">
        <v>1440.34079</v>
      </c>
      <c r="V4036" t="str">
        <f>VLOOKUP(H4036,'[1]팀별 출판사'!A:B,2,0)</f>
        <v>소설2팀</v>
      </c>
      <c r="W4036" s="6">
        <f t="shared" si="126"/>
        <v>375.9</v>
      </c>
      <c r="X4036" s="6">
        <f t="shared" si="127"/>
        <v>877.1</v>
      </c>
    </row>
    <row r="4037" spans="1:24" x14ac:dyDescent="0.3">
      <c r="A4037" t="s">
        <v>5534</v>
      </c>
      <c r="B4037" t="s">
        <v>5663</v>
      </c>
      <c r="C4037" t="s">
        <v>23</v>
      </c>
      <c r="D4037" t="s">
        <v>24</v>
      </c>
      <c r="E4037" t="s">
        <v>25</v>
      </c>
      <c r="F4037">
        <v>1</v>
      </c>
      <c r="G4037">
        <v>9791194664369</v>
      </c>
      <c r="H4037" t="s">
        <v>79</v>
      </c>
      <c r="I4037" t="s">
        <v>156</v>
      </c>
      <c r="J4037" t="s">
        <v>157</v>
      </c>
      <c r="K4037" t="s">
        <v>29</v>
      </c>
      <c r="L4037">
        <v>0</v>
      </c>
      <c r="M4037" t="s">
        <v>47</v>
      </c>
      <c r="N4037">
        <v>0</v>
      </c>
      <c r="O4037">
        <v>0</v>
      </c>
      <c r="P4037" t="s">
        <v>48</v>
      </c>
      <c r="Q4037" s="2">
        <v>0.7</v>
      </c>
      <c r="R4037">
        <v>0</v>
      </c>
      <c r="V4037" t="str">
        <f>VLOOKUP(H4037,'[1]팀별 출판사'!A:B,2,0)</f>
        <v>소설1팀</v>
      </c>
      <c r="W4037" s="6">
        <f t="shared" si="126"/>
        <v>0</v>
      </c>
      <c r="X4037" s="6">
        <f t="shared" si="127"/>
        <v>0</v>
      </c>
    </row>
    <row r="4038" spans="1:24" x14ac:dyDescent="0.3">
      <c r="A4038" t="s">
        <v>5534</v>
      </c>
      <c r="B4038" t="s">
        <v>5664</v>
      </c>
      <c r="C4038" t="s">
        <v>23</v>
      </c>
      <c r="D4038" t="s">
        <v>24</v>
      </c>
      <c r="E4038" t="s">
        <v>25</v>
      </c>
      <c r="F4038">
        <v>1</v>
      </c>
      <c r="G4038">
        <v>9791157533503</v>
      </c>
      <c r="H4038" t="s">
        <v>32</v>
      </c>
      <c r="I4038" t="s">
        <v>383</v>
      </c>
      <c r="J4038" t="s">
        <v>187</v>
      </c>
      <c r="K4038" t="s">
        <v>29</v>
      </c>
      <c r="L4038">
        <v>0</v>
      </c>
      <c r="M4038" t="s">
        <v>29</v>
      </c>
      <c r="N4038">
        <v>0</v>
      </c>
      <c r="O4038">
        <v>0</v>
      </c>
      <c r="P4038" t="s">
        <v>30</v>
      </c>
      <c r="Q4038" s="2">
        <v>0.7</v>
      </c>
      <c r="R4038">
        <v>0</v>
      </c>
      <c r="V4038" t="str">
        <f>VLOOKUP(H4038,'[1]팀별 출판사'!A:B,2,0)</f>
        <v>소설1팀</v>
      </c>
      <c r="W4038" s="6">
        <f t="shared" si="126"/>
        <v>0</v>
      </c>
      <c r="X4038" s="6">
        <f t="shared" si="127"/>
        <v>0</v>
      </c>
    </row>
    <row r="4039" spans="1:24" x14ac:dyDescent="0.3">
      <c r="A4039" t="s">
        <v>5534</v>
      </c>
      <c r="B4039" t="s">
        <v>5665</v>
      </c>
      <c r="C4039" t="s">
        <v>23</v>
      </c>
      <c r="D4039" t="s">
        <v>24</v>
      </c>
      <c r="E4039" t="s">
        <v>25</v>
      </c>
      <c r="F4039">
        <v>1</v>
      </c>
      <c r="G4039">
        <v>9791173788956</v>
      </c>
      <c r="H4039" t="s">
        <v>26</v>
      </c>
      <c r="I4039" t="s">
        <v>5658</v>
      </c>
      <c r="J4039" t="s">
        <v>256</v>
      </c>
      <c r="K4039" t="s">
        <v>29</v>
      </c>
      <c r="L4039" s="1">
        <v>3200</v>
      </c>
      <c r="M4039" t="s">
        <v>29</v>
      </c>
      <c r="N4039" s="1">
        <v>3200</v>
      </c>
      <c r="O4039" s="1">
        <v>3200</v>
      </c>
      <c r="P4039" t="s">
        <v>30</v>
      </c>
      <c r="Q4039" s="2">
        <v>0.7</v>
      </c>
      <c r="R4039" s="1">
        <v>2240</v>
      </c>
      <c r="S4039" t="s">
        <v>29</v>
      </c>
      <c r="T4039" s="1">
        <v>2240</v>
      </c>
      <c r="V4039" t="str">
        <f>VLOOKUP(H4039,'[1]팀별 출판사'!A:B,2,0)</f>
        <v>소설1팀</v>
      </c>
      <c r="W4039" s="6">
        <f t="shared" si="126"/>
        <v>0</v>
      </c>
      <c r="X4039" s="6">
        <f t="shared" si="127"/>
        <v>2240</v>
      </c>
    </row>
    <row r="4040" spans="1:24" x14ac:dyDescent="0.3">
      <c r="A4040" t="s">
        <v>5534</v>
      </c>
      <c r="B4040" t="s">
        <v>5666</v>
      </c>
      <c r="C4040" t="s">
        <v>23</v>
      </c>
      <c r="D4040" t="s">
        <v>24</v>
      </c>
      <c r="E4040" t="s">
        <v>25</v>
      </c>
      <c r="F4040">
        <v>1</v>
      </c>
      <c r="G4040" t="s">
        <v>2903</v>
      </c>
      <c r="H4040" t="s">
        <v>32</v>
      </c>
      <c r="I4040" t="s">
        <v>2904</v>
      </c>
      <c r="J4040" t="s">
        <v>663</v>
      </c>
      <c r="K4040" t="s">
        <v>29</v>
      </c>
      <c r="L4040">
        <v>0</v>
      </c>
      <c r="M4040" t="s">
        <v>29</v>
      </c>
      <c r="N4040">
        <v>0</v>
      </c>
      <c r="O4040">
        <v>0</v>
      </c>
      <c r="P4040" t="s">
        <v>30</v>
      </c>
      <c r="Q4040" s="2">
        <v>0.7</v>
      </c>
      <c r="R4040">
        <v>0</v>
      </c>
      <c r="V4040" t="str">
        <f>VLOOKUP(H4040,'[1]팀별 출판사'!A:B,2,0)</f>
        <v>소설1팀</v>
      </c>
      <c r="W4040" s="6">
        <f t="shared" si="126"/>
        <v>0</v>
      </c>
      <c r="X4040" s="6">
        <f t="shared" si="127"/>
        <v>0</v>
      </c>
    </row>
    <row r="4041" spans="1:24" x14ac:dyDescent="0.3">
      <c r="A4041" t="s">
        <v>5534</v>
      </c>
      <c r="B4041" t="s">
        <v>5667</v>
      </c>
      <c r="C4041" t="s">
        <v>23</v>
      </c>
      <c r="D4041" t="s">
        <v>24</v>
      </c>
      <c r="E4041" t="s">
        <v>25</v>
      </c>
      <c r="F4041">
        <v>1</v>
      </c>
      <c r="G4041">
        <v>9791136910981</v>
      </c>
      <c r="H4041" t="s">
        <v>32</v>
      </c>
      <c r="I4041" t="s">
        <v>752</v>
      </c>
      <c r="J4041" t="s">
        <v>160</v>
      </c>
      <c r="K4041" t="s">
        <v>29</v>
      </c>
      <c r="L4041">
        <v>0</v>
      </c>
      <c r="M4041" t="s">
        <v>29</v>
      </c>
      <c r="N4041">
        <v>0</v>
      </c>
      <c r="O4041">
        <v>0</v>
      </c>
      <c r="P4041" t="s">
        <v>30</v>
      </c>
      <c r="Q4041" s="2">
        <v>0.7</v>
      </c>
      <c r="R4041">
        <v>0</v>
      </c>
      <c r="V4041" t="str">
        <f>VLOOKUP(H4041,'[1]팀별 출판사'!A:B,2,0)</f>
        <v>소설1팀</v>
      </c>
      <c r="W4041" s="6">
        <f t="shared" si="126"/>
        <v>0</v>
      </c>
      <c r="X4041" s="6">
        <f t="shared" si="127"/>
        <v>0</v>
      </c>
    </row>
    <row r="4042" spans="1:24" x14ac:dyDescent="0.3">
      <c r="A4042" t="s">
        <v>5534</v>
      </c>
      <c r="B4042" t="s">
        <v>5668</v>
      </c>
      <c r="C4042" t="s">
        <v>23</v>
      </c>
      <c r="D4042" t="s">
        <v>24</v>
      </c>
      <c r="E4042" t="s">
        <v>25</v>
      </c>
      <c r="F4042">
        <v>1</v>
      </c>
      <c r="G4042">
        <v>9791136900227</v>
      </c>
      <c r="H4042" t="s">
        <v>26</v>
      </c>
      <c r="I4042" t="s">
        <v>5669</v>
      </c>
      <c r="J4042" t="s">
        <v>436</v>
      </c>
      <c r="K4042" t="s">
        <v>29</v>
      </c>
      <c r="L4042" s="1">
        <v>3200</v>
      </c>
      <c r="M4042" t="s">
        <v>29</v>
      </c>
      <c r="N4042" s="1">
        <v>3200</v>
      </c>
      <c r="O4042" s="1">
        <v>3200</v>
      </c>
      <c r="P4042" t="s">
        <v>30</v>
      </c>
      <c r="Q4042" s="2">
        <v>0.7</v>
      </c>
      <c r="R4042" s="1">
        <v>2240</v>
      </c>
      <c r="S4042" t="s">
        <v>29</v>
      </c>
      <c r="T4042" s="1">
        <v>2240</v>
      </c>
      <c r="V4042" t="str">
        <f>VLOOKUP(H4042,'[1]팀별 출판사'!A:B,2,0)</f>
        <v>소설1팀</v>
      </c>
      <c r="W4042" s="6">
        <f t="shared" si="126"/>
        <v>0</v>
      </c>
      <c r="X4042" s="6">
        <f t="shared" si="127"/>
        <v>2240</v>
      </c>
    </row>
    <row r="4043" spans="1:24" x14ac:dyDescent="0.3">
      <c r="A4043" t="s">
        <v>5534</v>
      </c>
      <c r="B4043" t="s">
        <v>5670</v>
      </c>
      <c r="C4043" t="s">
        <v>23</v>
      </c>
      <c r="D4043" t="s">
        <v>24</v>
      </c>
      <c r="E4043" t="s">
        <v>25</v>
      </c>
      <c r="F4043">
        <v>1</v>
      </c>
      <c r="G4043">
        <v>9791133152759</v>
      </c>
      <c r="H4043" t="s">
        <v>32</v>
      </c>
      <c r="I4043" t="s">
        <v>809</v>
      </c>
      <c r="J4043" t="s">
        <v>810</v>
      </c>
      <c r="K4043" t="s">
        <v>29</v>
      </c>
      <c r="L4043">
        <v>0</v>
      </c>
      <c r="M4043" t="s">
        <v>29</v>
      </c>
      <c r="N4043">
        <v>0</v>
      </c>
      <c r="O4043">
        <v>0</v>
      </c>
      <c r="P4043" t="s">
        <v>30</v>
      </c>
      <c r="Q4043" s="2">
        <v>0.7</v>
      </c>
      <c r="R4043">
        <v>0</v>
      </c>
      <c r="V4043" t="str">
        <f>VLOOKUP(H4043,'[1]팀별 출판사'!A:B,2,0)</f>
        <v>소설1팀</v>
      </c>
      <c r="W4043" s="6">
        <f t="shared" si="126"/>
        <v>0</v>
      </c>
      <c r="X4043" s="6">
        <f t="shared" si="127"/>
        <v>0</v>
      </c>
    </row>
    <row r="4044" spans="1:24" x14ac:dyDescent="0.3">
      <c r="A4044" t="s">
        <v>5534</v>
      </c>
      <c r="B4044" t="s">
        <v>5671</v>
      </c>
      <c r="C4044" t="s">
        <v>23</v>
      </c>
      <c r="D4044" t="s">
        <v>24</v>
      </c>
      <c r="E4044" t="s">
        <v>25</v>
      </c>
      <c r="F4044">
        <v>1</v>
      </c>
      <c r="G4044">
        <v>9791133171415</v>
      </c>
      <c r="H4044" t="s">
        <v>26</v>
      </c>
      <c r="I4044" t="s">
        <v>3584</v>
      </c>
      <c r="J4044" t="s">
        <v>287</v>
      </c>
      <c r="K4044" t="s">
        <v>29</v>
      </c>
      <c r="L4044">
        <v>0</v>
      </c>
      <c r="M4044" t="s">
        <v>29</v>
      </c>
      <c r="N4044">
        <v>0</v>
      </c>
      <c r="O4044">
        <v>0</v>
      </c>
      <c r="P4044" t="s">
        <v>30</v>
      </c>
      <c r="Q4044" s="2">
        <v>0.7</v>
      </c>
      <c r="R4044">
        <v>0</v>
      </c>
      <c r="V4044" t="str">
        <f>VLOOKUP(H4044,'[1]팀별 출판사'!A:B,2,0)</f>
        <v>소설1팀</v>
      </c>
      <c r="W4044" s="6">
        <f t="shared" si="126"/>
        <v>0</v>
      </c>
      <c r="X4044" s="6">
        <f t="shared" si="127"/>
        <v>0</v>
      </c>
    </row>
    <row r="4045" spans="1:24" x14ac:dyDescent="0.3">
      <c r="A4045" t="s">
        <v>5534</v>
      </c>
      <c r="B4045" t="s">
        <v>5672</v>
      </c>
      <c r="C4045" t="s">
        <v>23</v>
      </c>
      <c r="D4045" t="s">
        <v>24</v>
      </c>
      <c r="E4045" t="s">
        <v>25</v>
      </c>
      <c r="F4045">
        <v>1</v>
      </c>
      <c r="G4045">
        <v>9791133171422</v>
      </c>
      <c r="H4045" t="s">
        <v>26</v>
      </c>
      <c r="I4045" t="s">
        <v>2992</v>
      </c>
      <c r="J4045" t="s">
        <v>287</v>
      </c>
      <c r="K4045" t="s">
        <v>29</v>
      </c>
      <c r="L4045">
        <v>0</v>
      </c>
      <c r="M4045" t="s">
        <v>29</v>
      </c>
      <c r="N4045">
        <v>0</v>
      </c>
      <c r="O4045">
        <v>0</v>
      </c>
      <c r="P4045" t="s">
        <v>30</v>
      </c>
      <c r="Q4045" s="2">
        <v>0.7</v>
      </c>
      <c r="R4045">
        <v>0</v>
      </c>
      <c r="V4045" t="str">
        <f>VLOOKUP(H4045,'[1]팀별 출판사'!A:B,2,0)</f>
        <v>소설1팀</v>
      </c>
      <c r="W4045" s="6">
        <f t="shared" si="126"/>
        <v>0</v>
      </c>
      <c r="X4045" s="6">
        <f t="shared" si="127"/>
        <v>0</v>
      </c>
    </row>
    <row r="4046" spans="1:24" x14ac:dyDescent="0.3">
      <c r="A4046" t="s">
        <v>5534</v>
      </c>
      <c r="B4046" t="s">
        <v>5673</v>
      </c>
      <c r="C4046" t="s">
        <v>23</v>
      </c>
      <c r="D4046" t="s">
        <v>24</v>
      </c>
      <c r="E4046" t="s">
        <v>25</v>
      </c>
      <c r="F4046">
        <v>1</v>
      </c>
      <c r="G4046">
        <v>9791133183968</v>
      </c>
      <c r="H4046" t="s">
        <v>26</v>
      </c>
      <c r="I4046" t="s">
        <v>2770</v>
      </c>
      <c r="J4046" t="s">
        <v>2771</v>
      </c>
      <c r="K4046" t="s">
        <v>29</v>
      </c>
      <c r="L4046">
        <v>0</v>
      </c>
      <c r="M4046" t="s">
        <v>29</v>
      </c>
      <c r="N4046">
        <v>0</v>
      </c>
      <c r="O4046">
        <v>0</v>
      </c>
      <c r="P4046" t="s">
        <v>30</v>
      </c>
      <c r="Q4046" s="2">
        <v>0.7</v>
      </c>
      <c r="R4046">
        <v>0</v>
      </c>
      <c r="V4046" t="str">
        <f>VLOOKUP(H4046,'[1]팀별 출판사'!A:B,2,0)</f>
        <v>소설1팀</v>
      </c>
      <c r="W4046" s="6">
        <f t="shared" si="126"/>
        <v>0</v>
      </c>
      <c r="X4046" s="6">
        <f t="shared" si="127"/>
        <v>0</v>
      </c>
    </row>
    <row r="4047" spans="1:24" x14ac:dyDescent="0.3">
      <c r="A4047" t="s">
        <v>5534</v>
      </c>
      <c r="B4047" t="s">
        <v>5674</v>
      </c>
      <c r="C4047" t="s">
        <v>23</v>
      </c>
      <c r="D4047" t="s">
        <v>24</v>
      </c>
      <c r="E4047" t="s">
        <v>25</v>
      </c>
      <c r="F4047">
        <v>1</v>
      </c>
      <c r="G4047">
        <v>9791136927675</v>
      </c>
      <c r="H4047" t="s">
        <v>36</v>
      </c>
      <c r="I4047" t="s">
        <v>2259</v>
      </c>
      <c r="J4047" t="s">
        <v>38</v>
      </c>
      <c r="K4047" t="s">
        <v>29</v>
      </c>
      <c r="L4047" s="1">
        <v>3300</v>
      </c>
      <c r="M4047" t="s">
        <v>1181</v>
      </c>
      <c r="N4047">
        <v>72</v>
      </c>
      <c r="O4047">
        <v>72</v>
      </c>
      <c r="P4047" t="s">
        <v>1182</v>
      </c>
      <c r="Q4047" s="2">
        <v>0.7</v>
      </c>
      <c r="R4047">
        <v>50.4</v>
      </c>
      <c r="S4047" t="s">
        <v>29</v>
      </c>
      <c r="T4047" s="1">
        <v>2338</v>
      </c>
      <c r="U4047">
        <v>46.370559999999998</v>
      </c>
      <c r="V4047" t="str">
        <f>VLOOKUP(H4047,'[1]팀별 출판사'!A:B,2,0)</f>
        <v>소설2팀</v>
      </c>
      <c r="W4047" s="6">
        <f t="shared" si="126"/>
        <v>0</v>
      </c>
      <c r="X4047" s="6">
        <f t="shared" si="127"/>
        <v>2338</v>
      </c>
    </row>
    <row r="4048" spans="1:24" x14ac:dyDescent="0.3">
      <c r="A4048" t="s">
        <v>5534</v>
      </c>
      <c r="B4048" t="s">
        <v>5675</v>
      </c>
      <c r="C4048" t="s">
        <v>23</v>
      </c>
      <c r="D4048" t="s">
        <v>24</v>
      </c>
      <c r="E4048" t="s">
        <v>25</v>
      </c>
      <c r="F4048">
        <v>1</v>
      </c>
      <c r="G4048">
        <v>9791136988157</v>
      </c>
      <c r="H4048" t="s">
        <v>26</v>
      </c>
      <c r="I4048" t="s">
        <v>2545</v>
      </c>
      <c r="J4048" t="s">
        <v>28</v>
      </c>
      <c r="K4048" t="s">
        <v>29</v>
      </c>
      <c r="L4048" s="1">
        <v>3200</v>
      </c>
      <c r="M4048" t="s">
        <v>29</v>
      </c>
      <c r="N4048" s="1">
        <v>3200</v>
      </c>
      <c r="O4048" s="1">
        <v>3200</v>
      </c>
      <c r="P4048" t="s">
        <v>30</v>
      </c>
      <c r="Q4048" s="2">
        <v>0.7</v>
      </c>
      <c r="R4048" s="1">
        <v>2240</v>
      </c>
      <c r="S4048" t="s">
        <v>29</v>
      </c>
      <c r="T4048" s="1">
        <v>2240</v>
      </c>
      <c r="V4048" t="str">
        <f>VLOOKUP(H4048,'[1]팀별 출판사'!A:B,2,0)</f>
        <v>소설1팀</v>
      </c>
      <c r="W4048" s="6">
        <f t="shared" si="126"/>
        <v>0</v>
      </c>
      <c r="X4048" s="6">
        <f t="shared" si="127"/>
        <v>2240</v>
      </c>
    </row>
    <row r="4049" spans="1:24" x14ac:dyDescent="0.3">
      <c r="A4049" t="s">
        <v>5534</v>
      </c>
      <c r="B4049" t="s">
        <v>5676</v>
      </c>
      <c r="C4049" t="s">
        <v>23</v>
      </c>
      <c r="D4049" t="s">
        <v>24</v>
      </c>
      <c r="E4049" t="s">
        <v>25</v>
      </c>
      <c r="F4049">
        <v>1</v>
      </c>
      <c r="G4049">
        <v>9791133101832</v>
      </c>
      <c r="H4049" t="s">
        <v>32</v>
      </c>
      <c r="I4049" t="s">
        <v>5677</v>
      </c>
      <c r="J4049" t="s">
        <v>160</v>
      </c>
      <c r="K4049" t="s">
        <v>29</v>
      </c>
      <c r="L4049" s="1">
        <v>3000</v>
      </c>
      <c r="M4049" t="s">
        <v>29</v>
      </c>
      <c r="N4049" s="1">
        <v>3000</v>
      </c>
      <c r="O4049" s="1">
        <v>3000</v>
      </c>
      <c r="P4049" t="s">
        <v>30</v>
      </c>
      <c r="Q4049" s="2">
        <v>0.7</v>
      </c>
      <c r="R4049" s="1">
        <v>2100</v>
      </c>
      <c r="S4049" t="s">
        <v>29</v>
      </c>
      <c r="T4049" s="1">
        <v>2100</v>
      </c>
      <c r="V4049" t="str">
        <f>VLOOKUP(H4049,'[1]팀별 출판사'!A:B,2,0)</f>
        <v>소설1팀</v>
      </c>
      <c r="W4049" s="6">
        <f t="shared" si="126"/>
        <v>0</v>
      </c>
      <c r="X4049" s="6">
        <f t="shared" si="127"/>
        <v>2100</v>
      </c>
    </row>
    <row r="4050" spans="1:24" x14ac:dyDescent="0.3">
      <c r="A4050" t="s">
        <v>5534</v>
      </c>
      <c r="B4050" t="s">
        <v>5678</v>
      </c>
      <c r="C4050" t="s">
        <v>23</v>
      </c>
      <c r="D4050" t="s">
        <v>24</v>
      </c>
      <c r="E4050" t="s">
        <v>25</v>
      </c>
      <c r="F4050">
        <v>1</v>
      </c>
      <c r="G4050">
        <v>9791170101024</v>
      </c>
      <c r="H4050" t="s">
        <v>67</v>
      </c>
      <c r="I4050" t="s">
        <v>1544</v>
      </c>
      <c r="J4050" t="s">
        <v>1545</v>
      </c>
      <c r="K4050" t="s">
        <v>29</v>
      </c>
      <c r="L4050">
        <v>0</v>
      </c>
      <c r="M4050" t="s">
        <v>29</v>
      </c>
      <c r="N4050">
        <v>0</v>
      </c>
      <c r="O4050">
        <v>0</v>
      </c>
      <c r="P4050" t="s">
        <v>30</v>
      </c>
      <c r="Q4050" s="2">
        <v>0.7</v>
      </c>
      <c r="R4050">
        <v>0</v>
      </c>
      <c r="V4050" t="str">
        <f>VLOOKUP(H4050,'[1]팀별 출판사'!A:B,2,0)</f>
        <v>소설1팀</v>
      </c>
      <c r="W4050" s="6">
        <f t="shared" si="126"/>
        <v>0</v>
      </c>
      <c r="X4050" s="6">
        <f t="shared" si="127"/>
        <v>0</v>
      </c>
    </row>
    <row r="4051" spans="1:24" x14ac:dyDescent="0.3">
      <c r="A4051" t="s">
        <v>5534</v>
      </c>
      <c r="B4051" t="s">
        <v>5679</v>
      </c>
      <c r="C4051" t="s">
        <v>23</v>
      </c>
      <c r="D4051" t="s">
        <v>24</v>
      </c>
      <c r="E4051" t="s">
        <v>25</v>
      </c>
      <c r="F4051">
        <v>1</v>
      </c>
      <c r="G4051">
        <v>9791170104483</v>
      </c>
      <c r="H4051" t="s">
        <v>67</v>
      </c>
      <c r="I4051" t="s">
        <v>1058</v>
      </c>
      <c r="J4051" t="s">
        <v>1007</v>
      </c>
      <c r="K4051" t="s">
        <v>29</v>
      </c>
      <c r="L4051">
        <v>0</v>
      </c>
      <c r="M4051" t="s">
        <v>29</v>
      </c>
      <c r="N4051">
        <v>0</v>
      </c>
      <c r="O4051">
        <v>0</v>
      </c>
      <c r="P4051" t="s">
        <v>30</v>
      </c>
      <c r="Q4051" s="2">
        <v>0.7</v>
      </c>
      <c r="R4051">
        <v>0</v>
      </c>
      <c r="V4051" t="str">
        <f>VLOOKUP(H4051,'[1]팀별 출판사'!A:B,2,0)</f>
        <v>소설1팀</v>
      </c>
      <c r="W4051" s="6">
        <f t="shared" si="126"/>
        <v>0</v>
      </c>
      <c r="X4051" s="6">
        <f t="shared" si="127"/>
        <v>0</v>
      </c>
    </row>
    <row r="4052" spans="1:24" x14ac:dyDescent="0.3">
      <c r="A4052" t="s">
        <v>5534</v>
      </c>
      <c r="B4052" t="s">
        <v>5680</v>
      </c>
      <c r="C4052" t="s">
        <v>23</v>
      </c>
      <c r="D4052" t="s">
        <v>24</v>
      </c>
      <c r="E4052" t="s">
        <v>25</v>
      </c>
      <c r="F4052">
        <v>1</v>
      </c>
      <c r="G4052">
        <v>9791170100126</v>
      </c>
      <c r="H4052" t="s">
        <v>67</v>
      </c>
      <c r="I4052" t="s">
        <v>1061</v>
      </c>
      <c r="J4052" t="s">
        <v>347</v>
      </c>
      <c r="K4052" t="s">
        <v>29</v>
      </c>
      <c r="L4052">
        <v>0</v>
      </c>
      <c r="M4052" t="s">
        <v>29</v>
      </c>
      <c r="N4052">
        <v>0</v>
      </c>
      <c r="O4052">
        <v>0</v>
      </c>
      <c r="P4052" t="s">
        <v>30</v>
      </c>
      <c r="Q4052" s="2">
        <v>0.7</v>
      </c>
      <c r="R4052">
        <v>0</v>
      </c>
      <c r="V4052" t="str">
        <f>VLOOKUP(H4052,'[1]팀별 출판사'!A:B,2,0)</f>
        <v>소설1팀</v>
      </c>
      <c r="W4052" s="6">
        <f t="shared" si="126"/>
        <v>0</v>
      </c>
      <c r="X4052" s="6">
        <f t="shared" si="127"/>
        <v>0</v>
      </c>
    </row>
    <row r="4053" spans="1:24" x14ac:dyDescent="0.3">
      <c r="A4053" t="s">
        <v>5534</v>
      </c>
      <c r="B4053" t="s">
        <v>5681</v>
      </c>
      <c r="C4053" t="s">
        <v>23</v>
      </c>
      <c r="D4053" t="s">
        <v>24</v>
      </c>
      <c r="E4053" t="s">
        <v>25</v>
      </c>
      <c r="F4053">
        <v>1</v>
      </c>
      <c r="G4053">
        <v>9791133167234</v>
      </c>
      <c r="H4053" t="s">
        <v>32</v>
      </c>
      <c r="I4053" t="s">
        <v>1953</v>
      </c>
      <c r="J4053" t="s">
        <v>160</v>
      </c>
      <c r="K4053" t="s">
        <v>29</v>
      </c>
      <c r="L4053" s="1">
        <v>2500</v>
      </c>
      <c r="M4053" t="s">
        <v>29</v>
      </c>
      <c r="N4053" s="1">
        <v>2500</v>
      </c>
      <c r="O4053" s="1">
        <v>2500</v>
      </c>
      <c r="P4053" t="s">
        <v>30</v>
      </c>
      <c r="Q4053" s="2">
        <v>0.7</v>
      </c>
      <c r="R4053" s="1">
        <v>1750</v>
      </c>
      <c r="S4053" t="s">
        <v>29</v>
      </c>
      <c r="T4053" s="1">
        <v>1750</v>
      </c>
      <c r="V4053" t="str">
        <f>VLOOKUP(H4053,'[1]팀별 출판사'!A:B,2,0)</f>
        <v>소설1팀</v>
      </c>
      <c r="W4053" s="6">
        <f t="shared" si="126"/>
        <v>0</v>
      </c>
      <c r="X4053" s="6">
        <f t="shared" si="127"/>
        <v>1750</v>
      </c>
    </row>
    <row r="4054" spans="1:24" x14ac:dyDescent="0.3">
      <c r="A4054" t="s">
        <v>5534</v>
      </c>
      <c r="B4054" t="s">
        <v>5682</v>
      </c>
      <c r="C4054" t="s">
        <v>23</v>
      </c>
      <c r="D4054" t="s">
        <v>24</v>
      </c>
      <c r="E4054" t="s">
        <v>25</v>
      </c>
      <c r="F4054">
        <v>1</v>
      </c>
      <c r="G4054">
        <v>9791170103226</v>
      </c>
      <c r="H4054" t="s">
        <v>67</v>
      </c>
      <c r="I4054" t="s">
        <v>698</v>
      </c>
      <c r="J4054" t="s">
        <v>399</v>
      </c>
      <c r="K4054" t="s">
        <v>29</v>
      </c>
      <c r="L4054">
        <v>0</v>
      </c>
      <c r="M4054" t="s">
        <v>29</v>
      </c>
      <c r="N4054">
        <v>0</v>
      </c>
      <c r="O4054">
        <v>0</v>
      </c>
      <c r="P4054" t="s">
        <v>30</v>
      </c>
      <c r="Q4054" s="2">
        <v>0.7</v>
      </c>
      <c r="R4054">
        <v>0</v>
      </c>
      <c r="V4054" t="str">
        <f>VLOOKUP(H4054,'[1]팀별 출판사'!A:B,2,0)</f>
        <v>소설1팀</v>
      </c>
      <c r="W4054" s="6">
        <f t="shared" si="126"/>
        <v>0</v>
      </c>
      <c r="X4054" s="6">
        <f t="shared" si="127"/>
        <v>0</v>
      </c>
    </row>
    <row r="4055" spans="1:24" x14ac:dyDescent="0.3">
      <c r="A4055" t="s">
        <v>5534</v>
      </c>
      <c r="B4055" t="s">
        <v>5683</v>
      </c>
      <c r="C4055" t="s">
        <v>23</v>
      </c>
      <c r="D4055" t="s">
        <v>24</v>
      </c>
      <c r="E4055" t="s">
        <v>25</v>
      </c>
      <c r="F4055">
        <v>1</v>
      </c>
      <c r="G4055">
        <v>9791170106715</v>
      </c>
      <c r="H4055" t="s">
        <v>67</v>
      </c>
      <c r="I4055" t="s">
        <v>68</v>
      </c>
      <c r="J4055" t="s">
        <v>69</v>
      </c>
      <c r="K4055" t="s">
        <v>29</v>
      </c>
      <c r="L4055">
        <v>0</v>
      </c>
      <c r="M4055" t="s">
        <v>70</v>
      </c>
      <c r="N4055">
        <v>0</v>
      </c>
      <c r="O4055">
        <v>0</v>
      </c>
      <c r="P4055" t="s">
        <v>5684</v>
      </c>
      <c r="Q4055" s="2">
        <v>0.7</v>
      </c>
      <c r="R4055">
        <v>0</v>
      </c>
      <c r="V4055" t="str">
        <f>VLOOKUP(H4055,'[1]팀별 출판사'!A:B,2,0)</f>
        <v>소설1팀</v>
      </c>
      <c r="W4055" s="6">
        <f t="shared" si="126"/>
        <v>0</v>
      </c>
      <c r="X4055" s="6">
        <f t="shared" si="127"/>
        <v>0</v>
      </c>
    </row>
    <row r="4056" spans="1:24" x14ac:dyDescent="0.3">
      <c r="A4056" t="s">
        <v>5534</v>
      </c>
      <c r="B4056" t="s">
        <v>5685</v>
      </c>
      <c r="C4056" t="s">
        <v>23</v>
      </c>
      <c r="D4056" t="s">
        <v>24</v>
      </c>
      <c r="E4056" t="s">
        <v>25</v>
      </c>
      <c r="F4056">
        <v>1</v>
      </c>
      <c r="G4056">
        <v>9791170106715</v>
      </c>
      <c r="H4056" t="s">
        <v>67</v>
      </c>
      <c r="I4056" t="s">
        <v>68</v>
      </c>
      <c r="J4056" t="s">
        <v>69</v>
      </c>
      <c r="K4056" t="s">
        <v>29</v>
      </c>
      <c r="L4056">
        <v>0</v>
      </c>
      <c r="M4056" t="s">
        <v>70</v>
      </c>
      <c r="N4056">
        <v>0</v>
      </c>
      <c r="O4056">
        <v>0</v>
      </c>
      <c r="P4056" t="s">
        <v>4672</v>
      </c>
      <c r="Q4056" s="2">
        <v>0.7</v>
      </c>
      <c r="R4056">
        <v>0</v>
      </c>
      <c r="V4056" t="str">
        <f>VLOOKUP(H4056,'[1]팀별 출판사'!A:B,2,0)</f>
        <v>소설1팀</v>
      </c>
      <c r="W4056" s="6">
        <f t="shared" si="126"/>
        <v>0</v>
      </c>
      <c r="X4056" s="6">
        <f t="shared" si="127"/>
        <v>0</v>
      </c>
    </row>
    <row r="4057" spans="1:24" x14ac:dyDescent="0.3">
      <c r="A4057" t="s">
        <v>5534</v>
      </c>
      <c r="B4057" t="s">
        <v>5686</v>
      </c>
      <c r="C4057" t="s">
        <v>23</v>
      </c>
      <c r="D4057" t="s">
        <v>24</v>
      </c>
      <c r="E4057" t="s">
        <v>25</v>
      </c>
      <c r="F4057">
        <v>1</v>
      </c>
      <c r="G4057">
        <v>9791133144792</v>
      </c>
      <c r="H4057" t="s">
        <v>32</v>
      </c>
      <c r="I4057" t="s">
        <v>223</v>
      </c>
      <c r="J4057" t="s">
        <v>88</v>
      </c>
      <c r="K4057" t="s">
        <v>29</v>
      </c>
      <c r="L4057">
        <v>0</v>
      </c>
      <c r="M4057" t="s">
        <v>29</v>
      </c>
      <c r="N4057">
        <v>0</v>
      </c>
      <c r="O4057">
        <v>0</v>
      </c>
      <c r="P4057" t="s">
        <v>30</v>
      </c>
      <c r="Q4057" s="2">
        <v>0.7</v>
      </c>
      <c r="R4057">
        <v>0</v>
      </c>
      <c r="V4057" t="str">
        <f>VLOOKUP(H4057,'[1]팀별 출판사'!A:B,2,0)</f>
        <v>소설1팀</v>
      </c>
      <c r="W4057" s="6">
        <f t="shared" si="126"/>
        <v>0</v>
      </c>
      <c r="X4057" s="6">
        <f t="shared" si="127"/>
        <v>0</v>
      </c>
    </row>
    <row r="4058" spans="1:24" x14ac:dyDescent="0.3">
      <c r="A4058" t="s">
        <v>5534</v>
      </c>
      <c r="B4058" t="s">
        <v>5687</v>
      </c>
      <c r="C4058" t="s">
        <v>23</v>
      </c>
      <c r="D4058" t="s">
        <v>24</v>
      </c>
      <c r="E4058" t="s">
        <v>25</v>
      </c>
      <c r="F4058">
        <v>1</v>
      </c>
      <c r="G4058">
        <v>9791170106715</v>
      </c>
      <c r="H4058" t="s">
        <v>67</v>
      </c>
      <c r="I4058" t="s">
        <v>68</v>
      </c>
      <c r="J4058" t="s">
        <v>69</v>
      </c>
      <c r="K4058" t="s">
        <v>29</v>
      </c>
      <c r="L4058">
        <v>0</v>
      </c>
      <c r="M4058" t="s">
        <v>2214</v>
      </c>
      <c r="N4058">
        <v>0</v>
      </c>
      <c r="O4058">
        <v>0</v>
      </c>
      <c r="P4058" t="s">
        <v>2215</v>
      </c>
      <c r="Q4058" s="2">
        <v>0.7</v>
      </c>
      <c r="R4058">
        <v>0</v>
      </c>
      <c r="V4058" t="str">
        <f>VLOOKUP(H4058,'[1]팀별 출판사'!A:B,2,0)</f>
        <v>소설1팀</v>
      </c>
      <c r="W4058" s="6">
        <f t="shared" si="126"/>
        <v>0</v>
      </c>
      <c r="X4058" s="6">
        <f t="shared" si="127"/>
        <v>0</v>
      </c>
    </row>
    <row r="4059" spans="1:24" x14ac:dyDescent="0.3">
      <c r="A4059" t="s">
        <v>5534</v>
      </c>
      <c r="B4059" t="s">
        <v>5688</v>
      </c>
      <c r="C4059" t="s">
        <v>23</v>
      </c>
      <c r="D4059" t="s">
        <v>24</v>
      </c>
      <c r="E4059" t="s">
        <v>25</v>
      </c>
      <c r="F4059">
        <v>1</v>
      </c>
      <c r="G4059">
        <v>9791136958792</v>
      </c>
      <c r="H4059" t="s">
        <v>79</v>
      </c>
      <c r="I4059" t="s">
        <v>5258</v>
      </c>
      <c r="J4059" t="s">
        <v>81</v>
      </c>
      <c r="K4059" t="s">
        <v>29</v>
      </c>
      <c r="L4059" s="1">
        <v>3200</v>
      </c>
      <c r="M4059" t="s">
        <v>29</v>
      </c>
      <c r="N4059" s="1">
        <v>3200</v>
      </c>
      <c r="O4059" s="1">
        <v>3200</v>
      </c>
      <c r="P4059" t="s">
        <v>30</v>
      </c>
      <c r="Q4059" s="2">
        <v>0.7</v>
      </c>
      <c r="R4059" s="1">
        <v>2240</v>
      </c>
      <c r="S4059" t="s">
        <v>29</v>
      </c>
      <c r="T4059" s="1">
        <v>2240</v>
      </c>
      <c r="V4059" t="str">
        <f>VLOOKUP(H4059,'[1]팀별 출판사'!A:B,2,0)</f>
        <v>소설1팀</v>
      </c>
      <c r="W4059" s="6">
        <f t="shared" si="126"/>
        <v>0</v>
      </c>
      <c r="X4059" s="6">
        <f t="shared" si="127"/>
        <v>2240</v>
      </c>
    </row>
    <row r="4060" spans="1:24" x14ac:dyDescent="0.3">
      <c r="A4060" t="s">
        <v>5534</v>
      </c>
      <c r="B4060" t="s">
        <v>5689</v>
      </c>
      <c r="C4060" t="s">
        <v>23</v>
      </c>
      <c r="D4060" t="s">
        <v>24</v>
      </c>
      <c r="E4060" t="s">
        <v>25</v>
      </c>
      <c r="F4060">
        <v>1</v>
      </c>
      <c r="G4060">
        <v>9791133190140</v>
      </c>
      <c r="H4060" t="s">
        <v>26</v>
      </c>
      <c r="I4060" t="s">
        <v>5690</v>
      </c>
      <c r="J4060" t="s">
        <v>1096</v>
      </c>
      <c r="K4060" t="s">
        <v>29</v>
      </c>
      <c r="L4060" s="1">
        <v>3200</v>
      </c>
      <c r="M4060" t="s">
        <v>29</v>
      </c>
      <c r="N4060" s="1">
        <v>3200</v>
      </c>
      <c r="O4060" s="1">
        <v>3200</v>
      </c>
      <c r="P4060" t="s">
        <v>30</v>
      </c>
      <c r="Q4060" s="2">
        <v>0.7</v>
      </c>
      <c r="R4060" s="1">
        <v>2240</v>
      </c>
      <c r="S4060" t="s">
        <v>29</v>
      </c>
      <c r="T4060" s="1">
        <v>2240</v>
      </c>
      <c r="V4060" t="str">
        <f>VLOOKUP(H4060,'[1]팀별 출판사'!A:B,2,0)</f>
        <v>소설1팀</v>
      </c>
      <c r="W4060" s="6">
        <f t="shared" si="126"/>
        <v>0</v>
      </c>
      <c r="X4060" s="6">
        <f t="shared" si="127"/>
        <v>2240</v>
      </c>
    </row>
    <row r="4061" spans="1:24" x14ac:dyDescent="0.3">
      <c r="A4061" t="s">
        <v>5534</v>
      </c>
      <c r="B4061" t="s">
        <v>5691</v>
      </c>
      <c r="C4061" t="s">
        <v>23</v>
      </c>
      <c r="D4061" t="s">
        <v>24</v>
      </c>
      <c r="E4061" t="s">
        <v>25</v>
      </c>
      <c r="F4061">
        <v>1</v>
      </c>
      <c r="G4061">
        <v>9791170100089</v>
      </c>
      <c r="H4061" t="s">
        <v>67</v>
      </c>
      <c r="I4061" t="s">
        <v>1742</v>
      </c>
      <c r="J4061" t="s">
        <v>347</v>
      </c>
      <c r="K4061" t="s">
        <v>29</v>
      </c>
      <c r="L4061">
        <v>0</v>
      </c>
      <c r="M4061" t="s">
        <v>29</v>
      </c>
      <c r="N4061">
        <v>0</v>
      </c>
      <c r="O4061">
        <v>0</v>
      </c>
      <c r="P4061" t="s">
        <v>30</v>
      </c>
      <c r="Q4061" s="2">
        <v>0.7</v>
      </c>
      <c r="R4061">
        <v>0</v>
      </c>
      <c r="V4061" t="str">
        <f>VLOOKUP(H4061,'[1]팀별 출판사'!A:B,2,0)</f>
        <v>소설1팀</v>
      </c>
      <c r="W4061" s="6">
        <f t="shared" si="126"/>
        <v>0</v>
      </c>
      <c r="X4061" s="6">
        <f t="shared" si="127"/>
        <v>0</v>
      </c>
    </row>
    <row r="4062" spans="1:24" x14ac:dyDescent="0.3">
      <c r="A4062" t="s">
        <v>5534</v>
      </c>
      <c r="B4062" t="s">
        <v>5692</v>
      </c>
      <c r="C4062" t="s">
        <v>23</v>
      </c>
      <c r="D4062" t="s">
        <v>24</v>
      </c>
      <c r="E4062" t="s">
        <v>25</v>
      </c>
      <c r="F4062">
        <v>1</v>
      </c>
      <c r="G4062">
        <v>9791172927967</v>
      </c>
      <c r="H4062" t="s">
        <v>79</v>
      </c>
      <c r="I4062" t="s">
        <v>4474</v>
      </c>
      <c r="J4062" t="s">
        <v>81</v>
      </c>
      <c r="K4062" t="s">
        <v>29</v>
      </c>
      <c r="L4062" s="1">
        <v>3200</v>
      </c>
      <c r="M4062" t="s">
        <v>29</v>
      </c>
      <c r="N4062" s="1">
        <v>3200</v>
      </c>
      <c r="O4062" s="1">
        <v>3200</v>
      </c>
      <c r="P4062" t="s">
        <v>30</v>
      </c>
      <c r="Q4062" s="2">
        <v>0.7</v>
      </c>
      <c r="R4062" s="1">
        <v>2240</v>
      </c>
      <c r="S4062" t="s">
        <v>29</v>
      </c>
      <c r="T4062" s="1">
        <v>2240</v>
      </c>
      <c r="V4062" t="str">
        <f>VLOOKUP(H4062,'[1]팀별 출판사'!A:B,2,0)</f>
        <v>소설1팀</v>
      </c>
      <c r="W4062" s="6">
        <f t="shared" si="126"/>
        <v>0</v>
      </c>
      <c r="X4062" s="6">
        <f t="shared" si="127"/>
        <v>2240</v>
      </c>
    </row>
    <row r="4063" spans="1:24" x14ac:dyDescent="0.3">
      <c r="A4063" t="s">
        <v>5534</v>
      </c>
      <c r="B4063" t="s">
        <v>5693</v>
      </c>
      <c r="C4063" t="s">
        <v>23</v>
      </c>
      <c r="D4063" t="s">
        <v>24</v>
      </c>
      <c r="E4063" t="s">
        <v>25</v>
      </c>
      <c r="F4063">
        <v>1</v>
      </c>
      <c r="G4063">
        <v>9791133105441</v>
      </c>
      <c r="H4063" t="s">
        <v>32</v>
      </c>
      <c r="I4063" t="s">
        <v>116</v>
      </c>
      <c r="J4063" t="s">
        <v>88</v>
      </c>
      <c r="K4063" t="s">
        <v>29</v>
      </c>
      <c r="L4063">
        <v>0</v>
      </c>
      <c r="M4063" t="s">
        <v>29</v>
      </c>
      <c r="N4063">
        <v>0</v>
      </c>
      <c r="O4063">
        <v>0</v>
      </c>
      <c r="P4063" t="s">
        <v>30</v>
      </c>
      <c r="Q4063" s="2">
        <v>0.7</v>
      </c>
      <c r="R4063">
        <v>0</v>
      </c>
      <c r="V4063" t="str">
        <f>VLOOKUP(H4063,'[1]팀별 출판사'!A:B,2,0)</f>
        <v>소설1팀</v>
      </c>
      <c r="W4063" s="6">
        <f t="shared" si="126"/>
        <v>0</v>
      </c>
      <c r="X4063" s="6">
        <f t="shared" si="127"/>
        <v>0</v>
      </c>
    </row>
    <row r="4064" spans="1:24" x14ac:dyDescent="0.3">
      <c r="A4064" t="s">
        <v>5534</v>
      </c>
      <c r="B4064" t="s">
        <v>5694</v>
      </c>
      <c r="C4064" t="s">
        <v>23</v>
      </c>
      <c r="D4064" t="s">
        <v>24</v>
      </c>
      <c r="E4064" t="s">
        <v>25</v>
      </c>
      <c r="F4064">
        <v>1</v>
      </c>
      <c r="G4064">
        <v>9791136911001</v>
      </c>
      <c r="H4064" t="s">
        <v>32</v>
      </c>
      <c r="I4064" t="s">
        <v>3287</v>
      </c>
      <c r="J4064" t="s">
        <v>160</v>
      </c>
      <c r="K4064" t="s">
        <v>29</v>
      </c>
      <c r="L4064" s="1">
        <v>3200</v>
      </c>
      <c r="M4064" t="s">
        <v>29</v>
      </c>
      <c r="N4064" s="1">
        <v>3200</v>
      </c>
      <c r="O4064" s="1">
        <v>3200</v>
      </c>
      <c r="P4064" t="s">
        <v>30</v>
      </c>
      <c r="Q4064" s="2">
        <v>0.7</v>
      </c>
      <c r="R4064" s="1">
        <v>2240</v>
      </c>
      <c r="S4064" t="s">
        <v>29</v>
      </c>
      <c r="T4064" s="1">
        <v>2240</v>
      </c>
      <c r="V4064" t="str">
        <f>VLOOKUP(H4064,'[1]팀별 출판사'!A:B,2,0)</f>
        <v>소설1팀</v>
      </c>
      <c r="W4064" s="6">
        <f t="shared" si="126"/>
        <v>0</v>
      </c>
      <c r="X4064" s="6">
        <f t="shared" si="127"/>
        <v>2240</v>
      </c>
    </row>
    <row r="4065" spans="1:24" x14ac:dyDescent="0.3">
      <c r="A4065" t="s">
        <v>5534</v>
      </c>
      <c r="B4065" t="s">
        <v>5695</v>
      </c>
      <c r="C4065" t="s">
        <v>23</v>
      </c>
      <c r="D4065" t="s">
        <v>24</v>
      </c>
      <c r="E4065" t="s">
        <v>25</v>
      </c>
      <c r="F4065">
        <v>1</v>
      </c>
      <c r="G4065">
        <v>9791170106715</v>
      </c>
      <c r="H4065" t="s">
        <v>67</v>
      </c>
      <c r="I4065" t="s">
        <v>68</v>
      </c>
      <c r="J4065" t="s">
        <v>69</v>
      </c>
      <c r="K4065" t="s">
        <v>29</v>
      </c>
      <c r="L4065">
        <v>0</v>
      </c>
      <c r="M4065" t="s">
        <v>1482</v>
      </c>
      <c r="N4065">
        <v>0</v>
      </c>
      <c r="O4065">
        <v>0</v>
      </c>
      <c r="P4065" t="s">
        <v>1483</v>
      </c>
      <c r="Q4065" s="2">
        <v>0.7</v>
      </c>
      <c r="R4065">
        <v>0</v>
      </c>
      <c r="V4065" t="str">
        <f>VLOOKUP(H4065,'[1]팀별 출판사'!A:B,2,0)</f>
        <v>소설1팀</v>
      </c>
      <c r="W4065" s="6">
        <f t="shared" si="126"/>
        <v>0</v>
      </c>
      <c r="X4065" s="6">
        <f t="shared" si="127"/>
        <v>0</v>
      </c>
    </row>
    <row r="4066" spans="1:24" x14ac:dyDescent="0.3">
      <c r="A4066" t="s">
        <v>5534</v>
      </c>
      <c r="B4066" t="s">
        <v>5696</v>
      </c>
      <c r="C4066" t="s">
        <v>23</v>
      </c>
      <c r="D4066" t="s">
        <v>24</v>
      </c>
      <c r="E4066" t="s">
        <v>25</v>
      </c>
      <c r="F4066">
        <v>1</v>
      </c>
      <c r="G4066">
        <v>9791136946782</v>
      </c>
      <c r="H4066" t="s">
        <v>26</v>
      </c>
      <c r="I4066" t="s">
        <v>291</v>
      </c>
      <c r="J4066" t="s">
        <v>28</v>
      </c>
      <c r="K4066" t="s">
        <v>29</v>
      </c>
      <c r="L4066">
        <v>0</v>
      </c>
      <c r="M4066" t="s">
        <v>29</v>
      </c>
      <c r="N4066">
        <v>0</v>
      </c>
      <c r="O4066">
        <v>0</v>
      </c>
      <c r="P4066" t="s">
        <v>30</v>
      </c>
      <c r="Q4066" s="2">
        <v>0.7</v>
      </c>
      <c r="R4066">
        <v>0</v>
      </c>
      <c r="V4066" t="str">
        <f>VLOOKUP(H4066,'[1]팀별 출판사'!A:B,2,0)</f>
        <v>소설1팀</v>
      </c>
      <c r="W4066" s="6">
        <f t="shared" si="126"/>
        <v>0</v>
      </c>
      <c r="X4066" s="6">
        <f t="shared" si="127"/>
        <v>0</v>
      </c>
    </row>
    <row r="4067" spans="1:24" x14ac:dyDescent="0.3">
      <c r="A4067" t="s">
        <v>5534</v>
      </c>
      <c r="B4067" t="s">
        <v>5697</v>
      </c>
      <c r="C4067" t="s">
        <v>23</v>
      </c>
      <c r="D4067" t="s">
        <v>24</v>
      </c>
      <c r="E4067" t="s">
        <v>25</v>
      </c>
      <c r="F4067">
        <v>1</v>
      </c>
      <c r="G4067">
        <v>9791136946775</v>
      </c>
      <c r="H4067" t="s">
        <v>26</v>
      </c>
      <c r="I4067" t="s">
        <v>238</v>
      </c>
      <c r="J4067" t="s">
        <v>28</v>
      </c>
      <c r="K4067" t="s">
        <v>29</v>
      </c>
      <c r="L4067">
        <v>0</v>
      </c>
      <c r="M4067" t="s">
        <v>29</v>
      </c>
      <c r="N4067">
        <v>0</v>
      </c>
      <c r="O4067">
        <v>0</v>
      </c>
      <c r="P4067" t="s">
        <v>30</v>
      </c>
      <c r="Q4067" s="2">
        <v>0.7</v>
      </c>
      <c r="R4067">
        <v>0</v>
      </c>
      <c r="V4067" t="str">
        <f>VLOOKUP(H4067,'[1]팀별 출판사'!A:B,2,0)</f>
        <v>소설1팀</v>
      </c>
      <c r="W4067" s="6">
        <f t="shared" si="126"/>
        <v>0</v>
      </c>
      <c r="X4067" s="6">
        <f t="shared" si="127"/>
        <v>0</v>
      </c>
    </row>
    <row r="4068" spans="1:24" x14ac:dyDescent="0.3">
      <c r="A4068" t="s">
        <v>5534</v>
      </c>
      <c r="B4068" t="s">
        <v>5698</v>
      </c>
      <c r="C4068" t="s">
        <v>23</v>
      </c>
      <c r="D4068" t="s">
        <v>24</v>
      </c>
      <c r="E4068" t="s">
        <v>25</v>
      </c>
      <c r="F4068">
        <v>1</v>
      </c>
      <c r="G4068">
        <v>9791170106715</v>
      </c>
      <c r="H4068" t="s">
        <v>67</v>
      </c>
      <c r="I4068" t="s">
        <v>68</v>
      </c>
      <c r="J4068" t="s">
        <v>69</v>
      </c>
      <c r="K4068" t="s">
        <v>29</v>
      </c>
      <c r="L4068">
        <v>0</v>
      </c>
      <c r="M4068" t="s">
        <v>1482</v>
      </c>
      <c r="N4068">
        <v>0</v>
      </c>
      <c r="O4068">
        <v>0</v>
      </c>
      <c r="P4068" t="s">
        <v>1483</v>
      </c>
      <c r="Q4068" s="2">
        <v>0.7</v>
      </c>
      <c r="R4068">
        <v>0</v>
      </c>
      <c r="V4068" t="str">
        <f>VLOOKUP(H4068,'[1]팀별 출판사'!A:B,2,0)</f>
        <v>소설1팀</v>
      </c>
      <c r="W4068" s="6">
        <f t="shared" si="126"/>
        <v>0</v>
      </c>
      <c r="X4068" s="6">
        <f t="shared" si="127"/>
        <v>0</v>
      </c>
    </row>
    <row r="4069" spans="1:24" x14ac:dyDescent="0.3">
      <c r="A4069" t="s">
        <v>5534</v>
      </c>
      <c r="B4069" t="s">
        <v>5699</v>
      </c>
      <c r="C4069" t="s">
        <v>23</v>
      </c>
      <c r="D4069" t="s">
        <v>24</v>
      </c>
      <c r="E4069" t="s">
        <v>25</v>
      </c>
      <c r="F4069">
        <v>1</v>
      </c>
      <c r="G4069">
        <v>9791170106715</v>
      </c>
      <c r="H4069" t="s">
        <v>67</v>
      </c>
      <c r="I4069" t="s">
        <v>68</v>
      </c>
      <c r="J4069" t="s">
        <v>69</v>
      </c>
      <c r="K4069" t="s">
        <v>29</v>
      </c>
      <c r="L4069">
        <v>0</v>
      </c>
      <c r="M4069" t="s">
        <v>1379</v>
      </c>
      <c r="N4069">
        <v>0</v>
      </c>
      <c r="O4069">
        <v>0</v>
      </c>
      <c r="P4069" t="s">
        <v>1380</v>
      </c>
      <c r="Q4069" s="2">
        <v>0.7</v>
      </c>
      <c r="R4069">
        <v>0</v>
      </c>
      <c r="V4069" t="str">
        <f>VLOOKUP(H4069,'[1]팀별 출판사'!A:B,2,0)</f>
        <v>소설1팀</v>
      </c>
      <c r="W4069" s="6">
        <f t="shared" si="126"/>
        <v>0</v>
      </c>
      <c r="X4069" s="6">
        <f t="shared" si="127"/>
        <v>0</v>
      </c>
    </row>
    <row r="4070" spans="1:24" x14ac:dyDescent="0.3">
      <c r="A4070" t="s">
        <v>5534</v>
      </c>
      <c r="B4070" t="s">
        <v>5700</v>
      </c>
      <c r="C4070" t="s">
        <v>23</v>
      </c>
      <c r="D4070" t="s">
        <v>24</v>
      </c>
      <c r="E4070" t="s">
        <v>25</v>
      </c>
      <c r="F4070">
        <v>1</v>
      </c>
      <c r="G4070">
        <v>9791133107681</v>
      </c>
      <c r="H4070" t="s">
        <v>32</v>
      </c>
      <c r="I4070" t="s">
        <v>1514</v>
      </c>
      <c r="J4070" t="s">
        <v>311</v>
      </c>
      <c r="K4070" t="s">
        <v>29</v>
      </c>
      <c r="L4070">
        <v>0</v>
      </c>
      <c r="M4070" t="s">
        <v>29</v>
      </c>
      <c r="N4070">
        <v>0</v>
      </c>
      <c r="O4070">
        <v>0</v>
      </c>
      <c r="P4070" t="s">
        <v>30</v>
      </c>
      <c r="Q4070" s="2">
        <v>0.7</v>
      </c>
      <c r="R4070">
        <v>0</v>
      </c>
      <c r="V4070" t="str">
        <f>VLOOKUP(H4070,'[1]팀별 출판사'!A:B,2,0)</f>
        <v>소설1팀</v>
      </c>
      <c r="W4070" s="6">
        <f t="shared" si="126"/>
        <v>0</v>
      </c>
      <c r="X4070" s="6">
        <f t="shared" si="127"/>
        <v>0</v>
      </c>
    </row>
    <row r="4071" spans="1:24" x14ac:dyDescent="0.3">
      <c r="A4071" t="s">
        <v>5534</v>
      </c>
      <c r="B4071" t="s">
        <v>5701</v>
      </c>
      <c r="C4071" t="s">
        <v>23</v>
      </c>
      <c r="D4071" t="s">
        <v>24</v>
      </c>
      <c r="E4071" t="s">
        <v>25</v>
      </c>
      <c r="F4071">
        <v>1</v>
      </c>
      <c r="G4071">
        <v>9791136988133</v>
      </c>
      <c r="H4071" t="s">
        <v>26</v>
      </c>
      <c r="I4071" t="s">
        <v>614</v>
      </c>
      <c r="J4071" t="s">
        <v>28</v>
      </c>
      <c r="K4071" t="s">
        <v>29</v>
      </c>
      <c r="L4071">
        <v>0</v>
      </c>
      <c r="M4071" t="s">
        <v>29</v>
      </c>
      <c r="N4071">
        <v>0</v>
      </c>
      <c r="O4071">
        <v>0</v>
      </c>
      <c r="P4071" t="s">
        <v>30</v>
      </c>
      <c r="Q4071" s="2">
        <v>0.7</v>
      </c>
      <c r="R4071">
        <v>0</v>
      </c>
      <c r="V4071" t="str">
        <f>VLOOKUP(H4071,'[1]팀별 출판사'!A:B,2,0)</f>
        <v>소설1팀</v>
      </c>
      <c r="W4071" s="6">
        <f t="shared" si="126"/>
        <v>0</v>
      </c>
      <c r="X4071" s="6">
        <f t="shared" si="127"/>
        <v>0</v>
      </c>
    </row>
    <row r="4072" spans="1:24" x14ac:dyDescent="0.3">
      <c r="A4072" t="s">
        <v>5534</v>
      </c>
      <c r="B4072" t="s">
        <v>5702</v>
      </c>
      <c r="C4072" t="s">
        <v>23</v>
      </c>
      <c r="D4072" t="s">
        <v>24</v>
      </c>
      <c r="E4072" t="s">
        <v>25</v>
      </c>
      <c r="F4072">
        <v>1</v>
      </c>
      <c r="G4072">
        <v>9791136927675</v>
      </c>
      <c r="H4072" t="s">
        <v>36</v>
      </c>
      <c r="I4072" t="s">
        <v>2259</v>
      </c>
      <c r="J4072" t="s">
        <v>38</v>
      </c>
      <c r="K4072" t="s">
        <v>29</v>
      </c>
      <c r="L4072" s="1">
        <v>3300</v>
      </c>
      <c r="M4072" t="s">
        <v>2630</v>
      </c>
      <c r="N4072">
        <v>10.01</v>
      </c>
      <c r="O4072">
        <v>9.27</v>
      </c>
      <c r="P4072" t="s">
        <v>2631</v>
      </c>
      <c r="Q4072" s="2">
        <v>0.7</v>
      </c>
      <c r="R4072">
        <v>6.49</v>
      </c>
      <c r="S4072" t="s">
        <v>29</v>
      </c>
      <c r="T4072" s="1">
        <v>2400</v>
      </c>
      <c r="U4072">
        <v>369.96755000000002</v>
      </c>
      <c r="V4072" t="str">
        <f>VLOOKUP(H4072,'[1]팀별 출판사'!A:B,2,0)</f>
        <v>소설2팀</v>
      </c>
      <c r="W4072" s="6">
        <f t="shared" si="126"/>
        <v>0</v>
      </c>
      <c r="X4072" s="6">
        <f t="shared" si="127"/>
        <v>2400</v>
      </c>
    </row>
    <row r="4073" spans="1:24" x14ac:dyDescent="0.3">
      <c r="A4073" t="s">
        <v>5534</v>
      </c>
      <c r="B4073" t="s">
        <v>5702</v>
      </c>
      <c r="C4073" t="s">
        <v>23</v>
      </c>
      <c r="D4073" t="s">
        <v>24</v>
      </c>
      <c r="E4073" t="s">
        <v>25</v>
      </c>
      <c r="F4073">
        <v>1</v>
      </c>
      <c r="G4073">
        <v>9791136940704</v>
      </c>
      <c r="H4073" t="s">
        <v>36</v>
      </c>
      <c r="I4073" t="s">
        <v>2260</v>
      </c>
      <c r="J4073" t="s">
        <v>38</v>
      </c>
      <c r="K4073" t="s">
        <v>29</v>
      </c>
      <c r="L4073" s="1">
        <v>3300</v>
      </c>
      <c r="M4073" t="s">
        <v>2630</v>
      </c>
      <c r="N4073">
        <v>10.01</v>
      </c>
      <c r="O4073">
        <v>9.27</v>
      </c>
      <c r="P4073" t="s">
        <v>2631</v>
      </c>
      <c r="Q4073" s="2">
        <v>0.7</v>
      </c>
      <c r="R4073">
        <v>6.49</v>
      </c>
      <c r="S4073" t="s">
        <v>29</v>
      </c>
      <c r="T4073" s="1">
        <v>2400</v>
      </c>
      <c r="U4073">
        <v>369.96755000000002</v>
      </c>
      <c r="V4073" t="str">
        <f>VLOOKUP(H4073,'[1]팀별 출판사'!A:B,2,0)</f>
        <v>소설2팀</v>
      </c>
      <c r="W4073" s="6">
        <f t="shared" si="126"/>
        <v>0</v>
      </c>
      <c r="X4073" s="6">
        <f t="shared" si="127"/>
        <v>2400</v>
      </c>
    </row>
    <row r="4074" spans="1:24" x14ac:dyDescent="0.3">
      <c r="A4074" t="s">
        <v>5534</v>
      </c>
      <c r="B4074" t="s">
        <v>5702</v>
      </c>
      <c r="C4074" t="s">
        <v>23</v>
      </c>
      <c r="D4074" t="s">
        <v>24</v>
      </c>
      <c r="E4074" t="s">
        <v>25</v>
      </c>
      <c r="F4074">
        <v>1</v>
      </c>
      <c r="G4074">
        <v>9791136940728</v>
      </c>
      <c r="H4074" t="s">
        <v>36</v>
      </c>
      <c r="I4074" t="s">
        <v>2019</v>
      </c>
      <c r="J4074" t="s">
        <v>38</v>
      </c>
      <c r="K4074" t="s">
        <v>29</v>
      </c>
      <c r="L4074" s="1">
        <v>3300</v>
      </c>
      <c r="M4074" t="s">
        <v>2630</v>
      </c>
      <c r="N4074">
        <v>10.01</v>
      </c>
      <c r="O4074">
        <v>9.27</v>
      </c>
      <c r="P4074" t="s">
        <v>2631</v>
      </c>
      <c r="Q4074" s="2">
        <v>0.7</v>
      </c>
      <c r="R4074">
        <v>6.49</v>
      </c>
      <c r="S4074" t="s">
        <v>29</v>
      </c>
      <c r="T4074" s="1">
        <v>2400</v>
      </c>
      <c r="U4074">
        <v>369.96755000000002</v>
      </c>
      <c r="V4074" t="str">
        <f>VLOOKUP(H4074,'[1]팀별 출판사'!A:B,2,0)</f>
        <v>소설2팀</v>
      </c>
      <c r="W4074" s="6">
        <f t="shared" si="126"/>
        <v>0</v>
      </c>
      <c r="X4074" s="6">
        <f t="shared" si="127"/>
        <v>2400</v>
      </c>
    </row>
    <row r="4075" spans="1:24" x14ac:dyDescent="0.3">
      <c r="A4075" t="s">
        <v>5534</v>
      </c>
      <c r="B4075" t="s">
        <v>5702</v>
      </c>
      <c r="C4075" t="s">
        <v>23</v>
      </c>
      <c r="D4075" t="s">
        <v>24</v>
      </c>
      <c r="E4075" t="s">
        <v>25</v>
      </c>
      <c r="F4075">
        <v>1</v>
      </c>
      <c r="G4075">
        <v>9791173786648</v>
      </c>
      <c r="H4075" t="s">
        <v>36</v>
      </c>
      <c r="I4075" t="s">
        <v>2003</v>
      </c>
      <c r="J4075" t="s">
        <v>38</v>
      </c>
      <c r="K4075" t="s">
        <v>29</v>
      </c>
      <c r="L4075" s="1">
        <v>1800</v>
      </c>
      <c r="M4075" t="s">
        <v>2630</v>
      </c>
      <c r="N4075">
        <v>5.46</v>
      </c>
      <c r="O4075">
        <v>5.0599999999999996</v>
      </c>
      <c r="P4075" t="s">
        <v>2631</v>
      </c>
      <c r="Q4075" s="2">
        <v>0.7</v>
      </c>
      <c r="R4075">
        <v>3.54</v>
      </c>
      <c r="S4075" t="s">
        <v>29</v>
      </c>
      <c r="T4075" s="1">
        <v>1309</v>
      </c>
      <c r="U4075">
        <v>369.96755000000002</v>
      </c>
      <c r="V4075" t="str">
        <f>VLOOKUP(H4075,'[1]팀별 출판사'!A:B,2,0)</f>
        <v>소설2팀</v>
      </c>
      <c r="W4075" s="6">
        <f t="shared" si="126"/>
        <v>0</v>
      </c>
      <c r="X4075" s="6">
        <f t="shared" si="127"/>
        <v>1309</v>
      </c>
    </row>
    <row r="4076" spans="1:24" x14ac:dyDescent="0.3">
      <c r="A4076" t="s">
        <v>5534</v>
      </c>
      <c r="B4076" t="s">
        <v>5703</v>
      </c>
      <c r="C4076" t="s">
        <v>23</v>
      </c>
      <c r="D4076" t="s">
        <v>24</v>
      </c>
      <c r="E4076" t="s">
        <v>25</v>
      </c>
      <c r="F4076">
        <v>1</v>
      </c>
      <c r="G4076">
        <v>9791136958808</v>
      </c>
      <c r="H4076" t="s">
        <v>79</v>
      </c>
      <c r="I4076" t="s">
        <v>5600</v>
      </c>
      <c r="J4076" t="s">
        <v>81</v>
      </c>
      <c r="K4076" t="s">
        <v>29</v>
      </c>
      <c r="L4076" s="1">
        <v>3200</v>
      </c>
      <c r="M4076" t="s">
        <v>29</v>
      </c>
      <c r="N4076" s="1">
        <v>3200</v>
      </c>
      <c r="O4076" s="1">
        <v>3200</v>
      </c>
      <c r="P4076" t="s">
        <v>30</v>
      </c>
      <c r="Q4076" s="2">
        <v>0.7</v>
      </c>
      <c r="R4076" s="1">
        <v>2240</v>
      </c>
      <c r="S4076" t="s">
        <v>29</v>
      </c>
      <c r="T4076" s="1">
        <v>2240</v>
      </c>
      <c r="V4076" t="str">
        <f>VLOOKUP(H4076,'[1]팀별 출판사'!A:B,2,0)</f>
        <v>소설1팀</v>
      </c>
      <c r="W4076" s="6">
        <f t="shared" si="126"/>
        <v>0</v>
      </c>
      <c r="X4076" s="6">
        <f t="shared" si="127"/>
        <v>2240</v>
      </c>
    </row>
    <row r="4077" spans="1:24" x14ac:dyDescent="0.3">
      <c r="A4077" t="s">
        <v>5534</v>
      </c>
      <c r="B4077" t="s">
        <v>5704</v>
      </c>
      <c r="C4077" t="s">
        <v>23</v>
      </c>
      <c r="D4077" t="s">
        <v>24</v>
      </c>
      <c r="E4077" t="s">
        <v>25</v>
      </c>
      <c r="F4077">
        <v>1</v>
      </c>
      <c r="G4077" t="s">
        <v>3591</v>
      </c>
      <c r="H4077" t="s">
        <v>32</v>
      </c>
      <c r="I4077" t="s">
        <v>3592</v>
      </c>
      <c r="J4077" t="s">
        <v>311</v>
      </c>
      <c r="K4077" t="s">
        <v>29</v>
      </c>
      <c r="L4077">
        <v>0</v>
      </c>
      <c r="M4077" t="s">
        <v>29</v>
      </c>
      <c r="N4077">
        <v>0</v>
      </c>
      <c r="O4077">
        <v>0</v>
      </c>
      <c r="P4077" t="s">
        <v>30</v>
      </c>
      <c r="Q4077" s="2">
        <v>0.7</v>
      </c>
      <c r="R4077">
        <v>0</v>
      </c>
      <c r="V4077" t="str">
        <f>VLOOKUP(H4077,'[1]팀별 출판사'!A:B,2,0)</f>
        <v>소설1팀</v>
      </c>
      <c r="W4077" s="6">
        <f t="shared" si="126"/>
        <v>0</v>
      </c>
      <c r="X4077" s="6">
        <f t="shared" si="127"/>
        <v>0</v>
      </c>
    </row>
    <row r="4078" spans="1:24" x14ac:dyDescent="0.3">
      <c r="A4078" t="s">
        <v>5534</v>
      </c>
      <c r="B4078" t="s">
        <v>5705</v>
      </c>
      <c r="C4078" t="s">
        <v>23</v>
      </c>
      <c r="D4078" t="s">
        <v>24</v>
      </c>
      <c r="E4078" t="s">
        <v>25</v>
      </c>
      <c r="F4078">
        <v>1</v>
      </c>
      <c r="G4078">
        <v>9791170107392</v>
      </c>
      <c r="H4078" t="s">
        <v>67</v>
      </c>
      <c r="I4078" t="s">
        <v>5706</v>
      </c>
      <c r="J4078" t="s">
        <v>392</v>
      </c>
      <c r="K4078" t="s">
        <v>29</v>
      </c>
      <c r="L4078" s="1">
        <v>2500</v>
      </c>
      <c r="M4078" t="s">
        <v>70</v>
      </c>
      <c r="N4078">
        <v>1.73</v>
      </c>
      <c r="O4078">
        <v>1.73</v>
      </c>
      <c r="P4078" t="s">
        <v>71</v>
      </c>
      <c r="Q4078" s="2">
        <v>0.7</v>
      </c>
      <c r="R4078">
        <v>1.21</v>
      </c>
      <c r="S4078" t="s">
        <v>29</v>
      </c>
      <c r="T4078" s="1">
        <v>1742</v>
      </c>
      <c r="U4078" s="3">
        <v>1440.34079</v>
      </c>
      <c r="V4078" t="str">
        <f>VLOOKUP(H4078,'[1]팀별 출판사'!A:B,2,0)</f>
        <v>소설1팀</v>
      </c>
      <c r="W4078" s="6">
        <f t="shared" si="126"/>
        <v>522.6</v>
      </c>
      <c r="X4078" s="6">
        <f t="shared" si="127"/>
        <v>1219.4000000000001</v>
      </c>
    </row>
    <row r="4079" spans="1:24" x14ac:dyDescent="0.3">
      <c r="A4079" t="s">
        <v>5534</v>
      </c>
      <c r="B4079" t="s">
        <v>5705</v>
      </c>
      <c r="C4079" t="s">
        <v>23</v>
      </c>
      <c r="D4079" t="s">
        <v>24</v>
      </c>
      <c r="E4079" t="s">
        <v>25</v>
      </c>
      <c r="F4079">
        <v>1</v>
      </c>
      <c r="G4079">
        <v>9791170107408</v>
      </c>
      <c r="H4079" t="s">
        <v>67</v>
      </c>
      <c r="I4079" t="s">
        <v>5707</v>
      </c>
      <c r="J4079" t="s">
        <v>392</v>
      </c>
      <c r="K4079" t="s">
        <v>29</v>
      </c>
      <c r="L4079" s="1">
        <v>2500</v>
      </c>
      <c r="M4079" t="s">
        <v>70</v>
      </c>
      <c r="N4079">
        <v>1.73</v>
      </c>
      <c r="O4079">
        <v>1.73</v>
      </c>
      <c r="P4079" t="s">
        <v>71</v>
      </c>
      <c r="Q4079" s="2">
        <v>0.7</v>
      </c>
      <c r="R4079">
        <v>1.21</v>
      </c>
      <c r="S4079" t="s">
        <v>29</v>
      </c>
      <c r="T4079" s="1">
        <v>1742</v>
      </c>
      <c r="U4079" s="3">
        <v>1440.34079</v>
      </c>
      <c r="V4079" t="str">
        <f>VLOOKUP(H4079,'[1]팀별 출판사'!A:B,2,0)</f>
        <v>소설1팀</v>
      </c>
      <c r="W4079" s="6">
        <f t="shared" si="126"/>
        <v>522.6</v>
      </c>
      <c r="X4079" s="6">
        <f t="shared" si="127"/>
        <v>1219.4000000000001</v>
      </c>
    </row>
    <row r="4080" spans="1:24" x14ac:dyDescent="0.3">
      <c r="A4080" t="s">
        <v>5534</v>
      </c>
      <c r="B4080" t="s">
        <v>5705</v>
      </c>
      <c r="C4080" t="s">
        <v>23</v>
      </c>
      <c r="D4080" t="s">
        <v>24</v>
      </c>
      <c r="E4080" t="s">
        <v>25</v>
      </c>
      <c r="F4080">
        <v>1</v>
      </c>
      <c r="G4080">
        <v>9791170107415</v>
      </c>
      <c r="H4080" t="s">
        <v>67</v>
      </c>
      <c r="I4080" t="s">
        <v>1992</v>
      </c>
      <c r="J4080" t="s">
        <v>392</v>
      </c>
      <c r="K4080" t="s">
        <v>29</v>
      </c>
      <c r="L4080" s="1">
        <v>2600</v>
      </c>
      <c r="M4080" t="s">
        <v>70</v>
      </c>
      <c r="N4080">
        <v>1.8</v>
      </c>
      <c r="O4080">
        <v>1.8</v>
      </c>
      <c r="P4080" t="s">
        <v>71</v>
      </c>
      <c r="Q4080" s="2">
        <v>0.7</v>
      </c>
      <c r="R4080">
        <v>1.26</v>
      </c>
      <c r="S4080" t="s">
        <v>29</v>
      </c>
      <c r="T4080" s="1">
        <v>1814</v>
      </c>
      <c r="U4080" s="3">
        <v>1440.34079</v>
      </c>
      <c r="V4080" t="str">
        <f>VLOOKUP(H4080,'[1]팀별 출판사'!A:B,2,0)</f>
        <v>소설1팀</v>
      </c>
      <c r="W4080" s="6">
        <f t="shared" si="126"/>
        <v>544.19999999999993</v>
      </c>
      <c r="X4080" s="6">
        <f t="shared" si="127"/>
        <v>1269.8000000000002</v>
      </c>
    </row>
    <row r="4081" spans="1:24" x14ac:dyDescent="0.3">
      <c r="A4081" t="s">
        <v>5534</v>
      </c>
      <c r="B4081" t="s">
        <v>5708</v>
      </c>
      <c r="C4081" t="s">
        <v>23</v>
      </c>
      <c r="D4081" t="s">
        <v>24</v>
      </c>
      <c r="E4081" t="s">
        <v>25</v>
      </c>
      <c r="F4081">
        <v>1</v>
      </c>
      <c r="G4081">
        <v>9791136930361</v>
      </c>
      <c r="H4081" t="s">
        <v>32</v>
      </c>
      <c r="I4081" t="s">
        <v>33</v>
      </c>
      <c r="J4081" t="s">
        <v>34</v>
      </c>
      <c r="K4081" t="s">
        <v>29</v>
      </c>
      <c r="L4081">
        <v>0</v>
      </c>
      <c r="M4081" t="s">
        <v>47</v>
      </c>
      <c r="N4081">
        <v>0</v>
      </c>
      <c r="O4081">
        <v>0</v>
      </c>
      <c r="P4081" t="s">
        <v>48</v>
      </c>
      <c r="Q4081" s="2">
        <v>0.7</v>
      </c>
      <c r="R4081">
        <v>0</v>
      </c>
      <c r="V4081" t="str">
        <f>VLOOKUP(H4081,'[1]팀별 출판사'!A:B,2,0)</f>
        <v>소설1팀</v>
      </c>
      <c r="W4081" s="6">
        <f t="shared" si="126"/>
        <v>0</v>
      </c>
      <c r="X4081" s="6">
        <f t="shared" si="127"/>
        <v>0</v>
      </c>
    </row>
    <row r="4082" spans="1:24" x14ac:dyDescent="0.3">
      <c r="A4082" t="s">
        <v>5534</v>
      </c>
      <c r="B4082" t="s">
        <v>5709</v>
      </c>
      <c r="C4082" t="s">
        <v>23</v>
      </c>
      <c r="D4082" t="s">
        <v>24</v>
      </c>
      <c r="E4082" t="s">
        <v>25</v>
      </c>
      <c r="F4082">
        <v>1</v>
      </c>
      <c r="G4082">
        <v>9791136900234</v>
      </c>
      <c r="H4082" t="s">
        <v>26</v>
      </c>
      <c r="I4082" t="s">
        <v>5710</v>
      </c>
      <c r="J4082" t="s">
        <v>436</v>
      </c>
      <c r="K4082" t="s">
        <v>29</v>
      </c>
      <c r="L4082" s="1">
        <v>3200</v>
      </c>
      <c r="M4082" t="s">
        <v>29</v>
      </c>
      <c r="N4082" s="1">
        <v>3200</v>
      </c>
      <c r="O4082" s="1">
        <v>3200</v>
      </c>
      <c r="P4082" t="s">
        <v>30</v>
      </c>
      <c r="Q4082" s="2">
        <v>0.7</v>
      </c>
      <c r="R4082" s="1">
        <v>2240</v>
      </c>
      <c r="S4082" t="s">
        <v>29</v>
      </c>
      <c r="T4082" s="1">
        <v>2240</v>
      </c>
      <c r="V4082" t="str">
        <f>VLOOKUP(H4082,'[1]팀별 출판사'!A:B,2,0)</f>
        <v>소설1팀</v>
      </c>
      <c r="W4082" s="6">
        <f t="shared" si="126"/>
        <v>0</v>
      </c>
      <c r="X4082" s="6">
        <f t="shared" si="127"/>
        <v>2240</v>
      </c>
    </row>
    <row r="4083" spans="1:24" x14ac:dyDescent="0.3">
      <c r="A4083" t="s">
        <v>5534</v>
      </c>
      <c r="B4083" t="s">
        <v>5711</v>
      </c>
      <c r="C4083" t="s">
        <v>23</v>
      </c>
      <c r="D4083" t="s">
        <v>24</v>
      </c>
      <c r="E4083" t="s">
        <v>25</v>
      </c>
      <c r="F4083">
        <v>1</v>
      </c>
      <c r="G4083">
        <v>9791136931375</v>
      </c>
      <c r="H4083" t="s">
        <v>32</v>
      </c>
      <c r="I4083" t="s">
        <v>189</v>
      </c>
      <c r="J4083" t="s">
        <v>46</v>
      </c>
      <c r="K4083" t="s">
        <v>29</v>
      </c>
      <c r="L4083">
        <v>0</v>
      </c>
      <c r="M4083" t="s">
        <v>152</v>
      </c>
      <c r="N4083">
        <v>0</v>
      </c>
      <c r="O4083">
        <v>0</v>
      </c>
      <c r="P4083" t="s">
        <v>153</v>
      </c>
      <c r="Q4083" s="2">
        <v>0.7</v>
      </c>
      <c r="R4083">
        <v>0</v>
      </c>
      <c r="V4083" t="str">
        <f>VLOOKUP(H4083,'[1]팀별 출판사'!A:B,2,0)</f>
        <v>소설1팀</v>
      </c>
      <c r="W4083" s="6">
        <f t="shared" si="126"/>
        <v>0</v>
      </c>
      <c r="X4083" s="6">
        <f t="shared" si="127"/>
        <v>0</v>
      </c>
    </row>
    <row r="4084" spans="1:24" x14ac:dyDescent="0.3">
      <c r="A4084" t="s">
        <v>5534</v>
      </c>
      <c r="B4084" t="s">
        <v>5712</v>
      </c>
      <c r="C4084" t="s">
        <v>23</v>
      </c>
      <c r="D4084" t="s">
        <v>24</v>
      </c>
      <c r="E4084" t="s">
        <v>25</v>
      </c>
      <c r="F4084">
        <v>1</v>
      </c>
      <c r="G4084">
        <v>9791136930491</v>
      </c>
      <c r="H4084" t="s">
        <v>26</v>
      </c>
      <c r="I4084" t="s">
        <v>151</v>
      </c>
      <c r="J4084" t="s">
        <v>46</v>
      </c>
      <c r="K4084" t="s">
        <v>29</v>
      </c>
      <c r="L4084">
        <v>0</v>
      </c>
      <c r="M4084" t="s">
        <v>152</v>
      </c>
      <c r="N4084">
        <v>0</v>
      </c>
      <c r="O4084">
        <v>0</v>
      </c>
      <c r="P4084" t="s">
        <v>153</v>
      </c>
      <c r="Q4084" s="2">
        <v>0.7</v>
      </c>
      <c r="R4084">
        <v>0</v>
      </c>
      <c r="V4084" t="str">
        <f>VLOOKUP(H4084,'[1]팀별 출판사'!A:B,2,0)</f>
        <v>소설1팀</v>
      </c>
      <c r="W4084" s="6">
        <f t="shared" si="126"/>
        <v>0</v>
      </c>
      <c r="X4084" s="6">
        <f t="shared" si="127"/>
        <v>0</v>
      </c>
    </row>
    <row r="4085" spans="1:24" x14ac:dyDescent="0.3">
      <c r="A4085" t="s">
        <v>5534</v>
      </c>
      <c r="B4085" t="s">
        <v>5713</v>
      </c>
      <c r="C4085" t="s">
        <v>23</v>
      </c>
      <c r="D4085" t="s">
        <v>24</v>
      </c>
      <c r="E4085" t="s">
        <v>25</v>
      </c>
      <c r="F4085">
        <v>1</v>
      </c>
      <c r="G4085">
        <v>9791136911025</v>
      </c>
      <c r="H4085" t="s">
        <v>32</v>
      </c>
      <c r="I4085" t="s">
        <v>5714</v>
      </c>
      <c r="J4085" t="s">
        <v>160</v>
      </c>
      <c r="K4085" t="s">
        <v>29</v>
      </c>
      <c r="L4085" s="1">
        <v>3200</v>
      </c>
      <c r="M4085" t="s">
        <v>29</v>
      </c>
      <c r="N4085" s="1">
        <v>3200</v>
      </c>
      <c r="O4085" s="1">
        <v>3200</v>
      </c>
      <c r="P4085" t="s">
        <v>30</v>
      </c>
      <c r="Q4085" s="2">
        <v>0.7</v>
      </c>
      <c r="R4085" s="1">
        <v>2240</v>
      </c>
      <c r="S4085" t="s">
        <v>29</v>
      </c>
      <c r="T4085" s="1">
        <v>2240</v>
      </c>
      <c r="V4085" t="str">
        <f>VLOOKUP(H4085,'[1]팀별 출판사'!A:B,2,0)</f>
        <v>소설1팀</v>
      </c>
      <c r="W4085" s="6">
        <f t="shared" si="126"/>
        <v>0</v>
      </c>
      <c r="X4085" s="6">
        <f t="shared" si="127"/>
        <v>2240</v>
      </c>
    </row>
    <row r="4086" spans="1:24" x14ac:dyDescent="0.3">
      <c r="A4086" t="s">
        <v>5534</v>
      </c>
      <c r="B4086" t="s">
        <v>5715</v>
      </c>
      <c r="C4086" t="s">
        <v>23</v>
      </c>
      <c r="D4086" t="s">
        <v>24</v>
      </c>
      <c r="E4086" t="s">
        <v>25</v>
      </c>
      <c r="F4086">
        <v>1</v>
      </c>
      <c r="G4086">
        <v>9791133171422</v>
      </c>
      <c r="H4086" t="s">
        <v>26</v>
      </c>
      <c r="I4086" t="s">
        <v>2992</v>
      </c>
      <c r="J4086" t="s">
        <v>287</v>
      </c>
      <c r="K4086" t="s">
        <v>29</v>
      </c>
      <c r="L4086">
        <v>0</v>
      </c>
      <c r="M4086" t="s">
        <v>47</v>
      </c>
      <c r="N4086">
        <v>0</v>
      </c>
      <c r="O4086">
        <v>0</v>
      </c>
      <c r="P4086" t="s">
        <v>48</v>
      </c>
      <c r="Q4086" s="2">
        <v>0.7</v>
      </c>
      <c r="R4086">
        <v>0</v>
      </c>
      <c r="V4086" t="str">
        <f>VLOOKUP(H4086,'[1]팀별 출판사'!A:B,2,0)</f>
        <v>소설1팀</v>
      </c>
      <c r="W4086" s="6">
        <f t="shared" si="126"/>
        <v>0</v>
      </c>
      <c r="X4086" s="6">
        <f t="shared" si="127"/>
        <v>0</v>
      </c>
    </row>
    <row r="4087" spans="1:24" x14ac:dyDescent="0.3">
      <c r="A4087" t="s">
        <v>5534</v>
      </c>
      <c r="B4087" t="s">
        <v>5716</v>
      </c>
      <c r="C4087" t="s">
        <v>23</v>
      </c>
      <c r="D4087" t="s">
        <v>24</v>
      </c>
      <c r="E4087" t="s">
        <v>25</v>
      </c>
      <c r="F4087">
        <v>1</v>
      </c>
      <c r="G4087">
        <v>9791136910493</v>
      </c>
      <c r="H4087" t="s">
        <v>26</v>
      </c>
      <c r="I4087" t="s">
        <v>4884</v>
      </c>
      <c r="J4087" t="s">
        <v>355</v>
      </c>
      <c r="K4087" t="s">
        <v>29</v>
      </c>
      <c r="L4087" s="1">
        <v>3200</v>
      </c>
      <c r="M4087" t="s">
        <v>29</v>
      </c>
      <c r="N4087" s="1">
        <v>3200</v>
      </c>
      <c r="O4087" s="1">
        <v>3200</v>
      </c>
      <c r="P4087" t="s">
        <v>30</v>
      </c>
      <c r="Q4087" s="2">
        <v>0.7</v>
      </c>
      <c r="R4087" s="1">
        <v>2240</v>
      </c>
      <c r="S4087" t="s">
        <v>29</v>
      </c>
      <c r="T4087" s="1">
        <v>2240</v>
      </c>
      <c r="V4087" t="str">
        <f>VLOOKUP(H4087,'[1]팀별 출판사'!A:B,2,0)</f>
        <v>소설1팀</v>
      </c>
      <c r="W4087" s="6">
        <f t="shared" si="126"/>
        <v>0</v>
      </c>
      <c r="X4087" s="6">
        <f t="shared" si="127"/>
        <v>2240</v>
      </c>
    </row>
    <row r="4088" spans="1:24" x14ac:dyDescent="0.3">
      <c r="A4088" t="s">
        <v>5534</v>
      </c>
      <c r="B4088" t="s">
        <v>5717</v>
      </c>
      <c r="C4088" t="s">
        <v>23</v>
      </c>
      <c r="D4088" t="s">
        <v>24</v>
      </c>
      <c r="E4088" t="s">
        <v>25</v>
      </c>
      <c r="F4088">
        <v>1</v>
      </c>
      <c r="G4088">
        <v>9791133105441</v>
      </c>
      <c r="H4088" t="s">
        <v>32</v>
      </c>
      <c r="I4088" t="s">
        <v>116</v>
      </c>
      <c r="J4088" t="s">
        <v>88</v>
      </c>
      <c r="K4088" t="s">
        <v>29</v>
      </c>
      <c r="L4088">
        <v>0</v>
      </c>
      <c r="M4088" t="s">
        <v>29</v>
      </c>
      <c r="N4088">
        <v>0</v>
      </c>
      <c r="O4088">
        <v>0</v>
      </c>
      <c r="P4088" t="s">
        <v>30</v>
      </c>
      <c r="Q4088" s="2">
        <v>0.7</v>
      </c>
      <c r="R4088">
        <v>0</v>
      </c>
      <c r="V4088" t="str">
        <f>VLOOKUP(H4088,'[1]팀별 출판사'!A:B,2,0)</f>
        <v>소설1팀</v>
      </c>
      <c r="W4088" s="6">
        <f t="shared" si="126"/>
        <v>0</v>
      </c>
      <c r="X4088" s="6">
        <f t="shared" si="127"/>
        <v>0</v>
      </c>
    </row>
    <row r="4089" spans="1:24" x14ac:dyDescent="0.3">
      <c r="A4089" t="s">
        <v>5534</v>
      </c>
      <c r="B4089" t="s">
        <v>5718</v>
      </c>
      <c r="C4089" t="s">
        <v>23</v>
      </c>
      <c r="D4089" t="s">
        <v>24</v>
      </c>
      <c r="E4089" t="s">
        <v>25</v>
      </c>
      <c r="F4089">
        <v>1</v>
      </c>
      <c r="G4089">
        <v>9791133102617</v>
      </c>
      <c r="H4089" t="s">
        <v>32</v>
      </c>
      <c r="I4089" t="s">
        <v>3037</v>
      </c>
      <c r="J4089" t="s">
        <v>51</v>
      </c>
      <c r="K4089" t="s">
        <v>29</v>
      </c>
      <c r="L4089">
        <v>0</v>
      </c>
      <c r="M4089" t="s">
        <v>29</v>
      </c>
      <c r="N4089">
        <v>0</v>
      </c>
      <c r="O4089">
        <v>0</v>
      </c>
      <c r="P4089" t="s">
        <v>30</v>
      </c>
      <c r="Q4089" s="2">
        <v>0.7</v>
      </c>
      <c r="R4089">
        <v>0</v>
      </c>
      <c r="V4089" t="str">
        <f>VLOOKUP(H4089,'[1]팀별 출판사'!A:B,2,0)</f>
        <v>소설1팀</v>
      </c>
      <c r="W4089" s="6">
        <f t="shared" si="126"/>
        <v>0</v>
      </c>
      <c r="X4089" s="6">
        <f t="shared" si="127"/>
        <v>0</v>
      </c>
    </row>
    <row r="4090" spans="1:24" x14ac:dyDescent="0.3">
      <c r="A4090" t="s">
        <v>5534</v>
      </c>
      <c r="B4090" t="s">
        <v>5719</v>
      </c>
      <c r="C4090" t="s">
        <v>23</v>
      </c>
      <c r="D4090" t="s">
        <v>24</v>
      </c>
      <c r="E4090" t="s">
        <v>25</v>
      </c>
      <c r="F4090">
        <v>1</v>
      </c>
      <c r="G4090">
        <v>9791157533503</v>
      </c>
      <c r="H4090" t="s">
        <v>32</v>
      </c>
      <c r="I4090" t="s">
        <v>383</v>
      </c>
      <c r="J4090" t="s">
        <v>187</v>
      </c>
      <c r="K4090" t="s">
        <v>29</v>
      </c>
      <c r="L4090">
        <v>0</v>
      </c>
      <c r="M4090" t="s">
        <v>29</v>
      </c>
      <c r="N4090">
        <v>0</v>
      </c>
      <c r="O4090">
        <v>0</v>
      </c>
      <c r="P4090" t="s">
        <v>30</v>
      </c>
      <c r="Q4090" s="2">
        <v>0.7</v>
      </c>
      <c r="R4090">
        <v>0</v>
      </c>
      <c r="V4090" t="str">
        <f>VLOOKUP(H4090,'[1]팀별 출판사'!A:B,2,0)</f>
        <v>소설1팀</v>
      </c>
      <c r="W4090" s="6">
        <f t="shared" si="126"/>
        <v>0</v>
      </c>
      <c r="X4090" s="6">
        <f t="shared" si="127"/>
        <v>0</v>
      </c>
    </row>
    <row r="4091" spans="1:24" x14ac:dyDescent="0.3">
      <c r="A4091" t="s">
        <v>5534</v>
      </c>
      <c r="B4091" t="s">
        <v>5720</v>
      </c>
      <c r="C4091" t="s">
        <v>23</v>
      </c>
      <c r="D4091" t="s">
        <v>24</v>
      </c>
      <c r="E4091" t="s">
        <v>25</v>
      </c>
      <c r="F4091">
        <v>1</v>
      </c>
      <c r="G4091">
        <v>9791133187010</v>
      </c>
      <c r="H4091" t="s">
        <v>26</v>
      </c>
      <c r="I4091" t="s">
        <v>745</v>
      </c>
      <c r="J4091" t="s">
        <v>743</v>
      </c>
      <c r="K4091" t="s">
        <v>29</v>
      </c>
      <c r="L4091">
        <v>0</v>
      </c>
      <c r="M4091" t="s">
        <v>29</v>
      </c>
      <c r="N4091">
        <v>0</v>
      </c>
      <c r="O4091">
        <v>0</v>
      </c>
      <c r="P4091" t="s">
        <v>30</v>
      </c>
      <c r="Q4091" s="2">
        <v>0.7</v>
      </c>
      <c r="R4091">
        <v>0</v>
      </c>
      <c r="V4091" t="str">
        <f>VLOOKUP(H4091,'[1]팀별 출판사'!A:B,2,0)</f>
        <v>소설1팀</v>
      </c>
      <c r="W4091" s="6">
        <f t="shared" si="126"/>
        <v>0</v>
      </c>
      <c r="X4091" s="6">
        <f t="shared" si="127"/>
        <v>0</v>
      </c>
    </row>
    <row r="4092" spans="1:24" x14ac:dyDescent="0.3">
      <c r="A4092" t="s">
        <v>5534</v>
      </c>
      <c r="B4092" t="s">
        <v>5721</v>
      </c>
      <c r="C4092" t="s">
        <v>23</v>
      </c>
      <c r="D4092" t="s">
        <v>24</v>
      </c>
      <c r="E4092" t="s">
        <v>25</v>
      </c>
      <c r="F4092">
        <v>1</v>
      </c>
      <c r="G4092">
        <v>9791133144914</v>
      </c>
      <c r="H4092" t="s">
        <v>32</v>
      </c>
      <c r="I4092" t="s">
        <v>1822</v>
      </c>
      <c r="J4092" t="s">
        <v>1192</v>
      </c>
      <c r="K4092" t="s">
        <v>29</v>
      </c>
      <c r="L4092">
        <v>0</v>
      </c>
      <c r="M4092" t="s">
        <v>29</v>
      </c>
      <c r="N4092">
        <v>0</v>
      </c>
      <c r="O4092">
        <v>0</v>
      </c>
      <c r="P4092" t="s">
        <v>30</v>
      </c>
      <c r="Q4092" s="2">
        <v>0.7</v>
      </c>
      <c r="R4092">
        <v>0</v>
      </c>
      <c r="V4092" t="str">
        <f>VLOOKUP(H4092,'[1]팀별 출판사'!A:B,2,0)</f>
        <v>소설1팀</v>
      </c>
      <c r="W4092" s="6">
        <f t="shared" si="126"/>
        <v>0</v>
      </c>
      <c r="X4092" s="6">
        <f t="shared" si="127"/>
        <v>0</v>
      </c>
    </row>
    <row r="4093" spans="1:24" x14ac:dyDescent="0.3">
      <c r="A4093" t="s">
        <v>5534</v>
      </c>
      <c r="B4093" t="s">
        <v>5722</v>
      </c>
      <c r="C4093" t="s">
        <v>23</v>
      </c>
      <c r="D4093" t="s">
        <v>24</v>
      </c>
      <c r="E4093" t="s">
        <v>25</v>
      </c>
      <c r="F4093">
        <v>1</v>
      </c>
      <c r="G4093">
        <v>9791136944160</v>
      </c>
      <c r="H4093" t="s">
        <v>26</v>
      </c>
      <c r="I4093" t="s">
        <v>3127</v>
      </c>
      <c r="J4093" t="s">
        <v>1692</v>
      </c>
      <c r="K4093" t="s">
        <v>29</v>
      </c>
      <c r="L4093">
        <v>0</v>
      </c>
      <c r="M4093" t="s">
        <v>29</v>
      </c>
      <c r="N4093">
        <v>0</v>
      </c>
      <c r="O4093">
        <v>0</v>
      </c>
      <c r="P4093" t="s">
        <v>30</v>
      </c>
      <c r="Q4093" s="2">
        <v>0.7</v>
      </c>
      <c r="R4093">
        <v>0</v>
      </c>
      <c r="V4093" t="str">
        <f>VLOOKUP(H4093,'[1]팀별 출판사'!A:B,2,0)</f>
        <v>소설1팀</v>
      </c>
      <c r="W4093" s="6">
        <f t="shared" si="126"/>
        <v>0</v>
      </c>
      <c r="X4093" s="6">
        <f t="shared" si="127"/>
        <v>0</v>
      </c>
    </row>
    <row r="4094" spans="1:24" x14ac:dyDescent="0.3">
      <c r="A4094" t="s">
        <v>5723</v>
      </c>
      <c r="B4094" t="s">
        <v>5724</v>
      </c>
      <c r="C4094" t="s">
        <v>23</v>
      </c>
      <c r="D4094" t="s">
        <v>24</v>
      </c>
      <c r="E4094" t="s">
        <v>25</v>
      </c>
      <c r="F4094">
        <v>1</v>
      </c>
      <c r="G4094">
        <v>9791133186501</v>
      </c>
      <c r="H4094" t="s">
        <v>26</v>
      </c>
      <c r="I4094" t="s">
        <v>64</v>
      </c>
      <c r="J4094" t="s">
        <v>65</v>
      </c>
      <c r="K4094" t="s">
        <v>29</v>
      </c>
      <c r="L4094">
        <v>0</v>
      </c>
      <c r="M4094" t="s">
        <v>29</v>
      </c>
      <c r="N4094">
        <v>0</v>
      </c>
      <c r="O4094">
        <v>0</v>
      </c>
      <c r="P4094" t="s">
        <v>30</v>
      </c>
      <c r="Q4094" s="2">
        <v>0.7</v>
      </c>
      <c r="R4094">
        <v>0</v>
      </c>
      <c r="V4094" t="str">
        <f>VLOOKUP(H4094,'[1]팀별 출판사'!A:B,2,0)</f>
        <v>소설1팀</v>
      </c>
      <c r="W4094" s="6">
        <f t="shared" si="126"/>
        <v>0</v>
      </c>
      <c r="X4094" s="6">
        <f t="shared" si="127"/>
        <v>0</v>
      </c>
    </row>
    <row r="4095" spans="1:24" x14ac:dyDescent="0.3">
      <c r="A4095" t="s">
        <v>5723</v>
      </c>
      <c r="B4095" t="s">
        <v>5725</v>
      </c>
      <c r="C4095" t="s">
        <v>23</v>
      </c>
      <c r="D4095" t="s">
        <v>24</v>
      </c>
      <c r="E4095" t="s">
        <v>25</v>
      </c>
      <c r="F4095">
        <v>1</v>
      </c>
      <c r="G4095">
        <v>9791136930491</v>
      </c>
      <c r="H4095" t="s">
        <v>26</v>
      </c>
      <c r="I4095" t="s">
        <v>151</v>
      </c>
      <c r="J4095" t="s">
        <v>46</v>
      </c>
      <c r="K4095" t="s">
        <v>29</v>
      </c>
      <c r="L4095">
        <v>0</v>
      </c>
      <c r="M4095" t="s">
        <v>29</v>
      </c>
      <c r="N4095">
        <v>0</v>
      </c>
      <c r="O4095">
        <v>0</v>
      </c>
      <c r="P4095" t="s">
        <v>30</v>
      </c>
      <c r="Q4095" s="2">
        <v>0.7</v>
      </c>
      <c r="R4095">
        <v>0</v>
      </c>
      <c r="V4095" t="str">
        <f>VLOOKUP(H4095,'[1]팀별 출판사'!A:B,2,0)</f>
        <v>소설1팀</v>
      </c>
      <c r="W4095" s="6">
        <f t="shared" si="126"/>
        <v>0</v>
      </c>
      <c r="X4095" s="6">
        <f t="shared" si="127"/>
        <v>0</v>
      </c>
    </row>
    <row r="4096" spans="1:24" x14ac:dyDescent="0.3">
      <c r="A4096" t="s">
        <v>5723</v>
      </c>
      <c r="B4096" t="s">
        <v>5726</v>
      </c>
      <c r="C4096" t="s">
        <v>23</v>
      </c>
      <c r="D4096" t="s">
        <v>24</v>
      </c>
      <c r="E4096" t="s">
        <v>25</v>
      </c>
      <c r="F4096">
        <v>1</v>
      </c>
      <c r="G4096" t="s">
        <v>5104</v>
      </c>
      <c r="H4096" t="s">
        <v>32</v>
      </c>
      <c r="I4096" t="s">
        <v>5105</v>
      </c>
      <c r="J4096" t="s">
        <v>4056</v>
      </c>
      <c r="K4096" t="s">
        <v>29</v>
      </c>
      <c r="L4096">
        <v>0</v>
      </c>
      <c r="M4096" t="s">
        <v>29</v>
      </c>
      <c r="N4096">
        <v>0</v>
      </c>
      <c r="O4096">
        <v>0</v>
      </c>
      <c r="P4096" t="s">
        <v>30</v>
      </c>
      <c r="Q4096" s="2">
        <v>0.7</v>
      </c>
      <c r="R4096">
        <v>0</v>
      </c>
      <c r="V4096" t="str">
        <f>VLOOKUP(H4096,'[1]팀별 출판사'!A:B,2,0)</f>
        <v>소설1팀</v>
      </c>
      <c r="W4096" s="6">
        <f t="shared" si="126"/>
        <v>0</v>
      </c>
      <c r="X4096" s="6">
        <f t="shared" si="127"/>
        <v>0</v>
      </c>
    </row>
    <row r="4097" spans="1:24" x14ac:dyDescent="0.3">
      <c r="A4097" t="s">
        <v>5723</v>
      </c>
      <c r="B4097" t="s">
        <v>5727</v>
      </c>
      <c r="C4097" t="s">
        <v>23</v>
      </c>
      <c r="D4097" t="s">
        <v>24</v>
      </c>
      <c r="E4097" t="s">
        <v>25</v>
      </c>
      <c r="F4097">
        <v>1</v>
      </c>
      <c r="G4097">
        <v>9791136930552</v>
      </c>
      <c r="H4097" t="s">
        <v>26</v>
      </c>
      <c r="I4097" t="s">
        <v>45</v>
      </c>
      <c r="J4097" t="s">
        <v>46</v>
      </c>
      <c r="K4097" t="s">
        <v>29</v>
      </c>
      <c r="L4097">
        <v>0</v>
      </c>
      <c r="M4097" t="s">
        <v>29</v>
      </c>
      <c r="N4097">
        <v>0</v>
      </c>
      <c r="O4097">
        <v>0</v>
      </c>
      <c r="P4097" t="s">
        <v>30</v>
      </c>
      <c r="Q4097" s="2">
        <v>0.7</v>
      </c>
      <c r="R4097">
        <v>0</v>
      </c>
      <c r="V4097" t="str">
        <f>VLOOKUP(H4097,'[1]팀별 출판사'!A:B,2,0)</f>
        <v>소설1팀</v>
      </c>
      <c r="W4097" s="6">
        <f t="shared" si="126"/>
        <v>0</v>
      </c>
      <c r="X4097" s="6">
        <f t="shared" si="127"/>
        <v>0</v>
      </c>
    </row>
    <row r="4098" spans="1:24" x14ac:dyDescent="0.3">
      <c r="A4098" t="s">
        <v>5723</v>
      </c>
      <c r="B4098" t="s">
        <v>5728</v>
      </c>
      <c r="C4098" t="s">
        <v>23</v>
      </c>
      <c r="D4098" t="s">
        <v>24</v>
      </c>
      <c r="E4098" t="s">
        <v>25</v>
      </c>
      <c r="F4098">
        <v>1</v>
      </c>
      <c r="G4098">
        <v>9791133144792</v>
      </c>
      <c r="H4098" t="s">
        <v>32</v>
      </c>
      <c r="I4098" t="s">
        <v>223</v>
      </c>
      <c r="J4098" t="s">
        <v>88</v>
      </c>
      <c r="K4098" t="s">
        <v>29</v>
      </c>
      <c r="L4098">
        <v>0</v>
      </c>
      <c r="M4098" t="s">
        <v>29</v>
      </c>
      <c r="N4098">
        <v>0</v>
      </c>
      <c r="O4098">
        <v>0</v>
      </c>
      <c r="P4098" t="s">
        <v>30</v>
      </c>
      <c r="Q4098" s="2">
        <v>0.7</v>
      </c>
      <c r="R4098">
        <v>0</v>
      </c>
      <c r="V4098" t="str">
        <f>VLOOKUP(H4098,'[1]팀별 출판사'!A:B,2,0)</f>
        <v>소설1팀</v>
      </c>
      <c r="W4098" s="6">
        <f t="shared" ref="W4098:W4161" si="128">IF(P4098="US", T4098*30%, 0)</f>
        <v>0</v>
      </c>
      <c r="X4098" s="6">
        <f t="shared" ref="X4098:X4161" si="129">T4098-W4098</f>
        <v>0</v>
      </c>
    </row>
    <row r="4099" spans="1:24" x14ac:dyDescent="0.3">
      <c r="A4099" t="s">
        <v>5723</v>
      </c>
      <c r="B4099" t="s">
        <v>5729</v>
      </c>
      <c r="C4099" t="s">
        <v>23</v>
      </c>
      <c r="D4099" t="s">
        <v>24</v>
      </c>
      <c r="E4099" t="s">
        <v>25</v>
      </c>
      <c r="F4099">
        <v>1</v>
      </c>
      <c r="G4099">
        <v>9791172921033</v>
      </c>
      <c r="H4099" t="s">
        <v>79</v>
      </c>
      <c r="I4099" t="s">
        <v>738</v>
      </c>
      <c r="J4099" t="s">
        <v>46</v>
      </c>
      <c r="K4099" t="s">
        <v>29</v>
      </c>
      <c r="L4099">
        <v>0</v>
      </c>
      <c r="M4099" t="s">
        <v>29</v>
      </c>
      <c r="N4099">
        <v>0</v>
      </c>
      <c r="O4099">
        <v>0</v>
      </c>
      <c r="P4099" t="s">
        <v>30</v>
      </c>
      <c r="Q4099" s="2">
        <v>0.7</v>
      </c>
      <c r="R4099">
        <v>0</v>
      </c>
      <c r="V4099" t="str">
        <f>VLOOKUP(H4099,'[1]팀별 출판사'!A:B,2,0)</f>
        <v>소설1팀</v>
      </c>
      <c r="W4099" s="6">
        <f t="shared" si="128"/>
        <v>0</v>
      </c>
      <c r="X4099" s="6">
        <f t="shared" si="129"/>
        <v>0</v>
      </c>
    </row>
    <row r="4100" spans="1:24" x14ac:dyDescent="0.3">
      <c r="A4100" t="s">
        <v>5723</v>
      </c>
      <c r="B4100" t="s">
        <v>5730</v>
      </c>
      <c r="C4100" t="s">
        <v>23</v>
      </c>
      <c r="D4100" t="s">
        <v>24</v>
      </c>
      <c r="E4100" t="s">
        <v>25</v>
      </c>
      <c r="F4100">
        <v>1</v>
      </c>
      <c r="G4100">
        <v>9791136942142</v>
      </c>
      <c r="H4100" t="s">
        <v>26</v>
      </c>
      <c r="I4100" t="s">
        <v>180</v>
      </c>
      <c r="J4100" t="s">
        <v>46</v>
      </c>
      <c r="K4100" t="s">
        <v>29</v>
      </c>
      <c r="L4100">
        <v>0</v>
      </c>
      <c r="M4100" t="s">
        <v>29</v>
      </c>
      <c r="N4100">
        <v>0</v>
      </c>
      <c r="O4100">
        <v>0</v>
      </c>
      <c r="P4100" t="s">
        <v>30</v>
      </c>
      <c r="Q4100" s="2">
        <v>0.7</v>
      </c>
      <c r="R4100">
        <v>0</v>
      </c>
      <c r="V4100" t="str">
        <f>VLOOKUP(H4100,'[1]팀별 출판사'!A:B,2,0)</f>
        <v>소설1팀</v>
      </c>
      <c r="W4100" s="6">
        <f t="shared" si="128"/>
        <v>0</v>
      </c>
      <c r="X4100" s="6">
        <f t="shared" si="129"/>
        <v>0</v>
      </c>
    </row>
    <row r="4101" spans="1:24" x14ac:dyDescent="0.3">
      <c r="A4101" t="s">
        <v>5723</v>
      </c>
      <c r="B4101" t="s">
        <v>5731</v>
      </c>
      <c r="C4101" t="s">
        <v>23</v>
      </c>
      <c r="D4101" t="s">
        <v>24</v>
      </c>
      <c r="E4101" t="s">
        <v>25</v>
      </c>
      <c r="F4101">
        <v>1</v>
      </c>
      <c r="G4101">
        <v>9791136931375</v>
      </c>
      <c r="H4101" t="s">
        <v>32</v>
      </c>
      <c r="I4101" t="s">
        <v>189</v>
      </c>
      <c r="J4101" t="s">
        <v>46</v>
      </c>
      <c r="K4101" t="s">
        <v>29</v>
      </c>
      <c r="L4101">
        <v>0</v>
      </c>
      <c r="M4101" t="s">
        <v>29</v>
      </c>
      <c r="N4101">
        <v>0</v>
      </c>
      <c r="O4101">
        <v>0</v>
      </c>
      <c r="P4101" t="s">
        <v>30</v>
      </c>
      <c r="Q4101" s="2">
        <v>0.7</v>
      </c>
      <c r="R4101">
        <v>0</v>
      </c>
      <c r="V4101" t="str">
        <f>VLOOKUP(H4101,'[1]팀별 출판사'!A:B,2,0)</f>
        <v>소설1팀</v>
      </c>
      <c r="W4101" s="6">
        <f t="shared" si="128"/>
        <v>0</v>
      </c>
      <c r="X4101" s="6">
        <f t="shared" si="129"/>
        <v>0</v>
      </c>
    </row>
    <row r="4102" spans="1:24" x14ac:dyDescent="0.3">
      <c r="A4102" t="s">
        <v>5723</v>
      </c>
      <c r="B4102" t="s">
        <v>5732</v>
      </c>
      <c r="C4102" t="s">
        <v>23</v>
      </c>
      <c r="D4102" t="s">
        <v>24</v>
      </c>
      <c r="E4102" t="s">
        <v>25</v>
      </c>
      <c r="F4102">
        <v>1</v>
      </c>
      <c r="G4102">
        <v>9791136931399</v>
      </c>
      <c r="H4102" t="s">
        <v>32</v>
      </c>
      <c r="I4102" t="s">
        <v>482</v>
      </c>
      <c r="J4102" t="s">
        <v>46</v>
      </c>
      <c r="K4102" t="s">
        <v>29</v>
      </c>
      <c r="L4102">
        <v>0</v>
      </c>
      <c r="M4102" t="s">
        <v>29</v>
      </c>
      <c r="N4102">
        <v>0</v>
      </c>
      <c r="O4102">
        <v>0</v>
      </c>
      <c r="P4102" t="s">
        <v>30</v>
      </c>
      <c r="Q4102" s="2">
        <v>0.7</v>
      </c>
      <c r="R4102">
        <v>0</v>
      </c>
      <c r="V4102" t="str">
        <f>VLOOKUP(H4102,'[1]팀별 출판사'!A:B,2,0)</f>
        <v>소설1팀</v>
      </c>
      <c r="W4102" s="6">
        <f t="shared" si="128"/>
        <v>0</v>
      </c>
      <c r="X4102" s="6">
        <f t="shared" si="129"/>
        <v>0</v>
      </c>
    </row>
    <row r="4103" spans="1:24" x14ac:dyDescent="0.3">
      <c r="A4103" t="s">
        <v>5723</v>
      </c>
      <c r="B4103" t="s">
        <v>5733</v>
      </c>
      <c r="C4103" t="s">
        <v>23</v>
      </c>
      <c r="D4103" t="s">
        <v>24</v>
      </c>
      <c r="E4103" t="s">
        <v>25</v>
      </c>
      <c r="F4103">
        <v>1</v>
      </c>
      <c r="G4103">
        <v>9791136930224</v>
      </c>
      <c r="H4103" t="s">
        <v>32</v>
      </c>
      <c r="I4103" t="s">
        <v>172</v>
      </c>
      <c r="J4103" t="s">
        <v>46</v>
      </c>
      <c r="K4103" t="s">
        <v>29</v>
      </c>
      <c r="L4103">
        <v>0</v>
      </c>
      <c r="M4103" t="s">
        <v>29</v>
      </c>
      <c r="N4103">
        <v>0</v>
      </c>
      <c r="O4103">
        <v>0</v>
      </c>
      <c r="P4103" t="s">
        <v>30</v>
      </c>
      <c r="Q4103" s="2">
        <v>0.7</v>
      </c>
      <c r="R4103">
        <v>0</v>
      </c>
      <c r="V4103" t="str">
        <f>VLOOKUP(H4103,'[1]팀별 출판사'!A:B,2,0)</f>
        <v>소설1팀</v>
      </c>
      <c r="W4103" s="6">
        <f t="shared" si="128"/>
        <v>0</v>
      </c>
      <c r="X4103" s="6">
        <f t="shared" si="129"/>
        <v>0</v>
      </c>
    </row>
    <row r="4104" spans="1:24" x14ac:dyDescent="0.3">
      <c r="A4104" t="s">
        <v>5723</v>
      </c>
      <c r="B4104" t="s">
        <v>5734</v>
      </c>
      <c r="C4104" t="s">
        <v>23</v>
      </c>
      <c r="D4104" t="s">
        <v>24</v>
      </c>
      <c r="E4104" t="s">
        <v>25</v>
      </c>
      <c r="F4104">
        <v>1</v>
      </c>
      <c r="G4104">
        <v>9791136904935</v>
      </c>
      <c r="H4104" t="s">
        <v>26</v>
      </c>
      <c r="I4104" t="s">
        <v>505</v>
      </c>
      <c r="J4104" t="s">
        <v>506</v>
      </c>
      <c r="K4104" t="s">
        <v>29</v>
      </c>
      <c r="L4104">
        <v>0</v>
      </c>
      <c r="M4104" t="s">
        <v>29</v>
      </c>
      <c r="N4104">
        <v>0</v>
      </c>
      <c r="O4104">
        <v>0</v>
      </c>
      <c r="P4104" t="s">
        <v>30</v>
      </c>
      <c r="Q4104" s="2">
        <v>0.7</v>
      </c>
      <c r="R4104">
        <v>0</v>
      </c>
      <c r="V4104" t="str">
        <f>VLOOKUP(H4104,'[1]팀별 출판사'!A:B,2,0)</f>
        <v>소설1팀</v>
      </c>
      <c r="W4104" s="6">
        <f t="shared" si="128"/>
        <v>0</v>
      </c>
      <c r="X4104" s="6">
        <f t="shared" si="129"/>
        <v>0</v>
      </c>
    </row>
    <row r="4105" spans="1:24" x14ac:dyDescent="0.3">
      <c r="A4105" t="s">
        <v>5723</v>
      </c>
      <c r="B4105" t="s">
        <v>5735</v>
      </c>
      <c r="C4105" t="s">
        <v>23</v>
      </c>
      <c r="D4105" t="s">
        <v>24</v>
      </c>
      <c r="E4105" t="s">
        <v>25</v>
      </c>
      <c r="F4105">
        <v>1</v>
      </c>
      <c r="G4105" t="s">
        <v>5736</v>
      </c>
      <c r="H4105" t="s">
        <v>208</v>
      </c>
      <c r="I4105" t="s">
        <v>5737</v>
      </c>
      <c r="J4105" t="s">
        <v>1245</v>
      </c>
      <c r="K4105" t="s">
        <v>29</v>
      </c>
      <c r="L4105" s="1">
        <v>2000</v>
      </c>
      <c r="M4105" t="s">
        <v>29</v>
      </c>
      <c r="N4105" s="1">
        <v>2000</v>
      </c>
      <c r="O4105" s="1">
        <v>2000</v>
      </c>
      <c r="P4105" t="s">
        <v>30</v>
      </c>
      <c r="Q4105" s="2">
        <v>0.7</v>
      </c>
      <c r="R4105" s="1">
        <v>1400</v>
      </c>
      <c r="S4105" t="s">
        <v>29</v>
      </c>
      <c r="T4105" s="1">
        <v>1400</v>
      </c>
      <c r="V4105" t="str">
        <f>VLOOKUP(H4105,'[1]팀별 출판사'!A:B,2,0)</f>
        <v>소설1팀</v>
      </c>
      <c r="W4105" s="6">
        <f t="shared" si="128"/>
        <v>0</v>
      </c>
      <c r="X4105" s="6">
        <f t="shared" si="129"/>
        <v>1400</v>
      </c>
    </row>
    <row r="4106" spans="1:24" x14ac:dyDescent="0.3">
      <c r="A4106" t="s">
        <v>5723</v>
      </c>
      <c r="B4106" t="s">
        <v>5738</v>
      </c>
      <c r="C4106" t="s">
        <v>23</v>
      </c>
      <c r="D4106" t="s">
        <v>24</v>
      </c>
      <c r="E4106" t="s">
        <v>25</v>
      </c>
      <c r="F4106">
        <v>1</v>
      </c>
      <c r="G4106">
        <v>9791136931375</v>
      </c>
      <c r="H4106" t="s">
        <v>32</v>
      </c>
      <c r="I4106" t="s">
        <v>189</v>
      </c>
      <c r="J4106" t="s">
        <v>46</v>
      </c>
      <c r="K4106" t="s">
        <v>29</v>
      </c>
      <c r="L4106">
        <v>0</v>
      </c>
      <c r="M4106" t="s">
        <v>152</v>
      </c>
      <c r="N4106">
        <v>0</v>
      </c>
      <c r="O4106">
        <v>0</v>
      </c>
      <c r="P4106" t="s">
        <v>153</v>
      </c>
      <c r="Q4106" s="2">
        <v>0.7</v>
      </c>
      <c r="R4106">
        <v>0</v>
      </c>
      <c r="V4106" t="str">
        <f>VLOOKUP(H4106,'[1]팀별 출판사'!A:B,2,0)</f>
        <v>소설1팀</v>
      </c>
      <c r="W4106" s="6">
        <f t="shared" si="128"/>
        <v>0</v>
      </c>
      <c r="X4106" s="6">
        <f t="shared" si="129"/>
        <v>0</v>
      </c>
    </row>
    <row r="4107" spans="1:24" x14ac:dyDescent="0.3">
      <c r="A4107" t="s">
        <v>5723</v>
      </c>
      <c r="B4107" t="s">
        <v>5739</v>
      </c>
      <c r="C4107" t="s">
        <v>23</v>
      </c>
      <c r="D4107" t="s">
        <v>24</v>
      </c>
      <c r="E4107" t="s">
        <v>25</v>
      </c>
      <c r="F4107">
        <v>1</v>
      </c>
      <c r="G4107">
        <v>9791133127757</v>
      </c>
      <c r="H4107" t="s">
        <v>32</v>
      </c>
      <c r="I4107" t="s">
        <v>5740</v>
      </c>
      <c r="J4107" t="s">
        <v>160</v>
      </c>
      <c r="K4107" t="s">
        <v>29</v>
      </c>
      <c r="L4107" s="1">
        <v>3500</v>
      </c>
      <c r="M4107" t="s">
        <v>29</v>
      </c>
      <c r="N4107" s="1">
        <v>3500</v>
      </c>
      <c r="O4107" s="1">
        <v>3500</v>
      </c>
      <c r="P4107" t="s">
        <v>30</v>
      </c>
      <c r="Q4107" s="2">
        <v>0.7</v>
      </c>
      <c r="R4107" s="1">
        <v>2450</v>
      </c>
      <c r="S4107" t="s">
        <v>29</v>
      </c>
      <c r="T4107" s="1">
        <v>2450</v>
      </c>
      <c r="V4107" t="str">
        <f>VLOOKUP(H4107,'[1]팀별 출판사'!A:B,2,0)</f>
        <v>소설1팀</v>
      </c>
      <c r="W4107" s="6">
        <f t="shared" si="128"/>
        <v>0</v>
      </c>
      <c r="X4107" s="6">
        <f t="shared" si="129"/>
        <v>2450</v>
      </c>
    </row>
    <row r="4108" spans="1:24" x14ac:dyDescent="0.3">
      <c r="A4108" t="s">
        <v>5723</v>
      </c>
      <c r="B4108" t="s">
        <v>5739</v>
      </c>
      <c r="C4108" t="s">
        <v>23</v>
      </c>
      <c r="D4108" t="s">
        <v>24</v>
      </c>
      <c r="E4108" t="s">
        <v>25</v>
      </c>
      <c r="F4108">
        <v>1</v>
      </c>
      <c r="G4108">
        <v>9791133127740</v>
      </c>
      <c r="H4108" t="s">
        <v>32</v>
      </c>
      <c r="I4108" t="s">
        <v>5741</v>
      </c>
      <c r="J4108" t="s">
        <v>160</v>
      </c>
      <c r="K4108" t="s">
        <v>29</v>
      </c>
      <c r="L4108" s="1">
        <v>3500</v>
      </c>
      <c r="M4108" t="s">
        <v>29</v>
      </c>
      <c r="N4108" s="1">
        <v>3500</v>
      </c>
      <c r="O4108" s="1">
        <v>3500</v>
      </c>
      <c r="P4108" t="s">
        <v>30</v>
      </c>
      <c r="Q4108" s="2">
        <v>0.7</v>
      </c>
      <c r="R4108" s="1">
        <v>2450</v>
      </c>
      <c r="S4108" t="s">
        <v>29</v>
      </c>
      <c r="T4108" s="1">
        <v>2450</v>
      </c>
      <c r="V4108" t="str">
        <f>VLOOKUP(H4108,'[1]팀별 출판사'!A:B,2,0)</f>
        <v>소설1팀</v>
      </c>
      <c r="W4108" s="6">
        <f t="shared" si="128"/>
        <v>0</v>
      </c>
      <c r="X4108" s="6">
        <f t="shared" si="129"/>
        <v>2450</v>
      </c>
    </row>
    <row r="4109" spans="1:24" x14ac:dyDescent="0.3">
      <c r="A4109" t="s">
        <v>5723</v>
      </c>
      <c r="B4109" t="s">
        <v>5739</v>
      </c>
      <c r="C4109" t="s">
        <v>23</v>
      </c>
      <c r="D4109" t="s">
        <v>24</v>
      </c>
      <c r="E4109" t="s">
        <v>25</v>
      </c>
      <c r="F4109">
        <v>1</v>
      </c>
      <c r="G4109">
        <v>9791133127733</v>
      </c>
      <c r="H4109" t="s">
        <v>32</v>
      </c>
      <c r="I4109" t="s">
        <v>5742</v>
      </c>
      <c r="J4109" t="s">
        <v>160</v>
      </c>
      <c r="K4109" t="s">
        <v>29</v>
      </c>
      <c r="L4109" s="1">
        <v>3500</v>
      </c>
      <c r="M4109" t="s">
        <v>29</v>
      </c>
      <c r="N4109" s="1">
        <v>3500</v>
      </c>
      <c r="O4109" s="1">
        <v>3500</v>
      </c>
      <c r="P4109" t="s">
        <v>30</v>
      </c>
      <c r="Q4109" s="2">
        <v>0.7</v>
      </c>
      <c r="R4109" s="1">
        <v>2450</v>
      </c>
      <c r="S4109" t="s">
        <v>29</v>
      </c>
      <c r="T4109" s="1">
        <v>2450</v>
      </c>
      <c r="V4109" t="str">
        <f>VLOOKUP(H4109,'[1]팀별 출판사'!A:B,2,0)</f>
        <v>소설1팀</v>
      </c>
      <c r="W4109" s="6">
        <f t="shared" si="128"/>
        <v>0</v>
      </c>
      <c r="X4109" s="6">
        <f t="shared" si="129"/>
        <v>2450</v>
      </c>
    </row>
    <row r="4110" spans="1:24" x14ac:dyDescent="0.3">
      <c r="A4110" t="s">
        <v>5723</v>
      </c>
      <c r="B4110" t="s">
        <v>5739</v>
      </c>
      <c r="C4110" t="s">
        <v>23</v>
      </c>
      <c r="D4110" t="s">
        <v>24</v>
      </c>
      <c r="E4110" t="s">
        <v>25</v>
      </c>
      <c r="F4110">
        <v>1</v>
      </c>
      <c r="G4110">
        <v>9791133127726</v>
      </c>
      <c r="H4110" t="s">
        <v>32</v>
      </c>
      <c r="I4110" t="s">
        <v>5743</v>
      </c>
      <c r="J4110" t="s">
        <v>160</v>
      </c>
      <c r="K4110" t="s">
        <v>29</v>
      </c>
      <c r="L4110" s="1">
        <v>3500</v>
      </c>
      <c r="M4110" t="s">
        <v>29</v>
      </c>
      <c r="N4110" s="1">
        <v>3500</v>
      </c>
      <c r="O4110" s="1">
        <v>3500</v>
      </c>
      <c r="P4110" t="s">
        <v>30</v>
      </c>
      <c r="Q4110" s="2">
        <v>0.7</v>
      </c>
      <c r="R4110" s="1">
        <v>2450</v>
      </c>
      <c r="S4110" t="s">
        <v>29</v>
      </c>
      <c r="T4110" s="1">
        <v>2450</v>
      </c>
      <c r="V4110" t="str">
        <f>VLOOKUP(H4110,'[1]팀별 출판사'!A:B,2,0)</f>
        <v>소설1팀</v>
      </c>
      <c r="W4110" s="6">
        <f t="shared" si="128"/>
        <v>0</v>
      </c>
      <c r="X4110" s="6">
        <f t="shared" si="129"/>
        <v>2450</v>
      </c>
    </row>
    <row r="4111" spans="1:24" x14ac:dyDescent="0.3">
      <c r="A4111" t="s">
        <v>5723</v>
      </c>
      <c r="B4111" t="s">
        <v>5744</v>
      </c>
      <c r="C4111" t="s">
        <v>23</v>
      </c>
      <c r="D4111" t="s">
        <v>24</v>
      </c>
      <c r="E4111" t="s">
        <v>25</v>
      </c>
      <c r="F4111">
        <v>1</v>
      </c>
      <c r="G4111">
        <v>9791136905758</v>
      </c>
      <c r="H4111" t="s">
        <v>26</v>
      </c>
      <c r="I4111" t="s">
        <v>1889</v>
      </c>
      <c r="J4111" t="s">
        <v>459</v>
      </c>
      <c r="K4111" t="s">
        <v>29</v>
      </c>
      <c r="L4111">
        <v>0</v>
      </c>
      <c r="M4111" t="s">
        <v>29</v>
      </c>
      <c r="N4111">
        <v>0</v>
      </c>
      <c r="O4111">
        <v>0</v>
      </c>
      <c r="P4111" t="s">
        <v>30</v>
      </c>
      <c r="Q4111" s="2">
        <v>0.7</v>
      </c>
      <c r="R4111">
        <v>0</v>
      </c>
      <c r="V4111" t="str">
        <f>VLOOKUP(H4111,'[1]팀별 출판사'!A:B,2,0)</f>
        <v>소설1팀</v>
      </c>
      <c r="W4111" s="6">
        <f t="shared" si="128"/>
        <v>0</v>
      </c>
      <c r="X4111" s="6">
        <f t="shared" si="129"/>
        <v>0</v>
      </c>
    </row>
    <row r="4112" spans="1:24" x14ac:dyDescent="0.3">
      <c r="A4112" t="s">
        <v>5723</v>
      </c>
      <c r="B4112" t="s">
        <v>5745</v>
      </c>
      <c r="C4112" t="s">
        <v>23</v>
      </c>
      <c r="D4112" t="s">
        <v>24</v>
      </c>
      <c r="E4112" t="s">
        <v>25</v>
      </c>
      <c r="F4112">
        <v>1</v>
      </c>
      <c r="G4112">
        <v>9791136930361</v>
      </c>
      <c r="H4112" t="s">
        <v>32</v>
      </c>
      <c r="I4112" t="s">
        <v>33</v>
      </c>
      <c r="J4112" t="s">
        <v>34</v>
      </c>
      <c r="K4112" t="s">
        <v>29</v>
      </c>
      <c r="L4112">
        <v>0</v>
      </c>
      <c r="M4112" t="s">
        <v>47</v>
      </c>
      <c r="N4112">
        <v>0</v>
      </c>
      <c r="O4112">
        <v>0</v>
      </c>
      <c r="P4112" t="s">
        <v>48</v>
      </c>
      <c r="Q4112" s="2">
        <v>0.7</v>
      </c>
      <c r="R4112">
        <v>0</v>
      </c>
      <c r="V4112" t="str">
        <f>VLOOKUP(H4112,'[1]팀별 출판사'!A:B,2,0)</f>
        <v>소설1팀</v>
      </c>
      <c r="W4112" s="6">
        <f t="shared" si="128"/>
        <v>0</v>
      </c>
      <c r="X4112" s="6">
        <f t="shared" si="129"/>
        <v>0</v>
      </c>
    </row>
    <row r="4113" spans="1:24" x14ac:dyDescent="0.3">
      <c r="A4113" t="s">
        <v>5723</v>
      </c>
      <c r="B4113" t="s">
        <v>5746</v>
      </c>
      <c r="C4113" t="s">
        <v>23</v>
      </c>
      <c r="D4113" t="s">
        <v>24</v>
      </c>
      <c r="E4113" t="s">
        <v>25</v>
      </c>
      <c r="F4113">
        <v>1</v>
      </c>
      <c r="G4113">
        <v>9791136931382</v>
      </c>
      <c r="H4113" t="s">
        <v>32</v>
      </c>
      <c r="I4113" t="s">
        <v>523</v>
      </c>
      <c r="J4113" t="s">
        <v>46</v>
      </c>
      <c r="K4113" t="s">
        <v>29</v>
      </c>
      <c r="L4113">
        <v>0</v>
      </c>
      <c r="M4113" t="s">
        <v>47</v>
      </c>
      <c r="N4113">
        <v>0</v>
      </c>
      <c r="O4113">
        <v>0</v>
      </c>
      <c r="P4113" t="s">
        <v>48</v>
      </c>
      <c r="Q4113" s="2">
        <v>0.7</v>
      </c>
      <c r="R4113">
        <v>0</v>
      </c>
      <c r="V4113" t="str">
        <f>VLOOKUP(H4113,'[1]팀별 출판사'!A:B,2,0)</f>
        <v>소설1팀</v>
      </c>
      <c r="W4113" s="6">
        <f t="shared" si="128"/>
        <v>0</v>
      </c>
      <c r="X4113" s="6">
        <f t="shared" si="129"/>
        <v>0</v>
      </c>
    </row>
    <row r="4114" spans="1:24" x14ac:dyDescent="0.3">
      <c r="A4114" t="s">
        <v>5723</v>
      </c>
      <c r="B4114" t="s">
        <v>5747</v>
      </c>
      <c r="C4114" t="s">
        <v>23</v>
      </c>
      <c r="D4114" t="s">
        <v>24</v>
      </c>
      <c r="E4114" t="s">
        <v>25</v>
      </c>
      <c r="F4114">
        <v>1</v>
      </c>
      <c r="G4114">
        <v>9791136930286</v>
      </c>
      <c r="H4114" t="s">
        <v>32</v>
      </c>
      <c r="I4114" t="s">
        <v>818</v>
      </c>
      <c r="J4114" t="s">
        <v>157</v>
      </c>
      <c r="K4114" t="s">
        <v>29</v>
      </c>
      <c r="L4114">
        <v>0</v>
      </c>
      <c r="M4114" t="s">
        <v>29</v>
      </c>
      <c r="N4114">
        <v>0</v>
      </c>
      <c r="O4114">
        <v>0</v>
      </c>
      <c r="P4114" t="s">
        <v>30</v>
      </c>
      <c r="Q4114" s="2">
        <v>0.7</v>
      </c>
      <c r="R4114">
        <v>0</v>
      </c>
      <c r="V4114" t="str">
        <f>VLOOKUP(H4114,'[1]팀별 출판사'!A:B,2,0)</f>
        <v>소설1팀</v>
      </c>
      <c r="W4114" s="6">
        <f t="shared" si="128"/>
        <v>0</v>
      </c>
      <c r="X4114" s="6">
        <f t="shared" si="129"/>
        <v>0</v>
      </c>
    </row>
    <row r="4115" spans="1:24" x14ac:dyDescent="0.3">
      <c r="A4115" t="s">
        <v>5723</v>
      </c>
      <c r="B4115" t="s">
        <v>5748</v>
      </c>
      <c r="C4115" t="s">
        <v>23</v>
      </c>
      <c r="D4115" t="s">
        <v>24</v>
      </c>
      <c r="E4115" t="s">
        <v>25</v>
      </c>
      <c r="F4115">
        <v>1</v>
      </c>
      <c r="G4115">
        <v>9791136930750</v>
      </c>
      <c r="H4115" t="s">
        <v>32</v>
      </c>
      <c r="I4115" t="s">
        <v>656</v>
      </c>
      <c r="J4115" t="s">
        <v>157</v>
      </c>
      <c r="K4115" t="s">
        <v>29</v>
      </c>
      <c r="L4115">
        <v>0</v>
      </c>
      <c r="M4115" t="s">
        <v>29</v>
      </c>
      <c r="N4115">
        <v>0</v>
      </c>
      <c r="O4115">
        <v>0</v>
      </c>
      <c r="P4115" t="s">
        <v>30</v>
      </c>
      <c r="Q4115" s="2">
        <v>0.7</v>
      </c>
      <c r="R4115">
        <v>0</v>
      </c>
      <c r="V4115" t="str">
        <f>VLOOKUP(H4115,'[1]팀별 출판사'!A:B,2,0)</f>
        <v>소설1팀</v>
      </c>
      <c r="W4115" s="6">
        <f t="shared" si="128"/>
        <v>0</v>
      </c>
      <c r="X4115" s="6">
        <f t="shared" si="129"/>
        <v>0</v>
      </c>
    </row>
    <row r="4116" spans="1:24" x14ac:dyDescent="0.3">
      <c r="A4116" t="s">
        <v>5723</v>
      </c>
      <c r="B4116" t="s">
        <v>5749</v>
      </c>
      <c r="C4116" t="s">
        <v>23</v>
      </c>
      <c r="D4116" t="s">
        <v>24</v>
      </c>
      <c r="E4116" t="s">
        <v>25</v>
      </c>
      <c r="F4116">
        <v>1</v>
      </c>
      <c r="G4116">
        <v>9791194664369</v>
      </c>
      <c r="H4116" t="s">
        <v>79</v>
      </c>
      <c r="I4116" t="s">
        <v>156</v>
      </c>
      <c r="J4116" t="s">
        <v>157</v>
      </c>
      <c r="K4116" t="s">
        <v>29</v>
      </c>
      <c r="L4116">
        <v>0</v>
      </c>
      <c r="M4116" t="s">
        <v>29</v>
      </c>
      <c r="N4116">
        <v>0</v>
      </c>
      <c r="O4116">
        <v>0</v>
      </c>
      <c r="P4116" t="s">
        <v>30</v>
      </c>
      <c r="Q4116" s="2">
        <v>0.7</v>
      </c>
      <c r="R4116">
        <v>0</v>
      </c>
      <c r="V4116" t="str">
        <f>VLOOKUP(H4116,'[1]팀별 출판사'!A:B,2,0)</f>
        <v>소설1팀</v>
      </c>
      <c r="W4116" s="6">
        <f t="shared" si="128"/>
        <v>0</v>
      </c>
      <c r="X4116" s="6">
        <f t="shared" si="129"/>
        <v>0</v>
      </c>
    </row>
    <row r="4117" spans="1:24" x14ac:dyDescent="0.3">
      <c r="A4117" t="s">
        <v>5723</v>
      </c>
      <c r="B4117" t="s">
        <v>5750</v>
      </c>
      <c r="C4117" t="s">
        <v>23</v>
      </c>
      <c r="D4117" t="s">
        <v>24</v>
      </c>
      <c r="E4117" t="s">
        <v>25</v>
      </c>
      <c r="F4117">
        <v>1</v>
      </c>
      <c r="G4117">
        <v>9791170106715</v>
      </c>
      <c r="H4117" t="s">
        <v>67</v>
      </c>
      <c r="I4117" t="s">
        <v>68</v>
      </c>
      <c r="J4117" t="s">
        <v>69</v>
      </c>
      <c r="K4117" t="s">
        <v>29</v>
      </c>
      <c r="L4117">
        <v>0</v>
      </c>
      <c r="M4117" t="s">
        <v>1482</v>
      </c>
      <c r="N4117">
        <v>0</v>
      </c>
      <c r="O4117">
        <v>0</v>
      </c>
      <c r="P4117" t="s">
        <v>1483</v>
      </c>
      <c r="Q4117" s="2">
        <v>0.7</v>
      </c>
      <c r="R4117">
        <v>0</v>
      </c>
      <c r="V4117" t="str">
        <f>VLOOKUP(H4117,'[1]팀별 출판사'!A:B,2,0)</f>
        <v>소설1팀</v>
      </c>
      <c r="W4117" s="6">
        <f t="shared" si="128"/>
        <v>0</v>
      </c>
      <c r="X4117" s="6">
        <f t="shared" si="129"/>
        <v>0</v>
      </c>
    </row>
    <row r="4118" spans="1:24" x14ac:dyDescent="0.3">
      <c r="A4118" t="s">
        <v>5723</v>
      </c>
      <c r="B4118" t="s">
        <v>5751</v>
      </c>
      <c r="C4118" t="s">
        <v>23</v>
      </c>
      <c r="D4118" t="s">
        <v>24</v>
      </c>
      <c r="E4118" t="s">
        <v>25</v>
      </c>
      <c r="F4118">
        <v>1</v>
      </c>
      <c r="G4118">
        <v>9791170103158</v>
      </c>
      <c r="H4118" t="s">
        <v>67</v>
      </c>
      <c r="I4118" t="s">
        <v>1750</v>
      </c>
      <c r="J4118" t="s">
        <v>1200</v>
      </c>
      <c r="K4118" t="s">
        <v>29</v>
      </c>
      <c r="L4118">
        <v>0</v>
      </c>
      <c r="M4118" t="s">
        <v>29</v>
      </c>
      <c r="N4118">
        <v>0</v>
      </c>
      <c r="O4118">
        <v>0</v>
      </c>
      <c r="P4118" t="s">
        <v>30</v>
      </c>
      <c r="Q4118" s="2">
        <v>0.7</v>
      </c>
      <c r="R4118">
        <v>0</v>
      </c>
      <c r="V4118" t="str">
        <f>VLOOKUP(H4118,'[1]팀별 출판사'!A:B,2,0)</f>
        <v>소설1팀</v>
      </c>
      <c r="W4118" s="6">
        <f t="shared" si="128"/>
        <v>0</v>
      </c>
      <c r="X4118" s="6">
        <f t="shared" si="129"/>
        <v>0</v>
      </c>
    </row>
    <row r="4119" spans="1:24" x14ac:dyDescent="0.3">
      <c r="A4119" t="s">
        <v>5723</v>
      </c>
      <c r="B4119" t="s">
        <v>5752</v>
      </c>
      <c r="C4119" t="s">
        <v>23</v>
      </c>
      <c r="D4119" t="s">
        <v>24</v>
      </c>
      <c r="E4119" t="s">
        <v>25</v>
      </c>
      <c r="F4119">
        <v>1</v>
      </c>
      <c r="G4119">
        <v>9791170100911</v>
      </c>
      <c r="H4119" t="s">
        <v>67</v>
      </c>
      <c r="I4119" t="s">
        <v>5635</v>
      </c>
      <c r="J4119" t="s">
        <v>5636</v>
      </c>
      <c r="K4119" t="s">
        <v>29</v>
      </c>
      <c r="L4119">
        <v>0</v>
      </c>
      <c r="M4119" t="s">
        <v>29</v>
      </c>
      <c r="N4119">
        <v>0</v>
      </c>
      <c r="O4119">
        <v>0</v>
      </c>
      <c r="P4119" t="s">
        <v>30</v>
      </c>
      <c r="Q4119" s="2">
        <v>0.7</v>
      </c>
      <c r="R4119">
        <v>0</v>
      </c>
      <c r="V4119" t="str">
        <f>VLOOKUP(H4119,'[1]팀별 출판사'!A:B,2,0)</f>
        <v>소설1팀</v>
      </c>
      <c r="W4119" s="6">
        <f t="shared" si="128"/>
        <v>0</v>
      </c>
      <c r="X4119" s="6">
        <f t="shared" si="129"/>
        <v>0</v>
      </c>
    </row>
    <row r="4120" spans="1:24" x14ac:dyDescent="0.3">
      <c r="A4120" t="s">
        <v>5723</v>
      </c>
      <c r="B4120" t="s">
        <v>5753</v>
      </c>
      <c r="C4120" t="s">
        <v>23</v>
      </c>
      <c r="D4120" t="s">
        <v>24</v>
      </c>
      <c r="E4120" t="s">
        <v>25</v>
      </c>
      <c r="F4120">
        <v>1</v>
      </c>
      <c r="G4120">
        <v>9791170104599</v>
      </c>
      <c r="H4120" t="s">
        <v>67</v>
      </c>
      <c r="I4120" t="s">
        <v>1562</v>
      </c>
      <c r="J4120" t="s">
        <v>241</v>
      </c>
      <c r="K4120" t="s">
        <v>29</v>
      </c>
      <c r="L4120">
        <v>0</v>
      </c>
      <c r="M4120" t="s">
        <v>29</v>
      </c>
      <c r="N4120">
        <v>0</v>
      </c>
      <c r="O4120">
        <v>0</v>
      </c>
      <c r="P4120" t="s">
        <v>30</v>
      </c>
      <c r="Q4120" s="2">
        <v>0.7</v>
      </c>
      <c r="R4120">
        <v>0</v>
      </c>
      <c r="V4120" t="str">
        <f>VLOOKUP(H4120,'[1]팀별 출판사'!A:B,2,0)</f>
        <v>소설1팀</v>
      </c>
      <c r="W4120" s="6">
        <f t="shared" si="128"/>
        <v>0</v>
      </c>
      <c r="X4120" s="6">
        <f t="shared" si="129"/>
        <v>0</v>
      </c>
    </row>
    <row r="4121" spans="1:24" x14ac:dyDescent="0.3">
      <c r="A4121" t="s">
        <v>5723</v>
      </c>
      <c r="B4121" t="s">
        <v>5754</v>
      </c>
      <c r="C4121" t="s">
        <v>23</v>
      </c>
      <c r="D4121" t="s">
        <v>24</v>
      </c>
      <c r="E4121" t="s">
        <v>25</v>
      </c>
      <c r="F4121">
        <v>1</v>
      </c>
      <c r="G4121">
        <v>9791170100973</v>
      </c>
      <c r="H4121" t="s">
        <v>67</v>
      </c>
      <c r="I4121" t="s">
        <v>2589</v>
      </c>
      <c r="J4121" t="s">
        <v>424</v>
      </c>
      <c r="K4121" t="s">
        <v>29</v>
      </c>
      <c r="L4121">
        <v>0</v>
      </c>
      <c r="M4121" t="s">
        <v>29</v>
      </c>
      <c r="N4121">
        <v>0</v>
      </c>
      <c r="O4121">
        <v>0</v>
      </c>
      <c r="P4121" t="s">
        <v>30</v>
      </c>
      <c r="Q4121" s="2">
        <v>0.7</v>
      </c>
      <c r="R4121">
        <v>0</v>
      </c>
      <c r="V4121" t="str">
        <f>VLOOKUP(H4121,'[1]팀별 출판사'!A:B,2,0)</f>
        <v>소설1팀</v>
      </c>
      <c r="W4121" s="6">
        <f t="shared" si="128"/>
        <v>0</v>
      </c>
      <c r="X4121" s="6">
        <f t="shared" si="129"/>
        <v>0</v>
      </c>
    </row>
    <row r="4122" spans="1:24" x14ac:dyDescent="0.3">
      <c r="A4122" t="s">
        <v>5723</v>
      </c>
      <c r="B4122" t="s">
        <v>5755</v>
      </c>
      <c r="C4122" t="s">
        <v>23</v>
      </c>
      <c r="D4122" t="s">
        <v>24</v>
      </c>
      <c r="E4122" t="s">
        <v>25</v>
      </c>
      <c r="F4122">
        <v>1</v>
      </c>
      <c r="G4122">
        <v>9791170100379</v>
      </c>
      <c r="H4122" t="s">
        <v>67</v>
      </c>
      <c r="I4122" t="s">
        <v>1006</v>
      </c>
      <c r="J4122" t="s">
        <v>1007</v>
      </c>
      <c r="K4122" t="s">
        <v>29</v>
      </c>
      <c r="L4122">
        <v>0</v>
      </c>
      <c r="M4122" t="s">
        <v>29</v>
      </c>
      <c r="N4122">
        <v>0</v>
      </c>
      <c r="O4122">
        <v>0</v>
      </c>
      <c r="P4122" t="s">
        <v>30</v>
      </c>
      <c r="Q4122" s="2">
        <v>0.7</v>
      </c>
      <c r="R4122">
        <v>0</v>
      </c>
      <c r="V4122" t="str">
        <f>VLOOKUP(H4122,'[1]팀별 출판사'!A:B,2,0)</f>
        <v>소설1팀</v>
      </c>
      <c r="W4122" s="6">
        <f t="shared" si="128"/>
        <v>0</v>
      </c>
      <c r="X4122" s="6">
        <f t="shared" si="129"/>
        <v>0</v>
      </c>
    </row>
    <row r="4123" spans="1:24" x14ac:dyDescent="0.3">
      <c r="A4123" t="s">
        <v>5723</v>
      </c>
      <c r="B4123" t="s">
        <v>5756</v>
      </c>
      <c r="C4123" t="s">
        <v>23</v>
      </c>
      <c r="D4123" t="s">
        <v>24</v>
      </c>
      <c r="E4123" t="s">
        <v>25</v>
      </c>
      <c r="F4123">
        <v>1</v>
      </c>
      <c r="G4123">
        <v>9791170100089</v>
      </c>
      <c r="H4123" t="s">
        <v>67</v>
      </c>
      <c r="I4123" t="s">
        <v>1742</v>
      </c>
      <c r="J4123" t="s">
        <v>347</v>
      </c>
      <c r="K4123" t="s">
        <v>29</v>
      </c>
      <c r="L4123">
        <v>0</v>
      </c>
      <c r="M4123" t="s">
        <v>29</v>
      </c>
      <c r="N4123">
        <v>0</v>
      </c>
      <c r="O4123">
        <v>0</v>
      </c>
      <c r="P4123" t="s">
        <v>30</v>
      </c>
      <c r="Q4123" s="2">
        <v>0.7</v>
      </c>
      <c r="R4123">
        <v>0</v>
      </c>
      <c r="V4123" t="str">
        <f>VLOOKUP(H4123,'[1]팀별 출판사'!A:B,2,0)</f>
        <v>소설1팀</v>
      </c>
      <c r="W4123" s="6">
        <f t="shared" si="128"/>
        <v>0</v>
      </c>
      <c r="X4123" s="6">
        <f t="shared" si="129"/>
        <v>0</v>
      </c>
    </row>
    <row r="4124" spans="1:24" x14ac:dyDescent="0.3">
      <c r="A4124" t="s">
        <v>5723</v>
      </c>
      <c r="B4124" t="s">
        <v>5757</v>
      </c>
      <c r="C4124" t="s">
        <v>23</v>
      </c>
      <c r="D4124" t="s">
        <v>24</v>
      </c>
      <c r="E4124" t="s">
        <v>25</v>
      </c>
      <c r="F4124">
        <v>1</v>
      </c>
      <c r="G4124">
        <v>9791170101079</v>
      </c>
      <c r="H4124" t="s">
        <v>67</v>
      </c>
      <c r="I4124" t="s">
        <v>3579</v>
      </c>
      <c r="J4124" t="s">
        <v>3580</v>
      </c>
      <c r="K4124" t="s">
        <v>29</v>
      </c>
      <c r="L4124">
        <v>0</v>
      </c>
      <c r="M4124" t="s">
        <v>29</v>
      </c>
      <c r="N4124">
        <v>0</v>
      </c>
      <c r="O4124">
        <v>0</v>
      </c>
      <c r="P4124" t="s">
        <v>30</v>
      </c>
      <c r="Q4124" s="2">
        <v>0.7</v>
      </c>
      <c r="R4124">
        <v>0</v>
      </c>
      <c r="V4124" t="str">
        <f>VLOOKUP(H4124,'[1]팀별 출판사'!A:B,2,0)</f>
        <v>소설1팀</v>
      </c>
      <c r="W4124" s="6">
        <f t="shared" si="128"/>
        <v>0</v>
      </c>
      <c r="X4124" s="6">
        <f t="shared" si="129"/>
        <v>0</v>
      </c>
    </row>
    <row r="4125" spans="1:24" x14ac:dyDescent="0.3">
      <c r="A4125" t="s">
        <v>5723</v>
      </c>
      <c r="B4125" t="s">
        <v>5758</v>
      </c>
      <c r="C4125" t="s">
        <v>23</v>
      </c>
      <c r="D4125" t="s">
        <v>24</v>
      </c>
      <c r="E4125" t="s">
        <v>25</v>
      </c>
      <c r="F4125">
        <v>1</v>
      </c>
      <c r="G4125" t="s">
        <v>245</v>
      </c>
      <c r="H4125" t="s">
        <v>32</v>
      </c>
      <c r="I4125" t="s">
        <v>246</v>
      </c>
      <c r="J4125" t="s">
        <v>166</v>
      </c>
      <c r="K4125" t="s">
        <v>29</v>
      </c>
      <c r="L4125">
        <v>0</v>
      </c>
      <c r="M4125" t="s">
        <v>29</v>
      </c>
      <c r="N4125">
        <v>0</v>
      </c>
      <c r="O4125">
        <v>0</v>
      </c>
      <c r="P4125" t="s">
        <v>30</v>
      </c>
      <c r="Q4125" s="2">
        <v>0.7</v>
      </c>
      <c r="R4125">
        <v>0</v>
      </c>
      <c r="V4125" t="str">
        <f>VLOOKUP(H4125,'[1]팀별 출판사'!A:B,2,0)</f>
        <v>소설1팀</v>
      </c>
      <c r="W4125" s="6">
        <f t="shared" si="128"/>
        <v>0</v>
      </c>
      <c r="X4125" s="6">
        <f t="shared" si="129"/>
        <v>0</v>
      </c>
    </row>
    <row r="4126" spans="1:24" x14ac:dyDescent="0.3">
      <c r="A4126" t="s">
        <v>5723</v>
      </c>
      <c r="B4126" t="s">
        <v>5759</v>
      </c>
      <c r="C4126" t="s">
        <v>23</v>
      </c>
      <c r="D4126" t="s">
        <v>24</v>
      </c>
      <c r="E4126" t="s">
        <v>25</v>
      </c>
      <c r="F4126">
        <v>1</v>
      </c>
      <c r="G4126">
        <v>9791172927844</v>
      </c>
      <c r="H4126" t="s">
        <v>79</v>
      </c>
      <c r="I4126" t="s">
        <v>1168</v>
      </c>
      <c r="J4126" t="s">
        <v>81</v>
      </c>
      <c r="K4126" t="s">
        <v>29</v>
      </c>
      <c r="L4126">
        <v>0</v>
      </c>
      <c r="M4126" t="s">
        <v>29</v>
      </c>
      <c r="N4126">
        <v>0</v>
      </c>
      <c r="O4126">
        <v>0</v>
      </c>
      <c r="P4126" t="s">
        <v>30</v>
      </c>
      <c r="Q4126" s="2">
        <v>0.7</v>
      </c>
      <c r="R4126">
        <v>0</v>
      </c>
      <c r="V4126" t="str">
        <f>VLOOKUP(H4126,'[1]팀별 출판사'!A:B,2,0)</f>
        <v>소설1팀</v>
      </c>
      <c r="W4126" s="6">
        <f t="shared" si="128"/>
        <v>0</v>
      </c>
      <c r="X4126" s="6">
        <f t="shared" si="129"/>
        <v>0</v>
      </c>
    </row>
    <row r="4127" spans="1:24" x14ac:dyDescent="0.3">
      <c r="A4127" t="s">
        <v>5723</v>
      </c>
      <c r="B4127" t="s">
        <v>5760</v>
      </c>
      <c r="C4127" t="s">
        <v>23</v>
      </c>
      <c r="D4127" t="s">
        <v>24</v>
      </c>
      <c r="E4127" t="s">
        <v>25</v>
      </c>
      <c r="F4127">
        <v>1</v>
      </c>
      <c r="G4127">
        <v>9791133177042</v>
      </c>
      <c r="H4127" t="s">
        <v>32</v>
      </c>
      <c r="I4127" t="s">
        <v>3240</v>
      </c>
      <c r="J4127" t="s">
        <v>43</v>
      </c>
      <c r="K4127" t="s">
        <v>29</v>
      </c>
      <c r="L4127">
        <v>0</v>
      </c>
      <c r="M4127" t="s">
        <v>29</v>
      </c>
      <c r="N4127">
        <v>0</v>
      </c>
      <c r="O4127">
        <v>0</v>
      </c>
      <c r="P4127" t="s">
        <v>30</v>
      </c>
      <c r="Q4127" s="2">
        <v>0.7</v>
      </c>
      <c r="R4127">
        <v>0</v>
      </c>
      <c r="V4127" t="str">
        <f>VLOOKUP(H4127,'[1]팀별 출판사'!A:B,2,0)</f>
        <v>소설1팀</v>
      </c>
      <c r="W4127" s="6">
        <f t="shared" si="128"/>
        <v>0</v>
      </c>
      <c r="X4127" s="6">
        <f t="shared" si="129"/>
        <v>0</v>
      </c>
    </row>
    <row r="4128" spans="1:24" x14ac:dyDescent="0.3">
      <c r="A4128" t="s">
        <v>5723</v>
      </c>
      <c r="B4128" t="s">
        <v>5761</v>
      </c>
      <c r="C4128" t="s">
        <v>23</v>
      </c>
      <c r="D4128" t="s">
        <v>24</v>
      </c>
      <c r="E4128" t="s">
        <v>25</v>
      </c>
      <c r="F4128">
        <v>1</v>
      </c>
      <c r="G4128">
        <v>9791157532629</v>
      </c>
      <c r="H4128" t="s">
        <v>32</v>
      </c>
      <c r="I4128" t="s">
        <v>1170</v>
      </c>
      <c r="J4128" t="s">
        <v>187</v>
      </c>
      <c r="K4128" t="s">
        <v>29</v>
      </c>
      <c r="L4128">
        <v>0</v>
      </c>
      <c r="M4128" t="s">
        <v>29</v>
      </c>
      <c r="N4128">
        <v>0</v>
      </c>
      <c r="O4128">
        <v>0</v>
      </c>
      <c r="P4128" t="s">
        <v>30</v>
      </c>
      <c r="Q4128" s="2">
        <v>0.7</v>
      </c>
      <c r="R4128">
        <v>0</v>
      </c>
      <c r="V4128" t="str">
        <f>VLOOKUP(H4128,'[1]팀별 출판사'!A:B,2,0)</f>
        <v>소설1팀</v>
      </c>
      <c r="W4128" s="6">
        <f t="shared" si="128"/>
        <v>0</v>
      </c>
      <c r="X4128" s="6">
        <f t="shared" si="129"/>
        <v>0</v>
      </c>
    </row>
    <row r="4129" spans="1:24" x14ac:dyDescent="0.3">
      <c r="A4129" t="s">
        <v>5723</v>
      </c>
      <c r="B4129" t="s">
        <v>5762</v>
      </c>
      <c r="C4129" t="s">
        <v>23</v>
      </c>
      <c r="D4129" t="s">
        <v>24</v>
      </c>
      <c r="E4129" t="s">
        <v>25</v>
      </c>
      <c r="F4129">
        <v>1</v>
      </c>
      <c r="G4129" t="s">
        <v>3840</v>
      </c>
      <c r="H4129" t="s">
        <v>32</v>
      </c>
      <c r="I4129" t="s">
        <v>3841</v>
      </c>
      <c r="J4129" t="s">
        <v>220</v>
      </c>
      <c r="K4129" t="s">
        <v>29</v>
      </c>
      <c r="L4129">
        <v>0</v>
      </c>
      <c r="M4129" t="s">
        <v>29</v>
      </c>
      <c r="N4129">
        <v>0</v>
      </c>
      <c r="O4129">
        <v>0</v>
      </c>
      <c r="P4129" t="s">
        <v>30</v>
      </c>
      <c r="Q4129" s="2">
        <v>0.7</v>
      </c>
      <c r="R4129">
        <v>0</v>
      </c>
      <c r="V4129" t="str">
        <f>VLOOKUP(H4129,'[1]팀별 출판사'!A:B,2,0)</f>
        <v>소설1팀</v>
      </c>
      <c r="W4129" s="6">
        <f t="shared" si="128"/>
        <v>0</v>
      </c>
      <c r="X4129" s="6">
        <f t="shared" si="129"/>
        <v>0</v>
      </c>
    </row>
    <row r="4130" spans="1:24" x14ac:dyDescent="0.3">
      <c r="A4130" t="s">
        <v>5723</v>
      </c>
      <c r="B4130" t="s">
        <v>5763</v>
      </c>
      <c r="C4130" t="s">
        <v>23</v>
      </c>
      <c r="D4130" t="s">
        <v>24</v>
      </c>
      <c r="E4130" t="s">
        <v>25</v>
      </c>
      <c r="F4130">
        <v>1</v>
      </c>
      <c r="G4130">
        <v>9791136935540</v>
      </c>
      <c r="H4130" t="s">
        <v>32</v>
      </c>
      <c r="I4130" t="s">
        <v>1251</v>
      </c>
      <c r="J4130" t="s">
        <v>1252</v>
      </c>
      <c r="K4130" t="s">
        <v>29</v>
      </c>
      <c r="L4130">
        <v>0</v>
      </c>
      <c r="M4130" t="s">
        <v>29</v>
      </c>
      <c r="N4130">
        <v>0</v>
      </c>
      <c r="O4130">
        <v>0</v>
      </c>
      <c r="P4130" t="s">
        <v>30</v>
      </c>
      <c r="Q4130" s="2">
        <v>0.7</v>
      </c>
      <c r="R4130">
        <v>0</v>
      </c>
      <c r="V4130" t="str">
        <f>VLOOKUP(H4130,'[1]팀별 출판사'!A:B,2,0)</f>
        <v>소설1팀</v>
      </c>
      <c r="W4130" s="6">
        <f t="shared" si="128"/>
        <v>0</v>
      </c>
      <c r="X4130" s="6">
        <f t="shared" si="129"/>
        <v>0</v>
      </c>
    </row>
    <row r="4131" spans="1:24" x14ac:dyDescent="0.3">
      <c r="A4131" t="s">
        <v>5723</v>
      </c>
      <c r="B4131" t="s">
        <v>5764</v>
      </c>
      <c r="C4131" t="s">
        <v>23</v>
      </c>
      <c r="D4131" t="s">
        <v>24</v>
      </c>
      <c r="E4131" t="s">
        <v>25</v>
      </c>
      <c r="F4131">
        <v>1</v>
      </c>
      <c r="G4131" t="s">
        <v>3768</v>
      </c>
      <c r="H4131" t="s">
        <v>208</v>
      </c>
      <c r="I4131" t="s">
        <v>3769</v>
      </c>
      <c r="J4131" t="s">
        <v>210</v>
      </c>
      <c r="K4131" t="s">
        <v>29</v>
      </c>
      <c r="L4131" s="1">
        <v>2000</v>
      </c>
      <c r="M4131" t="s">
        <v>29</v>
      </c>
      <c r="N4131" s="1">
        <v>2000</v>
      </c>
      <c r="O4131" s="1">
        <v>2000</v>
      </c>
      <c r="P4131" t="s">
        <v>30</v>
      </c>
      <c r="Q4131" s="2">
        <v>0.7</v>
      </c>
      <c r="R4131" s="1">
        <v>1400</v>
      </c>
      <c r="S4131" t="s">
        <v>29</v>
      </c>
      <c r="T4131" s="1">
        <v>1400</v>
      </c>
      <c r="V4131" t="str">
        <f>VLOOKUP(H4131,'[1]팀별 출판사'!A:B,2,0)</f>
        <v>소설1팀</v>
      </c>
      <c r="W4131" s="6">
        <f t="shared" si="128"/>
        <v>0</v>
      </c>
      <c r="X4131" s="6">
        <f t="shared" si="129"/>
        <v>1400</v>
      </c>
    </row>
    <row r="4132" spans="1:24" x14ac:dyDescent="0.3">
      <c r="A4132" t="s">
        <v>5723</v>
      </c>
      <c r="B4132" t="s">
        <v>5765</v>
      </c>
      <c r="C4132" t="s">
        <v>23</v>
      </c>
      <c r="D4132" t="s">
        <v>24</v>
      </c>
      <c r="E4132" t="s">
        <v>25</v>
      </c>
      <c r="F4132">
        <v>1</v>
      </c>
      <c r="G4132">
        <v>9791157533428</v>
      </c>
      <c r="H4132" t="s">
        <v>32</v>
      </c>
      <c r="I4132" t="s">
        <v>5766</v>
      </c>
      <c r="J4132" t="s">
        <v>187</v>
      </c>
      <c r="K4132" t="s">
        <v>29</v>
      </c>
      <c r="L4132" s="1">
        <v>3200</v>
      </c>
      <c r="M4132" t="s">
        <v>29</v>
      </c>
      <c r="N4132" s="1">
        <v>3200</v>
      </c>
      <c r="O4132" s="1">
        <v>3200</v>
      </c>
      <c r="P4132" t="s">
        <v>30</v>
      </c>
      <c r="Q4132" s="2">
        <v>0.7</v>
      </c>
      <c r="R4132" s="1">
        <v>2240</v>
      </c>
      <c r="S4132" t="s">
        <v>29</v>
      </c>
      <c r="T4132" s="1">
        <v>2240</v>
      </c>
      <c r="V4132" t="str">
        <f>VLOOKUP(H4132,'[1]팀별 출판사'!A:B,2,0)</f>
        <v>소설1팀</v>
      </c>
      <c r="W4132" s="6">
        <f t="shared" si="128"/>
        <v>0</v>
      </c>
      <c r="X4132" s="6">
        <f t="shared" si="129"/>
        <v>2240</v>
      </c>
    </row>
    <row r="4133" spans="1:24" x14ac:dyDescent="0.3">
      <c r="A4133" t="s">
        <v>5723</v>
      </c>
      <c r="B4133" t="s">
        <v>5767</v>
      </c>
      <c r="C4133" t="s">
        <v>23</v>
      </c>
      <c r="D4133" t="s">
        <v>24</v>
      </c>
      <c r="E4133" t="s">
        <v>25</v>
      </c>
      <c r="F4133">
        <v>1</v>
      </c>
      <c r="G4133" t="s">
        <v>638</v>
      </c>
      <c r="H4133" t="s">
        <v>32</v>
      </c>
      <c r="I4133" t="s">
        <v>639</v>
      </c>
      <c r="J4133" t="s">
        <v>166</v>
      </c>
      <c r="K4133" t="s">
        <v>29</v>
      </c>
      <c r="L4133">
        <v>0</v>
      </c>
      <c r="M4133" t="s">
        <v>29</v>
      </c>
      <c r="N4133">
        <v>0</v>
      </c>
      <c r="O4133">
        <v>0</v>
      </c>
      <c r="P4133" t="s">
        <v>30</v>
      </c>
      <c r="Q4133" s="2">
        <v>0.7</v>
      </c>
      <c r="R4133">
        <v>0</v>
      </c>
      <c r="V4133" t="str">
        <f>VLOOKUP(H4133,'[1]팀별 출판사'!A:B,2,0)</f>
        <v>소설1팀</v>
      </c>
      <c r="W4133" s="6">
        <f t="shared" si="128"/>
        <v>0</v>
      </c>
      <c r="X4133" s="6">
        <f t="shared" si="129"/>
        <v>0</v>
      </c>
    </row>
    <row r="4134" spans="1:24" x14ac:dyDescent="0.3">
      <c r="A4134" t="s">
        <v>5723</v>
      </c>
      <c r="B4134" t="s">
        <v>5768</v>
      </c>
      <c r="C4134" t="s">
        <v>23</v>
      </c>
      <c r="D4134" t="s">
        <v>24</v>
      </c>
      <c r="E4134" t="s">
        <v>25</v>
      </c>
      <c r="F4134">
        <v>1</v>
      </c>
      <c r="G4134" t="s">
        <v>5769</v>
      </c>
      <c r="H4134" t="s">
        <v>32</v>
      </c>
      <c r="I4134" t="s">
        <v>5770</v>
      </c>
      <c r="J4134" t="s">
        <v>166</v>
      </c>
      <c r="K4134" t="s">
        <v>29</v>
      </c>
      <c r="L4134">
        <v>0</v>
      </c>
      <c r="M4134" t="s">
        <v>29</v>
      </c>
      <c r="N4134">
        <v>0</v>
      </c>
      <c r="O4134">
        <v>0</v>
      </c>
      <c r="P4134" t="s">
        <v>30</v>
      </c>
      <c r="Q4134" s="2">
        <v>0.7</v>
      </c>
      <c r="R4134">
        <v>0</v>
      </c>
      <c r="V4134" t="str">
        <f>VLOOKUP(H4134,'[1]팀별 출판사'!A:B,2,0)</f>
        <v>소설1팀</v>
      </c>
      <c r="W4134" s="6">
        <f t="shared" si="128"/>
        <v>0</v>
      </c>
      <c r="X4134" s="6">
        <f t="shared" si="129"/>
        <v>0</v>
      </c>
    </row>
    <row r="4135" spans="1:24" x14ac:dyDescent="0.3">
      <c r="A4135" t="s">
        <v>5723</v>
      </c>
      <c r="B4135" t="s">
        <v>5771</v>
      </c>
      <c r="C4135" t="s">
        <v>23</v>
      </c>
      <c r="D4135" t="s">
        <v>24</v>
      </c>
      <c r="E4135" t="s">
        <v>25</v>
      </c>
      <c r="F4135">
        <v>1</v>
      </c>
      <c r="G4135">
        <v>9791136928528</v>
      </c>
      <c r="H4135" t="s">
        <v>26</v>
      </c>
      <c r="I4135" t="s">
        <v>5772</v>
      </c>
      <c r="J4135" t="s">
        <v>1348</v>
      </c>
      <c r="K4135" t="s">
        <v>29</v>
      </c>
      <c r="L4135" s="1">
        <v>3200</v>
      </c>
      <c r="M4135" t="s">
        <v>29</v>
      </c>
      <c r="N4135" s="1">
        <v>3200</v>
      </c>
      <c r="O4135" s="1">
        <v>3200</v>
      </c>
      <c r="P4135" t="s">
        <v>30</v>
      </c>
      <c r="Q4135" s="2">
        <v>0.7</v>
      </c>
      <c r="R4135" s="1">
        <v>2240</v>
      </c>
      <c r="S4135" t="s">
        <v>29</v>
      </c>
      <c r="T4135" s="1">
        <v>2240</v>
      </c>
      <c r="V4135" t="str">
        <f>VLOOKUP(H4135,'[1]팀별 출판사'!A:B,2,0)</f>
        <v>소설1팀</v>
      </c>
      <c r="W4135" s="6">
        <f t="shared" si="128"/>
        <v>0</v>
      </c>
      <c r="X4135" s="6">
        <f t="shared" si="129"/>
        <v>2240</v>
      </c>
    </row>
    <row r="4136" spans="1:24" x14ac:dyDescent="0.3">
      <c r="A4136" t="s">
        <v>5723</v>
      </c>
      <c r="B4136" t="s">
        <v>5773</v>
      </c>
      <c r="C4136" t="s">
        <v>23</v>
      </c>
      <c r="D4136" t="s">
        <v>24</v>
      </c>
      <c r="E4136" t="s">
        <v>25</v>
      </c>
      <c r="F4136">
        <v>1</v>
      </c>
      <c r="G4136" t="s">
        <v>981</v>
      </c>
      <c r="H4136" t="s">
        <v>32</v>
      </c>
      <c r="I4136" t="s">
        <v>982</v>
      </c>
      <c r="J4136" t="s">
        <v>166</v>
      </c>
      <c r="K4136" t="s">
        <v>29</v>
      </c>
      <c r="L4136">
        <v>0</v>
      </c>
      <c r="M4136" t="s">
        <v>29</v>
      </c>
      <c r="N4136">
        <v>0</v>
      </c>
      <c r="O4136">
        <v>0</v>
      </c>
      <c r="P4136" t="s">
        <v>30</v>
      </c>
      <c r="Q4136" s="2">
        <v>0.7</v>
      </c>
      <c r="R4136">
        <v>0</v>
      </c>
      <c r="V4136" t="str">
        <f>VLOOKUP(H4136,'[1]팀별 출판사'!A:B,2,0)</f>
        <v>소설1팀</v>
      </c>
      <c r="W4136" s="6">
        <f t="shared" si="128"/>
        <v>0</v>
      </c>
      <c r="X4136" s="6">
        <f t="shared" si="129"/>
        <v>0</v>
      </c>
    </row>
    <row r="4137" spans="1:24" x14ac:dyDescent="0.3">
      <c r="A4137" t="s">
        <v>5723</v>
      </c>
      <c r="B4137" t="s">
        <v>5774</v>
      </c>
      <c r="C4137" t="s">
        <v>23</v>
      </c>
      <c r="D4137" t="s">
        <v>24</v>
      </c>
      <c r="E4137" t="s">
        <v>25</v>
      </c>
      <c r="F4137">
        <v>1</v>
      </c>
      <c r="G4137">
        <v>9791173783647</v>
      </c>
      <c r="H4137" t="s">
        <v>1617</v>
      </c>
      <c r="I4137" t="s">
        <v>3588</v>
      </c>
      <c r="J4137" t="s">
        <v>3589</v>
      </c>
      <c r="K4137" t="s">
        <v>29</v>
      </c>
      <c r="L4137" s="1">
        <v>3600</v>
      </c>
      <c r="M4137" t="s">
        <v>948</v>
      </c>
      <c r="N4137">
        <v>4.1100000000000003</v>
      </c>
      <c r="O4137">
        <v>3.74</v>
      </c>
      <c r="P4137" t="s">
        <v>949</v>
      </c>
      <c r="Q4137" s="2">
        <v>0.7</v>
      </c>
      <c r="R4137">
        <v>2.62</v>
      </c>
      <c r="S4137" t="s">
        <v>29</v>
      </c>
      <c r="T4137" s="1">
        <v>2685</v>
      </c>
      <c r="U4137" s="3">
        <v>1024.8932400000001</v>
      </c>
      <c r="V4137" t="str">
        <f>VLOOKUP(H4137,'[1]팀별 출판사'!A:B,2,0)</f>
        <v>소설2팀</v>
      </c>
      <c r="W4137" s="6">
        <f t="shared" si="128"/>
        <v>0</v>
      </c>
      <c r="X4137" s="6">
        <f t="shared" si="129"/>
        <v>2685</v>
      </c>
    </row>
    <row r="4138" spans="1:24" x14ac:dyDescent="0.3">
      <c r="A4138" t="s">
        <v>5723</v>
      </c>
      <c r="B4138" t="s">
        <v>5774</v>
      </c>
      <c r="C4138" t="s">
        <v>23</v>
      </c>
      <c r="D4138" t="s">
        <v>24</v>
      </c>
      <c r="E4138" t="s">
        <v>25</v>
      </c>
      <c r="F4138">
        <v>1</v>
      </c>
      <c r="G4138">
        <v>9791173783654</v>
      </c>
      <c r="H4138" t="s">
        <v>1617</v>
      </c>
      <c r="I4138" t="s">
        <v>5775</v>
      </c>
      <c r="J4138" t="s">
        <v>3589</v>
      </c>
      <c r="K4138" t="s">
        <v>29</v>
      </c>
      <c r="L4138" s="1">
        <v>3600</v>
      </c>
      <c r="M4138" t="s">
        <v>948</v>
      </c>
      <c r="N4138">
        <v>4.1100000000000003</v>
      </c>
      <c r="O4138">
        <v>3.74</v>
      </c>
      <c r="P4138" t="s">
        <v>949</v>
      </c>
      <c r="Q4138" s="2">
        <v>0.7</v>
      </c>
      <c r="R4138">
        <v>2.62</v>
      </c>
      <c r="S4138" t="s">
        <v>29</v>
      </c>
      <c r="T4138" s="1">
        <v>2685</v>
      </c>
      <c r="U4138" s="3">
        <v>1024.8932400000001</v>
      </c>
      <c r="V4138" t="str">
        <f>VLOOKUP(H4138,'[1]팀별 출판사'!A:B,2,0)</f>
        <v>소설2팀</v>
      </c>
      <c r="W4138" s="6">
        <f t="shared" si="128"/>
        <v>0</v>
      </c>
      <c r="X4138" s="6">
        <f t="shared" si="129"/>
        <v>2685</v>
      </c>
    </row>
    <row r="4139" spans="1:24" x14ac:dyDescent="0.3">
      <c r="A4139" t="s">
        <v>5723</v>
      </c>
      <c r="B4139" t="s">
        <v>5776</v>
      </c>
      <c r="C4139" t="s">
        <v>23</v>
      </c>
      <c r="D4139" t="s">
        <v>24</v>
      </c>
      <c r="E4139" t="s">
        <v>25</v>
      </c>
      <c r="F4139">
        <v>1</v>
      </c>
      <c r="G4139">
        <v>9791136911049</v>
      </c>
      <c r="H4139" t="s">
        <v>32</v>
      </c>
      <c r="I4139" t="s">
        <v>5777</v>
      </c>
      <c r="J4139" t="s">
        <v>160</v>
      </c>
      <c r="K4139" t="s">
        <v>29</v>
      </c>
      <c r="L4139" s="1">
        <v>3200</v>
      </c>
      <c r="M4139" t="s">
        <v>29</v>
      </c>
      <c r="N4139" s="1">
        <v>3200</v>
      </c>
      <c r="O4139" s="1">
        <v>3200</v>
      </c>
      <c r="P4139" t="s">
        <v>30</v>
      </c>
      <c r="Q4139" s="2">
        <v>0.7</v>
      </c>
      <c r="R4139" s="1">
        <v>2240</v>
      </c>
      <c r="S4139" t="s">
        <v>29</v>
      </c>
      <c r="T4139" s="1">
        <v>2240</v>
      </c>
      <c r="V4139" t="str">
        <f>VLOOKUP(H4139,'[1]팀별 출판사'!A:B,2,0)</f>
        <v>소설1팀</v>
      </c>
      <c r="W4139" s="6">
        <f t="shared" si="128"/>
        <v>0</v>
      </c>
      <c r="X4139" s="6">
        <f t="shared" si="129"/>
        <v>2240</v>
      </c>
    </row>
    <row r="4140" spans="1:24" x14ac:dyDescent="0.3">
      <c r="A4140" t="s">
        <v>5723</v>
      </c>
      <c r="B4140" t="s">
        <v>5778</v>
      </c>
      <c r="C4140" t="s">
        <v>23</v>
      </c>
      <c r="D4140" t="s">
        <v>24</v>
      </c>
      <c r="E4140" t="s">
        <v>25</v>
      </c>
      <c r="F4140">
        <v>1</v>
      </c>
      <c r="G4140">
        <v>9791136930811</v>
      </c>
      <c r="H4140" t="s">
        <v>32</v>
      </c>
      <c r="I4140" t="s">
        <v>1011</v>
      </c>
      <c r="J4140" t="s">
        <v>34</v>
      </c>
      <c r="K4140" t="s">
        <v>29</v>
      </c>
      <c r="L4140">
        <v>0</v>
      </c>
      <c r="M4140" t="s">
        <v>47</v>
      </c>
      <c r="N4140">
        <v>0</v>
      </c>
      <c r="O4140">
        <v>0</v>
      </c>
      <c r="P4140" t="s">
        <v>48</v>
      </c>
      <c r="Q4140" s="2">
        <v>0.7</v>
      </c>
      <c r="R4140">
        <v>0</v>
      </c>
      <c r="V4140" t="str">
        <f>VLOOKUP(H4140,'[1]팀별 출판사'!A:B,2,0)</f>
        <v>소설1팀</v>
      </c>
      <c r="W4140" s="6">
        <f t="shared" si="128"/>
        <v>0</v>
      </c>
      <c r="X4140" s="6">
        <f t="shared" si="129"/>
        <v>0</v>
      </c>
    </row>
    <row r="4141" spans="1:24" x14ac:dyDescent="0.3">
      <c r="A4141" t="s">
        <v>5723</v>
      </c>
      <c r="B4141" t="s">
        <v>5779</v>
      </c>
      <c r="C4141" t="s">
        <v>23</v>
      </c>
      <c r="D4141" t="s">
        <v>24</v>
      </c>
      <c r="E4141" t="s">
        <v>25</v>
      </c>
      <c r="F4141">
        <v>1</v>
      </c>
      <c r="G4141">
        <v>9791133186501</v>
      </c>
      <c r="H4141" t="s">
        <v>26</v>
      </c>
      <c r="I4141" t="s">
        <v>64</v>
      </c>
      <c r="J4141" t="s">
        <v>65</v>
      </c>
      <c r="K4141" t="s">
        <v>29</v>
      </c>
      <c r="L4141">
        <v>0</v>
      </c>
      <c r="M4141" t="s">
        <v>29</v>
      </c>
      <c r="N4141">
        <v>0</v>
      </c>
      <c r="O4141">
        <v>0</v>
      </c>
      <c r="P4141" t="s">
        <v>30</v>
      </c>
      <c r="Q4141" s="2">
        <v>0.7</v>
      </c>
      <c r="R4141">
        <v>0</v>
      </c>
      <c r="V4141" t="str">
        <f>VLOOKUP(H4141,'[1]팀별 출판사'!A:B,2,0)</f>
        <v>소설1팀</v>
      </c>
      <c r="W4141" s="6">
        <f t="shared" si="128"/>
        <v>0</v>
      </c>
      <c r="X4141" s="6">
        <f t="shared" si="129"/>
        <v>0</v>
      </c>
    </row>
    <row r="4142" spans="1:24" x14ac:dyDescent="0.3">
      <c r="A4142" t="s">
        <v>5723</v>
      </c>
      <c r="B4142" t="s">
        <v>5780</v>
      </c>
      <c r="C4142" t="s">
        <v>23</v>
      </c>
      <c r="D4142" t="s">
        <v>24</v>
      </c>
      <c r="E4142" t="s">
        <v>25</v>
      </c>
      <c r="F4142">
        <v>1</v>
      </c>
      <c r="G4142">
        <v>9791133180066</v>
      </c>
      <c r="H4142" t="s">
        <v>26</v>
      </c>
      <c r="I4142" t="s">
        <v>320</v>
      </c>
      <c r="J4142" t="s">
        <v>321</v>
      </c>
      <c r="K4142" t="s">
        <v>29</v>
      </c>
      <c r="L4142">
        <v>0</v>
      </c>
      <c r="M4142" t="s">
        <v>47</v>
      </c>
      <c r="N4142">
        <v>0</v>
      </c>
      <c r="O4142">
        <v>0</v>
      </c>
      <c r="P4142" t="s">
        <v>48</v>
      </c>
      <c r="Q4142" s="2">
        <v>0.7</v>
      </c>
      <c r="R4142">
        <v>0</v>
      </c>
      <c r="V4142" t="str">
        <f>VLOOKUP(H4142,'[1]팀별 출판사'!A:B,2,0)</f>
        <v>소설1팀</v>
      </c>
      <c r="W4142" s="6">
        <f t="shared" si="128"/>
        <v>0</v>
      </c>
      <c r="X4142" s="6">
        <f t="shared" si="129"/>
        <v>0</v>
      </c>
    </row>
    <row r="4143" spans="1:24" x14ac:dyDescent="0.3">
      <c r="A4143" t="s">
        <v>5723</v>
      </c>
      <c r="B4143" t="s">
        <v>5781</v>
      </c>
      <c r="C4143" t="s">
        <v>23</v>
      </c>
      <c r="D4143" t="s">
        <v>24</v>
      </c>
      <c r="E4143" t="s">
        <v>25</v>
      </c>
      <c r="F4143">
        <v>1</v>
      </c>
      <c r="G4143">
        <v>9791136931405</v>
      </c>
      <c r="H4143" t="s">
        <v>32</v>
      </c>
      <c r="I4143" t="s">
        <v>631</v>
      </c>
      <c r="J4143" t="s">
        <v>46</v>
      </c>
      <c r="K4143" t="s">
        <v>29</v>
      </c>
      <c r="L4143">
        <v>0</v>
      </c>
      <c r="M4143" t="s">
        <v>29</v>
      </c>
      <c r="N4143">
        <v>0</v>
      </c>
      <c r="O4143">
        <v>0</v>
      </c>
      <c r="P4143" t="s">
        <v>30</v>
      </c>
      <c r="Q4143" s="2">
        <v>0.7</v>
      </c>
      <c r="R4143">
        <v>0</v>
      </c>
      <c r="V4143" t="str">
        <f>VLOOKUP(H4143,'[1]팀별 출판사'!A:B,2,0)</f>
        <v>소설1팀</v>
      </c>
      <c r="W4143" s="6">
        <f t="shared" si="128"/>
        <v>0</v>
      </c>
      <c r="X4143" s="6">
        <f t="shared" si="129"/>
        <v>0</v>
      </c>
    </row>
    <row r="4144" spans="1:24" x14ac:dyDescent="0.3">
      <c r="A4144" t="s">
        <v>5723</v>
      </c>
      <c r="B4144" t="s">
        <v>5782</v>
      </c>
      <c r="C4144" t="s">
        <v>23</v>
      </c>
      <c r="D4144" t="s">
        <v>24</v>
      </c>
      <c r="E4144" t="s">
        <v>25</v>
      </c>
      <c r="F4144">
        <v>1</v>
      </c>
      <c r="G4144">
        <v>9791136945105</v>
      </c>
      <c r="H4144" t="s">
        <v>1617</v>
      </c>
      <c r="I4144" t="s">
        <v>5783</v>
      </c>
      <c r="J4144" t="s">
        <v>2624</v>
      </c>
      <c r="K4144" t="s">
        <v>29</v>
      </c>
      <c r="L4144" s="1">
        <v>6500</v>
      </c>
      <c r="M4144" t="s">
        <v>136</v>
      </c>
      <c r="N4144">
        <v>774</v>
      </c>
      <c r="O4144">
        <v>704</v>
      </c>
      <c r="P4144" t="s">
        <v>137</v>
      </c>
      <c r="Q4144" s="2">
        <v>0.7</v>
      </c>
      <c r="R4144">
        <v>493</v>
      </c>
      <c r="S4144" t="s">
        <v>29</v>
      </c>
      <c r="T4144" s="1">
        <v>4549</v>
      </c>
      <c r="U4144">
        <v>9.2273599999999991</v>
      </c>
      <c r="V4144" t="str">
        <f>VLOOKUP(H4144,'[1]팀별 출판사'!A:B,2,0)</f>
        <v>소설2팀</v>
      </c>
      <c r="W4144" s="6">
        <f t="shared" si="128"/>
        <v>0</v>
      </c>
      <c r="X4144" s="6">
        <f t="shared" si="129"/>
        <v>4549</v>
      </c>
    </row>
    <row r="4145" spans="1:24" x14ac:dyDescent="0.3">
      <c r="A4145" t="s">
        <v>5723</v>
      </c>
      <c r="B4145" t="s">
        <v>5784</v>
      </c>
      <c r="C4145" t="s">
        <v>23</v>
      </c>
      <c r="D4145" t="s">
        <v>24</v>
      </c>
      <c r="E4145" t="s">
        <v>25</v>
      </c>
      <c r="F4145">
        <v>1</v>
      </c>
      <c r="G4145">
        <v>9791170106715</v>
      </c>
      <c r="H4145" t="s">
        <v>67</v>
      </c>
      <c r="I4145" t="s">
        <v>68</v>
      </c>
      <c r="J4145" t="s">
        <v>69</v>
      </c>
      <c r="K4145" t="s">
        <v>29</v>
      </c>
      <c r="L4145">
        <v>0</v>
      </c>
      <c r="M4145" t="s">
        <v>70</v>
      </c>
      <c r="N4145">
        <v>0</v>
      </c>
      <c r="O4145">
        <v>0</v>
      </c>
      <c r="P4145" t="s">
        <v>426</v>
      </c>
      <c r="Q4145" s="2">
        <v>0.7</v>
      </c>
      <c r="R4145">
        <v>0</v>
      </c>
      <c r="V4145" t="str">
        <f>VLOOKUP(H4145,'[1]팀별 출판사'!A:B,2,0)</f>
        <v>소설1팀</v>
      </c>
      <c r="W4145" s="6">
        <f t="shared" si="128"/>
        <v>0</v>
      </c>
      <c r="X4145" s="6">
        <f t="shared" si="129"/>
        <v>0</v>
      </c>
    </row>
    <row r="4146" spans="1:24" x14ac:dyDescent="0.3">
      <c r="A4146" t="s">
        <v>5723</v>
      </c>
      <c r="B4146" t="s">
        <v>5785</v>
      </c>
      <c r="C4146" t="s">
        <v>23</v>
      </c>
      <c r="D4146" t="s">
        <v>24</v>
      </c>
      <c r="E4146" t="s">
        <v>25</v>
      </c>
      <c r="F4146">
        <v>1</v>
      </c>
      <c r="G4146">
        <v>9791172925833</v>
      </c>
      <c r="H4146" t="s">
        <v>26</v>
      </c>
      <c r="I4146" t="s">
        <v>5786</v>
      </c>
      <c r="J4146" t="s">
        <v>937</v>
      </c>
      <c r="K4146" t="s">
        <v>29</v>
      </c>
      <c r="L4146" s="1">
        <v>3200</v>
      </c>
      <c r="M4146" t="s">
        <v>29</v>
      </c>
      <c r="N4146" s="1">
        <v>3200</v>
      </c>
      <c r="O4146" s="1">
        <v>3200</v>
      </c>
      <c r="P4146" t="s">
        <v>30</v>
      </c>
      <c r="Q4146" s="2">
        <v>0.7</v>
      </c>
      <c r="R4146" s="1">
        <v>2240</v>
      </c>
      <c r="S4146" t="s">
        <v>29</v>
      </c>
      <c r="T4146" s="1">
        <v>2240</v>
      </c>
      <c r="V4146" t="str">
        <f>VLOOKUP(H4146,'[1]팀별 출판사'!A:B,2,0)</f>
        <v>소설1팀</v>
      </c>
      <c r="W4146" s="6">
        <f t="shared" si="128"/>
        <v>0</v>
      </c>
      <c r="X4146" s="6">
        <f t="shared" si="129"/>
        <v>2240</v>
      </c>
    </row>
    <row r="4147" spans="1:24" x14ac:dyDescent="0.3">
      <c r="A4147" t="s">
        <v>5723</v>
      </c>
      <c r="B4147" t="s">
        <v>5787</v>
      </c>
      <c r="C4147" t="s">
        <v>23</v>
      </c>
      <c r="D4147" t="s">
        <v>24</v>
      </c>
      <c r="E4147" t="s">
        <v>25</v>
      </c>
      <c r="F4147">
        <v>1</v>
      </c>
      <c r="G4147">
        <v>9791133190157</v>
      </c>
      <c r="H4147" t="s">
        <v>26</v>
      </c>
      <c r="I4147" t="s">
        <v>5788</v>
      </c>
      <c r="J4147" t="s">
        <v>1096</v>
      </c>
      <c r="K4147" t="s">
        <v>29</v>
      </c>
      <c r="L4147" s="1">
        <v>3200</v>
      </c>
      <c r="M4147" t="s">
        <v>29</v>
      </c>
      <c r="N4147" s="1">
        <v>3200</v>
      </c>
      <c r="O4147" s="1">
        <v>3200</v>
      </c>
      <c r="P4147" t="s">
        <v>30</v>
      </c>
      <c r="Q4147" s="2">
        <v>0.7</v>
      </c>
      <c r="R4147" s="1">
        <v>2240</v>
      </c>
      <c r="S4147" t="s">
        <v>29</v>
      </c>
      <c r="T4147" s="1">
        <v>2240</v>
      </c>
      <c r="V4147" t="str">
        <f>VLOOKUP(H4147,'[1]팀별 출판사'!A:B,2,0)</f>
        <v>소설1팀</v>
      </c>
      <c r="W4147" s="6">
        <f t="shared" si="128"/>
        <v>0</v>
      </c>
      <c r="X4147" s="6">
        <f t="shared" si="129"/>
        <v>2240</v>
      </c>
    </row>
    <row r="4148" spans="1:24" x14ac:dyDescent="0.3">
      <c r="A4148" t="s">
        <v>5723</v>
      </c>
      <c r="B4148" t="s">
        <v>5789</v>
      </c>
      <c r="C4148" t="s">
        <v>23</v>
      </c>
      <c r="D4148" t="s">
        <v>24</v>
      </c>
      <c r="E4148" t="s">
        <v>25</v>
      </c>
      <c r="F4148">
        <v>1</v>
      </c>
      <c r="G4148">
        <v>9791136930552</v>
      </c>
      <c r="H4148" t="s">
        <v>26</v>
      </c>
      <c r="I4148" t="s">
        <v>45</v>
      </c>
      <c r="J4148" t="s">
        <v>46</v>
      </c>
      <c r="K4148" t="s">
        <v>29</v>
      </c>
      <c r="L4148">
        <v>0</v>
      </c>
      <c r="M4148" t="s">
        <v>29</v>
      </c>
      <c r="N4148">
        <v>0</v>
      </c>
      <c r="O4148">
        <v>0</v>
      </c>
      <c r="P4148" t="s">
        <v>30</v>
      </c>
      <c r="Q4148" s="2">
        <v>0.7</v>
      </c>
      <c r="R4148">
        <v>0</v>
      </c>
      <c r="V4148" t="str">
        <f>VLOOKUP(H4148,'[1]팀별 출판사'!A:B,2,0)</f>
        <v>소설1팀</v>
      </c>
      <c r="W4148" s="6">
        <f t="shared" si="128"/>
        <v>0</v>
      </c>
      <c r="X4148" s="6">
        <f t="shared" si="129"/>
        <v>0</v>
      </c>
    </row>
    <row r="4149" spans="1:24" x14ac:dyDescent="0.3">
      <c r="A4149" t="s">
        <v>5723</v>
      </c>
      <c r="B4149" t="s">
        <v>5790</v>
      </c>
      <c r="C4149" t="s">
        <v>23</v>
      </c>
      <c r="D4149" t="s">
        <v>24</v>
      </c>
      <c r="E4149" t="s">
        <v>25</v>
      </c>
      <c r="F4149">
        <v>1</v>
      </c>
      <c r="G4149">
        <v>9791136930491</v>
      </c>
      <c r="H4149" t="s">
        <v>26</v>
      </c>
      <c r="I4149" t="s">
        <v>151</v>
      </c>
      <c r="J4149" t="s">
        <v>46</v>
      </c>
      <c r="K4149" t="s">
        <v>29</v>
      </c>
      <c r="L4149">
        <v>0</v>
      </c>
      <c r="M4149" t="s">
        <v>29</v>
      </c>
      <c r="N4149">
        <v>0</v>
      </c>
      <c r="O4149">
        <v>0</v>
      </c>
      <c r="P4149" t="s">
        <v>30</v>
      </c>
      <c r="Q4149" s="2">
        <v>0.7</v>
      </c>
      <c r="R4149">
        <v>0</v>
      </c>
      <c r="V4149" t="str">
        <f>VLOOKUP(H4149,'[1]팀별 출판사'!A:B,2,0)</f>
        <v>소설1팀</v>
      </c>
      <c r="W4149" s="6">
        <f t="shared" si="128"/>
        <v>0</v>
      </c>
      <c r="X4149" s="6">
        <f t="shared" si="129"/>
        <v>0</v>
      </c>
    </row>
    <row r="4150" spans="1:24" x14ac:dyDescent="0.3">
      <c r="A4150" t="s">
        <v>5723</v>
      </c>
      <c r="B4150" t="s">
        <v>5791</v>
      </c>
      <c r="C4150" t="s">
        <v>23</v>
      </c>
      <c r="D4150" t="s">
        <v>24</v>
      </c>
      <c r="E4150" t="s">
        <v>25</v>
      </c>
      <c r="F4150">
        <v>1</v>
      </c>
      <c r="G4150">
        <v>9791170101307</v>
      </c>
      <c r="H4150" t="s">
        <v>67</v>
      </c>
      <c r="I4150" t="s">
        <v>413</v>
      </c>
      <c r="J4150" t="s">
        <v>414</v>
      </c>
      <c r="K4150" t="s">
        <v>29</v>
      </c>
      <c r="L4150">
        <v>0</v>
      </c>
      <c r="M4150" t="s">
        <v>29</v>
      </c>
      <c r="N4150">
        <v>0</v>
      </c>
      <c r="O4150">
        <v>0</v>
      </c>
      <c r="P4150" t="s">
        <v>30</v>
      </c>
      <c r="Q4150" s="2">
        <v>0.7</v>
      </c>
      <c r="R4150">
        <v>0</v>
      </c>
      <c r="V4150" t="str">
        <f>VLOOKUP(H4150,'[1]팀별 출판사'!A:B,2,0)</f>
        <v>소설1팀</v>
      </c>
      <c r="W4150" s="6">
        <f t="shared" si="128"/>
        <v>0</v>
      </c>
      <c r="X4150" s="6">
        <f t="shared" si="129"/>
        <v>0</v>
      </c>
    </row>
    <row r="4151" spans="1:24" x14ac:dyDescent="0.3">
      <c r="A4151" t="s">
        <v>5723</v>
      </c>
      <c r="B4151" t="s">
        <v>5792</v>
      </c>
      <c r="C4151" t="s">
        <v>23</v>
      </c>
      <c r="D4151" t="s">
        <v>24</v>
      </c>
      <c r="E4151" t="s">
        <v>25</v>
      </c>
      <c r="F4151">
        <v>1</v>
      </c>
      <c r="G4151">
        <v>9791136911063</v>
      </c>
      <c r="H4151" t="s">
        <v>32</v>
      </c>
      <c r="I4151" t="s">
        <v>3553</v>
      </c>
      <c r="J4151" t="s">
        <v>160</v>
      </c>
      <c r="K4151" t="s">
        <v>29</v>
      </c>
      <c r="L4151" s="1">
        <v>3200</v>
      </c>
      <c r="M4151" t="s">
        <v>29</v>
      </c>
      <c r="N4151" s="1">
        <v>3200</v>
      </c>
      <c r="O4151" s="1">
        <v>3200</v>
      </c>
      <c r="P4151" t="s">
        <v>30</v>
      </c>
      <c r="Q4151" s="2">
        <v>0.7</v>
      </c>
      <c r="R4151" s="1">
        <v>2240</v>
      </c>
      <c r="S4151" t="s">
        <v>29</v>
      </c>
      <c r="T4151" s="1">
        <v>2240</v>
      </c>
      <c r="V4151" t="str">
        <f>VLOOKUP(H4151,'[1]팀별 출판사'!A:B,2,0)</f>
        <v>소설1팀</v>
      </c>
      <c r="W4151" s="6">
        <f t="shared" si="128"/>
        <v>0</v>
      </c>
      <c r="X4151" s="6">
        <f t="shared" si="129"/>
        <v>2240</v>
      </c>
    </row>
    <row r="4152" spans="1:24" x14ac:dyDescent="0.3">
      <c r="A4152" t="s">
        <v>5723</v>
      </c>
      <c r="B4152" t="s">
        <v>5793</v>
      </c>
      <c r="C4152" t="s">
        <v>23</v>
      </c>
      <c r="D4152" t="s">
        <v>24</v>
      </c>
      <c r="E4152" t="s">
        <v>25</v>
      </c>
      <c r="F4152">
        <v>1</v>
      </c>
      <c r="G4152">
        <v>9791136930286</v>
      </c>
      <c r="H4152" t="s">
        <v>32</v>
      </c>
      <c r="I4152" t="s">
        <v>818</v>
      </c>
      <c r="J4152" t="s">
        <v>157</v>
      </c>
      <c r="K4152" t="s">
        <v>29</v>
      </c>
      <c r="L4152">
        <v>0</v>
      </c>
      <c r="M4152" t="s">
        <v>29</v>
      </c>
      <c r="N4152">
        <v>0</v>
      </c>
      <c r="O4152">
        <v>0</v>
      </c>
      <c r="P4152" t="s">
        <v>30</v>
      </c>
      <c r="Q4152" s="2">
        <v>0.7</v>
      </c>
      <c r="R4152">
        <v>0</v>
      </c>
      <c r="V4152" t="str">
        <f>VLOOKUP(H4152,'[1]팀별 출판사'!A:B,2,0)</f>
        <v>소설1팀</v>
      </c>
      <c r="W4152" s="6">
        <f t="shared" si="128"/>
        <v>0</v>
      </c>
      <c r="X4152" s="6">
        <f t="shared" si="129"/>
        <v>0</v>
      </c>
    </row>
    <row r="4153" spans="1:24" x14ac:dyDescent="0.3">
      <c r="A4153" t="s">
        <v>5723</v>
      </c>
      <c r="B4153" t="s">
        <v>5794</v>
      </c>
      <c r="C4153" t="s">
        <v>23</v>
      </c>
      <c r="D4153" t="s">
        <v>24</v>
      </c>
      <c r="E4153" t="s">
        <v>25</v>
      </c>
      <c r="F4153">
        <v>1</v>
      </c>
      <c r="G4153">
        <v>9791172921033</v>
      </c>
      <c r="H4153" t="s">
        <v>79</v>
      </c>
      <c r="I4153" t="s">
        <v>738</v>
      </c>
      <c r="J4153" t="s">
        <v>46</v>
      </c>
      <c r="K4153" t="s">
        <v>29</v>
      </c>
      <c r="L4153">
        <v>0</v>
      </c>
      <c r="M4153" t="s">
        <v>29</v>
      </c>
      <c r="N4153">
        <v>0</v>
      </c>
      <c r="O4153">
        <v>0</v>
      </c>
      <c r="P4153" t="s">
        <v>30</v>
      </c>
      <c r="Q4153" s="2">
        <v>0.7</v>
      </c>
      <c r="R4153">
        <v>0</v>
      </c>
      <c r="V4153" t="str">
        <f>VLOOKUP(H4153,'[1]팀별 출판사'!A:B,2,0)</f>
        <v>소설1팀</v>
      </c>
      <c r="W4153" s="6">
        <f t="shared" si="128"/>
        <v>0</v>
      </c>
      <c r="X4153" s="6">
        <f t="shared" si="129"/>
        <v>0</v>
      </c>
    </row>
    <row r="4154" spans="1:24" x14ac:dyDescent="0.3">
      <c r="A4154" t="s">
        <v>5723</v>
      </c>
      <c r="B4154" t="s">
        <v>5795</v>
      </c>
      <c r="C4154" t="s">
        <v>23</v>
      </c>
      <c r="D4154" t="s">
        <v>24</v>
      </c>
      <c r="E4154" t="s">
        <v>25</v>
      </c>
      <c r="F4154">
        <v>1</v>
      </c>
      <c r="G4154">
        <v>9791157532414</v>
      </c>
      <c r="H4154" t="s">
        <v>32</v>
      </c>
      <c r="I4154" t="s">
        <v>5796</v>
      </c>
      <c r="J4154" t="s">
        <v>43</v>
      </c>
      <c r="K4154" t="s">
        <v>29</v>
      </c>
      <c r="L4154" s="1">
        <v>3200</v>
      </c>
      <c r="M4154" t="s">
        <v>29</v>
      </c>
      <c r="N4154" s="1">
        <v>3200</v>
      </c>
      <c r="O4154" s="1">
        <v>3200</v>
      </c>
      <c r="P4154" t="s">
        <v>30</v>
      </c>
      <c r="Q4154" s="2">
        <v>0.7</v>
      </c>
      <c r="R4154" s="1">
        <v>2240</v>
      </c>
      <c r="S4154" t="s">
        <v>29</v>
      </c>
      <c r="T4154" s="1">
        <v>2240</v>
      </c>
      <c r="V4154" t="str">
        <f>VLOOKUP(H4154,'[1]팀별 출판사'!A:B,2,0)</f>
        <v>소설1팀</v>
      </c>
      <c r="W4154" s="6">
        <f t="shared" si="128"/>
        <v>0</v>
      </c>
      <c r="X4154" s="6">
        <f t="shared" si="129"/>
        <v>2240</v>
      </c>
    </row>
    <row r="4155" spans="1:24" x14ac:dyDescent="0.3">
      <c r="A4155" t="s">
        <v>5723</v>
      </c>
      <c r="B4155" t="s">
        <v>5795</v>
      </c>
      <c r="C4155" t="s">
        <v>23</v>
      </c>
      <c r="D4155" t="s">
        <v>24</v>
      </c>
      <c r="E4155" t="s">
        <v>25</v>
      </c>
      <c r="F4155">
        <v>1</v>
      </c>
      <c r="G4155">
        <v>9791157532421</v>
      </c>
      <c r="H4155" t="s">
        <v>32</v>
      </c>
      <c r="I4155" t="s">
        <v>5797</v>
      </c>
      <c r="J4155" t="s">
        <v>43</v>
      </c>
      <c r="K4155" t="s">
        <v>29</v>
      </c>
      <c r="L4155" s="1">
        <v>3200</v>
      </c>
      <c r="M4155" t="s">
        <v>29</v>
      </c>
      <c r="N4155" s="1">
        <v>3200</v>
      </c>
      <c r="O4155" s="1">
        <v>3200</v>
      </c>
      <c r="P4155" t="s">
        <v>30</v>
      </c>
      <c r="Q4155" s="2">
        <v>0.7</v>
      </c>
      <c r="R4155" s="1">
        <v>2240</v>
      </c>
      <c r="S4155" t="s">
        <v>29</v>
      </c>
      <c r="T4155" s="1">
        <v>2240</v>
      </c>
      <c r="V4155" t="str">
        <f>VLOOKUP(H4155,'[1]팀별 출판사'!A:B,2,0)</f>
        <v>소설1팀</v>
      </c>
      <c r="W4155" s="6">
        <f t="shared" si="128"/>
        <v>0</v>
      </c>
      <c r="X4155" s="6">
        <f t="shared" si="129"/>
        <v>2240</v>
      </c>
    </row>
    <row r="4156" spans="1:24" x14ac:dyDescent="0.3">
      <c r="A4156" t="s">
        <v>5723</v>
      </c>
      <c r="B4156" t="s">
        <v>5795</v>
      </c>
      <c r="C4156" t="s">
        <v>23</v>
      </c>
      <c r="D4156" t="s">
        <v>24</v>
      </c>
      <c r="E4156" t="s">
        <v>25</v>
      </c>
      <c r="F4156">
        <v>1</v>
      </c>
      <c r="G4156">
        <v>9791157532438</v>
      </c>
      <c r="H4156" t="s">
        <v>32</v>
      </c>
      <c r="I4156" t="s">
        <v>5798</v>
      </c>
      <c r="J4156" t="s">
        <v>43</v>
      </c>
      <c r="K4156" t="s">
        <v>29</v>
      </c>
      <c r="L4156" s="1">
        <v>3200</v>
      </c>
      <c r="M4156" t="s">
        <v>29</v>
      </c>
      <c r="N4156" s="1">
        <v>3200</v>
      </c>
      <c r="O4156" s="1">
        <v>3200</v>
      </c>
      <c r="P4156" t="s">
        <v>30</v>
      </c>
      <c r="Q4156" s="2">
        <v>0.7</v>
      </c>
      <c r="R4156" s="1">
        <v>2240</v>
      </c>
      <c r="S4156" t="s">
        <v>29</v>
      </c>
      <c r="T4156" s="1">
        <v>2240</v>
      </c>
      <c r="V4156" t="str">
        <f>VLOOKUP(H4156,'[1]팀별 출판사'!A:B,2,0)</f>
        <v>소설1팀</v>
      </c>
      <c r="W4156" s="6">
        <f t="shared" si="128"/>
        <v>0</v>
      </c>
      <c r="X4156" s="6">
        <f t="shared" si="129"/>
        <v>2240</v>
      </c>
    </row>
    <row r="4157" spans="1:24" x14ac:dyDescent="0.3">
      <c r="A4157" t="s">
        <v>5723</v>
      </c>
      <c r="B4157" t="s">
        <v>5795</v>
      </c>
      <c r="C4157" t="s">
        <v>23</v>
      </c>
      <c r="D4157" t="s">
        <v>24</v>
      </c>
      <c r="E4157" t="s">
        <v>25</v>
      </c>
      <c r="F4157">
        <v>1</v>
      </c>
      <c r="G4157">
        <v>9791157532445</v>
      </c>
      <c r="H4157" t="s">
        <v>32</v>
      </c>
      <c r="I4157" t="s">
        <v>5799</v>
      </c>
      <c r="J4157" t="s">
        <v>43</v>
      </c>
      <c r="K4157" t="s">
        <v>29</v>
      </c>
      <c r="L4157" s="1">
        <v>3200</v>
      </c>
      <c r="M4157" t="s">
        <v>29</v>
      </c>
      <c r="N4157" s="1">
        <v>3200</v>
      </c>
      <c r="O4157" s="1">
        <v>3200</v>
      </c>
      <c r="P4157" t="s">
        <v>30</v>
      </c>
      <c r="Q4157" s="2">
        <v>0.7</v>
      </c>
      <c r="R4157" s="1">
        <v>2240</v>
      </c>
      <c r="S4157" t="s">
        <v>29</v>
      </c>
      <c r="T4157" s="1">
        <v>2240</v>
      </c>
      <c r="V4157" t="str">
        <f>VLOOKUP(H4157,'[1]팀별 출판사'!A:B,2,0)</f>
        <v>소설1팀</v>
      </c>
      <c r="W4157" s="6">
        <f t="shared" si="128"/>
        <v>0</v>
      </c>
      <c r="X4157" s="6">
        <f t="shared" si="129"/>
        <v>2240</v>
      </c>
    </row>
    <row r="4158" spans="1:24" x14ac:dyDescent="0.3">
      <c r="A4158" t="s">
        <v>5723</v>
      </c>
      <c r="B4158" t="s">
        <v>5795</v>
      </c>
      <c r="C4158" t="s">
        <v>23</v>
      </c>
      <c r="D4158" t="s">
        <v>24</v>
      </c>
      <c r="E4158" t="s">
        <v>25</v>
      </c>
      <c r="F4158">
        <v>1</v>
      </c>
      <c r="G4158">
        <v>9791157532452</v>
      </c>
      <c r="H4158" t="s">
        <v>32</v>
      </c>
      <c r="I4158" t="s">
        <v>5800</v>
      </c>
      <c r="J4158" t="s">
        <v>43</v>
      </c>
      <c r="K4158" t="s">
        <v>29</v>
      </c>
      <c r="L4158" s="1">
        <v>3200</v>
      </c>
      <c r="M4158" t="s">
        <v>29</v>
      </c>
      <c r="N4158" s="1">
        <v>3200</v>
      </c>
      <c r="O4158" s="1">
        <v>3200</v>
      </c>
      <c r="P4158" t="s">
        <v>30</v>
      </c>
      <c r="Q4158" s="2">
        <v>0.7</v>
      </c>
      <c r="R4158" s="1">
        <v>2240</v>
      </c>
      <c r="S4158" t="s">
        <v>29</v>
      </c>
      <c r="T4158" s="1">
        <v>2240</v>
      </c>
      <c r="V4158" t="str">
        <f>VLOOKUP(H4158,'[1]팀별 출판사'!A:B,2,0)</f>
        <v>소설1팀</v>
      </c>
      <c r="W4158" s="6">
        <f t="shared" si="128"/>
        <v>0</v>
      </c>
      <c r="X4158" s="6">
        <f t="shared" si="129"/>
        <v>2240</v>
      </c>
    </row>
    <row r="4159" spans="1:24" x14ac:dyDescent="0.3">
      <c r="A4159" t="s">
        <v>5723</v>
      </c>
      <c r="B4159" t="s">
        <v>5795</v>
      </c>
      <c r="C4159" t="s">
        <v>23</v>
      </c>
      <c r="D4159" t="s">
        <v>24</v>
      </c>
      <c r="E4159" t="s">
        <v>25</v>
      </c>
      <c r="F4159">
        <v>1</v>
      </c>
      <c r="G4159">
        <v>9791157532469</v>
      </c>
      <c r="H4159" t="s">
        <v>32</v>
      </c>
      <c r="I4159" t="s">
        <v>5801</v>
      </c>
      <c r="J4159" t="s">
        <v>43</v>
      </c>
      <c r="K4159" t="s">
        <v>29</v>
      </c>
      <c r="L4159" s="1">
        <v>3200</v>
      </c>
      <c r="M4159" t="s">
        <v>29</v>
      </c>
      <c r="N4159" s="1">
        <v>3200</v>
      </c>
      <c r="O4159" s="1">
        <v>3200</v>
      </c>
      <c r="P4159" t="s">
        <v>30</v>
      </c>
      <c r="Q4159" s="2">
        <v>0.7</v>
      </c>
      <c r="R4159" s="1">
        <v>2240</v>
      </c>
      <c r="S4159" t="s">
        <v>29</v>
      </c>
      <c r="T4159" s="1">
        <v>2240</v>
      </c>
      <c r="V4159" t="str">
        <f>VLOOKUP(H4159,'[1]팀별 출판사'!A:B,2,0)</f>
        <v>소설1팀</v>
      </c>
      <c r="W4159" s="6">
        <f t="shared" si="128"/>
        <v>0</v>
      </c>
      <c r="X4159" s="6">
        <f t="shared" si="129"/>
        <v>2240</v>
      </c>
    </row>
    <row r="4160" spans="1:24" x14ac:dyDescent="0.3">
      <c r="A4160" t="s">
        <v>5723</v>
      </c>
      <c r="B4160" t="s">
        <v>5795</v>
      </c>
      <c r="C4160" t="s">
        <v>23</v>
      </c>
      <c r="D4160" t="s">
        <v>24</v>
      </c>
      <c r="E4160" t="s">
        <v>25</v>
      </c>
      <c r="F4160">
        <v>1</v>
      </c>
      <c r="G4160">
        <v>9791157532476</v>
      </c>
      <c r="H4160" t="s">
        <v>32</v>
      </c>
      <c r="I4160" t="s">
        <v>5802</v>
      </c>
      <c r="J4160" t="s">
        <v>43</v>
      </c>
      <c r="K4160" t="s">
        <v>29</v>
      </c>
      <c r="L4160" s="1">
        <v>3200</v>
      </c>
      <c r="M4160" t="s">
        <v>29</v>
      </c>
      <c r="N4160" s="1">
        <v>3200</v>
      </c>
      <c r="O4160" s="1">
        <v>3200</v>
      </c>
      <c r="P4160" t="s">
        <v>30</v>
      </c>
      <c r="Q4160" s="2">
        <v>0.7</v>
      </c>
      <c r="R4160" s="1">
        <v>2240</v>
      </c>
      <c r="S4160" t="s">
        <v>29</v>
      </c>
      <c r="T4160" s="1">
        <v>2240</v>
      </c>
      <c r="V4160" t="str">
        <f>VLOOKUP(H4160,'[1]팀별 출판사'!A:B,2,0)</f>
        <v>소설1팀</v>
      </c>
      <c r="W4160" s="6">
        <f t="shared" si="128"/>
        <v>0</v>
      </c>
      <c r="X4160" s="6">
        <f t="shared" si="129"/>
        <v>2240</v>
      </c>
    </row>
    <row r="4161" spans="1:24" x14ac:dyDescent="0.3">
      <c r="A4161" t="s">
        <v>5723</v>
      </c>
      <c r="B4161" t="s">
        <v>5803</v>
      </c>
      <c r="C4161" t="s">
        <v>23</v>
      </c>
      <c r="D4161" t="s">
        <v>24</v>
      </c>
      <c r="E4161" t="s">
        <v>25</v>
      </c>
      <c r="F4161">
        <v>1</v>
      </c>
      <c r="G4161">
        <v>9791136921758</v>
      </c>
      <c r="H4161" t="s">
        <v>26</v>
      </c>
      <c r="I4161" t="s">
        <v>875</v>
      </c>
      <c r="J4161" t="s">
        <v>876</v>
      </c>
      <c r="K4161" t="s">
        <v>29</v>
      </c>
      <c r="L4161">
        <v>0</v>
      </c>
      <c r="M4161" t="s">
        <v>29</v>
      </c>
      <c r="N4161">
        <v>0</v>
      </c>
      <c r="O4161">
        <v>0</v>
      </c>
      <c r="P4161" t="s">
        <v>30</v>
      </c>
      <c r="Q4161" s="2">
        <v>0.7</v>
      </c>
      <c r="R4161">
        <v>0</v>
      </c>
      <c r="V4161" t="str">
        <f>VLOOKUP(H4161,'[1]팀별 출판사'!A:B,2,0)</f>
        <v>소설1팀</v>
      </c>
      <c r="W4161" s="6">
        <f t="shared" si="128"/>
        <v>0</v>
      </c>
      <c r="X4161" s="6">
        <f t="shared" si="129"/>
        <v>0</v>
      </c>
    </row>
    <row r="4162" spans="1:24" x14ac:dyDescent="0.3">
      <c r="A4162" t="s">
        <v>5723</v>
      </c>
      <c r="B4162" t="s">
        <v>5804</v>
      </c>
      <c r="C4162" t="s">
        <v>23</v>
      </c>
      <c r="D4162" t="s">
        <v>24</v>
      </c>
      <c r="E4162" t="s">
        <v>25</v>
      </c>
      <c r="F4162">
        <v>1</v>
      </c>
      <c r="G4162">
        <v>9791136931382</v>
      </c>
      <c r="H4162" t="s">
        <v>32</v>
      </c>
      <c r="I4162" t="s">
        <v>523</v>
      </c>
      <c r="J4162" t="s">
        <v>46</v>
      </c>
      <c r="K4162" t="s">
        <v>29</v>
      </c>
      <c r="L4162">
        <v>0</v>
      </c>
      <c r="M4162" t="s">
        <v>152</v>
      </c>
      <c r="N4162">
        <v>0</v>
      </c>
      <c r="O4162">
        <v>0</v>
      </c>
      <c r="P4162" t="s">
        <v>153</v>
      </c>
      <c r="Q4162" s="2">
        <v>0.7</v>
      </c>
      <c r="R4162">
        <v>0</v>
      </c>
      <c r="V4162" t="str">
        <f>VLOOKUP(H4162,'[1]팀별 출판사'!A:B,2,0)</f>
        <v>소설1팀</v>
      </c>
      <c r="W4162" s="6">
        <f t="shared" ref="W4162:W4225" si="130">IF(P4162="US", T4162*30%, 0)</f>
        <v>0</v>
      </c>
      <c r="X4162" s="6">
        <f t="shared" ref="X4162:X4225" si="131">T4162-W4162</f>
        <v>0</v>
      </c>
    </row>
    <row r="4163" spans="1:24" x14ac:dyDescent="0.3">
      <c r="A4163" t="s">
        <v>5723</v>
      </c>
      <c r="B4163" t="s">
        <v>5805</v>
      </c>
      <c r="C4163" t="s">
        <v>23</v>
      </c>
      <c r="D4163" t="s">
        <v>24</v>
      </c>
      <c r="E4163" t="s">
        <v>25</v>
      </c>
      <c r="F4163">
        <v>1</v>
      </c>
      <c r="G4163">
        <v>9791170101284</v>
      </c>
      <c r="H4163" t="s">
        <v>67</v>
      </c>
      <c r="I4163" t="s">
        <v>1187</v>
      </c>
      <c r="J4163" t="s">
        <v>414</v>
      </c>
      <c r="K4163" t="s">
        <v>29</v>
      </c>
      <c r="L4163">
        <v>0</v>
      </c>
      <c r="M4163" t="s">
        <v>29</v>
      </c>
      <c r="N4163">
        <v>0</v>
      </c>
      <c r="O4163">
        <v>0</v>
      </c>
      <c r="P4163" t="s">
        <v>30</v>
      </c>
      <c r="Q4163" s="2">
        <v>0.7</v>
      </c>
      <c r="R4163">
        <v>0</v>
      </c>
      <c r="V4163" t="str">
        <f>VLOOKUP(H4163,'[1]팀별 출판사'!A:B,2,0)</f>
        <v>소설1팀</v>
      </c>
      <c r="W4163" s="6">
        <f t="shared" si="130"/>
        <v>0</v>
      </c>
      <c r="X4163" s="6">
        <f t="shared" si="131"/>
        <v>0</v>
      </c>
    </row>
    <row r="4164" spans="1:24" x14ac:dyDescent="0.3">
      <c r="A4164" t="s">
        <v>5723</v>
      </c>
      <c r="B4164" t="s">
        <v>5806</v>
      </c>
      <c r="C4164" t="s">
        <v>23</v>
      </c>
      <c r="D4164" t="s">
        <v>24</v>
      </c>
      <c r="E4164" t="s">
        <v>25</v>
      </c>
      <c r="F4164">
        <v>1</v>
      </c>
      <c r="G4164">
        <v>9791136927354</v>
      </c>
      <c r="H4164" t="s">
        <v>26</v>
      </c>
      <c r="I4164" t="s">
        <v>5807</v>
      </c>
      <c r="J4164" t="s">
        <v>459</v>
      </c>
      <c r="K4164" t="s">
        <v>29</v>
      </c>
      <c r="L4164" s="1">
        <v>3200</v>
      </c>
      <c r="M4164" t="s">
        <v>29</v>
      </c>
      <c r="N4164" s="1">
        <v>3200</v>
      </c>
      <c r="O4164" s="1">
        <v>3200</v>
      </c>
      <c r="P4164" t="s">
        <v>30</v>
      </c>
      <c r="Q4164" s="2">
        <v>0.7</v>
      </c>
      <c r="R4164" s="1">
        <v>2240</v>
      </c>
      <c r="S4164" t="s">
        <v>29</v>
      </c>
      <c r="T4164" s="1">
        <v>2240</v>
      </c>
      <c r="V4164" t="str">
        <f>VLOOKUP(H4164,'[1]팀별 출판사'!A:B,2,0)</f>
        <v>소설1팀</v>
      </c>
      <c r="W4164" s="6">
        <f t="shared" si="130"/>
        <v>0</v>
      </c>
      <c r="X4164" s="6">
        <f t="shared" si="131"/>
        <v>2240</v>
      </c>
    </row>
    <row r="4165" spans="1:24" x14ac:dyDescent="0.3">
      <c r="A4165" t="s">
        <v>5723</v>
      </c>
      <c r="B4165" t="s">
        <v>5808</v>
      </c>
      <c r="C4165" t="s">
        <v>23</v>
      </c>
      <c r="D4165" t="s">
        <v>24</v>
      </c>
      <c r="E4165" t="s">
        <v>25</v>
      </c>
      <c r="F4165">
        <v>1</v>
      </c>
      <c r="G4165" t="s">
        <v>5769</v>
      </c>
      <c r="H4165" t="s">
        <v>32</v>
      </c>
      <c r="I4165" t="s">
        <v>5770</v>
      </c>
      <c r="J4165" t="s">
        <v>166</v>
      </c>
      <c r="K4165" t="s">
        <v>29</v>
      </c>
      <c r="L4165">
        <v>0</v>
      </c>
      <c r="M4165" t="s">
        <v>70</v>
      </c>
      <c r="N4165">
        <v>0</v>
      </c>
      <c r="O4165">
        <v>0</v>
      </c>
      <c r="P4165" t="s">
        <v>71</v>
      </c>
      <c r="Q4165" s="2">
        <v>0.7</v>
      </c>
      <c r="R4165">
        <v>0</v>
      </c>
      <c r="V4165" t="str">
        <f>VLOOKUP(H4165,'[1]팀별 출판사'!A:B,2,0)</f>
        <v>소설1팀</v>
      </c>
      <c r="W4165" s="6">
        <f t="shared" si="130"/>
        <v>0</v>
      </c>
      <c r="X4165" s="6">
        <f t="shared" si="131"/>
        <v>0</v>
      </c>
    </row>
    <row r="4166" spans="1:24" x14ac:dyDescent="0.3">
      <c r="A4166" t="s">
        <v>5723</v>
      </c>
      <c r="B4166" t="s">
        <v>5809</v>
      </c>
      <c r="C4166" t="s">
        <v>23</v>
      </c>
      <c r="D4166" t="s">
        <v>24</v>
      </c>
      <c r="E4166" t="s">
        <v>25</v>
      </c>
      <c r="F4166">
        <v>1</v>
      </c>
      <c r="G4166">
        <v>9791136930811</v>
      </c>
      <c r="H4166" t="s">
        <v>32</v>
      </c>
      <c r="I4166" t="s">
        <v>1011</v>
      </c>
      <c r="J4166" t="s">
        <v>34</v>
      </c>
      <c r="K4166" t="s">
        <v>29</v>
      </c>
      <c r="L4166">
        <v>0</v>
      </c>
      <c r="M4166" t="s">
        <v>29</v>
      </c>
      <c r="N4166">
        <v>0</v>
      </c>
      <c r="O4166">
        <v>0</v>
      </c>
      <c r="P4166" t="s">
        <v>30</v>
      </c>
      <c r="Q4166" s="2">
        <v>0.7</v>
      </c>
      <c r="R4166">
        <v>0</v>
      </c>
      <c r="V4166" t="str">
        <f>VLOOKUP(H4166,'[1]팀별 출판사'!A:B,2,0)</f>
        <v>소설1팀</v>
      </c>
      <c r="W4166" s="6">
        <f t="shared" si="130"/>
        <v>0</v>
      </c>
      <c r="X4166" s="6">
        <f t="shared" si="131"/>
        <v>0</v>
      </c>
    </row>
    <row r="4167" spans="1:24" x14ac:dyDescent="0.3">
      <c r="A4167" t="s">
        <v>5723</v>
      </c>
      <c r="B4167" t="s">
        <v>5810</v>
      </c>
      <c r="C4167" t="s">
        <v>23</v>
      </c>
      <c r="D4167" t="s">
        <v>24</v>
      </c>
      <c r="E4167" t="s">
        <v>25</v>
      </c>
      <c r="F4167">
        <v>1</v>
      </c>
      <c r="G4167">
        <v>9791170106715</v>
      </c>
      <c r="H4167" t="s">
        <v>67</v>
      </c>
      <c r="I4167" t="s">
        <v>68</v>
      </c>
      <c r="J4167" t="s">
        <v>69</v>
      </c>
      <c r="K4167" t="s">
        <v>29</v>
      </c>
      <c r="L4167">
        <v>0</v>
      </c>
      <c r="M4167" t="s">
        <v>193</v>
      </c>
      <c r="N4167">
        <v>0</v>
      </c>
      <c r="O4167">
        <v>0</v>
      </c>
      <c r="P4167" t="s">
        <v>194</v>
      </c>
      <c r="Q4167" s="2">
        <v>0.7</v>
      </c>
      <c r="R4167">
        <v>0</v>
      </c>
      <c r="V4167" t="str">
        <f>VLOOKUP(H4167,'[1]팀별 출판사'!A:B,2,0)</f>
        <v>소설1팀</v>
      </c>
      <c r="W4167" s="6">
        <f t="shared" si="130"/>
        <v>0</v>
      </c>
      <c r="X4167" s="6">
        <f t="shared" si="131"/>
        <v>0</v>
      </c>
    </row>
    <row r="4168" spans="1:24" x14ac:dyDescent="0.3">
      <c r="A4168" t="s">
        <v>5723</v>
      </c>
      <c r="B4168" t="s">
        <v>5811</v>
      </c>
      <c r="C4168" t="s">
        <v>23</v>
      </c>
      <c r="D4168" t="s">
        <v>24</v>
      </c>
      <c r="E4168" t="s">
        <v>25</v>
      </c>
      <c r="F4168">
        <v>1</v>
      </c>
      <c r="G4168">
        <v>9791136911063</v>
      </c>
      <c r="H4168" t="s">
        <v>32</v>
      </c>
      <c r="I4168" t="s">
        <v>3553</v>
      </c>
      <c r="J4168" t="s">
        <v>160</v>
      </c>
      <c r="K4168" t="s">
        <v>29</v>
      </c>
      <c r="L4168" s="1">
        <v>3200</v>
      </c>
      <c r="M4168" t="s">
        <v>29</v>
      </c>
      <c r="N4168" s="1">
        <v>3200</v>
      </c>
      <c r="O4168" s="1">
        <v>3200</v>
      </c>
      <c r="P4168" t="s">
        <v>30</v>
      </c>
      <c r="Q4168" s="2">
        <v>0.7</v>
      </c>
      <c r="R4168" s="1">
        <v>2240</v>
      </c>
      <c r="S4168" t="s">
        <v>29</v>
      </c>
      <c r="T4168" s="1">
        <v>2240</v>
      </c>
      <c r="V4168" t="str">
        <f>VLOOKUP(H4168,'[1]팀별 출판사'!A:B,2,0)</f>
        <v>소설1팀</v>
      </c>
      <c r="W4168" s="6">
        <f t="shared" si="130"/>
        <v>0</v>
      </c>
      <c r="X4168" s="6">
        <f t="shared" si="131"/>
        <v>2240</v>
      </c>
    </row>
    <row r="4169" spans="1:24" x14ac:dyDescent="0.3">
      <c r="A4169" t="s">
        <v>5723</v>
      </c>
      <c r="B4169" t="s">
        <v>5812</v>
      </c>
      <c r="C4169" t="s">
        <v>23</v>
      </c>
      <c r="D4169" t="s">
        <v>24</v>
      </c>
      <c r="E4169" t="s">
        <v>25</v>
      </c>
      <c r="F4169">
        <v>1</v>
      </c>
      <c r="G4169">
        <v>9791136958662</v>
      </c>
      <c r="H4169" t="s">
        <v>79</v>
      </c>
      <c r="I4169" t="s">
        <v>396</v>
      </c>
      <c r="J4169" t="s">
        <v>81</v>
      </c>
      <c r="K4169" t="s">
        <v>29</v>
      </c>
      <c r="L4169">
        <v>0</v>
      </c>
      <c r="M4169" t="s">
        <v>70</v>
      </c>
      <c r="N4169">
        <v>0</v>
      </c>
      <c r="O4169">
        <v>0</v>
      </c>
      <c r="P4169" t="s">
        <v>71</v>
      </c>
      <c r="Q4169" s="2">
        <v>0.7</v>
      </c>
      <c r="R4169">
        <v>0</v>
      </c>
      <c r="V4169" t="str">
        <f>VLOOKUP(H4169,'[1]팀별 출판사'!A:B,2,0)</f>
        <v>소설1팀</v>
      </c>
      <c r="W4169" s="6">
        <f t="shared" si="130"/>
        <v>0</v>
      </c>
      <c r="X4169" s="6">
        <f t="shared" si="131"/>
        <v>0</v>
      </c>
    </row>
    <row r="4170" spans="1:24" x14ac:dyDescent="0.3">
      <c r="A4170" t="s">
        <v>5723</v>
      </c>
      <c r="B4170" t="s">
        <v>5813</v>
      </c>
      <c r="C4170" t="s">
        <v>23</v>
      </c>
      <c r="D4170" t="s">
        <v>24</v>
      </c>
      <c r="E4170" t="s">
        <v>25</v>
      </c>
      <c r="F4170">
        <v>1</v>
      </c>
      <c r="G4170">
        <v>9791170104599</v>
      </c>
      <c r="H4170" t="s">
        <v>67</v>
      </c>
      <c r="I4170" t="s">
        <v>1562</v>
      </c>
      <c r="J4170" t="s">
        <v>241</v>
      </c>
      <c r="K4170" t="s">
        <v>29</v>
      </c>
      <c r="L4170">
        <v>0</v>
      </c>
      <c r="M4170" t="s">
        <v>70</v>
      </c>
      <c r="N4170">
        <v>0</v>
      </c>
      <c r="O4170">
        <v>0</v>
      </c>
      <c r="P4170" t="s">
        <v>71</v>
      </c>
      <c r="Q4170" s="2">
        <v>0.7</v>
      </c>
      <c r="R4170">
        <v>0</v>
      </c>
      <c r="V4170" t="str">
        <f>VLOOKUP(H4170,'[1]팀별 출판사'!A:B,2,0)</f>
        <v>소설1팀</v>
      </c>
      <c r="W4170" s="6">
        <f t="shared" si="130"/>
        <v>0</v>
      </c>
      <c r="X4170" s="6">
        <f t="shared" si="131"/>
        <v>0</v>
      </c>
    </row>
    <row r="4171" spans="1:24" x14ac:dyDescent="0.3">
      <c r="A4171" t="s">
        <v>5723</v>
      </c>
      <c r="B4171" t="s">
        <v>5814</v>
      </c>
      <c r="C4171" t="s">
        <v>23</v>
      </c>
      <c r="D4171" t="s">
        <v>24</v>
      </c>
      <c r="E4171" t="s">
        <v>25</v>
      </c>
      <c r="F4171">
        <v>1</v>
      </c>
      <c r="G4171">
        <v>9791172927844</v>
      </c>
      <c r="H4171" t="s">
        <v>79</v>
      </c>
      <c r="I4171" t="s">
        <v>1168</v>
      </c>
      <c r="J4171" t="s">
        <v>81</v>
      </c>
      <c r="K4171" t="s">
        <v>29</v>
      </c>
      <c r="L4171">
        <v>0</v>
      </c>
      <c r="M4171" t="s">
        <v>70</v>
      </c>
      <c r="N4171">
        <v>0</v>
      </c>
      <c r="O4171">
        <v>0</v>
      </c>
      <c r="P4171" t="s">
        <v>71</v>
      </c>
      <c r="Q4171" s="2">
        <v>0.7</v>
      </c>
      <c r="R4171">
        <v>0</v>
      </c>
      <c r="V4171" t="str">
        <f>VLOOKUP(H4171,'[1]팀별 출판사'!A:B,2,0)</f>
        <v>소설1팀</v>
      </c>
      <c r="W4171" s="6">
        <f t="shared" si="130"/>
        <v>0</v>
      </c>
      <c r="X4171" s="6">
        <f t="shared" si="131"/>
        <v>0</v>
      </c>
    </row>
    <row r="4172" spans="1:24" x14ac:dyDescent="0.3">
      <c r="A4172" t="s">
        <v>5723</v>
      </c>
      <c r="B4172" t="s">
        <v>5815</v>
      </c>
      <c r="C4172" t="s">
        <v>23</v>
      </c>
      <c r="D4172" t="s">
        <v>24</v>
      </c>
      <c r="E4172" t="s">
        <v>25</v>
      </c>
      <c r="F4172">
        <v>1</v>
      </c>
      <c r="G4172">
        <v>9791172920937</v>
      </c>
      <c r="H4172" t="s">
        <v>79</v>
      </c>
      <c r="I4172" t="s">
        <v>80</v>
      </c>
      <c r="J4172" t="s">
        <v>81</v>
      </c>
      <c r="K4172" t="s">
        <v>29</v>
      </c>
      <c r="L4172">
        <v>0</v>
      </c>
      <c r="M4172" t="s">
        <v>70</v>
      </c>
      <c r="N4172">
        <v>0</v>
      </c>
      <c r="O4172">
        <v>0</v>
      </c>
      <c r="P4172" t="s">
        <v>71</v>
      </c>
      <c r="Q4172" s="2">
        <v>0.7</v>
      </c>
      <c r="R4172">
        <v>0</v>
      </c>
      <c r="V4172" t="str">
        <f>VLOOKUP(H4172,'[1]팀별 출판사'!A:B,2,0)</f>
        <v>소설1팀</v>
      </c>
      <c r="W4172" s="6">
        <f t="shared" si="130"/>
        <v>0</v>
      </c>
      <c r="X4172" s="6">
        <f t="shared" si="131"/>
        <v>0</v>
      </c>
    </row>
    <row r="4173" spans="1:24" x14ac:dyDescent="0.3">
      <c r="A4173" t="s">
        <v>5723</v>
      </c>
      <c r="B4173" t="s">
        <v>5816</v>
      </c>
      <c r="C4173" t="s">
        <v>23</v>
      </c>
      <c r="D4173" t="s">
        <v>24</v>
      </c>
      <c r="E4173" t="s">
        <v>25</v>
      </c>
      <c r="F4173">
        <v>1</v>
      </c>
      <c r="G4173">
        <v>9791170101307</v>
      </c>
      <c r="H4173" t="s">
        <v>67</v>
      </c>
      <c r="I4173" t="s">
        <v>413</v>
      </c>
      <c r="J4173" t="s">
        <v>414</v>
      </c>
      <c r="K4173" t="s">
        <v>29</v>
      </c>
      <c r="L4173">
        <v>0</v>
      </c>
      <c r="M4173" t="s">
        <v>70</v>
      </c>
      <c r="N4173">
        <v>0</v>
      </c>
      <c r="O4173">
        <v>0</v>
      </c>
      <c r="P4173" t="s">
        <v>71</v>
      </c>
      <c r="Q4173" s="2">
        <v>0.7</v>
      </c>
      <c r="R4173">
        <v>0</v>
      </c>
      <c r="V4173" t="str">
        <f>VLOOKUP(H4173,'[1]팀별 출판사'!A:B,2,0)</f>
        <v>소설1팀</v>
      </c>
      <c r="W4173" s="6">
        <f t="shared" si="130"/>
        <v>0</v>
      </c>
      <c r="X4173" s="6">
        <f t="shared" si="131"/>
        <v>0</v>
      </c>
    </row>
    <row r="4174" spans="1:24" x14ac:dyDescent="0.3">
      <c r="A4174" t="s">
        <v>5723</v>
      </c>
      <c r="B4174" t="s">
        <v>5817</v>
      </c>
      <c r="C4174" t="s">
        <v>23</v>
      </c>
      <c r="D4174" t="s">
        <v>24</v>
      </c>
      <c r="E4174" t="s">
        <v>25</v>
      </c>
      <c r="F4174">
        <v>1</v>
      </c>
      <c r="G4174">
        <v>9791170101284</v>
      </c>
      <c r="H4174" t="s">
        <v>67</v>
      </c>
      <c r="I4174" t="s">
        <v>1187</v>
      </c>
      <c r="J4174" t="s">
        <v>414</v>
      </c>
      <c r="K4174" t="s">
        <v>29</v>
      </c>
      <c r="L4174">
        <v>0</v>
      </c>
      <c r="M4174" t="s">
        <v>70</v>
      </c>
      <c r="N4174">
        <v>0</v>
      </c>
      <c r="O4174">
        <v>0</v>
      </c>
      <c r="P4174" t="s">
        <v>71</v>
      </c>
      <c r="Q4174" s="2">
        <v>0.7</v>
      </c>
      <c r="R4174">
        <v>0</v>
      </c>
      <c r="V4174" t="str">
        <f>VLOOKUP(H4174,'[1]팀별 출판사'!A:B,2,0)</f>
        <v>소설1팀</v>
      </c>
      <c r="W4174" s="6">
        <f t="shared" si="130"/>
        <v>0</v>
      </c>
      <c r="X4174" s="6">
        <f t="shared" si="131"/>
        <v>0</v>
      </c>
    </row>
    <row r="4175" spans="1:24" x14ac:dyDescent="0.3">
      <c r="A4175" t="s">
        <v>5723</v>
      </c>
      <c r="B4175" t="s">
        <v>5818</v>
      </c>
      <c r="C4175" t="s">
        <v>23</v>
      </c>
      <c r="D4175" t="s">
        <v>24</v>
      </c>
      <c r="E4175" t="s">
        <v>25</v>
      </c>
      <c r="F4175">
        <v>1</v>
      </c>
      <c r="G4175">
        <v>9791175300668</v>
      </c>
      <c r="H4175" t="s">
        <v>26</v>
      </c>
      <c r="I4175" t="s">
        <v>5819</v>
      </c>
      <c r="J4175" t="s">
        <v>256</v>
      </c>
      <c r="K4175" t="s">
        <v>29</v>
      </c>
      <c r="L4175" s="1">
        <v>3200</v>
      </c>
      <c r="M4175" t="s">
        <v>29</v>
      </c>
      <c r="N4175" s="1">
        <v>3200</v>
      </c>
      <c r="O4175" s="1">
        <v>3200</v>
      </c>
      <c r="P4175" t="s">
        <v>30</v>
      </c>
      <c r="Q4175" s="2">
        <v>0.7</v>
      </c>
      <c r="R4175" s="1">
        <v>2240</v>
      </c>
      <c r="S4175" t="s">
        <v>29</v>
      </c>
      <c r="T4175" s="1">
        <v>2240</v>
      </c>
      <c r="V4175" t="str">
        <f>VLOOKUP(H4175,'[1]팀별 출판사'!A:B,2,0)</f>
        <v>소설1팀</v>
      </c>
      <c r="W4175" s="6">
        <f t="shared" si="130"/>
        <v>0</v>
      </c>
      <c r="X4175" s="6">
        <f t="shared" si="131"/>
        <v>2240</v>
      </c>
    </row>
    <row r="4176" spans="1:24" x14ac:dyDescent="0.3">
      <c r="A4176" t="s">
        <v>5723</v>
      </c>
      <c r="B4176" t="s">
        <v>5820</v>
      </c>
      <c r="C4176" t="s">
        <v>23</v>
      </c>
      <c r="D4176" t="s">
        <v>24</v>
      </c>
      <c r="E4176" t="s">
        <v>25</v>
      </c>
      <c r="F4176">
        <v>1</v>
      </c>
      <c r="G4176">
        <v>9791133167227</v>
      </c>
      <c r="H4176" t="s">
        <v>32</v>
      </c>
      <c r="I4176" t="s">
        <v>313</v>
      </c>
      <c r="J4176" t="s">
        <v>160</v>
      </c>
      <c r="K4176" t="s">
        <v>29</v>
      </c>
      <c r="L4176">
        <v>0</v>
      </c>
      <c r="M4176" t="s">
        <v>29</v>
      </c>
      <c r="N4176">
        <v>0</v>
      </c>
      <c r="O4176">
        <v>0</v>
      </c>
      <c r="P4176" t="s">
        <v>30</v>
      </c>
      <c r="Q4176" s="2">
        <v>0.7</v>
      </c>
      <c r="R4176">
        <v>0</v>
      </c>
      <c r="V4176" t="str">
        <f>VLOOKUP(H4176,'[1]팀별 출판사'!A:B,2,0)</f>
        <v>소설1팀</v>
      </c>
      <c r="W4176" s="6">
        <f t="shared" si="130"/>
        <v>0</v>
      </c>
      <c r="X4176" s="6">
        <f t="shared" si="131"/>
        <v>0</v>
      </c>
    </row>
    <row r="4177" spans="1:24" x14ac:dyDescent="0.3">
      <c r="A4177" t="s">
        <v>5723</v>
      </c>
      <c r="B4177" t="s">
        <v>5821</v>
      </c>
      <c r="C4177" t="s">
        <v>23</v>
      </c>
      <c r="D4177" t="s">
        <v>24</v>
      </c>
      <c r="E4177" t="s">
        <v>25</v>
      </c>
      <c r="F4177">
        <v>1</v>
      </c>
      <c r="G4177">
        <v>9791133173402</v>
      </c>
      <c r="H4177" t="s">
        <v>26</v>
      </c>
      <c r="I4177" t="s">
        <v>1039</v>
      </c>
      <c r="J4177" t="s">
        <v>287</v>
      </c>
      <c r="K4177" t="s">
        <v>29</v>
      </c>
      <c r="L4177">
        <v>0</v>
      </c>
      <c r="M4177" t="s">
        <v>29</v>
      </c>
      <c r="N4177">
        <v>0</v>
      </c>
      <c r="O4177">
        <v>0</v>
      </c>
      <c r="P4177" t="s">
        <v>30</v>
      </c>
      <c r="Q4177" s="2">
        <v>0.7</v>
      </c>
      <c r="R4177">
        <v>0</v>
      </c>
      <c r="V4177" t="str">
        <f>VLOOKUP(H4177,'[1]팀별 출판사'!A:B,2,0)</f>
        <v>소설1팀</v>
      </c>
      <c r="W4177" s="6">
        <f t="shared" si="130"/>
        <v>0</v>
      </c>
      <c r="X4177" s="6">
        <f t="shared" si="131"/>
        <v>0</v>
      </c>
    </row>
    <row r="4178" spans="1:24" x14ac:dyDescent="0.3">
      <c r="A4178" t="s">
        <v>5723</v>
      </c>
      <c r="B4178" t="s">
        <v>5822</v>
      </c>
      <c r="C4178" t="s">
        <v>23</v>
      </c>
      <c r="D4178" t="s">
        <v>24</v>
      </c>
      <c r="E4178" t="s">
        <v>25</v>
      </c>
      <c r="F4178">
        <v>1</v>
      </c>
      <c r="G4178">
        <v>9791136930156</v>
      </c>
      <c r="H4178" t="s">
        <v>32</v>
      </c>
      <c r="I4178" t="s">
        <v>702</v>
      </c>
      <c r="J4178" t="s">
        <v>34</v>
      </c>
      <c r="K4178" t="s">
        <v>29</v>
      </c>
      <c r="L4178">
        <v>0</v>
      </c>
      <c r="M4178" t="s">
        <v>70</v>
      </c>
      <c r="N4178">
        <v>0</v>
      </c>
      <c r="O4178">
        <v>0</v>
      </c>
      <c r="P4178" t="s">
        <v>71</v>
      </c>
      <c r="Q4178" s="2">
        <v>0.7</v>
      </c>
      <c r="R4178">
        <v>0</v>
      </c>
      <c r="V4178" t="str">
        <f>VLOOKUP(H4178,'[1]팀별 출판사'!A:B,2,0)</f>
        <v>소설1팀</v>
      </c>
      <c r="W4178" s="6">
        <f t="shared" si="130"/>
        <v>0</v>
      </c>
      <c r="X4178" s="6">
        <f t="shared" si="131"/>
        <v>0</v>
      </c>
    </row>
    <row r="4179" spans="1:24" x14ac:dyDescent="0.3">
      <c r="A4179" t="s">
        <v>5723</v>
      </c>
      <c r="B4179" t="s">
        <v>5823</v>
      </c>
      <c r="C4179" t="s">
        <v>23</v>
      </c>
      <c r="D4179" t="s">
        <v>24</v>
      </c>
      <c r="E4179" t="s">
        <v>25</v>
      </c>
      <c r="F4179">
        <v>1</v>
      </c>
      <c r="G4179">
        <v>9791133128334</v>
      </c>
      <c r="H4179" t="s">
        <v>32</v>
      </c>
      <c r="I4179" t="s">
        <v>5573</v>
      </c>
      <c r="J4179" t="s">
        <v>4056</v>
      </c>
      <c r="K4179" t="s">
        <v>29</v>
      </c>
      <c r="L4179">
        <v>0</v>
      </c>
      <c r="M4179" t="s">
        <v>29</v>
      </c>
      <c r="N4179">
        <v>0</v>
      </c>
      <c r="O4179">
        <v>0</v>
      </c>
      <c r="P4179" t="s">
        <v>30</v>
      </c>
      <c r="Q4179" s="2">
        <v>0.7</v>
      </c>
      <c r="R4179">
        <v>0</v>
      </c>
      <c r="V4179" t="str">
        <f>VLOOKUP(H4179,'[1]팀별 출판사'!A:B,2,0)</f>
        <v>소설1팀</v>
      </c>
      <c r="W4179" s="6">
        <f t="shared" si="130"/>
        <v>0</v>
      </c>
      <c r="X4179" s="6">
        <f t="shared" si="131"/>
        <v>0</v>
      </c>
    </row>
    <row r="4180" spans="1:24" x14ac:dyDescent="0.3">
      <c r="A4180" t="s">
        <v>5723</v>
      </c>
      <c r="B4180" t="s">
        <v>5824</v>
      </c>
      <c r="C4180" t="s">
        <v>23</v>
      </c>
      <c r="D4180" t="s">
        <v>24</v>
      </c>
      <c r="E4180" t="s">
        <v>25</v>
      </c>
      <c r="F4180">
        <v>1</v>
      </c>
      <c r="G4180" t="s">
        <v>5825</v>
      </c>
      <c r="H4180" t="s">
        <v>32</v>
      </c>
      <c r="I4180" t="s">
        <v>5826</v>
      </c>
      <c r="J4180" t="s">
        <v>166</v>
      </c>
      <c r="K4180" t="s">
        <v>29</v>
      </c>
      <c r="L4180">
        <v>0</v>
      </c>
      <c r="M4180" t="s">
        <v>29</v>
      </c>
      <c r="N4180">
        <v>0</v>
      </c>
      <c r="O4180">
        <v>0</v>
      </c>
      <c r="P4180" t="s">
        <v>30</v>
      </c>
      <c r="Q4180" s="2">
        <v>0.7</v>
      </c>
      <c r="R4180">
        <v>0</v>
      </c>
      <c r="V4180" t="str">
        <f>VLOOKUP(H4180,'[1]팀별 출판사'!A:B,2,0)</f>
        <v>소설1팀</v>
      </c>
      <c r="W4180" s="6">
        <f t="shared" si="130"/>
        <v>0</v>
      </c>
      <c r="X4180" s="6">
        <f t="shared" si="131"/>
        <v>0</v>
      </c>
    </row>
    <row r="4181" spans="1:24" x14ac:dyDescent="0.3">
      <c r="A4181" t="s">
        <v>5723</v>
      </c>
      <c r="B4181" t="s">
        <v>5827</v>
      </c>
      <c r="C4181" t="s">
        <v>23</v>
      </c>
      <c r="D4181" t="s">
        <v>24</v>
      </c>
      <c r="E4181" t="s">
        <v>25</v>
      </c>
      <c r="F4181">
        <v>1</v>
      </c>
      <c r="G4181">
        <v>9791136930361</v>
      </c>
      <c r="H4181" t="s">
        <v>32</v>
      </c>
      <c r="I4181" t="s">
        <v>33</v>
      </c>
      <c r="J4181" t="s">
        <v>34</v>
      </c>
      <c r="K4181" t="s">
        <v>29</v>
      </c>
      <c r="L4181">
        <v>0</v>
      </c>
      <c r="M4181" t="s">
        <v>127</v>
      </c>
      <c r="N4181">
        <v>0</v>
      </c>
      <c r="O4181">
        <v>0</v>
      </c>
      <c r="P4181" t="s">
        <v>128</v>
      </c>
      <c r="Q4181" s="2">
        <v>0.7</v>
      </c>
      <c r="R4181">
        <v>0</v>
      </c>
      <c r="V4181" t="str">
        <f>VLOOKUP(H4181,'[1]팀별 출판사'!A:B,2,0)</f>
        <v>소설1팀</v>
      </c>
      <c r="W4181" s="6">
        <f t="shared" si="130"/>
        <v>0</v>
      </c>
      <c r="X4181" s="6">
        <f t="shared" si="131"/>
        <v>0</v>
      </c>
    </row>
    <row r="4182" spans="1:24" x14ac:dyDescent="0.3">
      <c r="A4182" t="s">
        <v>5723</v>
      </c>
      <c r="B4182" t="s">
        <v>5828</v>
      </c>
      <c r="C4182" t="s">
        <v>23</v>
      </c>
      <c r="D4182" t="s">
        <v>24</v>
      </c>
      <c r="E4182" t="s">
        <v>25</v>
      </c>
      <c r="F4182">
        <v>1</v>
      </c>
      <c r="G4182">
        <v>9791136941862</v>
      </c>
      <c r="H4182" t="s">
        <v>26</v>
      </c>
      <c r="I4182" t="s">
        <v>894</v>
      </c>
      <c r="J4182" t="s">
        <v>81</v>
      </c>
      <c r="K4182" t="s">
        <v>29</v>
      </c>
      <c r="L4182">
        <v>0</v>
      </c>
      <c r="M4182" t="s">
        <v>127</v>
      </c>
      <c r="N4182">
        <v>0</v>
      </c>
      <c r="O4182">
        <v>0</v>
      </c>
      <c r="P4182" t="s">
        <v>128</v>
      </c>
      <c r="Q4182" s="2">
        <v>0.7</v>
      </c>
      <c r="R4182">
        <v>0</v>
      </c>
      <c r="V4182" t="str">
        <f>VLOOKUP(H4182,'[1]팀별 출판사'!A:B,2,0)</f>
        <v>소설1팀</v>
      </c>
      <c r="W4182" s="6">
        <f t="shared" si="130"/>
        <v>0</v>
      </c>
      <c r="X4182" s="6">
        <f t="shared" si="131"/>
        <v>0</v>
      </c>
    </row>
    <row r="4183" spans="1:24" x14ac:dyDescent="0.3">
      <c r="A4183" t="s">
        <v>5723</v>
      </c>
      <c r="B4183" t="s">
        <v>5829</v>
      </c>
      <c r="C4183" t="s">
        <v>23</v>
      </c>
      <c r="D4183" t="s">
        <v>24</v>
      </c>
      <c r="E4183" t="s">
        <v>25</v>
      </c>
      <c r="F4183">
        <v>1</v>
      </c>
      <c r="G4183">
        <v>9791170106715</v>
      </c>
      <c r="H4183" t="s">
        <v>67</v>
      </c>
      <c r="I4183" t="s">
        <v>68</v>
      </c>
      <c r="J4183" t="s">
        <v>69</v>
      </c>
      <c r="K4183" t="s">
        <v>29</v>
      </c>
      <c r="L4183">
        <v>0</v>
      </c>
      <c r="M4183" t="s">
        <v>5830</v>
      </c>
      <c r="N4183">
        <v>0</v>
      </c>
      <c r="O4183">
        <v>0</v>
      </c>
      <c r="P4183" t="s">
        <v>5831</v>
      </c>
      <c r="Q4183" s="2">
        <v>0.7</v>
      </c>
      <c r="R4183">
        <v>0</v>
      </c>
      <c r="V4183" t="str">
        <f>VLOOKUP(H4183,'[1]팀별 출판사'!A:B,2,0)</f>
        <v>소설1팀</v>
      </c>
      <c r="W4183" s="6">
        <f t="shared" si="130"/>
        <v>0</v>
      </c>
      <c r="X4183" s="6">
        <f t="shared" si="131"/>
        <v>0</v>
      </c>
    </row>
    <row r="4184" spans="1:24" x14ac:dyDescent="0.3">
      <c r="A4184" t="s">
        <v>5723</v>
      </c>
      <c r="B4184" t="s">
        <v>5832</v>
      </c>
      <c r="C4184" t="s">
        <v>23</v>
      </c>
      <c r="D4184" t="s">
        <v>24</v>
      </c>
      <c r="E4184" t="s">
        <v>25</v>
      </c>
      <c r="F4184">
        <v>1</v>
      </c>
      <c r="G4184">
        <v>9791133184941</v>
      </c>
      <c r="H4184" t="s">
        <v>32</v>
      </c>
      <c r="I4184" t="s">
        <v>1088</v>
      </c>
      <c r="J4184" t="s">
        <v>166</v>
      </c>
      <c r="K4184" t="s">
        <v>29</v>
      </c>
      <c r="L4184">
        <v>0</v>
      </c>
      <c r="M4184" t="s">
        <v>70</v>
      </c>
      <c r="N4184">
        <v>0</v>
      </c>
      <c r="O4184">
        <v>0</v>
      </c>
      <c r="P4184" t="s">
        <v>71</v>
      </c>
      <c r="Q4184" s="2">
        <v>0.7</v>
      </c>
      <c r="R4184">
        <v>0</v>
      </c>
      <c r="V4184" t="str">
        <f>VLOOKUP(H4184,'[1]팀별 출판사'!A:B,2,0)</f>
        <v>소설1팀</v>
      </c>
      <c r="W4184" s="6">
        <f t="shared" si="130"/>
        <v>0</v>
      </c>
      <c r="X4184" s="6">
        <f t="shared" si="131"/>
        <v>0</v>
      </c>
    </row>
    <row r="4185" spans="1:24" x14ac:dyDescent="0.3">
      <c r="A4185" t="s">
        <v>5723</v>
      </c>
      <c r="B4185" t="s">
        <v>5833</v>
      </c>
      <c r="C4185" t="s">
        <v>23</v>
      </c>
      <c r="D4185" t="s">
        <v>24</v>
      </c>
      <c r="E4185" t="s">
        <v>25</v>
      </c>
      <c r="F4185">
        <v>1</v>
      </c>
      <c r="G4185" t="s">
        <v>2787</v>
      </c>
      <c r="H4185" t="s">
        <v>208</v>
      </c>
      <c r="I4185" t="s">
        <v>2788</v>
      </c>
      <c r="J4185" t="s">
        <v>166</v>
      </c>
      <c r="K4185" t="s">
        <v>29</v>
      </c>
      <c r="L4185">
        <v>0</v>
      </c>
      <c r="M4185" t="s">
        <v>70</v>
      </c>
      <c r="N4185">
        <v>0</v>
      </c>
      <c r="O4185">
        <v>0</v>
      </c>
      <c r="P4185" t="s">
        <v>71</v>
      </c>
      <c r="Q4185" s="2">
        <v>0.7</v>
      </c>
      <c r="R4185">
        <v>0</v>
      </c>
      <c r="V4185" t="str">
        <f>VLOOKUP(H4185,'[1]팀별 출판사'!A:B,2,0)</f>
        <v>소설1팀</v>
      </c>
      <c r="W4185" s="6">
        <f t="shared" si="130"/>
        <v>0</v>
      </c>
      <c r="X4185" s="6">
        <f t="shared" si="131"/>
        <v>0</v>
      </c>
    </row>
    <row r="4186" spans="1:24" x14ac:dyDescent="0.3">
      <c r="A4186" t="s">
        <v>5723</v>
      </c>
      <c r="B4186" t="s">
        <v>5834</v>
      </c>
      <c r="C4186" t="s">
        <v>23</v>
      </c>
      <c r="D4186" t="s">
        <v>24</v>
      </c>
      <c r="E4186" t="s">
        <v>25</v>
      </c>
      <c r="F4186">
        <v>1</v>
      </c>
      <c r="G4186">
        <v>9791136911032</v>
      </c>
      <c r="H4186" t="s">
        <v>26</v>
      </c>
      <c r="I4186" t="s">
        <v>3810</v>
      </c>
      <c r="J4186" t="s">
        <v>160</v>
      </c>
      <c r="K4186" t="s">
        <v>29</v>
      </c>
      <c r="L4186" s="1">
        <v>3200</v>
      </c>
      <c r="M4186" t="s">
        <v>29</v>
      </c>
      <c r="N4186" s="1">
        <v>3200</v>
      </c>
      <c r="O4186" s="1">
        <v>3200</v>
      </c>
      <c r="P4186" t="s">
        <v>30</v>
      </c>
      <c r="Q4186" s="2">
        <v>0.7</v>
      </c>
      <c r="R4186" s="1">
        <v>2240</v>
      </c>
      <c r="S4186" t="s">
        <v>29</v>
      </c>
      <c r="T4186" s="1">
        <v>2240</v>
      </c>
      <c r="V4186" t="str">
        <f>VLOOKUP(H4186,'[1]팀별 출판사'!A:B,2,0)</f>
        <v>소설1팀</v>
      </c>
      <c r="W4186" s="6">
        <f t="shared" si="130"/>
        <v>0</v>
      </c>
      <c r="X4186" s="6">
        <f t="shared" si="131"/>
        <v>2240</v>
      </c>
    </row>
    <row r="4187" spans="1:24" x14ac:dyDescent="0.3">
      <c r="A4187" t="s">
        <v>5723</v>
      </c>
      <c r="B4187" t="s">
        <v>5835</v>
      </c>
      <c r="C4187" t="s">
        <v>23</v>
      </c>
      <c r="D4187" t="s">
        <v>24</v>
      </c>
      <c r="E4187" t="s">
        <v>25</v>
      </c>
      <c r="F4187">
        <v>1</v>
      </c>
      <c r="G4187">
        <v>9791136946782</v>
      </c>
      <c r="H4187" t="s">
        <v>26</v>
      </c>
      <c r="I4187" t="s">
        <v>291</v>
      </c>
      <c r="J4187" t="s">
        <v>28</v>
      </c>
      <c r="K4187" t="s">
        <v>29</v>
      </c>
      <c r="L4187">
        <v>0</v>
      </c>
      <c r="M4187" t="s">
        <v>29</v>
      </c>
      <c r="N4187">
        <v>0</v>
      </c>
      <c r="O4187">
        <v>0</v>
      </c>
      <c r="P4187" t="s">
        <v>30</v>
      </c>
      <c r="Q4187" s="2">
        <v>0.7</v>
      </c>
      <c r="R4187">
        <v>0</v>
      </c>
      <c r="V4187" t="str">
        <f>VLOOKUP(H4187,'[1]팀별 출판사'!A:B,2,0)</f>
        <v>소설1팀</v>
      </c>
      <c r="W4187" s="6">
        <f t="shared" si="130"/>
        <v>0</v>
      </c>
      <c r="X4187" s="6">
        <f t="shared" si="131"/>
        <v>0</v>
      </c>
    </row>
    <row r="4188" spans="1:24" x14ac:dyDescent="0.3">
      <c r="A4188" t="s">
        <v>5723</v>
      </c>
      <c r="B4188" t="s">
        <v>5836</v>
      </c>
      <c r="C4188" t="s">
        <v>23</v>
      </c>
      <c r="D4188" t="s">
        <v>24</v>
      </c>
      <c r="E4188" t="s">
        <v>25</v>
      </c>
      <c r="F4188">
        <v>1</v>
      </c>
      <c r="G4188">
        <v>9791170104599</v>
      </c>
      <c r="H4188" t="s">
        <v>67</v>
      </c>
      <c r="I4188" t="s">
        <v>1562</v>
      </c>
      <c r="J4188" t="s">
        <v>241</v>
      </c>
      <c r="K4188" t="s">
        <v>29</v>
      </c>
      <c r="L4188">
        <v>0</v>
      </c>
      <c r="M4188" t="s">
        <v>29</v>
      </c>
      <c r="N4188">
        <v>0</v>
      </c>
      <c r="O4188">
        <v>0</v>
      </c>
      <c r="P4188" t="s">
        <v>30</v>
      </c>
      <c r="Q4188" s="2">
        <v>0.7</v>
      </c>
      <c r="R4188">
        <v>0</v>
      </c>
      <c r="V4188" t="str">
        <f>VLOOKUP(H4188,'[1]팀별 출판사'!A:B,2,0)</f>
        <v>소설1팀</v>
      </c>
      <c r="W4188" s="6">
        <f t="shared" si="130"/>
        <v>0</v>
      </c>
      <c r="X4188" s="6">
        <f t="shared" si="131"/>
        <v>0</v>
      </c>
    </row>
    <row r="4189" spans="1:24" x14ac:dyDescent="0.3">
      <c r="A4189" t="s">
        <v>5723</v>
      </c>
      <c r="B4189" t="s">
        <v>5837</v>
      </c>
      <c r="C4189" t="s">
        <v>23</v>
      </c>
      <c r="D4189" t="s">
        <v>24</v>
      </c>
      <c r="E4189" t="s">
        <v>25</v>
      </c>
      <c r="F4189">
        <v>1</v>
      </c>
      <c r="G4189">
        <v>9791170105800</v>
      </c>
      <c r="H4189" t="s">
        <v>67</v>
      </c>
      <c r="I4189" t="s">
        <v>2921</v>
      </c>
      <c r="J4189" t="s">
        <v>2922</v>
      </c>
      <c r="K4189" t="s">
        <v>29</v>
      </c>
      <c r="L4189">
        <v>0</v>
      </c>
      <c r="M4189" t="s">
        <v>193</v>
      </c>
      <c r="N4189">
        <v>0</v>
      </c>
      <c r="O4189">
        <v>0</v>
      </c>
      <c r="P4189" t="s">
        <v>194</v>
      </c>
      <c r="Q4189" s="2">
        <v>0.7</v>
      </c>
      <c r="R4189">
        <v>0</v>
      </c>
      <c r="V4189" t="str">
        <f>VLOOKUP(H4189,'[1]팀별 출판사'!A:B,2,0)</f>
        <v>소설1팀</v>
      </c>
      <c r="W4189" s="6">
        <f t="shared" si="130"/>
        <v>0</v>
      </c>
      <c r="X4189" s="6">
        <f t="shared" si="131"/>
        <v>0</v>
      </c>
    </row>
    <row r="4190" spans="1:24" x14ac:dyDescent="0.3">
      <c r="A4190" t="s">
        <v>5723</v>
      </c>
      <c r="B4190" t="s">
        <v>5838</v>
      </c>
      <c r="C4190" t="s">
        <v>23</v>
      </c>
      <c r="D4190" t="s">
        <v>24</v>
      </c>
      <c r="E4190" t="s">
        <v>25</v>
      </c>
      <c r="F4190">
        <v>1</v>
      </c>
      <c r="G4190">
        <v>9791136943446</v>
      </c>
      <c r="H4190" t="s">
        <v>26</v>
      </c>
      <c r="I4190" t="s">
        <v>1651</v>
      </c>
      <c r="J4190" t="s">
        <v>284</v>
      </c>
      <c r="K4190" t="s">
        <v>29</v>
      </c>
      <c r="L4190">
        <v>0</v>
      </c>
      <c r="M4190" t="s">
        <v>29</v>
      </c>
      <c r="N4190">
        <v>0</v>
      </c>
      <c r="O4190">
        <v>0</v>
      </c>
      <c r="P4190" t="s">
        <v>30</v>
      </c>
      <c r="Q4190" s="2">
        <v>0.7</v>
      </c>
      <c r="R4190">
        <v>0</v>
      </c>
      <c r="V4190" t="str">
        <f>VLOOKUP(H4190,'[1]팀별 출판사'!A:B,2,0)</f>
        <v>소설1팀</v>
      </c>
      <c r="W4190" s="6">
        <f t="shared" si="130"/>
        <v>0</v>
      </c>
      <c r="X4190" s="6">
        <f t="shared" si="131"/>
        <v>0</v>
      </c>
    </row>
    <row r="4191" spans="1:24" x14ac:dyDescent="0.3">
      <c r="A4191" t="s">
        <v>5723</v>
      </c>
      <c r="B4191" t="s">
        <v>5839</v>
      </c>
      <c r="C4191" t="s">
        <v>23</v>
      </c>
      <c r="D4191" t="s">
        <v>24</v>
      </c>
      <c r="E4191" t="s">
        <v>25</v>
      </c>
      <c r="F4191">
        <v>1</v>
      </c>
      <c r="G4191" t="s">
        <v>4827</v>
      </c>
      <c r="H4191" t="s">
        <v>32</v>
      </c>
      <c r="I4191" t="s">
        <v>4828</v>
      </c>
      <c r="J4191" t="s">
        <v>4056</v>
      </c>
      <c r="K4191" t="s">
        <v>29</v>
      </c>
      <c r="L4191">
        <v>0</v>
      </c>
      <c r="M4191" t="s">
        <v>29</v>
      </c>
      <c r="N4191">
        <v>0</v>
      </c>
      <c r="O4191">
        <v>0</v>
      </c>
      <c r="P4191" t="s">
        <v>30</v>
      </c>
      <c r="Q4191" s="2">
        <v>0.7</v>
      </c>
      <c r="R4191">
        <v>0</v>
      </c>
      <c r="V4191" t="str">
        <f>VLOOKUP(H4191,'[1]팀별 출판사'!A:B,2,0)</f>
        <v>소설1팀</v>
      </c>
      <c r="W4191" s="6">
        <f t="shared" si="130"/>
        <v>0</v>
      </c>
      <c r="X4191" s="6">
        <f t="shared" si="131"/>
        <v>0</v>
      </c>
    </row>
    <row r="4192" spans="1:24" x14ac:dyDescent="0.3">
      <c r="A4192" t="s">
        <v>5723</v>
      </c>
      <c r="B4192" t="s">
        <v>5840</v>
      </c>
      <c r="C4192" t="s">
        <v>23</v>
      </c>
      <c r="D4192" t="s">
        <v>24</v>
      </c>
      <c r="E4192" t="s">
        <v>25</v>
      </c>
      <c r="F4192">
        <v>1</v>
      </c>
      <c r="G4192">
        <v>9791136930552</v>
      </c>
      <c r="H4192" t="s">
        <v>26</v>
      </c>
      <c r="I4192" t="s">
        <v>45</v>
      </c>
      <c r="J4192" t="s">
        <v>46</v>
      </c>
      <c r="K4192" t="s">
        <v>29</v>
      </c>
      <c r="L4192">
        <v>0</v>
      </c>
      <c r="M4192" t="s">
        <v>29</v>
      </c>
      <c r="N4192">
        <v>0</v>
      </c>
      <c r="O4192">
        <v>0</v>
      </c>
      <c r="P4192" t="s">
        <v>30</v>
      </c>
      <c r="Q4192" s="2">
        <v>0.7</v>
      </c>
      <c r="R4192">
        <v>0</v>
      </c>
      <c r="V4192" t="str">
        <f>VLOOKUP(H4192,'[1]팀별 출판사'!A:B,2,0)</f>
        <v>소설1팀</v>
      </c>
      <c r="W4192" s="6">
        <f t="shared" si="130"/>
        <v>0</v>
      </c>
      <c r="X4192" s="6">
        <f t="shared" si="131"/>
        <v>0</v>
      </c>
    </row>
    <row r="4193" spans="1:24" x14ac:dyDescent="0.3">
      <c r="A4193" t="s">
        <v>5723</v>
      </c>
      <c r="B4193" t="s">
        <v>5841</v>
      </c>
      <c r="C4193" t="s">
        <v>23</v>
      </c>
      <c r="D4193" t="s">
        <v>24</v>
      </c>
      <c r="E4193" t="s">
        <v>25</v>
      </c>
      <c r="F4193">
        <v>1</v>
      </c>
      <c r="G4193">
        <v>9791172927974</v>
      </c>
      <c r="H4193" t="s">
        <v>79</v>
      </c>
      <c r="I4193" t="s">
        <v>4555</v>
      </c>
      <c r="J4193" t="s">
        <v>81</v>
      </c>
      <c r="K4193" t="s">
        <v>29</v>
      </c>
      <c r="L4193" s="1">
        <v>3200</v>
      </c>
      <c r="M4193" t="s">
        <v>29</v>
      </c>
      <c r="N4193" s="1">
        <v>3200</v>
      </c>
      <c r="O4193" s="1">
        <v>3200</v>
      </c>
      <c r="P4193" t="s">
        <v>30</v>
      </c>
      <c r="Q4193" s="2">
        <v>0.7</v>
      </c>
      <c r="R4193" s="1">
        <v>2240</v>
      </c>
      <c r="S4193" t="s">
        <v>29</v>
      </c>
      <c r="T4193" s="1">
        <v>2240</v>
      </c>
      <c r="V4193" t="str">
        <f>VLOOKUP(H4193,'[1]팀별 출판사'!A:B,2,0)</f>
        <v>소설1팀</v>
      </c>
      <c r="W4193" s="6">
        <f t="shared" si="130"/>
        <v>0</v>
      </c>
      <c r="X4193" s="6">
        <f t="shared" si="131"/>
        <v>2240</v>
      </c>
    </row>
    <row r="4194" spans="1:24" x14ac:dyDescent="0.3">
      <c r="A4194" t="s">
        <v>5723</v>
      </c>
      <c r="B4194" t="s">
        <v>5842</v>
      </c>
      <c r="C4194" t="s">
        <v>23</v>
      </c>
      <c r="D4194" t="s">
        <v>24</v>
      </c>
      <c r="E4194" t="s">
        <v>25</v>
      </c>
      <c r="F4194">
        <v>1</v>
      </c>
      <c r="G4194">
        <v>9791133157112</v>
      </c>
      <c r="H4194" t="s">
        <v>32</v>
      </c>
      <c r="I4194" t="s">
        <v>527</v>
      </c>
      <c r="J4194" t="s">
        <v>51</v>
      </c>
      <c r="K4194" t="s">
        <v>29</v>
      </c>
      <c r="L4194">
        <v>0</v>
      </c>
      <c r="M4194" t="s">
        <v>29</v>
      </c>
      <c r="N4194">
        <v>0</v>
      </c>
      <c r="O4194">
        <v>0</v>
      </c>
      <c r="P4194" t="s">
        <v>30</v>
      </c>
      <c r="Q4194" s="2">
        <v>0.7</v>
      </c>
      <c r="R4194">
        <v>0</v>
      </c>
      <c r="V4194" t="str">
        <f>VLOOKUP(H4194,'[1]팀별 출판사'!A:B,2,0)</f>
        <v>소설1팀</v>
      </c>
      <c r="W4194" s="6">
        <f t="shared" si="130"/>
        <v>0</v>
      </c>
      <c r="X4194" s="6">
        <f t="shared" si="131"/>
        <v>0</v>
      </c>
    </row>
    <row r="4195" spans="1:24" x14ac:dyDescent="0.3">
      <c r="A4195" t="s">
        <v>5723</v>
      </c>
      <c r="B4195" t="s">
        <v>5843</v>
      </c>
      <c r="C4195" t="s">
        <v>23</v>
      </c>
      <c r="D4195" t="s">
        <v>24</v>
      </c>
      <c r="E4195" t="s">
        <v>25</v>
      </c>
      <c r="F4195">
        <v>1</v>
      </c>
      <c r="G4195">
        <v>9791133158232</v>
      </c>
      <c r="H4195" t="s">
        <v>32</v>
      </c>
      <c r="I4195" t="s">
        <v>5844</v>
      </c>
      <c r="J4195" t="s">
        <v>51</v>
      </c>
      <c r="K4195" t="s">
        <v>29</v>
      </c>
      <c r="L4195" s="1">
        <v>3000</v>
      </c>
      <c r="M4195" t="s">
        <v>29</v>
      </c>
      <c r="N4195" s="1">
        <v>3000</v>
      </c>
      <c r="O4195" s="1">
        <v>3000</v>
      </c>
      <c r="P4195" t="s">
        <v>30</v>
      </c>
      <c r="Q4195" s="2">
        <v>0.7</v>
      </c>
      <c r="R4195" s="1">
        <v>2100</v>
      </c>
      <c r="S4195" t="s">
        <v>29</v>
      </c>
      <c r="T4195" s="1">
        <v>2100</v>
      </c>
      <c r="V4195" t="str">
        <f>VLOOKUP(H4195,'[1]팀별 출판사'!A:B,2,0)</f>
        <v>소설1팀</v>
      </c>
      <c r="W4195" s="6">
        <f t="shared" si="130"/>
        <v>0</v>
      </c>
      <c r="X4195" s="6">
        <f t="shared" si="131"/>
        <v>2100</v>
      </c>
    </row>
    <row r="4196" spans="1:24" x14ac:dyDescent="0.3">
      <c r="A4196" t="s">
        <v>5723</v>
      </c>
      <c r="B4196" t="s">
        <v>5845</v>
      </c>
      <c r="C4196" t="s">
        <v>23</v>
      </c>
      <c r="D4196" t="s">
        <v>24</v>
      </c>
      <c r="E4196" t="s">
        <v>25</v>
      </c>
      <c r="F4196">
        <v>1</v>
      </c>
      <c r="G4196">
        <v>9791133167241</v>
      </c>
      <c r="H4196" t="s">
        <v>32</v>
      </c>
      <c r="I4196" t="s">
        <v>1976</v>
      </c>
      <c r="J4196" t="s">
        <v>160</v>
      </c>
      <c r="K4196" t="s">
        <v>29</v>
      </c>
      <c r="L4196" s="1">
        <v>2500</v>
      </c>
      <c r="M4196" t="s">
        <v>29</v>
      </c>
      <c r="N4196" s="1">
        <v>2500</v>
      </c>
      <c r="O4196" s="1">
        <v>2500</v>
      </c>
      <c r="P4196" t="s">
        <v>30</v>
      </c>
      <c r="Q4196" s="2">
        <v>0.7</v>
      </c>
      <c r="R4196" s="1">
        <v>1750</v>
      </c>
      <c r="S4196" t="s">
        <v>29</v>
      </c>
      <c r="T4196" s="1">
        <v>1750</v>
      </c>
      <c r="V4196" t="str">
        <f>VLOOKUP(H4196,'[1]팀별 출판사'!A:B,2,0)</f>
        <v>소설1팀</v>
      </c>
      <c r="W4196" s="6">
        <f t="shared" si="130"/>
        <v>0</v>
      </c>
      <c r="X4196" s="6">
        <f t="shared" si="131"/>
        <v>1750</v>
      </c>
    </row>
    <row r="4197" spans="1:24" x14ac:dyDescent="0.3">
      <c r="A4197" t="s">
        <v>5723</v>
      </c>
      <c r="B4197" t="s">
        <v>5846</v>
      </c>
      <c r="C4197" t="s">
        <v>23</v>
      </c>
      <c r="D4197" t="s">
        <v>24</v>
      </c>
      <c r="E4197" t="s">
        <v>25</v>
      </c>
      <c r="F4197">
        <v>1</v>
      </c>
      <c r="G4197">
        <v>9791170102687</v>
      </c>
      <c r="H4197" t="s">
        <v>67</v>
      </c>
      <c r="I4197" t="s">
        <v>398</v>
      </c>
      <c r="J4197" t="s">
        <v>399</v>
      </c>
      <c r="K4197" t="s">
        <v>29</v>
      </c>
      <c r="L4197">
        <v>0</v>
      </c>
      <c r="M4197" t="s">
        <v>29</v>
      </c>
      <c r="N4197">
        <v>0</v>
      </c>
      <c r="O4197">
        <v>0</v>
      </c>
      <c r="P4197" t="s">
        <v>30</v>
      </c>
      <c r="Q4197" s="2">
        <v>0.7</v>
      </c>
      <c r="R4197">
        <v>0</v>
      </c>
      <c r="V4197" t="str">
        <f>VLOOKUP(H4197,'[1]팀별 출판사'!A:B,2,0)</f>
        <v>소설1팀</v>
      </c>
      <c r="W4197" s="6">
        <f t="shared" si="130"/>
        <v>0</v>
      </c>
      <c r="X4197" s="6">
        <f t="shared" si="131"/>
        <v>0</v>
      </c>
    </row>
    <row r="4198" spans="1:24" x14ac:dyDescent="0.3">
      <c r="A4198" t="s">
        <v>5723</v>
      </c>
      <c r="B4198" t="s">
        <v>5847</v>
      </c>
      <c r="C4198" t="s">
        <v>23</v>
      </c>
      <c r="D4198" t="s">
        <v>24</v>
      </c>
      <c r="E4198" t="s">
        <v>25</v>
      </c>
      <c r="F4198">
        <v>1</v>
      </c>
      <c r="G4198">
        <v>9791133171347</v>
      </c>
      <c r="H4198" t="s">
        <v>26</v>
      </c>
      <c r="I4198" t="s">
        <v>2303</v>
      </c>
      <c r="J4198" t="s">
        <v>51</v>
      </c>
      <c r="K4198" t="s">
        <v>29</v>
      </c>
      <c r="L4198">
        <v>0</v>
      </c>
      <c r="M4198" t="s">
        <v>29</v>
      </c>
      <c r="N4198">
        <v>0</v>
      </c>
      <c r="O4198">
        <v>0</v>
      </c>
      <c r="P4198" t="s">
        <v>30</v>
      </c>
      <c r="Q4198" s="2">
        <v>0.7</v>
      </c>
      <c r="R4198">
        <v>0</v>
      </c>
      <c r="V4198" t="str">
        <f>VLOOKUP(H4198,'[1]팀별 출판사'!A:B,2,0)</f>
        <v>소설1팀</v>
      </c>
      <c r="W4198" s="6">
        <f t="shared" si="130"/>
        <v>0</v>
      </c>
      <c r="X4198" s="6">
        <f t="shared" si="131"/>
        <v>0</v>
      </c>
    </row>
    <row r="4199" spans="1:24" x14ac:dyDescent="0.3">
      <c r="A4199" t="s">
        <v>5723</v>
      </c>
      <c r="B4199" t="s">
        <v>5848</v>
      </c>
      <c r="C4199" t="s">
        <v>23</v>
      </c>
      <c r="D4199" t="s">
        <v>24</v>
      </c>
      <c r="E4199" t="s">
        <v>25</v>
      </c>
      <c r="F4199">
        <v>1</v>
      </c>
      <c r="G4199">
        <v>9791136931375</v>
      </c>
      <c r="H4199" t="s">
        <v>32</v>
      </c>
      <c r="I4199" t="s">
        <v>189</v>
      </c>
      <c r="J4199" t="s">
        <v>46</v>
      </c>
      <c r="K4199" t="s">
        <v>29</v>
      </c>
      <c r="L4199">
        <v>0</v>
      </c>
      <c r="M4199" t="s">
        <v>47</v>
      </c>
      <c r="N4199">
        <v>0</v>
      </c>
      <c r="O4199">
        <v>0</v>
      </c>
      <c r="P4199" t="s">
        <v>48</v>
      </c>
      <c r="Q4199" s="2">
        <v>0.7</v>
      </c>
      <c r="R4199">
        <v>0</v>
      </c>
      <c r="V4199" t="str">
        <f>VLOOKUP(H4199,'[1]팀별 출판사'!A:B,2,0)</f>
        <v>소설1팀</v>
      </c>
      <c r="W4199" s="6">
        <f t="shared" si="130"/>
        <v>0</v>
      </c>
      <c r="X4199" s="6">
        <f t="shared" si="131"/>
        <v>0</v>
      </c>
    </row>
    <row r="4200" spans="1:24" x14ac:dyDescent="0.3">
      <c r="A4200" t="s">
        <v>5723</v>
      </c>
      <c r="B4200" t="s">
        <v>5849</v>
      </c>
      <c r="C4200" t="s">
        <v>23</v>
      </c>
      <c r="D4200" t="s">
        <v>24</v>
      </c>
      <c r="E4200" t="s">
        <v>25</v>
      </c>
      <c r="F4200">
        <v>1</v>
      </c>
      <c r="G4200">
        <v>9791136931382</v>
      </c>
      <c r="H4200" t="s">
        <v>32</v>
      </c>
      <c r="I4200" t="s">
        <v>523</v>
      </c>
      <c r="J4200" t="s">
        <v>46</v>
      </c>
      <c r="K4200" t="s">
        <v>29</v>
      </c>
      <c r="L4200">
        <v>0</v>
      </c>
      <c r="M4200" t="s">
        <v>47</v>
      </c>
      <c r="N4200">
        <v>0</v>
      </c>
      <c r="O4200">
        <v>0</v>
      </c>
      <c r="P4200" t="s">
        <v>48</v>
      </c>
      <c r="Q4200" s="2">
        <v>0.7</v>
      </c>
      <c r="R4200">
        <v>0</v>
      </c>
      <c r="V4200" t="str">
        <f>VLOOKUP(H4200,'[1]팀별 출판사'!A:B,2,0)</f>
        <v>소설1팀</v>
      </c>
      <c r="W4200" s="6">
        <f t="shared" si="130"/>
        <v>0</v>
      </c>
      <c r="X4200" s="6">
        <f t="shared" si="131"/>
        <v>0</v>
      </c>
    </row>
    <row r="4201" spans="1:24" x14ac:dyDescent="0.3">
      <c r="A4201" t="s">
        <v>5723</v>
      </c>
      <c r="B4201" t="s">
        <v>5850</v>
      </c>
      <c r="C4201" t="s">
        <v>23</v>
      </c>
      <c r="D4201" t="s">
        <v>24</v>
      </c>
      <c r="E4201" t="s">
        <v>25</v>
      </c>
      <c r="F4201">
        <v>1</v>
      </c>
      <c r="G4201">
        <v>9791136931375</v>
      </c>
      <c r="H4201" t="s">
        <v>32</v>
      </c>
      <c r="I4201" t="s">
        <v>189</v>
      </c>
      <c r="J4201" t="s">
        <v>46</v>
      </c>
      <c r="K4201" t="s">
        <v>29</v>
      </c>
      <c r="L4201">
        <v>0</v>
      </c>
      <c r="M4201" t="s">
        <v>152</v>
      </c>
      <c r="N4201">
        <v>0</v>
      </c>
      <c r="O4201">
        <v>0</v>
      </c>
      <c r="P4201" t="s">
        <v>153</v>
      </c>
      <c r="Q4201" s="2">
        <v>0.7</v>
      </c>
      <c r="R4201">
        <v>0</v>
      </c>
      <c r="V4201" t="str">
        <f>VLOOKUP(H4201,'[1]팀별 출판사'!A:B,2,0)</f>
        <v>소설1팀</v>
      </c>
      <c r="W4201" s="6">
        <f t="shared" si="130"/>
        <v>0</v>
      </c>
      <c r="X4201" s="6">
        <f t="shared" si="131"/>
        <v>0</v>
      </c>
    </row>
    <row r="4202" spans="1:24" x14ac:dyDescent="0.3">
      <c r="A4202" t="s">
        <v>5723</v>
      </c>
      <c r="B4202" t="s">
        <v>5851</v>
      </c>
      <c r="C4202" t="s">
        <v>23</v>
      </c>
      <c r="D4202" t="s">
        <v>24</v>
      </c>
      <c r="E4202" t="s">
        <v>25</v>
      </c>
      <c r="F4202">
        <v>1</v>
      </c>
      <c r="G4202">
        <v>9791170100546</v>
      </c>
      <c r="H4202" t="s">
        <v>67</v>
      </c>
      <c r="I4202" t="s">
        <v>428</v>
      </c>
      <c r="J4202" t="s">
        <v>429</v>
      </c>
      <c r="K4202" t="s">
        <v>29</v>
      </c>
      <c r="L4202">
        <v>0</v>
      </c>
      <c r="M4202" t="s">
        <v>29</v>
      </c>
      <c r="N4202">
        <v>0</v>
      </c>
      <c r="O4202">
        <v>0</v>
      </c>
      <c r="P4202" t="s">
        <v>30</v>
      </c>
      <c r="Q4202" s="2">
        <v>0.7</v>
      </c>
      <c r="R4202">
        <v>0</v>
      </c>
      <c r="V4202" t="str">
        <f>VLOOKUP(H4202,'[1]팀별 출판사'!A:B,2,0)</f>
        <v>소설1팀</v>
      </c>
      <c r="W4202" s="6">
        <f t="shared" si="130"/>
        <v>0</v>
      </c>
      <c r="X4202" s="6">
        <f t="shared" si="131"/>
        <v>0</v>
      </c>
    </row>
    <row r="4203" spans="1:24" x14ac:dyDescent="0.3">
      <c r="A4203" t="s">
        <v>5723</v>
      </c>
      <c r="B4203" t="s">
        <v>5852</v>
      </c>
      <c r="C4203" t="s">
        <v>23</v>
      </c>
      <c r="D4203" t="s">
        <v>24</v>
      </c>
      <c r="E4203" t="s">
        <v>25</v>
      </c>
      <c r="F4203">
        <v>1</v>
      </c>
      <c r="G4203">
        <v>9791136934925</v>
      </c>
      <c r="H4203" t="s">
        <v>32</v>
      </c>
      <c r="I4203" t="s">
        <v>385</v>
      </c>
      <c r="J4203" t="s">
        <v>126</v>
      </c>
      <c r="K4203" t="s">
        <v>29</v>
      </c>
      <c r="L4203">
        <v>0</v>
      </c>
      <c r="M4203" t="s">
        <v>47</v>
      </c>
      <c r="N4203">
        <v>0</v>
      </c>
      <c r="O4203">
        <v>0</v>
      </c>
      <c r="P4203" t="s">
        <v>48</v>
      </c>
      <c r="Q4203" s="2">
        <v>0.7</v>
      </c>
      <c r="R4203">
        <v>0</v>
      </c>
      <c r="V4203" t="str">
        <f>VLOOKUP(H4203,'[1]팀별 출판사'!A:B,2,0)</f>
        <v>소설1팀</v>
      </c>
      <c r="W4203" s="6">
        <f t="shared" si="130"/>
        <v>0</v>
      </c>
      <c r="X4203" s="6">
        <f t="shared" si="131"/>
        <v>0</v>
      </c>
    </row>
    <row r="4204" spans="1:24" x14ac:dyDescent="0.3">
      <c r="A4204" t="s">
        <v>5723</v>
      </c>
      <c r="B4204" t="s">
        <v>5853</v>
      </c>
      <c r="C4204" t="s">
        <v>23</v>
      </c>
      <c r="D4204" t="s">
        <v>24</v>
      </c>
      <c r="E4204" t="s">
        <v>25</v>
      </c>
      <c r="F4204">
        <v>1</v>
      </c>
      <c r="G4204">
        <v>9791133171415</v>
      </c>
      <c r="H4204" t="s">
        <v>26</v>
      </c>
      <c r="I4204" t="s">
        <v>3584</v>
      </c>
      <c r="J4204" t="s">
        <v>287</v>
      </c>
      <c r="K4204" t="s">
        <v>29</v>
      </c>
      <c r="L4204">
        <v>0</v>
      </c>
      <c r="M4204" t="s">
        <v>29</v>
      </c>
      <c r="N4204">
        <v>0</v>
      </c>
      <c r="O4204">
        <v>0</v>
      </c>
      <c r="P4204" t="s">
        <v>30</v>
      </c>
      <c r="Q4204" s="2">
        <v>0.7</v>
      </c>
      <c r="R4204">
        <v>0</v>
      </c>
      <c r="V4204" t="str">
        <f>VLOOKUP(H4204,'[1]팀별 출판사'!A:B,2,0)</f>
        <v>소설1팀</v>
      </c>
      <c r="W4204" s="6">
        <f t="shared" si="130"/>
        <v>0</v>
      </c>
      <c r="X4204" s="6">
        <f t="shared" si="131"/>
        <v>0</v>
      </c>
    </row>
    <row r="4205" spans="1:24" x14ac:dyDescent="0.3">
      <c r="A4205" t="s">
        <v>5723</v>
      </c>
      <c r="B4205" t="s">
        <v>5854</v>
      </c>
      <c r="C4205" t="s">
        <v>23</v>
      </c>
      <c r="D4205" t="s">
        <v>24</v>
      </c>
      <c r="E4205" t="s">
        <v>25</v>
      </c>
      <c r="F4205">
        <v>1</v>
      </c>
      <c r="G4205">
        <v>9791136942142</v>
      </c>
      <c r="H4205" t="s">
        <v>26</v>
      </c>
      <c r="I4205" t="s">
        <v>180</v>
      </c>
      <c r="J4205" t="s">
        <v>46</v>
      </c>
      <c r="K4205" t="s">
        <v>29</v>
      </c>
      <c r="L4205">
        <v>0</v>
      </c>
      <c r="M4205" t="s">
        <v>152</v>
      </c>
      <c r="N4205">
        <v>0</v>
      </c>
      <c r="O4205">
        <v>0</v>
      </c>
      <c r="P4205" t="s">
        <v>153</v>
      </c>
      <c r="Q4205" s="2">
        <v>0.7</v>
      </c>
      <c r="R4205">
        <v>0</v>
      </c>
      <c r="V4205" t="str">
        <f>VLOOKUP(H4205,'[1]팀별 출판사'!A:B,2,0)</f>
        <v>소설1팀</v>
      </c>
      <c r="W4205" s="6">
        <f t="shared" si="130"/>
        <v>0</v>
      </c>
      <c r="X4205" s="6">
        <f t="shared" si="131"/>
        <v>0</v>
      </c>
    </row>
    <row r="4206" spans="1:24" x14ac:dyDescent="0.3">
      <c r="A4206" t="s">
        <v>5723</v>
      </c>
      <c r="B4206" t="s">
        <v>5855</v>
      </c>
      <c r="C4206" t="s">
        <v>23</v>
      </c>
      <c r="D4206" t="s">
        <v>24</v>
      </c>
      <c r="E4206" t="s">
        <v>25</v>
      </c>
      <c r="F4206">
        <v>1</v>
      </c>
      <c r="G4206">
        <v>9791136911087</v>
      </c>
      <c r="H4206" t="s">
        <v>32</v>
      </c>
      <c r="I4206" t="s">
        <v>3624</v>
      </c>
      <c r="J4206" t="s">
        <v>160</v>
      </c>
      <c r="K4206" t="s">
        <v>29</v>
      </c>
      <c r="L4206" s="1">
        <v>3200</v>
      </c>
      <c r="M4206" t="s">
        <v>29</v>
      </c>
      <c r="N4206" s="1">
        <v>3200</v>
      </c>
      <c r="O4206" s="1">
        <v>3200</v>
      </c>
      <c r="P4206" t="s">
        <v>30</v>
      </c>
      <c r="Q4206" s="2">
        <v>0.7</v>
      </c>
      <c r="R4206" s="1">
        <v>2240</v>
      </c>
      <c r="S4206" t="s">
        <v>29</v>
      </c>
      <c r="T4206" s="1">
        <v>2240</v>
      </c>
      <c r="V4206" t="str">
        <f>VLOOKUP(H4206,'[1]팀별 출판사'!A:B,2,0)</f>
        <v>소설1팀</v>
      </c>
      <c r="W4206" s="6">
        <f t="shared" si="130"/>
        <v>0</v>
      </c>
      <c r="X4206" s="6">
        <f t="shared" si="131"/>
        <v>2240</v>
      </c>
    </row>
    <row r="4207" spans="1:24" x14ac:dyDescent="0.3">
      <c r="A4207" t="s">
        <v>5723</v>
      </c>
      <c r="B4207" t="s">
        <v>5856</v>
      </c>
      <c r="C4207" t="s">
        <v>23</v>
      </c>
      <c r="D4207" t="s">
        <v>24</v>
      </c>
      <c r="E4207" t="s">
        <v>25</v>
      </c>
      <c r="F4207">
        <v>1</v>
      </c>
      <c r="G4207">
        <v>9791157539765</v>
      </c>
      <c r="H4207" t="s">
        <v>32</v>
      </c>
      <c r="I4207" t="s">
        <v>4437</v>
      </c>
      <c r="J4207" t="s">
        <v>88</v>
      </c>
      <c r="K4207" t="s">
        <v>29</v>
      </c>
      <c r="L4207" s="1">
        <v>3200</v>
      </c>
      <c r="M4207" t="s">
        <v>29</v>
      </c>
      <c r="N4207" s="1">
        <v>3200</v>
      </c>
      <c r="O4207" s="1">
        <v>3200</v>
      </c>
      <c r="P4207" t="s">
        <v>30</v>
      </c>
      <c r="Q4207" s="2">
        <v>0.7</v>
      </c>
      <c r="R4207" s="1">
        <v>2240</v>
      </c>
      <c r="S4207" t="s">
        <v>29</v>
      </c>
      <c r="T4207" s="1">
        <v>2240</v>
      </c>
      <c r="V4207" t="str">
        <f>VLOOKUP(H4207,'[1]팀별 출판사'!A:B,2,0)</f>
        <v>소설1팀</v>
      </c>
      <c r="W4207" s="6">
        <f t="shared" si="130"/>
        <v>0</v>
      </c>
      <c r="X4207" s="6">
        <f t="shared" si="131"/>
        <v>2240</v>
      </c>
    </row>
    <row r="4208" spans="1:24" x14ac:dyDescent="0.3">
      <c r="A4208" t="s">
        <v>5723</v>
      </c>
      <c r="B4208" t="s">
        <v>5857</v>
      </c>
      <c r="C4208" t="s">
        <v>23</v>
      </c>
      <c r="D4208" t="s">
        <v>24</v>
      </c>
      <c r="E4208" t="s">
        <v>25</v>
      </c>
      <c r="F4208">
        <v>1</v>
      </c>
      <c r="G4208">
        <v>9791170101307</v>
      </c>
      <c r="H4208" t="s">
        <v>67</v>
      </c>
      <c r="I4208" t="s">
        <v>413</v>
      </c>
      <c r="J4208" t="s">
        <v>414</v>
      </c>
      <c r="K4208" t="s">
        <v>29</v>
      </c>
      <c r="L4208">
        <v>0</v>
      </c>
      <c r="M4208" t="s">
        <v>29</v>
      </c>
      <c r="N4208">
        <v>0</v>
      </c>
      <c r="O4208">
        <v>0</v>
      </c>
      <c r="P4208" t="s">
        <v>30</v>
      </c>
      <c r="Q4208" s="2">
        <v>0.7</v>
      </c>
      <c r="R4208">
        <v>0</v>
      </c>
      <c r="V4208" t="str">
        <f>VLOOKUP(H4208,'[1]팀별 출판사'!A:B,2,0)</f>
        <v>소설1팀</v>
      </c>
      <c r="W4208" s="6">
        <f t="shared" si="130"/>
        <v>0</v>
      </c>
      <c r="X4208" s="6">
        <f t="shared" si="131"/>
        <v>0</v>
      </c>
    </row>
    <row r="4209" spans="1:24" x14ac:dyDescent="0.3">
      <c r="A4209" t="s">
        <v>5723</v>
      </c>
      <c r="B4209" t="s">
        <v>5858</v>
      </c>
      <c r="C4209" t="s">
        <v>23</v>
      </c>
      <c r="D4209" t="s">
        <v>24</v>
      </c>
      <c r="E4209" t="s">
        <v>25</v>
      </c>
      <c r="F4209">
        <v>1</v>
      </c>
      <c r="G4209">
        <v>9791133102716</v>
      </c>
      <c r="H4209" t="s">
        <v>32</v>
      </c>
      <c r="I4209" t="s">
        <v>673</v>
      </c>
      <c r="J4209" t="s">
        <v>51</v>
      </c>
      <c r="K4209" t="s">
        <v>29</v>
      </c>
      <c r="L4209">
        <v>0</v>
      </c>
      <c r="M4209" t="s">
        <v>29</v>
      </c>
      <c r="N4209">
        <v>0</v>
      </c>
      <c r="O4209">
        <v>0</v>
      </c>
      <c r="P4209" t="s">
        <v>30</v>
      </c>
      <c r="Q4209" s="2">
        <v>0.7</v>
      </c>
      <c r="R4209">
        <v>0</v>
      </c>
      <c r="V4209" t="str">
        <f>VLOOKUP(H4209,'[1]팀별 출판사'!A:B,2,0)</f>
        <v>소설1팀</v>
      </c>
      <c r="W4209" s="6">
        <f t="shared" si="130"/>
        <v>0</v>
      </c>
      <c r="X4209" s="6">
        <f t="shared" si="131"/>
        <v>0</v>
      </c>
    </row>
    <row r="4210" spans="1:24" x14ac:dyDescent="0.3">
      <c r="A4210" t="s">
        <v>5723</v>
      </c>
      <c r="B4210" t="s">
        <v>5859</v>
      </c>
      <c r="C4210" t="s">
        <v>23</v>
      </c>
      <c r="D4210" t="s">
        <v>24</v>
      </c>
      <c r="E4210" t="s">
        <v>25</v>
      </c>
      <c r="F4210">
        <v>1</v>
      </c>
      <c r="G4210" t="s">
        <v>5090</v>
      </c>
      <c r="H4210" t="s">
        <v>32</v>
      </c>
      <c r="I4210" t="s">
        <v>5091</v>
      </c>
      <c r="J4210" t="s">
        <v>5092</v>
      </c>
      <c r="K4210" t="s">
        <v>29</v>
      </c>
      <c r="L4210">
        <v>0</v>
      </c>
      <c r="M4210" t="s">
        <v>29</v>
      </c>
      <c r="N4210">
        <v>0</v>
      </c>
      <c r="O4210">
        <v>0</v>
      </c>
      <c r="P4210" t="s">
        <v>30</v>
      </c>
      <c r="Q4210" s="2">
        <v>0.7</v>
      </c>
      <c r="R4210">
        <v>0</v>
      </c>
      <c r="V4210" t="str">
        <f>VLOOKUP(H4210,'[1]팀별 출판사'!A:B,2,0)</f>
        <v>소설1팀</v>
      </c>
      <c r="W4210" s="6">
        <f t="shared" si="130"/>
        <v>0</v>
      </c>
      <c r="X4210" s="6">
        <f t="shared" si="131"/>
        <v>0</v>
      </c>
    </row>
    <row r="4211" spans="1:24" x14ac:dyDescent="0.3">
      <c r="A4211" t="s">
        <v>5723</v>
      </c>
      <c r="B4211" t="s">
        <v>5860</v>
      </c>
      <c r="C4211" t="s">
        <v>23</v>
      </c>
      <c r="D4211" t="s">
        <v>24</v>
      </c>
      <c r="E4211" t="s">
        <v>25</v>
      </c>
      <c r="F4211">
        <v>1</v>
      </c>
      <c r="G4211">
        <v>9791136934925</v>
      </c>
      <c r="H4211" t="s">
        <v>32</v>
      </c>
      <c r="I4211" t="s">
        <v>385</v>
      </c>
      <c r="J4211" t="s">
        <v>126</v>
      </c>
      <c r="K4211" t="s">
        <v>29</v>
      </c>
      <c r="L4211">
        <v>0</v>
      </c>
      <c r="M4211" t="s">
        <v>127</v>
      </c>
      <c r="N4211">
        <v>0</v>
      </c>
      <c r="O4211">
        <v>0</v>
      </c>
      <c r="P4211" t="s">
        <v>128</v>
      </c>
      <c r="Q4211" s="2">
        <v>0.7</v>
      </c>
      <c r="R4211">
        <v>0</v>
      </c>
      <c r="V4211" t="str">
        <f>VLOOKUP(H4211,'[1]팀별 출판사'!A:B,2,0)</f>
        <v>소설1팀</v>
      </c>
      <c r="W4211" s="6">
        <f t="shared" si="130"/>
        <v>0</v>
      </c>
      <c r="X4211" s="6">
        <f t="shared" si="131"/>
        <v>0</v>
      </c>
    </row>
    <row r="4212" spans="1:24" x14ac:dyDescent="0.3">
      <c r="A4212" t="s">
        <v>5723</v>
      </c>
      <c r="B4212" t="s">
        <v>5861</v>
      </c>
      <c r="C4212" t="s">
        <v>23</v>
      </c>
      <c r="D4212" t="s">
        <v>24</v>
      </c>
      <c r="E4212" t="s">
        <v>25</v>
      </c>
      <c r="F4212">
        <v>1</v>
      </c>
      <c r="G4212">
        <v>9791136931382</v>
      </c>
      <c r="H4212" t="s">
        <v>32</v>
      </c>
      <c r="I4212" t="s">
        <v>523</v>
      </c>
      <c r="J4212" t="s">
        <v>46</v>
      </c>
      <c r="K4212" t="s">
        <v>29</v>
      </c>
      <c r="L4212">
        <v>0</v>
      </c>
      <c r="M4212" t="s">
        <v>127</v>
      </c>
      <c r="N4212">
        <v>0</v>
      </c>
      <c r="O4212">
        <v>0</v>
      </c>
      <c r="P4212" t="s">
        <v>128</v>
      </c>
      <c r="Q4212" s="2">
        <v>0.7</v>
      </c>
      <c r="R4212">
        <v>0</v>
      </c>
      <c r="V4212" t="str">
        <f>VLOOKUP(H4212,'[1]팀별 출판사'!A:B,2,0)</f>
        <v>소설1팀</v>
      </c>
      <c r="W4212" s="6">
        <f t="shared" si="130"/>
        <v>0</v>
      </c>
      <c r="X4212" s="6">
        <f t="shared" si="131"/>
        <v>0</v>
      </c>
    </row>
    <row r="4213" spans="1:24" x14ac:dyDescent="0.3">
      <c r="A4213" t="s">
        <v>5723</v>
      </c>
      <c r="B4213" t="s">
        <v>5862</v>
      </c>
      <c r="C4213" t="s">
        <v>23</v>
      </c>
      <c r="D4213" t="s">
        <v>24</v>
      </c>
      <c r="E4213" t="s">
        <v>25</v>
      </c>
      <c r="F4213">
        <v>1</v>
      </c>
      <c r="G4213">
        <v>9791175300675</v>
      </c>
      <c r="H4213" t="s">
        <v>26</v>
      </c>
      <c r="I4213" t="s">
        <v>5863</v>
      </c>
      <c r="J4213" t="s">
        <v>256</v>
      </c>
      <c r="K4213" t="s">
        <v>29</v>
      </c>
      <c r="L4213" s="1">
        <v>3200</v>
      </c>
      <c r="M4213" t="s">
        <v>29</v>
      </c>
      <c r="N4213" s="1">
        <v>3200</v>
      </c>
      <c r="O4213" s="1">
        <v>3200</v>
      </c>
      <c r="P4213" t="s">
        <v>30</v>
      </c>
      <c r="Q4213" s="2">
        <v>0.7</v>
      </c>
      <c r="R4213" s="1">
        <v>2240</v>
      </c>
      <c r="S4213" t="s">
        <v>29</v>
      </c>
      <c r="T4213" s="1">
        <v>2240</v>
      </c>
      <c r="V4213" t="str">
        <f>VLOOKUP(H4213,'[1]팀별 출판사'!A:B,2,0)</f>
        <v>소설1팀</v>
      </c>
      <c r="W4213" s="6">
        <f t="shared" si="130"/>
        <v>0</v>
      </c>
      <c r="X4213" s="6">
        <f t="shared" si="131"/>
        <v>2240</v>
      </c>
    </row>
    <row r="4214" spans="1:24" x14ac:dyDescent="0.3">
      <c r="A4214" t="s">
        <v>5723</v>
      </c>
      <c r="B4214" t="s">
        <v>5864</v>
      </c>
      <c r="C4214" t="s">
        <v>23</v>
      </c>
      <c r="D4214" t="s">
        <v>24</v>
      </c>
      <c r="E4214" t="s">
        <v>25</v>
      </c>
      <c r="F4214">
        <v>1</v>
      </c>
      <c r="G4214">
        <v>9791133167258</v>
      </c>
      <c r="H4214" t="s">
        <v>32</v>
      </c>
      <c r="I4214" t="s">
        <v>1977</v>
      </c>
      <c r="J4214" t="s">
        <v>160</v>
      </c>
      <c r="K4214" t="s">
        <v>29</v>
      </c>
      <c r="L4214" s="1">
        <v>2500</v>
      </c>
      <c r="M4214" t="s">
        <v>29</v>
      </c>
      <c r="N4214" s="1">
        <v>2500</v>
      </c>
      <c r="O4214" s="1">
        <v>2500</v>
      </c>
      <c r="P4214" t="s">
        <v>30</v>
      </c>
      <c r="Q4214" s="2">
        <v>0.7</v>
      </c>
      <c r="R4214" s="1">
        <v>1750</v>
      </c>
      <c r="S4214" t="s">
        <v>29</v>
      </c>
      <c r="T4214" s="1">
        <v>1750</v>
      </c>
      <c r="V4214" t="str">
        <f>VLOOKUP(H4214,'[1]팀별 출판사'!A:B,2,0)</f>
        <v>소설1팀</v>
      </c>
      <c r="W4214" s="6">
        <f t="shared" si="130"/>
        <v>0</v>
      </c>
      <c r="X4214" s="6">
        <f t="shared" si="131"/>
        <v>1750</v>
      </c>
    </row>
    <row r="4215" spans="1:24" x14ac:dyDescent="0.3">
      <c r="A4215" t="s">
        <v>5723</v>
      </c>
      <c r="B4215" t="s">
        <v>5865</v>
      </c>
      <c r="C4215" t="s">
        <v>23</v>
      </c>
      <c r="D4215" t="s">
        <v>24</v>
      </c>
      <c r="E4215" t="s">
        <v>25</v>
      </c>
      <c r="F4215">
        <v>1</v>
      </c>
      <c r="G4215">
        <v>9791157532100</v>
      </c>
      <c r="H4215" t="s">
        <v>32</v>
      </c>
      <c r="I4215" t="s">
        <v>1432</v>
      </c>
      <c r="J4215" t="s">
        <v>112</v>
      </c>
      <c r="K4215" t="s">
        <v>29</v>
      </c>
      <c r="L4215">
        <v>0</v>
      </c>
      <c r="M4215" t="s">
        <v>29</v>
      </c>
      <c r="N4215">
        <v>0</v>
      </c>
      <c r="O4215">
        <v>0</v>
      </c>
      <c r="P4215" t="s">
        <v>30</v>
      </c>
      <c r="Q4215" s="2">
        <v>0.7</v>
      </c>
      <c r="R4215">
        <v>0</v>
      </c>
      <c r="V4215" t="str">
        <f>VLOOKUP(H4215,'[1]팀별 출판사'!A:B,2,0)</f>
        <v>소설1팀</v>
      </c>
      <c r="W4215" s="6">
        <f t="shared" si="130"/>
        <v>0</v>
      </c>
      <c r="X4215" s="6">
        <f t="shared" si="131"/>
        <v>0</v>
      </c>
    </row>
    <row r="4216" spans="1:24" x14ac:dyDescent="0.3">
      <c r="A4216" t="s">
        <v>5723</v>
      </c>
      <c r="B4216" t="s">
        <v>5866</v>
      </c>
      <c r="C4216" t="s">
        <v>23</v>
      </c>
      <c r="D4216" t="s">
        <v>24</v>
      </c>
      <c r="E4216" t="s">
        <v>25</v>
      </c>
      <c r="F4216">
        <v>1</v>
      </c>
      <c r="G4216">
        <v>9791133167296</v>
      </c>
      <c r="H4216" t="s">
        <v>32</v>
      </c>
      <c r="I4216" t="s">
        <v>2237</v>
      </c>
      <c r="J4216" t="s">
        <v>160</v>
      </c>
      <c r="K4216" t="s">
        <v>29</v>
      </c>
      <c r="L4216" s="1">
        <v>2500</v>
      </c>
      <c r="M4216" t="s">
        <v>29</v>
      </c>
      <c r="N4216" s="1">
        <v>2500</v>
      </c>
      <c r="O4216" s="1">
        <v>2500</v>
      </c>
      <c r="P4216" t="s">
        <v>30</v>
      </c>
      <c r="Q4216" s="2">
        <v>0.7</v>
      </c>
      <c r="R4216" s="1">
        <v>1750</v>
      </c>
      <c r="S4216" t="s">
        <v>29</v>
      </c>
      <c r="T4216" s="1">
        <v>1750</v>
      </c>
      <c r="V4216" t="str">
        <f>VLOOKUP(H4216,'[1]팀별 출판사'!A:B,2,0)</f>
        <v>소설1팀</v>
      </c>
      <c r="W4216" s="6">
        <f t="shared" si="130"/>
        <v>0</v>
      </c>
      <c r="X4216" s="6">
        <f t="shared" si="131"/>
        <v>1750</v>
      </c>
    </row>
    <row r="4217" spans="1:24" x14ac:dyDescent="0.3">
      <c r="A4217" t="s">
        <v>5723</v>
      </c>
      <c r="B4217" t="s">
        <v>5867</v>
      </c>
      <c r="C4217" t="s">
        <v>23</v>
      </c>
      <c r="D4217" t="s">
        <v>24</v>
      </c>
      <c r="E4217" t="s">
        <v>25</v>
      </c>
      <c r="F4217">
        <v>1</v>
      </c>
      <c r="G4217">
        <v>9791136930552</v>
      </c>
      <c r="H4217" t="s">
        <v>26</v>
      </c>
      <c r="I4217" t="s">
        <v>45</v>
      </c>
      <c r="J4217" t="s">
        <v>46</v>
      </c>
      <c r="K4217" t="s">
        <v>29</v>
      </c>
      <c r="L4217">
        <v>0</v>
      </c>
      <c r="M4217" t="s">
        <v>29</v>
      </c>
      <c r="N4217">
        <v>0</v>
      </c>
      <c r="O4217">
        <v>0</v>
      </c>
      <c r="P4217" t="s">
        <v>30</v>
      </c>
      <c r="Q4217" s="2">
        <v>0.7</v>
      </c>
      <c r="R4217">
        <v>0</v>
      </c>
      <c r="V4217" t="str">
        <f>VLOOKUP(H4217,'[1]팀별 출판사'!A:B,2,0)</f>
        <v>소설1팀</v>
      </c>
      <c r="W4217" s="6">
        <f t="shared" si="130"/>
        <v>0</v>
      </c>
      <c r="X4217" s="6">
        <f t="shared" si="131"/>
        <v>0</v>
      </c>
    </row>
    <row r="4218" spans="1:24" x14ac:dyDescent="0.3">
      <c r="A4218" t="s">
        <v>5723</v>
      </c>
      <c r="B4218" t="s">
        <v>5868</v>
      </c>
      <c r="C4218" t="s">
        <v>23</v>
      </c>
      <c r="D4218" t="s">
        <v>24</v>
      </c>
      <c r="E4218" t="s">
        <v>25</v>
      </c>
      <c r="F4218">
        <v>1</v>
      </c>
      <c r="G4218">
        <v>9791136906571</v>
      </c>
      <c r="H4218" t="s">
        <v>26</v>
      </c>
      <c r="I4218" t="s">
        <v>5869</v>
      </c>
      <c r="J4218" t="s">
        <v>5870</v>
      </c>
      <c r="K4218" t="s">
        <v>29</v>
      </c>
      <c r="L4218">
        <v>0</v>
      </c>
      <c r="M4218" t="s">
        <v>29</v>
      </c>
      <c r="N4218">
        <v>0</v>
      </c>
      <c r="O4218">
        <v>0</v>
      </c>
      <c r="P4218" t="s">
        <v>30</v>
      </c>
      <c r="Q4218" s="2">
        <v>0.7</v>
      </c>
      <c r="R4218">
        <v>0</v>
      </c>
      <c r="V4218" t="str">
        <f>VLOOKUP(H4218,'[1]팀별 출판사'!A:B,2,0)</f>
        <v>소설1팀</v>
      </c>
      <c r="W4218" s="6">
        <f t="shared" si="130"/>
        <v>0</v>
      </c>
      <c r="X4218" s="6">
        <f t="shared" si="131"/>
        <v>0</v>
      </c>
    </row>
    <row r="4219" spans="1:24" x14ac:dyDescent="0.3">
      <c r="A4219" t="s">
        <v>5723</v>
      </c>
      <c r="B4219" t="s">
        <v>5871</v>
      </c>
      <c r="C4219" t="s">
        <v>23</v>
      </c>
      <c r="D4219" t="s">
        <v>24</v>
      </c>
      <c r="E4219" t="s">
        <v>25</v>
      </c>
      <c r="F4219">
        <v>1</v>
      </c>
      <c r="G4219">
        <v>9791133152728</v>
      </c>
      <c r="H4219" t="s">
        <v>32</v>
      </c>
      <c r="I4219" t="s">
        <v>5872</v>
      </c>
      <c r="J4219" t="s">
        <v>810</v>
      </c>
      <c r="K4219" t="s">
        <v>29</v>
      </c>
      <c r="L4219" s="1">
        <v>3200</v>
      </c>
      <c r="M4219" t="s">
        <v>29</v>
      </c>
      <c r="N4219" s="1">
        <v>3200</v>
      </c>
      <c r="O4219" s="1">
        <v>3200</v>
      </c>
      <c r="P4219" t="s">
        <v>30</v>
      </c>
      <c r="Q4219" s="2">
        <v>0.7</v>
      </c>
      <c r="R4219" s="1">
        <v>2240</v>
      </c>
      <c r="S4219" t="s">
        <v>29</v>
      </c>
      <c r="T4219" s="1">
        <v>2240</v>
      </c>
      <c r="V4219" t="str">
        <f>VLOOKUP(H4219,'[1]팀별 출판사'!A:B,2,0)</f>
        <v>소설1팀</v>
      </c>
      <c r="W4219" s="6">
        <f t="shared" si="130"/>
        <v>0</v>
      </c>
      <c r="X4219" s="6">
        <f t="shared" si="131"/>
        <v>2240</v>
      </c>
    </row>
    <row r="4220" spans="1:24" x14ac:dyDescent="0.3">
      <c r="A4220" t="s">
        <v>5723</v>
      </c>
      <c r="B4220" t="s">
        <v>5873</v>
      </c>
      <c r="C4220" t="s">
        <v>23</v>
      </c>
      <c r="D4220" t="s">
        <v>24</v>
      </c>
      <c r="E4220" t="s">
        <v>25</v>
      </c>
      <c r="F4220">
        <v>1</v>
      </c>
      <c r="G4220">
        <v>9791133173396</v>
      </c>
      <c r="H4220" t="s">
        <v>26</v>
      </c>
      <c r="I4220" t="s">
        <v>1955</v>
      </c>
      <c r="J4220" t="s">
        <v>287</v>
      </c>
      <c r="K4220" t="s">
        <v>29</v>
      </c>
      <c r="L4220" s="1">
        <v>2500</v>
      </c>
      <c r="M4220" t="s">
        <v>29</v>
      </c>
      <c r="N4220" s="1">
        <v>2500</v>
      </c>
      <c r="O4220" s="1">
        <v>2500</v>
      </c>
      <c r="P4220" t="s">
        <v>30</v>
      </c>
      <c r="Q4220" s="2">
        <v>0.7</v>
      </c>
      <c r="R4220" s="1">
        <v>1750</v>
      </c>
      <c r="S4220" t="s">
        <v>29</v>
      </c>
      <c r="T4220" s="1">
        <v>1750</v>
      </c>
      <c r="V4220" t="str">
        <f>VLOOKUP(H4220,'[1]팀별 출판사'!A:B,2,0)</f>
        <v>소설1팀</v>
      </c>
      <c r="W4220" s="6">
        <f t="shared" si="130"/>
        <v>0</v>
      </c>
      <c r="X4220" s="6">
        <f t="shared" si="131"/>
        <v>1750</v>
      </c>
    </row>
    <row r="4221" spans="1:24" x14ac:dyDescent="0.3">
      <c r="A4221" t="s">
        <v>5723</v>
      </c>
      <c r="B4221" t="s">
        <v>5874</v>
      </c>
      <c r="C4221" t="s">
        <v>23</v>
      </c>
      <c r="D4221" t="s">
        <v>24</v>
      </c>
      <c r="E4221" t="s">
        <v>25</v>
      </c>
      <c r="F4221">
        <v>1</v>
      </c>
      <c r="G4221">
        <v>9791194664369</v>
      </c>
      <c r="H4221" t="s">
        <v>79</v>
      </c>
      <c r="I4221" t="s">
        <v>156</v>
      </c>
      <c r="J4221" t="s">
        <v>157</v>
      </c>
      <c r="K4221" t="s">
        <v>29</v>
      </c>
      <c r="L4221">
        <v>0</v>
      </c>
      <c r="M4221" t="s">
        <v>47</v>
      </c>
      <c r="N4221">
        <v>0</v>
      </c>
      <c r="O4221">
        <v>0</v>
      </c>
      <c r="P4221" t="s">
        <v>48</v>
      </c>
      <c r="Q4221" s="2">
        <v>0.7</v>
      </c>
      <c r="R4221">
        <v>0</v>
      </c>
      <c r="V4221" t="str">
        <f>VLOOKUP(H4221,'[1]팀별 출판사'!A:B,2,0)</f>
        <v>소설1팀</v>
      </c>
      <c r="W4221" s="6">
        <f t="shared" si="130"/>
        <v>0</v>
      </c>
      <c r="X4221" s="6">
        <f t="shared" si="131"/>
        <v>0</v>
      </c>
    </row>
    <row r="4222" spans="1:24" x14ac:dyDescent="0.3">
      <c r="A4222" t="s">
        <v>5723</v>
      </c>
      <c r="B4222" t="s">
        <v>5875</v>
      </c>
      <c r="C4222" t="s">
        <v>23</v>
      </c>
      <c r="D4222" t="s">
        <v>24</v>
      </c>
      <c r="E4222" t="s">
        <v>25</v>
      </c>
      <c r="F4222">
        <v>1</v>
      </c>
      <c r="G4222">
        <v>9791136940704</v>
      </c>
      <c r="H4222" t="s">
        <v>36</v>
      </c>
      <c r="I4222" t="s">
        <v>2260</v>
      </c>
      <c r="J4222" t="s">
        <v>38</v>
      </c>
      <c r="K4222" t="s">
        <v>29</v>
      </c>
      <c r="L4222" s="1">
        <v>3300</v>
      </c>
      <c r="M4222" t="s">
        <v>1181</v>
      </c>
      <c r="N4222">
        <v>72</v>
      </c>
      <c r="O4222">
        <v>72</v>
      </c>
      <c r="P4222" t="s">
        <v>1182</v>
      </c>
      <c r="Q4222" s="2">
        <v>0.7</v>
      </c>
      <c r="R4222">
        <v>50.4</v>
      </c>
      <c r="S4222" t="s">
        <v>29</v>
      </c>
      <c r="T4222" s="1">
        <v>2338</v>
      </c>
      <c r="U4222">
        <v>46.383479999999999</v>
      </c>
      <c r="V4222" t="str">
        <f>VLOOKUP(H4222,'[1]팀별 출판사'!A:B,2,0)</f>
        <v>소설2팀</v>
      </c>
      <c r="W4222" s="6">
        <f t="shared" si="130"/>
        <v>0</v>
      </c>
      <c r="X4222" s="6">
        <f t="shared" si="131"/>
        <v>2338</v>
      </c>
    </row>
    <row r="4223" spans="1:24" x14ac:dyDescent="0.3">
      <c r="A4223" t="s">
        <v>5723</v>
      </c>
      <c r="B4223" t="s">
        <v>5876</v>
      </c>
      <c r="C4223" t="s">
        <v>23</v>
      </c>
      <c r="D4223" t="s">
        <v>24</v>
      </c>
      <c r="E4223" t="s">
        <v>25</v>
      </c>
      <c r="F4223">
        <v>1</v>
      </c>
      <c r="G4223">
        <v>9791136942906</v>
      </c>
      <c r="H4223" t="s">
        <v>26</v>
      </c>
      <c r="I4223" t="s">
        <v>2900</v>
      </c>
      <c r="J4223" t="s">
        <v>284</v>
      </c>
      <c r="K4223" t="s">
        <v>29</v>
      </c>
      <c r="L4223">
        <v>0</v>
      </c>
      <c r="M4223" t="s">
        <v>29</v>
      </c>
      <c r="N4223">
        <v>0</v>
      </c>
      <c r="O4223">
        <v>0</v>
      </c>
      <c r="P4223" t="s">
        <v>30</v>
      </c>
      <c r="Q4223" s="2">
        <v>0.7</v>
      </c>
      <c r="R4223">
        <v>0</v>
      </c>
      <c r="V4223" t="str">
        <f>VLOOKUP(H4223,'[1]팀별 출판사'!A:B,2,0)</f>
        <v>소설1팀</v>
      </c>
      <c r="W4223" s="6">
        <f t="shared" si="130"/>
        <v>0</v>
      </c>
      <c r="X4223" s="6">
        <f t="shared" si="131"/>
        <v>0</v>
      </c>
    </row>
    <row r="4224" spans="1:24" x14ac:dyDescent="0.3">
      <c r="A4224" t="s">
        <v>5723</v>
      </c>
      <c r="B4224" t="s">
        <v>5877</v>
      </c>
      <c r="C4224" t="s">
        <v>23</v>
      </c>
      <c r="D4224" t="s">
        <v>24</v>
      </c>
      <c r="E4224" t="s">
        <v>25</v>
      </c>
      <c r="F4224">
        <v>1</v>
      </c>
      <c r="G4224">
        <v>9791136934925</v>
      </c>
      <c r="H4224" t="s">
        <v>32</v>
      </c>
      <c r="I4224" t="s">
        <v>385</v>
      </c>
      <c r="J4224" t="s">
        <v>126</v>
      </c>
      <c r="K4224" t="s">
        <v>29</v>
      </c>
      <c r="L4224">
        <v>0</v>
      </c>
      <c r="M4224" t="s">
        <v>127</v>
      </c>
      <c r="N4224">
        <v>0</v>
      </c>
      <c r="O4224">
        <v>0</v>
      </c>
      <c r="P4224" t="s">
        <v>128</v>
      </c>
      <c r="Q4224" s="2">
        <v>0.7</v>
      </c>
      <c r="R4224">
        <v>0</v>
      </c>
      <c r="V4224" t="str">
        <f>VLOOKUP(H4224,'[1]팀별 출판사'!A:B,2,0)</f>
        <v>소설1팀</v>
      </c>
      <c r="W4224" s="6">
        <f t="shared" si="130"/>
        <v>0</v>
      </c>
      <c r="X4224" s="6">
        <f t="shared" si="131"/>
        <v>0</v>
      </c>
    </row>
    <row r="4225" spans="1:24" x14ac:dyDescent="0.3">
      <c r="A4225" t="s">
        <v>5723</v>
      </c>
      <c r="B4225" t="s">
        <v>5878</v>
      </c>
      <c r="C4225" t="s">
        <v>23</v>
      </c>
      <c r="D4225" t="s">
        <v>24</v>
      </c>
      <c r="E4225" t="s">
        <v>25</v>
      </c>
      <c r="F4225">
        <v>1</v>
      </c>
      <c r="G4225">
        <v>9791170100041</v>
      </c>
      <c r="H4225" t="s">
        <v>67</v>
      </c>
      <c r="I4225" t="s">
        <v>346</v>
      </c>
      <c r="J4225" t="s">
        <v>347</v>
      </c>
      <c r="K4225" t="s">
        <v>29</v>
      </c>
      <c r="L4225">
        <v>0</v>
      </c>
      <c r="M4225" t="s">
        <v>29</v>
      </c>
      <c r="N4225">
        <v>0</v>
      </c>
      <c r="O4225">
        <v>0</v>
      </c>
      <c r="P4225" t="s">
        <v>30</v>
      </c>
      <c r="Q4225" s="2">
        <v>0.7</v>
      </c>
      <c r="R4225">
        <v>0</v>
      </c>
      <c r="V4225" t="str">
        <f>VLOOKUP(H4225,'[1]팀별 출판사'!A:B,2,0)</f>
        <v>소설1팀</v>
      </c>
      <c r="W4225" s="6">
        <f t="shared" si="130"/>
        <v>0</v>
      </c>
      <c r="X4225" s="6">
        <f t="shared" si="131"/>
        <v>0</v>
      </c>
    </row>
    <row r="4226" spans="1:24" x14ac:dyDescent="0.3">
      <c r="A4226" t="s">
        <v>5723</v>
      </c>
      <c r="B4226" t="s">
        <v>5879</v>
      </c>
      <c r="C4226" t="s">
        <v>23</v>
      </c>
      <c r="D4226" t="s">
        <v>24</v>
      </c>
      <c r="E4226" t="s">
        <v>25</v>
      </c>
      <c r="F4226">
        <v>1</v>
      </c>
      <c r="G4226">
        <v>9791136931375</v>
      </c>
      <c r="H4226" t="s">
        <v>32</v>
      </c>
      <c r="I4226" t="s">
        <v>189</v>
      </c>
      <c r="J4226" t="s">
        <v>46</v>
      </c>
      <c r="K4226" t="s">
        <v>29</v>
      </c>
      <c r="L4226">
        <v>0</v>
      </c>
      <c r="M4226" t="s">
        <v>47</v>
      </c>
      <c r="N4226">
        <v>0</v>
      </c>
      <c r="O4226">
        <v>0</v>
      </c>
      <c r="P4226" t="s">
        <v>48</v>
      </c>
      <c r="Q4226" s="2">
        <v>0.7</v>
      </c>
      <c r="R4226">
        <v>0</v>
      </c>
      <c r="V4226" t="str">
        <f>VLOOKUP(H4226,'[1]팀별 출판사'!A:B,2,0)</f>
        <v>소설1팀</v>
      </c>
      <c r="W4226" s="6">
        <f t="shared" ref="W4226:W4289" si="132">IF(P4226="US", T4226*30%, 0)</f>
        <v>0</v>
      </c>
      <c r="X4226" s="6">
        <f t="shared" ref="X4226:X4289" si="133">T4226-W4226</f>
        <v>0</v>
      </c>
    </row>
    <row r="4227" spans="1:24" x14ac:dyDescent="0.3">
      <c r="A4227" t="s">
        <v>5723</v>
      </c>
      <c r="B4227" t="s">
        <v>5880</v>
      </c>
      <c r="C4227" t="s">
        <v>23</v>
      </c>
      <c r="D4227" t="s">
        <v>24</v>
      </c>
      <c r="E4227" t="s">
        <v>25</v>
      </c>
      <c r="F4227">
        <v>1</v>
      </c>
      <c r="G4227" t="s">
        <v>5881</v>
      </c>
      <c r="H4227" t="s">
        <v>32</v>
      </c>
      <c r="I4227" t="s">
        <v>5882</v>
      </c>
      <c r="J4227" t="s">
        <v>51</v>
      </c>
      <c r="K4227" t="s">
        <v>29</v>
      </c>
      <c r="L4227" s="1">
        <v>3500</v>
      </c>
      <c r="M4227" t="s">
        <v>70</v>
      </c>
      <c r="N4227">
        <v>2.42</v>
      </c>
      <c r="O4227">
        <v>2.42</v>
      </c>
      <c r="P4227" t="s">
        <v>71</v>
      </c>
      <c r="Q4227" s="2">
        <v>0.7</v>
      </c>
      <c r="R4227">
        <v>1.69</v>
      </c>
      <c r="S4227" t="s">
        <v>29</v>
      </c>
      <c r="T4227" s="1">
        <v>2434</v>
      </c>
      <c r="U4227" s="3">
        <v>1439.9749999999999</v>
      </c>
      <c r="V4227" t="str">
        <f>VLOOKUP(H4227,'[1]팀별 출판사'!A:B,2,0)</f>
        <v>소설1팀</v>
      </c>
      <c r="W4227" s="6">
        <f t="shared" si="132"/>
        <v>730.19999999999993</v>
      </c>
      <c r="X4227" s="6">
        <f t="shared" si="133"/>
        <v>1703.8000000000002</v>
      </c>
    </row>
    <row r="4228" spans="1:24" x14ac:dyDescent="0.3">
      <c r="A4228" t="s">
        <v>5723</v>
      </c>
      <c r="B4228" t="s">
        <v>5880</v>
      </c>
      <c r="C4228" t="s">
        <v>23</v>
      </c>
      <c r="D4228" t="s">
        <v>24</v>
      </c>
      <c r="E4228" t="s">
        <v>25</v>
      </c>
      <c r="F4228">
        <v>1</v>
      </c>
      <c r="G4228" t="s">
        <v>5883</v>
      </c>
      <c r="H4228" t="s">
        <v>32</v>
      </c>
      <c r="I4228" t="s">
        <v>5884</v>
      </c>
      <c r="J4228" t="s">
        <v>51</v>
      </c>
      <c r="K4228" t="s">
        <v>29</v>
      </c>
      <c r="L4228" s="1">
        <v>3500</v>
      </c>
      <c r="M4228" t="s">
        <v>70</v>
      </c>
      <c r="N4228">
        <v>2.42</v>
      </c>
      <c r="O4228">
        <v>2.42</v>
      </c>
      <c r="P4228" t="s">
        <v>71</v>
      </c>
      <c r="Q4228" s="2">
        <v>0.7</v>
      </c>
      <c r="R4228">
        <v>1.69</v>
      </c>
      <c r="S4228" t="s">
        <v>29</v>
      </c>
      <c r="T4228" s="1">
        <v>2434</v>
      </c>
      <c r="U4228" s="3">
        <v>1439.9749999999999</v>
      </c>
      <c r="V4228" t="str">
        <f>VLOOKUP(H4228,'[1]팀별 출판사'!A:B,2,0)</f>
        <v>소설1팀</v>
      </c>
      <c r="W4228" s="6">
        <f t="shared" si="132"/>
        <v>730.19999999999993</v>
      </c>
      <c r="X4228" s="6">
        <f t="shared" si="133"/>
        <v>1703.8000000000002</v>
      </c>
    </row>
    <row r="4229" spans="1:24" x14ac:dyDescent="0.3">
      <c r="A4229" t="s">
        <v>5723</v>
      </c>
      <c r="B4229" t="s">
        <v>5880</v>
      </c>
      <c r="C4229" t="s">
        <v>23</v>
      </c>
      <c r="D4229" t="s">
        <v>24</v>
      </c>
      <c r="E4229" t="s">
        <v>25</v>
      </c>
      <c r="F4229">
        <v>1</v>
      </c>
      <c r="G4229" t="s">
        <v>5885</v>
      </c>
      <c r="H4229" t="s">
        <v>32</v>
      </c>
      <c r="I4229" t="s">
        <v>5886</v>
      </c>
      <c r="J4229" t="s">
        <v>51</v>
      </c>
      <c r="K4229" t="s">
        <v>29</v>
      </c>
      <c r="L4229" s="1">
        <v>3500</v>
      </c>
      <c r="M4229" t="s">
        <v>70</v>
      </c>
      <c r="N4229">
        <v>2.42</v>
      </c>
      <c r="O4229">
        <v>2.42</v>
      </c>
      <c r="P4229" t="s">
        <v>71</v>
      </c>
      <c r="Q4229" s="2">
        <v>0.7</v>
      </c>
      <c r="R4229">
        <v>1.69</v>
      </c>
      <c r="S4229" t="s">
        <v>29</v>
      </c>
      <c r="T4229" s="1">
        <v>2434</v>
      </c>
      <c r="U4229" s="3">
        <v>1439.9749999999999</v>
      </c>
      <c r="V4229" t="str">
        <f>VLOOKUP(H4229,'[1]팀별 출판사'!A:B,2,0)</f>
        <v>소설1팀</v>
      </c>
      <c r="W4229" s="6">
        <f t="shared" si="132"/>
        <v>730.19999999999993</v>
      </c>
      <c r="X4229" s="6">
        <f t="shared" si="133"/>
        <v>1703.8000000000002</v>
      </c>
    </row>
    <row r="4230" spans="1:24" x14ac:dyDescent="0.3">
      <c r="A4230" t="s">
        <v>5723</v>
      </c>
      <c r="B4230" t="s">
        <v>5887</v>
      </c>
      <c r="C4230" t="s">
        <v>23</v>
      </c>
      <c r="D4230" t="s">
        <v>24</v>
      </c>
      <c r="E4230" t="s">
        <v>25</v>
      </c>
      <c r="F4230">
        <v>1</v>
      </c>
      <c r="G4230">
        <v>9791136911100</v>
      </c>
      <c r="H4230" t="s">
        <v>32</v>
      </c>
      <c r="I4230" t="s">
        <v>5888</v>
      </c>
      <c r="J4230" t="s">
        <v>160</v>
      </c>
      <c r="K4230" t="s">
        <v>29</v>
      </c>
      <c r="L4230" s="1">
        <v>3200</v>
      </c>
      <c r="M4230" t="s">
        <v>29</v>
      </c>
      <c r="N4230" s="1">
        <v>3200</v>
      </c>
      <c r="O4230" s="1">
        <v>3200</v>
      </c>
      <c r="P4230" t="s">
        <v>30</v>
      </c>
      <c r="Q4230" s="2">
        <v>0.7</v>
      </c>
      <c r="R4230" s="1">
        <v>2240</v>
      </c>
      <c r="S4230" t="s">
        <v>29</v>
      </c>
      <c r="T4230" s="1">
        <v>2240</v>
      </c>
      <c r="V4230" t="str">
        <f>VLOOKUP(H4230,'[1]팀별 출판사'!A:B,2,0)</f>
        <v>소설1팀</v>
      </c>
      <c r="W4230" s="6">
        <f t="shared" si="132"/>
        <v>0</v>
      </c>
      <c r="X4230" s="6">
        <f t="shared" si="133"/>
        <v>2240</v>
      </c>
    </row>
    <row r="4231" spans="1:24" x14ac:dyDescent="0.3">
      <c r="A4231" t="s">
        <v>5723</v>
      </c>
      <c r="B4231" t="s">
        <v>5889</v>
      </c>
      <c r="C4231" t="s">
        <v>23</v>
      </c>
      <c r="D4231" t="s">
        <v>24</v>
      </c>
      <c r="E4231" t="s">
        <v>25</v>
      </c>
      <c r="F4231">
        <v>1</v>
      </c>
      <c r="G4231">
        <v>9791170100546</v>
      </c>
      <c r="H4231" t="s">
        <v>67</v>
      </c>
      <c r="I4231" t="s">
        <v>428</v>
      </c>
      <c r="J4231" t="s">
        <v>429</v>
      </c>
      <c r="K4231" t="s">
        <v>29</v>
      </c>
      <c r="L4231">
        <v>0</v>
      </c>
      <c r="M4231" t="s">
        <v>29</v>
      </c>
      <c r="N4231">
        <v>0</v>
      </c>
      <c r="O4231">
        <v>0</v>
      </c>
      <c r="P4231" t="s">
        <v>30</v>
      </c>
      <c r="Q4231" s="2">
        <v>0.7</v>
      </c>
      <c r="R4231">
        <v>0</v>
      </c>
      <c r="V4231" t="str">
        <f>VLOOKUP(H4231,'[1]팀별 출판사'!A:B,2,0)</f>
        <v>소설1팀</v>
      </c>
      <c r="W4231" s="6">
        <f t="shared" si="132"/>
        <v>0</v>
      </c>
      <c r="X4231" s="6">
        <f t="shared" si="133"/>
        <v>0</v>
      </c>
    </row>
    <row r="4232" spans="1:24" x14ac:dyDescent="0.3">
      <c r="A4232" t="s">
        <v>5723</v>
      </c>
      <c r="B4232" t="s">
        <v>5890</v>
      </c>
      <c r="C4232" t="s">
        <v>23</v>
      </c>
      <c r="D4232" t="s">
        <v>24</v>
      </c>
      <c r="E4232" t="s">
        <v>25</v>
      </c>
      <c r="F4232">
        <v>1</v>
      </c>
      <c r="G4232">
        <v>9791133171408</v>
      </c>
      <c r="H4232" t="s">
        <v>26</v>
      </c>
      <c r="I4232" t="s">
        <v>1979</v>
      </c>
      <c r="J4232" t="s">
        <v>287</v>
      </c>
      <c r="K4232" t="s">
        <v>29</v>
      </c>
      <c r="L4232">
        <v>0</v>
      </c>
      <c r="M4232" t="s">
        <v>29</v>
      </c>
      <c r="N4232">
        <v>0</v>
      </c>
      <c r="O4232">
        <v>0</v>
      </c>
      <c r="P4232" t="s">
        <v>30</v>
      </c>
      <c r="Q4232" s="2">
        <v>0.7</v>
      </c>
      <c r="R4232">
        <v>0</v>
      </c>
      <c r="V4232" t="str">
        <f>VLOOKUP(H4232,'[1]팀별 출판사'!A:B,2,0)</f>
        <v>소설1팀</v>
      </c>
      <c r="W4232" s="6">
        <f t="shared" si="132"/>
        <v>0</v>
      </c>
      <c r="X4232" s="6">
        <f t="shared" si="133"/>
        <v>0</v>
      </c>
    </row>
    <row r="4233" spans="1:24" x14ac:dyDescent="0.3">
      <c r="A4233" t="s">
        <v>5723</v>
      </c>
      <c r="B4233" t="s">
        <v>5891</v>
      </c>
      <c r="C4233" t="s">
        <v>23</v>
      </c>
      <c r="D4233" t="s">
        <v>24</v>
      </c>
      <c r="E4233" t="s">
        <v>25</v>
      </c>
      <c r="F4233">
        <v>1</v>
      </c>
      <c r="G4233">
        <v>9791136931375</v>
      </c>
      <c r="H4233" t="s">
        <v>32</v>
      </c>
      <c r="I4233" t="s">
        <v>189</v>
      </c>
      <c r="J4233" t="s">
        <v>46</v>
      </c>
      <c r="K4233" t="s">
        <v>29</v>
      </c>
      <c r="L4233">
        <v>0</v>
      </c>
      <c r="M4233" t="s">
        <v>29</v>
      </c>
      <c r="N4233">
        <v>0</v>
      </c>
      <c r="O4233">
        <v>0</v>
      </c>
      <c r="P4233" t="s">
        <v>30</v>
      </c>
      <c r="Q4233" s="2">
        <v>0.7</v>
      </c>
      <c r="R4233">
        <v>0</v>
      </c>
      <c r="V4233" t="str">
        <f>VLOOKUP(H4233,'[1]팀별 출판사'!A:B,2,0)</f>
        <v>소설1팀</v>
      </c>
      <c r="W4233" s="6">
        <f t="shared" si="132"/>
        <v>0</v>
      </c>
      <c r="X4233" s="6">
        <f t="shared" si="133"/>
        <v>0</v>
      </c>
    </row>
    <row r="4234" spans="1:24" x14ac:dyDescent="0.3">
      <c r="A4234" t="s">
        <v>5723</v>
      </c>
      <c r="B4234" t="s">
        <v>5892</v>
      </c>
      <c r="C4234" t="s">
        <v>23</v>
      </c>
      <c r="D4234" t="s">
        <v>24</v>
      </c>
      <c r="E4234" t="s">
        <v>25</v>
      </c>
      <c r="F4234">
        <v>1</v>
      </c>
      <c r="G4234">
        <v>9791133167227</v>
      </c>
      <c r="H4234" t="s">
        <v>32</v>
      </c>
      <c r="I4234" t="s">
        <v>313</v>
      </c>
      <c r="J4234" t="s">
        <v>160</v>
      </c>
      <c r="K4234" t="s">
        <v>29</v>
      </c>
      <c r="L4234">
        <v>0</v>
      </c>
      <c r="M4234" t="s">
        <v>29</v>
      </c>
      <c r="N4234">
        <v>0</v>
      </c>
      <c r="O4234">
        <v>0</v>
      </c>
      <c r="P4234" t="s">
        <v>30</v>
      </c>
      <c r="Q4234" s="2">
        <v>0.7</v>
      </c>
      <c r="R4234">
        <v>0</v>
      </c>
      <c r="V4234" t="str">
        <f>VLOOKUP(H4234,'[1]팀별 출판사'!A:B,2,0)</f>
        <v>소설1팀</v>
      </c>
      <c r="W4234" s="6">
        <f t="shared" si="132"/>
        <v>0</v>
      </c>
      <c r="X4234" s="6">
        <f t="shared" si="133"/>
        <v>0</v>
      </c>
    </row>
    <row r="4235" spans="1:24" x14ac:dyDescent="0.3">
      <c r="A4235" t="s">
        <v>5723</v>
      </c>
      <c r="B4235" t="s">
        <v>5893</v>
      </c>
      <c r="C4235" t="s">
        <v>23</v>
      </c>
      <c r="D4235" t="s">
        <v>24</v>
      </c>
      <c r="E4235" t="s">
        <v>25</v>
      </c>
      <c r="F4235">
        <v>1</v>
      </c>
      <c r="G4235">
        <v>9791136931382</v>
      </c>
      <c r="H4235" t="s">
        <v>32</v>
      </c>
      <c r="I4235" t="s">
        <v>523</v>
      </c>
      <c r="J4235" t="s">
        <v>46</v>
      </c>
      <c r="K4235" t="s">
        <v>29</v>
      </c>
      <c r="L4235">
        <v>0</v>
      </c>
      <c r="M4235" t="s">
        <v>29</v>
      </c>
      <c r="N4235">
        <v>0</v>
      </c>
      <c r="O4235">
        <v>0</v>
      </c>
      <c r="P4235" t="s">
        <v>30</v>
      </c>
      <c r="Q4235" s="2">
        <v>0.7</v>
      </c>
      <c r="R4235">
        <v>0</v>
      </c>
      <c r="V4235" t="str">
        <f>VLOOKUP(H4235,'[1]팀별 출판사'!A:B,2,0)</f>
        <v>소설1팀</v>
      </c>
      <c r="W4235" s="6">
        <f t="shared" si="132"/>
        <v>0</v>
      </c>
      <c r="X4235" s="6">
        <f t="shared" si="133"/>
        <v>0</v>
      </c>
    </row>
    <row r="4236" spans="1:24" x14ac:dyDescent="0.3">
      <c r="A4236" t="s">
        <v>5723</v>
      </c>
      <c r="B4236" t="s">
        <v>5894</v>
      </c>
      <c r="C4236" t="s">
        <v>23</v>
      </c>
      <c r="D4236" t="s">
        <v>24</v>
      </c>
      <c r="E4236" t="s">
        <v>25</v>
      </c>
      <c r="F4236">
        <v>1</v>
      </c>
      <c r="G4236">
        <v>9791133169290</v>
      </c>
      <c r="H4236" t="s">
        <v>32</v>
      </c>
      <c r="I4236" t="s">
        <v>671</v>
      </c>
      <c r="J4236" t="s">
        <v>160</v>
      </c>
      <c r="K4236" t="s">
        <v>29</v>
      </c>
      <c r="L4236">
        <v>0</v>
      </c>
      <c r="M4236" t="s">
        <v>29</v>
      </c>
      <c r="N4236">
        <v>0</v>
      </c>
      <c r="O4236">
        <v>0</v>
      </c>
      <c r="P4236" t="s">
        <v>30</v>
      </c>
      <c r="Q4236" s="2">
        <v>0.7</v>
      </c>
      <c r="R4236">
        <v>0</v>
      </c>
      <c r="V4236" t="str">
        <f>VLOOKUP(H4236,'[1]팀별 출판사'!A:B,2,0)</f>
        <v>소설1팀</v>
      </c>
      <c r="W4236" s="6">
        <f t="shared" si="132"/>
        <v>0</v>
      </c>
      <c r="X4236" s="6">
        <f t="shared" si="133"/>
        <v>0</v>
      </c>
    </row>
    <row r="4237" spans="1:24" x14ac:dyDescent="0.3">
      <c r="A4237" t="s">
        <v>5723</v>
      </c>
      <c r="B4237" t="s">
        <v>5895</v>
      </c>
      <c r="C4237" t="s">
        <v>23</v>
      </c>
      <c r="D4237" t="s">
        <v>24</v>
      </c>
      <c r="E4237" t="s">
        <v>25</v>
      </c>
      <c r="F4237">
        <v>1</v>
      </c>
      <c r="G4237">
        <v>9791133101788</v>
      </c>
      <c r="H4237" t="s">
        <v>32</v>
      </c>
      <c r="I4237" t="s">
        <v>870</v>
      </c>
      <c r="J4237" t="s">
        <v>160</v>
      </c>
      <c r="K4237" t="s">
        <v>29</v>
      </c>
      <c r="L4237">
        <v>0</v>
      </c>
      <c r="M4237" t="s">
        <v>29</v>
      </c>
      <c r="N4237">
        <v>0</v>
      </c>
      <c r="O4237">
        <v>0</v>
      </c>
      <c r="P4237" t="s">
        <v>30</v>
      </c>
      <c r="Q4237" s="2">
        <v>0.7</v>
      </c>
      <c r="R4237">
        <v>0</v>
      </c>
      <c r="V4237" t="str">
        <f>VLOOKUP(H4237,'[1]팀별 출판사'!A:B,2,0)</f>
        <v>소설1팀</v>
      </c>
      <c r="W4237" s="6">
        <f t="shared" si="132"/>
        <v>0</v>
      </c>
      <c r="X4237" s="6">
        <f t="shared" si="133"/>
        <v>0</v>
      </c>
    </row>
    <row r="4238" spans="1:24" x14ac:dyDescent="0.3">
      <c r="A4238" t="s">
        <v>5723</v>
      </c>
      <c r="B4238" t="s">
        <v>5896</v>
      </c>
      <c r="C4238" t="s">
        <v>23</v>
      </c>
      <c r="D4238" t="s">
        <v>24</v>
      </c>
      <c r="E4238" t="s">
        <v>25</v>
      </c>
      <c r="F4238">
        <v>1</v>
      </c>
      <c r="G4238">
        <v>9791133130375</v>
      </c>
      <c r="H4238" t="s">
        <v>32</v>
      </c>
      <c r="I4238" t="s">
        <v>536</v>
      </c>
      <c r="J4238" t="s">
        <v>160</v>
      </c>
      <c r="K4238" t="s">
        <v>29</v>
      </c>
      <c r="L4238">
        <v>0</v>
      </c>
      <c r="M4238" t="s">
        <v>29</v>
      </c>
      <c r="N4238">
        <v>0</v>
      </c>
      <c r="O4238">
        <v>0</v>
      </c>
      <c r="P4238" t="s">
        <v>30</v>
      </c>
      <c r="Q4238" s="2">
        <v>0.7</v>
      </c>
      <c r="R4238">
        <v>0</v>
      </c>
      <c r="V4238" t="str">
        <f>VLOOKUP(H4238,'[1]팀별 출판사'!A:B,2,0)</f>
        <v>소설1팀</v>
      </c>
      <c r="W4238" s="6">
        <f t="shared" si="132"/>
        <v>0</v>
      </c>
      <c r="X4238" s="6">
        <f t="shared" si="133"/>
        <v>0</v>
      </c>
    </row>
    <row r="4239" spans="1:24" x14ac:dyDescent="0.3">
      <c r="A4239" t="s">
        <v>5723</v>
      </c>
      <c r="B4239" t="s">
        <v>5897</v>
      </c>
      <c r="C4239" t="s">
        <v>23</v>
      </c>
      <c r="D4239" t="s">
        <v>24</v>
      </c>
      <c r="E4239" t="s">
        <v>25</v>
      </c>
      <c r="F4239">
        <v>1</v>
      </c>
      <c r="G4239">
        <v>9791136910974</v>
      </c>
      <c r="H4239" t="s">
        <v>26</v>
      </c>
      <c r="I4239" t="s">
        <v>568</v>
      </c>
      <c r="J4239" t="s">
        <v>160</v>
      </c>
      <c r="K4239" t="s">
        <v>29</v>
      </c>
      <c r="L4239">
        <v>0</v>
      </c>
      <c r="M4239" t="s">
        <v>29</v>
      </c>
      <c r="N4239">
        <v>0</v>
      </c>
      <c r="O4239">
        <v>0</v>
      </c>
      <c r="P4239" t="s">
        <v>30</v>
      </c>
      <c r="Q4239" s="2">
        <v>0.7</v>
      </c>
      <c r="R4239">
        <v>0</v>
      </c>
      <c r="V4239" t="str">
        <f>VLOOKUP(H4239,'[1]팀별 출판사'!A:B,2,0)</f>
        <v>소설1팀</v>
      </c>
      <c r="W4239" s="6">
        <f t="shared" si="132"/>
        <v>0</v>
      </c>
      <c r="X4239" s="6">
        <f t="shared" si="133"/>
        <v>0</v>
      </c>
    </row>
    <row r="4240" spans="1:24" x14ac:dyDescent="0.3">
      <c r="A4240" t="s">
        <v>5723</v>
      </c>
      <c r="B4240" t="s">
        <v>5898</v>
      </c>
      <c r="C4240" t="s">
        <v>23</v>
      </c>
      <c r="D4240" t="s">
        <v>24</v>
      </c>
      <c r="E4240" t="s">
        <v>25</v>
      </c>
      <c r="F4240">
        <v>1</v>
      </c>
      <c r="G4240">
        <v>9791136910981</v>
      </c>
      <c r="H4240" t="s">
        <v>32</v>
      </c>
      <c r="I4240" t="s">
        <v>752</v>
      </c>
      <c r="J4240" t="s">
        <v>160</v>
      </c>
      <c r="K4240" t="s">
        <v>29</v>
      </c>
      <c r="L4240">
        <v>0</v>
      </c>
      <c r="M4240" t="s">
        <v>29</v>
      </c>
      <c r="N4240">
        <v>0</v>
      </c>
      <c r="O4240">
        <v>0</v>
      </c>
      <c r="P4240" t="s">
        <v>30</v>
      </c>
      <c r="Q4240" s="2">
        <v>0.7</v>
      </c>
      <c r="R4240">
        <v>0</v>
      </c>
      <c r="V4240" t="str">
        <f>VLOOKUP(H4240,'[1]팀별 출판사'!A:B,2,0)</f>
        <v>소설1팀</v>
      </c>
      <c r="W4240" s="6">
        <f t="shared" si="132"/>
        <v>0</v>
      </c>
      <c r="X4240" s="6">
        <f t="shared" si="133"/>
        <v>0</v>
      </c>
    </row>
    <row r="4241" spans="1:24" x14ac:dyDescent="0.3">
      <c r="A4241" t="s">
        <v>5723</v>
      </c>
      <c r="B4241" t="s">
        <v>5899</v>
      </c>
      <c r="C4241" t="s">
        <v>23</v>
      </c>
      <c r="D4241" t="s">
        <v>24</v>
      </c>
      <c r="E4241" t="s">
        <v>25</v>
      </c>
      <c r="F4241">
        <v>1</v>
      </c>
      <c r="G4241">
        <v>9791136934055</v>
      </c>
      <c r="H4241" t="s">
        <v>26</v>
      </c>
      <c r="I4241" t="s">
        <v>1971</v>
      </c>
      <c r="J4241" t="s">
        <v>1348</v>
      </c>
      <c r="K4241" t="s">
        <v>29</v>
      </c>
      <c r="L4241">
        <v>0</v>
      </c>
      <c r="M4241" t="s">
        <v>29</v>
      </c>
      <c r="N4241">
        <v>0</v>
      </c>
      <c r="O4241">
        <v>0</v>
      </c>
      <c r="P4241" t="s">
        <v>30</v>
      </c>
      <c r="Q4241" s="2">
        <v>0.7</v>
      </c>
      <c r="R4241">
        <v>0</v>
      </c>
      <c r="V4241" t="str">
        <f>VLOOKUP(H4241,'[1]팀별 출판사'!A:B,2,0)</f>
        <v>소설1팀</v>
      </c>
      <c r="W4241" s="6">
        <f t="shared" si="132"/>
        <v>0</v>
      </c>
      <c r="X4241" s="6">
        <f t="shared" si="133"/>
        <v>0</v>
      </c>
    </row>
    <row r="4242" spans="1:24" x14ac:dyDescent="0.3">
      <c r="A4242" t="s">
        <v>5723</v>
      </c>
      <c r="B4242" t="s">
        <v>5900</v>
      </c>
      <c r="C4242" t="s">
        <v>23</v>
      </c>
      <c r="D4242" t="s">
        <v>24</v>
      </c>
      <c r="E4242" t="s">
        <v>25</v>
      </c>
      <c r="F4242">
        <v>1</v>
      </c>
      <c r="G4242">
        <v>9791175302488</v>
      </c>
      <c r="H4242" t="s">
        <v>26</v>
      </c>
      <c r="I4242" t="s">
        <v>602</v>
      </c>
      <c r="J4242" t="s">
        <v>603</v>
      </c>
      <c r="K4242" t="s">
        <v>29</v>
      </c>
      <c r="L4242">
        <v>0</v>
      </c>
      <c r="M4242" t="s">
        <v>29</v>
      </c>
      <c r="N4242">
        <v>0</v>
      </c>
      <c r="O4242">
        <v>0</v>
      </c>
      <c r="P4242" t="s">
        <v>30</v>
      </c>
      <c r="Q4242" s="2">
        <v>0.7</v>
      </c>
      <c r="R4242">
        <v>0</v>
      </c>
      <c r="V4242" t="str">
        <f>VLOOKUP(H4242,'[1]팀별 출판사'!A:B,2,0)</f>
        <v>소설1팀</v>
      </c>
      <c r="W4242" s="6">
        <f t="shared" si="132"/>
        <v>0</v>
      </c>
      <c r="X4242" s="6">
        <f t="shared" si="133"/>
        <v>0</v>
      </c>
    </row>
    <row r="4243" spans="1:24" x14ac:dyDescent="0.3">
      <c r="A4243" t="s">
        <v>5723</v>
      </c>
      <c r="B4243" t="s">
        <v>5901</v>
      </c>
      <c r="C4243" t="s">
        <v>23</v>
      </c>
      <c r="D4243" t="s">
        <v>24</v>
      </c>
      <c r="E4243" t="s">
        <v>25</v>
      </c>
      <c r="F4243">
        <v>1</v>
      </c>
      <c r="G4243">
        <v>9791136931405</v>
      </c>
      <c r="H4243" t="s">
        <v>32</v>
      </c>
      <c r="I4243" t="s">
        <v>631</v>
      </c>
      <c r="J4243" t="s">
        <v>46</v>
      </c>
      <c r="K4243" t="s">
        <v>29</v>
      </c>
      <c r="L4243">
        <v>0</v>
      </c>
      <c r="M4243" t="s">
        <v>29</v>
      </c>
      <c r="N4243">
        <v>0</v>
      </c>
      <c r="O4243">
        <v>0</v>
      </c>
      <c r="P4243" t="s">
        <v>30</v>
      </c>
      <c r="Q4243" s="2">
        <v>0.7</v>
      </c>
      <c r="R4243">
        <v>0</v>
      </c>
      <c r="V4243" t="str">
        <f>VLOOKUP(H4243,'[1]팀별 출판사'!A:B,2,0)</f>
        <v>소설1팀</v>
      </c>
      <c r="W4243" s="6">
        <f t="shared" si="132"/>
        <v>0</v>
      </c>
      <c r="X4243" s="6">
        <f t="shared" si="133"/>
        <v>0</v>
      </c>
    </row>
    <row r="4244" spans="1:24" x14ac:dyDescent="0.3">
      <c r="V4244" t="e">
        <f>VLOOKUP(H4244,'[1]팀별 출판사'!A:B,2,0)</f>
        <v>#N/A</v>
      </c>
      <c r="W4244" s="6">
        <f t="shared" si="132"/>
        <v>0</v>
      </c>
      <c r="X4244" s="6">
        <f t="shared" si="133"/>
        <v>0</v>
      </c>
    </row>
    <row r="4245" spans="1:24" x14ac:dyDescent="0.3">
      <c r="V4245" t="e">
        <f>VLOOKUP(H4245,'[1]팀별 출판사'!A:B,2,0)</f>
        <v>#N/A</v>
      </c>
      <c r="W4245" s="6">
        <f t="shared" si="132"/>
        <v>0</v>
      </c>
      <c r="X4245" s="6">
        <f t="shared" si="133"/>
        <v>0</v>
      </c>
    </row>
    <row r="4246" spans="1:24" x14ac:dyDescent="0.3">
      <c r="V4246" t="e">
        <f>VLOOKUP(H4246,'[1]팀별 출판사'!A:B,2,0)</f>
        <v>#N/A</v>
      </c>
      <c r="W4246" s="6">
        <f t="shared" si="132"/>
        <v>0</v>
      </c>
      <c r="X4246" s="6">
        <f t="shared" si="133"/>
        <v>0</v>
      </c>
    </row>
    <row r="4247" spans="1:24" x14ac:dyDescent="0.3">
      <c r="V4247" t="e">
        <f>VLOOKUP(H4247,'[1]팀별 출판사'!A:B,2,0)</f>
        <v>#N/A</v>
      </c>
      <c r="W4247" s="6">
        <f t="shared" si="132"/>
        <v>0</v>
      </c>
      <c r="X4247" s="6">
        <f t="shared" si="133"/>
        <v>0</v>
      </c>
    </row>
    <row r="4248" spans="1:24" x14ac:dyDescent="0.3">
      <c r="V4248" t="e">
        <f>VLOOKUP(H4248,'[1]팀별 출판사'!A:B,2,0)</f>
        <v>#N/A</v>
      </c>
      <c r="W4248" s="6">
        <f t="shared" si="132"/>
        <v>0</v>
      </c>
      <c r="X4248" s="6">
        <f t="shared" si="133"/>
        <v>0</v>
      </c>
    </row>
    <row r="4249" spans="1:24" x14ac:dyDescent="0.3">
      <c r="V4249" t="e">
        <f>VLOOKUP(H4249,'[1]팀별 출판사'!A:B,2,0)</f>
        <v>#N/A</v>
      </c>
      <c r="W4249" s="6">
        <f t="shared" si="132"/>
        <v>0</v>
      </c>
      <c r="X4249" s="6">
        <f t="shared" si="133"/>
        <v>0</v>
      </c>
    </row>
    <row r="4250" spans="1:24" x14ac:dyDescent="0.3">
      <c r="V4250" t="e">
        <f>VLOOKUP(H4250,'[1]팀별 출판사'!A:B,2,0)</f>
        <v>#N/A</v>
      </c>
      <c r="W4250" s="6">
        <f t="shared" si="132"/>
        <v>0</v>
      </c>
      <c r="X4250" s="6">
        <f t="shared" si="133"/>
        <v>0</v>
      </c>
    </row>
    <row r="4251" spans="1:24" x14ac:dyDescent="0.3">
      <c r="V4251" t="e">
        <f>VLOOKUP(H4251,'[1]팀별 출판사'!A:B,2,0)</f>
        <v>#N/A</v>
      </c>
      <c r="W4251" s="6">
        <f t="shared" si="132"/>
        <v>0</v>
      </c>
      <c r="X4251" s="6">
        <f t="shared" si="133"/>
        <v>0</v>
      </c>
    </row>
    <row r="4252" spans="1:24" x14ac:dyDescent="0.3">
      <c r="V4252" t="e">
        <f>VLOOKUP(H4252,'[1]팀별 출판사'!A:B,2,0)</f>
        <v>#N/A</v>
      </c>
      <c r="W4252" s="6">
        <f t="shared" si="132"/>
        <v>0</v>
      </c>
      <c r="X4252" s="6">
        <f t="shared" si="133"/>
        <v>0</v>
      </c>
    </row>
    <row r="4253" spans="1:24" x14ac:dyDescent="0.3">
      <c r="V4253" t="e">
        <f>VLOOKUP(H4253,'[1]팀별 출판사'!A:B,2,0)</f>
        <v>#N/A</v>
      </c>
      <c r="W4253" s="6">
        <f t="shared" si="132"/>
        <v>0</v>
      </c>
      <c r="X4253" s="6">
        <f t="shared" si="133"/>
        <v>0</v>
      </c>
    </row>
    <row r="4254" spans="1:24" x14ac:dyDescent="0.3">
      <c r="V4254" t="e">
        <f>VLOOKUP(H4254,'[1]팀별 출판사'!A:B,2,0)</f>
        <v>#N/A</v>
      </c>
      <c r="W4254" s="6">
        <f t="shared" si="132"/>
        <v>0</v>
      </c>
      <c r="X4254" s="6">
        <f t="shared" si="133"/>
        <v>0</v>
      </c>
    </row>
    <row r="4255" spans="1:24" x14ac:dyDescent="0.3">
      <c r="V4255" t="e">
        <f>VLOOKUP(H4255,'[1]팀별 출판사'!A:B,2,0)</f>
        <v>#N/A</v>
      </c>
      <c r="W4255" s="6">
        <f t="shared" si="132"/>
        <v>0</v>
      </c>
      <c r="X4255" s="6">
        <f t="shared" si="133"/>
        <v>0</v>
      </c>
    </row>
    <row r="4256" spans="1:24" x14ac:dyDescent="0.3">
      <c r="V4256" t="e">
        <f>VLOOKUP(H4256,'[1]팀별 출판사'!A:B,2,0)</f>
        <v>#N/A</v>
      </c>
      <c r="W4256" s="6">
        <f t="shared" si="132"/>
        <v>0</v>
      </c>
      <c r="X4256" s="6">
        <f t="shared" si="133"/>
        <v>0</v>
      </c>
    </row>
    <row r="4257" spans="22:24" x14ac:dyDescent="0.3">
      <c r="V4257" t="e">
        <f>VLOOKUP(H4257,'[1]팀별 출판사'!A:B,2,0)</f>
        <v>#N/A</v>
      </c>
      <c r="W4257" s="6">
        <f t="shared" si="132"/>
        <v>0</v>
      </c>
      <c r="X4257" s="6">
        <f t="shared" si="133"/>
        <v>0</v>
      </c>
    </row>
    <row r="4258" spans="22:24" x14ac:dyDescent="0.3">
      <c r="V4258" t="e">
        <f>VLOOKUP(H4258,'[1]팀별 출판사'!A:B,2,0)</f>
        <v>#N/A</v>
      </c>
      <c r="W4258" s="6">
        <f t="shared" si="132"/>
        <v>0</v>
      </c>
      <c r="X4258" s="6">
        <f t="shared" si="133"/>
        <v>0</v>
      </c>
    </row>
    <row r="4259" spans="22:24" x14ac:dyDescent="0.3">
      <c r="V4259" t="e">
        <f>VLOOKUP(H4259,'[1]팀별 출판사'!A:B,2,0)</f>
        <v>#N/A</v>
      </c>
      <c r="W4259" s="6">
        <f t="shared" si="132"/>
        <v>0</v>
      </c>
      <c r="X4259" s="6">
        <f t="shared" si="133"/>
        <v>0</v>
      </c>
    </row>
    <row r="4260" spans="22:24" x14ac:dyDescent="0.3">
      <c r="V4260" t="e">
        <f>VLOOKUP(H4260,'[1]팀별 출판사'!A:B,2,0)</f>
        <v>#N/A</v>
      </c>
      <c r="W4260" s="6">
        <f t="shared" si="132"/>
        <v>0</v>
      </c>
      <c r="X4260" s="6">
        <f t="shared" si="133"/>
        <v>0</v>
      </c>
    </row>
    <row r="4261" spans="22:24" x14ac:dyDescent="0.3">
      <c r="V4261" t="e">
        <f>VLOOKUP(H4261,'[1]팀별 출판사'!A:B,2,0)</f>
        <v>#N/A</v>
      </c>
      <c r="W4261" s="6">
        <f t="shared" si="132"/>
        <v>0</v>
      </c>
      <c r="X4261" s="6">
        <f t="shared" si="133"/>
        <v>0</v>
      </c>
    </row>
    <row r="4262" spans="22:24" x14ac:dyDescent="0.3">
      <c r="V4262" t="e">
        <f>VLOOKUP(H4262,'[1]팀별 출판사'!A:B,2,0)</f>
        <v>#N/A</v>
      </c>
      <c r="W4262" s="6">
        <f t="shared" si="132"/>
        <v>0</v>
      </c>
      <c r="X4262" s="6">
        <f t="shared" si="133"/>
        <v>0</v>
      </c>
    </row>
    <row r="4263" spans="22:24" x14ac:dyDescent="0.3">
      <c r="V4263" t="e">
        <f>VLOOKUP(H4263,'[1]팀별 출판사'!A:B,2,0)</f>
        <v>#N/A</v>
      </c>
      <c r="W4263" s="6">
        <f t="shared" si="132"/>
        <v>0</v>
      </c>
      <c r="X4263" s="6">
        <f t="shared" si="133"/>
        <v>0</v>
      </c>
    </row>
    <row r="4264" spans="22:24" x14ac:dyDescent="0.3">
      <c r="V4264" t="e">
        <f>VLOOKUP(H4264,'[1]팀별 출판사'!A:B,2,0)</f>
        <v>#N/A</v>
      </c>
      <c r="W4264" s="6">
        <f t="shared" si="132"/>
        <v>0</v>
      </c>
      <c r="X4264" s="6">
        <f t="shared" si="133"/>
        <v>0</v>
      </c>
    </row>
    <row r="4265" spans="22:24" x14ac:dyDescent="0.3">
      <c r="V4265" t="e">
        <f>VLOOKUP(H4265,'[1]팀별 출판사'!A:B,2,0)</f>
        <v>#N/A</v>
      </c>
      <c r="W4265" s="6">
        <f t="shared" si="132"/>
        <v>0</v>
      </c>
      <c r="X4265" s="6">
        <f t="shared" si="133"/>
        <v>0</v>
      </c>
    </row>
    <row r="4266" spans="22:24" x14ac:dyDescent="0.3">
      <c r="V4266" t="e">
        <f>VLOOKUP(H4266,'[1]팀별 출판사'!A:B,2,0)</f>
        <v>#N/A</v>
      </c>
      <c r="W4266" s="6">
        <f t="shared" si="132"/>
        <v>0</v>
      </c>
      <c r="X4266" s="6">
        <f t="shared" si="133"/>
        <v>0</v>
      </c>
    </row>
    <row r="4267" spans="22:24" x14ac:dyDescent="0.3">
      <c r="V4267" t="e">
        <f>VLOOKUP(H4267,'[1]팀별 출판사'!A:B,2,0)</f>
        <v>#N/A</v>
      </c>
      <c r="W4267" s="6">
        <f t="shared" si="132"/>
        <v>0</v>
      </c>
      <c r="X4267" s="6">
        <f t="shared" si="133"/>
        <v>0</v>
      </c>
    </row>
    <row r="4268" spans="22:24" x14ac:dyDescent="0.3">
      <c r="V4268" t="e">
        <f>VLOOKUP(H4268,'[1]팀별 출판사'!A:B,2,0)</f>
        <v>#N/A</v>
      </c>
      <c r="W4268" s="6">
        <f t="shared" si="132"/>
        <v>0</v>
      </c>
      <c r="X4268" s="6">
        <f t="shared" si="133"/>
        <v>0</v>
      </c>
    </row>
    <row r="4269" spans="22:24" x14ac:dyDescent="0.3">
      <c r="V4269" t="e">
        <f>VLOOKUP(H4269,'[1]팀별 출판사'!A:B,2,0)</f>
        <v>#N/A</v>
      </c>
      <c r="W4269" s="6">
        <f t="shared" si="132"/>
        <v>0</v>
      </c>
      <c r="X4269" s="6">
        <f t="shared" si="133"/>
        <v>0</v>
      </c>
    </row>
    <row r="4270" spans="22:24" x14ac:dyDescent="0.3">
      <c r="V4270" t="e">
        <f>VLOOKUP(H4270,'[1]팀별 출판사'!A:B,2,0)</f>
        <v>#N/A</v>
      </c>
      <c r="W4270" s="6">
        <f t="shared" si="132"/>
        <v>0</v>
      </c>
      <c r="X4270" s="6">
        <f t="shared" si="133"/>
        <v>0</v>
      </c>
    </row>
    <row r="4271" spans="22:24" x14ac:dyDescent="0.3">
      <c r="V4271" t="e">
        <f>VLOOKUP(H4271,'[1]팀별 출판사'!A:B,2,0)</f>
        <v>#N/A</v>
      </c>
      <c r="W4271" s="6">
        <f t="shared" si="132"/>
        <v>0</v>
      </c>
      <c r="X4271" s="6">
        <f t="shared" si="133"/>
        <v>0</v>
      </c>
    </row>
    <row r="4272" spans="22:24" x14ac:dyDescent="0.3">
      <c r="V4272" t="e">
        <f>VLOOKUP(H4272,'[1]팀별 출판사'!A:B,2,0)</f>
        <v>#N/A</v>
      </c>
      <c r="W4272" s="6">
        <f t="shared" si="132"/>
        <v>0</v>
      </c>
      <c r="X4272" s="6">
        <f t="shared" si="133"/>
        <v>0</v>
      </c>
    </row>
    <row r="4273" spans="22:24" x14ac:dyDescent="0.3">
      <c r="V4273" t="e">
        <f>VLOOKUP(H4273,'[1]팀별 출판사'!A:B,2,0)</f>
        <v>#N/A</v>
      </c>
      <c r="W4273" s="6">
        <f t="shared" si="132"/>
        <v>0</v>
      </c>
      <c r="X4273" s="6">
        <f t="shared" si="133"/>
        <v>0</v>
      </c>
    </row>
    <row r="4274" spans="22:24" x14ac:dyDescent="0.3">
      <c r="V4274" t="e">
        <f>VLOOKUP(H4274,'[1]팀별 출판사'!A:B,2,0)</f>
        <v>#N/A</v>
      </c>
      <c r="W4274" s="6">
        <f t="shared" si="132"/>
        <v>0</v>
      </c>
      <c r="X4274" s="6">
        <f t="shared" si="133"/>
        <v>0</v>
      </c>
    </row>
    <row r="4275" spans="22:24" x14ac:dyDescent="0.3">
      <c r="V4275" t="e">
        <f>VLOOKUP(H4275,'[1]팀별 출판사'!A:B,2,0)</f>
        <v>#N/A</v>
      </c>
      <c r="W4275" s="6">
        <f t="shared" si="132"/>
        <v>0</v>
      </c>
      <c r="X4275" s="6">
        <f t="shared" si="133"/>
        <v>0</v>
      </c>
    </row>
    <row r="4276" spans="22:24" x14ac:dyDescent="0.3">
      <c r="V4276" t="e">
        <f>VLOOKUP(H4276,'[1]팀별 출판사'!A:B,2,0)</f>
        <v>#N/A</v>
      </c>
      <c r="W4276" s="6">
        <f t="shared" si="132"/>
        <v>0</v>
      </c>
      <c r="X4276" s="6">
        <f t="shared" si="133"/>
        <v>0</v>
      </c>
    </row>
    <row r="4277" spans="22:24" x14ac:dyDescent="0.3">
      <c r="V4277" t="e">
        <f>VLOOKUP(H4277,'[1]팀별 출판사'!A:B,2,0)</f>
        <v>#N/A</v>
      </c>
      <c r="W4277" s="6">
        <f t="shared" si="132"/>
        <v>0</v>
      </c>
      <c r="X4277" s="6">
        <f t="shared" si="133"/>
        <v>0</v>
      </c>
    </row>
    <row r="4278" spans="22:24" x14ac:dyDescent="0.3">
      <c r="V4278" t="e">
        <f>VLOOKUP(H4278,'[1]팀별 출판사'!A:B,2,0)</f>
        <v>#N/A</v>
      </c>
      <c r="W4278" s="6">
        <f t="shared" si="132"/>
        <v>0</v>
      </c>
      <c r="X4278" s="6">
        <f t="shared" si="133"/>
        <v>0</v>
      </c>
    </row>
    <row r="4279" spans="22:24" x14ac:dyDescent="0.3">
      <c r="V4279" t="e">
        <f>VLOOKUP(H4279,'[1]팀별 출판사'!A:B,2,0)</f>
        <v>#N/A</v>
      </c>
      <c r="W4279" s="6">
        <f t="shared" si="132"/>
        <v>0</v>
      </c>
      <c r="X4279" s="6">
        <f t="shared" si="133"/>
        <v>0</v>
      </c>
    </row>
    <row r="4280" spans="22:24" x14ac:dyDescent="0.3">
      <c r="V4280" t="e">
        <f>VLOOKUP(H4280,'[1]팀별 출판사'!A:B,2,0)</f>
        <v>#N/A</v>
      </c>
      <c r="W4280" s="6">
        <f t="shared" si="132"/>
        <v>0</v>
      </c>
      <c r="X4280" s="6">
        <f t="shared" si="133"/>
        <v>0</v>
      </c>
    </row>
    <row r="4281" spans="22:24" x14ac:dyDescent="0.3">
      <c r="V4281" t="e">
        <f>VLOOKUP(H4281,'[1]팀별 출판사'!A:B,2,0)</f>
        <v>#N/A</v>
      </c>
      <c r="W4281" s="6">
        <f t="shared" si="132"/>
        <v>0</v>
      </c>
      <c r="X4281" s="6">
        <f t="shared" si="133"/>
        <v>0</v>
      </c>
    </row>
    <row r="4282" spans="22:24" x14ac:dyDescent="0.3">
      <c r="V4282" t="e">
        <f>VLOOKUP(H4282,'[1]팀별 출판사'!A:B,2,0)</f>
        <v>#N/A</v>
      </c>
      <c r="W4282" s="6">
        <f t="shared" si="132"/>
        <v>0</v>
      </c>
      <c r="X4282" s="6">
        <f t="shared" si="133"/>
        <v>0</v>
      </c>
    </row>
    <row r="4283" spans="22:24" x14ac:dyDescent="0.3">
      <c r="V4283" t="e">
        <f>VLOOKUP(H4283,'[1]팀별 출판사'!A:B,2,0)</f>
        <v>#N/A</v>
      </c>
      <c r="W4283" s="6">
        <f t="shared" si="132"/>
        <v>0</v>
      </c>
      <c r="X4283" s="6">
        <f t="shared" si="133"/>
        <v>0</v>
      </c>
    </row>
    <row r="4284" spans="22:24" x14ac:dyDescent="0.3">
      <c r="V4284" t="e">
        <f>VLOOKUP(H4284,'[1]팀별 출판사'!A:B,2,0)</f>
        <v>#N/A</v>
      </c>
      <c r="W4284" s="6">
        <f t="shared" si="132"/>
        <v>0</v>
      </c>
      <c r="X4284" s="6">
        <f t="shared" si="133"/>
        <v>0</v>
      </c>
    </row>
    <row r="4285" spans="22:24" x14ac:dyDescent="0.3">
      <c r="V4285" t="e">
        <f>VLOOKUP(H4285,'[1]팀별 출판사'!A:B,2,0)</f>
        <v>#N/A</v>
      </c>
      <c r="W4285" s="6">
        <f t="shared" si="132"/>
        <v>0</v>
      </c>
      <c r="X4285" s="6">
        <f t="shared" si="133"/>
        <v>0</v>
      </c>
    </row>
    <row r="4286" spans="22:24" x14ac:dyDescent="0.3">
      <c r="V4286" t="e">
        <f>VLOOKUP(H4286,'[1]팀별 출판사'!A:B,2,0)</f>
        <v>#N/A</v>
      </c>
      <c r="W4286" s="6">
        <f t="shared" si="132"/>
        <v>0</v>
      </c>
      <c r="X4286" s="6">
        <f t="shared" si="133"/>
        <v>0</v>
      </c>
    </row>
    <row r="4287" spans="22:24" x14ac:dyDescent="0.3">
      <c r="V4287" t="e">
        <f>VLOOKUP(H4287,'[1]팀별 출판사'!A:B,2,0)</f>
        <v>#N/A</v>
      </c>
      <c r="W4287" s="6">
        <f t="shared" si="132"/>
        <v>0</v>
      </c>
      <c r="X4287" s="6">
        <f t="shared" si="133"/>
        <v>0</v>
      </c>
    </row>
    <row r="4288" spans="22:24" x14ac:dyDescent="0.3">
      <c r="V4288" t="e">
        <f>VLOOKUP(H4288,'[1]팀별 출판사'!A:B,2,0)</f>
        <v>#N/A</v>
      </c>
      <c r="W4288" s="6">
        <f t="shared" si="132"/>
        <v>0</v>
      </c>
      <c r="X4288" s="6">
        <f t="shared" si="133"/>
        <v>0</v>
      </c>
    </row>
    <row r="4289" spans="22:24" x14ac:dyDescent="0.3">
      <c r="V4289" t="e">
        <f>VLOOKUP(H4289,'[1]팀별 출판사'!A:B,2,0)</f>
        <v>#N/A</v>
      </c>
      <c r="W4289" s="6">
        <f t="shared" si="132"/>
        <v>0</v>
      </c>
      <c r="X4289" s="6">
        <f t="shared" si="133"/>
        <v>0</v>
      </c>
    </row>
    <row r="4290" spans="22:24" x14ac:dyDescent="0.3">
      <c r="V4290" t="e">
        <f>VLOOKUP(H4290,'[1]팀별 출판사'!A:B,2,0)</f>
        <v>#N/A</v>
      </c>
      <c r="W4290" s="6">
        <f t="shared" ref="W4290:W4353" si="134">IF(P4290="US", T4290*30%, 0)</f>
        <v>0</v>
      </c>
      <c r="X4290" s="6">
        <f t="shared" ref="X4290:X4353" si="135">T4290-W4290</f>
        <v>0</v>
      </c>
    </row>
    <row r="4291" spans="22:24" x14ac:dyDescent="0.3">
      <c r="V4291" t="e">
        <f>VLOOKUP(H4291,'[1]팀별 출판사'!A:B,2,0)</f>
        <v>#N/A</v>
      </c>
      <c r="W4291" s="6">
        <f t="shared" si="134"/>
        <v>0</v>
      </c>
      <c r="X4291" s="6">
        <f t="shared" si="135"/>
        <v>0</v>
      </c>
    </row>
    <row r="4292" spans="22:24" x14ac:dyDescent="0.3">
      <c r="V4292" t="e">
        <f>VLOOKUP(H4292,'[1]팀별 출판사'!A:B,2,0)</f>
        <v>#N/A</v>
      </c>
      <c r="W4292" s="6">
        <f t="shared" si="134"/>
        <v>0</v>
      </c>
      <c r="X4292" s="6">
        <f t="shared" si="135"/>
        <v>0</v>
      </c>
    </row>
    <row r="4293" spans="22:24" x14ac:dyDescent="0.3">
      <c r="V4293" t="e">
        <f>VLOOKUP(H4293,'[1]팀별 출판사'!A:B,2,0)</f>
        <v>#N/A</v>
      </c>
      <c r="W4293" s="6">
        <f t="shared" si="134"/>
        <v>0</v>
      </c>
      <c r="X4293" s="6">
        <f t="shared" si="135"/>
        <v>0</v>
      </c>
    </row>
    <row r="4294" spans="22:24" x14ac:dyDescent="0.3">
      <c r="V4294" t="e">
        <f>VLOOKUP(H4294,'[1]팀별 출판사'!A:B,2,0)</f>
        <v>#N/A</v>
      </c>
      <c r="W4294" s="6">
        <f t="shared" si="134"/>
        <v>0</v>
      </c>
      <c r="X4294" s="6">
        <f t="shared" si="135"/>
        <v>0</v>
      </c>
    </row>
    <row r="4295" spans="22:24" x14ac:dyDescent="0.3">
      <c r="V4295" t="e">
        <f>VLOOKUP(H4295,'[1]팀별 출판사'!A:B,2,0)</f>
        <v>#N/A</v>
      </c>
      <c r="W4295" s="6">
        <f t="shared" si="134"/>
        <v>0</v>
      </c>
      <c r="X4295" s="6">
        <f t="shared" si="135"/>
        <v>0</v>
      </c>
    </row>
    <row r="4296" spans="22:24" x14ac:dyDescent="0.3">
      <c r="V4296" t="e">
        <f>VLOOKUP(H4296,'[1]팀별 출판사'!A:B,2,0)</f>
        <v>#N/A</v>
      </c>
      <c r="W4296" s="6">
        <f t="shared" si="134"/>
        <v>0</v>
      </c>
      <c r="X4296" s="6">
        <f t="shared" si="135"/>
        <v>0</v>
      </c>
    </row>
    <row r="4297" spans="22:24" x14ac:dyDescent="0.3">
      <c r="V4297" t="e">
        <f>VLOOKUP(H4297,'[1]팀별 출판사'!A:B,2,0)</f>
        <v>#N/A</v>
      </c>
      <c r="W4297" s="6">
        <f t="shared" si="134"/>
        <v>0</v>
      </c>
      <c r="X4297" s="6">
        <f t="shared" si="135"/>
        <v>0</v>
      </c>
    </row>
    <row r="4298" spans="22:24" x14ac:dyDescent="0.3">
      <c r="V4298" t="e">
        <f>VLOOKUP(H4298,'[1]팀별 출판사'!A:B,2,0)</f>
        <v>#N/A</v>
      </c>
      <c r="W4298" s="6">
        <f t="shared" si="134"/>
        <v>0</v>
      </c>
      <c r="X4298" s="6">
        <f t="shared" si="135"/>
        <v>0</v>
      </c>
    </row>
    <row r="4299" spans="22:24" x14ac:dyDescent="0.3">
      <c r="V4299" t="e">
        <f>VLOOKUP(H4299,'[1]팀별 출판사'!A:B,2,0)</f>
        <v>#N/A</v>
      </c>
      <c r="W4299" s="6">
        <f t="shared" si="134"/>
        <v>0</v>
      </c>
      <c r="X4299" s="6">
        <f t="shared" si="135"/>
        <v>0</v>
      </c>
    </row>
    <row r="4300" spans="22:24" x14ac:dyDescent="0.3">
      <c r="V4300" t="e">
        <f>VLOOKUP(H4300,'[1]팀별 출판사'!A:B,2,0)</f>
        <v>#N/A</v>
      </c>
      <c r="W4300" s="6">
        <f t="shared" si="134"/>
        <v>0</v>
      </c>
      <c r="X4300" s="6">
        <f t="shared" si="135"/>
        <v>0</v>
      </c>
    </row>
    <row r="4301" spans="22:24" x14ac:dyDescent="0.3">
      <c r="V4301" t="e">
        <f>VLOOKUP(H4301,'[1]팀별 출판사'!A:B,2,0)</f>
        <v>#N/A</v>
      </c>
      <c r="W4301" s="6">
        <f t="shared" si="134"/>
        <v>0</v>
      </c>
      <c r="X4301" s="6">
        <f t="shared" si="135"/>
        <v>0</v>
      </c>
    </row>
    <row r="4302" spans="22:24" x14ac:dyDescent="0.3">
      <c r="V4302" t="e">
        <f>VLOOKUP(H4302,'[1]팀별 출판사'!A:B,2,0)</f>
        <v>#N/A</v>
      </c>
      <c r="W4302" s="6">
        <f t="shared" si="134"/>
        <v>0</v>
      </c>
      <c r="X4302" s="6">
        <f t="shared" si="135"/>
        <v>0</v>
      </c>
    </row>
    <row r="4303" spans="22:24" x14ac:dyDescent="0.3">
      <c r="V4303" t="e">
        <f>VLOOKUP(H4303,'[1]팀별 출판사'!A:B,2,0)</f>
        <v>#N/A</v>
      </c>
      <c r="W4303" s="6">
        <f t="shared" si="134"/>
        <v>0</v>
      </c>
      <c r="X4303" s="6">
        <f t="shared" si="135"/>
        <v>0</v>
      </c>
    </row>
    <row r="4304" spans="22:24" x14ac:dyDescent="0.3">
      <c r="V4304" t="e">
        <f>VLOOKUP(H4304,'[1]팀별 출판사'!A:B,2,0)</f>
        <v>#N/A</v>
      </c>
      <c r="W4304" s="6">
        <f t="shared" si="134"/>
        <v>0</v>
      </c>
      <c r="X4304" s="6">
        <f t="shared" si="135"/>
        <v>0</v>
      </c>
    </row>
    <row r="4305" spans="22:24" x14ac:dyDescent="0.3">
      <c r="V4305" t="e">
        <f>VLOOKUP(H4305,'[1]팀별 출판사'!A:B,2,0)</f>
        <v>#N/A</v>
      </c>
      <c r="W4305" s="6">
        <f t="shared" si="134"/>
        <v>0</v>
      </c>
      <c r="X4305" s="6">
        <f t="shared" si="135"/>
        <v>0</v>
      </c>
    </row>
    <row r="4306" spans="22:24" x14ac:dyDescent="0.3">
      <c r="V4306" t="e">
        <f>VLOOKUP(H4306,'[1]팀별 출판사'!A:B,2,0)</f>
        <v>#N/A</v>
      </c>
      <c r="W4306" s="6">
        <f t="shared" si="134"/>
        <v>0</v>
      </c>
      <c r="X4306" s="6">
        <f t="shared" si="135"/>
        <v>0</v>
      </c>
    </row>
    <row r="4307" spans="22:24" x14ac:dyDescent="0.3">
      <c r="V4307" t="e">
        <f>VLOOKUP(H4307,'[1]팀별 출판사'!A:B,2,0)</f>
        <v>#N/A</v>
      </c>
      <c r="W4307" s="6">
        <f t="shared" si="134"/>
        <v>0</v>
      </c>
      <c r="X4307" s="6">
        <f t="shared" si="135"/>
        <v>0</v>
      </c>
    </row>
    <row r="4308" spans="22:24" x14ac:dyDescent="0.3">
      <c r="V4308" t="e">
        <f>VLOOKUP(H4308,'[1]팀별 출판사'!A:B,2,0)</f>
        <v>#N/A</v>
      </c>
      <c r="W4308" s="6">
        <f t="shared" si="134"/>
        <v>0</v>
      </c>
      <c r="X4308" s="6">
        <f t="shared" si="135"/>
        <v>0</v>
      </c>
    </row>
    <row r="4309" spans="22:24" x14ac:dyDescent="0.3">
      <c r="V4309" t="e">
        <f>VLOOKUP(H4309,'[1]팀별 출판사'!A:B,2,0)</f>
        <v>#N/A</v>
      </c>
      <c r="W4309" s="6">
        <f t="shared" si="134"/>
        <v>0</v>
      </c>
      <c r="X4309" s="6">
        <f t="shared" si="135"/>
        <v>0</v>
      </c>
    </row>
    <row r="4310" spans="22:24" x14ac:dyDescent="0.3">
      <c r="V4310" t="e">
        <f>VLOOKUP(H4310,'[1]팀별 출판사'!A:B,2,0)</f>
        <v>#N/A</v>
      </c>
      <c r="W4310" s="6">
        <f t="shared" si="134"/>
        <v>0</v>
      </c>
      <c r="X4310" s="6">
        <f t="shared" si="135"/>
        <v>0</v>
      </c>
    </row>
    <row r="4311" spans="22:24" x14ac:dyDescent="0.3">
      <c r="V4311" t="e">
        <f>VLOOKUP(H4311,'[1]팀별 출판사'!A:B,2,0)</f>
        <v>#N/A</v>
      </c>
      <c r="W4311" s="6">
        <f t="shared" si="134"/>
        <v>0</v>
      </c>
      <c r="X4311" s="6">
        <f t="shared" si="135"/>
        <v>0</v>
      </c>
    </row>
    <row r="4312" spans="22:24" x14ac:dyDescent="0.3">
      <c r="V4312" t="e">
        <f>VLOOKUP(H4312,'[1]팀별 출판사'!A:B,2,0)</f>
        <v>#N/A</v>
      </c>
      <c r="W4312" s="6">
        <f t="shared" si="134"/>
        <v>0</v>
      </c>
      <c r="X4312" s="6">
        <f t="shared" si="135"/>
        <v>0</v>
      </c>
    </row>
    <row r="4313" spans="22:24" x14ac:dyDescent="0.3">
      <c r="V4313" t="e">
        <f>VLOOKUP(H4313,'[1]팀별 출판사'!A:B,2,0)</f>
        <v>#N/A</v>
      </c>
      <c r="W4313" s="6">
        <f t="shared" si="134"/>
        <v>0</v>
      </c>
      <c r="X4313" s="6">
        <f t="shared" si="135"/>
        <v>0</v>
      </c>
    </row>
    <row r="4314" spans="22:24" x14ac:dyDescent="0.3">
      <c r="V4314" t="e">
        <f>VLOOKUP(H4314,'[1]팀별 출판사'!A:B,2,0)</f>
        <v>#N/A</v>
      </c>
      <c r="W4314" s="6">
        <f t="shared" si="134"/>
        <v>0</v>
      </c>
      <c r="X4314" s="6">
        <f t="shared" si="135"/>
        <v>0</v>
      </c>
    </row>
    <row r="4315" spans="22:24" x14ac:dyDescent="0.3">
      <c r="V4315" t="e">
        <f>VLOOKUP(H4315,'[1]팀별 출판사'!A:B,2,0)</f>
        <v>#N/A</v>
      </c>
      <c r="W4315" s="6">
        <f t="shared" si="134"/>
        <v>0</v>
      </c>
      <c r="X4315" s="6">
        <f t="shared" si="135"/>
        <v>0</v>
      </c>
    </row>
    <row r="4316" spans="22:24" x14ac:dyDescent="0.3">
      <c r="V4316" t="e">
        <f>VLOOKUP(H4316,'[1]팀별 출판사'!A:B,2,0)</f>
        <v>#N/A</v>
      </c>
      <c r="W4316" s="6">
        <f t="shared" si="134"/>
        <v>0</v>
      </c>
      <c r="X4316" s="6">
        <f t="shared" si="135"/>
        <v>0</v>
      </c>
    </row>
    <row r="4317" spans="22:24" x14ac:dyDescent="0.3">
      <c r="V4317" t="e">
        <f>VLOOKUP(H4317,'[1]팀별 출판사'!A:B,2,0)</f>
        <v>#N/A</v>
      </c>
      <c r="W4317" s="6">
        <f t="shared" si="134"/>
        <v>0</v>
      </c>
      <c r="X4317" s="6">
        <f t="shared" si="135"/>
        <v>0</v>
      </c>
    </row>
    <row r="4318" spans="22:24" x14ac:dyDescent="0.3">
      <c r="V4318" t="e">
        <f>VLOOKUP(H4318,'[1]팀별 출판사'!A:B,2,0)</f>
        <v>#N/A</v>
      </c>
      <c r="W4318" s="6">
        <f t="shared" si="134"/>
        <v>0</v>
      </c>
      <c r="X4318" s="6">
        <f t="shared" si="135"/>
        <v>0</v>
      </c>
    </row>
    <row r="4319" spans="22:24" x14ac:dyDescent="0.3">
      <c r="V4319" t="e">
        <f>VLOOKUP(H4319,'[1]팀별 출판사'!A:B,2,0)</f>
        <v>#N/A</v>
      </c>
      <c r="W4319" s="6">
        <f t="shared" si="134"/>
        <v>0</v>
      </c>
      <c r="X4319" s="6">
        <f t="shared" si="135"/>
        <v>0</v>
      </c>
    </row>
    <row r="4320" spans="22:24" x14ac:dyDescent="0.3">
      <c r="V4320" t="e">
        <f>VLOOKUP(H4320,'[1]팀별 출판사'!A:B,2,0)</f>
        <v>#N/A</v>
      </c>
      <c r="W4320" s="6">
        <f t="shared" si="134"/>
        <v>0</v>
      </c>
      <c r="X4320" s="6">
        <f t="shared" si="135"/>
        <v>0</v>
      </c>
    </row>
    <row r="4321" spans="22:24" x14ac:dyDescent="0.3">
      <c r="V4321" t="e">
        <f>VLOOKUP(H4321,'[1]팀별 출판사'!A:B,2,0)</f>
        <v>#N/A</v>
      </c>
      <c r="W4321" s="6">
        <f t="shared" si="134"/>
        <v>0</v>
      </c>
      <c r="X4321" s="6">
        <f t="shared" si="135"/>
        <v>0</v>
      </c>
    </row>
    <row r="4322" spans="22:24" x14ac:dyDescent="0.3">
      <c r="V4322" t="e">
        <f>VLOOKUP(H4322,'[1]팀별 출판사'!A:B,2,0)</f>
        <v>#N/A</v>
      </c>
      <c r="W4322" s="6">
        <f t="shared" si="134"/>
        <v>0</v>
      </c>
      <c r="X4322" s="6">
        <f t="shared" si="135"/>
        <v>0</v>
      </c>
    </row>
    <row r="4323" spans="22:24" x14ac:dyDescent="0.3">
      <c r="V4323" t="e">
        <f>VLOOKUP(H4323,'[1]팀별 출판사'!A:B,2,0)</f>
        <v>#N/A</v>
      </c>
      <c r="W4323" s="6">
        <f t="shared" si="134"/>
        <v>0</v>
      </c>
      <c r="X4323" s="6">
        <f t="shared" si="135"/>
        <v>0</v>
      </c>
    </row>
    <row r="4324" spans="22:24" x14ac:dyDescent="0.3">
      <c r="V4324" t="e">
        <f>VLOOKUP(H4324,'[1]팀별 출판사'!A:B,2,0)</f>
        <v>#N/A</v>
      </c>
      <c r="W4324" s="6">
        <f t="shared" si="134"/>
        <v>0</v>
      </c>
      <c r="X4324" s="6">
        <f t="shared" si="135"/>
        <v>0</v>
      </c>
    </row>
    <row r="4325" spans="22:24" x14ac:dyDescent="0.3">
      <c r="V4325" t="e">
        <f>VLOOKUP(H4325,'[1]팀별 출판사'!A:B,2,0)</f>
        <v>#N/A</v>
      </c>
      <c r="W4325" s="6">
        <f t="shared" si="134"/>
        <v>0</v>
      </c>
      <c r="X4325" s="6">
        <f t="shared" si="135"/>
        <v>0</v>
      </c>
    </row>
    <row r="4326" spans="22:24" x14ac:dyDescent="0.3">
      <c r="V4326" t="e">
        <f>VLOOKUP(H4326,'[1]팀별 출판사'!A:B,2,0)</f>
        <v>#N/A</v>
      </c>
      <c r="W4326" s="6">
        <f t="shared" si="134"/>
        <v>0</v>
      </c>
      <c r="X4326" s="6">
        <f t="shared" si="135"/>
        <v>0</v>
      </c>
    </row>
    <row r="4327" spans="22:24" x14ac:dyDescent="0.3">
      <c r="V4327" t="e">
        <f>VLOOKUP(H4327,'[1]팀별 출판사'!A:B,2,0)</f>
        <v>#N/A</v>
      </c>
      <c r="W4327" s="6">
        <f t="shared" si="134"/>
        <v>0</v>
      </c>
      <c r="X4327" s="6">
        <f t="shared" si="135"/>
        <v>0</v>
      </c>
    </row>
    <row r="4328" spans="22:24" x14ac:dyDescent="0.3">
      <c r="V4328" t="e">
        <f>VLOOKUP(H4328,'[1]팀별 출판사'!A:B,2,0)</f>
        <v>#N/A</v>
      </c>
      <c r="W4328" s="6">
        <f t="shared" si="134"/>
        <v>0</v>
      </c>
      <c r="X4328" s="6">
        <f t="shared" si="135"/>
        <v>0</v>
      </c>
    </row>
    <row r="4329" spans="22:24" x14ac:dyDescent="0.3">
      <c r="V4329" t="e">
        <f>VLOOKUP(H4329,'[1]팀별 출판사'!A:B,2,0)</f>
        <v>#N/A</v>
      </c>
      <c r="W4329" s="6">
        <f t="shared" si="134"/>
        <v>0</v>
      </c>
      <c r="X4329" s="6">
        <f t="shared" si="135"/>
        <v>0</v>
      </c>
    </row>
    <row r="4330" spans="22:24" x14ac:dyDescent="0.3">
      <c r="V4330" t="e">
        <f>VLOOKUP(H4330,'[1]팀별 출판사'!A:B,2,0)</f>
        <v>#N/A</v>
      </c>
      <c r="W4330" s="6">
        <f t="shared" si="134"/>
        <v>0</v>
      </c>
      <c r="X4330" s="6">
        <f t="shared" si="135"/>
        <v>0</v>
      </c>
    </row>
    <row r="4331" spans="22:24" x14ac:dyDescent="0.3">
      <c r="V4331" t="e">
        <f>VLOOKUP(H4331,'[1]팀별 출판사'!A:B,2,0)</f>
        <v>#N/A</v>
      </c>
      <c r="W4331" s="6">
        <f t="shared" si="134"/>
        <v>0</v>
      </c>
      <c r="X4331" s="6">
        <f t="shared" si="135"/>
        <v>0</v>
      </c>
    </row>
    <row r="4332" spans="22:24" x14ac:dyDescent="0.3">
      <c r="V4332" t="e">
        <f>VLOOKUP(H4332,'[1]팀별 출판사'!A:B,2,0)</f>
        <v>#N/A</v>
      </c>
      <c r="W4332" s="6">
        <f t="shared" si="134"/>
        <v>0</v>
      </c>
      <c r="X4332" s="6">
        <f t="shared" si="135"/>
        <v>0</v>
      </c>
    </row>
    <row r="4333" spans="22:24" x14ac:dyDescent="0.3">
      <c r="V4333" t="e">
        <f>VLOOKUP(H4333,'[1]팀별 출판사'!A:B,2,0)</f>
        <v>#N/A</v>
      </c>
      <c r="W4333" s="6">
        <f t="shared" si="134"/>
        <v>0</v>
      </c>
      <c r="X4333" s="6">
        <f t="shared" si="135"/>
        <v>0</v>
      </c>
    </row>
    <row r="4334" spans="22:24" x14ac:dyDescent="0.3">
      <c r="V4334" t="e">
        <f>VLOOKUP(H4334,'[1]팀별 출판사'!A:B,2,0)</f>
        <v>#N/A</v>
      </c>
      <c r="W4334" s="6">
        <f t="shared" si="134"/>
        <v>0</v>
      </c>
      <c r="X4334" s="6">
        <f t="shared" si="135"/>
        <v>0</v>
      </c>
    </row>
    <row r="4335" spans="22:24" x14ac:dyDescent="0.3">
      <c r="V4335" t="e">
        <f>VLOOKUP(H4335,'[1]팀별 출판사'!A:B,2,0)</f>
        <v>#N/A</v>
      </c>
      <c r="W4335" s="6">
        <f t="shared" si="134"/>
        <v>0</v>
      </c>
      <c r="X4335" s="6">
        <f t="shared" si="135"/>
        <v>0</v>
      </c>
    </row>
    <row r="4336" spans="22:24" x14ac:dyDescent="0.3">
      <c r="V4336" t="e">
        <f>VLOOKUP(H4336,'[1]팀별 출판사'!A:B,2,0)</f>
        <v>#N/A</v>
      </c>
      <c r="W4336" s="6">
        <f t="shared" si="134"/>
        <v>0</v>
      </c>
      <c r="X4336" s="6">
        <f t="shared" si="135"/>
        <v>0</v>
      </c>
    </row>
    <row r="4337" spans="22:24" x14ac:dyDescent="0.3">
      <c r="V4337" t="e">
        <f>VLOOKUP(H4337,'[1]팀별 출판사'!A:B,2,0)</f>
        <v>#N/A</v>
      </c>
      <c r="W4337" s="6">
        <f t="shared" si="134"/>
        <v>0</v>
      </c>
      <c r="X4337" s="6">
        <f t="shared" si="135"/>
        <v>0</v>
      </c>
    </row>
    <row r="4338" spans="22:24" x14ac:dyDescent="0.3">
      <c r="V4338" t="e">
        <f>VLOOKUP(H4338,'[1]팀별 출판사'!A:B,2,0)</f>
        <v>#N/A</v>
      </c>
      <c r="W4338" s="6">
        <f t="shared" si="134"/>
        <v>0</v>
      </c>
      <c r="X4338" s="6">
        <f t="shared" si="135"/>
        <v>0</v>
      </c>
    </row>
    <row r="4339" spans="22:24" x14ac:dyDescent="0.3">
      <c r="V4339" t="e">
        <f>VLOOKUP(H4339,'[1]팀별 출판사'!A:B,2,0)</f>
        <v>#N/A</v>
      </c>
      <c r="W4339" s="6">
        <f t="shared" si="134"/>
        <v>0</v>
      </c>
      <c r="X4339" s="6">
        <f t="shared" si="135"/>
        <v>0</v>
      </c>
    </row>
    <row r="4340" spans="22:24" x14ac:dyDescent="0.3">
      <c r="V4340" t="e">
        <f>VLOOKUP(H4340,'[1]팀별 출판사'!A:B,2,0)</f>
        <v>#N/A</v>
      </c>
      <c r="W4340" s="6">
        <f t="shared" si="134"/>
        <v>0</v>
      </c>
      <c r="X4340" s="6">
        <f t="shared" si="135"/>
        <v>0</v>
      </c>
    </row>
    <row r="4341" spans="22:24" x14ac:dyDescent="0.3">
      <c r="V4341" t="e">
        <f>VLOOKUP(H4341,'[1]팀별 출판사'!A:B,2,0)</f>
        <v>#N/A</v>
      </c>
      <c r="W4341" s="6">
        <f t="shared" si="134"/>
        <v>0</v>
      </c>
      <c r="X4341" s="6">
        <f t="shared" si="135"/>
        <v>0</v>
      </c>
    </row>
    <row r="4342" spans="22:24" x14ac:dyDescent="0.3">
      <c r="V4342" t="e">
        <f>VLOOKUP(H4342,'[1]팀별 출판사'!A:B,2,0)</f>
        <v>#N/A</v>
      </c>
      <c r="W4342" s="6">
        <f t="shared" si="134"/>
        <v>0</v>
      </c>
      <c r="X4342" s="6">
        <f t="shared" si="135"/>
        <v>0</v>
      </c>
    </row>
    <row r="4343" spans="22:24" x14ac:dyDescent="0.3">
      <c r="V4343" t="e">
        <f>VLOOKUP(H4343,'[1]팀별 출판사'!A:B,2,0)</f>
        <v>#N/A</v>
      </c>
      <c r="W4343" s="6">
        <f t="shared" si="134"/>
        <v>0</v>
      </c>
      <c r="X4343" s="6">
        <f t="shared" si="135"/>
        <v>0</v>
      </c>
    </row>
    <row r="4344" spans="22:24" x14ac:dyDescent="0.3">
      <c r="V4344" t="e">
        <f>VLOOKUP(H4344,'[1]팀별 출판사'!A:B,2,0)</f>
        <v>#N/A</v>
      </c>
      <c r="W4344" s="6">
        <f t="shared" si="134"/>
        <v>0</v>
      </c>
      <c r="X4344" s="6">
        <f t="shared" si="135"/>
        <v>0</v>
      </c>
    </row>
    <row r="4345" spans="22:24" x14ac:dyDescent="0.3">
      <c r="V4345" t="e">
        <f>VLOOKUP(H4345,'[1]팀별 출판사'!A:B,2,0)</f>
        <v>#N/A</v>
      </c>
      <c r="W4345" s="6">
        <f t="shared" si="134"/>
        <v>0</v>
      </c>
      <c r="X4345" s="6">
        <f t="shared" si="135"/>
        <v>0</v>
      </c>
    </row>
    <row r="4346" spans="22:24" x14ac:dyDescent="0.3">
      <c r="V4346" t="e">
        <f>VLOOKUP(H4346,'[1]팀별 출판사'!A:B,2,0)</f>
        <v>#N/A</v>
      </c>
      <c r="W4346" s="6">
        <f t="shared" si="134"/>
        <v>0</v>
      </c>
      <c r="X4346" s="6">
        <f t="shared" si="135"/>
        <v>0</v>
      </c>
    </row>
    <row r="4347" spans="22:24" x14ac:dyDescent="0.3">
      <c r="V4347" t="e">
        <f>VLOOKUP(H4347,'[1]팀별 출판사'!A:B,2,0)</f>
        <v>#N/A</v>
      </c>
      <c r="W4347" s="6">
        <f t="shared" si="134"/>
        <v>0</v>
      </c>
      <c r="X4347" s="6">
        <f t="shared" si="135"/>
        <v>0</v>
      </c>
    </row>
    <row r="4348" spans="22:24" x14ac:dyDescent="0.3">
      <c r="V4348" t="e">
        <f>VLOOKUP(H4348,'[1]팀별 출판사'!A:B,2,0)</f>
        <v>#N/A</v>
      </c>
      <c r="W4348" s="6">
        <f t="shared" si="134"/>
        <v>0</v>
      </c>
      <c r="X4348" s="6">
        <f t="shared" si="135"/>
        <v>0</v>
      </c>
    </row>
    <row r="4349" spans="22:24" x14ac:dyDescent="0.3">
      <c r="V4349" t="e">
        <f>VLOOKUP(H4349,'[1]팀별 출판사'!A:B,2,0)</f>
        <v>#N/A</v>
      </c>
      <c r="W4349" s="6">
        <f t="shared" si="134"/>
        <v>0</v>
      </c>
      <c r="X4349" s="6">
        <f t="shared" si="135"/>
        <v>0</v>
      </c>
    </row>
    <row r="4350" spans="22:24" x14ac:dyDescent="0.3">
      <c r="V4350" t="e">
        <f>VLOOKUP(H4350,'[1]팀별 출판사'!A:B,2,0)</f>
        <v>#N/A</v>
      </c>
      <c r="W4350" s="6">
        <f t="shared" si="134"/>
        <v>0</v>
      </c>
      <c r="X4350" s="6">
        <f t="shared" si="135"/>
        <v>0</v>
      </c>
    </row>
    <row r="4351" spans="22:24" x14ac:dyDescent="0.3">
      <c r="V4351" t="e">
        <f>VLOOKUP(H4351,'[1]팀별 출판사'!A:B,2,0)</f>
        <v>#N/A</v>
      </c>
      <c r="W4351" s="6">
        <f t="shared" si="134"/>
        <v>0</v>
      </c>
      <c r="X4351" s="6">
        <f t="shared" si="135"/>
        <v>0</v>
      </c>
    </row>
    <row r="4352" spans="22:24" x14ac:dyDescent="0.3">
      <c r="V4352" t="e">
        <f>VLOOKUP(H4352,'[1]팀별 출판사'!A:B,2,0)</f>
        <v>#N/A</v>
      </c>
      <c r="W4352" s="6">
        <f t="shared" si="134"/>
        <v>0</v>
      </c>
      <c r="X4352" s="6">
        <f t="shared" si="135"/>
        <v>0</v>
      </c>
    </row>
    <row r="4353" spans="22:24" x14ac:dyDescent="0.3">
      <c r="V4353" t="e">
        <f>VLOOKUP(H4353,'[1]팀별 출판사'!A:B,2,0)</f>
        <v>#N/A</v>
      </c>
      <c r="W4353" s="6">
        <f t="shared" si="134"/>
        <v>0</v>
      </c>
      <c r="X4353" s="6">
        <f t="shared" si="135"/>
        <v>0</v>
      </c>
    </row>
    <row r="4354" spans="22:24" x14ac:dyDescent="0.3">
      <c r="V4354" t="e">
        <f>VLOOKUP(H4354,'[1]팀별 출판사'!A:B,2,0)</f>
        <v>#N/A</v>
      </c>
      <c r="W4354" s="6">
        <f t="shared" ref="W4354:W4417" si="136">IF(P4354="US", T4354*30%, 0)</f>
        <v>0</v>
      </c>
      <c r="X4354" s="6">
        <f t="shared" ref="X4354:X4417" si="137">T4354-W4354</f>
        <v>0</v>
      </c>
    </row>
    <row r="4355" spans="22:24" x14ac:dyDescent="0.3">
      <c r="V4355" t="e">
        <f>VLOOKUP(H4355,'[1]팀별 출판사'!A:B,2,0)</f>
        <v>#N/A</v>
      </c>
      <c r="W4355" s="6">
        <f t="shared" si="136"/>
        <v>0</v>
      </c>
      <c r="X4355" s="6">
        <f t="shared" si="137"/>
        <v>0</v>
      </c>
    </row>
    <row r="4356" spans="22:24" x14ac:dyDescent="0.3">
      <c r="V4356" t="e">
        <f>VLOOKUP(H4356,'[1]팀별 출판사'!A:B,2,0)</f>
        <v>#N/A</v>
      </c>
      <c r="W4356" s="6">
        <f t="shared" si="136"/>
        <v>0</v>
      </c>
      <c r="X4356" s="6">
        <f t="shared" si="137"/>
        <v>0</v>
      </c>
    </row>
    <row r="4357" spans="22:24" x14ac:dyDescent="0.3">
      <c r="V4357" t="e">
        <f>VLOOKUP(H4357,'[1]팀별 출판사'!A:B,2,0)</f>
        <v>#N/A</v>
      </c>
      <c r="W4357" s="6">
        <f t="shared" si="136"/>
        <v>0</v>
      </c>
      <c r="X4357" s="6">
        <f t="shared" si="137"/>
        <v>0</v>
      </c>
    </row>
    <row r="4358" spans="22:24" x14ac:dyDescent="0.3">
      <c r="V4358" t="e">
        <f>VLOOKUP(H4358,'[1]팀별 출판사'!A:B,2,0)</f>
        <v>#N/A</v>
      </c>
      <c r="W4358" s="6">
        <f t="shared" si="136"/>
        <v>0</v>
      </c>
      <c r="X4358" s="6">
        <f t="shared" si="137"/>
        <v>0</v>
      </c>
    </row>
    <row r="4359" spans="22:24" x14ac:dyDescent="0.3">
      <c r="V4359" t="e">
        <f>VLOOKUP(H4359,'[1]팀별 출판사'!A:B,2,0)</f>
        <v>#N/A</v>
      </c>
      <c r="W4359" s="6">
        <f t="shared" si="136"/>
        <v>0</v>
      </c>
      <c r="X4359" s="6">
        <f t="shared" si="137"/>
        <v>0</v>
      </c>
    </row>
    <row r="4360" spans="22:24" x14ac:dyDescent="0.3">
      <c r="V4360" t="e">
        <f>VLOOKUP(H4360,'[1]팀별 출판사'!A:B,2,0)</f>
        <v>#N/A</v>
      </c>
      <c r="W4360" s="6">
        <f t="shared" si="136"/>
        <v>0</v>
      </c>
      <c r="X4360" s="6">
        <f t="shared" si="137"/>
        <v>0</v>
      </c>
    </row>
    <row r="4361" spans="22:24" x14ac:dyDescent="0.3">
      <c r="V4361" t="e">
        <f>VLOOKUP(H4361,'[1]팀별 출판사'!A:B,2,0)</f>
        <v>#N/A</v>
      </c>
      <c r="W4361" s="6">
        <f t="shared" si="136"/>
        <v>0</v>
      </c>
      <c r="X4361" s="6">
        <f t="shared" si="137"/>
        <v>0</v>
      </c>
    </row>
    <row r="4362" spans="22:24" x14ac:dyDescent="0.3">
      <c r="V4362" t="e">
        <f>VLOOKUP(H4362,'[1]팀별 출판사'!A:B,2,0)</f>
        <v>#N/A</v>
      </c>
      <c r="W4362" s="6">
        <f t="shared" si="136"/>
        <v>0</v>
      </c>
      <c r="X4362" s="6">
        <f t="shared" si="137"/>
        <v>0</v>
      </c>
    </row>
    <row r="4363" spans="22:24" x14ac:dyDescent="0.3">
      <c r="V4363" t="e">
        <f>VLOOKUP(H4363,'[1]팀별 출판사'!A:B,2,0)</f>
        <v>#N/A</v>
      </c>
      <c r="W4363" s="6">
        <f t="shared" si="136"/>
        <v>0</v>
      </c>
      <c r="X4363" s="6">
        <f t="shared" si="137"/>
        <v>0</v>
      </c>
    </row>
    <row r="4364" spans="22:24" x14ac:dyDescent="0.3">
      <c r="V4364" t="e">
        <f>VLOOKUP(H4364,'[1]팀별 출판사'!A:B,2,0)</f>
        <v>#N/A</v>
      </c>
      <c r="W4364" s="6">
        <f t="shared" si="136"/>
        <v>0</v>
      </c>
      <c r="X4364" s="6">
        <f t="shared" si="137"/>
        <v>0</v>
      </c>
    </row>
    <row r="4365" spans="22:24" x14ac:dyDescent="0.3">
      <c r="V4365" t="e">
        <f>VLOOKUP(H4365,'[1]팀별 출판사'!A:B,2,0)</f>
        <v>#N/A</v>
      </c>
      <c r="W4365" s="6">
        <f t="shared" si="136"/>
        <v>0</v>
      </c>
      <c r="X4365" s="6">
        <f t="shared" si="137"/>
        <v>0</v>
      </c>
    </row>
    <row r="4366" spans="22:24" x14ac:dyDescent="0.3">
      <c r="V4366" t="e">
        <f>VLOOKUP(H4366,'[1]팀별 출판사'!A:B,2,0)</f>
        <v>#N/A</v>
      </c>
      <c r="W4366" s="6">
        <f t="shared" si="136"/>
        <v>0</v>
      </c>
      <c r="X4366" s="6">
        <f t="shared" si="137"/>
        <v>0</v>
      </c>
    </row>
    <row r="4367" spans="22:24" x14ac:dyDescent="0.3">
      <c r="V4367" t="e">
        <f>VLOOKUP(H4367,'[1]팀별 출판사'!A:B,2,0)</f>
        <v>#N/A</v>
      </c>
      <c r="W4367" s="6">
        <f t="shared" si="136"/>
        <v>0</v>
      </c>
      <c r="X4367" s="6">
        <f t="shared" si="137"/>
        <v>0</v>
      </c>
    </row>
    <row r="4368" spans="22:24" x14ac:dyDescent="0.3">
      <c r="V4368" t="e">
        <f>VLOOKUP(H4368,'[1]팀별 출판사'!A:B,2,0)</f>
        <v>#N/A</v>
      </c>
      <c r="W4368" s="6">
        <f t="shared" si="136"/>
        <v>0</v>
      </c>
      <c r="X4368" s="6">
        <f t="shared" si="137"/>
        <v>0</v>
      </c>
    </row>
    <row r="4369" spans="22:24" x14ac:dyDescent="0.3">
      <c r="V4369" t="e">
        <f>VLOOKUP(H4369,'[1]팀별 출판사'!A:B,2,0)</f>
        <v>#N/A</v>
      </c>
      <c r="W4369" s="6">
        <f t="shared" si="136"/>
        <v>0</v>
      </c>
      <c r="X4369" s="6">
        <f t="shared" si="137"/>
        <v>0</v>
      </c>
    </row>
    <row r="4370" spans="22:24" x14ac:dyDescent="0.3">
      <c r="V4370" t="e">
        <f>VLOOKUP(H4370,'[1]팀별 출판사'!A:B,2,0)</f>
        <v>#N/A</v>
      </c>
      <c r="W4370" s="6">
        <f t="shared" si="136"/>
        <v>0</v>
      </c>
      <c r="X4370" s="6">
        <f t="shared" si="137"/>
        <v>0</v>
      </c>
    </row>
    <row r="4371" spans="22:24" x14ac:dyDescent="0.3">
      <c r="V4371" t="e">
        <f>VLOOKUP(H4371,'[1]팀별 출판사'!A:B,2,0)</f>
        <v>#N/A</v>
      </c>
      <c r="W4371" s="6">
        <f t="shared" si="136"/>
        <v>0</v>
      </c>
      <c r="X4371" s="6">
        <f t="shared" si="137"/>
        <v>0</v>
      </c>
    </row>
    <row r="4372" spans="22:24" x14ac:dyDescent="0.3">
      <c r="V4372" t="e">
        <f>VLOOKUP(H4372,'[1]팀별 출판사'!A:B,2,0)</f>
        <v>#N/A</v>
      </c>
      <c r="W4372" s="6">
        <f t="shared" si="136"/>
        <v>0</v>
      </c>
      <c r="X4372" s="6">
        <f t="shared" si="137"/>
        <v>0</v>
      </c>
    </row>
    <row r="4373" spans="22:24" x14ac:dyDescent="0.3">
      <c r="V4373" t="e">
        <f>VLOOKUP(H4373,'[1]팀별 출판사'!A:B,2,0)</f>
        <v>#N/A</v>
      </c>
      <c r="W4373" s="6">
        <f t="shared" si="136"/>
        <v>0</v>
      </c>
      <c r="X4373" s="6">
        <f t="shared" si="137"/>
        <v>0</v>
      </c>
    </row>
    <row r="4374" spans="22:24" x14ac:dyDescent="0.3">
      <c r="V4374" t="e">
        <f>VLOOKUP(H4374,'[1]팀별 출판사'!A:B,2,0)</f>
        <v>#N/A</v>
      </c>
      <c r="W4374" s="6">
        <f t="shared" si="136"/>
        <v>0</v>
      </c>
      <c r="X4374" s="6">
        <f t="shared" si="137"/>
        <v>0</v>
      </c>
    </row>
    <row r="4375" spans="22:24" x14ac:dyDescent="0.3">
      <c r="V4375" t="e">
        <f>VLOOKUP(H4375,'[1]팀별 출판사'!A:B,2,0)</f>
        <v>#N/A</v>
      </c>
      <c r="W4375" s="6">
        <f t="shared" si="136"/>
        <v>0</v>
      </c>
      <c r="X4375" s="6">
        <f t="shared" si="137"/>
        <v>0</v>
      </c>
    </row>
    <row r="4376" spans="22:24" x14ac:dyDescent="0.3">
      <c r="V4376" t="e">
        <f>VLOOKUP(H4376,'[1]팀별 출판사'!A:B,2,0)</f>
        <v>#N/A</v>
      </c>
      <c r="W4376" s="6">
        <f t="shared" si="136"/>
        <v>0</v>
      </c>
      <c r="X4376" s="6">
        <f t="shared" si="137"/>
        <v>0</v>
      </c>
    </row>
    <row r="4377" spans="22:24" x14ac:dyDescent="0.3">
      <c r="V4377" t="e">
        <f>VLOOKUP(H4377,'[1]팀별 출판사'!A:B,2,0)</f>
        <v>#N/A</v>
      </c>
      <c r="W4377" s="6">
        <f t="shared" si="136"/>
        <v>0</v>
      </c>
      <c r="X4377" s="6">
        <f t="shared" si="137"/>
        <v>0</v>
      </c>
    </row>
    <row r="4378" spans="22:24" x14ac:dyDescent="0.3">
      <c r="V4378" t="e">
        <f>VLOOKUP(H4378,'[1]팀별 출판사'!A:B,2,0)</f>
        <v>#N/A</v>
      </c>
      <c r="W4378" s="6">
        <f t="shared" si="136"/>
        <v>0</v>
      </c>
      <c r="X4378" s="6">
        <f t="shared" si="137"/>
        <v>0</v>
      </c>
    </row>
    <row r="4379" spans="22:24" x14ac:dyDescent="0.3">
      <c r="V4379" t="e">
        <f>VLOOKUP(H4379,'[1]팀별 출판사'!A:B,2,0)</f>
        <v>#N/A</v>
      </c>
      <c r="W4379" s="6">
        <f t="shared" si="136"/>
        <v>0</v>
      </c>
      <c r="X4379" s="6">
        <f t="shared" si="137"/>
        <v>0</v>
      </c>
    </row>
    <row r="4380" spans="22:24" x14ac:dyDescent="0.3">
      <c r="V4380" t="e">
        <f>VLOOKUP(H4380,'[1]팀별 출판사'!A:B,2,0)</f>
        <v>#N/A</v>
      </c>
      <c r="W4380" s="6">
        <f t="shared" si="136"/>
        <v>0</v>
      </c>
      <c r="X4380" s="6">
        <f t="shared" si="137"/>
        <v>0</v>
      </c>
    </row>
    <row r="4381" spans="22:24" x14ac:dyDescent="0.3">
      <c r="V4381" t="e">
        <f>VLOOKUP(H4381,'[1]팀별 출판사'!A:B,2,0)</f>
        <v>#N/A</v>
      </c>
      <c r="W4381" s="6">
        <f t="shared" si="136"/>
        <v>0</v>
      </c>
      <c r="X4381" s="6">
        <f t="shared" si="137"/>
        <v>0</v>
      </c>
    </row>
    <row r="4382" spans="22:24" x14ac:dyDescent="0.3">
      <c r="V4382" t="e">
        <f>VLOOKUP(H4382,'[1]팀별 출판사'!A:B,2,0)</f>
        <v>#N/A</v>
      </c>
      <c r="W4382" s="6">
        <f t="shared" si="136"/>
        <v>0</v>
      </c>
      <c r="X4382" s="6">
        <f t="shared" si="137"/>
        <v>0</v>
      </c>
    </row>
    <row r="4383" spans="22:24" x14ac:dyDescent="0.3">
      <c r="V4383" t="e">
        <f>VLOOKUP(H4383,'[1]팀별 출판사'!A:B,2,0)</f>
        <v>#N/A</v>
      </c>
      <c r="W4383" s="6">
        <f t="shared" si="136"/>
        <v>0</v>
      </c>
      <c r="X4383" s="6">
        <f t="shared" si="137"/>
        <v>0</v>
      </c>
    </row>
    <row r="4384" spans="22:24" x14ac:dyDescent="0.3">
      <c r="V4384" t="e">
        <f>VLOOKUP(H4384,'[1]팀별 출판사'!A:B,2,0)</f>
        <v>#N/A</v>
      </c>
      <c r="W4384" s="6">
        <f t="shared" si="136"/>
        <v>0</v>
      </c>
      <c r="X4384" s="6">
        <f t="shared" si="137"/>
        <v>0</v>
      </c>
    </row>
    <row r="4385" spans="22:24" x14ac:dyDescent="0.3">
      <c r="V4385" t="e">
        <f>VLOOKUP(H4385,'[1]팀별 출판사'!A:B,2,0)</f>
        <v>#N/A</v>
      </c>
      <c r="W4385" s="6">
        <f t="shared" si="136"/>
        <v>0</v>
      </c>
      <c r="X4385" s="6">
        <f t="shared" si="137"/>
        <v>0</v>
      </c>
    </row>
    <row r="4386" spans="22:24" x14ac:dyDescent="0.3">
      <c r="V4386" t="e">
        <f>VLOOKUP(H4386,'[1]팀별 출판사'!A:B,2,0)</f>
        <v>#N/A</v>
      </c>
      <c r="W4386" s="6">
        <f t="shared" si="136"/>
        <v>0</v>
      </c>
      <c r="X4386" s="6">
        <f t="shared" si="137"/>
        <v>0</v>
      </c>
    </row>
    <row r="4387" spans="22:24" x14ac:dyDescent="0.3">
      <c r="V4387" t="e">
        <f>VLOOKUP(H4387,'[1]팀별 출판사'!A:B,2,0)</f>
        <v>#N/A</v>
      </c>
      <c r="W4387" s="6">
        <f t="shared" si="136"/>
        <v>0</v>
      </c>
      <c r="X4387" s="6">
        <f t="shared" si="137"/>
        <v>0</v>
      </c>
    </row>
    <row r="4388" spans="22:24" x14ac:dyDescent="0.3">
      <c r="V4388" t="e">
        <f>VLOOKUP(H4388,'[1]팀별 출판사'!A:B,2,0)</f>
        <v>#N/A</v>
      </c>
      <c r="W4388" s="6">
        <f t="shared" si="136"/>
        <v>0</v>
      </c>
      <c r="X4388" s="6">
        <f t="shared" si="137"/>
        <v>0</v>
      </c>
    </row>
    <row r="4389" spans="22:24" x14ac:dyDescent="0.3">
      <c r="V4389" t="e">
        <f>VLOOKUP(H4389,'[1]팀별 출판사'!A:B,2,0)</f>
        <v>#N/A</v>
      </c>
      <c r="W4389" s="6">
        <f t="shared" si="136"/>
        <v>0</v>
      </c>
      <c r="X4389" s="6">
        <f t="shared" si="137"/>
        <v>0</v>
      </c>
    </row>
    <row r="4390" spans="22:24" x14ac:dyDescent="0.3">
      <c r="V4390" t="e">
        <f>VLOOKUP(H4390,'[1]팀별 출판사'!A:B,2,0)</f>
        <v>#N/A</v>
      </c>
      <c r="W4390" s="6">
        <f t="shared" si="136"/>
        <v>0</v>
      </c>
      <c r="X4390" s="6">
        <f t="shared" si="137"/>
        <v>0</v>
      </c>
    </row>
    <row r="4391" spans="22:24" x14ac:dyDescent="0.3">
      <c r="V4391" t="e">
        <f>VLOOKUP(H4391,'[1]팀별 출판사'!A:B,2,0)</f>
        <v>#N/A</v>
      </c>
      <c r="W4391" s="6">
        <f t="shared" si="136"/>
        <v>0</v>
      </c>
      <c r="X4391" s="6">
        <f t="shared" si="137"/>
        <v>0</v>
      </c>
    </row>
    <row r="4392" spans="22:24" x14ac:dyDescent="0.3">
      <c r="V4392" t="e">
        <f>VLOOKUP(H4392,'[1]팀별 출판사'!A:B,2,0)</f>
        <v>#N/A</v>
      </c>
      <c r="W4392" s="6">
        <f t="shared" si="136"/>
        <v>0</v>
      </c>
      <c r="X4392" s="6">
        <f t="shared" si="137"/>
        <v>0</v>
      </c>
    </row>
    <row r="4393" spans="22:24" x14ac:dyDescent="0.3">
      <c r="V4393" t="e">
        <f>VLOOKUP(H4393,'[1]팀별 출판사'!A:B,2,0)</f>
        <v>#N/A</v>
      </c>
      <c r="W4393" s="6">
        <f t="shared" si="136"/>
        <v>0</v>
      </c>
      <c r="X4393" s="6">
        <f t="shared" si="137"/>
        <v>0</v>
      </c>
    </row>
    <row r="4394" spans="22:24" x14ac:dyDescent="0.3">
      <c r="V4394" t="e">
        <f>VLOOKUP(H4394,'[1]팀별 출판사'!A:B,2,0)</f>
        <v>#N/A</v>
      </c>
      <c r="W4394" s="6">
        <f t="shared" si="136"/>
        <v>0</v>
      </c>
      <c r="X4394" s="6">
        <f t="shared" si="137"/>
        <v>0</v>
      </c>
    </row>
    <row r="4395" spans="22:24" x14ac:dyDescent="0.3">
      <c r="V4395" t="e">
        <f>VLOOKUP(H4395,'[1]팀별 출판사'!A:B,2,0)</f>
        <v>#N/A</v>
      </c>
      <c r="W4395" s="6">
        <f t="shared" si="136"/>
        <v>0</v>
      </c>
      <c r="X4395" s="6">
        <f t="shared" si="137"/>
        <v>0</v>
      </c>
    </row>
    <row r="4396" spans="22:24" x14ac:dyDescent="0.3">
      <c r="V4396" t="e">
        <f>VLOOKUP(H4396,'[1]팀별 출판사'!A:B,2,0)</f>
        <v>#N/A</v>
      </c>
      <c r="W4396" s="6">
        <f t="shared" si="136"/>
        <v>0</v>
      </c>
      <c r="X4396" s="6">
        <f t="shared" si="137"/>
        <v>0</v>
      </c>
    </row>
    <row r="4397" spans="22:24" x14ac:dyDescent="0.3">
      <c r="V4397" t="e">
        <f>VLOOKUP(H4397,'[1]팀별 출판사'!A:B,2,0)</f>
        <v>#N/A</v>
      </c>
      <c r="W4397" s="6">
        <f t="shared" si="136"/>
        <v>0</v>
      </c>
      <c r="X4397" s="6">
        <f t="shared" si="137"/>
        <v>0</v>
      </c>
    </row>
    <row r="4398" spans="22:24" x14ac:dyDescent="0.3">
      <c r="V4398" t="e">
        <f>VLOOKUP(H4398,'[1]팀별 출판사'!A:B,2,0)</f>
        <v>#N/A</v>
      </c>
      <c r="W4398" s="6">
        <f t="shared" si="136"/>
        <v>0</v>
      </c>
      <c r="X4398" s="6">
        <f t="shared" si="137"/>
        <v>0</v>
      </c>
    </row>
    <row r="4399" spans="22:24" x14ac:dyDescent="0.3">
      <c r="V4399" t="e">
        <f>VLOOKUP(H4399,'[1]팀별 출판사'!A:B,2,0)</f>
        <v>#N/A</v>
      </c>
      <c r="W4399" s="6">
        <f t="shared" si="136"/>
        <v>0</v>
      </c>
      <c r="X4399" s="6">
        <f t="shared" si="137"/>
        <v>0</v>
      </c>
    </row>
    <row r="4400" spans="22:24" x14ac:dyDescent="0.3">
      <c r="V4400" t="e">
        <f>VLOOKUP(H4400,'[1]팀별 출판사'!A:B,2,0)</f>
        <v>#N/A</v>
      </c>
      <c r="W4400" s="6">
        <f t="shared" si="136"/>
        <v>0</v>
      </c>
      <c r="X4400" s="6">
        <f t="shared" si="137"/>
        <v>0</v>
      </c>
    </row>
    <row r="4401" spans="22:24" x14ac:dyDescent="0.3">
      <c r="V4401" t="e">
        <f>VLOOKUP(H4401,'[1]팀별 출판사'!A:B,2,0)</f>
        <v>#N/A</v>
      </c>
      <c r="W4401" s="6">
        <f t="shared" si="136"/>
        <v>0</v>
      </c>
      <c r="X4401" s="6">
        <f t="shared" si="137"/>
        <v>0</v>
      </c>
    </row>
    <row r="4402" spans="22:24" x14ac:dyDescent="0.3">
      <c r="V4402" t="e">
        <f>VLOOKUP(H4402,'[1]팀별 출판사'!A:B,2,0)</f>
        <v>#N/A</v>
      </c>
      <c r="W4402" s="6">
        <f t="shared" si="136"/>
        <v>0</v>
      </c>
      <c r="X4402" s="6">
        <f t="shared" si="137"/>
        <v>0</v>
      </c>
    </row>
    <row r="4403" spans="22:24" x14ac:dyDescent="0.3">
      <c r="V4403" t="e">
        <f>VLOOKUP(H4403,'[1]팀별 출판사'!A:B,2,0)</f>
        <v>#N/A</v>
      </c>
      <c r="W4403" s="6">
        <f t="shared" si="136"/>
        <v>0</v>
      </c>
      <c r="X4403" s="6">
        <f t="shared" si="137"/>
        <v>0</v>
      </c>
    </row>
    <row r="4404" spans="22:24" x14ac:dyDescent="0.3">
      <c r="V4404" t="e">
        <f>VLOOKUP(H4404,'[1]팀별 출판사'!A:B,2,0)</f>
        <v>#N/A</v>
      </c>
      <c r="W4404" s="6">
        <f t="shared" si="136"/>
        <v>0</v>
      </c>
      <c r="X4404" s="6">
        <f t="shared" si="137"/>
        <v>0</v>
      </c>
    </row>
    <row r="4405" spans="22:24" x14ac:dyDescent="0.3">
      <c r="V4405" t="e">
        <f>VLOOKUP(H4405,'[1]팀별 출판사'!A:B,2,0)</f>
        <v>#N/A</v>
      </c>
      <c r="W4405" s="6">
        <f t="shared" si="136"/>
        <v>0</v>
      </c>
      <c r="X4405" s="6">
        <f t="shared" si="137"/>
        <v>0</v>
      </c>
    </row>
    <row r="4406" spans="22:24" x14ac:dyDescent="0.3">
      <c r="V4406" t="e">
        <f>VLOOKUP(H4406,'[1]팀별 출판사'!A:B,2,0)</f>
        <v>#N/A</v>
      </c>
      <c r="W4406" s="6">
        <f t="shared" si="136"/>
        <v>0</v>
      </c>
      <c r="X4406" s="6">
        <f t="shared" si="137"/>
        <v>0</v>
      </c>
    </row>
    <row r="4407" spans="22:24" x14ac:dyDescent="0.3">
      <c r="V4407" t="e">
        <f>VLOOKUP(H4407,'[1]팀별 출판사'!A:B,2,0)</f>
        <v>#N/A</v>
      </c>
      <c r="W4407" s="6">
        <f t="shared" si="136"/>
        <v>0</v>
      </c>
      <c r="X4407" s="6">
        <f t="shared" si="137"/>
        <v>0</v>
      </c>
    </row>
    <row r="4408" spans="22:24" x14ac:dyDescent="0.3">
      <c r="V4408" t="e">
        <f>VLOOKUP(H4408,'[1]팀별 출판사'!A:B,2,0)</f>
        <v>#N/A</v>
      </c>
      <c r="W4408" s="6">
        <f t="shared" si="136"/>
        <v>0</v>
      </c>
      <c r="X4408" s="6">
        <f t="shared" si="137"/>
        <v>0</v>
      </c>
    </row>
    <row r="4409" spans="22:24" x14ac:dyDescent="0.3">
      <c r="V4409" t="e">
        <f>VLOOKUP(H4409,'[1]팀별 출판사'!A:B,2,0)</f>
        <v>#N/A</v>
      </c>
      <c r="W4409" s="6">
        <f t="shared" si="136"/>
        <v>0</v>
      </c>
      <c r="X4409" s="6">
        <f t="shared" si="137"/>
        <v>0</v>
      </c>
    </row>
    <row r="4410" spans="22:24" x14ac:dyDescent="0.3">
      <c r="V4410" t="e">
        <f>VLOOKUP(H4410,'[1]팀별 출판사'!A:B,2,0)</f>
        <v>#N/A</v>
      </c>
      <c r="W4410" s="6">
        <f t="shared" si="136"/>
        <v>0</v>
      </c>
      <c r="X4410" s="6">
        <f t="shared" si="137"/>
        <v>0</v>
      </c>
    </row>
    <row r="4411" spans="22:24" x14ac:dyDescent="0.3">
      <c r="V4411" t="e">
        <f>VLOOKUP(H4411,'[1]팀별 출판사'!A:B,2,0)</f>
        <v>#N/A</v>
      </c>
      <c r="W4411" s="6">
        <f t="shared" si="136"/>
        <v>0</v>
      </c>
      <c r="X4411" s="6">
        <f t="shared" si="137"/>
        <v>0</v>
      </c>
    </row>
    <row r="4412" spans="22:24" x14ac:dyDescent="0.3">
      <c r="V4412" t="e">
        <f>VLOOKUP(H4412,'[1]팀별 출판사'!A:B,2,0)</f>
        <v>#N/A</v>
      </c>
      <c r="W4412" s="6">
        <f t="shared" si="136"/>
        <v>0</v>
      </c>
      <c r="X4412" s="6">
        <f t="shared" si="137"/>
        <v>0</v>
      </c>
    </row>
    <row r="4413" spans="22:24" x14ac:dyDescent="0.3">
      <c r="V4413" t="e">
        <f>VLOOKUP(H4413,'[1]팀별 출판사'!A:B,2,0)</f>
        <v>#N/A</v>
      </c>
      <c r="W4413" s="6">
        <f t="shared" si="136"/>
        <v>0</v>
      </c>
      <c r="X4413" s="6">
        <f t="shared" si="137"/>
        <v>0</v>
      </c>
    </row>
    <row r="4414" spans="22:24" x14ac:dyDescent="0.3">
      <c r="V4414" t="e">
        <f>VLOOKUP(H4414,'[1]팀별 출판사'!A:B,2,0)</f>
        <v>#N/A</v>
      </c>
      <c r="W4414" s="6">
        <f t="shared" si="136"/>
        <v>0</v>
      </c>
      <c r="X4414" s="6">
        <f t="shared" si="137"/>
        <v>0</v>
      </c>
    </row>
    <row r="4415" spans="22:24" x14ac:dyDescent="0.3">
      <c r="V4415" t="e">
        <f>VLOOKUP(H4415,'[1]팀별 출판사'!A:B,2,0)</f>
        <v>#N/A</v>
      </c>
      <c r="W4415" s="6">
        <f t="shared" si="136"/>
        <v>0</v>
      </c>
      <c r="X4415" s="6">
        <f t="shared" si="137"/>
        <v>0</v>
      </c>
    </row>
    <row r="4416" spans="22:24" x14ac:dyDescent="0.3">
      <c r="V4416" t="e">
        <f>VLOOKUP(H4416,'[1]팀별 출판사'!A:B,2,0)</f>
        <v>#N/A</v>
      </c>
      <c r="W4416" s="6">
        <f t="shared" si="136"/>
        <v>0</v>
      </c>
      <c r="X4416" s="6">
        <f t="shared" si="137"/>
        <v>0</v>
      </c>
    </row>
    <row r="4417" spans="22:24" x14ac:dyDescent="0.3">
      <c r="V4417" t="e">
        <f>VLOOKUP(H4417,'[1]팀별 출판사'!A:B,2,0)</f>
        <v>#N/A</v>
      </c>
      <c r="W4417" s="6">
        <f t="shared" si="136"/>
        <v>0</v>
      </c>
      <c r="X4417" s="6">
        <f t="shared" si="137"/>
        <v>0</v>
      </c>
    </row>
    <row r="4418" spans="22:24" x14ac:dyDescent="0.3">
      <c r="V4418" t="e">
        <f>VLOOKUP(H4418,'[1]팀별 출판사'!A:B,2,0)</f>
        <v>#N/A</v>
      </c>
      <c r="W4418" s="6">
        <f t="shared" ref="W4418:W4481" si="138">IF(P4418="US", T4418*30%, 0)</f>
        <v>0</v>
      </c>
      <c r="X4418" s="6">
        <f t="shared" ref="X4418:X4481" si="139">T4418-W4418</f>
        <v>0</v>
      </c>
    </row>
    <row r="4419" spans="22:24" x14ac:dyDescent="0.3">
      <c r="V4419" t="e">
        <f>VLOOKUP(H4419,'[1]팀별 출판사'!A:B,2,0)</f>
        <v>#N/A</v>
      </c>
      <c r="W4419" s="6">
        <f t="shared" si="138"/>
        <v>0</v>
      </c>
      <c r="X4419" s="6">
        <f t="shared" si="139"/>
        <v>0</v>
      </c>
    </row>
    <row r="4420" spans="22:24" x14ac:dyDescent="0.3">
      <c r="V4420" t="e">
        <f>VLOOKUP(H4420,'[1]팀별 출판사'!A:B,2,0)</f>
        <v>#N/A</v>
      </c>
      <c r="W4420" s="6">
        <f t="shared" si="138"/>
        <v>0</v>
      </c>
      <c r="X4420" s="6">
        <f t="shared" si="139"/>
        <v>0</v>
      </c>
    </row>
    <row r="4421" spans="22:24" x14ac:dyDescent="0.3">
      <c r="V4421" t="e">
        <f>VLOOKUP(H4421,'[1]팀별 출판사'!A:B,2,0)</f>
        <v>#N/A</v>
      </c>
      <c r="W4421" s="6">
        <f t="shared" si="138"/>
        <v>0</v>
      </c>
      <c r="X4421" s="6">
        <f t="shared" si="139"/>
        <v>0</v>
      </c>
    </row>
    <row r="4422" spans="22:24" x14ac:dyDescent="0.3">
      <c r="V4422" t="e">
        <f>VLOOKUP(H4422,'[1]팀별 출판사'!A:B,2,0)</f>
        <v>#N/A</v>
      </c>
      <c r="W4422" s="6">
        <f t="shared" si="138"/>
        <v>0</v>
      </c>
      <c r="X4422" s="6">
        <f t="shared" si="139"/>
        <v>0</v>
      </c>
    </row>
    <row r="4423" spans="22:24" x14ac:dyDescent="0.3">
      <c r="V4423" t="e">
        <f>VLOOKUP(H4423,'[1]팀별 출판사'!A:B,2,0)</f>
        <v>#N/A</v>
      </c>
      <c r="W4423" s="6">
        <f t="shared" si="138"/>
        <v>0</v>
      </c>
      <c r="X4423" s="6">
        <f t="shared" si="139"/>
        <v>0</v>
      </c>
    </row>
    <row r="4424" spans="22:24" x14ac:dyDescent="0.3">
      <c r="V4424" t="e">
        <f>VLOOKUP(H4424,'[1]팀별 출판사'!A:B,2,0)</f>
        <v>#N/A</v>
      </c>
      <c r="W4424" s="6">
        <f t="shared" si="138"/>
        <v>0</v>
      </c>
      <c r="X4424" s="6">
        <f t="shared" si="139"/>
        <v>0</v>
      </c>
    </row>
    <row r="4425" spans="22:24" x14ac:dyDescent="0.3">
      <c r="V4425" t="e">
        <f>VLOOKUP(H4425,'[1]팀별 출판사'!A:B,2,0)</f>
        <v>#N/A</v>
      </c>
      <c r="W4425" s="6">
        <f t="shared" si="138"/>
        <v>0</v>
      </c>
      <c r="X4425" s="6">
        <f t="shared" si="139"/>
        <v>0</v>
      </c>
    </row>
    <row r="4426" spans="22:24" x14ac:dyDescent="0.3">
      <c r="V4426" t="e">
        <f>VLOOKUP(H4426,'[1]팀별 출판사'!A:B,2,0)</f>
        <v>#N/A</v>
      </c>
      <c r="W4426" s="6">
        <f t="shared" si="138"/>
        <v>0</v>
      </c>
      <c r="X4426" s="6">
        <f t="shared" si="139"/>
        <v>0</v>
      </c>
    </row>
    <row r="4427" spans="22:24" x14ac:dyDescent="0.3">
      <c r="V4427" t="e">
        <f>VLOOKUP(H4427,'[1]팀별 출판사'!A:B,2,0)</f>
        <v>#N/A</v>
      </c>
      <c r="W4427" s="6">
        <f t="shared" si="138"/>
        <v>0</v>
      </c>
      <c r="X4427" s="6">
        <f t="shared" si="139"/>
        <v>0</v>
      </c>
    </row>
    <row r="4428" spans="22:24" x14ac:dyDescent="0.3">
      <c r="V4428" t="e">
        <f>VLOOKUP(H4428,'[1]팀별 출판사'!A:B,2,0)</f>
        <v>#N/A</v>
      </c>
      <c r="W4428" s="6">
        <f t="shared" si="138"/>
        <v>0</v>
      </c>
      <c r="X4428" s="6">
        <f t="shared" si="139"/>
        <v>0</v>
      </c>
    </row>
    <row r="4429" spans="22:24" x14ac:dyDescent="0.3">
      <c r="V4429" t="e">
        <f>VLOOKUP(H4429,'[1]팀별 출판사'!A:B,2,0)</f>
        <v>#N/A</v>
      </c>
      <c r="W4429" s="6">
        <f t="shared" si="138"/>
        <v>0</v>
      </c>
      <c r="X4429" s="6">
        <f t="shared" si="139"/>
        <v>0</v>
      </c>
    </row>
    <row r="4430" spans="22:24" x14ac:dyDescent="0.3">
      <c r="V4430" t="e">
        <f>VLOOKUP(H4430,'[1]팀별 출판사'!A:B,2,0)</f>
        <v>#N/A</v>
      </c>
      <c r="W4430" s="6">
        <f t="shared" si="138"/>
        <v>0</v>
      </c>
      <c r="X4430" s="6">
        <f t="shared" si="139"/>
        <v>0</v>
      </c>
    </row>
    <row r="4431" spans="22:24" x14ac:dyDescent="0.3">
      <c r="V4431" t="e">
        <f>VLOOKUP(H4431,'[1]팀별 출판사'!A:B,2,0)</f>
        <v>#N/A</v>
      </c>
      <c r="W4431" s="6">
        <f t="shared" si="138"/>
        <v>0</v>
      </c>
      <c r="X4431" s="6">
        <f t="shared" si="139"/>
        <v>0</v>
      </c>
    </row>
    <row r="4432" spans="22:24" x14ac:dyDescent="0.3">
      <c r="V4432" t="e">
        <f>VLOOKUP(H4432,'[1]팀별 출판사'!A:B,2,0)</f>
        <v>#N/A</v>
      </c>
      <c r="W4432" s="6">
        <f t="shared" si="138"/>
        <v>0</v>
      </c>
      <c r="X4432" s="6">
        <f t="shared" si="139"/>
        <v>0</v>
      </c>
    </row>
    <row r="4433" spans="22:24" x14ac:dyDescent="0.3">
      <c r="V4433" t="e">
        <f>VLOOKUP(H4433,'[1]팀별 출판사'!A:B,2,0)</f>
        <v>#N/A</v>
      </c>
      <c r="W4433" s="6">
        <f t="shared" si="138"/>
        <v>0</v>
      </c>
      <c r="X4433" s="6">
        <f t="shared" si="139"/>
        <v>0</v>
      </c>
    </row>
    <row r="4434" spans="22:24" x14ac:dyDescent="0.3">
      <c r="V4434" t="e">
        <f>VLOOKUP(H4434,'[1]팀별 출판사'!A:B,2,0)</f>
        <v>#N/A</v>
      </c>
      <c r="W4434" s="6">
        <f t="shared" si="138"/>
        <v>0</v>
      </c>
      <c r="X4434" s="6">
        <f t="shared" si="139"/>
        <v>0</v>
      </c>
    </row>
    <row r="4435" spans="22:24" x14ac:dyDescent="0.3">
      <c r="V4435" t="e">
        <f>VLOOKUP(H4435,'[1]팀별 출판사'!A:B,2,0)</f>
        <v>#N/A</v>
      </c>
      <c r="W4435" s="6">
        <f t="shared" si="138"/>
        <v>0</v>
      </c>
      <c r="X4435" s="6">
        <f t="shared" si="139"/>
        <v>0</v>
      </c>
    </row>
    <row r="4436" spans="22:24" x14ac:dyDescent="0.3">
      <c r="V4436" t="e">
        <f>VLOOKUP(H4436,'[1]팀별 출판사'!A:B,2,0)</f>
        <v>#N/A</v>
      </c>
      <c r="W4436" s="6">
        <f t="shared" si="138"/>
        <v>0</v>
      </c>
      <c r="X4436" s="6">
        <f t="shared" si="139"/>
        <v>0</v>
      </c>
    </row>
    <row r="4437" spans="22:24" x14ac:dyDescent="0.3">
      <c r="V4437" t="e">
        <f>VLOOKUP(H4437,'[1]팀별 출판사'!A:B,2,0)</f>
        <v>#N/A</v>
      </c>
      <c r="W4437" s="6">
        <f t="shared" si="138"/>
        <v>0</v>
      </c>
      <c r="X4437" s="6">
        <f t="shared" si="139"/>
        <v>0</v>
      </c>
    </row>
    <row r="4438" spans="22:24" x14ac:dyDescent="0.3">
      <c r="V4438" t="e">
        <f>VLOOKUP(H4438,'[1]팀별 출판사'!A:B,2,0)</f>
        <v>#N/A</v>
      </c>
      <c r="W4438" s="6">
        <f t="shared" si="138"/>
        <v>0</v>
      </c>
      <c r="X4438" s="6">
        <f t="shared" si="139"/>
        <v>0</v>
      </c>
    </row>
    <row r="4439" spans="22:24" x14ac:dyDescent="0.3">
      <c r="V4439" t="e">
        <f>VLOOKUP(H4439,'[1]팀별 출판사'!A:B,2,0)</f>
        <v>#N/A</v>
      </c>
      <c r="W4439" s="6">
        <f t="shared" si="138"/>
        <v>0</v>
      </c>
      <c r="X4439" s="6">
        <f t="shared" si="139"/>
        <v>0</v>
      </c>
    </row>
    <row r="4440" spans="22:24" x14ac:dyDescent="0.3">
      <c r="V4440" t="e">
        <f>VLOOKUP(H4440,'[1]팀별 출판사'!A:B,2,0)</f>
        <v>#N/A</v>
      </c>
      <c r="W4440" s="6">
        <f t="shared" si="138"/>
        <v>0</v>
      </c>
      <c r="X4440" s="6">
        <f t="shared" si="139"/>
        <v>0</v>
      </c>
    </row>
    <row r="4441" spans="22:24" x14ac:dyDescent="0.3">
      <c r="V4441" t="e">
        <f>VLOOKUP(H4441,'[1]팀별 출판사'!A:B,2,0)</f>
        <v>#N/A</v>
      </c>
      <c r="W4441" s="6">
        <f t="shared" si="138"/>
        <v>0</v>
      </c>
      <c r="X4441" s="6">
        <f t="shared" si="139"/>
        <v>0</v>
      </c>
    </row>
    <row r="4442" spans="22:24" x14ac:dyDescent="0.3">
      <c r="V4442" t="e">
        <f>VLOOKUP(H4442,'[1]팀별 출판사'!A:B,2,0)</f>
        <v>#N/A</v>
      </c>
      <c r="W4442" s="6">
        <f t="shared" si="138"/>
        <v>0</v>
      </c>
      <c r="X4442" s="6">
        <f t="shared" si="139"/>
        <v>0</v>
      </c>
    </row>
    <row r="4443" spans="22:24" x14ac:dyDescent="0.3">
      <c r="V4443" t="e">
        <f>VLOOKUP(H4443,'[1]팀별 출판사'!A:B,2,0)</f>
        <v>#N/A</v>
      </c>
      <c r="W4443" s="6">
        <f t="shared" si="138"/>
        <v>0</v>
      </c>
      <c r="X4443" s="6">
        <f t="shared" si="139"/>
        <v>0</v>
      </c>
    </row>
    <row r="4444" spans="22:24" x14ac:dyDescent="0.3">
      <c r="V4444" t="e">
        <f>VLOOKUP(H4444,'[1]팀별 출판사'!A:B,2,0)</f>
        <v>#N/A</v>
      </c>
      <c r="W4444" s="6">
        <f t="shared" si="138"/>
        <v>0</v>
      </c>
      <c r="X4444" s="6">
        <f t="shared" si="139"/>
        <v>0</v>
      </c>
    </row>
    <row r="4445" spans="22:24" x14ac:dyDescent="0.3">
      <c r="V4445" t="e">
        <f>VLOOKUP(H4445,'[1]팀별 출판사'!A:B,2,0)</f>
        <v>#N/A</v>
      </c>
      <c r="W4445" s="6">
        <f t="shared" si="138"/>
        <v>0</v>
      </c>
      <c r="X4445" s="6">
        <f t="shared" si="139"/>
        <v>0</v>
      </c>
    </row>
    <row r="4446" spans="22:24" x14ac:dyDescent="0.3">
      <c r="V4446" t="e">
        <f>VLOOKUP(H4446,'[1]팀별 출판사'!A:B,2,0)</f>
        <v>#N/A</v>
      </c>
      <c r="W4446" s="6">
        <f t="shared" si="138"/>
        <v>0</v>
      </c>
      <c r="X4446" s="6">
        <f t="shared" si="139"/>
        <v>0</v>
      </c>
    </row>
    <row r="4447" spans="22:24" x14ac:dyDescent="0.3">
      <c r="V4447" t="e">
        <f>VLOOKUP(H4447,'[1]팀별 출판사'!A:B,2,0)</f>
        <v>#N/A</v>
      </c>
      <c r="W4447" s="6">
        <f t="shared" si="138"/>
        <v>0</v>
      </c>
      <c r="X4447" s="6">
        <f t="shared" si="139"/>
        <v>0</v>
      </c>
    </row>
    <row r="4448" spans="22:24" x14ac:dyDescent="0.3">
      <c r="V4448" t="e">
        <f>VLOOKUP(H4448,'[1]팀별 출판사'!A:B,2,0)</f>
        <v>#N/A</v>
      </c>
      <c r="W4448" s="6">
        <f t="shared" si="138"/>
        <v>0</v>
      </c>
      <c r="X4448" s="6">
        <f t="shared" si="139"/>
        <v>0</v>
      </c>
    </row>
    <row r="4449" spans="22:24" x14ac:dyDescent="0.3">
      <c r="V4449" t="e">
        <f>VLOOKUP(H4449,'[1]팀별 출판사'!A:B,2,0)</f>
        <v>#N/A</v>
      </c>
      <c r="W4449" s="6">
        <f t="shared" si="138"/>
        <v>0</v>
      </c>
      <c r="X4449" s="6">
        <f t="shared" si="139"/>
        <v>0</v>
      </c>
    </row>
    <row r="4450" spans="22:24" x14ac:dyDescent="0.3">
      <c r="V4450" t="e">
        <f>VLOOKUP(H4450,'[1]팀별 출판사'!A:B,2,0)</f>
        <v>#N/A</v>
      </c>
      <c r="W4450" s="6">
        <f t="shared" si="138"/>
        <v>0</v>
      </c>
      <c r="X4450" s="6">
        <f t="shared" si="139"/>
        <v>0</v>
      </c>
    </row>
    <row r="4451" spans="22:24" x14ac:dyDescent="0.3">
      <c r="V4451" t="e">
        <f>VLOOKUP(H4451,'[1]팀별 출판사'!A:B,2,0)</f>
        <v>#N/A</v>
      </c>
      <c r="W4451" s="6">
        <f t="shared" si="138"/>
        <v>0</v>
      </c>
      <c r="X4451" s="6">
        <f t="shared" si="139"/>
        <v>0</v>
      </c>
    </row>
    <row r="4452" spans="22:24" x14ac:dyDescent="0.3">
      <c r="V4452" t="e">
        <f>VLOOKUP(H4452,'[1]팀별 출판사'!A:B,2,0)</f>
        <v>#N/A</v>
      </c>
      <c r="W4452" s="6">
        <f t="shared" si="138"/>
        <v>0</v>
      </c>
      <c r="X4452" s="6">
        <f t="shared" si="139"/>
        <v>0</v>
      </c>
    </row>
    <row r="4453" spans="22:24" x14ac:dyDescent="0.3">
      <c r="V4453" t="e">
        <f>VLOOKUP(H4453,'[1]팀별 출판사'!A:B,2,0)</f>
        <v>#N/A</v>
      </c>
      <c r="W4453" s="6">
        <f t="shared" si="138"/>
        <v>0</v>
      </c>
      <c r="X4453" s="6">
        <f t="shared" si="139"/>
        <v>0</v>
      </c>
    </row>
    <row r="4454" spans="22:24" x14ac:dyDescent="0.3">
      <c r="V4454" t="e">
        <f>VLOOKUP(H4454,'[1]팀별 출판사'!A:B,2,0)</f>
        <v>#N/A</v>
      </c>
      <c r="W4454" s="6">
        <f t="shared" si="138"/>
        <v>0</v>
      </c>
      <c r="X4454" s="6">
        <f t="shared" si="139"/>
        <v>0</v>
      </c>
    </row>
    <row r="4455" spans="22:24" x14ac:dyDescent="0.3">
      <c r="V4455" t="e">
        <f>VLOOKUP(H4455,'[1]팀별 출판사'!A:B,2,0)</f>
        <v>#N/A</v>
      </c>
      <c r="W4455" s="6">
        <f t="shared" si="138"/>
        <v>0</v>
      </c>
      <c r="X4455" s="6">
        <f t="shared" si="139"/>
        <v>0</v>
      </c>
    </row>
    <row r="4456" spans="22:24" x14ac:dyDescent="0.3">
      <c r="V4456" t="e">
        <f>VLOOKUP(H4456,'[1]팀별 출판사'!A:B,2,0)</f>
        <v>#N/A</v>
      </c>
      <c r="W4456" s="6">
        <f t="shared" si="138"/>
        <v>0</v>
      </c>
      <c r="X4456" s="6">
        <f t="shared" si="139"/>
        <v>0</v>
      </c>
    </row>
    <row r="4457" spans="22:24" x14ac:dyDescent="0.3">
      <c r="V4457" t="e">
        <f>VLOOKUP(H4457,'[1]팀별 출판사'!A:B,2,0)</f>
        <v>#N/A</v>
      </c>
      <c r="W4457" s="6">
        <f t="shared" si="138"/>
        <v>0</v>
      </c>
      <c r="X4457" s="6">
        <f t="shared" si="139"/>
        <v>0</v>
      </c>
    </row>
    <row r="4458" spans="22:24" x14ac:dyDescent="0.3">
      <c r="V4458" t="e">
        <f>VLOOKUP(H4458,'[1]팀별 출판사'!A:B,2,0)</f>
        <v>#N/A</v>
      </c>
      <c r="W4458" s="6">
        <f t="shared" si="138"/>
        <v>0</v>
      </c>
      <c r="X4458" s="6">
        <f t="shared" si="139"/>
        <v>0</v>
      </c>
    </row>
    <row r="4459" spans="22:24" x14ac:dyDescent="0.3">
      <c r="V4459" t="e">
        <f>VLOOKUP(H4459,'[1]팀별 출판사'!A:B,2,0)</f>
        <v>#N/A</v>
      </c>
      <c r="W4459" s="6">
        <f t="shared" si="138"/>
        <v>0</v>
      </c>
      <c r="X4459" s="6">
        <f t="shared" si="139"/>
        <v>0</v>
      </c>
    </row>
    <row r="4460" spans="22:24" x14ac:dyDescent="0.3">
      <c r="V4460" t="e">
        <f>VLOOKUP(H4460,'[1]팀별 출판사'!A:B,2,0)</f>
        <v>#N/A</v>
      </c>
      <c r="W4460" s="6">
        <f t="shared" si="138"/>
        <v>0</v>
      </c>
      <c r="X4460" s="6">
        <f t="shared" si="139"/>
        <v>0</v>
      </c>
    </row>
    <row r="4461" spans="22:24" x14ac:dyDescent="0.3">
      <c r="V4461" t="e">
        <f>VLOOKUP(H4461,'[1]팀별 출판사'!A:B,2,0)</f>
        <v>#N/A</v>
      </c>
      <c r="W4461" s="6">
        <f t="shared" si="138"/>
        <v>0</v>
      </c>
      <c r="X4461" s="6">
        <f t="shared" si="139"/>
        <v>0</v>
      </c>
    </row>
    <row r="4462" spans="22:24" x14ac:dyDescent="0.3">
      <c r="V4462" t="e">
        <f>VLOOKUP(H4462,'[1]팀별 출판사'!A:B,2,0)</f>
        <v>#N/A</v>
      </c>
      <c r="W4462" s="6">
        <f t="shared" si="138"/>
        <v>0</v>
      </c>
      <c r="X4462" s="6">
        <f t="shared" si="139"/>
        <v>0</v>
      </c>
    </row>
    <row r="4463" spans="22:24" x14ac:dyDescent="0.3">
      <c r="V4463" t="e">
        <f>VLOOKUP(H4463,'[1]팀별 출판사'!A:B,2,0)</f>
        <v>#N/A</v>
      </c>
      <c r="W4463" s="6">
        <f t="shared" si="138"/>
        <v>0</v>
      </c>
      <c r="X4463" s="6">
        <f t="shared" si="139"/>
        <v>0</v>
      </c>
    </row>
    <row r="4464" spans="22:24" x14ac:dyDescent="0.3">
      <c r="V4464" t="e">
        <f>VLOOKUP(H4464,'[1]팀별 출판사'!A:B,2,0)</f>
        <v>#N/A</v>
      </c>
      <c r="W4464" s="6">
        <f t="shared" si="138"/>
        <v>0</v>
      </c>
      <c r="X4464" s="6">
        <f t="shared" si="139"/>
        <v>0</v>
      </c>
    </row>
    <row r="4465" spans="22:24" x14ac:dyDescent="0.3">
      <c r="V4465" t="e">
        <f>VLOOKUP(H4465,'[1]팀별 출판사'!A:B,2,0)</f>
        <v>#N/A</v>
      </c>
      <c r="W4465" s="6">
        <f t="shared" si="138"/>
        <v>0</v>
      </c>
      <c r="X4465" s="6">
        <f t="shared" si="139"/>
        <v>0</v>
      </c>
    </row>
    <row r="4466" spans="22:24" x14ac:dyDescent="0.3">
      <c r="V4466" t="e">
        <f>VLOOKUP(H4466,'[1]팀별 출판사'!A:B,2,0)</f>
        <v>#N/A</v>
      </c>
      <c r="W4466" s="6">
        <f t="shared" si="138"/>
        <v>0</v>
      </c>
      <c r="X4466" s="6">
        <f t="shared" si="139"/>
        <v>0</v>
      </c>
    </row>
    <row r="4467" spans="22:24" x14ac:dyDescent="0.3">
      <c r="V4467" t="e">
        <f>VLOOKUP(H4467,'[1]팀별 출판사'!A:B,2,0)</f>
        <v>#N/A</v>
      </c>
      <c r="W4467" s="6">
        <f t="shared" si="138"/>
        <v>0</v>
      </c>
      <c r="X4467" s="6">
        <f t="shared" si="139"/>
        <v>0</v>
      </c>
    </row>
    <row r="4468" spans="22:24" x14ac:dyDescent="0.3">
      <c r="V4468" t="e">
        <f>VLOOKUP(H4468,'[1]팀별 출판사'!A:B,2,0)</f>
        <v>#N/A</v>
      </c>
      <c r="W4468" s="6">
        <f t="shared" si="138"/>
        <v>0</v>
      </c>
      <c r="X4468" s="6">
        <f t="shared" si="139"/>
        <v>0</v>
      </c>
    </row>
    <row r="4469" spans="22:24" x14ac:dyDescent="0.3">
      <c r="V4469" t="e">
        <f>VLOOKUP(H4469,'[1]팀별 출판사'!A:B,2,0)</f>
        <v>#N/A</v>
      </c>
      <c r="W4469" s="6">
        <f t="shared" si="138"/>
        <v>0</v>
      </c>
      <c r="X4469" s="6">
        <f t="shared" si="139"/>
        <v>0</v>
      </c>
    </row>
    <row r="4470" spans="22:24" x14ac:dyDescent="0.3">
      <c r="V4470" t="e">
        <f>VLOOKUP(H4470,'[1]팀별 출판사'!A:B,2,0)</f>
        <v>#N/A</v>
      </c>
      <c r="W4470" s="6">
        <f t="shared" si="138"/>
        <v>0</v>
      </c>
      <c r="X4470" s="6">
        <f t="shared" si="139"/>
        <v>0</v>
      </c>
    </row>
    <row r="4471" spans="22:24" x14ac:dyDescent="0.3">
      <c r="V4471" t="e">
        <f>VLOOKUP(H4471,'[1]팀별 출판사'!A:B,2,0)</f>
        <v>#N/A</v>
      </c>
      <c r="W4471" s="6">
        <f t="shared" si="138"/>
        <v>0</v>
      </c>
      <c r="X4471" s="6">
        <f t="shared" si="139"/>
        <v>0</v>
      </c>
    </row>
    <row r="4472" spans="22:24" x14ac:dyDescent="0.3">
      <c r="V4472" t="e">
        <f>VLOOKUP(H4472,'[1]팀별 출판사'!A:B,2,0)</f>
        <v>#N/A</v>
      </c>
      <c r="W4472" s="6">
        <f t="shared" si="138"/>
        <v>0</v>
      </c>
      <c r="X4472" s="6">
        <f t="shared" si="139"/>
        <v>0</v>
      </c>
    </row>
    <row r="4473" spans="22:24" x14ac:dyDescent="0.3">
      <c r="V4473" t="e">
        <f>VLOOKUP(H4473,'[1]팀별 출판사'!A:B,2,0)</f>
        <v>#N/A</v>
      </c>
      <c r="W4473" s="6">
        <f t="shared" si="138"/>
        <v>0</v>
      </c>
      <c r="X4473" s="6">
        <f t="shared" si="139"/>
        <v>0</v>
      </c>
    </row>
    <row r="4474" spans="22:24" x14ac:dyDescent="0.3">
      <c r="V4474" t="e">
        <f>VLOOKUP(H4474,'[1]팀별 출판사'!A:B,2,0)</f>
        <v>#N/A</v>
      </c>
      <c r="W4474" s="6">
        <f t="shared" si="138"/>
        <v>0</v>
      </c>
      <c r="X4474" s="6">
        <f t="shared" si="139"/>
        <v>0</v>
      </c>
    </row>
    <row r="4475" spans="22:24" x14ac:dyDescent="0.3">
      <c r="V4475" t="e">
        <f>VLOOKUP(H4475,'[1]팀별 출판사'!A:B,2,0)</f>
        <v>#N/A</v>
      </c>
      <c r="W4475" s="6">
        <f t="shared" si="138"/>
        <v>0</v>
      </c>
      <c r="X4475" s="6">
        <f t="shared" si="139"/>
        <v>0</v>
      </c>
    </row>
    <row r="4476" spans="22:24" x14ac:dyDescent="0.3">
      <c r="V4476" t="e">
        <f>VLOOKUP(H4476,'[1]팀별 출판사'!A:B,2,0)</f>
        <v>#N/A</v>
      </c>
      <c r="W4476" s="6">
        <f t="shared" si="138"/>
        <v>0</v>
      </c>
      <c r="X4476" s="6">
        <f t="shared" si="139"/>
        <v>0</v>
      </c>
    </row>
    <row r="4477" spans="22:24" x14ac:dyDescent="0.3">
      <c r="V4477" t="e">
        <f>VLOOKUP(H4477,'[1]팀별 출판사'!A:B,2,0)</f>
        <v>#N/A</v>
      </c>
      <c r="W4477" s="6">
        <f t="shared" si="138"/>
        <v>0</v>
      </c>
      <c r="X4477" s="6">
        <f t="shared" si="139"/>
        <v>0</v>
      </c>
    </row>
    <row r="4478" spans="22:24" x14ac:dyDescent="0.3">
      <c r="V4478" t="e">
        <f>VLOOKUP(H4478,'[1]팀별 출판사'!A:B,2,0)</f>
        <v>#N/A</v>
      </c>
      <c r="W4478" s="6">
        <f t="shared" si="138"/>
        <v>0</v>
      </c>
      <c r="X4478" s="6">
        <f t="shared" si="139"/>
        <v>0</v>
      </c>
    </row>
    <row r="4479" spans="22:24" x14ac:dyDescent="0.3">
      <c r="V4479" t="e">
        <f>VLOOKUP(H4479,'[1]팀별 출판사'!A:B,2,0)</f>
        <v>#N/A</v>
      </c>
      <c r="W4479" s="6">
        <f t="shared" si="138"/>
        <v>0</v>
      </c>
      <c r="X4479" s="6">
        <f t="shared" si="139"/>
        <v>0</v>
      </c>
    </row>
    <row r="4480" spans="22:24" x14ac:dyDescent="0.3">
      <c r="V4480" t="e">
        <f>VLOOKUP(H4480,'[1]팀별 출판사'!A:B,2,0)</f>
        <v>#N/A</v>
      </c>
      <c r="W4480" s="6">
        <f t="shared" si="138"/>
        <v>0</v>
      </c>
      <c r="X4480" s="6">
        <f t="shared" si="139"/>
        <v>0</v>
      </c>
    </row>
    <row r="4481" spans="22:24" x14ac:dyDescent="0.3">
      <c r="V4481" t="e">
        <f>VLOOKUP(H4481,'[1]팀별 출판사'!A:B,2,0)</f>
        <v>#N/A</v>
      </c>
      <c r="W4481" s="6">
        <f t="shared" si="138"/>
        <v>0</v>
      </c>
      <c r="X4481" s="6">
        <f t="shared" si="139"/>
        <v>0</v>
      </c>
    </row>
    <row r="4482" spans="22:24" x14ac:dyDescent="0.3">
      <c r="V4482" t="e">
        <f>VLOOKUP(H4482,'[1]팀별 출판사'!A:B,2,0)</f>
        <v>#N/A</v>
      </c>
      <c r="W4482" s="6">
        <f t="shared" ref="W4482:W4545" si="140">IF(P4482="US", T4482*30%, 0)</f>
        <v>0</v>
      </c>
      <c r="X4482" s="6">
        <f t="shared" ref="X4482:X4545" si="141">T4482-W4482</f>
        <v>0</v>
      </c>
    </row>
    <row r="4483" spans="22:24" x14ac:dyDescent="0.3">
      <c r="V4483" t="e">
        <f>VLOOKUP(H4483,'[1]팀별 출판사'!A:B,2,0)</f>
        <v>#N/A</v>
      </c>
      <c r="W4483" s="6">
        <f t="shared" si="140"/>
        <v>0</v>
      </c>
      <c r="X4483" s="6">
        <f t="shared" si="141"/>
        <v>0</v>
      </c>
    </row>
    <row r="4484" spans="22:24" x14ac:dyDescent="0.3">
      <c r="V4484" t="e">
        <f>VLOOKUP(H4484,'[1]팀별 출판사'!A:B,2,0)</f>
        <v>#N/A</v>
      </c>
      <c r="W4484" s="6">
        <f t="shared" si="140"/>
        <v>0</v>
      </c>
      <c r="X4484" s="6">
        <f t="shared" si="141"/>
        <v>0</v>
      </c>
    </row>
    <row r="4485" spans="22:24" x14ac:dyDescent="0.3">
      <c r="V4485" t="e">
        <f>VLOOKUP(H4485,'[1]팀별 출판사'!A:B,2,0)</f>
        <v>#N/A</v>
      </c>
      <c r="W4485" s="6">
        <f t="shared" si="140"/>
        <v>0</v>
      </c>
      <c r="X4485" s="6">
        <f t="shared" si="141"/>
        <v>0</v>
      </c>
    </row>
    <row r="4486" spans="22:24" x14ac:dyDescent="0.3">
      <c r="V4486" t="e">
        <f>VLOOKUP(H4486,'[1]팀별 출판사'!A:B,2,0)</f>
        <v>#N/A</v>
      </c>
      <c r="W4486" s="6">
        <f t="shared" si="140"/>
        <v>0</v>
      </c>
      <c r="X4486" s="6">
        <f t="shared" si="141"/>
        <v>0</v>
      </c>
    </row>
    <row r="4487" spans="22:24" x14ac:dyDescent="0.3">
      <c r="V4487" t="e">
        <f>VLOOKUP(H4487,'[1]팀별 출판사'!A:B,2,0)</f>
        <v>#N/A</v>
      </c>
      <c r="W4487" s="6">
        <f t="shared" si="140"/>
        <v>0</v>
      </c>
      <c r="X4487" s="6">
        <f t="shared" si="141"/>
        <v>0</v>
      </c>
    </row>
    <row r="4488" spans="22:24" x14ac:dyDescent="0.3">
      <c r="V4488" t="e">
        <f>VLOOKUP(H4488,'[1]팀별 출판사'!A:B,2,0)</f>
        <v>#N/A</v>
      </c>
      <c r="W4488" s="6">
        <f t="shared" si="140"/>
        <v>0</v>
      </c>
      <c r="X4488" s="6">
        <f t="shared" si="141"/>
        <v>0</v>
      </c>
    </row>
    <row r="4489" spans="22:24" x14ac:dyDescent="0.3">
      <c r="V4489" t="e">
        <f>VLOOKUP(H4489,'[1]팀별 출판사'!A:B,2,0)</f>
        <v>#N/A</v>
      </c>
      <c r="W4489" s="6">
        <f t="shared" si="140"/>
        <v>0</v>
      </c>
      <c r="X4489" s="6">
        <f t="shared" si="141"/>
        <v>0</v>
      </c>
    </row>
    <row r="4490" spans="22:24" x14ac:dyDescent="0.3">
      <c r="V4490" t="e">
        <f>VLOOKUP(H4490,'[1]팀별 출판사'!A:B,2,0)</f>
        <v>#N/A</v>
      </c>
      <c r="W4490" s="6">
        <f t="shared" si="140"/>
        <v>0</v>
      </c>
      <c r="X4490" s="6">
        <f t="shared" si="141"/>
        <v>0</v>
      </c>
    </row>
    <row r="4491" spans="22:24" x14ac:dyDescent="0.3">
      <c r="V4491" t="e">
        <f>VLOOKUP(H4491,'[1]팀별 출판사'!A:B,2,0)</f>
        <v>#N/A</v>
      </c>
      <c r="W4491" s="6">
        <f t="shared" si="140"/>
        <v>0</v>
      </c>
      <c r="X4491" s="6">
        <f t="shared" si="141"/>
        <v>0</v>
      </c>
    </row>
    <row r="4492" spans="22:24" x14ac:dyDescent="0.3">
      <c r="V4492" t="e">
        <f>VLOOKUP(H4492,'[1]팀별 출판사'!A:B,2,0)</f>
        <v>#N/A</v>
      </c>
      <c r="W4492" s="6">
        <f t="shared" si="140"/>
        <v>0</v>
      </c>
      <c r="X4492" s="6">
        <f t="shared" si="141"/>
        <v>0</v>
      </c>
    </row>
    <row r="4493" spans="22:24" x14ac:dyDescent="0.3">
      <c r="V4493" t="e">
        <f>VLOOKUP(H4493,'[1]팀별 출판사'!A:B,2,0)</f>
        <v>#N/A</v>
      </c>
      <c r="W4493" s="6">
        <f t="shared" si="140"/>
        <v>0</v>
      </c>
      <c r="X4493" s="6">
        <f t="shared" si="141"/>
        <v>0</v>
      </c>
    </row>
    <row r="4494" spans="22:24" x14ac:dyDescent="0.3">
      <c r="V4494" t="e">
        <f>VLOOKUP(H4494,'[1]팀별 출판사'!A:B,2,0)</f>
        <v>#N/A</v>
      </c>
      <c r="W4494" s="6">
        <f t="shared" si="140"/>
        <v>0</v>
      </c>
      <c r="X4494" s="6">
        <f t="shared" si="141"/>
        <v>0</v>
      </c>
    </row>
    <row r="4495" spans="22:24" x14ac:dyDescent="0.3">
      <c r="V4495" t="e">
        <f>VLOOKUP(H4495,'[1]팀별 출판사'!A:B,2,0)</f>
        <v>#N/A</v>
      </c>
      <c r="W4495" s="6">
        <f t="shared" si="140"/>
        <v>0</v>
      </c>
      <c r="X4495" s="6">
        <f t="shared" si="141"/>
        <v>0</v>
      </c>
    </row>
    <row r="4496" spans="22:24" x14ac:dyDescent="0.3">
      <c r="V4496" t="e">
        <f>VLOOKUP(H4496,'[1]팀별 출판사'!A:B,2,0)</f>
        <v>#N/A</v>
      </c>
      <c r="W4496" s="6">
        <f t="shared" si="140"/>
        <v>0</v>
      </c>
      <c r="X4496" s="6">
        <f t="shared" si="141"/>
        <v>0</v>
      </c>
    </row>
    <row r="4497" spans="22:24" x14ac:dyDescent="0.3">
      <c r="V4497" t="e">
        <f>VLOOKUP(H4497,'[1]팀별 출판사'!A:B,2,0)</f>
        <v>#N/A</v>
      </c>
      <c r="W4497" s="6">
        <f t="shared" si="140"/>
        <v>0</v>
      </c>
      <c r="X4497" s="6">
        <f t="shared" si="141"/>
        <v>0</v>
      </c>
    </row>
    <row r="4498" spans="22:24" x14ac:dyDescent="0.3">
      <c r="V4498" t="e">
        <f>VLOOKUP(H4498,'[1]팀별 출판사'!A:B,2,0)</f>
        <v>#N/A</v>
      </c>
      <c r="W4498" s="6">
        <f t="shared" si="140"/>
        <v>0</v>
      </c>
      <c r="X4498" s="6">
        <f t="shared" si="141"/>
        <v>0</v>
      </c>
    </row>
    <row r="4499" spans="22:24" x14ac:dyDescent="0.3">
      <c r="V4499" t="e">
        <f>VLOOKUP(H4499,'[1]팀별 출판사'!A:B,2,0)</f>
        <v>#N/A</v>
      </c>
      <c r="W4499" s="6">
        <f t="shared" si="140"/>
        <v>0</v>
      </c>
      <c r="X4499" s="6">
        <f t="shared" si="141"/>
        <v>0</v>
      </c>
    </row>
    <row r="4500" spans="22:24" x14ac:dyDescent="0.3">
      <c r="V4500" t="e">
        <f>VLOOKUP(H4500,'[1]팀별 출판사'!A:B,2,0)</f>
        <v>#N/A</v>
      </c>
      <c r="W4500" s="6">
        <f t="shared" si="140"/>
        <v>0</v>
      </c>
      <c r="X4500" s="6">
        <f t="shared" si="141"/>
        <v>0</v>
      </c>
    </row>
    <row r="4501" spans="22:24" x14ac:dyDescent="0.3">
      <c r="V4501" t="e">
        <f>VLOOKUP(H4501,'[1]팀별 출판사'!A:B,2,0)</f>
        <v>#N/A</v>
      </c>
      <c r="W4501" s="6">
        <f t="shared" si="140"/>
        <v>0</v>
      </c>
      <c r="X4501" s="6">
        <f t="shared" si="141"/>
        <v>0</v>
      </c>
    </row>
    <row r="4502" spans="22:24" x14ac:dyDescent="0.3">
      <c r="V4502" t="e">
        <f>VLOOKUP(H4502,'[1]팀별 출판사'!A:B,2,0)</f>
        <v>#N/A</v>
      </c>
      <c r="W4502" s="6">
        <f t="shared" si="140"/>
        <v>0</v>
      </c>
      <c r="X4502" s="6">
        <f t="shared" si="141"/>
        <v>0</v>
      </c>
    </row>
    <row r="4503" spans="22:24" x14ac:dyDescent="0.3">
      <c r="V4503" t="e">
        <f>VLOOKUP(H4503,'[1]팀별 출판사'!A:B,2,0)</f>
        <v>#N/A</v>
      </c>
      <c r="W4503" s="6">
        <f t="shared" si="140"/>
        <v>0</v>
      </c>
      <c r="X4503" s="6">
        <f t="shared" si="141"/>
        <v>0</v>
      </c>
    </row>
    <row r="4504" spans="22:24" x14ac:dyDescent="0.3">
      <c r="V4504" t="e">
        <f>VLOOKUP(H4504,'[1]팀별 출판사'!A:B,2,0)</f>
        <v>#N/A</v>
      </c>
      <c r="W4504" s="6">
        <f t="shared" si="140"/>
        <v>0</v>
      </c>
      <c r="X4504" s="6">
        <f t="shared" si="141"/>
        <v>0</v>
      </c>
    </row>
    <row r="4505" spans="22:24" x14ac:dyDescent="0.3">
      <c r="V4505" t="e">
        <f>VLOOKUP(H4505,'[1]팀별 출판사'!A:B,2,0)</f>
        <v>#N/A</v>
      </c>
      <c r="W4505" s="6">
        <f t="shared" si="140"/>
        <v>0</v>
      </c>
      <c r="X4505" s="6">
        <f t="shared" si="141"/>
        <v>0</v>
      </c>
    </row>
    <row r="4506" spans="22:24" x14ac:dyDescent="0.3">
      <c r="V4506" t="e">
        <f>VLOOKUP(H4506,'[1]팀별 출판사'!A:B,2,0)</f>
        <v>#N/A</v>
      </c>
      <c r="W4506" s="6">
        <f t="shared" si="140"/>
        <v>0</v>
      </c>
      <c r="X4506" s="6">
        <f t="shared" si="141"/>
        <v>0</v>
      </c>
    </row>
    <row r="4507" spans="22:24" x14ac:dyDescent="0.3">
      <c r="V4507" t="e">
        <f>VLOOKUP(H4507,'[1]팀별 출판사'!A:B,2,0)</f>
        <v>#N/A</v>
      </c>
      <c r="W4507" s="6">
        <f t="shared" si="140"/>
        <v>0</v>
      </c>
      <c r="X4507" s="6">
        <f t="shared" si="141"/>
        <v>0</v>
      </c>
    </row>
    <row r="4508" spans="22:24" x14ac:dyDescent="0.3">
      <c r="V4508" t="e">
        <f>VLOOKUP(H4508,'[1]팀별 출판사'!A:B,2,0)</f>
        <v>#N/A</v>
      </c>
      <c r="W4508" s="6">
        <f t="shared" si="140"/>
        <v>0</v>
      </c>
      <c r="X4508" s="6">
        <f t="shared" si="141"/>
        <v>0</v>
      </c>
    </row>
    <row r="4509" spans="22:24" x14ac:dyDescent="0.3">
      <c r="V4509" t="e">
        <f>VLOOKUP(H4509,'[1]팀별 출판사'!A:B,2,0)</f>
        <v>#N/A</v>
      </c>
      <c r="W4509" s="6">
        <f t="shared" si="140"/>
        <v>0</v>
      </c>
      <c r="X4509" s="6">
        <f t="shared" si="141"/>
        <v>0</v>
      </c>
    </row>
    <row r="4510" spans="22:24" x14ac:dyDescent="0.3">
      <c r="V4510" t="e">
        <f>VLOOKUP(H4510,'[1]팀별 출판사'!A:B,2,0)</f>
        <v>#N/A</v>
      </c>
      <c r="W4510" s="6">
        <f t="shared" si="140"/>
        <v>0</v>
      </c>
      <c r="X4510" s="6">
        <f t="shared" si="141"/>
        <v>0</v>
      </c>
    </row>
    <row r="4511" spans="22:24" x14ac:dyDescent="0.3">
      <c r="V4511" t="e">
        <f>VLOOKUP(H4511,'[1]팀별 출판사'!A:B,2,0)</f>
        <v>#N/A</v>
      </c>
      <c r="W4511" s="6">
        <f t="shared" si="140"/>
        <v>0</v>
      </c>
      <c r="X4511" s="6">
        <f t="shared" si="141"/>
        <v>0</v>
      </c>
    </row>
    <row r="4512" spans="22:24" x14ac:dyDescent="0.3">
      <c r="V4512" t="e">
        <f>VLOOKUP(H4512,'[1]팀별 출판사'!A:B,2,0)</f>
        <v>#N/A</v>
      </c>
      <c r="W4512" s="6">
        <f t="shared" si="140"/>
        <v>0</v>
      </c>
      <c r="X4512" s="6">
        <f t="shared" si="141"/>
        <v>0</v>
      </c>
    </row>
    <row r="4513" spans="22:24" x14ac:dyDescent="0.3">
      <c r="V4513" t="e">
        <f>VLOOKUP(H4513,'[1]팀별 출판사'!A:B,2,0)</f>
        <v>#N/A</v>
      </c>
      <c r="W4513" s="6">
        <f t="shared" si="140"/>
        <v>0</v>
      </c>
      <c r="X4513" s="6">
        <f t="shared" si="141"/>
        <v>0</v>
      </c>
    </row>
    <row r="4514" spans="22:24" x14ac:dyDescent="0.3">
      <c r="V4514" t="e">
        <f>VLOOKUP(H4514,'[1]팀별 출판사'!A:B,2,0)</f>
        <v>#N/A</v>
      </c>
      <c r="W4514" s="6">
        <f t="shared" si="140"/>
        <v>0</v>
      </c>
      <c r="X4514" s="6">
        <f t="shared" si="141"/>
        <v>0</v>
      </c>
    </row>
    <row r="4515" spans="22:24" x14ac:dyDescent="0.3">
      <c r="V4515" t="e">
        <f>VLOOKUP(H4515,'[1]팀별 출판사'!A:B,2,0)</f>
        <v>#N/A</v>
      </c>
      <c r="W4515" s="6">
        <f t="shared" si="140"/>
        <v>0</v>
      </c>
      <c r="X4515" s="6">
        <f t="shared" si="141"/>
        <v>0</v>
      </c>
    </row>
    <row r="4516" spans="22:24" x14ac:dyDescent="0.3">
      <c r="V4516" t="e">
        <f>VLOOKUP(H4516,'[1]팀별 출판사'!A:B,2,0)</f>
        <v>#N/A</v>
      </c>
      <c r="W4516" s="6">
        <f t="shared" si="140"/>
        <v>0</v>
      </c>
      <c r="X4516" s="6">
        <f t="shared" si="141"/>
        <v>0</v>
      </c>
    </row>
    <row r="4517" spans="22:24" x14ac:dyDescent="0.3">
      <c r="V4517" t="e">
        <f>VLOOKUP(H4517,'[1]팀별 출판사'!A:B,2,0)</f>
        <v>#N/A</v>
      </c>
      <c r="W4517" s="6">
        <f t="shared" si="140"/>
        <v>0</v>
      </c>
      <c r="X4517" s="6">
        <f t="shared" si="141"/>
        <v>0</v>
      </c>
    </row>
    <row r="4518" spans="22:24" x14ac:dyDescent="0.3">
      <c r="V4518" t="e">
        <f>VLOOKUP(H4518,'[1]팀별 출판사'!A:B,2,0)</f>
        <v>#N/A</v>
      </c>
      <c r="W4518" s="6">
        <f t="shared" si="140"/>
        <v>0</v>
      </c>
      <c r="X4518" s="6">
        <f t="shared" si="141"/>
        <v>0</v>
      </c>
    </row>
    <row r="4519" spans="22:24" x14ac:dyDescent="0.3">
      <c r="V4519" t="e">
        <f>VLOOKUP(H4519,'[1]팀별 출판사'!A:B,2,0)</f>
        <v>#N/A</v>
      </c>
      <c r="W4519" s="6">
        <f t="shared" si="140"/>
        <v>0</v>
      </c>
      <c r="X4519" s="6">
        <f t="shared" si="141"/>
        <v>0</v>
      </c>
    </row>
    <row r="4520" spans="22:24" x14ac:dyDescent="0.3">
      <c r="V4520" t="e">
        <f>VLOOKUP(H4520,'[1]팀별 출판사'!A:B,2,0)</f>
        <v>#N/A</v>
      </c>
      <c r="W4520" s="6">
        <f t="shared" si="140"/>
        <v>0</v>
      </c>
      <c r="X4520" s="6">
        <f t="shared" si="141"/>
        <v>0</v>
      </c>
    </row>
    <row r="4521" spans="22:24" x14ac:dyDescent="0.3">
      <c r="V4521" t="e">
        <f>VLOOKUP(H4521,'[1]팀별 출판사'!A:B,2,0)</f>
        <v>#N/A</v>
      </c>
      <c r="W4521" s="6">
        <f t="shared" si="140"/>
        <v>0</v>
      </c>
      <c r="X4521" s="6">
        <f t="shared" si="141"/>
        <v>0</v>
      </c>
    </row>
    <row r="4522" spans="22:24" x14ac:dyDescent="0.3">
      <c r="V4522" t="e">
        <f>VLOOKUP(H4522,'[1]팀별 출판사'!A:B,2,0)</f>
        <v>#N/A</v>
      </c>
      <c r="W4522" s="6">
        <f t="shared" si="140"/>
        <v>0</v>
      </c>
      <c r="X4522" s="6">
        <f t="shared" si="141"/>
        <v>0</v>
      </c>
    </row>
    <row r="4523" spans="22:24" x14ac:dyDescent="0.3">
      <c r="V4523" t="e">
        <f>VLOOKUP(H4523,'[1]팀별 출판사'!A:B,2,0)</f>
        <v>#N/A</v>
      </c>
      <c r="W4523" s="6">
        <f t="shared" si="140"/>
        <v>0</v>
      </c>
      <c r="X4523" s="6">
        <f t="shared" si="141"/>
        <v>0</v>
      </c>
    </row>
    <row r="4524" spans="22:24" x14ac:dyDescent="0.3">
      <c r="V4524" t="e">
        <f>VLOOKUP(H4524,'[1]팀별 출판사'!A:B,2,0)</f>
        <v>#N/A</v>
      </c>
      <c r="W4524" s="6">
        <f t="shared" si="140"/>
        <v>0</v>
      </c>
      <c r="X4524" s="6">
        <f t="shared" si="141"/>
        <v>0</v>
      </c>
    </row>
    <row r="4525" spans="22:24" x14ac:dyDescent="0.3">
      <c r="V4525" t="e">
        <f>VLOOKUP(H4525,'[1]팀별 출판사'!A:B,2,0)</f>
        <v>#N/A</v>
      </c>
      <c r="W4525" s="6">
        <f t="shared" si="140"/>
        <v>0</v>
      </c>
      <c r="X4525" s="6">
        <f t="shared" si="141"/>
        <v>0</v>
      </c>
    </row>
    <row r="4526" spans="22:24" x14ac:dyDescent="0.3">
      <c r="V4526" t="e">
        <f>VLOOKUP(H4526,'[1]팀별 출판사'!A:B,2,0)</f>
        <v>#N/A</v>
      </c>
      <c r="W4526" s="6">
        <f t="shared" si="140"/>
        <v>0</v>
      </c>
      <c r="X4526" s="6">
        <f t="shared" si="141"/>
        <v>0</v>
      </c>
    </row>
    <row r="4527" spans="22:24" x14ac:dyDescent="0.3">
      <c r="V4527" t="e">
        <f>VLOOKUP(H4527,'[1]팀별 출판사'!A:B,2,0)</f>
        <v>#N/A</v>
      </c>
      <c r="W4527" s="6">
        <f t="shared" si="140"/>
        <v>0</v>
      </c>
      <c r="X4527" s="6">
        <f t="shared" si="141"/>
        <v>0</v>
      </c>
    </row>
    <row r="4528" spans="22:24" x14ac:dyDescent="0.3">
      <c r="V4528" t="e">
        <f>VLOOKUP(H4528,'[1]팀별 출판사'!A:B,2,0)</f>
        <v>#N/A</v>
      </c>
      <c r="W4528" s="6">
        <f t="shared" si="140"/>
        <v>0</v>
      </c>
      <c r="X4528" s="6">
        <f t="shared" si="141"/>
        <v>0</v>
      </c>
    </row>
    <row r="4529" spans="22:24" x14ac:dyDescent="0.3">
      <c r="V4529" t="e">
        <f>VLOOKUP(H4529,'[1]팀별 출판사'!A:B,2,0)</f>
        <v>#N/A</v>
      </c>
      <c r="W4529" s="6">
        <f t="shared" si="140"/>
        <v>0</v>
      </c>
      <c r="X4529" s="6">
        <f t="shared" si="141"/>
        <v>0</v>
      </c>
    </row>
    <row r="4530" spans="22:24" x14ac:dyDescent="0.3">
      <c r="V4530" t="e">
        <f>VLOOKUP(H4530,'[1]팀별 출판사'!A:B,2,0)</f>
        <v>#N/A</v>
      </c>
      <c r="W4530" s="6">
        <f t="shared" si="140"/>
        <v>0</v>
      </c>
      <c r="X4530" s="6">
        <f t="shared" si="141"/>
        <v>0</v>
      </c>
    </row>
    <row r="4531" spans="22:24" x14ac:dyDescent="0.3">
      <c r="V4531" t="e">
        <f>VLOOKUP(H4531,'[1]팀별 출판사'!A:B,2,0)</f>
        <v>#N/A</v>
      </c>
      <c r="W4531" s="6">
        <f t="shared" si="140"/>
        <v>0</v>
      </c>
      <c r="X4531" s="6">
        <f t="shared" si="141"/>
        <v>0</v>
      </c>
    </row>
    <row r="4532" spans="22:24" x14ac:dyDescent="0.3">
      <c r="V4532" t="e">
        <f>VLOOKUP(H4532,'[1]팀별 출판사'!A:B,2,0)</f>
        <v>#N/A</v>
      </c>
      <c r="W4532" s="6">
        <f t="shared" si="140"/>
        <v>0</v>
      </c>
      <c r="X4532" s="6">
        <f t="shared" si="141"/>
        <v>0</v>
      </c>
    </row>
    <row r="4533" spans="22:24" x14ac:dyDescent="0.3">
      <c r="V4533" t="e">
        <f>VLOOKUP(H4533,'[1]팀별 출판사'!A:B,2,0)</f>
        <v>#N/A</v>
      </c>
      <c r="W4533" s="6">
        <f t="shared" si="140"/>
        <v>0</v>
      </c>
      <c r="X4533" s="6">
        <f t="shared" si="141"/>
        <v>0</v>
      </c>
    </row>
    <row r="4534" spans="22:24" x14ac:dyDescent="0.3">
      <c r="V4534" t="e">
        <f>VLOOKUP(H4534,'[1]팀별 출판사'!A:B,2,0)</f>
        <v>#N/A</v>
      </c>
      <c r="W4534" s="6">
        <f t="shared" si="140"/>
        <v>0</v>
      </c>
      <c r="X4534" s="6">
        <f t="shared" si="141"/>
        <v>0</v>
      </c>
    </row>
    <row r="4535" spans="22:24" x14ac:dyDescent="0.3">
      <c r="V4535" t="e">
        <f>VLOOKUP(H4535,'[1]팀별 출판사'!A:B,2,0)</f>
        <v>#N/A</v>
      </c>
      <c r="W4535" s="6">
        <f t="shared" si="140"/>
        <v>0</v>
      </c>
      <c r="X4535" s="6">
        <f t="shared" si="141"/>
        <v>0</v>
      </c>
    </row>
    <row r="4536" spans="22:24" x14ac:dyDescent="0.3">
      <c r="V4536" t="e">
        <f>VLOOKUP(H4536,'[1]팀별 출판사'!A:B,2,0)</f>
        <v>#N/A</v>
      </c>
      <c r="W4536" s="6">
        <f t="shared" si="140"/>
        <v>0</v>
      </c>
      <c r="X4536" s="6">
        <f t="shared" si="141"/>
        <v>0</v>
      </c>
    </row>
    <row r="4537" spans="22:24" x14ac:dyDescent="0.3">
      <c r="V4537" t="e">
        <f>VLOOKUP(H4537,'[1]팀별 출판사'!A:B,2,0)</f>
        <v>#N/A</v>
      </c>
      <c r="W4537" s="6">
        <f t="shared" si="140"/>
        <v>0</v>
      </c>
      <c r="X4537" s="6">
        <f t="shared" si="141"/>
        <v>0</v>
      </c>
    </row>
    <row r="4538" spans="22:24" x14ac:dyDescent="0.3">
      <c r="V4538" t="e">
        <f>VLOOKUP(H4538,'[1]팀별 출판사'!A:B,2,0)</f>
        <v>#N/A</v>
      </c>
      <c r="W4538" s="6">
        <f t="shared" si="140"/>
        <v>0</v>
      </c>
      <c r="X4538" s="6">
        <f t="shared" si="141"/>
        <v>0</v>
      </c>
    </row>
    <row r="4539" spans="22:24" x14ac:dyDescent="0.3">
      <c r="V4539" t="e">
        <f>VLOOKUP(H4539,'[1]팀별 출판사'!A:B,2,0)</f>
        <v>#N/A</v>
      </c>
      <c r="W4539" s="6">
        <f t="shared" si="140"/>
        <v>0</v>
      </c>
      <c r="X4539" s="6">
        <f t="shared" si="141"/>
        <v>0</v>
      </c>
    </row>
    <row r="4540" spans="22:24" x14ac:dyDescent="0.3">
      <c r="V4540" t="e">
        <f>VLOOKUP(H4540,'[1]팀별 출판사'!A:B,2,0)</f>
        <v>#N/A</v>
      </c>
      <c r="W4540" s="6">
        <f t="shared" si="140"/>
        <v>0</v>
      </c>
      <c r="X4540" s="6">
        <f t="shared" si="141"/>
        <v>0</v>
      </c>
    </row>
    <row r="4541" spans="22:24" x14ac:dyDescent="0.3">
      <c r="V4541" t="e">
        <f>VLOOKUP(H4541,'[1]팀별 출판사'!A:B,2,0)</f>
        <v>#N/A</v>
      </c>
      <c r="W4541" s="6">
        <f t="shared" si="140"/>
        <v>0</v>
      </c>
      <c r="X4541" s="6">
        <f t="shared" si="141"/>
        <v>0</v>
      </c>
    </row>
    <row r="4542" spans="22:24" x14ac:dyDescent="0.3">
      <c r="V4542" t="e">
        <f>VLOOKUP(H4542,'[1]팀별 출판사'!A:B,2,0)</f>
        <v>#N/A</v>
      </c>
      <c r="W4542" s="6">
        <f t="shared" si="140"/>
        <v>0</v>
      </c>
      <c r="X4542" s="6">
        <f t="shared" si="141"/>
        <v>0</v>
      </c>
    </row>
    <row r="4543" spans="22:24" x14ac:dyDescent="0.3">
      <c r="V4543" t="e">
        <f>VLOOKUP(H4543,'[1]팀별 출판사'!A:B,2,0)</f>
        <v>#N/A</v>
      </c>
      <c r="W4543" s="6">
        <f t="shared" si="140"/>
        <v>0</v>
      </c>
      <c r="X4543" s="6">
        <f t="shared" si="141"/>
        <v>0</v>
      </c>
    </row>
    <row r="4544" spans="22:24" x14ac:dyDescent="0.3">
      <c r="V4544" t="e">
        <f>VLOOKUP(H4544,'[1]팀별 출판사'!A:B,2,0)</f>
        <v>#N/A</v>
      </c>
      <c r="W4544" s="6">
        <f t="shared" si="140"/>
        <v>0</v>
      </c>
      <c r="X4544" s="6">
        <f t="shared" si="141"/>
        <v>0</v>
      </c>
    </row>
    <row r="4545" spans="22:24" x14ac:dyDescent="0.3">
      <c r="V4545" t="e">
        <f>VLOOKUP(H4545,'[1]팀별 출판사'!A:B,2,0)</f>
        <v>#N/A</v>
      </c>
      <c r="W4545" s="6">
        <f t="shared" si="140"/>
        <v>0</v>
      </c>
      <c r="X4545" s="6">
        <f t="shared" si="141"/>
        <v>0</v>
      </c>
    </row>
    <row r="4546" spans="22:24" x14ac:dyDescent="0.3">
      <c r="V4546" t="e">
        <f>VLOOKUP(H4546,'[1]팀별 출판사'!A:B,2,0)</f>
        <v>#N/A</v>
      </c>
      <c r="W4546" s="6">
        <f t="shared" ref="W4546:W4609" si="142">IF(P4546="US", T4546*30%, 0)</f>
        <v>0</v>
      </c>
      <c r="X4546" s="6">
        <f t="shared" ref="X4546:X4609" si="143">T4546-W4546</f>
        <v>0</v>
      </c>
    </row>
    <row r="4547" spans="22:24" x14ac:dyDescent="0.3">
      <c r="V4547" t="e">
        <f>VLOOKUP(H4547,'[1]팀별 출판사'!A:B,2,0)</f>
        <v>#N/A</v>
      </c>
      <c r="W4547" s="6">
        <f t="shared" si="142"/>
        <v>0</v>
      </c>
      <c r="X4547" s="6">
        <f t="shared" si="143"/>
        <v>0</v>
      </c>
    </row>
    <row r="4548" spans="22:24" x14ac:dyDescent="0.3">
      <c r="V4548" t="e">
        <f>VLOOKUP(H4548,'[1]팀별 출판사'!A:B,2,0)</f>
        <v>#N/A</v>
      </c>
      <c r="W4548" s="6">
        <f t="shared" si="142"/>
        <v>0</v>
      </c>
      <c r="X4548" s="6">
        <f t="shared" si="143"/>
        <v>0</v>
      </c>
    </row>
    <row r="4549" spans="22:24" x14ac:dyDescent="0.3">
      <c r="V4549" t="e">
        <f>VLOOKUP(H4549,'[1]팀별 출판사'!A:B,2,0)</f>
        <v>#N/A</v>
      </c>
      <c r="W4549" s="6">
        <f t="shared" si="142"/>
        <v>0</v>
      </c>
      <c r="X4549" s="6">
        <f t="shared" si="143"/>
        <v>0</v>
      </c>
    </row>
    <row r="4550" spans="22:24" x14ac:dyDescent="0.3">
      <c r="V4550" t="e">
        <f>VLOOKUP(H4550,'[1]팀별 출판사'!A:B,2,0)</f>
        <v>#N/A</v>
      </c>
      <c r="W4550" s="6">
        <f t="shared" si="142"/>
        <v>0</v>
      </c>
      <c r="X4550" s="6">
        <f t="shared" si="143"/>
        <v>0</v>
      </c>
    </row>
    <row r="4551" spans="22:24" x14ac:dyDescent="0.3">
      <c r="V4551" t="e">
        <f>VLOOKUP(H4551,'[1]팀별 출판사'!A:B,2,0)</f>
        <v>#N/A</v>
      </c>
      <c r="W4551" s="6">
        <f t="shared" si="142"/>
        <v>0</v>
      </c>
      <c r="X4551" s="6">
        <f t="shared" si="143"/>
        <v>0</v>
      </c>
    </row>
    <row r="4552" spans="22:24" x14ac:dyDescent="0.3">
      <c r="V4552" t="e">
        <f>VLOOKUP(H4552,'[1]팀별 출판사'!A:B,2,0)</f>
        <v>#N/A</v>
      </c>
      <c r="W4552" s="6">
        <f t="shared" si="142"/>
        <v>0</v>
      </c>
      <c r="X4552" s="6">
        <f t="shared" si="143"/>
        <v>0</v>
      </c>
    </row>
    <row r="4553" spans="22:24" x14ac:dyDescent="0.3">
      <c r="V4553" t="e">
        <f>VLOOKUP(H4553,'[1]팀별 출판사'!A:B,2,0)</f>
        <v>#N/A</v>
      </c>
      <c r="W4553" s="6">
        <f t="shared" si="142"/>
        <v>0</v>
      </c>
      <c r="X4553" s="6">
        <f t="shared" si="143"/>
        <v>0</v>
      </c>
    </row>
    <row r="4554" spans="22:24" x14ac:dyDescent="0.3">
      <c r="V4554" t="e">
        <f>VLOOKUP(H4554,'[1]팀별 출판사'!A:B,2,0)</f>
        <v>#N/A</v>
      </c>
      <c r="W4554" s="6">
        <f t="shared" si="142"/>
        <v>0</v>
      </c>
      <c r="X4554" s="6">
        <f t="shared" si="143"/>
        <v>0</v>
      </c>
    </row>
    <row r="4555" spans="22:24" x14ac:dyDescent="0.3">
      <c r="V4555" t="e">
        <f>VLOOKUP(H4555,'[1]팀별 출판사'!A:B,2,0)</f>
        <v>#N/A</v>
      </c>
      <c r="W4555" s="6">
        <f t="shared" si="142"/>
        <v>0</v>
      </c>
      <c r="X4555" s="6">
        <f t="shared" si="143"/>
        <v>0</v>
      </c>
    </row>
    <row r="4556" spans="22:24" x14ac:dyDescent="0.3">
      <c r="V4556" t="e">
        <f>VLOOKUP(H4556,'[1]팀별 출판사'!A:B,2,0)</f>
        <v>#N/A</v>
      </c>
      <c r="W4556" s="6">
        <f t="shared" si="142"/>
        <v>0</v>
      </c>
      <c r="X4556" s="6">
        <f t="shared" si="143"/>
        <v>0</v>
      </c>
    </row>
    <row r="4557" spans="22:24" x14ac:dyDescent="0.3">
      <c r="V4557" t="e">
        <f>VLOOKUP(H4557,'[1]팀별 출판사'!A:B,2,0)</f>
        <v>#N/A</v>
      </c>
      <c r="W4557" s="6">
        <f t="shared" si="142"/>
        <v>0</v>
      </c>
      <c r="X4557" s="6">
        <f t="shared" si="143"/>
        <v>0</v>
      </c>
    </row>
    <row r="4558" spans="22:24" x14ac:dyDescent="0.3">
      <c r="V4558" t="e">
        <f>VLOOKUP(H4558,'[1]팀별 출판사'!A:B,2,0)</f>
        <v>#N/A</v>
      </c>
      <c r="W4558" s="6">
        <f t="shared" si="142"/>
        <v>0</v>
      </c>
      <c r="X4558" s="6">
        <f t="shared" si="143"/>
        <v>0</v>
      </c>
    </row>
    <row r="4559" spans="22:24" x14ac:dyDescent="0.3">
      <c r="V4559" t="e">
        <f>VLOOKUP(H4559,'[1]팀별 출판사'!A:B,2,0)</f>
        <v>#N/A</v>
      </c>
      <c r="W4559" s="6">
        <f t="shared" si="142"/>
        <v>0</v>
      </c>
      <c r="X4559" s="6">
        <f t="shared" si="143"/>
        <v>0</v>
      </c>
    </row>
    <row r="4560" spans="22:24" x14ac:dyDescent="0.3">
      <c r="V4560" t="e">
        <f>VLOOKUP(H4560,'[1]팀별 출판사'!A:B,2,0)</f>
        <v>#N/A</v>
      </c>
      <c r="W4560" s="6">
        <f t="shared" si="142"/>
        <v>0</v>
      </c>
      <c r="X4560" s="6">
        <f t="shared" si="143"/>
        <v>0</v>
      </c>
    </row>
    <row r="4561" spans="22:24" x14ac:dyDescent="0.3">
      <c r="V4561" t="e">
        <f>VLOOKUP(H4561,'[1]팀별 출판사'!A:B,2,0)</f>
        <v>#N/A</v>
      </c>
      <c r="W4561" s="6">
        <f t="shared" si="142"/>
        <v>0</v>
      </c>
      <c r="X4561" s="6">
        <f t="shared" si="143"/>
        <v>0</v>
      </c>
    </row>
    <row r="4562" spans="22:24" x14ac:dyDescent="0.3">
      <c r="V4562" t="e">
        <f>VLOOKUP(H4562,'[1]팀별 출판사'!A:B,2,0)</f>
        <v>#N/A</v>
      </c>
      <c r="W4562" s="6">
        <f t="shared" si="142"/>
        <v>0</v>
      </c>
      <c r="X4562" s="6">
        <f t="shared" si="143"/>
        <v>0</v>
      </c>
    </row>
    <row r="4563" spans="22:24" x14ac:dyDescent="0.3">
      <c r="V4563" t="e">
        <f>VLOOKUP(H4563,'[1]팀별 출판사'!A:B,2,0)</f>
        <v>#N/A</v>
      </c>
      <c r="W4563" s="6">
        <f t="shared" si="142"/>
        <v>0</v>
      </c>
      <c r="X4563" s="6">
        <f t="shared" si="143"/>
        <v>0</v>
      </c>
    </row>
    <row r="4564" spans="22:24" x14ac:dyDescent="0.3">
      <c r="V4564" t="e">
        <f>VLOOKUP(H4564,'[1]팀별 출판사'!A:B,2,0)</f>
        <v>#N/A</v>
      </c>
      <c r="W4564" s="6">
        <f t="shared" si="142"/>
        <v>0</v>
      </c>
      <c r="X4564" s="6">
        <f t="shared" si="143"/>
        <v>0</v>
      </c>
    </row>
    <row r="4565" spans="22:24" x14ac:dyDescent="0.3">
      <c r="V4565" t="e">
        <f>VLOOKUP(H4565,'[1]팀별 출판사'!A:B,2,0)</f>
        <v>#N/A</v>
      </c>
      <c r="W4565" s="6">
        <f t="shared" si="142"/>
        <v>0</v>
      </c>
      <c r="X4565" s="6">
        <f t="shared" si="143"/>
        <v>0</v>
      </c>
    </row>
    <row r="4566" spans="22:24" x14ac:dyDescent="0.3">
      <c r="V4566" t="e">
        <f>VLOOKUP(H4566,'[1]팀별 출판사'!A:B,2,0)</f>
        <v>#N/A</v>
      </c>
      <c r="W4566" s="6">
        <f t="shared" si="142"/>
        <v>0</v>
      </c>
      <c r="X4566" s="6">
        <f t="shared" si="143"/>
        <v>0</v>
      </c>
    </row>
    <row r="4567" spans="22:24" x14ac:dyDescent="0.3">
      <c r="V4567" t="e">
        <f>VLOOKUP(H4567,'[1]팀별 출판사'!A:B,2,0)</f>
        <v>#N/A</v>
      </c>
      <c r="W4567" s="6">
        <f t="shared" si="142"/>
        <v>0</v>
      </c>
      <c r="X4567" s="6">
        <f t="shared" si="143"/>
        <v>0</v>
      </c>
    </row>
    <row r="4568" spans="22:24" x14ac:dyDescent="0.3">
      <c r="V4568" t="e">
        <f>VLOOKUP(H4568,'[1]팀별 출판사'!A:B,2,0)</f>
        <v>#N/A</v>
      </c>
      <c r="W4568" s="6">
        <f t="shared" si="142"/>
        <v>0</v>
      </c>
      <c r="X4568" s="6">
        <f t="shared" si="143"/>
        <v>0</v>
      </c>
    </row>
    <row r="4569" spans="22:24" x14ac:dyDescent="0.3">
      <c r="V4569" t="e">
        <f>VLOOKUP(H4569,'[1]팀별 출판사'!A:B,2,0)</f>
        <v>#N/A</v>
      </c>
      <c r="W4569" s="6">
        <f t="shared" si="142"/>
        <v>0</v>
      </c>
      <c r="X4569" s="6">
        <f t="shared" si="143"/>
        <v>0</v>
      </c>
    </row>
    <row r="4570" spans="22:24" x14ac:dyDescent="0.3">
      <c r="V4570" t="e">
        <f>VLOOKUP(H4570,'[1]팀별 출판사'!A:B,2,0)</f>
        <v>#N/A</v>
      </c>
      <c r="W4570" s="6">
        <f t="shared" si="142"/>
        <v>0</v>
      </c>
      <c r="X4570" s="6">
        <f t="shared" si="143"/>
        <v>0</v>
      </c>
    </row>
    <row r="4571" spans="22:24" x14ac:dyDescent="0.3">
      <c r="V4571" t="e">
        <f>VLOOKUP(H4571,'[1]팀별 출판사'!A:B,2,0)</f>
        <v>#N/A</v>
      </c>
      <c r="W4571" s="6">
        <f t="shared" si="142"/>
        <v>0</v>
      </c>
      <c r="X4571" s="6">
        <f t="shared" si="143"/>
        <v>0</v>
      </c>
    </row>
    <row r="4572" spans="22:24" x14ac:dyDescent="0.3">
      <c r="V4572" t="e">
        <f>VLOOKUP(H4572,'[1]팀별 출판사'!A:B,2,0)</f>
        <v>#N/A</v>
      </c>
      <c r="W4572" s="6">
        <f t="shared" si="142"/>
        <v>0</v>
      </c>
      <c r="X4572" s="6">
        <f t="shared" si="143"/>
        <v>0</v>
      </c>
    </row>
    <row r="4573" spans="22:24" x14ac:dyDescent="0.3">
      <c r="V4573" t="e">
        <f>VLOOKUP(H4573,'[1]팀별 출판사'!A:B,2,0)</f>
        <v>#N/A</v>
      </c>
      <c r="W4573" s="6">
        <f t="shared" si="142"/>
        <v>0</v>
      </c>
      <c r="X4573" s="6">
        <f t="shared" si="143"/>
        <v>0</v>
      </c>
    </row>
    <row r="4574" spans="22:24" x14ac:dyDescent="0.3">
      <c r="V4574" t="e">
        <f>VLOOKUP(H4574,'[1]팀별 출판사'!A:B,2,0)</f>
        <v>#N/A</v>
      </c>
      <c r="W4574" s="6">
        <f t="shared" si="142"/>
        <v>0</v>
      </c>
      <c r="X4574" s="6">
        <f t="shared" si="143"/>
        <v>0</v>
      </c>
    </row>
    <row r="4575" spans="22:24" x14ac:dyDescent="0.3">
      <c r="V4575" t="e">
        <f>VLOOKUP(H4575,'[1]팀별 출판사'!A:B,2,0)</f>
        <v>#N/A</v>
      </c>
      <c r="W4575" s="6">
        <f t="shared" si="142"/>
        <v>0</v>
      </c>
      <c r="X4575" s="6">
        <f t="shared" si="143"/>
        <v>0</v>
      </c>
    </row>
    <row r="4576" spans="22:24" x14ac:dyDescent="0.3">
      <c r="V4576" t="e">
        <f>VLOOKUP(H4576,'[1]팀별 출판사'!A:B,2,0)</f>
        <v>#N/A</v>
      </c>
      <c r="W4576" s="6">
        <f t="shared" si="142"/>
        <v>0</v>
      </c>
      <c r="X4576" s="6">
        <f t="shared" si="143"/>
        <v>0</v>
      </c>
    </row>
    <row r="4577" spans="22:24" x14ac:dyDescent="0.3">
      <c r="V4577" t="e">
        <f>VLOOKUP(H4577,'[1]팀별 출판사'!A:B,2,0)</f>
        <v>#N/A</v>
      </c>
      <c r="W4577" s="6">
        <f t="shared" si="142"/>
        <v>0</v>
      </c>
      <c r="X4577" s="6">
        <f t="shared" si="143"/>
        <v>0</v>
      </c>
    </row>
    <row r="4578" spans="22:24" x14ac:dyDescent="0.3">
      <c r="V4578" t="e">
        <f>VLOOKUP(H4578,'[1]팀별 출판사'!A:B,2,0)</f>
        <v>#N/A</v>
      </c>
      <c r="W4578" s="6">
        <f t="shared" si="142"/>
        <v>0</v>
      </c>
      <c r="X4578" s="6">
        <f t="shared" si="143"/>
        <v>0</v>
      </c>
    </row>
    <row r="4579" spans="22:24" x14ac:dyDescent="0.3">
      <c r="V4579" t="e">
        <f>VLOOKUP(H4579,'[1]팀별 출판사'!A:B,2,0)</f>
        <v>#N/A</v>
      </c>
      <c r="W4579" s="6">
        <f t="shared" si="142"/>
        <v>0</v>
      </c>
      <c r="X4579" s="6">
        <f t="shared" si="143"/>
        <v>0</v>
      </c>
    </row>
    <row r="4580" spans="22:24" x14ac:dyDescent="0.3">
      <c r="V4580" t="e">
        <f>VLOOKUP(H4580,'[1]팀별 출판사'!A:B,2,0)</f>
        <v>#N/A</v>
      </c>
      <c r="W4580" s="6">
        <f t="shared" si="142"/>
        <v>0</v>
      </c>
      <c r="X4580" s="6">
        <f t="shared" si="143"/>
        <v>0</v>
      </c>
    </row>
    <row r="4581" spans="22:24" x14ac:dyDescent="0.3">
      <c r="V4581" t="e">
        <f>VLOOKUP(H4581,'[1]팀별 출판사'!A:B,2,0)</f>
        <v>#N/A</v>
      </c>
      <c r="W4581" s="6">
        <f t="shared" si="142"/>
        <v>0</v>
      </c>
      <c r="X4581" s="6">
        <f t="shared" si="143"/>
        <v>0</v>
      </c>
    </row>
    <row r="4582" spans="22:24" x14ac:dyDescent="0.3">
      <c r="V4582" t="e">
        <f>VLOOKUP(H4582,'[1]팀별 출판사'!A:B,2,0)</f>
        <v>#N/A</v>
      </c>
      <c r="W4582" s="6">
        <f t="shared" si="142"/>
        <v>0</v>
      </c>
      <c r="X4582" s="6">
        <f t="shared" si="143"/>
        <v>0</v>
      </c>
    </row>
    <row r="4583" spans="22:24" x14ac:dyDescent="0.3">
      <c r="V4583" t="e">
        <f>VLOOKUP(H4583,'[1]팀별 출판사'!A:B,2,0)</f>
        <v>#N/A</v>
      </c>
      <c r="W4583" s="6">
        <f t="shared" si="142"/>
        <v>0</v>
      </c>
      <c r="X4583" s="6">
        <f t="shared" si="143"/>
        <v>0</v>
      </c>
    </row>
    <row r="4584" spans="22:24" x14ac:dyDescent="0.3">
      <c r="V4584" t="e">
        <f>VLOOKUP(H4584,'[1]팀별 출판사'!A:B,2,0)</f>
        <v>#N/A</v>
      </c>
      <c r="W4584" s="6">
        <f t="shared" si="142"/>
        <v>0</v>
      </c>
      <c r="X4584" s="6">
        <f t="shared" si="143"/>
        <v>0</v>
      </c>
    </row>
    <row r="4585" spans="22:24" x14ac:dyDescent="0.3">
      <c r="V4585" t="e">
        <f>VLOOKUP(H4585,'[1]팀별 출판사'!A:B,2,0)</f>
        <v>#N/A</v>
      </c>
      <c r="W4585" s="6">
        <f t="shared" si="142"/>
        <v>0</v>
      </c>
      <c r="X4585" s="6">
        <f t="shared" si="143"/>
        <v>0</v>
      </c>
    </row>
    <row r="4586" spans="22:24" x14ac:dyDescent="0.3">
      <c r="V4586" t="e">
        <f>VLOOKUP(H4586,'[1]팀별 출판사'!A:B,2,0)</f>
        <v>#N/A</v>
      </c>
      <c r="W4586" s="6">
        <f t="shared" si="142"/>
        <v>0</v>
      </c>
      <c r="X4586" s="6">
        <f t="shared" si="143"/>
        <v>0</v>
      </c>
    </row>
    <row r="4587" spans="22:24" x14ac:dyDescent="0.3">
      <c r="V4587" t="e">
        <f>VLOOKUP(H4587,'[1]팀별 출판사'!A:B,2,0)</f>
        <v>#N/A</v>
      </c>
      <c r="W4587" s="6">
        <f t="shared" si="142"/>
        <v>0</v>
      </c>
      <c r="X4587" s="6">
        <f t="shared" si="143"/>
        <v>0</v>
      </c>
    </row>
    <row r="4588" spans="22:24" x14ac:dyDescent="0.3">
      <c r="V4588" t="e">
        <f>VLOOKUP(H4588,'[1]팀별 출판사'!A:B,2,0)</f>
        <v>#N/A</v>
      </c>
      <c r="W4588" s="6">
        <f t="shared" si="142"/>
        <v>0</v>
      </c>
      <c r="X4588" s="6">
        <f t="shared" si="143"/>
        <v>0</v>
      </c>
    </row>
    <row r="4589" spans="22:24" x14ac:dyDescent="0.3">
      <c r="V4589" t="e">
        <f>VLOOKUP(H4589,'[1]팀별 출판사'!A:B,2,0)</f>
        <v>#N/A</v>
      </c>
      <c r="W4589" s="6">
        <f t="shared" si="142"/>
        <v>0</v>
      </c>
      <c r="X4589" s="6">
        <f t="shared" si="143"/>
        <v>0</v>
      </c>
    </row>
    <row r="4590" spans="22:24" x14ac:dyDescent="0.3">
      <c r="V4590" t="e">
        <f>VLOOKUP(H4590,'[1]팀별 출판사'!A:B,2,0)</f>
        <v>#N/A</v>
      </c>
      <c r="W4590" s="6">
        <f t="shared" si="142"/>
        <v>0</v>
      </c>
      <c r="X4590" s="6">
        <f t="shared" si="143"/>
        <v>0</v>
      </c>
    </row>
    <row r="4591" spans="22:24" x14ac:dyDescent="0.3">
      <c r="V4591" t="e">
        <f>VLOOKUP(H4591,'[1]팀별 출판사'!A:B,2,0)</f>
        <v>#N/A</v>
      </c>
      <c r="W4591" s="6">
        <f t="shared" si="142"/>
        <v>0</v>
      </c>
      <c r="X4591" s="6">
        <f t="shared" si="143"/>
        <v>0</v>
      </c>
    </row>
    <row r="4592" spans="22:24" x14ac:dyDescent="0.3">
      <c r="V4592" t="e">
        <f>VLOOKUP(H4592,'[1]팀별 출판사'!A:B,2,0)</f>
        <v>#N/A</v>
      </c>
      <c r="W4592" s="6">
        <f t="shared" si="142"/>
        <v>0</v>
      </c>
      <c r="X4592" s="6">
        <f t="shared" si="143"/>
        <v>0</v>
      </c>
    </row>
    <row r="4593" spans="22:24" x14ac:dyDescent="0.3">
      <c r="V4593" t="e">
        <f>VLOOKUP(H4593,'[1]팀별 출판사'!A:B,2,0)</f>
        <v>#N/A</v>
      </c>
      <c r="W4593" s="6">
        <f t="shared" si="142"/>
        <v>0</v>
      </c>
      <c r="X4593" s="6">
        <f t="shared" si="143"/>
        <v>0</v>
      </c>
    </row>
    <row r="4594" spans="22:24" x14ac:dyDescent="0.3">
      <c r="V4594" t="e">
        <f>VLOOKUP(H4594,'[1]팀별 출판사'!A:B,2,0)</f>
        <v>#N/A</v>
      </c>
      <c r="W4594" s="6">
        <f t="shared" si="142"/>
        <v>0</v>
      </c>
      <c r="X4594" s="6">
        <f t="shared" si="143"/>
        <v>0</v>
      </c>
    </row>
    <row r="4595" spans="22:24" x14ac:dyDescent="0.3">
      <c r="V4595" t="e">
        <f>VLOOKUP(H4595,'[1]팀별 출판사'!A:B,2,0)</f>
        <v>#N/A</v>
      </c>
      <c r="W4595" s="6">
        <f t="shared" si="142"/>
        <v>0</v>
      </c>
      <c r="X4595" s="6">
        <f t="shared" si="143"/>
        <v>0</v>
      </c>
    </row>
    <row r="4596" spans="22:24" x14ac:dyDescent="0.3">
      <c r="V4596" t="e">
        <f>VLOOKUP(H4596,'[1]팀별 출판사'!A:B,2,0)</f>
        <v>#N/A</v>
      </c>
      <c r="W4596" s="6">
        <f t="shared" si="142"/>
        <v>0</v>
      </c>
      <c r="X4596" s="6">
        <f t="shared" si="143"/>
        <v>0</v>
      </c>
    </row>
    <row r="4597" spans="22:24" x14ac:dyDescent="0.3">
      <c r="V4597" t="e">
        <f>VLOOKUP(H4597,'[1]팀별 출판사'!A:B,2,0)</f>
        <v>#N/A</v>
      </c>
      <c r="W4597" s="6">
        <f t="shared" si="142"/>
        <v>0</v>
      </c>
      <c r="X4597" s="6">
        <f t="shared" si="143"/>
        <v>0</v>
      </c>
    </row>
    <row r="4598" spans="22:24" x14ac:dyDescent="0.3">
      <c r="V4598" t="e">
        <f>VLOOKUP(H4598,'[1]팀별 출판사'!A:B,2,0)</f>
        <v>#N/A</v>
      </c>
      <c r="W4598" s="6">
        <f t="shared" si="142"/>
        <v>0</v>
      </c>
      <c r="X4598" s="6">
        <f t="shared" si="143"/>
        <v>0</v>
      </c>
    </row>
    <row r="4599" spans="22:24" x14ac:dyDescent="0.3">
      <c r="V4599" t="e">
        <f>VLOOKUP(H4599,'[1]팀별 출판사'!A:B,2,0)</f>
        <v>#N/A</v>
      </c>
      <c r="W4599" s="6">
        <f t="shared" si="142"/>
        <v>0</v>
      </c>
      <c r="X4599" s="6">
        <f t="shared" si="143"/>
        <v>0</v>
      </c>
    </row>
    <row r="4600" spans="22:24" x14ac:dyDescent="0.3">
      <c r="V4600" t="e">
        <f>VLOOKUP(H4600,'[1]팀별 출판사'!A:B,2,0)</f>
        <v>#N/A</v>
      </c>
      <c r="W4600" s="6">
        <f t="shared" si="142"/>
        <v>0</v>
      </c>
      <c r="X4600" s="6">
        <f t="shared" si="143"/>
        <v>0</v>
      </c>
    </row>
    <row r="4601" spans="22:24" x14ac:dyDescent="0.3">
      <c r="V4601" t="e">
        <f>VLOOKUP(H4601,'[1]팀별 출판사'!A:B,2,0)</f>
        <v>#N/A</v>
      </c>
      <c r="W4601" s="6">
        <f t="shared" si="142"/>
        <v>0</v>
      </c>
      <c r="X4601" s="6">
        <f t="shared" si="143"/>
        <v>0</v>
      </c>
    </row>
    <row r="4602" spans="22:24" x14ac:dyDescent="0.3">
      <c r="V4602" t="e">
        <f>VLOOKUP(H4602,'[1]팀별 출판사'!A:B,2,0)</f>
        <v>#N/A</v>
      </c>
      <c r="W4602" s="6">
        <f t="shared" si="142"/>
        <v>0</v>
      </c>
      <c r="X4602" s="6">
        <f t="shared" si="143"/>
        <v>0</v>
      </c>
    </row>
    <row r="4603" spans="22:24" x14ac:dyDescent="0.3">
      <c r="V4603" t="e">
        <f>VLOOKUP(H4603,'[1]팀별 출판사'!A:B,2,0)</f>
        <v>#N/A</v>
      </c>
      <c r="W4603" s="6">
        <f t="shared" si="142"/>
        <v>0</v>
      </c>
      <c r="X4603" s="6">
        <f t="shared" si="143"/>
        <v>0</v>
      </c>
    </row>
    <row r="4604" spans="22:24" x14ac:dyDescent="0.3">
      <c r="V4604" t="e">
        <f>VLOOKUP(H4604,'[1]팀별 출판사'!A:B,2,0)</f>
        <v>#N/A</v>
      </c>
      <c r="W4604" s="6">
        <f t="shared" si="142"/>
        <v>0</v>
      </c>
      <c r="X4604" s="6">
        <f t="shared" si="143"/>
        <v>0</v>
      </c>
    </row>
    <row r="4605" spans="22:24" x14ac:dyDescent="0.3">
      <c r="V4605" t="e">
        <f>VLOOKUP(H4605,'[1]팀별 출판사'!A:B,2,0)</f>
        <v>#N/A</v>
      </c>
      <c r="W4605" s="6">
        <f t="shared" si="142"/>
        <v>0</v>
      </c>
      <c r="X4605" s="6">
        <f t="shared" si="143"/>
        <v>0</v>
      </c>
    </row>
    <row r="4606" spans="22:24" x14ac:dyDescent="0.3">
      <c r="V4606" t="e">
        <f>VLOOKUP(H4606,'[1]팀별 출판사'!A:B,2,0)</f>
        <v>#N/A</v>
      </c>
      <c r="W4606" s="6">
        <f t="shared" si="142"/>
        <v>0</v>
      </c>
      <c r="X4606" s="6">
        <f t="shared" si="143"/>
        <v>0</v>
      </c>
    </row>
    <row r="4607" spans="22:24" x14ac:dyDescent="0.3">
      <c r="V4607" t="e">
        <f>VLOOKUP(H4607,'[1]팀별 출판사'!A:B,2,0)</f>
        <v>#N/A</v>
      </c>
      <c r="W4607" s="6">
        <f t="shared" si="142"/>
        <v>0</v>
      </c>
      <c r="X4607" s="6">
        <f t="shared" si="143"/>
        <v>0</v>
      </c>
    </row>
    <row r="4608" spans="22:24" x14ac:dyDescent="0.3">
      <c r="V4608" t="e">
        <f>VLOOKUP(H4608,'[1]팀별 출판사'!A:B,2,0)</f>
        <v>#N/A</v>
      </c>
      <c r="W4608" s="6">
        <f t="shared" si="142"/>
        <v>0</v>
      </c>
      <c r="X4608" s="6">
        <f t="shared" si="143"/>
        <v>0</v>
      </c>
    </row>
    <row r="4609" spans="22:24" x14ac:dyDescent="0.3">
      <c r="V4609" t="e">
        <f>VLOOKUP(H4609,'[1]팀별 출판사'!A:B,2,0)</f>
        <v>#N/A</v>
      </c>
      <c r="W4609" s="6">
        <f t="shared" si="142"/>
        <v>0</v>
      </c>
      <c r="X4609" s="6">
        <f t="shared" si="143"/>
        <v>0</v>
      </c>
    </row>
    <row r="4610" spans="22:24" x14ac:dyDescent="0.3">
      <c r="V4610" t="e">
        <f>VLOOKUP(H4610,'[1]팀별 출판사'!A:B,2,0)</f>
        <v>#N/A</v>
      </c>
      <c r="W4610" s="6">
        <f t="shared" ref="W4610:W4673" si="144">IF(P4610="US", T4610*30%, 0)</f>
        <v>0</v>
      </c>
      <c r="X4610" s="6">
        <f t="shared" ref="X4610:X4673" si="145">T4610-W4610</f>
        <v>0</v>
      </c>
    </row>
    <row r="4611" spans="22:24" x14ac:dyDescent="0.3">
      <c r="V4611" t="e">
        <f>VLOOKUP(H4611,'[1]팀별 출판사'!A:B,2,0)</f>
        <v>#N/A</v>
      </c>
      <c r="W4611" s="6">
        <f t="shared" si="144"/>
        <v>0</v>
      </c>
      <c r="X4611" s="6">
        <f t="shared" si="145"/>
        <v>0</v>
      </c>
    </row>
    <row r="4612" spans="22:24" x14ac:dyDescent="0.3">
      <c r="V4612" t="e">
        <f>VLOOKUP(H4612,'[1]팀별 출판사'!A:B,2,0)</f>
        <v>#N/A</v>
      </c>
      <c r="W4612" s="6">
        <f t="shared" si="144"/>
        <v>0</v>
      </c>
      <c r="X4612" s="6">
        <f t="shared" si="145"/>
        <v>0</v>
      </c>
    </row>
    <row r="4613" spans="22:24" x14ac:dyDescent="0.3">
      <c r="V4613" t="e">
        <f>VLOOKUP(H4613,'[1]팀별 출판사'!A:B,2,0)</f>
        <v>#N/A</v>
      </c>
      <c r="W4613" s="6">
        <f t="shared" si="144"/>
        <v>0</v>
      </c>
      <c r="X4613" s="6">
        <f t="shared" si="145"/>
        <v>0</v>
      </c>
    </row>
    <row r="4614" spans="22:24" x14ac:dyDescent="0.3">
      <c r="V4614" t="e">
        <f>VLOOKUP(H4614,'[1]팀별 출판사'!A:B,2,0)</f>
        <v>#N/A</v>
      </c>
      <c r="W4614" s="6">
        <f t="shared" si="144"/>
        <v>0</v>
      </c>
      <c r="X4614" s="6">
        <f t="shared" si="145"/>
        <v>0</v>
      </c>
    </row>
    <row r="4615" spans="22:24" x14ac:dyDescent="0.3">
      <c r="V4615" t="e">
        <f>VLOOKUP(H4615,'[1]팀별 출판사'!A:B,2,0)</f>
        <v>#N/A</v>
      </c>
      <c r="W4615" s="6">
        <f t="shared" si="144"/>
        <v>0</v>
      </c>
      <c r="X4615" s="6">
        <f t="shared" si="145"/>
        <v>0</v>
      </c>
    </row>
    <row r="4616" spans="22:24" x14ac:dyDescent="0.3">
      <c r="V4616" t="e">
        <f>VLOOKUP(H4616,'[1]팀별 출판사'!A:B,2,0)</f>
        <v>#N/A</v>
      </c>
      <c r="W4616" s="6">
        <f t="shared" si="144"/>
        <v>0</v>
      </c>
      <c r="X4616" s="6">
        <f t="shared" si="145"/>
        <v>0</v>
      </c>
    </row>
    <row r="4617" spans="22:24" x14ac:dyDescent="0.3">
      <c r="V4617" t="e">
        <f>VLOOKUP(H4617,'[1]팀별 출판사'!A:B,2,0)</f>
        <v>#N/A</v>
      </c>
      <c r="W4617" s="6">
        <f t="shared" si="144"/>
        <v>0</v>
      </c>
      <c r="X4617" s="6">
        <f t="shared" si="145"/>
        <v>0</v>
      </c>
    </row>
    <row r="4618" spans="22:24" x14ac:dyDescent="0.3">
      <c r="V4618" t="e">
        <f>VLOOKUP(H4618,'[1]팀별 출판사'!A:B,2,0)</f>
        <v>#N/A</v>
      </c>
      <c r="W4618" s="6">
        <f t="shared" si="144"/>
        <v>0</v>
      </c>
      <c r="X4618" s="6">
        <f t="shared" si="145"/>
        <v>0</v>
      </c>
    </row>
    <row r="4619" spans="22:24" x14ac:dyDescent="0.3">
      <c r="V4619" t="e">
        <f>VLOOKUP(H4619,'[1]팀별 출판사'!A:B,2,0)</f>
        <v>#N/A</v>
      </c>
      <c r="W4619" s="6">
        <f t="shared" si="144"/>
        <v>0</v>
      </c>
      <c r="X4619" s="6">
        <f t="shared" si="145"/>
        <v>0</v>
      </c>
    </row>
    <row r="4620" spans="22:24" x14ac:dyDescent="0.3">
      <c r="V4620" t="e">
        <f>VLOOKUP(H4620,'[1]팀별 출판사'!A:B,2,0)</f>
        <v>#N/A</v>
      </c>
      <c r="W4620" s="6">
        <f t="shared" si="144"/>
        <v>0</v>
      </c>
      <c r="X4620" s="6">
        <f t="shared" si="145"/>
        <v>0</v>
      </c>
    </row>
    <row r="4621" spans="22:24" x14ac:dyDescent="0.3">
      <c r="V4621" t="e">
        <f>VLOOKUP(H4621,'[1]팀별 출판사'!A:B,2,0)</f>
        <v>#N/A</v>
      </c>
      <c r="W4621" s="6">
        <f t="shared" si="144"/>
        <v>0</v>
      </c>
      <c r="X4621" s="6">
        <f t="shared" si="145"/>
        <v>0</v>
      </c>
    </row>
    <row r="4622" spans="22:24" x14ac:dyDescent="0.3">
      <c r="V4622" t="e">
        <f>VLOOKUP(H4622,'[1]팀별 출판사'!A:B,2,0)</f>
        <v>#N/A</v>
      </c>
      <c r="W4622" s="6">
        <f t="shared" si="144"/>
        <v>0</v>
      </c>
      <c r="X4622" s="6">
        <f t="shared" si="145"/>
        <v>0</v>
      </c>
    </row>
    <row r="4623" spans="22:24" x14ac:dyDescent="0.3">
      <c r="V4623" t="e">
        <f>VLOOKUP(H4623,'[1]팀별 출판사'!A:B,2,0)</f>
        <v>#N/A</v>
      </c>
      <c r="W4623" s="6">
        <f t="shared" si="144"/>
        <v>0</v>
      </c>
      <c r="X4623" s="6">
        <f t="shared" si="145"/>
        <v>0</v>
      </c>
    </row>
    <row r="4624" spans="22:24" x14ac:dyDescent="0.3">
      <c r="V4624" t="e">
        <f>VLOOKUP(H4624,'[1]팀별 출판사'!A:B,2,0)</f>
        <v>#N/A</v>
      </c>
      <c r="W4624" s="6">
        <f t="shared" si="144"/>
        <v>0</v>
      </c>
      <c r="X4624" s="6">
        <f t="shared" si="145"/>
        <v>0</v>
      </c>
    </row>
    <row r="4625" spans="22:24" x14ac:dyDescent="0.3">
      <c r="V4625" t="e">
        <f>VLOOKUP(H4625,'[1]팀별 출판사'!A:B,2,0)</f>
        <v>#N/A</v>
      </c>
      <c r="W4625" s="6">
        <f t="shared" si="144"/>
        <v>0</v>
      </c>
      <c r="X4625" s="6">
        <f t="shared" si="145"/>
        <v>0</v>
      </c>
    </row>
    <row r="4626" spans="22:24" x14ac:dyDescent="0.3">
      <c r="V4626" t="e">
        <f>VLOOKUP(H4626,'[1]팀별 출판사'!A:B,2,0)</f>
        <v>#N/A</v>
      </c>
      <c r="W4626" s="6">
        <f t="shared" si="144"/>
        <v>0</v>
      </c>
      <c r="X4626" s="6">
        <f t="shared" si="145"/>
        <v>0</v>
      </c>
    </row>
    <row r="4627" spans="22:24" x14ac:dyDescent="0.3">
      <c r="V4627" t="e">
        <f>VLOOKUP(H4627,'[1]팀별 출판사'!A:B,2,0)</f>
        <v>#N/A</v>
      </c>
      <c r="W4627" s="6">
        <f t="shared" si="144"/>
        <v>0</v>
      </c>
      <c r="X4627" s="6">
        <f t="shared" si="145"/>
        <v>0</v>
      </c>
    </row>
    <row r="4628" spans="22:24" x14ac:dyDescent="0.3">
      <c r="V4628" t="e">
        <f>VLOOKUP(H4628,'[1]팀별 출판사'!A:B,2,0)</f>
        <v>#N/A</v>
      </c>
      <c r="W4628" s="6">
        <f t="shared" si="144"/>
        <v>0</v>
      </c>
      <c r="X4628" s="6">
        <f t="shared" si="145"/>
        <v>0</v>
      </c>
    </row>
    <row r="4629" spans="22:24" x14ac:dyDescent="0.3">
      <c r="V4629" t="e">
        <f>VLOOKUP(H4629,'[1]팀별 출판사'!A:B,2,0)</f>
        <v>#N/A</v>
      </c>
      <c r="W4629" s="6">
        <f t="shared" si="144"/>
        <v>0</v>
      </c>
      <c r="X4629" s="6">
        <f t="shared" si="145"/>
        <v>0</v>
      </c>
    </row>
    <row r="4630" spans="22:24" x14ac:dyDescent="0.3">
      <c r="V4630" t="e">
        <f>VLOOKUP(H4630,'[1]팀별 출판사'!A:B,2,0)</f>
        <v>#N/A</v>
      </c>
      <c r="W4630" s="6">
        <f t="shared" si="144"/>
        <v>0</v>
      </c>
      <c r="X4630" s="6">
        <f t="shared" si="145"/>
        <v>0</v>
      </c>
    </row>
    <row r="4631" spans="22:24" x14ac:dyDescent="0.3">
      <c r="V4631" t="e">
        <f>VLOOKUP(H4631,'[1]팀별 출판사'!A:B,2,0)</f>
        <v>#N/A</v>
      </c>
      <c r="W4631" s="6">
        <f t="shared" si="144"/>
        <v>0</v>
      </c>
      <c r="X4631" s="6">
        <f t="shared" si="145"/>
        <v>0</v>
      </c>
    </row>
    <row r="4632" spans="22:24" x14ac:dyDescent="0.3">
      <c r="V4632" t="e">
        <f>VLOOKUP(H4632,'[1]팀별 출판사'!A:B,2,0)</f>
        <v>#N/A</v>
      </c>
      <c r="W4632" s="6">
        <f t="shared" si="144"/>
        <v>0</v>
      </c>
      <c r="X4632" s="6">
        <f t="shared" si="145"/>
        <v>0</v>
      </c>
    </row>
    <row r="4633" spans="22:24" x14ac:dyDescent="0.3">
      <c r="V4633" t="e">
        <f>VLOOKUP(H4633,'[1]팀별 출판사'!A:B,2,0)</f>
        <v>#N/A</v>
      </c>
      <c r="W4633" s="6">
        <f t="shared" si="144"/>
        <v>0</v>
      </c>
      <c r="X4633" s="6">
        <f t="shared" si="145"/>
        <v>0</v>
      </c>
    </row>
    <row r="4634" spans="22:24" x14ac:dyDescent="0.3">
      <c r="V4634" t="e">
        <f>VLOOKUP(H4634,'[1]팀별 출판사'!A:B,2,0)</f>
        <v>#N/A</v>
      </c>
      <c r="W4634" s="6">
        <f t="shared" si="144"/>
        <v>0</v>
      </c>
      <c r="X4634" s="6">
        <f t="shared" si="145"/>
        <v>0</v>
      </c>
    </row>
    <row r="4635" spans="22:24" x14ac:dyDescent="0.3">
      <c r="V4635" t="e">
        <f>VLOOKUP(H4635,'[1]팀별 출판사'!A:B,2,0)</f>
        <v>#N/A</v>
      </c>
      <c r="W4635" s="6">
        <f t="shared" si="144"/>
        <v>0</v>
      </c>
      <c r="X4635" s="6">
        <f t="shared" si="145"/>
        <v>0</v>
      </c>
    </row>
    <row r="4636" spans="22:24" x14ac:dyDescent="0.3">
      <c r="V4636" t="e">
        <f>VLOOKUP(H4636,'[1]팀별 출판사'!A:B,2,0)</f>
        <v>#N/A</v>
      </c>
      <c r="W4636" s="6">
        <f t="shared" si="144"/>
        <v>0</v>
      </c>
      <c r="X4636" s="6">
        <f t="shared" si="145"/>
        <v>0</v>
      </c>
    </row>
    <row r="4637" spans="22:24" x14ac:dyDescent="0.3">
      <c r="V4637" t="e">
        <f>VLOOKUP(H4637,'[1]팀별 출판사'!A:B,2,0)</f>
        <v>#N/A</v>
      </c>
      <c r="W4637" s="6">
        <f t="shared" si="144"/>
        <v>0</v>
      </c>
      <c r="X4637" s="6">
        <f t="shared" si="145"/>
        <v>0</v>
      </c>
    </row>
    <row r="4638" spans="22:24" x14ac:dyDescent="0.3">
      <c r="V4638" t="e">
        <f>VLOOKUP(H4638,'[1]팀별 출판사'!A:B,2,0)</f>
        <v>#N/A</v>
      </c>
      <c r="W4638" s="6">
        <f t="shared" si="144"/>
        <v>0</v>
      </c>
      <c r="X4638" s="6">
        <f t="shared" si="145"/>
        <v>0</v>
      </c>
    </row>
    <row r="4639" spans="22:24" x14ac:dyDescent="0.3">
      <c r="V4639" t="e">
        <f>VLOOKUP(H4639,'[1]팀별 출판사'!A:B,2,0)</f>
        <v>#N/A</v>
      </c>
      <c r="W4639" s="6">
        <f t="shared" si="144"/>
        <v>0</v>
      </c>
      <c r="X4639" s="6">
        <f t="shared" si="145"/>
        <v>0</v>
      </c>
    </row>
    <row r="4640" spans="22:24" x14ac:dyDescent="0.3">
      <c r="V4640" t="e">
        <f>VLOOKUP(H4640,'[1]팀별 출판사'!A:B,2,0)</f>
        <v>#N/A</v>
      </c>
      <c r="W4640" s="6">
        <f t="shared" si="144"/>
        <v>0</v>
      </c>
      <c r="X4640" s="6">
        <f t="shared" si="145"/>
        <v>0</v>
      </c>
    </row>
    <row r="4641" spans="22:24" x14ac:dyDescent="0.3">
      <c r="V4641" t="e">
        <f>VLOOKUP(H4641,'[1]팀별 출판사'!A:B,2,0)</f>
        <v>#N/A</v>
      </c>
      <c r="W4641" s="6">
        <f t="shared" si="144"/>
        <v>0</v>
      </c>
      <c r="X4641" s="6">
        <f t="shared" si="145"/>
        <v>0</v>
      </c>
    </row>
    <row r="4642" spans="22:24" x14ac:dyDescent="0.3">
      <c r="V4642" t="e">
        <f>VLOOKUP(H4642,'[1]팀별 출판사'!A:B,2,0)</f>
        <v>#N/A</v>
      </c>
      <c r="W4642" s="6">
        <f t="shared" si="144"/>
        <v>0</v>
      </c>
      <c r="X4642" s="6">
        <f t="shared" si="145"/>
        <v>0</v>
      </c>
    </row>
    <row r="4643" spans="22:24" x14ac:dyDescent="0.3">
      <c r="V4643" t="e">
        <f>VLOOKUP(H4643,'[1]팀별 출판사'!A:B,2,0)</f>
        <v>#N/A</v>
      </c>
      <c r="W4643" s="6">
        <f t="shared" si="144"/>
        <v>0</v>
      </c>
      <c r="X4643" s="6">
        <f t="shared" si="145"/>
        <v>0</v>
      </c>
    </row>
    <row r="4644" spans="22:24" x14ac:dyDescent="0.3">
      <c r="V4644" t="e">
        <f>VLOOKUP(H4644,'[1]팀별 출판사'!A:B,2,0)</f>
        <v>#N/A</v>
      </c>
      <c r="W4644" s="6">
        <f t="shared" si="144"/>
        <v>0</v>
      </c>
      <c r="X4644" s="6">
        <f t="shared" si="145"/>
        <v>0</v>
      </c>
    </row>
    <row r="4645" spans="22:24" x14ac:dyDescent="0.3">
      <c r="V4645" t="e">
        <f>VLOOKUP(H4645,'[1]팀별 출판사'!A:B,2,0)</f>
        <v>#N/A</v>
      </c>
      <c r="W4645" s="6">
        <f t="shared" si="144"/>
        <v>0</v>
      </c>
      <c r="X4645" s="6">
        <f t="shared" si="145"/>
        <v>0</v>
      </c>
    </row>
    <row r="4646" spans="22:24" x14ac:dyDescent="0.3">
      <c r="V4646" t="e">
        <f>VLOOKUP(H4646,'[1]팀별 출판사'!A:B,2,0)</f>
        <v>#N/A</v>
      </c>
      <c r="W4646" s="6">
        <f t="shared" si="144"/>
        <v>0</v>
      </c>
      <c r="X4646" s="6">
        <f t="shared" si="145"/>
        <v>0</v>
      </c>
    </row>
    <row r="4647" spans="22:24" x14ac:dyDescent="0.3">
      <c r="V4647" t="e">
        <f>VLOOKUP(H4647,'[1]팀별 출판사'!A:B,2,0)</f>
        <v>#N/A</v>
      </c>
      <c r="W4647" s="6">
        <f t="shared" si="144"/>
        <v>0</v>
      </c>
      <c r="X4647" s="6">
        <f t="shared" si="145"/>
        <v>0</v>
      </c>
    </row>
    <row r="4648" spans="22:24" x14ac:dyDescent="0.3">
      <c r="V4648" t="e">
        <f>VLOOKUP(H4648,'[1]팀별 출판사'!A:B,2,0)</f>
        <v>#N/A</v>
      </c>
      <c r="W4648" s="6">
        <f t="shared" si="144"/>
        <v>0</v>
      </c>
      <c r="X4648" s="6">
        <f t="shared" si="145"/>
        <v>0</v>
      </c>
    </row>
    <row r="4649" spans="22:24" x14ac:dyDescent="0.3">
      <c r="V4649" t="e">
        <f>VLOOKUP(H4649,'[1]팀별 출판사'!A:B,2,0)</f>
        <v>#N/A</v>
      </c>
      <c r="W4649" s="6">
        <f t="shared" si="144"/>
        <v>0</v>
      </c>
      <c r="X4649" s="6">
        <f t="shared" si="145"/>
        <v>0</v>
      </c>
    </row>
    <row r="4650" spans="22:24" x14ac:dyDescent="0.3">
      <c r="V4650" t="e">
        <f>VLOOKUP(H4650,'[1]팀별 출판사'!A:B,2,0)</f>
        <v>#N/A</v>
      </c>
      <c r="W4650" s="6">
        <f t="shared" si="144"/>
        <v>0</v>
      </c>
      <c r="X4650" s="6">
        <f t="shared" si="145"/>
        <v>0</v>
      </c>
    </row>
    <row r="4651" spans="22:24" x14ac:dyDescent="0.3">
      <c r="V4651" t="e">
        <f>VLOOKUP(H4651,'[1]팀별 출판사'!A:B,2,0)</f>
        <v>#N/A</v>
      </c>
      <c r="W4651" s="6">
        <f t="shared" si="144"/>
        <v>0</v>
      </c>
      <c r="X4651" s="6">
        <f t="shared" si="145"/>
        <v>0</v>
      </c>
    </row>
    <row r="4652" spans="22:24" x14ac:dyDescent="0.3">
      <c r="V4652" t="e">
        <f>VLOOKUP(H4652,'[1]팀별 출판사'!A:B,2,0)</f>
        <v>#N/A</v>
      </c>
      <c r="W4652" s="6">
        <f t="shared" si="144"/>
        <v>0</v>
      </c>
      <c r="X4652" s="6">
        <f t="shared" si="145"/>
        <v>0</v>
      </c>
    </row>
    <row r="4653" spans="22:24" x14ac:dyDescent="0.3">
      <c r="V4653" t="e">
        <f>VLOOKUP(H4653,'[1]팀별 출판사'!A:B,2,0)</f>
        <v>#N/A</v>
      </c>
      <c r="W4653" s="6">
        <f t="shared" si="144"/>
        <v>0</v>
      </c>
      <c r="X4653" s="6">
        <f t="shared" si="145"/>
        <v>0</v>
      </c>
    </row>
    <row r="4654" spans="22:24" x14ac:dyDescent="0.3">
      <c r="V4654" t="e">
        <f>VLOOKUP(H4654,'[1]팀별 출판사'!A:B,2,0)</f>
        <v>#N/A</v>
      </c>
      <c r="W4654" s="6">
        <f t="shared" si="144"/>
        <v>0</v>
      </c>
      <c r="X4654" s="6">
        <f t="shared" si="145"/>
        <v>0</v>
      </c>
    </row>
    <row r="4655" spans="22:24" x14ac:dyDescent="0.3">
      <c r="V4655" t="e">
        <f>VLOOKUP(H4655,'[1]팀별 출판사'!A:B,2,0)</f>
        <v>#N/A</v>
      </c>
      <c r="W4655" s="6">
        <f t="shared" si="144"/>
        <v>0</v>
      </c>
      <c r="X4655" s="6">
        <f t="shared" si="145"/>
        <v>0</v>
      </c>
    </row>
    <row r="4656" spans="22:24" x14ac:dyDescent="0.3">
      <c r="V4656" t="e">
        <f>VLOOKUP(H4656,'[1]팀별 출판사'!A:B,2,0)</f>
        <v>#N/A</v>
      </c>
      <c r="W4656" s="6">
        <f t="shared" si="144"/>
        <v>0</v>
      </c>
      <c r="X4656" s="6">
        <f t="shared" si="145"/>
        <v>0</v>
      </c>
    </row>
    <row r="4657" spans="22:24" x14ac:dyDescent="0.3">
      <c r="V4657" t="e">
        <f>VLOOKUP(H4657,'[1]팀별 출판사'!A:B,2,0)</f>
        <v>#N/A</v>
      </c>
      <c r="W4657" s="6">
        <f t="shared" si="144"/>
        <v>0</v>
      </c>
      <c r="X4657" s="6">
        <f t="shared" si="145"/>
        <v>0</v>
      </c>
    </row>
    <row r="4658" spans="22:24" x14ac:dyDescent="0.3">
      <c r="V4658" t="e">
        <f>VLOOKUP(H4658,'[1]팀별 출판사'!A:B,2,0)</f>
        <v>#N/A</v>
      </c>
      <c r="W4658" s="6">
        <f t="shared" si="144"/>
        <v>0</v>
      </c>
      <c r="X4658" s="6">
        <f t="shared" si="145"/>
        <v>0</v>
      </c>
    </row>
    <row r="4659" spans="22:24" x14ac:dyDescent="0.3">
      <c r="V4659" t="e">
        <f>VLOOKUP(H4659,'[1]팀별 출판사'!A:B,2,0)</f>
        <v>#N/A</v>
      </c>
      <c r="W4659" s="6">
        <f t="shared" si="144"/>
        <v>0</v>
      </c>
      <c r="X4659" s="6">
        <f t="shared" si="145"/>
        <v>0</v>
      </c>
    </row>
    <row r="4660" spans="22:24" x14ac:dyDescent="0.3">
      <c r="V4660" t="e">
        <f>VLOOKUP(H4660,'[1]팀별 출판사'!A:B,2,0)</f>
        <v>#N/A</v>
      </c>
      <c r="W4660" s="6">
        <f t="shared" si="144"/>
        <v>0</v>
      </c>
      <c r="X4660" s="6">
        <f t="shared" si="145"/>
        <v>0</v>
      </c>
    </row>
    <row r="4661" spans="22:24" x14ac:dyDescent="0.3">
      <c r="V4661" t="e">
        <f>VLOOKUP(H4661,'[1]팀별 출판사'!A:B,2,0)</f>
        <v>#N/A</v>
      </c>
      <c r="W4661" s="6">
        <f t="shared" si="144"/>
        <v>0</v>
      </c>
      <c r="X4661" s="6">
        <f t="shared" si="145"/>
        <v>0</v>
      </c>
    </row>
    <row r="4662" spans="22:24" x14ac:dyDescent="0.3">
      <c r="V4662" t="e">
        <f>VLOOKUP(H4662,'[1]팀별 출판사'!A:B,2,0)</f>
        <v>#N/A</v>
      </c>
      <c r="W4662" s="6">
        <f t="shared" si="144"/>
        <v>0</v>
      </c>
      <c r="X4662" s="6">
        <f t="shared" si="145"/>
        <v>0</v>
      </c>
    </row>
    <row r="4663" spans="22:24" x14ac:dyDescent="0.3">
      <c r="V4663" t="e">
        <f>VLOOKUP(H4663,'[1]팀별 출판사'!A:B,2,0)</f>
        <v>#N/A</v>
      </c>
      <c r="W4663" s="6">
        <f t="shared" si="144"/>
        <v>0</v>
      </c>
      <c r="X4663" s="6">
        <f t="shared" si="145"/>
        <v>0</v>
      </c>
    </row>
    <row r="4664" spans="22:24" x14ac:dyDescent="0.3">
      <c r="V4664" t="e">
        <f>VLOOKUP(H4664,'[1]팀별 출판사'!A:B,2,0)</f>
        <v>#N/A</v>
      </c>
      <c r="W4664" s="6">
        <f t="shared" si="144"/>
        <v>0</v>
      </c>
      <c r="X4664" s="6">
        <f t="shared" si="145"/>
        <v>0</v>
      </c>
    </row>
    <row r="4665" spans="22:24" x14ac:dyDescent="0.3">
      <c r="V4665" t="e">
        <f>VLOOKUP(H4665,'[1]팀별 출판사'!A:B,2,0)</f>
        <v>#N/A</v>
      </c>
      <c r="W4665" s="6">
        <f t="shared" si="144"/>
        <v>0</v>
      </c>
      <c r="X4665" s="6">
        <f t="shared" si="145"/>
        <v>0</v>
      </c>
    </row>
    <row r="4666" spans="22:24" x14ac:dyDescent="0.3">
      <c r="V4666" t="e">
        <f>VLOOKUP(H4666,'[1]팀별 출판사'!A:B,2,0)</f>
        <v>#N/A</v>
      </c>
      <c r="W4666" s="6">
        <f t="shared" si="144"/>
        <v>0</v>
      </c>
      <c r="X4666" s="6">
        <f t="shared" si="145"/>
        <v>0</v>
      </c>
    </row>
    <row r="4667" spans="22:24" x14ac:dyDescent="0.3">
      <c r="V4667" t="e">
        <f>VLOOKUP(H4667,'[1]팀별 출판사'!A:B,2,0)</f>
        <v>#N/A</v>
      </c>
      <c r="W4667" s="6">
        <f t="shared" si="144"/>
        <v>0</v>
      </c>
      <c r="X4667" s="6">
        <f t="shared" si="145"/>
        <v>0</v>
      </c>
    </row>
    <row r="4668" spans="22:24" x14ac:dyDescent="0.3">
      <c r="V4668" t="e">
        <f>VLOOKUP(H4668,'[1]팀별 출판사'!A:B,2,0)</f>
        <v>#N/A</v>
      </c>
      <c r="W4668" s="6">
        <f t="shared" si="144"/>
        <v>0</v>
      </c>
      <c r="X4668" s="6">
        <f t="shared" si="145"/>
        <v>0</v>
      </c>
    </row>
    <row r="4669" spans="22:24" x14ac:dyDescent="0.3">
      <c r="V4669" t="e">
        <f>VLOOKUP(H4669,'[1]팀별 출판사'!A:B,2,0)</f>
        <v>#N/A</v>
      </c>
      <c r="W4669" s="6">
        <f t="shared" si="144"/>
        <v>0</v>
      </c>
      <c r="X4669" s="6">
        <f t="shared" si="145"/>
        <v>0</v>
      </c>
    </row>
    <row r="4670" spans="22:24" x14ac:dyDescent="0.3">
      <c r="V4670" t="e">
        <f>VLOOKUP(H4670,'[1]팀별 출판사'!A:B,2,0)</f>
        <v>#N/A</v>
      </c>
      <c r="W4670" s="6">
        <f t="shared" si="144"/>
        <v>0</v>
      </c>
      <c r="X4670" s="6">
        <f t="shared" si="145"/>
        <v>0</v>
      </c>
    </row>
    <row r="4671" spans="22:24" x14ac:dyDescent="0.3">
      <c r="V4671" t="e">
        <f>VLOOKUP(H4671,'[1]팀별 출판사'!A:B,2,0)</f>
        <v>#N/A</v>
      </c>
      <c r="W4671" s="6">
        <f t="shared" si="144"/>
        <v>0</v>
      </c>
      <c r="X4671" s="6">
        <f t="shared" si="145"/>
        <v>0</v>
      </c>
    </row>
    <row r="4672" spans="22:24" x14ac:dyDescent="0.3">
      <c r="V4672" t="e">
        <f>VLOOKUP(H4672,'[1]팀별 출판사'!A:B,2,0)</f>
        <v>#N/A</v>
      </c>
      <c r="W4672" s="6">
        <f t="shared" si="144"/>
        <v>0</v>
      </c>
      <c r="X4672" s="6">
        <f t="shared" si="145"/>
        <v>0</v>
      </c>
    </row>
    <row r="4673" spans="22:24" x14ac:dyDescent="0.3">
      <c r="V4673" t="e">
        <f>VLOOKUP(H4673,'[1]팀별 출판사'!A:B,2,0)</f>
        <v>#N/A</v>
      </c>
      <c r="W4673" s="6">
        <f t="shared" si="144"/>
        <v>0</v>
      </c>
      <c r="X4673" s="6">
        <f t="shared" si="145"/>
        <v>0</v>
      </c>
    </row>
    <row r="4674" spans="22:24" x14ac:dyDescent="0.3">
      <c r="V4674" t="e">
        <f>VLOOKUP(H4674,'[1]팀별 출판사'!A:B,2,0)</f>
        <v>#N/A</v>
      </c>
      <c r="W4674" s="6">
        <f t="shared" ref="W4674:W4737" si="146">IF(P4674="US", T4674*30%, 0)</f>
        <v>0</v>
      </c>
      <c r="X4674" s="6">
        <f t="shared" ref="X4674:X4737" si="147">T4674-W4674</f>
        <v>0</v>
      </c>
    </row>
    <row r="4675" spans="22:24" x14ac:dyDescent="0.3">
      <c r="V4675" t="e">
        <f>VLOOKUP(H4675,'[1]팀별 출판사'!A:B,2,0)</f>
        <v>#N/A</v>
      </c>
      <c r="W4675" s="6">
        <f t="shared" si="146"/>
        <v>0</v>
      </c>
      <c r="X4675" s="6">
        <f t="shared" si="147"/>
        <v>0</v>
      </c>
    </row>
    <row r="4676" spans="22:24" x14ac:dyDescent="0.3">
      <c r="V4676" t="e">
        <f>VLOOKUP(H4676,'[1]팀별 출판사'!A:B,2,0)</f>
        <v>#N/A</v>
      </c>
      <c r="W4676" s="6">
        <f t="shared" si="146"/>
        <v>0</v>
      </c>
      <c r="X4676" s="6">
        <f t="shared" si="147"/>
        <v>0</v>
      </c>
    </row>
    <row r="4677" spans="22:24" x14ac:dyDescent="0.3">
      <c r="V4677" t="e">
        <f>VLOOKUP(H4677,'[1]팀별 출판사'!A:B,2,0)</f>
        <v>#N/A</v>
      </c>
      <c r="W4677" s="6">
        <f t="shared" si="146"/>
        <v>0</v>
      </c>
      <c r="X4677" s="6">
        <f t="shared" si="147"/>
        <v>0</v>
      </c>
    </row>
    <row r="4678" spans="22:24" x14ac:dyDescent="0.3">
      <c r="V4678" t="e">
        <f>VLOOKUP(H4678,'[1]팀별 출판사'!A:B,2,0)</f>
        <v>#N/A</v>
      </c>
      <c r="W4678" s="6">
        <f t="shared" si="146"/>
        <v>0</v>
      </c>
      <c r="X4678" s="6">
        <f t="shared" si="147"/>
        <v>0</v>
      </c>
    </row>
    <row r="4679" spans="22:24" x14ac:dyDescent="0.3">
      <c r="V4679" t="e">
        <f>VLOOKUP(H4679,'[1]팀별 출판사'!A:B,2,0)</f>
        <v>#N/A</v>
      </c>
      <c r="W4679" s="6">
        <f t="shared" si="146"/>
        <v>0</v>
      </c>
      <c r="X4679" s="6">
        <f t="shared" si="147"/>
        <v>0</v>
      </c>
    </row>
    <row r="4680" spans="22:24" x14ac:dyDescent="0.3">
      <c r="V4680" t="e">
        <f>VLOOKUP(H4680,'[1]팀별 출판사'!A:B,2,0)</f>
        <v>#N/A</v>
      </c>
      <c r="W4680" s="6">
        <f t="shared" si="146"/>
        <v>0</v>
      </c>
      <c r="X4680" s="6">
        <f t="shared" si="147"/>
        <v>0</v>
      </c>
    </row>
    <row r="4681" spans="22:24" x14ac:dyDescent="0.3">
      <c r="V4681" t="e">
        <f>VLOOKUP(H4681,'[1]팀별 출판사'!A:B,2,0)</f>
        <v>#N/A</v>
      </c>
      <c r="W4681" s="6">
        <f t="shared" si="146"/>
        <v>0</v>
      </c>
      <c r="X4681" s="6">
        <f t="shared" si="147"/>
        <v>0</v>
      </c>
    </row>
    <row r="4682" spans="22:24" x14ac:dyDescent="0.3">
      <c r="V4682" t="e">
        <f>VLOOKUP(H4682,'[1]팀별 출판사'!A:B,2,0)</f>
        <v>#N/A</v>
      </c>
      <c r="W4682" s="6">
        <f t="shared" si="146"/>
        <v>0</v>
      </c>
      <c r="X4682" s="6">
        <f t="shared" si="147"/>
        <v>0</v>
      </c>
    </row>
    <row r="4683" spans="22:24" x14ac:dyDescent="0.3">
      <c r="V4683" t="e">
        <f>VLOOKUP(H4683,'[1]팀별 출판사'!A:B,2,0)</f>
        <v>#N/A</v>
      </c>
      <c r="W4683" s="6">
        <f t="shared" si="146"/>
        <v>0</v>
      </c>
      <c r="X4683" s="6">
        <f t="shared" si="147"/>
        <v>0</v>
      </c>
    </row>
    <row r="4684" spans="22:24" x14ac:dyDescent="0.3">
      <c r="V4684" t="e">
        <f>VLOOKUP(H4684,'[1]팀별 출판사'!A:B,2,0)</f>
        <v>#N/A</v>
      </c>
      <c r="W4684" s="6">
        <f t="shared" si="146"/>
        <v>0</v>
      </c>
      <c r="X4684" s="6">
        <f t="shared" si="147"/>
        <v>0</v>
      </c>
    </row>
    <row r="4685" spans="22:24" x14ac:dyDescent="0.3">
      <c r="V4685" t="e">
        <f>VLOOKUP(H4685,'[1]팀별 출판사'!A:B,2,0)</f>
        <v>#N/A</v>
      </c>
      <c r="W4685" s="6">
        <f t="shared" si="146"/>
        <v>0</v>
      </c>
      <c r="X4685" s="6">
        <f t="shared" si="147"/>
        <v>0</v>
      </c>
    </row>
    <row r="4686" spans="22:24" x14ac:dyDescent="0.3">
      <c r="V4686" t="e">
        <f>VLOOKUP(H4686,'[1]팀별 출판사'!A:B,2,0)</f>
        <v>#N/A</v>
      </c>
      <c r="W4686" s="6">
        <f t="shared" si="146"/>
        <v>0</v>
      </c>
      <c r="X4686" s="6">
        <f t="shared" si="147"/>
        <v>0</v>
      </c>
    </row>
    <row r="4687" spans="22:24" x14ac:dyDescent="0.3">
      <c r="V4687" t="e">
        <f>VLOOKUP(H4687,'[1]팀별 출판사'!A:B,2,0)</f>
        <v>#N/A</v>
      </c>
      <c r="W4687" s="6">
        <f t="shared" si="146"/>
        <v>0</v>
      </c>
      <c r="X4687" s="6">
        <f t="shared" si="147"/>
        <v>0</v>
      </c>
    </row>
    <row r="4688" spans="22:24" x14ac:dyDescent="0.3">
      <c r="V4688" t="e">
        <f>VLOOKUP(H4688,'[1]팀별 출판사'!A:B,2,0)</f>
        <v>#N/A</v>
      </c>
      <c r="W4688" s="6">
        <f t="shared" si="146"/>
        <v>0</v>
      </c>
      <c r="X4688" s="6">
        <f t="shared" si="147"/>
        <v>0</v>
      </c>
    </row>
    <row r="4689" spans="22:24" x14ac:dyDescent="0.3">
      <c r="V4689" t="e">
        <f>VLOOKUP(H4689,'[1]팀별 출판사'!A:B,2,0)</f>
        <v>#N/A</v>
      </c>
      <c r="W4689" s="6">
        <f t="shared" si="146"/>
        <v>0</v>
      </c>
      <c r="X4689" s="6">
        <f t="shared" si="147"/>
        <v>0</v>
      </c>
    </row>
    <row r="4690" spans="22:24" x14ac:dyDescent="0.3">
      <c r="V4690" t="e">
        <f>VLOOKUP(H4690,'[1]팀별 출판사'!A:B,2,0)</f>
        <v>#N/A</v>
      </c>
      <c r="W4690" s="6">
        <f t="shared" si="146"/>
        <v>0</v>
      </c>
      <c r="X4690" s="6">
        <f t="shared" si="147"/>
        <v>0</v>
      </c>
    </row>
    <row r="4691" spans="22:24" x14ac:dyDescent="0.3">
      <c r="V4691" t="e">
        <f>VLOOKUP(H4691,'[1]팀별 출판사'!A:B,2,0)</f>
        <v>#N/A</v>
      </c>
      <c r="W4691" s="6">
        <f t="shared" si="146"/>
        <v>0</v>
      </c>
      <c r="X4691" s="6">
        <f t="shared" si="147"/>
        <v>0</v>
      </c>
    </row>
    <row r="4692" spans="22:24" x14ac:dyDescent="0.3">
      <c r="V4692" t="e">
        <f>VLOOKUP(H4692,'[1]팀별 출판사'!A:B,2,0)</f>
        <v>#N/A</v>
      </c>
      <c r="W4692" s="6">
        <f t="shared" si="146"/>
        <v>0</v>
      </c>
      <c r="X4692" s="6">
        <f t="shared" si="147"/>
        <v>0</v>
      </c>
    </row>
    <row r="4693" spans="22:24" x14ac:dyDescent="0.3">
      <c r="V4693" t="e">
        <f>VLOOKUP(H4693,'[1]팀별 출판사'!A:B,2,0)</f>
        <v>#N/A</v>
      </c>
      <c r="W4693" s="6">
        <f t="shared" si="146"/>
        <v>0</v>
      </c>
      <c r="X4693" s="6">
        <f t="shared" si="147"/>
        <v>0</v>
      </c>
    </row>
    <row r="4694" spans="22:24" x14ac:dyDescent="0.3">
      <c r="V4694" t="e">
        <f>VLOOKUP(H4694,'[1]팀별 출판사'!A:B,2,0)</f>
        <v>#N/A</v>
      </c>
      <c r="W4694" s="6">
        <f t="shared" si="146"/>
        <v>0</v>
      </c>
      <c r="X4694" s="6">
        <f t="shared" si="147"/>
        <v>0</v>
      </c>
    </row>
    <row r="4695" spans="22:24" x14ac:dyDescent="0.3">
      <c r="V4695" t="e">
        <f>VLOOKUP(H4695,'[1]팀별 출판사'!A:B,2,0)</f>
        <v>#N/A</v>
      </c>
      <c r="W4695" s="6">
        <f t="shared" si="146"/>
        <v>0</v>
      </c>
      <c r="X4695" s="6">
        <f t="shared" si="147"/>
        <v>0</v>
      </c>
    </row>
    <row r="4696" spans="22:24" x14ac:dyDescent="0.3">
      <c r="V4696" t="e">
        <f>VLOOKUP(H4696,'[1]팀별 출판사'!A:B,2,0)</f>
        <v>#N/A</v>
      </c>
      <c r="W4696" s="6">
        <f t="shared" si="146"/>
        <v>0</v>
      </c>
      <c r="X4696" s="6">
        <f t="shared" si="147"/>
        <v>0</v>
      </c>
    </row>
    <row r="4697" spans="22:24" x14ac:dyDescent="0.3">
      <c r="V4697" t="e">
        <f>VLOOKUP(H4697,'[1]팀별 출판사'!A:B,2,0)</f>
        <v>#N/A</v>
      </c>
      <c r="W4697" s="6">
        <f t="shared" si="146"/>
        <v>0</v>
      </c>
      <c r="X4697" s="6">
        <f t="shared" si="147"/>
        <v>0</v>
      </c>
    </row>
    <row r="4698" spans="22:24" x14ac:dyDescent="0.3">
      <c r="V4698" t="e">
        <f>VLOOKUP(H4698,'[1]팀별 출판사'!A:B,2,0)</f>
        <v>#N/A</v>
      </c>
      <c r="W4698" s="6">
        <f t="shared" si="146"/>
        <v>0</v>
      </c>
      <c r="X4698" s="6">
        <f t="shared" si="147"/>
        <v>0</v>
      </c>
    </row>
    <row r="4699" spans="22:24" x14ac:dyDescent="0.3">
      <c r="V4699" t="e">
        <f>VLOOKUP(H4699,'[1]팀별 출판사'!A:B,2,0)</f>
        <v>#N/A</v>
      </c>
      <c r="W4699" s="6">
        <f t="shared" si="146"/>
        <v>0</v>
      </c>
      <c r="X4699" s="6">
        <f t="shared" si="147"/>
        <v>0</v>
      </c>
    </row>
    <row r="4700" spans="22:24" x14ac:dyDescent="0.3">
      <c r="V4700" t="e">
        <f>VLOOKUP(H4700,'[1]팀별 출판사'!A:B,2,0)</f>
        <v>#N/A</v>
      </c>
      <c r="W4700" s="6">
        <f t="shared" si="146"/>
        <v>0</v>
      </c>
      <c r="X4700" s="6">
        <f t="shared" si="147"/>
        <v>0</v>
      </c>
    </row>
    <row r="4701" spans="22:24" x14ac:dyDescent="0.3">
      <c r="V4701" t="e">
        <f>VLOOKUP(H4701,'[1]팀별 출판사'!A:B,2,0)</f>
        <v>#N/A</v>
      </c>
      <c r="W4701" s="6">
        <f t="shared" si="146"/>
        <v>0</v>
      </c>
      <c r="X4701" s="6">
        <f t="shared" si="147"/>
        <v>0</v>
      </c>
    </row>
    <row r="4702" spans="22:24" x14ac:dyDescent="0.3">
      <c r="V4702" t="e">
        <f>VLOOKUP(H4702,'[1]팀별 출판사'!A:B,2,0)</f>
        <v>#N/A</v>
      </c>
      <c r="W4702" s="6">
        <f t="shared" si="146"/>
        <v>0</v>
      </c>
      <c r="X4702" s="6">
        <f t="shared" si="147"/>
        <v>0</v>
      </c>
    </row>
    <row r="4703" spans="22:24" x14ac:dyDescent="0.3">
      <c r="V4703" t="e">
        <f>VLOOKUP(H4703,'[1]팀별 출판사'!A:B,2,0)</f>
        <v>#N/A</v>
      </c>
      <c r="W4703" s="6">
        <f t="shared" si="146"/>
        <v>0</v>
      </c>
      <c r="X4703" s="6">
        <f t="shared" si="147"/>
        <v>0</v>
      </c>
    </row>
    <row r="4704" spans="22:24" x14ac:dyDescent="0.3">
      <c r="V4704" t="e">
        <f>VLOOKUP(H4704,'[1]팀별 출판사'!A:B,2,0)</f>
        <v>#N/A</v>
      </c>
      <c r="W4704" s="6">
        <f t="shared" si="146"/>
        <v>0</v>
      </c>
      <c r="X4704" s="6">
        <f t="shared" si="147"/>
        <v>0</v>
      </c>
    </row>
    <row r="4705" spans="22:24" x14ac:dyDescent="0.3">
      <c r="V4705" t="e">
        <f>VLOOKUP(H4705,'[1]팀별 출판사'!A:B,2,0)</f>
        <v>#N/A</v>
      </c>
      <c r="W4705" s="6">
        <f t="shared" si="146"/>
        <v>0</v>
      </c>
      <c r="X4705" s="6">
        <f t="shared" si="147"/>
        <v>0</v>
      </c>
    </row>
    <row r="4706" spans="22:24" x14ac:dyDescent="0.3">
      <c r="V4706" t="e">
        <f>VLOOKUP(H4706,'[1]팀별 출판사'!A:B,2,0)</f>
        <v>#N/A</v>
      </c>
      <c r="W4706" s="6">
        <f t="shared" si="146"/>
        <v>0</v>
      </c>
      <c r="X4706" s="6">
        <f t="shared" si="147"/>
        <v>0</v>
      </c>
    </row>
    <row r="4707" spans="22:24" x14ac:dyDescent="0.3">
      <c r="V4707" t="e">
        <f>VLOOKUP(H4707,'[1]팀별 출판사'!A:B,2,0)</f>
        <v>#N/A</v>
      </c>
      <c r="W4707" s="6">
        <f t="shared" si="146"/>
        <v>0</v>
      </c>
      <c r="X4707" s="6">
        <f t="shared" si="147"/>
        <v>0</v>
      </c>
    </row>
    <row r="4708" spans="22:24" x14ac:dyDescent="0.3">
      <c r="V4708" t="e">
        <f>VLOOKUP(H4708,'[1]팀별 출판사'!A:B,2,0)</f>
        <v>#N/A</v>
      </c>
      <c r="W4708" s="6">
        <f t="shared" si="146"/>
        <v>0</v>
      </c>
      <c r="X4708" s="6">
        <f t="shared" si="147"/>
        <v>0</v>
      </c>
    </row>
    <row r="4709" spans="22:24" x14ac:dyDescent="0.3">
      <c r="V4709" t="e">
        <f>VLOOKUP(H4709,'[1]팀별 출판사'!A:B,2,0)</f>
        <v>#N/A</v>
      </c>
      <c r="W4709" s="6">
        <f t="shared" si="146"/>
        <v>0</v>
      </c>
      <c r="X4709" s="6">
        <f t="shared" si="147"/>
        <v>0</v>
      </c>
    </row>
    <row r="4710" spans="22:24" x14ac:dyDescent="0.3">
      <c r="V4710" t="e">
        <f>VLOOKUP(H4710,'[1]팀별 출판사'!A:B,2,0)</f>
        <v>#N/A</v>
      </c>
      <c r="W4710" s="6">
        <f t="shared" si="146"/>
        <v>0</v>
      </c>
      <c r="X4710" s="6">
        <f t="shared" si="147"/>
        <v>0</v>
      </c>
    </row>
    <row r="4711" spans="22:24" x14ac:dyDescent="0.3">
      <c r="V4711" t="e">
        <f>VLOOKUP(H4711,'[1]팀별 출판사'!A:B,2,0)</f>
        <v>#N/A</v>
      </c>
      <c r="W4711" s="6">
        <f t="shared" si="146"/>
        <v>0</v>
      </c>
      <c r="X4711" s="6">
        <f t="shared" si="147"/>
        <v>0</v>
      </c>
    </row>
    <row r="4712" spans="22:24" x14ac:dyDescent="0.3">
      <c r="V4712" t="e">
        <f>VLOOKUP(H4712,'[1]팀별 출판사'!A:B,2,0)</f>
        <v>#N/A</v>
      </c>
      <c r="W4712" s="6">
        <f t="shared" si="146"/>
        <v>0</v>
      </c>
      <c r="X4712" s="6">
        <f t="shared" si="147"/>
        <v>0</v>
      </c>
    </row>
    <row r="4713" spans="22:24" x14ac:dyDescent="0.3">
      <c r="V4713" t="e">
        <f>VLOOKUP(H4713,'[1]팀별 출판사'!A:B,2,0)</f>
        <v>#N/A</v>
      </c>
      <c r="W4713" s="6">
        <f t="shared" si="146"/>
        <v>0</v>
      </c>
      <c r="X4713" s="6">
        <f t="shared" si="147"/>
        <v>0</v>
      </c>
    </row>
    <row r="4714" spans="22:24" x14ac:dyDescent="0.3">
      <c r="V4714" t="e">
        <f>VLOOKUP(H4714,'[1]팀별 출판사'!A:B,2,0)</f>
        <v>#N/A</v>
      </c>
      <c r="W4714" s="6">
        <f t="shared" si="146"/>
        <v>0</v>
      </c>
      <c r="X4714" s="6">
        <f t="shared" si="147"/>
        <v>0</v>
      </c>
    </row>
    <row r="4715" spans="22:24" x14ac:dyDescent="0.3">
      <c r="V4715" t="e">
        <f>VLOOKUP(H4715,'[1]팀별 출판사'!A:B,2,0)</f>
        <v>#N/A</v>
      </c>
      <c r="W4715" s="6">
        <f t="shared" si="146"/>
        <v>0</v>
      </c>
      <c r="X4715" s="6">
        <f t="shared" si="147"/>
        <v>0</v>
      </c>
    </row>
    <row r="4716" spans="22:24" x14ac:dyDescent="0.3">
      <c r="V4716" t="e">
        <f>VLOOKUP(H4716,'[1]팀별 출판사'!A:B,2,0)</f>
        <v>#N/A</v>
      </c>
      <c r="W4716" s="6">
        <f t="shared" si="146"/>
        <v>0</v>
      </c>
      <c r="X4716" s="6">
        <f t="shared" si="147"/>
        <v>0</v>
      </c>
    </row>
    <row r="4717" spans="22:24" x14ac:dyDescent="0.3">
      <c r="V4717" t="e">
        <f>VLOOKUP(H4717,'[1]팀별 출판사'!A:B,2,0)</f>
        <v>#N/A</v>
      </c>
      <c r="W4717" s="6">
        <f t="shared" si="146"/>
        <v>0</v>
      </c>
      <c r="X4717" s="6">
        <f t="shared" si="147"/>
        <v>0</v>
      </c>
    </row>
    <row r="4718" spans="22:24" x14ac:dyDescent="0.3">
      <c r="V4718" t="e">
        <f>VLOOKUP(H4718,'[1]팀별 출판사'!A:B,2,0)</f>
        <v>#N/A</v>
      </c>
      <c r="W4718" s="6">
        <f t="shared" si="146"/>
        <v>0</v>
      </c>
      <c r="X4718" s="6">
        <f t="shared" si="147"/>
        <v>0</v>
      </c>
    </row>
    <row r="4719" spans="22:24" x14ac:dyDescent="0.3">
      <c r="V4719" t="e">
        <f>VLOOKUP(H4719,'[1]팀별 출판사'!A:B,2,0)</f>
        <v>#N/A</v>
      </c>
      <c r="W4719" s="6">
        <f t="shared" si="146"/>
        <v>0</v>
      </c>
      <c r="X4719" s="6">
        <f t="shared" si="147"/>
        <v>0</v>
      </c>
    </row>
    <row r="4720" spans="22:24" x14ac:dyDescent="0.3">
      <c r="V4720" t="e">
        <f>VLOOKUP(H4720,'[1]팀별 출판사'!A:B,2,0)</f>
        <v>#N/A</v>
      </c>
      <c r="W4720" s="6">
        <f t="shared" si="146"/>
        <v>0</v>
      </c>
      <c r="X4720" s="6">
        <f t="shared" si="147"/>
        <v>0</v>
      </c>
    </row>
    <row r="4721" spans="22:24" x14ac:dyDescent="0.3">
      <c r="V4721" t="e">
        <f>VLOOKUP(H4721,'[1]팀별 출판사'!A:B,2,0)</f>
        <v>#N/A</v>
      </c>
      <c r="W4721" s="6">
        <f t="shared" si="146"/>
        <v>0</v>
      </c>
      <c r="X4721" s="6">
        <f t="shared" si="147"/>
        <v>0</v>
      </c>
    </row>
    <row r="4722" spans="22:24" x14ac:dyDescent="0.3">
      <c r="V4722" t="e">
        <f>VLOOKUP(H4722,'[1]팀별 출판사'!A:B,2,0)</f>
        <v>#N/A</v>
      </c>
      <c r="W4722" s="6">
        <f t="shared" si="146"/>
        <v>0</v>
      </c>
      <c r="X4722" s="6">
        <f t="shared" si="147"/>
        <v>0</v>
      </c>
    </row>
    <row r="4723" spans="22:24" x14ac:dyDescent="0.3">
      <c r="V4723" t="e">
        <f>VLOOKUP(H4723,'[1]팀별 출판사'!A:B,2,0)</f>
        <v>#N/A</v>
      </c>
      <c r="W4723" s="6">
        <f t="shared" si="146"/>
        <v>0</v>
      </c>
      <c r="X4723" s="6">
        <f t="shared" si="147"/>
        <v>0</v>
      </c>
    </row>
    <row r="4724" spans="22:24" x14ac:dyDescent="0.3">
      <c r="V4724" t="e">
        <f>VLOOKUP(H4724,'[1]팀별 출판사'!A:B,2,0)</f>
        <v>#N/A</v>
      </c>
      <c r="W4724" s="6">
        <f t="shared" si="146"/>
        <v>0</v>
      </c>
      <c r="X4724" s="6">
        <f t="shared" si="147"/>
        <v>0</v>
      </c>
    </row>
    <row r="4725" spans="22:24" x14ac:dyDescent="0.3">
      <c r="V4725" t="e">
        <f>VLOOKUP(H4725,'[1]팀별 출판사'!A:B,2,0)</f>
        <v>#N/A</v>
      </c>
      <c r="W4725" s="6">
        <f t="shared" si="146"/>
        <v>0</v>
      </c>
      <c r="X4725" s="6">
        <f t="shared" si="147"/>
        <v>0</v>
      </c>
    </row>
    <row r="4726" spans="22:24" x14ac:dyDescent="0.3">
      <c r="V4726" t="e">
        <f>VLOOKUP(H4726,'[1]팀별 출판사'!A:B,2,0)</f>
        <v>#N/A</v>
      </c>
      <c r="W4726" s="6">
        <f t="shared" si="146"/>
        <v>0</v>
      </c>
      <c r="X4726" s="6">
        <f t="shared" si="147"/>
        <v>0</v>
      </c>
    </row>
    <row r="4727" spans="22:24" x14ac:dyDescent="0.3">
      <c r="V4727" t="e">
        <f>VLOOKUP(H4727,'[1]팀별 출판사'!A:B,2,0)</f>
        <v>#N/A</v>
      </c>
      <c r="W4727" s="6">
        <f t="shared" si="146"/>
        <v>0</v>
      </c>
      <c r="X4727" s="6">
        <f t="shared" si="147"/>
        <v>0</v>
      </c>
    </row>
    <row r="4728" spans="22:24" x14ac:dyDescent="0.3">
      <c r="V4728" t="e">
        <f>VLOOKUP(H4728,'[1]팀별 출판사'!A:B,2,0)</f>
        <v>#N/A</v>
      </c>
      <c r="W4728" s="6">
        <f t="shared" si="146"/>
        <v>0</v>
      </c>
      <c r="X4728" s="6">
        <f t="shared" si="147"/>
        <v>0</v>
      </c>
    </row>
    <row r="4729" spans="22:24" x14ac:dyDescent="0.3">
      <c r="V4729" t="e">
        <f>VLOOKUP(H4729,'[1]팀별 출판사'!A:B,2,0)</f>
        <v>#N/A</v>
      </c>
      <c r="W4729" s="6">
        <f t="shared" si="146"/>
        <v>0</v>
      </c>
      <c r="X4729" s="6">
        <f t="shared" si="147"/>
        <v>0</v>
      </c>
    </row>
    <row r="4730" spans="22:24" x14ac:dyDescent="0.3">
      <c r="V4730" t="e">
        <f>VLOOKUP(H4730,'[1]팀별 출판사'!A:B,2,0)</f>
        <v>#N/A</v>
      </c>
      <c r="W4730" s="6">
        <f t="shared" si="146"/>
        <v>0</v>
      </c>
      <c r="X4730" s="6">
        <f t="shared" si="147"/>
        <v>0</v>
      </c>
    </row>
    <row r="4731" spans="22:24" x14ac:dyDescent="0.3">
      <c r="V4731" t="e">
        <f>VLOOKUP(H4731,'[1]팀별 출판사'!A:B,2,0)</f>
        <v>#N/A</v>
      </c>
      <c r="W4731" s="6">
        <f t="shared" si="146"/>
        <v>0</v>
      </c>
      <c r="X4731" s="6">
        <f t="shared" si="147"/>
        <v>0</v>
      </c>
    </row>
    <row r="4732" spans="22:24" x14ac:dyDescent="0.3">
      <c r="V4732" t="e">
        <f>VLOOKUP(H4732,'[1]팀별 출판사'!A:B,2,0)</f>
        <v>#N/A</v>
      </c>
      <c r="W4732" s="6">
        <f t="shared" si="146"/>
        <v>0</v>
      </c>
      <c r="X4732" s="6">
        <f t="shared" si="147"/>
        <v>0</v>
      </c>
    </row>
    <row r="4733" spans="22:24" x14ac:dyDescent="0.3">
      <c r="V4733" t="e">
        <f>VLOOKUP(H4733,'[1]팀별 출판사'!A:B,2,0)</f>
        <v>#N/A</v>
      </c>
      <c r="W4733" s="6">
        <f t="shared" si="146"/>
        <v>0</v>
      </c>
      <c r="X4733" s="6">
        <f t="shared" si="147"/>
        <v>0</v>
      </c>
    </row>
    <row r="4734" spans="22:24" x14ac:dyDescent="0.3">
      <c r="V4734" t="e">
        <f>VLOOKUP(H4734,'[1]팀별 출판사'!A:B,2,0)</f>
        <v>#N/A</v>
      </c>
      <c r="W4734" s="6">
        <f t="shared" si="146"/>
        <v>0</v>
      </c>
      <c r="X4734" s="6">
        <f t="shared" si="147"/>
        <v>0</v>
      </c>
    </row>
    <row r="4735" spans="22:24" x14ac:dyDescent="0.3">
      <c r="V4735" t="e">
        <f>VLOOKUP(H4735,'[1]팀별 출판사'!A:B,2,0)</f>
        <v>#N/A</v>
      </c>
      <c r="W4735" s="6">
        <f t="shared" si="146"/>
        <v>0</v>
      </c>
      <c r="X4735" s="6">
        <f t="shared" si="147"/>
        <v>0</v>
      </c>
    </row>
    <row r="4736" spans="22:24" x14ac:dyDescent="0.3">
      <c r="V4736" t="e">
        <f>VLOOKUP(H4736,'[1]팀별 출판사'!A:B,2,0)</f>
        <v>#N/A</v>
      </c>
      <c r="W4736" s="6">
        <f t="shared" si="146"/>
        <v>0</v>
      </c>
      <c r="X4736" s="6">
        <f t="shared" si="147"/>
        <v>0</v>
      </c>
    </row>
    <row r="4737" spans="22:24" x14ac:dyDescent="0.3">
      <c r="V4737" t="e">
        <f>VLOOKUP(H4737,'[1]팀별 출판사'!A:B,2,0)</f>
        <v>#N/A</v>
      </c>
      <c r="W4737" s="6">
        <f t="shared" si="146"/>
        <v>0</v>
      </c>
      <c r="X4737" s="6">
        <f t="shared" si="147"/>
        <v>0</v>
      </c>
    </row>
    <row r="4738" spans="22:24" x14ac:dyDescent="0.3">
      <c r="V4738" t="e">
        <f>VLOOKUP(H4738,'[1]팀별 출판사'!A:B,2,0)</f>
        <v>#N/A</v>
      </c>
      <c r="W4738" s="6">
        <f t="shared" ref="W4738:W4801" si="148">IF(P4738="US", T4738*30%, 0)</f>
        <v>0</v>
      </c>
      <c r="X4738" s="6">
        <f t="shared" ref="X4738:X4801" si="149">T4738-W4738</f>
        <v>0</v>
      </c>
    </row>
    <row r="4739" spans="22:24" x14ac:dyDescent="0.3">
      <c r="V4739" t="e">
        <f>VLOOKUP(H4739,'[1]팀별 출판사'!A:B,2,0)</f>
        <v>#N/A</v>
      </c>
      <c r="W4739" s="6">
        <f t="shared" si="148"/>
        <v>0</v>
      </c>
      <c r="X4739" s="6">
        <f t="shared" si="149"/>
        <v>0</v>
      </c>
    </row>
    <row r="4740" spans="22:24" x14ac:dyDescent="0.3">
      <c r="V4740" t="e">
        <f>VLOOKUP(H4740,'[1]팀별 출판사'!A:B,2,0)</f>
        <v>#N/A</v>
      </c>
      <c r="W4740" s="6">
        <f t="shared" si="148"/>
        <v>0</v>
      </c>
      <c r="X4740" s="6">
        <f t="shared" si="149"/>
        <v>0</v>
      </c>
    </row>
    <row r="4741" spans="22:24" x14ac:dyDescent="0.3">
      <c r="V4741" t="e">
        <f>VLOOKUP(H4741,'[1]팀별 출판사'!A:B,2,0)</f>
        <v>#N/A</v>
      </c>
      <c r="W4741" s="6">
        <f t="shared" si="148"/>
        <v>0</v>
      </c>
      <c r="X4741" s="6">
        <f t="shared" si="149"/>
        <v>0</v>
      </c>
    </row>
    <row r="4742" spans="22:24" x14ac:dyDescent="0.3">
      <c r="V4742" t="e">
        <f>VLOOKUP(H4742,'[1]팀별 출판사'!A:B,2,0)</f>
        <v>#N/A</v>
      </c>
      <c r="W4742" s="6">
        <f t="shared" si="148"/>
        <v>0</v>
      </c>
      <c r="X4742" s="6">
        <f t="shared" si="149"/>
        <v>0</v>
      </c>
    </row>
    <row r="4743" spans="22:24" x14ac:dyDescent="0.3">
      <c r="V4743" t="e">
        <f>VLOOKUP(H4743,'[1]팀별 출판사'!A:B,2,0)</f>
        <v>#N/A</v>
      </c>
      <c r="W4743" s="6">
        <f t="shared" si="148"/>
        <v>0</v>
      </c>
      <c r="X4743" s="6">
        <f t="shared" si="149"/>
        <v>0</v>
      </c>
    </row>
    <row r="4744" spans="22:24" x14ac:dyDescent="0.3">
      <c r="V4744" t="e">
        <f>VLOOKUP(H4744,'[1]팀별 출판사'!A:B,2,0)</f>
        <v>#N/A</v>
      </c>
      <c r="W4744" s="6">
        <f t="shared" si="148"/>
        <v>0</v>
      </c>
      <c r="X4744" s="6">
        <f t="shared" si="149"/>
        <v>0</v>
      </c>
    </row>
    <row r="4745" spans="22:24" x14ac:dyDescent="0.3">
      <c r="V4745" t="e">
        <f>VLOOKUP(H4745,'[1]팀별 출판사'!A:B,2,0)</f>
        <v>#N/A</v>
      </c>
      <c r="W4745" s="6">
        <f t="shared" si="148"/>
        <v>0</v>
      </c>
      <c r="X4745" s="6">
        <f t="shared" si="149"/>
        <v>0</v>
      </c>
    </row>
    <row r="4746" spans="22:24" x14ac:dyDescent="0.3">
      <c r="V4746" t="e">
        <f>VLOOKUP(H4746,'[1]팀별 출판사'!A:B,2,0)</f>
        <v>#N/A</v>
      </c>
      <c r="W4746" s="6">
        <f t="shared" si="148"/>
        <v>0</v>
      </c>
      <c r="X4746" s="6">
        <f t="shared" si="149"/>
        <v>0</v>
      </c>
    </row>
    <row r="4747" spans="22:24" x14ac:dyDescent="0.3">
      <c r="V4747" t="e">
        <f>VLOOKUP(H4747,'[1]팀별 출판사'!A:B,2,0)</f>
        <v>#N/A</v>
      </c>
      <c r="W4747" s="6">
        <f t="shared" si="148"/>
        <v>0</v>
      </c>
      <c r="X4747" s="6">
        <f t="shared" si="149"/>
        <v>0</v>
      </c>
    </row>
    <row r="4748" spans="22:24" x14ac:dyDescent="0.3">
      <c r="V4748" t="e">
        <f>VLOOKUP(H4748,'[1]팀별 출판사'!A:B,2,0)</f>
        <v>#N/A</v>
      </c>
      <c r="W4748" s="6">
        <f t="shared" si="148"/>
        <v>0</v>
      </c>
      <c r="X4748" s="6">
        <f t="shared" si="149"/>
        <v>0</v>
      </c>
    </row>
    <row r="4749" spans="22:24" x14ac:dyDescent="0.3">
      <c r="V4749" t="e">
        <f>VLOOKUP(H4749,'[1]팀별 출판사'!A:B,2,0)</f>
        <v>#N/A</v>
      </c>
      <c r="W4749" s="6">
        <f t="shared" si="148"/>
        <v>0</v>
      </c>
      <c r="X4749" s="6">
        <f t="shared" si="149"/>
        <v>0</v>
      </c>
    </row>
    <row r="4750" spans="22:24" x14ac:dyDescent="0.3">
      <c r="V4750" t="e">
        <f>VLOOKUP(H4750,'[1]팀별 출판사'!A:B,2,0)</f>
        <v>#N/A</v>
      </c>
      <c r="W4750" s="6">
        <f t="shared" si="148"/>
        <v>0</v>
      </c>
      <c r="X4750" s="6">
        <f t="shared" si="149"/>
        <v>0</v>
      </c>
    </row>
    <row r="4751" spans="22:24" x14ac:dyDescent="0.3">
      <c r="V4751" t="e">
        <f>VLOOKUP(H4751,'[1]팀별 출판사'!A:B,2,0)</f>
        <v>#N/A</v>
      </c>
      <c r="W4751" s="6">
        <f t="shared" si="148"/>
        <v>0</v>
      </c>
      <c r="X4751" s="6">
        <f t="shared" si="149"/>
        <v>0</v>
      </c>
    </row>
    <row r="4752" spans="22:24" x14ac:dyDescent="0.3">
      <c r="V4752" t="e">
        <f>VLOOKUP(H4752,'[1]팀별 출판사'!A:B,2,0)</f>
        <v>#N/A</v>
      </c>
      <c r="W4752" s="6">
        <f t="shared" si="148"/>
        <v>0</v>
      </c>
      <c r="X4752" s="6">
        <f t="shared" si="149"/>
        <v>0</v>
      </c>
    </row>
    <row r="4753" spans="22:24" x14ac:dyDescent="0.3">
      <c r="V4753" t="e">
        <f>VLOOKUP(H4753,'[1]팀별 출판사'!A:B,2,0)</f>
        <v>#N/A</v>
      </c>
      <c r="W4753" s="6">
        <f t="shared" si="148"/>
        <v>0</v>
      </c>
      <c r="X4753" s="6">
        <f t="shared" si="149"/>
        <v>0</v>
      </c>
    </row>
    <row r="4754" spans="22:24" x14ac:dyDescent="0.3">
      <c r="V4754" t="e">
        <f>VLOOKUP(H4754,'[1]팀별 출판사'!A:B,2,0)</f>
        <v>#N/A</v>
      </c>
      <c r="W4754" s="6">
        <f t="shared" si="148"/>
        <v>0</v>
      </c>
      <c r="X4754" s="6">
        <f t="shared" si="149"/>
        <v>0</v>
      </c>
    </row>
    <row r="4755" spans="22:24" x14ac:dyDescent="0.3">
      <c r="V4755" t="e">
        <f>VLOOKUP(H4755,'[1]팀별 출판사'!A:B,2,0)</f>
        <v>#N/A</v>
      </c>
      <c r="W4755" s="6">
        <f t="shared" si="148"/>
        <v>0</v>
      </c>
      <c r="X4755" s="6">
        <f t="shared" si="149"/>
        <v>0</v>
      </c>
    </row>
    <row r="4756" spans="22:24" x14ac:dyDescent="0.3">
      <c r="V4756" t="e">
        <f>VLOOKUP(H4756,'[1]팀별 출판사'!A:B,2,0)</f>
        <v>#N/A</v>
      </c>
      <c r="W4756" s="6">
        <f t="shared" si="148"/>
        <v>0</v>
      </c>
      <c r="X4756" s="6">
        <f t="shared" si="149"/>
        <v>0</v>
      </c>
    </row>
    <row r="4757" spans="22:24" x14ac:dyDescent="0.3">
      <c r="V4757" t="e">
        <f>VLOOKUP(H4757,'[1]팀별 출판사'!A:B,2,0)</f>
        <v>#N/A</v>
      </c>
      <c r="W4757" s="6">
        <f t="shared" si="148"/>
        <v>0</v>
      </c>
      <c r="X4757" s="6">
        <f t="shared" si="149"/>
        <v>0</v>
      </c>
    </row>
    <row r="4758" spans="22:24" x14ac:dyDescent="0.3">
      <c r="V4758" t="e">
        <f>VLOOKUP(H4758,'[1]팀별 출판사'!A:B,2,0)</f>
        <v>#N/A</v>
      </c>
      <c r="W4758" s="6">
        <f t="shared" si="148"/>
        <v>0</v>
      </c>
      <c r="X4758" s="6">
        <f t="shared" si="149"/>
        <v>0</v>
      </c>
    </row>
    <row r="4759" spans="22:24" x14ac:dyDescent="0.3">
      <c r="V4759" t="e">
        <f>VLOOKUP(H4759,'[1]팀별 출판사'!A:B,2,0)</f>
        <v>#N/A</v>
      </c>
      <c r="W4759" s="6">
        <f t="shared" si="148"/>
        <v>0</v>
      </c>
      <c r="X4759" s="6">
        <f t="shared" si="149"/>
        <v>0</v>
      </c>
    </row>
    <row r="4760" spans="22:24" x14ac:dyDescent="0.3">
      <c r="V4760" t="e">
        <f>VLOOKUP(H4760,'[1]팀별 출판사'!A:B,2,0)</f>
        <v>#N/A</v>
      </c>
      <c r="W4760" s="6">
        <f t="shared" si="148"/>
        <v>0</v>
      </c>
      <c r="X4760" s="6">
        <f t="shared" si="149"/>
        <v>0</v>
      </c>
    </row>
    <row r="4761" spans="22:24" x14ac:dyDescent="0.3">
      <c r="V4761" t="e">
        <f>VLOOKUP(H4761,'[1]팀별 출판사'!A:B,2,0)</f>
        <v>#N/A</v>
      </c>
      <c r="W4761" s="6">
        <f t="shared" si="148"/>
        <v>0</v>
      </c>
      <c r="X4761" s="6">
        <f t="shared" si="149"/>
        <v>0</v>
      </c>
    </row>
    <row r="4762" spans="22:24" x14ac:dyDescent="0.3">
      <c r="V4762" t="e">
        <f>VLOOKUP(H4762,'[1]팀별 출판사'!A:B,2,0)</f>
        <v>#N/A</v>
      </c>
      <c r="W4762" s="6">
        <f t="shared" si="148"/>
        <v>0</v>
      </c>
      <c r="X4762" s="6">
        <f t="shared" si="149"/>
        <v>0</v>
      </c>
    </row>
    <row r="4763" spans="22:24" x14ac:dyDescent="0.3">
      <c r="V4763" t="e">
        <f>VLOOKUP(H4763,'[1]팀별 출판사'!A:B,2,0)</f>
        <v>#N/A</v>
      </c>
      <c r="W4763" s="6">
        <f t="shared" si="148"/>
        <v>0</v>
      </c>
      <c r="X4763" s="6">
        <f t="shared" si="149"/>
        <v>0</v>
      </c>
    </row>
    <row r="4764" spans="22:24" x14ac:dyDescent="0.3">
      <c r="V4764" t="e">
        <f>VLOOKUP(H4764,'[1]팀별 출판사'!A:B,2,0)</f>
        <v>#N/A</v>
      </c>
      <c r="W4764" s="6">
        <f t="shared" si="148"/>
        <v>0</v>
      </c>
      <c r="X4764" s="6">
        <f t="shared" si="149"/>
        <v>0</v>
      </c>
    </row>
    <row r="4765" spans="22:24" x14ac:dyDescent="0.3">
      <c r="V4765" t="e">
        <f>VLOOKUP(H4765,'[1]팀별 출판사'!A:B,2,0)</f>
        <v>#N/A</v>
      </c>
      <c r="W4765" s="6">
        <f t="shared" si="148"/>
        <v>0</v>
      </c>
      <c r="X4765" s="6">
        <f t="shared" si="149"/>
        <v>0</v>
      </c>
    </row>
    <row r="4766" spans="22:24" x14ac:dyDescent="0.3">
      <c r="V4766" t="e">
        <f>VLOOKUP(H4766,'[1]팀별 출판사'!A:B,2,0)</f>
        <v>#N/A</v>
      </c>
      <c r="W4766" s="6">
        <f t="shared" si="148"/>
        <v>0</v>
      </c>
      <c r="X4766" s="6">
        <f t="shared" si="149"/>
        <v>0</v>
      </c>
    </row>
    <row r="4767" spans="22:24" x14ac:dyDescent="0.3">
      <c r="V4767" t="e">
        <f>VLOOKUP(H4767,'[1]팀별 출판사'!A:B,2,0)</f>
        <v>#N/A</v>
      </c>
      <c r="W4767" s="6">
        <f t="shared" si="148"/>
        <v>0</v>
      </c>
      <c r="X4767" s="6">
        <f t="shared" si="149"/>
        <v>0</v>
      </c>
    </row>
    <row r="4768" spans="22:24" x14ac:dyDescent="0.3">
      <c r="V4768" t="e">
        <f>VLOOKUP(H4768,'[1]팀별 출판사'!A:B,2,0)</f>
        <v>#N/A</v>
      </c>
      <c r="W4768" s="6">
        <f t="shared" si="148"/>
        <v>0</v>
      </c>
      <c r="X4768" s="6">
        <f t="shared" si="149"/>
        <v>0</v>
      </c>
    </row>
    <row r="4769" spans="22:24" x14ac:dyDescent="0.3">
      <c r="V4769" t="e">
        <f>VLOOKUP(H4769,'[1]팀별 출판사'!A:B,2,0)</f>
        <v>#N/A</v>
      </c>
      <c r="W4769" s="6">
        <f t="shared" si="148"/>
        <v>0</v>
      </c>
      <c r="X4769" s="6">
        <f t="shared" si="149"/>
        <v>0</v>
      </c>
    </row>
    <row r="4770" spans="22:24" x14ac:dyDescent="0.3">
      <c r="V4770" t="e">
        <f>VLOOKUP(H4770,'[1]팀별 출판사'!A:B,2,0)</f>
        <v>#N/A</v>
      </c>
      <c r="W4770" s="6">
        <f t="shared" si="148"/>
        <v>0</v>
      </c>
      <c r="X4770" s="6">
        <f t="shared" si="149"/>
        <v>0</v>
      </c>
    </row>
    <row r="4771" spans="22:24" x14ac:dyDescent="0.3">
      <c r="V4771" t="e">
        <f>VLOOKUP(H4771,'[1]팀별 출판사'!A:B,2,0)</f>
        <v>#N/A</v>
      </c>
      <c r="W4771" s="6">
        <f t="shared" si="148"/>
        <v>0</v>
      </c>
      <c r="X4771" s="6">
        <f t="shared" si="149"/>
        <v>0</v>
      </c>
    </row>
    <row r="4772" spans="22:24" x14ac:dyDescent="0.3">
      <c r="V4772" t="e">
        <f>VLOOKUP(H4772,'[1]팀별 출판사'!A:B,2,0)</f>
        <v>#N/A</v>
      </c>
      <c r="W4772" s="6">
        <f t="shared" si="148"/>
        <v>0</v>
      </c>
      <c r="X4772" s="6">
        <f t="shared" si="149"/>
        <v>0</v>
      </c>
    </row>
    <row r="4773" spans="22:24" x14ac:dyDescent="0.3">
      <c r="V4773" t="e">
        <f>VLOOKUP(H4773,'[1]팀별 출판사'!A:B,2,0)</f>
        <v>#N/A</v>
      </c>
      <c r="W4773" s="6">
        <f t="shared" si="148"/>
        <v>0</v>
      </c>
      <c r="X4773" s="6">
        <f t="shared" si="149"/>
        <v>0</v>
      </c>
    </row>
    <row r="4774" spans="22:24" x14ac:dyDescent="0.3">
      <c r="V4774" t="e">
        <f>VLOOKUP(H4774,'[1]팀별 출판사'!A:B,2,0)</f>
        <v>#N/A</v>
      </c>
      <c r="W4774" s="6">
        <f t="shared" si="148"/>
        <v>0</v>
      </c>
      <c r="X4774" s="6">
        <f t="shared" si="149"/>
        <v>0</v>
      </c>
    </row>
    <row r="4775" spans="22:24" x14ac:dyDescent="0.3">
      <c r="V4775" t="e">
        <f>VLOOKUP(H4775,'[1]팀별 출판사'!A:B,2,0)</f>
        <v>#N/A</v>
      </c>
      <c r="W4775" s="6">
        <f t="shared" si="148"/>
        <v>0</v>
      </c>
      <c r="X4775" s="6">
        <f t="shared" si="149"/>
        <v>0</v>
      </c>
    </row>
    <row r="4776" spans="22:24" x14ac:dyDescent="0.3">
      <c r="V4776" t="e">
        <f>VLOOKUP(H4776,'[1]팀별 출판사'!A:B,2,0)</f>
        <v>#N/A</v>
      </c>
      <c r="W4776" s="6">
        <f t="shared" si="148"/>
        <v>0</v>
      </c>
      <c r="X4776" s="6">
        <f t="shared" si="149"/>
        <v>0</v>
      </c>
    </row>
    <row r="4777" spans="22:24" x14ac:dyDescent="0.3">
      <c r="V4777" t="e">
        <f>VLOOKUP(H4777,'[1]팀별 출판사'!A:B,2,0)</f>
        <v>#N/A</v>
      </c>
      <c r="W4777" s="6">
        <f t="shared" si="148"/>
        <v>0</v>
      </c>
      <c r="X4777" s="6">
        <f t="shared" si="149"/>
        <v>0</v>
      </c>
    </row>
    <row r="4778" spans="22:24" x14ac:dyDescent="0.3">
      <c r="V4778" t="e">
        <f>VLOOKUP(H4778,'[1]팀별 출판사'!A:B,2,0)</f>
        <v>#N/A</v>
      </c>
      <c r="W4778" s="6">
        <f t="shared" si="148"/>
        <v>0</v>
      </c>
      <c r="X4778" s="6">
        <f t="shared" si="149"/>
        <v>0</v>
      </c>
    </row>
    <row r="4779" spans="22:24" x14ac:dyDescent="0.3">
      <c r="V4779" t="e">
        <f>VLOOKUP(H4779,'[1]팀별 출판사'!A:B,2,0)</f>
        <v>#N/A</v>
      </c>
      <c r="W4779" s="6">
        <f t="shared" si="148"/>
        <v>0</v>
      </c>
      <c r="X4779" s="6">
        <f t="shared" si="149"/>
        <v>0</v>
      </c>
    </row>
    <row r="4780" spans="22:24" x14ac:dyDescent="0.3">
      <c r="V4780" t="e">
        <f>VLOOKUP(H4780,'[1]팀별 출판사'!A:B,2,0)</f>
        <v>#N/A</v>
      </c>
      <c r="W4780" s="6">
        <f t="shared" si="148"/>
        <v>0</v>
      </c>
      <c r="X4780" s="6">
        <f t="shared" si="149"/>
        <v>0</v>
      </c>
    </row>
    <row r="4781" spans="22:24" x14ac:dyDescent="0.3">
      <c r="V4781" t="e">
        <f>VLOOKUP(H4781,'[1]팀별 출판사'!A:B,2,0)</f>
        <v>#N/A</v>
      </c>
      <c r="W4781" s="6">
        <f t="shared" si="148"/>
        <v>0</v>
      </c>
      <c r="X4781" s="6">
        <f t="shared" si="149"/>
        <v>0</v>
      </c>
    </row>
    <row r="4782" spans="22:24" x14ac:dyDescent="0.3">
      <c r="V4782" t="e">
        <f>VLOOKUP(H4782,'[1]팀별 출판사'!A:B,2,0)</f>
        <v>#N/A</v>
      </c>
      <c r="W4782" s="6">
        <f t="shared" si="148"/>
        <v>0</v>
      </c>
      <c r="X4782" s="6">
        <f t="shared" si="149"/>
        <v>0</v>
      </c>
    </row>
    <row r="4783" spans="22:24" x14ac:dyDescent="0.3">
      <c r="V4783" t="e">
        <f>VLOOKUP(H4783,'[1]팀별 출판사'!A:B,2,0)</f>
        <v>#N/A</v>
      </c>
      <c r="W4783" s="6">
        <f t="shared" si="148"/>
        <v>0</v>
      </c>
      <c r="X4783" s="6">
        <f t="shared" si="149"/>
        <v>0</v>
      </c>
    </row>
    <row r="4784" spans="22:24" x14ac:dyDescent="0.3">
      <c r="V4784" t="e">
        <f>VLOOKUP(H4784,'[1]팀별 출판사'!A:B,2,0)</f>
        <v>#N/A</v>
      </c>
      <c r="W4784" s="6">
        <f t="shared" si="148"/>
        <v>0</v>
      </c>
      <c r="X4784" s="6">
        <f t="shared" si="149"/>
        <v>0</v>
      </c>
    </row>
    <row r="4785" spans="22:24" x14ac:dyDescent="0.3">
      <c r="V4785" t="e">
        <f>VLOOKUP(H4785,'[1]팀별 출판사'!A:B,2,0)</f>
        <v>#N/A</v>
      </c>
      <c r="W4785" s="6">
        <f t="shared" si="148"/>
        <v>0</v>
      </c>
      <c r="X4785" s="6">
        <f t="shared" si="149"/>
        <v>0</v>
      </c>
    </row>
    <row r="4786" spans="22:24" x14ac:dyDescent="0.3">
      <c r="V4786" t="e">
        <f>VLOOKUP(H4786,'[1]팀별 출판사'!A:B,2,0)</f>
        <v>#N/A</v>
      </c>
      <c r="W4786" s="6">
        <f t="shared" si="148"/>
        <v>0</v>
      </c>
      <c r="X4786" s="6">
        <f t="shared" si="149"/>
        <v>0</v>
      </c>
    </row>
    <row r="4787" spans="22:24" x14ac:dyDescent="0.3">
      <c r="V4787" t="e">
        <f>VLOOKUP(H4787,'[1]팀별 출판사'!A:B,2,0)</f>
        <v>#N/A</v>
      </c>
      <c r="W4787" s="6">
        <f t="shared" si="148"/>
        <v>0</v>
      </c>
      <c r="X4787" s="6">
        <f t="shared" si="149"/>
        <v>0</v>
      </c>
    </row>
    <row r="4788" spans="22:24" x14ac:dyDescent="0.3">
      <c r="V4788" t="e">
        <f>VLOOKUP(H4788,'[1]팀별 출판사'!A:B,2,0)</f>
        <v>#N/A</v>
      </c>
      <c r="W4788" s="6">
        <f t="shared" si="148"/>
        <v>0</v>
      </c>
      <c r="X4788" s="6">
        <f t="shared" si="149"/>
        <v>0</v>
      </c>
    </row>
    <row r="4789" spans="22:24" x14ac:dyDescent="0.3">
      <c r="V4789" t="e">
        <f>VLOOKUP(H4789,'[1]팀별 출판사'!A:B,2,0)</f>
        <v>#N/A</v>
      </c>
      <c r="W4789" s="6">
        <f t="shared" si="148"/>
        <v>0</v>
      </c>
      <c r="X4789" s="6">
        <f t="shared" si="149"/>
        <v>0</v>
      </c>
    </row>
    <row r="4790" spans="22:24" x14ac:dyDescent="0.3">
      <c r="V4790" t="e">
        <f>VLOOKUP(H4790,'[1]팀별 출판사'!A:B,2,0)</f>
        <v>#N/A</v>
      </c>
      <c r="W4790" s="6">
        <f t="shared" si="148"/>
        <v>0</v>
      </c>
      <c r="X4790" s="6">
        <f t="shared" si="149"/>
        <v>0</v>
      </c>
    </row>
    <row r="4791" spans="22:24" x14ac:dyDescent="0.3">
      <c r="V4791" t="e">
        <f>VLOOKUP(H4791,'[1]팀별 출판사'!A:B,2,0)</f>
        <v>#N/A</v>
      </c>
      <c r="W4791" s="6">
        <f t="shared" si="148"/>
        <v>0</v>
      </c>
      <c r="X4791" s="6">
        <f t="shared" si="149"/>
        <v>0</v>
      </c>
    </row>
    <row r="4792" spans="22:24" x14ac:dyDescent="0.3">
      <c r="V4792" t="e">
        <f>VLOOKUP(H4792,'[1]팀별 출판사'!A:B,2,0)</f>
        <v>#N/A</v>
      </c>
      <c r="W4792" s="6">
        <f t="shared" si="148"/>
        <v>0</v>
      </c>
      <c r="X4792" s="6">
        <f t="shared" si="149"/>
        <v>0</v>
      </c>
    </row>
    <row r="4793" spans="22:24" x14ac:dyDescent="0.3">
      <c r="V4793" t="e">
        <f>VLOOKUP(H4793,'[1]팀별 출판사'!A:B,2,0)</f>
        <v>#N/A</v>
      </c>
      <c r="W4793" s="6">
        <f t="shared" si="148"/>
        <v>0</v>
      </c>
      <c r="X4793" s="6">
        <f t="shared" si="149"/>
        <v>0</v>
      </c>
    </row>
    <row r="4794" spans="22:24" x14ac:dyDescent="0.3">
      <c r="V4794" t="e">
        <f>VLOOKUP(H4794,'[1]팀별 출판사'!A:B,2,0)</f>
        <v>#N/A</v>
      </c>
      <c r="W4794" s="6">
        <f t="shared" si="148"/>
        <v>0</v>
      </c>
      <c r="X4794" s="6">
        <f t="shared" si="149"/>
        <v>0</v>
      </c>
    </row>
    <row r="4795" spans="22:24" x14ac:dyDescent="0.3">
      <c r="V4795" t="e">
        <f>VLOOKUP(H4795,'[1]팀별 출판사'!A:B,2,0)</f>
        <v>#N/A</v>
      </c>
      <c r="W4795" s="6">
        <f t="shared" si="148"/>
        <v>0</v>
      </c>
      <c r="X4795" s="6">
        <f t="shared" si="149"/>
        <v>0</v>
      </c>
    </row>
    <row r="4796" spans="22:24" x14ac:dyDescent="0.3">
      <c r="V4796" t="e">
        <f>VLOOKUP(H4796,'[1]팀별 출판사'!A:B,2,0)</f>
        <v>#N/A</v>
      </c>
      <c r="W4796" s="6">
        <f t="shared" si="148"/>
        <v>0</v>
      </c>
      <c r="X4796" s="6">
        <f t="shared" si="149"/>
        <v>0</v>
      </c>
    </row>
    <row r="4797" spans="22:24" x14ac:dyDescent="0.3">
      <c r="V4797" t="e">
        <f>VLOOKUP(H4797,'[1]팀별 출판사'!A:B,2,0)</f>
        <v>#N/A</v>
      </c>
      <c r="W4797" s="6">
        <f t="shared" si="148"/>
        <v>0</v>
      </c>
      <c r="X4797" s="6">
        <f t="shared" si="149"/>
        <v>0</v>
      </c>
    </row>
    <row r="4798" spans="22:24" x14ac:dyDescent="0.3">
      <c r="V4798" t="e">
        <f>VLOOKUP(H4798,'[1]팀별 출판사'!A:B,2,0)</f>
        <v>#N/A</v>
      </c>
      <c r="W4798" s="6">
        <f t="shared" si="148"/>
        <v>0</v>
      </c>
      <c r="X4798" s="6">
        <f t="shared" si="149"/>
        <v>0</v>
      </c>
    </row>
    <row r="4799" spans="22:24" x14ac:dyDescent="0.3">
      <c r="V4799" t="e">
        <f>VLOOKUP(H4799,'[1]팀별 출판사'!A:B,2,0)</f>
        <v>#N/A</v>
      </c>
      <c r="W4799" s="6">
        <f t="shared" si="148"/>
        <v>0</v>
      </c>
      <c r="X4799" s="6">
        <f t="shared" si="149"/>
        <v>0</v>
      </c>
    </row>
    <row r="4800" spans="22:24" x14ac:dyDescent="0.3">
      <c r="V4800" t="e">
        <f>VLOOKUP(H4800,'[1]팀별 출판사'!A:B,2,0)</f>
        <v>#N/A</v>
      </c>
      <c r="W4800" s="6">
        <f t="shared" si="148"/>
        <v>0</v>
      </c>
      <c r="X4800" s="6">
        <f t="shared" si="149"/>
        <v>0</v>
      </c>
    </row>
    <row r="4801" spans="22:24" x14ac:dyDescent="0.3">
      <c r="V4801" t="e">
        <f>VLOOKUP(H4801,'[1]팀별 출판사'!A:B,2,0)</f>
        <v>#N/A</v>
      </c>
      <c r="W4801" s="6">
        <f t="shared" si="148"/>
        <v>0</v>
      </c>
      <c r="X4801" s="6">
        <f t="shared" si="149"/>
        <v>0</v>
      </c>
    </row>
    <row r="4802" spans="22:24" x14ac:dyDescent="0.3">
      <c r="V4802" t="e">
        <f>VLOOKUP(H4802,'[1]팀별 출판사'!A:B,2,0)</f>
        <v>#N/A</v>
      </c>
      <c r="W4802" s="6">
        <f t="shared" ref="W4802:W4865" si="150">IF(P4802="US", T4802*30%, 0)</f>
        <v>0</v>
      </c>
      <c r="X4802" s="6">
        <f t="shared" ref="X4802:X4865" si="151">T4802-W4802</f>
        <v>0</v>
      </c>
    </row>
    <row r="4803" spans="22:24" x14ac:dyDescent="0.3">
      <c r="V4803" t="e">
        <f>VLOOKUP(H4803,'[1]팀별 출판사'!A:B,2,0)</f>
        <v>#N/A</v>
      </c>
      <c r="W4803" s="6">
        <f t="shared" si="150"/>
        <v>0</v>
      </c>
      <c r="X4803" s="6">
        <f t="shared" si="151"/>
        <v>0</v>
      </c>
    </row>
    <row r="4804" spans="22:24" x14ac:dyDescent="0.3">
      <c r="V4804" t="e">
        <f>VLOOKUP(H4804,'[1]팀별 출판사'!A:B,2,0)</f>
        <v>#N/A</v>
      </c>
      <c r="W4804" s="6">
        <f t="shared" si="150"/>
        <v>0</v>
      </c>
      <c r="X4804" s="6">
        <f t="shared" si="151"/>
        <v>0</v>
      </c>
    </row>
    <row r="4805" spans="22:24" x14ac:dyDescent="0.3">
      <c r="V4805" t="e">
        <f>VLOOKUP(H4805,'[1]팀별 출판사'!A:B,2,0)</f>
        <v>#N/A</v>
      </c>
      <c r="W4805" s="6">
        <f t="shared" si="150"/>
        <v>0</v>
      </c>
      <c r="X4805" s="6">
        <f t="shared" si="151"/>
        <v>0</v>
      </c>
    </row>
    <row r="4806" spans="22:24" x14ac:dyDescent="0.3">
      <c r="V4806" t="e">
        <f>VLOOKUP(H4806,'[1]팀별 출판사'!A:B,2,0)</f>
        <v>#N/A</v>
      </c>
      <c r="W4806" s="6">
        <f t="shared" si="150"/>
        <v>0</v>
      </c>
      <c r="X4806" s="6">
        <f t="shared" si="151"/>
        <v>0</v>
      </c>
    </row>
    <row r="4807" spans="22:24" x14ac:dyDescent="0.3">
      <c r="V4807" t="e">
        <f>VLOOKUP(H4807,'[1]팀별 출판사'!A:B,2,0)</f>
        <v>#N/A</v>
      </c>
      <c r="W4807" s="6">
        <f t="shared" si="150"/>
        <v>0</v>
      </c>
      <c r="X4807" s="6">
        <f t="shared" si="151"/>
        <v>0</v>
      </c>
    </row>
    <row r="4808" spans="22:24" x14ac:dyDescent="0.3">
      <c r="V4808" t="e">
        <f>VLOOKUP(H4808,'[1]팀별 출판사'!A:B,2,0)</f>
        <v>#N/A</v>
      </c>
      <c r="W4808" s="6">
        <f t="shared" si="150"/>
        <v>0</v>
      </c>
      <c r="X4808" s="6">
        <f t="shared" si="151"/>
        <v>0</v>
      </c>
    </row>
    <row r="4809" spans="22:24" x14ac:dyDescent="0.3">
      <c r="V4809" t="e">
        <f>VLOOKUP(H4809,'[1]팀별 출판사'!A:B,2,0)</f>
        <v>#N/A</v>
      </c>
      <c r="W4809" s="6">
        <f t="shared" si="150"/>
        <v>0</v>
      </c>
      <c r="X4809" s="6">
        <f t="shared" si="151"/>
        <v>0</v>
      </c>
    </row>
    <row r="4810" spans="22:24" x14ac:dyDescent="0.3">
      <c r="V4810" t="e">
        <f>VLOOKUP(H4810,'[1]팀별 출판사'!A:B,2,0)</f>
        <v>#N/A</v>
      </c>
      <c r="W4810" s="6">
        <f t="shared" si="150"/>
        <v>0</v>
      </c>
      <c r="X4810" s="6">
        <f t="shared" si="151"/>
        <v>0</v>
      </c>
    </row>
    <row r="4811" spans="22:24" x14ac:dyDescent="0.3">
      <c r="V4811" t="e">
        <f>VLOOKUP(H4811,'[1]팀별 출판사'!A:B,2,0)</f>
        <v>#N/A</v>
      </c>
      <c r="W4811" s="6">
        <f t="shared" si="150"/>
        <v>0</v>
      </c>
      <c r="X4811" s="6">
        <f t="shared" si="151"/>
        <v>0</v>
      </c>
    </row>
    <row r="4812" spans="22:24" x14ac:dyDescent="0.3">
      <c r="V4812" t="e">
        <f>VLOOKUP(H4812,'[1]팀별 출판사'!A:B,2,0)</f>
        <v>#N/A</v>
      </c>
      <c r="W4812" s="6">
        <f t="shared" si="150"/>
        <v>0</v>
      </c>
      <c r="X4812" s="6">
        <f t="shared" si="151"/>
        <v>0</v>
      </c>
    </row>
    <row r="4813" spans="22:24" x14ac:dyDescent="0.3">
      <c r="V4813" t="e">
        <f>VLOOKUP(H4813,'[1]팀별 출판사'!A:B,2,0)</f>
        <v>#N/A</v>
      </c>
      <c r="W4813" s="6">
        <f t="shared" si="150"/>
        <v>0</v>
      </c>
      <c r="X4813" s="6">
        <f t="shared" si="151"/>
        <v>0</v>
      </c>
    </row>
    <row r="4814" spans="22:24" x14ac:dyDescent="0.3">
      <c r="V4814" t="e">
        <f>VLOOKUP(H4814,'[1]팀별 출판사'!A:B,2,0)</f>
        <v>#N/A</v>
      </c>
      <c r="W4814" s="6">
        <f t="shared" si="150"/>
        <v>0</v>
      </c>
      <c r="X4814" s="6">
        <f t="shared" si="151"/>
        <v>0</v>
      </c>
    </row>
    <row r="4815" spans="22:24" x14ac:dyDescent="0.3">
      <c r="V4815" t="e">
        <f>VLOOKUP(H4815,'[1]팀별 출판사'!A:B,2,0)</f>
        <v>#N/A</v>
      </c>
      <c r="W4815" s="6">
        <f t="shared" si="150"/>
        <v>0</v>
      </c>
      <c r="X4815" s="6">
        <f t="shared" si="151"/>
        <v>0</v>
      </c>
    </row>
    <row r="4816" spans="22:24" x14ac:dyDescent="0.3">
      <c r="V4816" t="e">
        <f>VLOOKUP(H4816,'[1]팀별 출판사'!A:B,2,0)</f>
        <v>#N/A</v>
      </c>
      <c r="W4816" s="6">
        <f t="shared" si="150"/>
        <v>0</v>
      </c>
      <c r="X4816" s="6">
        <f t="shared" si="151"/>
        <v>0</v>
      </c>
    </row>
    <row r="4817" spans="22:24" x14ac:dyDescent="0.3">
      <c r="V4817" t="e">
        <f>VLOOKUP(H4817,'[1]팀별 출판사'!A:B,2,0)</f>
        <v>#N/A</v>
      </c>
      <c r="W4817" s="6">
        <f t="shared" si="150"/>
        <v>0</v>
      </c>
      <c r="X4817" s="6">
        <f t="shared" si="151"/>
        <v>0</v>
      </c>
    </row>
    <row r="4818" spans="22:24" x14ac:dyDescent="0.3">
      <c r="V4818" t="e">
        <f>VLOOKUP(H4818,'[1]팀별 출판사'!A:B,2,0)</f>
        <v>#N/A</v>
      </c>
      <c r="W4818" s="6">
        <f t="shared" si="150"/>
        <v>0</v>
      </c>
      <c r="X4818" s="6">
        <f t="shared" si="151"/>
        <v>0</v>
      </c>
    </row>
    <row r="4819" spans="22:24" x14ac:dyDescent="0.3">
      <c r="V4819" t="e">
        <f>VLOOKUP(H4819,'[1]팀별 출판사'!A:B,2,0)</f>
        <v>#N/A</v>
      </c>
      <c r="W4819" s="6">
        <f t="shared" si="150"/>
        <v>0</v>
      </c>
      <c r="X4819" s="6">
        <f t="shared" si="151"/>
        <v>0</v>
      </c>
    </row>
    <row r="4820" spans="22:24" x14ac:dyDescent="0.3">
      <c r="V4820" t="e">
        <f>VLOOKUP(H4820,'[1]팀별 출판사'!A:B,2,0)</f>
        <v>#N/A</v>
      </c>
      <c r="W4820" s="6">
        <f t="shared" si="150"/>
        <v>0</v>
      </c>
      <c r="X4820" s="6">
        <f t="shared" si="151"/>
        <v>0</v>
      </c>
    </row>
    <row r="4821" spans="22:24" x14ac:dyDescent="0.3">
      <c r="V4821" t="e">
        <f>VLOOKUP(H4821,'[1]팀별 출판사'!A:B,2,0)</f>
        <v>#N/A</v>
      </c>
      <c r="W4821" s="6">
        <f t="shared" si="150"/>
        <v>0</v>
      </c>
      <c r="X4821" s="6">
        <f t="shared" si="151"/>
        <v>0</v>
      </c>
    </row>
    <row r="4822" spans="22:24" x14ac:dyDescent="0.3">
      <c r="V4822" t="e">
        <f>VLOOKUP(H4822,'[1]팀별 출판사'!A:B,2,0)</f>
        <v>#N/A</v>
      </c>
      <c r="W4822" s="6">
        <f t="shared" si="150"/>
        <v>0</v>
      </c>
      <c r="X4822" s="6">
        <f t="shared" si="151"/>
        <v>0</v>
      </c>
    </row>
    <row r="4823" spans="22:24" x14ac:dyDescent="0.3">
      <c r="V4823" t="e">
        <f>VLOOKUP(H4823,'[1]팀별 출판사'!A:B,2,0)</f>
        <v>#N/A</v>
      </c>
      <c r="W4823" s="6">
        <f t="shared" si="150"/>
        <v>0</v>
      </c>
      <c r="X4823" s="6">
        <f t="shared" si="151"/>
        <v>0</v>
      </c>
    </row>
    <row r="4824" spans="22:24" x14ac:dyDescent="0.3">
      <c r="V4824" t="e">
        <f>VLOOKUP(H4824,'[1]팀별 출판사'!A:B,2,0)</f>
        <v>#N/A</v>
      </c>
      <c r="W4824" s="6">
        <f t="shared" si="150"/>
        <v>0</v>
      </c>
      <c r="X4824" s="6">
        <f t="shared" si="151"/>
        <v>0</v>
      </c>
    </row>
    <row r="4825" spans="22:24" x14ac:dyDescent="0.3">
      <c r="V4825" t="e">
        <f>VLOOKUP(H4825,'[1]팀별 출판사'!A:B,2,0)</f>
        <v>#N/A</v>
      </c>
      <c r="W4825" s="6">
        <f t="shared" si="150"/>
        <v>0</v>
      </c>
      <c r="X4825" s="6">
        <f t="shared" si="151"/>
        <v>0</v>
      </c>
    </row>
    <row r="4826" spans="22:24" x14ac:dyDescent="0.3">
      <c r="V4826" t="e">
        <f>VLOOKUP(H4826,'[1]팀별 출판사'!A:B,2,0)</f>
        <v>#N/A</v>
      </c>
      <c r="W4826" s="6">
        <f t="shared" si="150"/>
        <v>0</v>
      </c>
      <c r="X4826" s="6">
        <f t="shared" si="151"/>
        <v>0</v>
      </c>
    </row>
    <row r="4827" spans="22:24" x14ac:dyDescent="0.3">
      <c r="V4827" t="e">
        <f>VLOOKUP(H4827,'[1]팀별 출판사'!A:B,2,0)</f>
        <v>#N/A</v>
      </c>
      <c r="W4827" s="6">
        <f t="shared" si="150"/>
        <v>0</v>
      </c>
      <c r="X4827" s="6">
        <f t="shared" si="151"/>
        <v>0</v>
      </c>
    </row>
    <row r="4828" spans="22:24" x14ac:dyDescent="0.3">
      <c r="V4828" t="e">
        <f>VLOOKUP(H4828,'[1]팀별 출판사'!A:B,2,0)</f>
        <v>#N/A</v>
      </c>
      <c r="W4828" s="6">
        <f t="shared" si="150"/>
        <v>0</v>
      </c>
      <c r="X4828" s="6">
        <f t="shared" si="151"/>
        <v>0</v>
      </c>
    </row>
    <row r="4829" spans="22:24" x14ac:dyDescent="0.3">
      <c r="V4829" t="e">
        <f>VLOOKUP(H4829,'[1]팀별 출판사'!A:B,2,0)</f>
        <v>#N/A</v>
      </c>
      <c r="W4829" s="6">
        <f t="shared" si="150"/>
        <v>0</v>
      </c>
      <c r="X4829" s="6">
        <f t="shared" si="151"/>
        <v>0</v>
      </c>
    </row>
    <row r="4830" spans="22:24" x14ac:dyDescent="0.3">
      <c r="V4830" t="e">
        <f>VLOOKUP(H4830,'[1]팀별 출판사'!A:B,2,0)</f>
        <v>#N/A</v>
      </c>
      <c r="W4830" s="6">
        <f t="shared" si="150"/>
        <v>0</v>
      </c>
      <c r="X4830" s="6">
        <f t="shared" si="151"/>
        <v>0</v>
      </c>
    </row>
    <row r="4831" spans="22:24" x14ac:dyDescent="0.3">
      <c r="V4831" t="e">
        <f>VLOOKUP(H4831,'[1]팀별 출판사'!A:B,2,0)</f>
        <v>#N/A</v>
      </c>
      <c r="W4831" s="6">
        <f t="shared" si="150"/>
        <v>0</v>
      </c>
      <c r="X4831" s="6">
        <f t="shared" si="151"/>
        <v>0</v>
      </c>
    </row>
    <row r="4832" spans="22:24" x14ac:dyDescent="0.3">
      <c r="V4832" t="e">
        <f>VLOOKUP(H4832,'[1]팀별 출판사'!A:B,2,0)</f>
        <v>#N/A</v>
      </c>
      <c r="W4832" s="6">
        <f t="shared" si="150"/>
        <v>0</v>
      </c>
      <c r="X4832" s="6">
        <f t="shared" si="151"/>
        <v>0</v>
      </c>
    </row>
    <row r="4833" spans="22:24" x14ac:dyDescent="0.3">
      <c r="V4833" t="e">
        <f>VLOOKUP(H4833,'[1]팀별 출판사'!A:B,2,0)</f>
        <v>#N/A</v>
      </c>
      <c r="W4833" s="6">
        <f t="shared" si="150"/>
        <v>0</v>
      </c>
      <c r="X4833" s="6">
        <f t="shared" si="151"/>
        <v>0</v>
      </c>
    </row>
    <row r="4834" spans="22:24" x14ac:dyDescent="0.3">
      <c r="V4834" t="e">
        <f>VLOOKUP(H4834,'[1]팀별 출판사'!A:B,2,0)</f>
        <v>#N/A</v>
      </c>
      <c r="W4834" s="6">
        <f t="shared" si="150"/>
        <v>0</v>
      </c>
      <c r="X4834" s="6">
        <f t="shared" si="151"/>
        <v>0</v>
      </c>
    </row>
    <row r="4835" spans="22:24" x14ac:dyDescent="0.3">
      <c r="V4835" t="e">
        <f>VLOOKUP(H4835,'[1]팀별 출판사'!A:B,2,0)</f>
        <v>#N/A</v>
      </c>
      <c r="W4835" s="6">
        <f t="shared" si="150"/>
        <v>0</v>
      </c>
      <c r="X4835" s="6">
        <f t="shared" si="151"/>
        <v>0</v>
      </c>
    </row>
    <row r="4836" spans="22:24" x14ac:dyDescent="0.3">
      <c r="V4836" t="e">
        <f>VLOOKUP(H4836,'[1]팀별 출판사'!A:B,2,0)</f>
        <v>#N/A</v>
      </c>
      <c r="W4836" s="6">
        <f t="shared" si="150"/>
        <v>0</v>
      </c>
      <c r="X4836" s="6">
        <f t="shared" si="151"/>
        <v>0</v>
      </c>
    </row>
    <row r="4837" spans="22:24" x14ac:dyDescent="0.3">
      <c r="V4837" t="e">
        <f>VLOOKUP(H4837,'[1]팀별 출판사'!A:B,2,0)</f>
        <v>#N/A</v>
      </c>
      <c r="W4837" s="6">
        <f t="shared" si="150"/>
        <v>0</v>
      </c>
      <c r="X4837" s="6">
        <f t="shared" si="151"/>
        <v>0</v>
      </c>
    </row>
    <row r="4838" spans="22:24" x14ac:dyDescent="0.3">
      <c r="V4838" t="e">
        <f>VLOOKUP(H4838,'[1]팀별 출판사'!A:B,2,0)</f>
        <v>#N/A</v>
      </c>
      <c r="W4838" s="6">
        <f t="shared" si="150"/>
        <v>0</v>
      </c>
      <c r="X4838" s="6">
        <f t="shared" si="151"/>
        <v>0</v>
      </c>
    </row>
    <row r="4839" spans="22:24" x14ac:dyDescent="0.3">
      <c r="V4839" t="e">
        <f>VLOOKUP(H4839,'[1]팀별 출판사'!A:B,2,0)</f>
        <v>#N/A</v>
      </c>
      <c r="W4839" s="6">
        <f t="shared" si="150"/>
        <v>0</v>
      </c>
      <c r="X4839" s="6">
        <f t="shared" si="151"/>
        <v>0</v>
      </c>
    </row>
    <row r="4840" spans="22:24" x14ac:dyDescent="0.3">
      <c r="V4840" t="e">
        <f>VLOOKUP(H4840,'[1]팀별 출판사'!A:B,2,0)</f>
        <v>#N/A</v>
      </c>
      <c r="W4840" s="6">
        <f t="shared" si="150"/>
        <v>0</v>
      </c>
      <c r="X4840" s="6">
        <f t="shared" si="151"/>
        <v>0</v>
      </c>
    </row>
    <row r="4841" spans="22:24" x14ac:dyDescent="0.3">
      <c r="V4841" t="e">
        <f>VLOOKUP(H4841,'[1]팀별 출판사'!A:B,2,0)</f>
        <v>#N/A</v>
      </c>
      <c r="W4841" s="6">
        <f t="shared" si="150"/>
        <v>0</v>
      </c>
      <c r="X4841" s="6">
        <f t="shared" si="151"/>
        <v>0</v>
      </c>
    </row>
    <row r="4842" spans="22:24" x14ac:dyDescent="0.3">
      <c r="V4842" t="e">
        <f>VLOOKUP(H4842,'[1]팀별 출판사'!A:B,2,0)</f>
        <v>#N/A</v>
      </c>
      <c r="W4842" s="6">
        <f t="shared" si="150"/>
        <v>0</v>
      </c>
      <c r="X4842" s="6">
        <f t="shared" si="151"/>
        <v>0</v>
      </c>
    </row>
    <row r="4843" spans="22:24" x14ac:dyDescent="0.3">
      <c r="V4843" t="e">
        <f>VLOOKUP(H4843,'[1]팀별 출판사'!A:B,2,0)</f>
        <v>#N/A</v>
      </c>
      <c r="W4843" s="6">
        <f t="shared" si="150"/>
        <v>0</v>
      </c>
      <c r="X4843" s="6">
        <f t="shared" si="151"/>
        <v>0</v>
      </c>
    </row>
    <row r="4844" spans="22:24" x14ac:dyDescent="0.3">
      <c r="V4844" t="e">
        <f>VLOOKUP(H4844,'[1]팀별 출판사'!A:B,2,0)</f>
        <v>#N/A</v>
      </c>
      <c r="W4844" s="6">
        <f t="shared" si="150"/>
        <v>0</v>
      </c>
      <c r="X4844" s="6">
        <f t="shared" si="151"/>
        <v>0</v>
      </c>
    </row>
    <row r="4845" spans="22:24" x14ac:dyDescent="0.3">
      <c r="V4845" t="e">
        <f>VLOOKUP(H4845,'[1]팀별 출판사'!A:B,2,0)</f>
        <v>#N/A</v>
      </c>
      <c r="W4845" s="6">
        <f t="shared" si="150"/>
        <v>0</v>
      </c>
      <c r="X4845" s="6">
        <f t="shared" si="151"/>
        <v>0</v>
      </c>
    </row>
    <row r="4846" spans="22:24" x14ac:dyDescent="0.3">
      <c r="V4846" t="e">
        <f>VLOOKUP(H4846,'[1]팀별 출판사'!A:B,2,0)</f>
        <v>#N/A</v>
      </c>
      <c r="W4846" s="6">
        <f t="shared" si="150"/>
        <v>0</v>
      </c>
      <c r="X4846" s="6">
        <f t="shared" si="151"/>
        <v>0</v>
      </c>
    </row>
    <row r="4847" spans="22:24" x14ac:dyDescent="0.3">
      <c r="V4847" t="e">
        <f>VLOOKUP(H4847,'[1]팀별 출판사'!A:B,2,0)</f>
        <v>#N/A</v>
      </c>
      <c r="W4847" s="6">
        <f t="shared" si="150"/>
        <v>0</v>
      </c>
      <c r="X4847" s="6">
        <f t="shared" si="151"/>
        <v>0</v>
      </c>
    </row>
    <row r="4848" spans="22:24" x14ac:dyDescent="0.3">
      <c r="V4848" t="e">
        <f>VLOOKUP(H4848,'[1]팀별 출판사'!A:B,2,0)</f>
        <v>#N/A</v>
      </c>
      <c r="W4848" s="6">
        <f t="shared" si="150"/>
        <v>0</v>
      </c>
      <c r="X4848" s="6">
        <f t="shared" si="151"/>
        <v>0</v>
      </c>
    </row>
    <row r="4849" spans="22:24" x14ac:dyDescent="0.3">
      <c r="V4849" t="e">
        <f>VLOOKUP(H4849,'[1]팀별 출판사'!A:B,2,0)</f>
        <v>#N/A</v>
      </c>
      <c r="W4849" s="6">
        <f t="shared" si="150"/>
        <v>0</v>
      </c>
      <c r="X4849" s="6">
        <f t="shared" si="151"/>
        <v>0</v>
      </c>
    </row>
    <row r="4850" spans="22:24" x14ac:dyDescent="0.3">
      <c r="V4850" t="e">
        <f>VLOOKUP(H4850,'[1]팀별 출판사'!A:B,2,0)</f>
        <v>#N/A</v>
      </c>
      <c r="W4850" s="6">
        <f t="shared" si="150"/>
        <v>0</v>
      </c>
      <c r="X4850" s="6">
        <f t="shared" si="151"/>
        <v>0</v>
      </c>
    </row>
    <row r="4851" spans="22:24" x14ac:dyDescent="0.3">
      <c r="V4851" t="e">
        <f>VLOOKUP(H4851,'[1]팀별 출판사'!A:B,2,0)</f>
        <v>#N/A</v>
      </c>
      <c r="W4851" s="6">
        <f t="shared" si="150"/>
        <v>0</v>
      </c>
      <c r="X4851" s="6">
        <f t="shared" si="151"/>
        <v>0</v>
      </c>
    </row>
    <row r="4852" spans="22:24" x14ac:dyDescent="0.3">
      <c r="V4852" t="e">
        <f>VLOOKUP(H4852,'[1]팀별 출판사'!A:B,2,0)</f>
        <v>#N/A</v>
      </c>
      <c r="W4852" s="6">
        <f t="shared" si="150"/>
        <v>0</v>
      </c>
      <c r="X4852" s="6">
        <f t="shared" si="151"/>
        <v>0</v>
      </c>
    </row>
    <row r="4853" spans="22:24" x14ac:dyDescent="0.3">
      <c r="V4853" t="e">
        <f>VLOOKUP(H4853,'[1]팀별 출판사'!A:B,2,0)</f>
        <v>#N/A</v>
      </c>
      <c r="W4853" s="6">
        <f t="shared" si="150"/>
        <v>0</v>
      </c>
      <c r="X4853" s="6">
        <f t="shared" si="151"/>
        <v>0</v>
      </c>
    </row>
    <row r="4854" spans="22:24" x14ac:dyDescent="0.3">
      <c r="V4854" t="e">
        <f>VLOOKUP(H4854,'[1]팀별 출판사'!A:B,2,0)</f>
        <v>#N/A</v>
      </c>
      <c r="W4854" s="6">
        <f t="shared" si="150"/>
        <v>0</v>
      </c>
      <c r="X4854" s="6">
        <f t="shared" si="151"/>
        <v>0</v>
      </c>
    </row>
    <row r="4855" spans="22:24" x14ac:dyDescent="0.3">
      <c r="V4855" t="e">
        <f>VLOOKUP(H4855,'[1]팀별 출판사'!A:B,2,0)</f>
        <v>#N/A</v>
      </c>
      <c r="W4855" s="6">
        <f t="shared" si="150"/>
        <v>0</v>
      </c>
      <c r="X4855" s="6">
        <f t="shared" si="151"/>
        <v>0</v>
      </c>
    </row>
    <row r="4856" spans="22:24" x14ac:dyDescent="0.3">
      <c r="V4856" t="e">
        <f>VLOOKUP(H4856,'[1]팀별 출판사'!A:B,2,0)</f>
        <v>#N/A</v>
      </c>
      <c r="W4856" s="6">
        <f t="shared" si="150"/>
        <v>0</v>
      </c>
      <c r="X4856" s="6">
        <f t="shared" si="151"/>
        <v>0</v>
      </c>
    </row>
    <row r="4857" spans="22:24" x14ac:dyDescent="0.3">
      <c r="V4857" t="e">
        <f>VLOOKUP(H4857,'[1]팀별 출판사'!A:B,2,0)</f>
        <v>#N/A</v>
      </c>
      <c r="W4857" s="6">
        <f t="shared" si="150"/>
        <v>0</v>
      </c>
      <c r="X4857" s="6">
        <f t="shared" si="151"/>
        <v>0</v>
      </c>
    </row>
    <row r="4858" spans="22:24" x14ac:dyDescent="0.3">
      <c r="V4858" t="e">
        <f>VLOOKUP(H4858,'[1]팀별 출판사'!A:B,2,0)</f>
        <v>#N/A</v>
      </c>
      <c r="W4858" s="6">
        <f t="shared" si="150"/>
        <v>0</v>
      </c>
      <c r="X4858" s="6">
        <f t="shared" si="151"/>
        <v>0</v>
      </c>
    </row>
    <row r="4859" spans="22:24" x14ac:dyDescent="0.3">
      <c r="V4859" t="e">
        <f>VLOOKUP(H4859,'[1]팀별 출판사'!A:B,2,0)</f>
        <v>#N/A</v>
      </c>
      <c r="W4859" s="6">
        <f t="shared" si="150"/>
        <v>0</v>
      </c>
      <c r="X4859" s="6">
        <f t="shared" si="151"/>
        <v>0</v>
      </c>
    </row>
    <row r="4860" spans="22:24" x14ac:dyDescent="0.3">
      <c r="V4860" t="e">
        <f>VLOOKUP(H4860,'[1]팀별 출판사'!A:B,2,0)</f>
        <v>#N/A</v>
      </c>
      <c r="W4860" s="6">
        <f t="shared" si="150"/>
        <v>0</v>
      </c>
      <c r="X4860" s="6">
        <f t="shared" si="151"/>
        <v>0</v>
      </c>
    </row>
    <row r="4861" spans="22:24" x14ac:dyDescent="0.3">
      <c r="V4861" t="e">
        <f>VLOOKUP(H4861,'[1]팀별 출판사'!A:B,2,0)</f>
        <v>#N/A</v>
      </c>
      <c r="W4861" s="6">
        <f t="shared" si="150"/>
        <v>0</v>
      </c>
      <c r="X4861" s="6">
        <f t="shared" si="151"/>
        <v>0</v>
      </c>
    </row>
    <row r="4862" spans="22:24" x14ac:dyDescent="0.3">
      <c r="V4862" t="e">
        <f>VLOOKUP(H4862,'[1]팀별 출판사'!A:B,2,0)</f>
        <v>#N/A</v>
      </c>
      <c r="W4862" s="6">
        <f t="shared" si="150"/>
        <v>0</v>
      </c>
      <c r="X4862" s="6">
        <f t="shared" si="151"/>
        <v>0</v>
      </c>
    </row>
    <row r="4863" spans="22:24" x14ac:dyDescent="0.3">
      <c r="V4863" t="e">
        <f>VLOOKUP(H4863,'[1]팀별 출판사'!A:B,2,0)</f>
        <v>#N/A</v>
      </c>
      <c r="W4863" s="6">
        <f t="shared" si="150"/>
        <v>0</v>
      </c>
      <c r="X4863" s="6">
        <f t="shared" si="151"/>
        <v>0</v>
      </c>
    </row>
    <row r="4864" spans="22:24" x14ac:dyDescent="0.3">
      <c r="V4864" t="e">
        <f>VLOOKUP(H4864,'[1]팀별 출판사'!A:B,2,0)</f>
        <v>#N/A</v>
      </c>
      <c r="W4864" s="6">
        <f t="shared" si="150"/>
        <v>0</v>
      </c>
      <c r="X4864" s="6">
        <f t="shared" si="151"/>
        <v>0</v>
      </c>
    </row>
    <row r="4865" spans="22:24" x14ac:dyDescent="0.3">
      <c r="V4865" t="e">
        <f>VLOOKUP(H4865,'[1]팀별 출판사'!A:B,2,0)</f>
        <v>#N/A</v>
      </c>
      <c r="W4865" s="6">
        <f t="shared" si="150"/>
        <v>0</v>
      </c>
      <c r="X4865" s="6">
        <f t="shared" si="151"/>
        <v>0</v>
      </c>
    </row>
    <row r="4866" spans="22:24" x14ac:dyDescent="0.3">
      <c r="V4866" t="e">
        <f>VLOOKUP(H4866,'[1]팀별 출판사'!A:B,2,0)</f>
        <v>#N/A</v>
      </c>
      <c r="W4866" s="6">
        <f t="shared" ref="W4866:W4929" si="152">IF(P4866="US", T4866*30%, 0)</f>
        <v>0</v>
      </c>
      <c r="X4866" s="6">
        <f t="shared" ref="X4866:X4929" si="153">T4866-W4866</f>
        <v>0</v>
      </c>
    </row>
    <row r="4867" spans="22:24" x14ac:dyDescent="0.3">
      <c r="V4867" t="e">
        <f>VLOOKUP(H4867,'[1]팀별 출판사'!A:B,2,0)</f>
        <v>#N/A</v>
      </c>
      <c r="W4867" s="6">
        <f t="shared" si="152"/>
        <v>0</v>
      </c>
      <c r="X4867" s="6">
        <f t="shared" si="153"/>
        <v>0</v>
      </c>
    </row>
    <row r="4868" spans="22:24" x14ac:dyDescent="0.3">
      <c r="V4868" t="e">
        <f>VLOOKUP(H4868,'[1]팀별 출판사'!A:B,2,0)</f>
        <v>#N/A</v>
      </c>
      <c r="W4868" s="6">
        <f t="shared" si="152"/>
        <v>0</v>
      </c>
      <c r="X4868" s="6">
        <f t="shared" si="153"/>
        <v>0</v>
      </c>
    </row>
    <row r="4869" spans="22:24" x14ac:dyDescent="0.3">
      <c r="V4869" t="e">
        <f>VLOOKUP(H4869,'[1]팀별 출판사'!A:B,2,0)</f>
        <v>#N/A</v>
      </c>
      <c r="W4869" s="6">
        <f t="shared" si="152"/>
        <v>0</v>
      </c>
      <c r="X4869" s="6">
        <f t="shared" si="153"/>
        <v>0</v>
      </c>
    </row>
    <row r="4870" spans="22:24" x14ac:dyDescent="0.3">
      <c r="V4870" t="e">
        <f>VLOOKUP(H4870,'[1]팀별 출판사'!A:B,2,0)</f>
        <v>#N/A</v>
      </c>
      <c r="W4870" s="6">
        <f t="shared" si="152"/>
        <v>0</v>
      </c>
      <c r="X4870" s="6">
        <f t="shared" si="153"/>
        <v>0</v>
      </c>
    </row>
    <row r="4871" spans="22:24" x14ac:dyDescent="0.3">
      <c r="V4871" t="e">
        <f>VLOOKUP(H4871,'[1]팀별 출판사'!A:B,2,0)</f>
        <v>#N/A</v>
      </c>
      <c r="W4871" s="6">
        <f t="shared" si="152"/>
        <v>0</v>
      </c>
      <c r="X4871" s="6">
        <f t="shared" si="153"/>
        <v>0</v>
      </c>
    </row>
    <row r="4872" spans="22:24" x14ac:dyDescent="0.3">
      <c r="V4872" t="e">
        <f>VLOOKUP(H4872,'[1]팀별 출판사'!A:B,2,0)</f>
        <v>#N/A</v>
      </c>
      <c r="W4872" s="6">
        <f t="shared" si="152"/>
        <v>0</v>
      </c>
      <c r="X4872" s="6">
        <f t="shared" si="153"/>
        <v>0</v>
      </c>
    </row>
    <row r="4873" spans="22:24" x14ac:dyDescent="0.3">
      <c r="V4873" t="e">
        <f>VLOOKUP(H4873,'[1]팀별 출판사'!A:B,2,0)</f>
        <v>#N/A</v>
      </c>
      <c r="W4873" s="6">
        <f t="shared" si="152"/>
        <v>0</v>
      </c>
      <c r="X4873" s="6">
        <f t="shared" si="153"/>
        <v>0</v>
      </c>
    </row>
    <row r="4874" spans="22:24" x14ac:dyDescent="0.3">
      <c r="V4874" t="e">
        <f>VLOOKUP(H4874,'[1]팀별 출판사'!A:B,2,0)</f>
        <v>#N/A</v>
      </c>
      <c r="W4874" s="6">
        <f t="shared" si="152"/>
        <v>0</v>
      </c>
      <c r="X4874" s="6">
        <f t="shared" si="153"/>
        <v>0</v>
      </c>
    </row>
    <row r="4875" spans="22:24" x14ac:dyDescent="0.3">
      <c r="V4875" t="e">
        <f>VLOOKUP(H4875,'[1]팀별 출판사'!A:B,2,0)</f>
        <v>#N/A</v>
      </c>
      <c r="W4875" s="6">
        <f t="shared" si="152"/>
        <v>0</v>
      </c>
      <c r="X4875" s="6">
        <f t="shared" si="153"/>
        <v>0</v>
      </c>
    </row>
    <row r="4876" spans="22:24" x14ac:dyDescent="0.3">
      <c r="V4876" t="e">
        <f>VLOOKUP(H4876,'[1]팀별 출판사'!A:B,2,0)</f>
        <v>#N/A</v>
      </c>
      <c r="W4876" s="6">
        <f t="shared" si="152"/>
        <v>0</v>
      </c>
      <c r="X4876" s="6">
        <f t="shared" si="153"/>
        <v>0</v>
      </c>
    </row>
    <row r="4877" spans="22:24" x14ac:dyDescent="0.3">
      <c r="V4877" t="e">
        <f>VLOOKUP(H4877,'[1]팀별 출판사'!A:B,2,0)</f>
        <v>#N/A</v>
      </c>
      <c r="W4877" s="6">
        <f t="shared" si="152"/>
        <v>0</v>
      </c>
      <c r="X4877" s="6">
        <f t="shared" si="153"/>
        <v>0</v>
      </c>
    </row>
    <row r="4878" spans="22:24" x14ac:dyDescent="0.3">
      <c r="V4878" t="e">
        <f>VLOOKUP(H4878,'[1]팀별 출판사'!A:B,2,0)</f>
        <v>#N/A</v>
      </c>
      <c r="W4878" s="6">
        <f t="shared" si="152"/>
        <v>0</v>
      </c>
      <c r="X4878" s="6">
        <f t="shared" si="153"/>
        <v>0</v>
      </c>
    </row>
    <row r="4879" spans="22:24" x14ac:dyDescent="0.3">
      <c r="V4879" t="e">
        <f>VLOOKUP(H4879,'[1]팀별 출판사'!A:B,2,0)</f>
        <v>#N/A</v>
      </c>
      <c r="W4879" s="6">
        <f t="shared" si="152"/>
        <v>0</v>
      </c>
      <c r="X4879" s="6">
        <f t="shared" si="153"/>
        <v>0</v>
      </c>
    </row>
    <row r="4880" spans="22:24" x14ac:dyDescent="0.3">
      <c r="V4880" t="e">
        <f>VLOOKUP(H4880,'[1]팀별 출판사'!A:B,2,0)</f>
        <v>#N/A</v>
      </c>
      <c r="W4880" s="6">
        <f t="shared" si="152"/>
        <v>0</v>
      </c>
      <c r="X4880" s="6">
        <f t="shared" si="153"/>
        <v>0</v>
      </c>
    </row>
    <row r="4881" spans="22:24" x14ac:dyDescent="0.3">
      <c r="V4881" t="e">
        <f>VLOOKUP(H4881,'[1]팀별 출판사'!A:B,2,0)</f>
        <v>#N/A</v>
      </c>
      <c r="W4881" s="6">
        <f t="shared" si="152"/>
        <v>0</v>
      </c>
      <c r="X4881" s="6">
        <f t="shared" si="153"/>
        <v>0</v>
      </c>
    </row>
    <row r="4882" spans="22:24" x14ac:dyDescent="0.3">
      <c r="V4882" t="e">
        <f>VLOOKUP(H4882,'[1]팀별 출판사'!A:B,2,0)</f>
        <v>#N/A</v>
      </c>
      <c r="W4882" s="6">
        <f t="shared" si="152"/>
        <v>0</v>
      </c>
      <c r="X4882" s="6">
        <f t="shared" si="153"/>
        <v>0</v>
      </c>
    </row>
    <row r="4883" spans="22:24" x14ac:dyDescent="0.3">
      <c r="V4883" t="e">
        <f>VLOOKUP(H4883,'[1]팀별 출판사'!A:B,2,0)</f>
        <v>#N/A</v>
      </c>
      <c r="W4883" s="6">
        <f t="shared" si="152"/>
        <v>0</v>
      </c>
      <c r="X4883" s="6">
        <f t="shared" si="153"/>
        <v>0</v>
      </c>
    </row>
    <row r="4884" spans="22:24" x14ac:dyDescent="0.3">
      <c r="V4884" t="e">
        <f>VLOOKUP(H4884,'[1]팀별 출판사'!A:B,2,0)</f>
        <v>#N/A</v>
      </c>
      <c r="W4884" s="6">
        <f t="shared" si="152"/>
        <v>0</v>
      </c>
      <c r="X4884" s="6">
        <f t="shared" si="153"/>
        <v>0</v>
      </c>
    </row>
    <row r="4885" spans="22:24" x14ac:dyDescent="0.3">
      <c r="V4885" t="e">
        <f>VLOOKUP(H4885,'[1]팀별 출판사'!A:B,2,0)</f>
        <v>#N/A</v>
      </c>
      <c r="W4885" s="6">
        <f t="shared" si="152"/>
        <v>0</v>
      </c>
      <c r="X4885" s="6">
        <f t="shared" si="153"/>
        <v>0</v>
      </c>
    </row>
    <row r="4886" spans="22:24" x14ac:dyDescent="0.3">
      <c r="V4886" t="e">
        <f>VLOOKUP(H4886,'[1]팀별 출판사'!A:B,2,0)</f>
        <v>#N/A</v>
      </c>
      <c r="W4886" s="6">
        <f t="shared" si="152"/>
        <v>0</v>
      </c>
      <c r="X4886" s="6">
        <f t="shared" si="153"/>
        <v>0</v>
      </c>
    </row>
    <row r="4887" spans="22:24" x14ac:dyDescent="0.3">
      <c r="V4887" t="e">
        <f>VLOOKUP(H4887,'[1]팀별 출판사'!A:B,2,0)</f>
        <v>#N/A</v>
      </c>
      <c r="W4887" s="6">
        <f t="shared" si="152"/>
        <v>0</v>
      </c>
      <c r="X4887" s="6">
        <f t="shared" si="153"/>
        <v>0</v>
      </c>
    </row>
    <row r="4888" spans="22:24" x14ac:dyDescent="0.3">
      <c r="V4888" t="e">
        <f>VLOOKUP(H4888,'[1]팀별 출판사'!A:B,2,0)</f>
        <v>#N/A</v>
      </c>
      <c r="W4888" s="6">
        <f t="shared" si="152"/>
        <v>0</v>
      </c>
      <c r="X4888" s="6">
        <f t="shared" si="153"/>
        <v>0</v>
      </c>
    </row>
    <row r="4889" spans="22:24" x14ac:dyDescent="0.3">
      <c r="V4889" t="e">
        <f>VLOOKUP(H4889,'[1]팀별 출판사'!A:B,2,0)</f>
        <v>#N/A</v>
      </c>
      <c r="W4889" s="6">
        <f t="shared" si="152"/>
        <v>0</v>
      </c>
      <c r="X4889" s="6">
        <f t="shared" si="153"/>
        <v>0</v>
      </c>
    </row>
    <row r="4890" spans="22:24" x14ac:dyDescent="0.3">
      <c r="V4890" t="e">
        <f>VLOOKUP(H4890,'[1]팀별 출판사'!A:B,2,0)</f>
        <v>#N/A</v>
      </c>
      <c r="W4890" s="6">
        <f t="shared" si="152"/>
        <v>0</v>
      </c>
      <c r="X4890" s="6">
        <f t="shared" si="153"/>
        <v>0</v>
      </c>
    </row>
    <row r="4891" spans="22:24" x14ac:dyDescent="0.3">
      <c r="V4891" t="e">
        <f>VLOOKUP(H4891,'[1]팀별 출판사'!A:B,2,0)</f>
        <v>#N/A</v>
      </c>
      <c r="W4891" s="6">
        <f t="shared" si="152"/>
        <v>0</v>
      </c>
      <c r="X4891" s="6">
        <f t="shared" si="153"/>
        <v>0</v>
      </c>
    </row>
    <row r="4892" spans="22:24" x14ac:dyDescent="0.3">
      <c r="V4892" t="e">
        <f>VLOOKUP(H4892,'[1]팀별 출판사'!A:B,2,0)</f>
        <v>#N/A</v>
      </c>
      <c r="W4892" s="6">
        <f t="shared" si="152"/>
        <v>0</v>
      </c>
      <c r="X4892" s="6">
        <f t="shared" si="153"/>
        <v>0</v>
      </c>
    </row>
    <row r="4893" spans="22:24" x14ac:dyDescent="0.3">
      <c r="V4893" t="e">
        <f>VLOOKUP(H4893,'[1]팀별 출판사'!A:B,2,0)</f>
        <v>#N/A</v>
      </c>
      <c r="W4893" s="6">
        <f t="shared" si="152"/>
        <v>0</v>
      </c>
      <c r="X4893" s="6">
        <f t="shared" si="153"/>
        <v>0</v>
      </c>
    </row>
    <row r="4894" spans="22:24" x14ac:dyDescent="0.3">
      <c r="V4894" t="e">
        <f>VLOOKUP(H4894,'[1]팀별 출판사'!A:B,2,0)</f>
        <v>#N/A</v>
      </c>
      <c r="W4894" s="6">
        <f t="shared" si="152"/>
        <v>0</v>
      </c>
      <c r="X4894" s="6">
        <f t="shared" si="153"/>
        <v>0</v>
      </c>
    </row>
    <row r="4895" spans="22:24" x14ac:dyDescent="0.3">
      <c r="V4895" t="e">
        <f>VLOOKUP(H4895,'[1]팀별 출판사'!A:B,2,0)</f>
        <v>#N/A</v>
      </c>
      <c r="W4895" s="6">
        <f t="shared" si="152"/>
        <v>0</v>
      </c>
      <c r="X4895" s="6">
        <f t="shared" si="153"/>
        <v>0</v>
      </c>
    </row>
    <row r="4896" spans="22:24" x14ac:dyDescent="0.3">
      <c r="V4896" t="e">
        <f>VLOOKUP(H4896,'[1]팀별 출판사'!A:B,2,0)</f>
        <v>#N/A</v>
      </c>
      <c r="W4896" s="6">
        <f t="shared" si="152"/>
        <v>0</v>
      </c>
      <c r="X4896" s="6">
        <f t="shared" si="153"/>
        <v>0</v>
      </c>
    </row>
    <row r="4897" spans="22:24" x14ac:dyDescent="0.3">
      <c r="V4897" t="e">
        <f>VLOOKUP(H4897,'[1]팀별 출판사'!A:B,2,0)</f>
        <v>#N/A</v>
      </c>
      <c r="W4897" s="6">
        <f t="shared" si="152"/>
        <v>0</v>
      </c>
      <c r="X4897" s="6">
        <f t="shared" si="153"/>
        <v>0</v>
      </c>
    </row>
    <row r="4898" spans="22:24" x14ac:dyDescent="0.3">
      <c r="V4898" t="e">
        <f>VLOOKUP(H4898,'[1]팀별 출판사'!A:B,2,0)</f>
        <v>#N/A</v>
      </c>
      <c r="W4898" s="6">
        <f t="shared" si="152"/>
        <v>0</v>
      </c>
      <c r="X4898" s="6">
        <f t="shared" si="153"/>
        <v>0</v>
      </c>
    </row>
    <row r="4899" spans="22:24" x14ac:dyDescent="0.3">
      <c r="V4899" t="e">
        <f>VLOOKUP(H4899,'[1]팀별 출판사'!A:B,2,0)</f>
        <v>#N/A</v>
      </c>
      <c r="W4899" s="6">
        <f t="shared" si="152"/>
        <v>0</v>
      </c>
      <c r="X4899" s="6">
        <f t="shared" si="153"/>
        <v>0</v>
      </c>
    </row>
    <row r="4900" spans="22:24" x14ac:dyDescent="0.3">
      <c r="V4900" t="e">
        <f>VLOOKUP(H4900,'[1]팀별 출판사'!A:B,2,0)</f>
        <v>#N/A</v>
      </c>
      <c r="W4900" s="6">
        <f t="shared" si="152"/>
        <v>0</v>
      </c>
      <c r="X4900" s="6">
        <f t="shared" si="153"/>
        <v>0</v>
      </c>
    </row>
    <row r="4901" spans="22:24" x14ac:dyDescent="0.3">
      <c r="V4901" t="e">
        <f>VLOOKUP(H4901,'[1]팀별 출판사'!A:B,2,0)</f>
        <v>#N/A</v>
      </c>
      <c r="W4901" s="6">
        <f t="shared" si="152"/>
        <v>0</v>
      </c>
      <c r="X4901" s="6">
        <f t="shared" si="153"/>
        <v>0</v>
      </c>
    </row>
    <row r="4902" spans="22:24" x14ac:dyDescent="0.3">
      <c r="V4902" t="e">
        <f>VLOOKUP(H4902,'[1]팀별 출판사'!A:B,2,0)</f>
        <v>#N/A</v>
      </c>
      <c r="W4902" s="6">
        <f t="shared" si="152"/>
        <v>0</v>
      </c>
      <c r="X4902" s="6">
        <f t="shared" si="153"/>
        <v>0</v>
      </c>
    </row>
    <row r="4903" spans="22:24" x14ac:dyDescent="0.3">
      <c r="V4903" t="e">
        <f>VLOOKUP(H4903,'[1]팀별 출판사'!A:B,2,0)</f>
        <v>#N/A</v>
      </c>
      <c r="W4903" s="6">
        <f t="shared" si="152"/>
        <v>0</v>
      </c>
      <c r="X4903" s="6">
        <f t="shared" si="153"/>
        <v>0</v>
      </c>
    </row>
    <row r="4904" spans="22:24" x14ac:dyDescent="0.3">
      <c r="V4904" t="e">
        <f>VLOOKUP(H4904,'[1]팀별 출판사'!A:B,2,0)</f>
        <v>#N/A</v>
      </c>
      <c r="W4904" s="6">
        <f t="shared" si="152"/>
        <v>0</v>
      </c>
      <c r="X4904" s="6">
        <f t="shared" si="153"/>
        <v>0</v>
      </c>
    </row>
    <row r="4905" spans="22:24" x14ac:dyDescent="0.3">
      <c r="V4905" t="e">
        <f>VLOOKUP(H4905,'[1]팀별 출판사'!A:B,2,0)</f>
        <v>#N/A</v>
      </c>
      <c r="W4905" s="6">
        <f t="shared" si="152"/>
        <v>0</v>
      </c>
      <c r="X4905" s="6">
        <f t="shared" si="153"/>
        <v>0</v>
      </c>
    </row>
    <row r="4906" spans="22:24" x14ac:dyDescent="0.3">
      <c r="V4906" t="e">
        <f>VLOOKUP(H4906,'[1]팀별 출판사'!A:B,2,0)</f>
        <v>#N/A</v>
      </c>
      <c r="W4906" s="6">
        <f t="shared" si="152"/>
        <v>0</v>
      </c>
      <c r="X4906" s="6">
        <f t="shared" si="153"/>
        <v>0</v>
      </c>
    </row>
    <row r="4907" spans="22:24" x14ac:dyDescent="0.3">
      <c r="V4907" t="e">
        <f>VLOOKUP(H4907,'[1]팀별 출판사'!A:B,2,0)</f>
        <v>#N/A</v>
      </c>
      <c r="W4907" s="6">
        <f t="shared" si="152"/>
        <v>0</v>
      </c>
      <c r="X4907" s="6">
        <f t="shared" si="153"/>
        <v>0</v>
      </c>
    </row>
    <row r="4908" spans="22:24" x14ac:dyDescent="0.3">
      <c r="V4908" t="e">
        <f>VLOOKUP(H4908,'[1]팀별 출판사'!A:B,2,0)</f>
        <v>#N/A</v>
      </c>
      <c r="W4908" s="6">
        <f t="shared" si="152"/>
        <v>0</v>
      </c>
      <c r="X4908" s="6">
        <f t="shared" si="153"/>
        <v>0</v>
      </c>
    </row>
    <row r="4909" spans="22:24" x14ac:dyDescent="0.3">
      <c r="V4909" t="e">
        <f>VLOOKUP(H4909,'[1]팀별 출판사'!A:B,2,0)</f>
        <v>#N/A</v>
      </c>
      <c r="W4909" s="6">
        <f t="shared" si="152"/>
        <v>0</v>
      </c>
      <c r="X4909" s="6">
        <f t="shared" si="153"/>
        <v>0</v>
      </c>
    </row>
    <row r="4910" spans="22:24" x14ac:dyDescent="0.3">
      <c r="V4910" t="e">
        <f>VLOOKUP(H4910,'[1]팀별 출판사'!A:B,2,0)</f>
        <v>#N/A</v>
      </c>
      <c r="W4910" s="6">
        <f t="shared" si="152"/>
        <v>0</v>
      </c>
      <c r="X4910" s="6">
        <f t="shared" si="153"/>
        <v>0</v>
      </c>
    </row>
    <row r="4911" spans="22:24" x14ac:dyDescent="0.3">
      <c r="V4911" t="e">
        <f>VLOOKUP(H4911,'[1]팀별 출판사'!A:B,2,0)</f>
        <v>#N/A</v>
      </c>
      <c r="W4911" s="6">
        <f t="shared" si="152"/>
        <v>0</v>
      </c>
      <c r="X4911" s="6">
        <f t="shared" si="153"/>
        <v>0</v>
      </c>
    </row>
    <row r="4912" spans="22:24" x14ac:dyDescent="0.3">
      <c r="V4912" t="e">
        <f>VLOOKUP(H4912,'[1]팀별 출판사'!A:B,2,0)</f>
        <v>#N/A</v>
      </c>
      <c r="W4912" s="6">
        <f t="shared" si="152"/>
        <v>0</v>
      </c>
      <c r="X4912" s="6">
        <f t="shared" si="153"/>
        <v>0</v>
      </c>
    </row>
    <row r="4913" spans="22:24" x14ac:dyDescent="0.3">
      <c r="V4913" t="e">
        <f>VLOOKUP(H4913,'[1]팀별 출판사'!A:B,2,0)</f>
        <v>#N/A</v>
      </c>
      <c r="W4913" s="6">
        <f t="shared" si="152"/>
        <v>0</v>
      </c>
      <c r="X4913" s="6">
        <f t="shared" si="153"/>
        <v>0</v>
      </c>
    </row>
    <row r="4914" spans="22:24" x14ac:dyDescent="0.3">
      <c r="V4914" t="e">
        <f>VLOOKUP(H4914,'[1]팀별 출판사'!A:B,2,0)</f>
        <v>#N/A</v>
      </c>
      <c r="W4914" s="6">
        <f t="shared" si="152"/>
        <v>0</v>
      </c>
      <c r="X4914" s="6">
        <f t="shared" si="153"/>
        <v>0</v>
      </c>
    </row>
    <row r="4915" spans="22:24" x14ac:dyDescent="0.3">
      <c r="V4915" t="e">
        <f>VLOOKUP(H4915,'[1]팀별 출판사'!A:B,2,0)</f>
        <v>#N/A</v>
      </c>
      <c r="W4915" s="6">
        <f t="shared" si="152"/>
        <v>0</v>
      </c>
      <c r="X4915" s="6">
        <f t="shared" si="153"/>
        <v>0</v>
      </c>
    </row>
    <row r="4916" spans="22:24" x14ac:dyDescent="0.3">
      <c r="V4916" t="e">
        <f>VLOOKUP(H4916,'[1]팀별 출판사'!A:B,2,0)</f>
        <v>#N/A</v>
      </c>
      <c r="W4916" s="6">
        <f t="shared" si="152"/>
        <v>0</v>
      </c>
      <c r="X4916" s="6">
        <f t="shared" si="153"/>
        <v>0</v>
      </c>
    </row>
    <row r="4917" spans="22:24" x14ac:dyDescent="0.3">
      <c r="V4917" t="e">
        <f>VLOOKUP(H4917,'[1]팀별 출판사'!A:B,2,0)</f>
        <v>#N/A</v>
      </c>
      <c r="W4917" s="6">
        <f t="shared" si="152"/>
        <v>0</v>
      </c>
      <c r="X4917" s="6">
        <f t="shared" si="153"/>
        <v>0</v>
      </c>
    </row>
    <row r="4918" spans="22:24" x14ac:dyDescent="0.3">
      <c r="V4918" t="e">
        <f>VLOOKUP(H4918,'[1]팀별 출판사'!A:B,2,0)</f>
        <v>#N/A</v>
      </c>
      <c r="W4918" s="6">
        <f t="shared" si="152"/>
        <v>0</v>
      </c>
      <c r="X4918" s="6">
        <f t="shared" si="153"/>
        <v>0</v>
      </c>
    </row>
    <row r="4919" spans="22:24" x14ac:dyDescent="0.3">
      <c r="V4919" t="e">
        <f>VLOOKUP(H4919,'[1]팀별 출판사'!A:B,2,0)</f>
        <v>#N/A</v>
      </c>
      <c r="W4919" s="6">
        <f t="shared" si="152"/>
        <v>0</v>
      </c>
      <c r="X4919" s="6">
        <f t="shared" si="153"/>
        <v>0</v>
      </c>
    </row>
    <row r="4920" spans="22:24" x14ac:dyDescent="0.3">
      <c r="V4920" t="e">
        <f>VLOOKUP(H4920,'[1]팀별 출판사'!A:B,2,0)</f>
        <v>#N/A</v>
      </c>
      <c r="W4920" s="6">
        <f t="shared" si="152"/>
        <v>0</v>
      </c>
      <c r="X4920" s="6">
        <f t="shared" si="153"/>
        <v>0</v>
      </c>
    </row>
    <row r="4921" spans="22:24" x14ac:dyDescent="0.3">
      <c r="V4921" t="e">
        <f>VLOOKUP(H4921,'[1]팀별 출판사'!A:B,2,0)</f>
        <v>#N/A</v>
      </c>
      <c r="W4921" s="6">
        <f t="shared" si="152"/>
        <v>0</v>
      </c>
      <c r="X4921" s="6">
        <f t="shared" si="153"/>
        <v>0</v>
      </c>
    </row>
    <row r="4922" spans="22:24" x14ac:dyDescent="0.3">
      <c r="V4922" t="e">
        <f>VLOOKUP(H4922,'[1]팀별 출판사'!A:B,2,0)</f>
        <v>#N/A</v>
      </c>
      <c r="W4922" s="6">
        <f t="shared" si="152"/>
        <v>0</v>
      </c>
      <c r="X4922" s="6">
        <f t="shared" si="153"/>
        <v>0</v>
      </c>
    </row>
    <row r="4923" spans="22:24" x14ac:dyDescent="0.3">
      <c r="V4923" t="e">
        <f>VLOOKUP(H4923,'[1]팀별 출판사'!A:B,2,0)</f>
        <v>#N/A</v>
      </c>
      <c r="W4923" s="6">
        <f t="shared" si="152"/>
        <v>0</v>
      </c>
      <c r="X4923" s="6">
        <f t="shared" si="153"/>
        <v>0</v>
      </c>
    </row>
    <row r="4924" spans="22:24" x14ac:dyDescent="0.3">
      <c r="V4924" t="e">
        <f>VLOOKUP(H4924,'[1]팀별 출판사'!A:B,2,0)</f>
        <v>#N/A</v>
      </c>
      <c r="W4924" s="6">
        <f t="shared" si="152"/>
        <v>0</v>
      </c>
      <c r="X4924" s="6">
        <f t="shared" si="153"/>
        <v>0</v>
      </c>
    </row>
    <row r="4925" spans="22:24" x14ac:dyDescent="0.3">
      <c r="V4925" t="e">
        <f>VLOOKUP(H4925,'[1]팀별 출판사'!A:B,2,0)</f>
        <v>#N/A</v>
      </c>
      <c r="W4925" s="6">
        <f t="shared" si="152"/>
        <v>0</v>
      </c>
      <c r="X4925" s="6">
        <f t="shared" si="153"/>
        <v>0</v>
      </c>
    </row>
    <row r="4926" spans="22:24" x14ac:dyDescent="0.3">
      <c r="V4926" t="e">
        <f>VLOOKUP(H4926,'[1]팀별 출판사'!A:B,2,0)</f>
        <v>#N/A</v>
      </c>
      <c r="W4926" s="6">
        <f t="shared" si="152"/>
        <v>0</v>
      </c>
      <c r="X4926" s="6">
        <f t="shared" si="153"/>
        <v>0</v>
      </c>
    </row>
    <row r="4927" spans="22:24" x14ac:dyDescent="0.3">
      <c r="V4927" t="e">
        <f>VLOOKUP(H4927,'[1]팀별 출판사'!A:B,2,0)</f>
        <v>#N/A</v>
      </c>
      <c r="W4927" s="6">
        <f t="shared" si="152"/>
        <v>0</v>
      </c>
      <c r="X4927" s="6">
        <f t="shared" si="153"/>
        <v>0</v>
      </c>
    </row>
    <row r="4928" spans="22:24" x14ac:dyDescent="0.3">
      <c r="V4928" t="e">
        <f>VLOOKUP(H4928,'[1]팀별 출판사'!A:B,2,0)</f>
        <v>#N/A</v>
      </c>
      <c r="W4928" s="6">
        <f t="shared" si="152"/>
        <v>0</v>
      </c>
      <c r="X4928" s="6">
        <f t="shared" si="153"/>
        <v>0</v>
      </c>
    </row>
    <row r="4929" spans="22:24" x14ac:dyDescent="0.3">
      <c r="V4929" t="e">
        <f>VLOOKUP(H4929,'[1]팀별 출판사'!A:B,2,0)</f>
        <v>#N/A</v>
      </c>
      <c r="W4929" s="6">
        <f t="shared" si="152"/>
        <v>0</v>
      </c>
      <c r="X4929" s="6">
        <f t="shared" si="153"/>
        <v>0</v>
      </c>
    </row>
    <row r="4930" spans="22:24" x14ac:dyDescent="0.3">
      <c r="V4930" t="e">
        <f>VLOOKUP(H4930,'[1]팀별 출판사'!A:B,2,0)</f>
        <v>#N/A</v>
      </c>
      <c r="W4930" s="6">
        <f t="shared" ref="W4930:W4993" si="154">IF(P4930="US", T4930*30%, 0)</f>
        <v>0</v>
      </c>
      <c r="X4930" s="6">
        <f t="shared" ref="X4930:X4993" si="155">T4930-W4930</f>
        <v>0</v>
      </c>
    </row>
    <row r="4931" spans="22:24" x14ac:dyDescent="0.3">
      <c r="V4931" t="e">
        <f>VLOOKUP(H4931,'[1]팀별 출판사'!A:B,2,0)</f>
        <v>#N/A</v>
      </c>
      <c r="W4931" s="6">
        <f t="shared" si="154"/>
        <v>0</v>
      </c>
      <c r="X4931" s="6">
        <f t="shared" si="155"/>
        <v>0</v>
      </c>
    </row>
    <row r="4932" spans="22:24" x14ac:dyDescent="0.3">
      <c r="V4932" t="e">
        <f>VLOOKUP(H4932,'[1]팀별 출판사'!A:B,2,0)</f>
        <v>#N/A</v>
      </c>
      <c r="W4932" s="6">
        <f t="shared" si="154"/>
        <v>0</v>
      </c>
      <c r="X4932" s="6">
        <f t="shared" si="155"/>
        <v>0</v>
      </c>
    </row>
    <row r="4933" spans="22:24" x14ac:dyDescent="0.3">
      <c r="V4933" t="e">
        <f>VLOOKUP(H4933,'[1]팀별 출판사'!A:B,2,0)</f>
        <v>#N/A</v>
      </c>
      <c r="W4933" s="6">
        <f t="shared" si="154"/>
        <v>0</v>
      </c>
      <c r="X4933" s="6">
        <f t="shared" si="155"/>
        <v>0</v>
      </c>
    </row>
    <row r="4934" spans="22:24" x14ac:dyDescent="0.3">
      <c r="V4934" t="e">
        <f>VLOOKUP(H4934,'[1]팀별 출판사'!A:B,2,0)</f>
        <v>#N/A</v>
      </c>
      <c r="W4934" s="6">
        <f t="shared" si="154"/>
        <v>0</v>
      </c>
      <c r="X4934" s="6">
        <f t="shared" si="155"/>
        <v>0</v>
      </c>
    </row>
    <row r="4935" spans="22:24" x14ac:dyDescent="0.3">
      <c r="V4935" t="e">
        <f>VLOOKUP(H4935,'[1]팀별 출판사'!A:B,2,0)</f>
        <v>#N/A</v>
      </c>
      <c r="W4935" s="6">
        <f t="shared" si="154"/>
        <v>0</v>
      </c>
      <c r="X4935" s="6">
        <f t="shared" si="155"/>
        <v>0</v>
      </c>
    </row>
    <row r="4936" spans="22:24" x14ac:dyDescent="0.3">
      <c r="V4936" t="e">
        <f>VLOOKUP(H4936,'[1]팀별 출판사'!A:B,2,0)</f>
        <v>#N/A</v>
      </c>
      <c r="W4936" s="6">
        <f t="shared" si="154"/>
        <v>0</v>
      </c>
      <c r="X4936" s="6">
        <f t="shared" si="155"/>
        <v>0</v>
      </c>
    </row>
    <row r="4937" spans="22:24" x14ac:dyDescent="0.3">
      <c r="V4937" t="e">
        <f>VLOOKUP(H4937,'[1]팀별 출판사'!A:B,2,0)</f>
        <v>#N/A</v>
      </c>
      <c r="W4937" s="6">
        <f t="shared" si="154"/>
        <v>0</v>
      </c>
      <c r="X4937" s="6">
        <f t="shared" si="155"/>
        <v>0</v>
      </c>
    </row>
    <row r="4938" spans="22:24" x14ac:dyDescent="0.3">
      <c r="V4938" t="e">
        <f>VLOOKUP(H4938,'[1]팀별 출판사'!A:B,2,0)</f>
        <v>#N/A</v>
      </c>
      <c r="W4938" s="6">
        <f t="shared" si="154"/>
        <v>0</v>
      </c>
      <c r="X4938" s="6">
        <f t="shared" si="155"/>
        <v>0</v>
      </c>
    </row>
    <row r="4939" spans="22:24" x14ac:dyDescent="0.3">
      <c r="V4939" t="e">
        <f>VLOOKUP(H4939,'[1]팀별 출판사'!A:B,2,0)</f>
        <v>#N/A</v>
      </c>
      <c r="W4939" s="6">
        <f t="shared" si="154"/>
        <v>0</v>
      </c>
      <c r="X4939" s="6">
        <f t="shared" si="155"/>
        <v>0</v>
      </c>
    </row>
    <row r="4940" spans="22:24" x14ac:dyDescent="0.3">
      <c r="V4940" t="e">
        <f>VLOOKUP(H4940,'[1]팀별 출판사'!A:B,2,0)</f>
        <v>#N/A</v>
      </c>
      <c r="W4940" s="6">
        <f t="shared" si="154"/>
        <v>0</v>
      </c>
      <c r="X4940" s="6">
        <f t="shared" si="155"/>
        <v>0</v>
      </c>
    </row>
    <row r="4941" spans="22:24" x14ac:dyDescent="0.3">
      <c r="V4941" t="e">
        <f>VLOOKUP(H4941,'[1]팀별 출판사'!A:B,2,0)</f>
        <v>#N/A</v>
      </c>
      <c r="W4941" s="6">
        <f t="shared" si="154"/>
        <v>0</v>
      </c>
      <c r="X4941" s="6">
        <f t="shared" si="155"/>
        <v>0</v>
      </c>
    </row>
    <row r="4942" spans="22:24" x14ac:dyDescent="0.3">
      <c r="V4942" t="e">
        <f>VLOOKUP(H4942,'[1]팀별 출판사'!A:B,2,0)</f>
        <v>#N/A</v>
      </c>
      <c r="W4942" s="6">
        <f t="shared" si="154"/>
        <v>0</v>
      </c>
      <c r="X4942" s="6">
        <f t="shared" si="155"/>
        <v>0</v>
      </c>
    </row>
    <row r="4943" spans="22:24" x14ac:dyDescent="0.3">
      <c r="V4943" t="e">
        <f>VLOOKUP(H4943,'[1]팀별 출판사'!A:B,2,0)</f>
        <v>#N/A</v>
      </c>
      <c r="W4943" s="6">
        <f t="shared" si="154"/>
        <v>0</v>
      </c>
      <c r="X4943" s="6">
        <f t="shared" si="155"/>
        <v>0</v>
      </c>
    </row>
    <row r="4944" spans="22:24" x14ac:dyDescent="0.3">
      <c r="V4944" t="e">
        <f>VLOOKUP(H4944,'[1]팀별 출판사'!A:B,2,0)</f>
        <v>#N/A</v>
      </c>
      <c r="W4944" s="6">
        <f t="shared" si="154"/>
        <v>0</v>
      </c>
      <c r="X4944" s="6">
        <f t="shared" si="155"/>
        <v>0</v>
      </c>
    </row>
    <row r="4945" spans="22:24" x14ac:dyDescent="0.3">
      <c r="V4945" t="e">
        <f>VLOOKUP(H4945,'[1]팀별 출판사'!A:B,2,0)</f>
        <v>#N/A</v>
      </c>
      <c r="W4945" s="6">
        <f t="shared" si="154"/>
        <v>0</v>
      </c>
      <c r="X4945" s="6">
        <f t="shared" si="155"/>
        <v>0</v>
      </c>
    </row>
    <row r="4946" spans="22:24" x14ac:dyDescent="0.3">
      <c r="V4946" t="e">
        <f>VLOOKUP(H4946,'[1]팀별 출판사'!A:B,2,0)</f>
        <v>#N/A</v>
      </c>
      <c r="W4946" s="6">
        <f t="shared" si="154"/>
        <v>0</v>
      </c>
      <c r="X4946" s="6">
        <f t="shared" si="155"/>
        <v>0</v>
      </c>
    </row>
    <row r="4947" spans="22:24" x14ac:dyDescent="0.3">
      <c r="V4947" t="e">
        <f>VLOOKUP(H4947,'[1]팀별 출판사'!A:B,2,0)</f>
        <v>#N/A</v>
      </c>
      <c r="W4947" s="6">
        <f t="shared" si="154"/>
        <v>0</v>
      </c>
      <c r="X4947" s="6">
        <f t="shared" si="155"/>
        <v>0</v>
      </c>
    </row>
    <row r="4948" spans="22:24" x14ac:dyDescent="0.3">
      <c r="V4948" t="e">
        <f>VLOOKUP(H4948,'[1]팀별 출판사'!A:B,2,0)</f>
        <v>#N/A</v>
      </c>
      <c r="W4948" s="6">
        <f t="shared" si="154"/>
        <v>0</v>
      </c>
      <c r="X4948" s="6">
        <f t="shared" si="155"/>
        <v>0</v>
      </c>
    </row>
    <row r="4949" spans="22:24" x14ac:dyDescent="0.3">
      <c r="V4949" t="e">
        <f>VLOOKUP(H4949,'[1]팀별 출판사'!A:B,2,0)</f>
        <v>#N/A</v>
      </c>
      <c r="W4949" s="6">
        <f t="shared" si="154"/>
        <v>0</v>
      </c>
      <c r="X4949" s="6">
        <f t="shared" si="155"/>
        <v>0</v>
      </c>
    </row>
    <row r="4950" spans="22:24" x14ac:dyDescent="0.3">
      <c r="V4950" t="e">
        <f>VLOOKUP(H4950,'[1]팀별 출판사'!A:B,2,0)</f>
        <v>#N/A</v>
      </c>
      <c r="W4950" s="6">
        <f t="shared" si="154"/>
        <v>0</v>
      </c>
      <c r="X4950" s="6">
        <f t="shared" si="155"/>
        <v>0</v>
      </c>
    </row>
    <row r="4951" spans="22:24" x14ac:dyDescent="0.3">
      <c r="V4951" t="e">
        <f>VLOOKUP(H4951,'[1]팀별 출판사'!A:B,2,0)</f>
        <v>#N/A</v>
      </c>
      <c r="W4951" s="6">
        <f t="shared" si="154"/>
        <v>0</v>
      </c>
      <c r="X4951" s="6">
        <f t="shared" si="155"/>
        <v>0</v>
      </c>
    </row>
    <row r="4952" spans="22:24" x14ac:dyDescent="0.3">
      <c r="V4952" t="e">
        <f>VLOOKUP(H4952,'[1]팀별 출판사'!A:B,2,0)</f>
        <v>#N/A</v>
      </c>
      <c r="W4952" s="6">
        <f t="shared" si="154"/>
        <v>0</v>
      </c>
      <c r="X4952" s="6">
        <f t="shared" si="155"/>
        <v>0</v>
      </c>
    </row>
    <row r="4953" spans="22:24" x14ac:dyDescent="0.3">
      <c r="V4953" t="e">
        <f>VLOOKUP(H4953,'[1]팀별 출판사'!A:B,2,0)</f>
        <v>#N/A</v>
      </c>
      <c r="W4953" s="6">
        <f t="shared" si="154"/>
        <v>0</v>
      </c>
      <c r="X4953" s="6">
        <f t="shared" si="155"/>
        <v>0</v>
      </c>
    </row>
    <row r="4954" spans="22:24" x14ac:dyDescent="0.3">
      <c r="V4954" t="e">
        <f>VLOOKUP(H4954,'[1]팀별 출판사'!A:B,2,0)</f>
        <v>#N/A</v>
      </c>
      <c r="W4954" s="6">
        <f t="shared" si="154"/>
        <v>0</v>
      </c>
      <c r="X4954" s="6">
        <f t="shared" si="155"/>
        <v>0</v>
      </c>
    </row>
    <row r="4955" spans="22:24" x14ac:dyDescent="0.3">
      <c r="V4955" t="e">
        <f>VLOOKUP(H4955,'[1]팀별 출판사'!A:B,2,0)</f>
        <v>#N/A</v>
      </c>
      <c r="W4955" s="6">
        <f t="shared" si="154"/>
        <v>0</v>
      </c>
      <c r="X4955" s="6">
        <f t="shared" si="155"/>
        <v>0</v>
      </c>
    </row>
    <row r="4956" spans="22:24" x14ac:dyDescent="0.3">
      <c r="V4956" t="e">
        <f>VLOOKUP(H4956,'[1]팀별 출판사'!A:B,2,0)</f>
        <v>#N/A</v>
      </c>
      <c r="W4956" s="6">
        <f t="shared" si="154"/>
        <v>0</v>
      </c>
      <c r="X4956" s="6">
        <f t="shared" si="155"/>
        <v>0</v>
      </c>
    </row>
    <row r="4957" spans="22:24" x14ac:dyDescent="0.3">
      <c r="V4957" t="e">
        <f>VLOOKUP(H4957,'[1]팀별 출판사'!A:B,2,0)</f>
        <v>#N/A</v>
      </c>
      <c r="W4957" s="6">
        <f t="shared" si="154"/>
        <v>0</v>
      </c>
      <c r="X4957" s="6">
        <f t="shared" si="155"/>
        <v>0</v>
      </c>
    </row>
    <row r="4958" spans="22:24" x14ac:dyDescent="0.3">
      <c r="V4958" t="e">
        <f>VLOOKUP(H4958,'[1]팀별 출판사'!A:B,2,0)</f>
        <v>#N/A</v>
      </c>
      <c r="W4958" s="6">
        <f t="shared" si="154"/>
        <v>0</v>
      </c>
      <c r="X4958" s="6">
        <f t="shared" si="155"/>
        <v>0</v>
      </c>
    </row>
    <row r="4959" spans="22:24" x14ac:dyDescent="0.3">
      <c r="V4959" t="e">
        <f>VLOOKUP(H4959,'[1]팀별 출판사'!A:B,2,0)</f>
        <v>#N/A</v>
      </c>
      <c r="W4959" s="6">
        <f t="shared" si="154"/>
        <v>0</v>
      </c>
      <c r="X4959" s="6">
        <f t="shared" si="155"/>
        <v>0</v>
      </c>
    </row>
    <row r="4960" spans="22:24" x14ac:dyDescent="0.3">
      <c r="V4960" t="e">
        <f>VLOOKUP(H4960,'[1]팀별 출판사'!A:B,2,0)</f>
        <v>#N/A</v>
      </c>
      <c r="W4960" s="6">
        <f t="shared" si="154"/>
        <v>0</v>
      </c>
      <c r="X4960" s="6">
        <f t="shared" si="155"/>
        <v>0</v>
      </c>
    </row>
    <row r="4961" spans="22:24" x14ac:dyDescent="0.3">
      <c r="V4961" t="e">
        <f>VLOOKUP(H4961,'[1]팀별 출판사'!A:B,2,0)</f>
        <v>#N/A</v>
      </c>
      <c r="W4961" s="6">
        <f t="shared" si="154"/>
        <v>0</v>
      </c>
      <c r="X4961" s="6">
        <f t="shared" si="155"/>
        <v>0</v>
      </c>
    </row>
    <row r="4962" spans="22:24" x14ac:dyDescent="0.3">
      <c r="V4962" t="e">
        <f>VLOOKUP(H4962,'[1]팀별 출판사'!A:B,2,0)</f>
        <v>#N/A</v>
      </c>
      <c r="W4962" s="6">
        <f t="shared" si="154"/>
        <v>0</v>
      </c>
      <c r="X4962" s="6">
        <f t="shared" si="155"/>
        <v>0</v>
      </c>
    </row>
    <row r="4963" spans="22:24" x14ac:dyDescent="0.3">
      <c r="V4963" t="e">
        <f>VLOOKUP(H4963,'[1]팀별 출판사'!A:B,2,0)</f>
        <v>#N/A</v>
      </c>
      <c r="W4963" s="6">
        <f t="shared" si="154"/>
        <v>0</v>
      </c>
      <c r="X4963" s="6">
        <f t="shared" si="155"/>
        <v>0</v>
      </c>
    </row>
    <row r="4964" spans="22:24" x14ac:dyDescent="0.3">
      <c r="V4964" t="e">
        <f>VLOOKUP(H4964,'[1]팀별 출판사'!A:B,2,0)</f>
        <v>#N/A</v>
      </c>
      <c r="W4964" s="6">
        <f t="shared" si="154"/>
        <v>0</v>
      </c>
      <c r="X4964" s="6">
        <f t="shared" si="155"/>
        <v>0</v>
      </c>
    </row>
    <row r="4965" spans="22:24" x14ac:dyDescent="0.3">
      <c r="V4965" t="e">
        <f>VLOOKUP(H4965,'[1]팀별 출판사'!A:B,2,0)</f>
        <v>#N/A</v>
      </c>
      <c r="W4965" s="6">
        <f t="shared" si="154"/>
        <v>0</v>
      </c>
      <c r="X4965" s="6">
        <f t="shared" si="155"/>
        <v>0</v>
      </c>
    </row>
    <row r="4966" spans="22:24" x14ac:dyDescent="0.3">
      <c r="V4966" t="e">
        <f>VLOOKUP(H4966,'[1]팀별 출판사'!A:B,2,0)</f>
        <v>#N/A</v>
      </c>
      <c r="W4966" s="6">
        <f t="shared" si="154"/>
        <v>0</v>
      </c>
      <c r="X4966" s="6">
        <f t="shared" si="155"/>
        <v>0</v>
      </c>
    </row>
    <row r="4967" spans="22:24" x14ac:dyDescent="0.3">
      <c r="V4967" t="e">
        <f>VLOOKUP(H4967,'[1]팀별 출판사'!A:B,2,0)</f>
        <v>#N/A</v>
      </c>
      <c r="W4967" s="6">
        <f t="shared" si="154"/>
        <v>0</v>
      </c>
      <c r="X4967" s="6">
        <f t="shared" si="155"/>
        <v>0</v>
      </c>
    </row>
    <row r="4968" spans="22:24" x14ac:dyDescent="0.3">
      <c r="V4968" t="e">
        <f>VLOOKUP(H4968,'[1]팀별 출판사'!A:B,2,0)</f>
        <v>#N/A</v>
      </c>
      <c r="W4968" s="6">
        <f t="shared" si="154"/>
        <v>0</v>
      </c>
      <c r="X4968" s="6">
        <f t="shared" si="155"/>
        <v>0</v>
      </c>
    </row>
    <row r="4969" spans="22:24" x14ac:dyDescent="0.3">
      <c r="V4969" t="e">
        <f>VLOOKUP(H4969,'[1]팀별 출판사'!A:B,2,0)</f>
        <v>#N/A</v>
      </c>
      <c r="W4969" s="6">
        <f t="shared" si="154"/>
        <v>0</v>
      </c>
      <c r="X4969" s="6">
        <f t="shared" si="155"/>
        <v>0</v>
      </c>
    </row>
    <row r="4970" spans="22:24" x14ac:dyDescent="0.3">
      <c r="V4970" t="e">
        <f>VLOOKUP(H4970,'[1]팀별 출판사'!A:B,2,0)</f>
        <v>#N/A</v>
      </c>
      <c r="W4970" s="6">
        <f t="shared" si="154"/>
        <v>0</v>
      </c>
      <c r="X4970" s="6">
        <f t="shared" si="155"/>
        <v>0</v>
      </c>
    </row>
    <row r="4971" spans="22:24" x14ac:dyDescent="0.3">
      <c r="V4971" t="e">
        <f>VLOOKUP(H4971,'[1]팀별 출판사'!A:B,2,0)</f>
        <v>#N/A</v>
      </c>
      <c r="W4971" s="6">
        <f t="shared" si="154"/>
        <v>0</v>
      </c>
      <c r="X4971" s="6">
        <f t="shared" si="155"/>
        <v>0</v>
      </c>
    </row>
    <row r="4972" spans="22:24" x14ac:dyDescent="0.3">
      <c r="V4972" t="e">
        <f>VLOOKUP(H4972,'[1]팀별 출판사'!A:B,2,0)</f>
        <v>#N/A</v>
      </c>
      <c r="W4972" s="6">
        <f t="shared" si="154"/>
        <v>0</v>
      </c>
      <c r="X4972" s="6">
        <f t="shared" si="155"/>
        <v>0</v>
      </c>
    </row>
    <row r="4973" spans="22:24" x14ac:dyDescent="0.3">
      <c r="V4973" t="e">
        <f>VLOOKUP(H4973,'[1]팀별 출판사'!A:B,2,0)</f>
        <v>#N/A</v>
      </c>
      <c r="W4973" s="6">
        <f t="shared" si="154"/>
        <v>0</v>
      </c>
      <c r="X4973" s="6">
        <f t="shared" si="155"/>
        <v>0</v>
      </c>
    </row>
    <row r="4974" spans="22:24" x14ac:dyDescent="0.3">
      <c r="V4974" t="e">
        <f>VLOOKUP(H4974,'[1]팀별 출판사'!A:B,2,0)</f>
        <v>#N/A</v>
      </c>
      <c r="W4974" s="6">
        <f t="shared" si="154"/>
        <v>0</v>
      </c>
      <c r="X4974" s="6">
        <f t="shared" si="155"/>
        <v>0</v>
      </c>
    </row>
    <row r="4975" spans="22:24" x14ac:dyDescent="0.3">
      <c r="V4975" t="e">
        <f>VLOOKUP(H4975,'[1]팀별 출판사'!A:B,2,0)</f>
        <v>#N/A</v>
      </c>
      <c r="W4975" s="6">
        <f t="shared" si="154"/>
        <v>0</v>
      </c>
      <c r="X4975" s="6">
        <f t="shared" si="155"/>
        <v>0</v>
      </c>
    </row>
    <row r="4976" spans="22:24" x14ac:dyDescent="0.3">
      <c r="V4976" t="e">
        <f>VLOOKUP(H4976,'[1]팀별 출판사'!A:B,2,0)</f>
        <v>#N/A</v>
      </c>
      <c r="W4976" s="6">
        <f t="shared" si="154"/>
        <v>0</v>
      </c>
      <c r="X4976" s="6">
        <f t="shared" si="155"/>
        <v>0</v>
      </c>
    </row>
    <row r="4977" spans="22:24" x14ac:dyDescent="0.3">
      <c r="V4977" t="e">
        <f>VLOOKUP(H4977,'[1]팀별 출판사'!A:B,2,0)</f>
        <v>#N/A</v>
      </c>
      <c r="W4977" s="6">
        <f t="shared" si="154"/>
        <v>0</v>
      </c>
      <c r="X4977" s="6">
        <f t="shared" si="155"/>
        <v>0</v>
      </c>
    </row>
    <row r="4978" spans="22:24" x14ac:dyDescent="0.3">
      <c r="V4978" t="e">
        <f>VLOOKUP(H4978,'[1]팀별 출판사'!A:B,2,0)</f>
        <v>#N/A</v>
      </c>
      <c r="W4978" s="6">
        <f t="shared" si="154"/>
        <v>0</v>
      </c>
      <c r="X4978" s="6">
        <f t="shared" si="155"/>
        <v>0</v>
      </c>
    </row>
    <row r="4979" spans="22:24" x14ac:dyDescent="0.3">
      <c r="V4979" t="e">
        <f>VLOOKUP(H4979,'[1]팀별 출판사'!A:B,2,0)</f>
        <v>#N/A</v>
      </c>
      <c r="W4979" s="6">
        <f t="shared" si="154"/>
        <v>0</v>
      </c>
      <c r="X4979" s="6">
        <f t="shared" si="155"/>
        <v>0</v>
      </c>
    </row>
    <row r="4980" spans="22:24" x14ac:dyDescent="0.3">
      <c r="V4980" t="e">
        <f>VLOOKUP(H4980,'[1]팀별 출판사'!A:B,2,0)</f>
        <v>#N/A</v>
      </c>
      <c r="W4980" s="6">
        <f t="shared" si="154"/>
        <v>0</v>
      </c>
      <c r="X4980" s="6">
        <f t="shared" si="155"/>
        <v>0</v>
      </c>
    </row>
    <row r="4981" spans="22:24" x14ac:dyDescent="0.3">
      <c r="V4981" t="e">
        <f>VLOOKUP(H4981,'[1]팀별 출판사'!A:B,2,0)</f>
        <v>#N/A</v>
      </c>
      <c r="W4981" s="6">
        <f t="shared" si="154"/>
        <v>0</v>
      </c>
      <c r="X4981" s="6">
        <f t="shared" si="155"/>
        <v>0</v>
      </c>
    </row>
    <row r="4982" spans="22:24" x14ac:dyDescent="0.3">
      <c r="V4982" t="e">
        <f>VLOOKUP(H4982,'[1]팀별 출판사'!A:B,2,0)</f>
        <v>#N/A</v>
      </c>
      <c r="W4982" s="6">
        <f t="shared" si="154"/>
        <v>0</v>
      </c>
      <c r="X4982" s="6">
        <f t="shared" si="155"/>
        <v>0</v>
      </c>
    </row>
    <row r="4983" spans="22:24" x14ac:dyDescent="0.3">
      <c r="V4983" t="e">
        <f>VLOOKUP(H4983,'[1]팀별 출판사'!A:B,2,0)</f>
        <v>#N/A</v>
      </c>
      <c r="W4983" s="6">
        <f t="shared" si="154"/>
        <v>0</v>
      </c>
      <c r="X4983" s="6">
        <f t="shared" si="155"/>
        <v>0</v>
      </c>
    </row>
    <row r="4984" spans="22:24" x14ac:dyDescent="0.3">
      <c r="V4984" t="e">
        <f>VLOOKUP(H4984,'[1]팀별 출판사'!A:B,2,0)</f>
        <v>#N/A</v>
      </c>
      <c r="W4984" s="6">
        <f t="shared" si="154"/>
        <v>0</v>
      </c>
      <c r="X4984" s="6">
        <f t="shared" si="155"/>
        <v>0</v>
      </c>
    </row>
    <row r="4985" spans="22:24" x14ac:dyDescent="0.3">
      <c r="V4985" t="e">
        <f>VLOOKUP(H4985,'[1]팀별 출판사'!A:B,2,0)</f>
        <v>#N/A</v>
      </c>
      <c r="W4985" s="6">
        <f t="shared" si="154"/>
        <v>0</v>
      </c>
      <c r="X4985" s="6">
        <f t="shared" si="155"/>
        <v>0</v>
      </c>
    </row>
    <row r="4986" spans="22:24" x14ac:dyDescent="0.3">
      <c r="V4986" t="e">
        <f>VLOOKUP(H4986,'[1]팀별 출판사'!A:B,2,0)</f>
        <v>#N/A</v>
      </c>
      <c r="W4986" s="6">
        <f t="shared" si="154"/>
        <v>0</v>
      </c>
      <c r="X4986" s="6">
        <f t="shared" si="155"/>
        <v>0</v>
      </c>
    </row>
    <row r="4987" spans="22:24" x14ac:dyDescent="0.3">
      <c r="V4987" t="e">
        <f>VLOOKUP(H4987,'[1]팀별 출판사'!A:B,2,0)</f>
        <v>#N/A</v>
      </c>
      <c r="W4987" s="6">
        <f t="shared" si="154"/>
        <v>0</v>
      </c>
      <c r="X4987" s="6">
        <f t="shared" si="155"/>
        <v>0</v>
      </c>
    </row>
    <row r="4988" spans="22:24" x14ac:dyDescent="0.3">
      <c r="V4988" t="e">
        <f>VLOOKUP(H4988,'[1]팀별 출판사'!A:B,2,0)</f>
        <v>#N/A</v>
      </c>
      <c r="W4988" s="6">
        <f t="shared" si="154"/>
        <v>0</v>
      </c>
      <c r="X4988" s="6">
        <f t="shared" si="155"/>
        <v>0</v>
      </c>
    </row>
    <row r="4989" spans="22:24" x14ac:dyDescent="0.3">
      <c r="V4989" t="e">
        <f>VLOOKUP(H4989,'[1]팀별 출판사'!A:B,2,0)</f>
        <v>#N/A</v>
      </c>
      <c r="W4989" s="6">
        <f t="shared" si="154"/>
        <v>0</v>
      </c>
      <c r="X4989" s="6">
        <f t="shared" si="155"/>
        <v>0</v>
      </c>
    </row>
    <row r="4990" spans="22:24" x14ac:dyDescent="0.3">
      <c r="V4990" t="e">
        <f>VLOOKUP(H4990,'[1]팀별 출판사'!A:B,2,0)</f>
        <v>#N/A</v>
      </c>
      <c r="W4990" s="6">
        <f t="shared" si="154"/>
        <v>0</v>
      </c>
      <c r="X4990" s="6">
        <f t="shared" si="155"/>
        <v>0</v>
      </c>
    </row>
    <row r="4991" spans="22:24" x14ac:dyDescent="0.3">
      <c r="V4991" t="e">
        <f>VLOOKUP(H4991,'[1]팀별 출판사'!A:B,2,0)</f>
        <v>#N/A</v>
      </c>
      <c r="W4991" s="6">
        <f t="shared" si="154"/>
        <v>0</v>
      </c>
      <c r="X4991" s="6">
        <f t="shared" si="155"/>
        <v>0</v>
      </c>
    </row>
    <row r="4992" spans="22:24" x14ac:dyDescent="0.3">
      <c r="V4992" t="e">
        <f>VLOOKUP(H4992,'[1]팀별 출판사'!A:B,2,0)</f>
        <v>#N/A</v>
      </c>
      <c r="W4992" s="6">
        <f t="shared" si="154"/>
        <v>0</v>
      </c>
      <c r="X4992" s="6">
        <f t="shared" si="155"/>
        <v>0</v>
      </c>
    </row>
    <row r="4993" spans="22:24" x14ac:dyDescent="0.3">
      <c r="V4993" t="e">
        <f>VLOOKUP(H4993,'[1]팀별 출판사'!A:B,2,0)</f>
        <v>#N/A</v>
      </c>
      <c r="W4993" s="6">
        <f t="shared" si="154"/>
        <v>0</v>
      </c>
      <c r="X4993" s="6">
        <f t="shared" si="155"/>
        <v>0</v>
      </c>
    </row>
    <row r="4994" spans="22:24" x14ac:dyDescent="0.3">
      <c r="V4994" t="e">
        <f>VLOOKUP(H4994,'[1]팀별 출판사'!A:B,2,0)</f>
        <v>#N/A</v>
      </c>
      <c r="W4994" s="6">
        <f t="shared" ref="W4994:W5057" si="156">IF(P4994="US", T4994*30%, 0)</f>
        <v>0</v>
      </c>
      <c r="X4994" s="6">
        <f t="shared" ref="X4994:X5057" si="157">T4994-W4994</f>
        <v>0</v>
      </c>
    </row>
    <row r="4995" spans="22:24" x14ac:dyDescent="0.3">
      <c r="V4995" t="e">
        <f>VLOOKUP(H4995,'[1]팀별 출판사'!A:B,2,0)</f>
        <v>#N/A</v>
      </c>
      <c r="W4995" s="6">
        <f t="shared" si="156"/>
        <v>0</v>
      </c>
      <c r="X4995" s="6">
        <f t="shared" si="157"/>
        <v>0</v>
      </c>
    </row>
    <row r="4996" spans="22:24" x14ac:dyDescent="0.3">
      <c r="V4996" t="e">
        <f>VLOOKUP(H4996,'[1]팀별 출판사'!A:B,2,0)</f>
        <v>#N/A</v>
      </c>
      <c r="W4996" s="6">
        <f t="shared" si="156"/>
        <v>0</v>
      </c>
      <c r="X4996" s="6">
        <f t="shared" si="157"/>
        <v>0</v>
      </c>
    </row>
    <row r="4997" spans="22:24" x14ac:dyDescent="0.3">
      <c r="V4997" t="e">
        <f>VLOOKUP(H4997,'[1]팀별 출판사'!A:B,2,0)</f>
        <v>#N/A</v>
      </c>
      <c r="W4997" s="6">
        <f t="shared" si="156"/>
        <v>0</v>
      </c>
      <c r="X4997" s="6">
        <f t="shared" si="157"/>
        <v>0</v>
      </c>
    </row>
    <row r="4998" spans="22:24" x14ac:dyDescent="0.3">
      <c r="V4998" t="e">
        <f>VLOOKUP(H4998,'[1]팀별 출판사'!A:B,2,0)</f>
        <v>#N/A</v>
      </c>
      <c r="W4998" s="6">
        <f t="shared" si="156"/>
        <v>0</v>
      </c>
      <c r="X4998" s="6">
        <f t="shared" si="157"/>
        <v>0</v>
      </c>
    </row>
    <row r="4999" spans="22:24" x14ac:dyDescent="0.3">
      <c r="V4999" t="e">
        <f>VLOOKUP(H4999,'[1]팀별 출판사'!A:B,2,0)</f>
        <v>#N/A</v>
      </c>
      <c r="W4999" s="6">
        <f t="shared" si="156"/>
        <v>0</v>
      </c>
      <c r="X4999" s="6">
        <f t="shared" si="157"/>
        <v>0</v>
      </c>
    </row>
    <row r="5000" spans="22:24" x14ac:dyDescent="0.3">
      <c r="V5000" t="e">
        <f>VLOOKUP(H5000,'[1]팀별 출판사'!A:B,2,0)</f>
        <v>#N/A</v>
      </c>
      <c r="W5000" s="6">
        <f t="shared" si="156"/>
        <v>0</v>
      </c>
      <c r="X5000" s="6">
        <f t="shared" si="157"/>
        <v>0</v>
      </c>
    </row>
    <row r="5001" spans="22:24" x14ac:dyDescent="0.3">
      <c r="V5001" t="e">
        <f>VLOOKUP(H5001,'[1]팀별 출판사'!A:B,2,0)</f>
        <v>#N/A</v>
      </c>
      <c r="W5001" s="6">
        <f t="shared" si="156"/>
        <v>0</v>
      </c>
      <c r="X5001" s="6">
        <f t="shared" si="157"/>
        <v>0</v>
      </c>
    </row>
    <row r="5002" spans="22:24" x14ac:dyDescent="0.3">
      <c r="V5002" t="e">
        <f>VLOOKUP(H5002,'[1]팀별 출판사'!A:B,2,0)</f>
        <v>#N/A</v>
      </c>
      <c r="W5002" s="6">
        <f t="shared" si="156"/>
        <v>0</v>
      </c>
      <c r="X5002" s="6">
        <f t="shared" si="157"/>
        <v>0</v>
      </c>
    </row>
    <row r="5003" spans="22:24" x14ac:dyDescent="0.3">
      <c r="V5003" t="e">
        <f>VLOOKUP(H5003,'[1]팀별 출판사'!A:B,2,0)</f>
        <v>#N/A</v>
      </c>
      <c r="W5003" s="6">
        <f t="shared" si="156"/>
        <v>0</v>
      </c>
      <c r="X5003" s="6">
        <f t="shared" si="157"/>
        <v>0</v>
      </c>
    </row>
    <row r="5004" spans="22:24" x14ac:dyDescent="0.3">
      <c r="V5004" t="e">
        <f>VLOOKUP(H5004,'[1]팀별 출판사'!A:B,2,0)</f>
        <v>#N/A</v>
      </c>
      <c r="W5004" s="6">
        <f t="shared" si="156"/>
        <v>0</v>
      </c>
      <c r="X5004" s="6">
        <f t="shared" si="157"/>
        <v>0</v>
      </c>
    </row>
    <row r="5005" spans="22:24" x14ac:dyDescent="0.3">
      <c r="V5005" t="e">
        <f>VLOOKUP(H5005,'[1]팀별 출판사'!A:B,2,0)</f>
        <v>#N/A</v>
      </c>
      <c r="W5005" s="6">
        <f t="shared" si="156"/>
        <v>0</v>
      </c>
      <c r="X5005" s="6">
        <f t="shared" si="157"/>
        <v>0</v>
      </c>
    </row>
    <row r="5006" spans="22:24" x14ac:dyDescent="0.3">
      <c r="V5006" t="e">
        <f>VLOOKUP(H5006,'[1]팀별 출판사'!A:B,2,0)</f>
        <v>#N/A</v>
      </c>
      <c r="W5006" s="6">
        <f t="shared" si="156"/>
        <v>0</v>
      </c>
      <c r="X5006" s="6">
        <f t="shared" si="157"/>
        <v>0</v>
      </c>
    </row>
    <row r="5007" spans="22:24" x14ac:dyDescent="0.3">
      <c r="V5007" t="e">
        <f>VLOOKUP(H5007,'[1]팀별 출판사'!A:B,2,0)</f>
        <v>#N/A</v>
      </c>
      <c r="W5007" s="6">
        <f t="shared" si="156"/>
        <v>0</v>
      </c>
      <c r="X5007" s="6">
        <f t="shared" si="157"/>
        <v>0</v>
      </c>
    </row>
    <row r="5008" spans="22:24" x14ac:dyDescent="0.3">
      <c r="V5008" t="e">
        <f>VLOOKUP(H5008,'[1]팀별 출판사'!A:B,2,0)</f>
        <v>#N/A</v>
      </c>
      <c r="W5008" s="6">
        <f t="shared" si="156"/>
        <v>0</v>
      </c>
      <c r="X5008" s="6">
        <f t="shared" si="157"/>
        <v>0</v>
      </c>
    </row>
    <row r="5009" spans="22:24" x14ac:dyDescent="0.3">
      <c r="V5009" t="e">
        <f>VLOOKUP(H5009,'[1]팀별 출판사'!A:B,2,0)</f>
        <v>#N/A</v>
      </c>
      <c r="W5009" s="6">
        <f t="shared" si="156"/>
        <v>0</v>
      </c>
      <c r="X5009" s="6">
        <f t="shared" si="157"/>
        <v>0</v>
      </c>
    </row>
    <row r="5010" spans="22:24" x14ac:dyDescent="0.3">
      <c r="V5010" t="e">
        <f>VLOOKUP(H5010,'[1]팀별 출판사'!A:B,2,0)</f>
        <v>#N/A</v>
      </c>
      <c r="W5010" s="6">
        <f t="shared" si="156"/>
        <v>0</v>
      </c>
      <c r="X5010" s="6">
        <f t="shared" si="157"/>
        <v>0</v>
      </c>
    </row>
    <row r="5011" spans="22:24" x14ac:dyDescent="0.3">
      <c r="V5011" t="e">
        <f>VLOOKUP(H5011,'[1]팀별 출판사'!A:B,2,0)</f>
        <v>#N/A</v>
      </c>
      <c r="W5011" s="6">
        <f t="shared" si="156"/>
        <v>0</v>
      </c>
      <c r="X5011" s="6">
        <f t="shared" si="157"/>
        <v>0</v>
      </c>
    </row>
    <row r="5012" spans="22:24" x14ac:dyDescent="0.3">
      <c r="V5012" t="e">
        <f>VLOOKUP(H5012,'[1]팀별 출판사'!A:B,2,0)</f>
        <v>#N/A</v>
      </c>
      <c r="W5012" s="6">
        <f t="shared" si="156"/>
        <v>0</v>
      </c>
      <c r="X5012" s="6">
        <f t="shared" si="157"/>
        <v>0</v>
      </c>
    </row>
    <row r="5013" spans="22:24" x14ac:dyDescent="0.3">
      <c r="V5013" t="e">
        <f>VLOOKUP(H5013,'[1]팀별 출판사'!A:B,2,0)</f>
        <v>#N/A</v>
      </c>
      <c r="W5013" s="6">
        <f t="shared" si="156"/>
        <v>0</v>
      </c>
      <c r="X5013" s="6">
        <f t="shared" si="157"/>
        <v>0</v>
      </c>
    </row>
    <row r="5014" spans="22:24" x14ac:dyDescent="0.3">
      <c r="V5014" t="e">
        <f>VLOOKUP(H5014,'[1]팀별 출판사'!A:B,2,0)</f>
        <v>#N/A</v>
      </c>
      <c r="W5014" s="6">
        <f t="shared" si="156"/>
        <v>0</v>
      </c>
      <c r="X5014" s="6">
        <f t="shared" si="157"/>
        <v>0</v>
      </c>
    </row>
    <row r="5015" spans="22:24" x14ac:dyDescent="0.3">
      <c r="V5015" t="e">
        <f>VLOOKUP(H5015,'[1]팀별 출판사'!A:B,2,0)</f>
        <v>#N/A</v>
      </c>
      <c r="W5015" s="6">
        <f t="shared" si="156"/>
        <v>0</v>
      </c>
      <c r="X5015" s="6">
        <f t="shared" si="157"/>
        <v>0</v>
      </c>
    </row>
    <row r="5016" spans="22:24" x14ac:dyDescent="0.3">
      <c r="V5016" t="e">
        <f>VLOOKUP(H5016,'[1]팀별 출판사'!A:B,2,0)</f>
        <v>#N/A</v>
      </c>
      <c r="W5016" s="6">
        <f t="shared" si="156"/>
        <v>0</v>
      </c>
      <c r="X5016" s="6">
        <f t="shared" si="157"/>
        <v>0</v>
      </c>
    </row>
    <row r="5017" spans="22:24" x14ac:dyDescent="0.3">
      <c r="V5017" t="e">
        <f>VLOOKUP(H5017,'[1]팀별 출판사'!A:B,2,0)</f>
        <v>#N/A</v>
      </c>
      <c r="W5017" s="6">
        <f t="shared" si="156"/>
        <v>0</v>
      </c>
      <c r="X5017" s="6">
        <f t="shared" si="157"/>
        <v>0</v>
      </c>
    </row>
    <row r="5018" spans="22:24" x14ac:dyDescent="0.3">
      <c r="V5018" t="e">
        <f>VLOOKUP(H5018,'[1]팀별 출판사'!A:B,2,0)</f>
        <v>#N/A</v>
      </c>
      <c r="W5018" s="6">
        <f t="shared" si="156"/>
        <v>0</v>
      </c>
      <c r="X5018" s="6">
        <f t="shared" si="157"/>
        <v>0</v>
      </c>
    </row>
    <row r="5019" spans="22:24" x14ac:dyDescent="0.3">
      <c r="V5019" t="e">
        <f>VLOOKUP(H5019,'[1]팀별 출판사'!A:B,2,0)</f>
        <v>#N/A</v>
      </c>
      <c r="W5019" s="6">
        <f t="shared" si="156"/>
        <v>0</v>
      </c>
      <c r="X5019" s="6">
        <f t="shared" si="157"/>
        <v>0</v>
      </c>
    </row>
    <row r="5020" spans="22:24" x14ac:dyDescent="0.3">
      <c r="V5020" t="e">
        <f>VLOOKUP(H5020,'[1]팀별 출판사'!A:B,2,0)</f>
        <v>#N/A</v>
      </c>
      <c r="W5020" s="6">
        <f t="shared" si="156"/>
        <v>0</v>
      </c>
      <c r="X5020" s="6">
        <f t="shared" si="157"/>
        <v>0</v>
      </c>
    </row>
    <row r="5021" spans="22:24" x14ac:dyDescent="0.3">
      <c r="V5021" t="e">
        <f>VLOOKUP(H5021,'[1]팀별 출판사'!A:B,2,0)</f>
        <v>#N/A</v>
      </c>
      <c r="W5021" s="6">
        <f t="shared" si="156"/>
        <v>0</v>
      </c>
      <c r="X5021" s="6">
        <f t="shared" si="157"/>
        <v>0</v>
      </c>
    </row>
    <row r="5022" spans="22:24" x14ac:dyDescent="0.3">
      <c r="V5022" t="e">
        <f>VLOOKUP(H5022,'[1]팀별 출판사'!A:B,2,0)</f>
        <v>#N/A</v>
      </c>
      <c r="W5022" s="6">
        <f t="shared" si="156"/>
        <v>0</v>
      </c>
      <c r="X5022" s="6">
        <f t="shared" si="157"/>
        <v>0</v>
      </c>
    </row>
    <row r="5023" spans="22:24" x14ac:dyDescent="0.3">
      <c r="V5023" t="e">
        <f>VLOOKUP(H5023,'[1]팀별 출판사'!A:B,2,0)</f>
        <v>#N/A</v>
      </c>
      <c r="W5023" s="6">
        <f t="shared" si="156"/>
        <v>0</v>
      </c>
      <c r="X5023" s="6">
        <f t="shared" si="157"/>
        <v>0</v>
      </c>
    </row>
    <row r="5024" spans="22:24" x14ac:dyDescent="0.3">
      <c r="V5024" t="e">
        <f>VLOOKUP(H5024,'[1]팀별 출판사'!A:B,2,0)</f>
        <v>#N/A</v>
      </c>
      <c r="W5024" s="6">
        <f t="shared" si="156"/>
        <v>0</v>
      </c>
      <c r="X5024" s="6">
        <f t="shared" si="157"/>
        <v>0</v>
      </c>
    </row>
    <row r="5025" spans="22:24" x14ac:dyDescent="0.3">
      <c r="V5025" t="e">
        <f>VLOOKUP(H5025,'[1]팀별 출판사'!A:B,2,0)</f>
        <v>#N/A</v>
      </c>
      <c r="W5025" s="6">
        <f t="shared" si="156"/>
        <v>0</v>
      </c>
      <c r="X5025" s="6">
        <f t="shared" si="157"/>
        <v>0</v>
      </c>
    </row>
    <row r="5026" spans="22:24" x14ac:dyDescent="0.3">
      <c r="V5026" t="e">
        <f>VLOOKUP(H5026,'[1]팀별 출판사'!A:B,2,0)</f>
        <v>#N/A</v>
      </c>
      <c r="W5026" s="6">
        <f t="shared" si="156"/>
        <v>0</v>
      </c>
      <c r="X5026" s="6">
        <f t="shared" si="157"/>
        <v>0</v>
      </c>
    </row>
    <row r="5027" spans="22:24" x14ac:dyDescent="0.3">
      <c r="V5027" t="e">
        <f>VLOOKUP(H5027,'[1]팀별 출판사'!A:B,2,0)</f>
        <v>#N/A</v>
      </c>
      <c r="W5027" s="6">
        <f t="shared" si="156"/>
        <v>0</v>
      </c>
      <c r="X5027" s="6">
        <f t="shared" si="157"/>
        <v>0</v>
      </c>
    </row>
    <row r="5028" spans="22:24" x14ac:dyDescent="0.3">
      <c r="V5028" t="e">
        <f>VLOOKUP(H5028,'[1]팀별 출판사'!A:B,2,0)</f>
        <v>#N/A</v>
      </c>
      <c r="W5028" s="6">
        <f t="shared" si="156"/>
        <v>0</v>
      </c>
      <c r="X5028" s="6">
        <f t="shared" si="157"/>
        <v>0</v>
      </c>
    </row>
    <row r="5029" spans="22:24" x14ac:dyDescent="0.3">
      <c r="V5029" t="e">
        <f>VLOOKUP(H5029,'[1]팀별 출판사'!A:B,2,0)</f>
        <v>#N/A</v>
      </c>
      <c r="W5029" s="6">
        <f t="shared" si="156"/>
        <v>0</v>
      </c>
      <c r="X5029" s="6">
        <f t="shared" si="157"/>
        <v>0</v>
      </c>
    </row>
    <row r="5030" spans="22:24" x14ac:dyDescent="0.3">
      <c r="V5030" t="e">
        <f>VLOOKUP(H5030,'[1]팀별 출판사'!A:B,2,0)</f>
        <v>#N/A</v>
      </c>
      <c r="W5030" s="6">
        <f t="shared" si="156"/>
        <v>0</v>
      </c>
      <c r="X5030" s="6">
        <f t="shared" si="157"/>
        <v>0</v>
      </c>
    </row>
    <row r="5031" spans="22:24" x14ac:dyDescent="0.3">
      <c r="V5031" t="e">
        <f>VLOOKUP(H5031,'[1]팀별 출판사'!A:B,2,0)</f>
        <v>#N/A</v>
      </c>
      <c r="W5031" s="6">
        <f t="shared" si="156"/>
        <v>0</v>
      </c>
      <c r="X5031" s="6">
        <f t="shared" si="157"/>
        <v>0</v>
      </c>
    </row>
    <row r="5032" spans="22:24" x14ac:dyDescent="0.3">
      <c r="V5032" t="e">
        <f>VLOOKUP(H5032,'[1]팀별 출판사'!A:B,2,0)</f>
        <v>#N/A</v>
      </c>
      <c r="W5032" s="6">
        <f t="shared" si="156"/>
        <v>0</v>
      </c>
      <c r="X5032" s="6">
        <f t="shared" si="157"/>
        <v>0</v>
      </c>
    </row>
    <row r="5033" spans="22:24" x14ac:dyDescent="0.3">
      <c r="V5033" t="e">
        <f>VLOOKUP(H5033,'[1]팀별 출판사'!A:B,2,0)</f>
        <v>#N/A</v>
      </c>
      <c r="W5033" s="6">
        <f t="shared" si="156"/>
        <v>0</v>
      </c>
      <c r="X5033" s="6">
        <f t="shared" si="157"/>
        <v>0</v>
      </c>
    </row>
    <row r="5034" spans="22:24" x14ac:dyDescent="0.3">
      <c r="V5034" t="e">
        <f>VLOOKUP(H5034,'[1]팀별 출판사'!A:B,2,0)</f>
        <v>#N/A</v>
      </c>
      <c r="W5034" s="6">
        <f t="shared" si="156"/>
        <v>0</v>
      </c>
      <c r="X5034" s="6">
        <f t="shared" si="157"/>
        <v>0</v>
      </c>
    </row>
    <row r="5035" spans="22:24" x14ac:dyDescent="0.3">
      <c r="V5035" t="e">
        <f>VLOOKUP(H5035,'[1]팀별 출판사'!A:B,2,0)</f>
        <v>#N/A</v>
      </c>
      <c r="W5035" s="6">
        <f t="shared" si="156"/>
        <v>0</v>
      </c>
      <c r="X5035" s="6">
        <f t="shared" si="157"/>
        <v>0</v>
      </c>
    </row>
    <row r="5036" spans="22:24" x14ac:dyDescent="0.3">
      <c r="V5036" t="e">
        <f>VLOOKUP(H5036,'[1]팀별 출판사'!A:B,2,0)</f>
        <v>#N/A</v>
      </c>
      <c r="W5036" s="6">
        <f t="shared" si="156"/>
        <v>0</v>
      </c>
      <c r="X5036" s="6">
        <f t="shared" si="157"/>
        <v>0</v>
      </c>
    </row>
    <row r="5037" spans="22:24" x14ac:dyDescent="0.3">
      <c r="V5037" t="e">
        <f>VLOOKUP(H5037,'[1]팀별 출판사'!A:B,2,0)</f>
        <v>#N/A</v>
      </c>
      <c r="W5037" s="6">
        <f t="shared" si="156"/>
        <v>0</v>
      </c>
      <c r="X5037" s="6">
        <f t="shared" si="157"/>
        <v>0</v>
      </c>
    </row>
    <row r="5038" spans="22:24" x14ac:dyDescent="0.3">
      <c r="V5038" t="e">
        <f>VLOOKUP(H5038,'[1]팀별 출판사'!A:B,2,0)</f>
        <v>#N/A</v>
      </c>
      <c r="W5038" s="6">
        <f t="shared" si="156"/>
        <v>0</v>
      </c>
      <c r="X5038" s="6">
        <f t="shared" si="157"/>
        <v>0</v>
      </c>
    </row>
    <row r="5039" spans="22:24" x14ac:dyDescent="0.3">
      <c r="V5039" t="e">
        <f>VLOOKUP(H5039,'[1]팀별 출판사'!A:B,2,0)</f>
        <v>#N/A</v>
      </c>
      <c r="W5039" s="6">
        <f t="shared" si="156"/>
        <v>0</v>
      </c>
      <c r="X5039" s="6">
        <f t="shared" si="157"/>
        <v>0</v>
      </c>
    </row>
    <row r="5040" spans="22:24" x14ac:dyDescent="0.3">
      <c r="V5040" t="e">
        <f>VLOOKUP(H5040,'[1]팀별 출판사'!A:B,2,0)</f>
        <v>#N/A</v>
      </c>
      <c r="W5040" s="6">
        <f t="shared" si="156"/>
        <v>0</v>
      </c>
      <c r="X5040" s="6">
        <f t="shared" si="157"/>
        <v>0</v>
      </c>
    </row>
    <row r="5041" spans="22:24" x14ac:dyDescent="0.3">
      <c r="V5041" t="e">
        <f>VLOOKUP(H5041,'[1]팀별 출판사'!A:B,2,0)</f>
        <v>#N/A</v>
      </c>
      <c r="W5041" s="6">
        <f t="shared" si="156"/>
        <v>0</v>
      </c>
      <c r="X5041" s="6">
        <f t="shared" si="157"/>
        <v>0</v>
      </c>
    </row>
    <row r="5042" spans="22:24" x14ac:dyDescent="0.3">
      <c r="V5042" t="e">
        <f>VLOOKUP(H5042,'[1]팀별 출판사'!A:B,2,0)</f>
        <v>#N/A</v>
      </c>
      <c r="W5042" s="6">
        <f t="shared" si="156"/>
        <v>0</v>
      </c>
      <c r="X5042" s="6">
        <f t="shared" si="157"/>
        <v>0</v>
      </c>
    </row>
    <row r="5043" spans="22:24" x14ac:dyDescent="0.3">
      <c r="V5043" t="e">
        <f>VLOOKUP(H5043,'[1]팀별 출판사'!A:B,2,0)</f>
        <v>#N/A</v>
      </c>
      <c r="W5043" s="6">
        <f t="shared" si="156"/>
        <v>0</v>
      </c>
      <c r="X5043" s="6">
        <f t="shared" si="157"/>
        <v>0</v>
      </c>
    </row>
    <row r="5044" spans="22:24" x14ac:dyDescent="0.3">
      <c r="V5044" t="e">
        <f>VLOOKUP(H5044,'[1]팀별 출판사'!A:B,2,0)</f>
        <v>#N/A</v>
      </c>
      <c r="W5044" s="6">
        <f t="shared" si="156"/>
        <v>0</v>
      </c>
      <c r="X5044" s="6">
        <f t="shared" si="157"/>
        <v>0</v>
      </c>
    </row>
    <row r="5045" spans="22:24" x14ac:dyDescent="0.3">
      <c r="V5045" t="e">
        <f>VLOOKUP(H5045,'[1]팀별 출판사'!A:B,2,0)</f>
        <v>#N/A</v>
      </c>
      <c r="W5045" s="6">
        <f t="shared" si="156"/>
        <v>0</v>
      </c>
      <c r="X5045" s="6">
        <f t="shared" si="157"/>
        <v>0</v>
      </c>
    </row>
    <row r="5046" spans="22:24" x14ac:dyDescent="0.3">
      <c r="V5046" t="e">
        <f>VLOOKUP(H5046,'[1]팀별 출판사'!A:B,2,0)</f>
        <v>#N/A</v>
      </c>
      <c r="W5046" s="6">
        <f t="shared" si="156"/>
        <v>0</v>
      </c>
      <c r="X5046" s="6">
        <f t="shared" si="157"/>
        <v>0</v>
      </c>
    </row>
    <row r="5047" spans="22:24" x14ac:dyDescent="0.3">
      <c r="V5047" t="e">
        <f>VLOOKUP(H5047,'[1]팀별 출판사'!A:B,2,0)</f>
        <v>#N/A</v>
      </c>
      <c r="W5047" s="6">
        <f t="shared" si="156"/>
        <v>0</v>
      </c>
      <c r="X5047" s="6">
        <f t="shared" si="157"/>
        <v>0</v>
      </c>
    </row>
    <row r="5048" spans="22:24" x14ac:dyDescent="0.3">
      <c r="V5048" t="e">
        <f>VLOOKUP(H5048,'[1]팀별 출판사'!A:B,2,0)</f>
        <v>#N/A</v>
      </c>
      <c r="W5048" s="6">
        <f t="shared" si="156"/>
        <v>0</v>
      </c>
      <c r="X5048" s="6">
        <f t="shared" si="157"/>
        <v>0</v>
      </c>
    </row>
    <row r="5049" spans="22:24" x14ac:dyDescent="0.3">
      <c r="V5049" t="e">
        <f>VLOOKUP(H5049,'[1]팀별 출판사'!A:B,2,0)</f>
        <v>#N/A</v>
      </c>
      <c r="W5049" s="6">
        <f t="shared" si="156"/>
        <v>0</v>
      </c>
      <c r="X5049" s="6">
        <f t="shared" si="157"/>
        <v>0</v>
      </c>
    </row>
    <row r="5050" spans="22:24" x14ac:dyDescent="0.3">
      <c r="V5050" t="e">
        <f>VLOOKUP(H5050,'[1]팀별 출판사'!A:B,2,0)</f>
        <v>#N/A</v>
      </c>
      <c r="W5050" s="6">
        <f t="shared" si="156"/>
        <v>0</v>
      </c>
      <c r="X5050" s="6">
        <f t="shared" si="157"/>
        <v>0</v>
      </c>
    </row>
    <row r="5051" spans="22:24" x14ac:dyDescent="0.3">
      <c r="V5051" t="e">
        <f>VLOOKUP(H5051,'[1]팀별 출판사'!A:B,2,0)</f>
        <v>#N/A</v>
      </c>
      <c r="W5051" s="6">
        <f t="shared" si="156"/>
        <v>0</v>
      </c>
      <c r="X5051" s="6">
        <f t="shared" si="157"/>
        <v>0</v>
      </c>
    </row>
    <row r="5052" spans="22:24" x14ac:dyDescent="0.3">
      <c r="V5052" t="e">
        <f>VLOOKUP(H5052,'[1]팀별 출판사'!A:B,2,0)</f>
        <v>#N/A</v>
      </c>
      <c r="W5052" s="6">
        <f t="shared" si="156"/>
        <v>0</v>
      </c>
      <c r="X5052" s="6">
        <f t="shared" si="157"/>
        <v>0</v>
      </c>
    </row>
    <row r="5053" spans="22:24" x14ac:dyDescent="0.3">
      <c r="V5053" t="e">
        <f>VLOOKUP(H5053,'[1]팀별 출판사'!A:B,2,0)</f>
        <v>#N/A</v>
      </c>
      <c r="W5053" s="6">
        <f t="shared" si="156"/>
        <v>0</v>
      </c>
      <c r="X5053" s="6">
        <f t="shared" si="157"/>
        <v>0</v>
      </c>
    </row>
    <row r="5054" spans="22:24" x14ac:dyDescent="0.3">
      <c r="V5054" t="e">
        <f>VLOOKUP(H5054,'[1]팀별 출판사'!A:B,2,0)</f>
        <v>#N/A</v>
      </c>
      <c r="W5054" s="6">
        <f t="shared" si="156"/>
        <v>0</v>
      </c>
      <c r="X5054" s="6">
        <f t="shared" si="157"/>
        <v>0</v>
      </c>
    </row>
    <row r="5055" spans="22:24" x14ac:dyDescent="0.3">
      <c r="V5055" t="e">
        <f>VLOOKUP(H5055,'[1]팀별 출판사'!A:B,2,0)</f>
        <v>#N/A</v>
      </c>
      <c r="W5055" s="6">
        <f t="shared" si="156"/>
        <v>0</v>
      </c>
      <c r="X5055" s="6">
        <f t="shared" si="157"/>
        <v>0</v>
      </c>
    </row>
    <row r="5056" spans="22:24" x14ac:dyDescent="0.3">
      <c r="V5056" t="e">
        <f>VLOOKUP(H5056,'[1]팀별 출판사'!A:B,2,0)</f>
        <v>#N/A</v>
      </c>
      <c r="W5056" s="6">
        <f t="shared" si="156"/>
        <v>0</v>
      </c>
      <c r="X5056" s="6">
        <f t="shared" si="157"/>
        <v>0</v>
      </c>
    </row>
    <row r="5057" spans="22:24" x14ac:dyDescent="0.3">
      <c r="V5057" t="e">
        <f>VLOOKUP(H5057,'[1]팀별 출판사'!A:B,2,0)</f>
        <v>#N/A</v>
      </c>
      <c r="W5057" s="6">
        <f t="shared" si="156"/>
        <v>0</v>
      </c>
      <c r="X5057" s="6">
        <f t="shared" si="157"/>
        <v>0</v>
      </c>
    </row>
    <row r="5058" spans="22:24" x14ac:dyDescent="0.3">
      <c r="V5058" t="e">
        <f>VLOOKUP(H5058,'[1]팀별 출판사'!A:B,2,0)</f>
        <v>#N/A</v>
      </c>
      <c r="W5058" s="6">
        <f t="shared" ref="W5058:W5121" si="158">IF(P5058="US", T5058*30%, 0)</f>
        <v>0</v>
      </c>
      <c r="X5058" s="6">
        <f t="shared" ref="X5058:X5121" si="159">T5058-W5058</f>
        <v>0</v>
      </c>
    </row>
    <row r="5059" spans="22:24" x14ac:dyDescent="0.3">
      <c r="V5059" t="e">
        <f>VLOOKUP(H5059,'[1]팀별 출판사'!A:B,2,0)</f>
        <v>#N/A</v>
      </c>
      <c r="W5059" s="6">
        <f t="shared" si="158"/>
        <v>0</v>
      </c>
      <c r="X5059" s="6">
        <f t="shared" si="159"/>
        <v>0</v>
      </c>
    </row>
    <row r="5060" spans="22:24" x14ac:dyDescent="0.3">
      <c r="V5060" t="e">
        <f>VLOOKUP(H5060,'[1]팀별 출판사'!A:B,2,0)</f>
        <v>#N/A</v>
      </c>
      <c r="W5060" s="6">
        <f t="shared" si="158"/>
        <v>0</v>
      </c>
      <c r="X5060" s="6">
        <f t="shared" si="159"/>
        <v>0</v>
      </c>
    </row>
    <row r="5061" spans="22:24" x14ac:dyDescent="0.3">
      <c r="V5061" t="e">
        <f>VLOOKUP(H5061,'[1]팀별 출판사'!A:B,2,0)</f>
        <v>#N/A</v>
      </c>
      <c r="W5061" s="6">
        <f t="shared" si="158"/>
        <v>0</v>
      </c>
      <c r="X5061" s="6">
        <f t="shared" si="159"/>
        <v>0</v>
      </c>
    </row>
    <row r="5062" spans="22:24" x14ac:dyDescent="0.3">
      <c r="V5062" t="e">
        <f>VLOOKUP(H5062,'[1]팀별 출판사'!A:B,2,0)</f>
        <v>#N/A</v>
      </c>
      <c r="W5062" s="6">
        <f t="shared" si="158"/>
        <v>0</v>
      </c>
      <c r="X5062" s="6">
        <f t="shared" si="159"/>
        <v>0</v>
      </c>
    </row>
    <row r="5063" spans="22:24" x14ac:dyDescent="0.3">
      <c r="V5063" t="e">
        <f>VLOOKUP(H5063,'[1]팀별 출판사'!A:B,2,0)</f>
        <v>#N/A</v>
      </c>
      <c r="W5063" s="6">
        <f t="shared" si="158"/>
        <v>0</v>
      </c>
      <c r="X5063" s="6">
        <f t="shared" si="159"/>
        <v>0</v>
      </c>
    </row>
    <row r="5064" spans="22:24" x14ac:dyDescent="0.3">
      <c r="V5064" t="e">
        <f>VLOOKUP(H5064,'[1]팀별 출판사'!A:B,2,0)</f>
        <v>#N/A</v>
      </c>
      <c r="W5064" s="6">
        <f t="shared" si="158"/>
        <v>0</v>
      </c>
      <c r="X5064" s="6">
        <f t="shared" si="159"/>
        <v>0</v>
      </c>
    </row>
    <row r="5065" spans="22:24" x14ac:dyDescent="0.3">
      <c r="V5065" t="e">
        <f>VLOOKUP(H5065,'[1]팀별 출판사'!A:B,2,0)</f>
        <v>#N/A</v>
      </c>
      <c r="W5065" s="6">
        <f t="shared" si="158"/>
        <v>0</v>
      </c>
      <c r="X5065" s="6">
        <f t="shared" si="159"/>
        <v>0</v>
      </c>
    </row>
    <row r="5066" spans="22:24" x14ac:dyDescent="0.3">
      <c r="V5066" t="e">
        <f>VLOOKUP(H5066,'[1]팀별 출판사'!A:B,2,0)</f>
        <v>#N/A</v>
      </c>
      <c r="W5066" s="6">
        <f t="shared" si="158"/>
        <v>0</v>
      </c>
      <c r="X5066" s="6">
        <f t="shared" si="159"/>
        <v>0</v>
      </c>
    </row>
    <row r="5067" spans="22:24" x14ac:dyDescent="0.3">
      <c r="V5067" t="e">
        <f>VLOOKUP(H5067,'[1]팀별 출판사'!A:B,2,0)</f>
        <v>#N/A</v>
      </c>
      <c r="W5067" s="6">
        <f t="shared" si="158"/>
        <v>0</v>
      </c>
      <c r="X5067" s="6">
        <f t="shared" si="159"/>
        <v>0</v>
      </c>
    </row>
    <row r="5068" spans="22:24" x14ac:dyDescent="0.3">
      <c r="V5068" t="e">
        <f>VLOOKUP(H5068,'[1]팀별 출판사'!A:B,2,0)</f>
        <v>#N/A</v>
      </c>
      <c r="W5068" s="6">
        <f t="shared" si="158"/>
        <v>0</v>
      </c>
      <c r="X5068" s="6">
        <f t="shared" si="159"/>
        <v>0</v>
      </c>
    </row>
    <row r="5069" spans="22:24" x14ac:dyDescent="0.3">
      <c r="V5069" t="e">
        <f>VLOOKUP(H5069,'[1]팀별 출판사'!A:B,2,0)</f>
        <v>#N/A</v>
      </c>
      <c r="W5069" s="6">
        <f t="shared" si="158"/>
        <v>0</v>
      </c>
      <c r="X5069" s="6">
        <f t="shared" si="159"/>
        <v>0</v>
      </c>
    </row>
    <row r="5070" spans="22:24" x14ac:dyDescent="0.3">
      <c r="V5070" t="e">
        <f>VLOOKUP(H5070,'[1]팀별 출판사'!A:B,2,0)</f>
        <v>#N/A</v>
      </c>
      <c r="W5070" s="6">
        <f t="shared" si="158"/>
        <v>0</v>
      </c>
      <c r="X5070" s="6">
        <f t="shared" si="159"/>
        <v>0</v>
      </c>
    </row>
    <row r="5071" spans="22:24" x14ac:dyDescent="0.3">
      <c r="V5071" t="e">
        <f>VLOOKUP(H5071,'[1]팀별 출판사'!A:B,2,0)</f>
        <v>#N/A</v>
      </c>
      <c r="W5071" s="6">
        <f t="shared" si="158"/>
        <v>0</v>
      </c>
      <c r="X5071" s="6">
        <f t="shared" si="159"/>
        <v>0</v>
      </c>
    </row>
    <row r="5072" spans="22:24" x14ac:dyDescent="0.3">
      <c r="V5072" t="e">
        <f>VLOOKUP(H5072,'[1]팀별 출판사'!A:B,2,0)</f>
        <v>#N/A</v>
      </c>
      <c r="W5072" s="6">
        <f t="shared" si="158"/>
        <v>0</v>
      </c>
      <c r="X5072" s="6">
        <f t="shared" si="159"/>
        <v>0</v>
      </c>
    </row>
    <row r="5073" spans="22:24" x14ac:dyDescent="0.3">
      <c r="V5073" t="e">
        <f>VLOOKUP(H5073,'[1]팀별 출판사'!A:B,2,0)</f>
        <v>#N/A</v>
      </c>
      <c r="W5073" s="6">
        <f t="shared" si="158"/>
        <v>0</v>
      </c>
      <c r="X5073" s="6">
        <f t="shared" si="159"/>
        <v>0</v>
      </c>
    </row>
    <row r="5074" spans="22:24" x14ac:dyDescent="0.3">
      <c r="V5074" t="e">
        <f>VLOOKUP(H5074,'[1]팀별 출판사'!A:B,2,0)</f>
        <v>#N/A</v>
      </c>
      <c r="W5074" s="6">
        <f t="shared" si="158"/>
        <v>0</v>
      </c>
      <c r="X5074" s="6">
        <f t="shared" si="159"/>
        <v>0</v>
      </c>
    </row>
    <row r="5075" spans="22:24" x14ac:dyDescent="0.3">
      <c r="V5075" t="e">
        <f>VLOOKUP(H5075,'[1]팀별 출판사'!A:B,2,0)</f>
        <v>#N/A</v>
      </c>
      <c r="W5075" s="6">
        <f t="shared" si="158"/>
        <v>0</v>
      </c>
      <c r="X5075" s="6">
        <f t="shared" si="159"/>
        <v>0</v>
      </c>
    </row>
    <row r="5076" spans="22:24" x14ac:dyDescent="0.3">
      <c r="V5076" t="e">
        <f>VLOOKUP(H5076,'[1]팀별 출판사'!A:B,2,0)</f>
        <v>#N/A</v>
      </c>
      <c r="W5076" s="6">
        <f t="shared" si="158"/>
        <v>0</v>
      </c>
      <c r="X5076" s="6">
        <f t="shared" si="159"/>
        <v>0</v>
      </c>
    </row>
    <row r="5077" spans="22:24" x14ac:dyDescent="0.3">
      <c r="V5077" t="e">
        <f>VLOOKUP(H5077,'[1]팀별 출판사'!A:B,2,0)</f>
        <v>#N/A</v>
      </c>
      <c r="W5077" s="6">
        <f t="shared" si="158"/>
        <v>0</v>
      </c>
      <c r="X5077" s="6">
        <f t="shared" si="159"/>
        <v>0</v>
      </c>
    </row>
    <row r="5078" spans="22:24" x14ac:dyDescent="0.3">
      <c r="V5078" t="e">
        <f>VLOOKUP(H5078,'[1]팀별 출판사'!A:B,2,0)</f>
        <v>#N/A</v>
      </c>
      <c r="W5078" s="6">
        <f t="shared" si="158"/>
        <v>0</v>
      </c>
      <c r="X5078" s="6">
        <f t="shared" si="159"/>
        <v>0</v>
      </c>
    </row>
    <row r="5079" spans="22:24" x14ac:dyDescent="0.3">
      <c r="V5079" t="e">
        <f>VLOOKUP(H5079,'[1]팀별 출판사'!A:B,2,0)</f>
        <v>#N/A</v>
      </c>
      <c r="W5079" s="6">
        <f t="shared" si="158"/>
        <v>0</v>
      </c>
      <c r="X5079" s="6">
        <f t="shared" si="159"/>
        <v>0</v>
      </c>
    </row>
    <row r="5080" spans="22:24" x14ac:dyDescent="0.3">
      <c r="V5080" t="e">
        <f>VLOOKUP(H5080,'[1]팀별 출판사'!A:B,2,0)</f>
        <v>#N/A</v>
      </c>
      <c r="W5080" s="6">
        <f t="shared" si="158"/>
        <v>0</v>
      </c>
      <c r="X5080" s="6">
        <f t="shared" si="159"/>
        <v>0</v>
      </c>
    </row>
    <row r="5081" spans="22:24" x14ac:dyDescent="0.3">
      <c r="V5081" t="e">
        <f>VLOOKUP(H5081,'[1]팀별 출판사'!A:B,2,0)</f>
        <v>#N/A</v>
      </c>
      <c r="W5081" s="6">
        <f t="shared" si="158"/>
        <v>0</v>
      </c>
      <c r="X5081" s="6">
        <f t="shared" si="159"/>
        <v>0</v>
      </c>
    </row>
    <row r="5082" spans="22:24" x14ac:dyDescent="0.3">
      <c r="V5082" t="e">
        <f>VLOOKUP(H5082,'[1]팀별 출판사'!A:B,2,0)</f>
        <v>#N/A</v>
      </c>
      <c r="W5082" s="6">
        <f t="shared" si="158"/>
        <v>0</v>
      </c>
      <c r="X5082" s="6">
        <f t="shared" si="159"/>
        <v>0</v>
      </c>
    </row>
    <row r="5083" spans="22:24" x14ac:dyDescent="0.3">
      <c r="V5083" t="e">
        <f>VLOOKUP(H5083,'[1]팀별 출판사'!A:B,2,0)</f>
        <v>#N/A</v>
      </c>
      <c r="W5083" s="6">
        <f t="shared" si="158"/>
        <v>0</v>
      </c>
      <c r="X5083" s="6">
        <f t="shared" si="159"/>
        <v>0</v>
      </c>
    </row>
    <row r="5084" spans="22:24" x14ac:dyDescent="0.3">
      <c r="V5084" t="e">
        <f>VLOOKUP(H5084,'[1]팀별 출판사'!A:B,2,0)</f>
        <v>#N/A</v>
      </c>
      <c r="W5084" s="6">
        <f t="shared" si="158"/>
        <v>0</v>
      </c>
      <c r="X5084" s="6">
        <f t="shared" si="159"/>
        <v>0</v>
      </c>
    </row>
    <row r="5085" spans="22:24" x14ac:dyDescent="0.3">
      <c r="V5085" t="e">
        <f>VLOOKUP(H5085,'[1]팀별 출판사'!A:B,2,0)</f>
        <v>#N/A</v>
      </c>
      <c r="W5085" s="6">
        <f t="shared" si="158"/>
        <v>0</v>
      </c>
      <c r="X5085" s="6">
        <f t="shared" si="159"/>
        <v>0</v>
      </c>
    </row>
    <row r="5086" spans="22:24" x14ac:dyDescent="0.3">
      <c r="V5086" t="e">
        <f>VLOOKUP(H5086,'[1]팀별 출판사'!A:B,2,0)</f>
        <v>#N/A</v>
      </c>
      <c r="W5086" s="6">
        <f t="shared" si="158"/>
        <v>0</v>
      </c>
      <c r="X5086" s="6">
        <f t="shared" si="159"/>
        <v>0</v>
      </c>
    </row>
    <row r="5087" spans="22:24" x14ac:dyDescent="0.3">
      <c r="V5087" t="e">
        <f>VLOOKUP(H5087,'[1]팀별 출판사'!A:B,2,0)</f>
        <v>#N/A</v>
      </c>
      <c r="W5087" s="6">
        <f t="shared" si="158"/>
        <v>0</v>
      </c>
      <c r="X5087" s="6">
        <f t="shared" si="159"/>
        <v>0</v>
      </c>
    </row>
    <row r="5088" spans="22:24" x14ac:dyDescent="0.3">
      <c r="V5088" t="e">
        <f>VLOOKUP(H5088,'[1]팀별 출판사'!A:B,2,0)</f>
        <v>#N/A</v>
      </c>
      <c r="W5088" s="6">
        <f t="shared" si="158"/>
        <v>0</v>
      </c>
      <c r="X5088" s="6">
        <f t="shared" si="159"/>
        <v>0</v>
      </c>
    </row>
    <row r="5089" spans="22:24" x14ac:dyDescent="0.3">
      <c r="V5089" t="e">
        <f>VLOOKUP(H5089,'[1]팀별 출판사'!A:B,2,0)</f>
        <v>#N/A</v>
      </c>
      <c r="W5089" s="6">
        <f t="shared" si="158"/>
        <v>0</v>
      </c>
      <c r="X5089" s="6">
        <f t="shared" si="159"/>
        <v>0</v>
      </c>
    </row>
    <row r="5090" spans="22:24" x14ac:dyDescent="0.3">
      <c r="V5090" t="e">
        <f>VLOOKUP(H5090,'[1]팀별 출판사'!A:B,2,0)</f>
        <v>#N/A</v>
      </c>
      <c r="W5090" s="6">
        <f t="shared" si="158"/>
        <v>0</v>
      </c>
      <c r="X5090" s="6">
        <f t="shared" si="159"/>
        <v>0</v>
      </c>
    </row>
    <row r="5091" spans="22:24" x14ac:dyDescent="0.3">
      <c r="V5091" t="e">
        <f>VLOOKUP(H5091,'[1]팀별 출판사'!A:B,2,0)</f>
        <v>#N/A</v>
      </c>
      <c r="W5091" s="6">
        <f t="shared" si="158"/>
        <v>0</v>
      </c>
      <c r="X5091" s="6">
        <f t="shared" si="159"/>
        <v>0</v>
      </c>
    </row>
    <row r="5092" spans="22:24" x14ac:dyDescent="0.3">
      <c r="V5092" t="e">
        <f>VLOOKUP(H5092,'[1]팀별 출판사'!A:B,2,0)</f>
        <v>#N/A</v>
      </c>
      <c r="W5092" s="6">
        <f t="shared" si="158"/>
        <v>0</v>
      </c>
      <c r="X5092" s="6">
        <f t="shared" si="159"/>
        <v>0</v>
      </c>
    </row>
    <row r="5093" spans="22:24" x14ac:dyDescent="0.3">
      <c r="V5093" t="e">
        <f>VLOOKUP(H5093,'[1]팀별 출판사'!A:B,2,0)</f>
        <v>#N/A</v>
      </c>
      <c r="W5093" s="6">
        <f t="shared" si="158"/>
        <v>0</v>
      </c>
      <c r="X5093" s="6">
        <f t="shared" si="159"/>
        <v>0</v>
      </c>
    </row>
    <row r="5094" spans="22:24" x14ac:dyDescent="0.3">
      <c r="V5094" t="e">
        <f>VLOOKUP(H5094,'[1]팀별 출판사'!A:B,2,0)</f>
        <v>#N/A</v>
      </c>
      <c r="W5094" s="6">
        <f t="shared" si="158"/>
        <v>0</v>
      </c>
      <c r="X5094" s="6">
        <f t="shared" si="159"/>
        <v>0</v>
      </c>
    </row>
    <row r="5095" spans="22:24" x14ac:dyDescent="0.3">
      <c r="V5095" t="e">
        <f>VLOOKUP(H5095,'[1]팀별 출판사'!A:B,2,0)</f>
        <v>#N/A</v>
      </c>
      <c r="W5095" s="6">
        <f t="shared" si="158"/>
        <v>0</v>
      </c>
      <c r="X5095" s="6">
        <f t="shared" si="159"/>
        <v>0</v>
      </c>
    </row>
    <row r="5096" spans="22:24" x14ac:dyDescent="0.3">
      <c r="V5096" t="e">
        <f>VLOOKUP(H5096,'[1]팀별 출판사'!A:B,2,0)</f>
        <v>#N/A</v>
      </c>
      <c r="W5096" s="6">
        <f t="shared" si="158"/>
        <v>0</v>
      </c>
      <c r="X5096" s="6">
        <f t="shared" si="159"/>
        <v>0</v>
      </c>
    </row>
    <row r="5097" spans="22:24" x14ac:dyDescent="0.3">
      <c r="V5097" t="e">
        <f>VLOOKUP(H5097,'[1]팀별 출판사'!A:B,2,0)</f>
        <v>#N/A</v>
      </c>
      <c r="W5097" s="6">
        <f t="shared" si="158"/>
        <v>0</v>
      </c>
      <c r="X5097" s="6">
        <f t="shared" si="159"/>
        <v>0</v>
      </c>
    </row>
    <row r="5098" spans="22:24" x14ac:dyDescent="0.3">
      <c r="V5098" t="e">
        <f>VLOOKUP(H5098,'[1]팀별 출판사'!A:B,2,0)</f>
        <v>#N/A</v>
      </c>
      <c r="W5098" s="6">
        <f t="shared" si="158"/>
        <v>0</v>
      </c>
      <c r="X5098" s="6">
        <f t="shared" si="159"/>
        <v>0</v>
      </c>
    </row>
    <row r="5099" spans="22:24" x14ac:dyDescent="0.3">
      <c r="V5099" t="e">
        <f>VLOOKUP(H5099,'[1]팀별 출판사'!A:B,2,0)</f>
        <v>#N/A</v>
      </c>
      <c r="W5099" s="6">
        <f t="shared" si="158"/>
        <v>0</v>
      </c>
      <c r="X5099" s="6">
        <f t="shared" si="159"/>
        <v>0</v>
      </c>
    </row>
    <row r="5100" spans="22:24" x14ac:dyDescent="0.3">
      <c r="V5100" t="e">
        <f>VLOOKUP(H5100,'[1]팀별 출판사'!A:B,2,0)</f>
        <v>#N/A</v>
      </c>
      <c r="W5100" s="6">
        <f t="shared" si="158"/>
        <v>0</v>
      </c>
      <c r="X5100" s="6">
        <f t="shared" si="159"/>
        <v>0</v>
      </c>
    </row>
    <row r="5101" spans="22:24" x14ac:dyDescent="0.3">
      <c r="V5101" t="e">
        <f>VLOOKUP(H5101,'[1]팀별 출판사'!A:B,2,0)</f>
        <v>#N/A</v>
      </c>
      <c r="W5101" s="6">
        <f t="shared" si="158"/>
        <v>0</v>
      </c>
      <c r="X5101" s="6">
        <f t="shared" si="159"/>
        <v>0</v>
      </c>
    </row>
    <row r="5102" spans="22:24" x14ac:dyDescent="0.3">
      <c r="V5102" t="e">
        <f>VLOOKUP(H5102,'[1]팀별 출판사'!A:B,2,0)</f>
        <v>#N/A</v>
      </c>
      <c r="W5102" s="6">
        <f t="shared" si="158"/>
        <v>0</v>
      </c>
      <c r="X5102" s="6">
        <f t="shared" si="159"/>
        <v>0</v>
      </c>
    </row>
    <row r="5103" spans="22:24" x14ac:dyDescent="0.3">
      <c r="V5103" t="e">
        <f>VLOOKUP(H5103,'[1]팀별 출판사'!A:B,2,0)</f>
        <v>#N/A</v>
      </c>
      <c r="W5103" s="6">
        <f t="shared" si="158"/>
        <v>0</v>
      </c>
      <c r="X5103" s="6">
        <f t="shared" si="159"/>
        <v>0</v>
      </c>
    </row>
    <row r="5104" spans="22:24" x14ac:dyDescent="0.3">
      <c r="V5104" t="e">
        <f>VLOOKUP(H5104,'[1]팀별 출판사'!A:B,2,0)</f>
        <v>#N/A</v>
      </c>
      <c r="W5104" s="6">
        <f t="shared" si="158"/>
        <v>0</v>
      </c>
      <c r="X5104" s="6">
        <f t="shared" si="159"/>
        <v>0</v>
      </c>
    </row>
    <row r="5105" spans="22:24" x14ac:dyDescent="0.3">
      <c r="V5105" t="e">
        <f>VLOOKUP(H5105,'[1]팀별 출판사'!A:B,2,0)</f>
        <v>#N/A</v>
      </c>
      <c r="W5105" s="6">
        <f t="shared" si="158"/>
        <v>0</v>
      </c>
      <c r="X5105" s="6">
        <f t="shared" si="159"/>
        <v>0</v>
      </c>
    </row>
    <row r="5106" spans="22:24" x14ac:dyDescent="0.3">
      <c r="V5106" t="e">
        <f>VLOOKUP(H5106,'[1]팀별 출판사'!A:B,2,0)</f>
        <v>#N/A</v>
      </c>
      <c r="W5106" s="6">
        <f t="shared" si="158"/>
        <v>0</v>
      </c>
      <c r="X5106" s="6">
        <f t="shared" si="159"/>
        <v>0</v>
      </c>
    </row>
    <row r="5107" spans="22:24" x14ac:dyDescent="0.3">
      <c r="V5107" t="e">
        <f>VLOOKUP(H5107,'[1]팀별 출판사'!A:B,2,0)</f>
        <v>#N/A</v>
      </c>
      <c r="W5107" s="6">
        <f t="shared" si="158"/>
        <v>0</v>
      </c>
      <c r="X5107" s="6">
        <f t="shared" si="159"/>
        <v>0</v>
      </c>
    </row>
    <row r="5108" spans="22:24" x14ac:dyDescent="0.3">
      <c r="V5108" t="e">
        <f>VLOOKUP(H5108,'[1]팀별 출판사'!A:B,2,0)</f>
        <v>#N/A</v>
      </c>
      <c r="W5108" s="6">
        <f t="shared" si="158"/>
        <v>0</v>
      </c>
      <c r="X5108" s="6">
        <f t="shared" si="159"/>
        <v>0</v>
      </c>
    </row>
    <row r="5109" spans="22:24" x14ac:dyDescent="0.3">
      <c r="V5109" t="e">
        <f>VLOOKUP(H5109,'[1]팀별 출판사'!A:B,2,0)</f>
        <v>#N/A</v>
      </c>
      <c r="W5109" s="6">
        <f t="shared" si="158"/>
        <v>0</v>
      </c>
      <c r="X5109" s="6">
        <f t="shared" si="159"/>
        <v>0</v>
      </c>
    </row>
    <row r="5110" spans="22:24" x14ac:dyDescent="0.3">
      <c r="V5110" t="e">
        <f>VLOOKUP(H5110,'[1]팀별 출판사'!A:B,2,0)</f>
        <v>#N/A</v>
      </c>
      <c r="W5110" s="6">
        <f t="shared" si="158"/>
        <v>0</v>
      </c>
      <c r="X5110" s="6">
        <f t="shared" si="159"/>
        <v>0</v>
      </c>
    </row>
    <row r="5111" spans="22:24" x14ac:dyDescent="0.3">
      <c r="V5111" t="e">
        <f>VLOOKUP(H5111,'[1]팀별 출판사'!A:B,2,0)</f>
        <v>#N/A</v>
      </c>
      <c r="W5111" s="6">
        <f t="shared" si="158"/>
        <v>0</v>
      </c>
      <c r="X5111" s="6">
        <f t="shared" si="159"/>
        <v>0</v>
      </c>
    </row>
    <row r="5112" spans="22:24" x14ac:dyDescent="0.3">
      <c r="V5112" t="e">
        <f>VLOOKUP(H5112,'[1]팀별 출판사'!A:B,2,0)</f>
        <v>#N/A</v>
      </c>
      <c r="W5112" s="6">
        <f t="shared" si="158"/>
        <v>0</v>
      </c>
      <c r="X5112" s="6">
        <f t="shared" si="159"/>
        <v>0</v>
      </c>
    </row>
    <row r="5113" spans="22:24" x14ac:dyDescent="0.3">
      <c r="V5113" t="e">
        <f>VLOOKUP(H5113,'[1]팀별 출판사'!A:B,2,0)</f>
        <v>#N/A</v>
      </c>
      <c r="W5113" s="6">
        <f t="shared" si="158"/>
        <v>0</v>
      </c>
      <c r="X5113" s="6">
        <f t="shared" si="159"/>
        <v>0</v>
      </c>
    </row>
    <row r="5114" spans="22:24" x14ac:dyDescent="0.3">
      <c r="V5114" t="e">
        <f>VLOOKUP(H5114,'[1]팀별 출판사'!A:B,2,0)</f>
        <v>#N/A</v>
      </c>
      <c r="W5114" s="6">
        <f t="shared" si="158"/>
        <v>0</v>
      </c>
      <c r="X5114" s="6">
        <f t="shared" si="159"/>
        <v>0</v>
      </c>
    </row>
    <row r="5115" spans="22:24" x14ac:dyDescent="0.3">
      <c r="V5115" t="e">
        <f>VLOOKUP(H5115,'[1]팀별 출판사'!A:B,2,0)</f>
        <v>#N/A</v>
      </c>
      <c r="W5115" s="6">
        <f t="shared" si="158"/>
        <v>0</v>
      </c>
      <c r="X5115" s="6">
        <f t="shared" si="159"/>
        <v>0</v>
      </c>
    </row>
    <row r="5116" spans="22:24" x14ac:dyDescent="0.3">
      <c r="V5116" t="e">
        <f>VLOOKUP(H5116,'[1]팀별 출판사'!A:B,2,0)</f>
        <v>#N/A</v>
      </c>
      <c r="W5116" s="6">
        <f t="shared" si="158"/>
        <v>0</v>
      </c>
      <c r="X5116" s="6">
        <f t="shared" si="159"/>
        <v>0</v>
      </c>
    </row>
    <row r="5117" spans="22:24" x14ac:dyDescent="0.3">
      <c r="V5117" t="e">
        <f>VLOOKUP(H5117,'[1]팀별 출판사'!A:B,2,0)</f>
        <v>#N/A</v>
      </c>
      <c r="W5117" s="6">
        <f t="shared" si="158"/>
        <v>0</v>
      </c>
      <c r="X5117" s="6">
        <f t="shared" si="159"/>
        <v>0</v>
      </c>
    </row>
    <row r="5118" spans="22:24" x14ac:dyDescent="0.3">
      <c r="V5118" t="e">
        <f>VLOOKUP(H5118,'[1]팀별 출판사'!A:B,2,0)</f>
        <v>#N/A</v>
      </c>
      <c r="W5118" s="6">
        <f t="shared" si="158"/>
        <v>0</v>
      </c>
      <c r="X5118" s="6">
        <f t="shared" si="159"/>
        <v>0</v>
      </c>
    </row>
    <row r="5119" spans="22:24" x14ac:dyDescent="0.3">
      <c r="V5119" t="e">
        <f>VLOOKUP(H5119,'[1]팀별 출판사'!A:B,2,0)</f>
        <v>#N/A</v>
      </c>
      <c r="W5119" s="6">
        <f t="shared" si="158"/>
        <v>0</v>
      </c>
      <c r="X5119" s="6">
        <f t="shared" si="159"/>
        <v>0</v>
      </c>
    </row>
    <row r="5120" spans="22:24" x14ac:dyDescent="0.3">
      <c r="V5120" t="e">
        <f>VLOOKUP(H5120,'[1]팀별 출판사'!A:B,2,0)</f>
        <v>#N/A</v>
      </c>
      <c r="W5120" s="6">
        <f t="shared" si="158"/>
        <v>0</v>
      </c>
      <c r="X5120" s="6">
        <f t="shared" si="159"/>
        <v>0</v>
      </c>
    </row>
    <row r="5121" spans="22:24" x14ac:dyDescent="0.3">
      <c r="V5121" t="e">
        <f>VLOOKUP(H5121,'[1]팀별 출판사'!A:B,2,0)</f>
        <v>#N/A</v>
      </c>
      <c r="W5121" s="6">
        <f t="shared" si="158"/>
        <v>0</v>
      </c>
      <c r="X5121" s="6">
        <f t="shared" si="159"/>
        <v>0</v>
      </c>
    </row>
    <row r="5122" spans="22:24" x14ac:dyDescent="0.3">
      <c r="V5122" t="e">
        <f>VLOOKUP(H5122,'[1]팀별 출판사'!A:B,2,0)</f>
        <v>#N/A</v>
      </c>
      <c r="W5122" s="6">
        <f t="shared" ref="W5122:W5185" si="160">IF(P5122="US", T5122*30%, 0)</f>
        <v>0</v>
      </c>
      <c r="X5122" s="6">
        <f t="shared" ref="X5122:X5185" si="161">T5122-W5122</f>
        <v>0</v>
      </c>
    </row>
    <row r="5123" spans="22:24" x14ac:dyDescent="0.3">
      <c r="V5123" t="e">
        <f>VLOOKUP(H5123,'[1]팀별 출판사'!A:B,2,0)</f>
        <v>#N/A</v>
      </c>
      <c r="W5123" s="6">
        <f t="shared" si="160"/>
        <v>0</v>
      </c>
      <c r="X5123" s="6">
        <f t="shared" si="161"/>
        <v>0</v>
      </c>
    </row>
    <row r="5124" spans="22:24" x14ac:dyDescent="0.3">
      <c r="V5124" t="e">
        <f>VLOOKUP(H5124,'[1]팀별 출판사'!A:B,2,0)</f>
        <v>#N/A</v>
      </c>
      <c r="W5124" s="6">
        <f t="shared" si="160"/>
        <v>0</v>
      </c>
      <c r="X5124" s="6">
        <f t="shared" si="161"/>
        <v>0</v>
      </c>
    </row>
    <row r="5125" spans="22:24" x14ac:dyDescent="0.3">
      <c r="V5125" t="e">
        <f>VLOOKUP(H5125,'[1]팀별 출판사'!A:B,2,0)</f>
        <v>#N/A</v>
      </c>
      <c r="W5125" s="6">
        <f t="shared" si="160"/>
        <v>0</v>
      </c>
      <c r="X5125" s="6">
        <f t="shared" si="161"/>
        <v>0</v>
      </c>
    </row>
    <row r="5126" spans="22:24" x14ac:dyDescent="0.3">
      <c r="V5126" t="e">
        <f>VLOOKUP(H5126,'[1]팀별 출판사'!A:B,2,0)</f>
        <v>#N/A</v>
      </c>
      <c r="W5126" s="6">
        <f t="shared" si="160"/>
        <v>0</v>
      </c>
      <c r="X5126" s="6">
        <f t="shared" si="161"/>
        <v>0</v>
      </c>
    </row>
    <row r="5127" spans="22:24" x14ac:dyDescent="0.3">
      <c r="V5127" t="e">
        <f>VLOOKUP(H5127,'[1]팀별 출판사'!A:B,2,0)</f>
        <v>#N/A</v>
      </c>
      <c r="W5127" s="6">
        <f t="shared" si="160"/>
        <v>0</v>
      </c>
      <c r="X5127" s="6">
        <f t="shared" si="161"/>
        <v>0</v>
      </c>
    </row>
    <row r="5128" spans="22:24" x14ac:dyDescent="0.3">
      <c r="V5128" t="e">
        <f>VLOOKUP(H5128,'[1]팀별 출판사'!A:B,2,0)</f>
        <v>#N/A</v>
      </c>
      <c r="W5128" s="6">
        <f t="shared" si="160"/>
        <v>0</v>
      </c>
      <c r="X5128" s="6">
        <f t="shared" si="161"/>
        <v>0</v>
      </c>
    </row>
    <row r="5129" spans="22:24" x14ac:dyDescent="0.3">
      <c r="V5129" t="e">
        <f>VLOOKUP(H5129,'[1]팀별 출판사'!A:B,2,0)</f>
        <v>#N/A</v>
      </c>
      <c r="W5129" s="6">
        <f t="shared" si="160"/>
        <v>0</v>
      </c>
      <c r="X5129" s="6">
        <f t="shared" si="161"/>
        <v>0</v>
      </c>
    </row>
    <row r="5130" spans="22:24" x14ac:dyDescent="0.3">
      <c r="V5130" t="e">
        <f>VLOOKUP(H5130,'[1]팀별 출판사'!A:B,2,0)</f>
        <v>#N/A</v>
      </c>
      <c r="W5130" s="6">
        <f t="shared" si="160"/>
        <v>0</v>
      </c>
      <c r="X5130" s="6">
        <f t="shared" si="161"/>
        <v>0</v>
      </c>
    </row>
    <row r="5131" spans="22:24" x14ac:dyDescent="0.3">
      <c r="V5131" t="e">
        <f>VLOOKUP(H5131,'[1]팀별 출판사'!A:B,2,0)</f>
        <v>#N/A</v>
      </c>
      <c r="W5131" s="6">
        <f t="shared" si="160"/>
        <v>0</v>
      </c>
      <c r="X5131" s="6">
        <f t="shared" si="161"/>
        <v>0</v>
      </c>
    </row>
    <row r="5132" spans="22:24" x14ac:dyDescent="0.3">
      <c r="V5132" t="e">
        <f>VLOOKUP(H5132,'[1]팀별 출판사'!A:B,2,0)</f>
        <v>#N/A</v>
      </c>
      <c r="W5132" s="6">
        <f t="shared" si="160"/>
        <v>0</v>
      </c>
      <c r="X5132" s="6">
        <f t="shared" si="161"/>
        <v>0</v>
      </c>
    </row>
    <row r="5133" spans="22:24" x14ac:dyDescent="0.3">
      <c r="V5133" t="e">
        <f>VLOOKUP(H5133,'[1]팀별 출판사'!A:B,2,0)</f>
        <v>#N/A</v>
      </c>
      <c r="W5133" s="6">
        <f t="shared" si="160"/>
        <v>0</v>
      </c>
      <c r="X5133" s="6">
        <f t="shared" si="161"/>
        <v>0</v>
      </c>
    </row>
    <row r="5134" spans="22:24" x14ac:dyDescent="0.3">
      <c r="V5134" t="e">
        <f>VLOOKUP(H5134,'[1]팀별 출판사'!A:B,2,0)</f>
        <v>#N/A</v>
      </c>
      <c r="W5134" s="6">
        <f t="shared" si="160"/>
        <v>0</v>
      </c>
      <c r="X5134" s="6">
        <f t="shared" si="161"/>
        <v>0</v>
      </c>
    </row>
    <row r="5135" spans="22:24" x14ac:dyDescent="0.3">
      <c r="V5135" t="e">
        <f>VLOOKUP(H5135,'[1]팀별 출판사'!A:B,2,0)</f>
        <v>#N/A</v>
      </c>
      <c r="W5135" s="6">
        <f t="shared" si="160"/>
        <v>0</v>
      </c>
      <c r="X5135" s="6">
        <f t="shared" si="161"/>
        <v>0</v>
      </c>
    </row>
    <row r="5136" spans="22:24" x14ac:dyDescent="0.3">
      <c r="V5136" t="e">
        <f>VLOOKUP(H5136,'[1]팀별 출판사'!A:B,2,0)</f>
        <v>#N/A</v>
      </c>
      <c r="W5136" s="6">
        <f t="shared" si="160"/>
        <v>0</v>
      </c>
      <c r="X5136" s="6">
        <f t="shared" si="161"/>
        <v>0</v>
      </c>
    </row>
    <row r="5137" spans="22:24" x14ac:dyDescent="0.3">
      <c r="V5137" t="e">
        <f>VLOOKUP(H5137,'[1]팀별 출판사'!A:B,2,0)</f>
        <v>#N/A</v>
      </c>
      <c r="W5137" s="6">
        <f t="shared" si="160"/>
        <v>0</v>
      </c>
      <c r="X5137" s="6">
        <f t="shared" si="161"/>
        <v>0</v>
      </c>
    </row>
    <row r="5138" spans="22:24" x14ac:dyDescent="0.3">
      <c r="V5138" t="e">
        <f>VLOOKUP(H5138,'[1]팀별 출판사'!A:B,2,0)</f>
        <v>#N/A</v>
      </c>
      <c r="W5138" s="6">
        <f t="shared" si="160"/>
        <v>0</v>
      </c>
      <c r="X5138" s="6">
        <f t="shared" si="161"/>
        <v>0</v>
      </c>
    </row>
    <row r="5139" spans="22:24" x14ac:dyDescent="0.3">
      <c r="V5139" t="e">
        <f>VLOOKUP(H5139,'[1]팀별 출판사'!A:B,2,0)</f>
        <v>#N/A</v>
      </c>
      <c r="W5139" s="6">
        <f t="shared" si="160"/>
        <v>0</v>
      </c>
      <c r="X5139" s="6">
        <f t="shared" si="161"/>
        <v>0</v>
      </c>
    </row>
    <row r="5140" spans="22:24" x14ac:dyDescent="0.3">
      <c r="V5140" t="e">
        <f>VLOOKUP(H5140,'[1]팀별 출판사'!A:B,2,0)</f>
        <v>#N/A</v>
      </c>
      <c r="W5140" s="6">
        <f t="shared" si="160"/>
        <v>0</v>
      </c>
      <c r="X5140" s="6">
        <f t="shared" si="161"/>
        <v>0</v>
      </c>
    </row>
    <row r="5141" spans="22:24" x14ac:dyDescent="0.3">
      <c r="V5141" t="e">
        <f>VLOOKUP(H5141,'[1]팀별 출판사'!A:B,2,0)</f>
        <v>#N/A</v>
      </c>
      <c r="W5141" s="6">
        <f t="shared" si="160"/>
        <v>0</v>
      </c>
      <c r="X5141" s="6">
        <f t="shared" si="161"/>
        <v>0</v>
      </c>
    </row>
    <row r="5142" spans="22:24" x14ac:dyDescent="0.3">
      <c r="V5142" t="e">
        <f>VLOOKUP(H5142,'[1]팀별 출판사'!A:B,2,0)</f>
        <v>#N/A</v>
      </c>
      <c r="W5142" s="6">
        <f t="shared" si="160"/>
        <v>0</v>
      </c>
      <c r="X5142" s="6">
        <f t="shared" si="161"/>
        <v>0</v>
      </c>
    </row>
    <row r="5143" spans="22:24" x14ac:dyDescent="0.3">
      <c r="V5143" t="e">
        <f>VLOOKUP(H5143,'[1]팀별 출판사'!A:B,2,0)</f>
        <v>#N/A</v>
      </c>
      <c r="W5143" s="6">
        <f t="shared" si="160"/>
        <v>0</v>
      </c>
      <c r="X5143" s="6">
        <f t="shared" si="161"/>
        <v>0</v>
      </c>
    </row>
    <row r="5144" spans="22:24" x14ac:dyDescent="0.3">
      <c r="V5144" t="e">
        <f>VLOOKUP(H5144,'[1]팀별 출판사'!A:B,2,0)</f>
        <v>#N/A</v>
      </c>
      <c r="W5144" s="6">
        <f t="shared" si="160"/>
        <v>0</v>
      </c>
      <c r="X5144" s="6">
        <f t="shared" si="161"/>
        <v>0</v>
      </c>
    </row>
    <row r="5145" spans="22:24" x14ac:dyDescent="0.3">
      <c r="V5145" t="e">
        <f>VLOOKUP(H5145,'[1]팀별 출판사'!A:B,2,0)</f>
        <v>#N/A</v>
      </c>
      <c r="W5145" s="6">
        <f t="shared" si="160"/>
        <v>0</v>
      </c>
      <c r="X5145" s="6">
        <f t="shared" si="161"/>
        <v>0</v>
      </c>
    </row>
    <row r="5146" spans="22:24" x14ac:dyDescent="0.3">
      <c r="V5146" t="e">
        <f>VLOOKUP(H5146,'[1]팀별 출판사'!A:B,2,0)</f>
        <v>#N/A</v>
      </c>
      <c r="W5146" s="6">
        <f t="shared" si="160"/>
        <v>0</v>
      </c>
      <c r="X5146" s="6">
        <f t="shared" si="161"/>
        <v>0</v>
      </c>
    </row>
    <row r="5147" spans="22:24" x14ac:dyDescent="0.3">
      <c r="V5147" t="e">
        <f>VLOOKUP(H5147,'[1]팀별 출판사'!A:B,2,0)</f>
        <v>#N/A</v>
      </c>
      <c r="W5147" s="6">
        <f t="shared" si="160"/>
        <v>0</v>
      </c>
      <c r="X5147" s="6">
        <f t="shared" si="161"/>
        <v>0</v>
      </c>
    </row>
    <row r="5148" spans="22:24" x14ac:dyDescent="0.3">
      <c r="V5148" t="e">
        <f>VLOOKUP(H5148,'[1]팀별 출판사'!A:B,2,0)</f>
        <v>#N/A</v>
      </c>
      <c r="W5148" s="6">
        <f t="shared" si="160"/>
        <v>0</v>
      </c>
      <c r="X5148" s="6">
        <f t="shared" si="161"/>
        <v>0</v>
      </c>
    </row>
    <row r="5149" spans="22:24" x14ac:dyDescent="0.3">
      <c r="V5149" t="e">
        <f>VLOOKUP(H5149,'[1]팀별 출판사'!A:B,2,0)</f>
        <v>#N/A</v>
      </c>
      <c r="W5149" s="6">
        <f t="shared" si="160"/>
        <v>0</v>
      </c>
      <c r="X5149" s="6">
        <f t="shared" si="161"/>
        <v>0</v>
      </c>
    </row>
    <row r="5150" spans="22:24" x14ac:dyDescent="0.3">
      <c r="V5150" t="e">
        <f>VLOOKUP(H5150,'[1]팀별 출판사'!A:B,2,0)</f>
        <v>#N/A</v>
      </c>
      <c r="W5150" s="6">
        <f t="shared" si="160"/>
        <v>0</v>
      </c>
      <c r="X5150" s="6">
        <f t="shared" si="161"/>
        <v>0</v>
      </c>
    </row>
    <row r="5151" spans="22:24" x14ac:dyDescent="0.3">
      <c r="V5151" t="e">
        <f>VLOOKUP(H5151,'[1]팀별 출판사'!A:B,2,0)</f>
        <v>#N/A</v>
      </c>
      <c r="W5151" s="6">
        <f t="shared" si="160"/>
        <v>0</v>
      </c>
      <c r="X5151" s="6">
        <f t="shared" si="161"/>
        <v>0</v>
      </c>
    </row>
    <row r="5152" spans="22:24" x14ac:dyDescent="0.3">
      <c r="V5152" t="e">
        <f>VLOOKUP(H5152,'[1]팀별 출판사'!A:B,2,0)</f>
        <v>#N/A</v>
      </c>
      <c r="W5152" s="6">
        <f t="shared" si="160"/>
        <v>0</v>
      </c>
      <c r="X5152" s="6">
        <f t="shared" si="161"/>
        <v>0</v>
      </c>
    </row>
    <row r="5153" spans="22:24" x14ac:dyDescent="0.3">
      <c r="V5153" t="e">
        <f>VLOOKUP(H5153,'[1]팀별 출판사'!A:B,2,0)</f>
        <v>#N/A</v>
      </c>
      <c r="W5153" s="6">
        <f t="shared" si="160"/>
        <v>0</v>
      </c>
      <c r="X5153" s="6">
        <f t="shared" si="161"/>
        <v>0</v>
      </c>
    </row>
    <row r="5154" spans="22:24" x14ac:dyDescent="0.3">
      <c r="V5154" t="e">
        <f>VLOOKUP(H5154,'[1]팀별 출판사'!A:B,2,0)</f>
        <v>#N/A</v>
      </c>
      <c r="W5154" s="6">
        <f t="shared" si="160"/>
        <v>0</v>
      </c>
      <c r="X5154" s="6">
        <f t="shared" si="161"/>
        <v>0</v>
      </c>
    </row>
    <row r="5155" spans="22:24" x14ac:dyDescent="0.3">
      <c r="V5155" t="e">
        <f>VLOOKUP(H5155,'[1]팀별 출판사'!A:B,2,0)</f>
        <v>#N/A</v>
      </c>
      <c r="W5155" s="6">
        <f t="shared" si="160"/>
        <v>0</v>
      </c>
      <c r="X5155" s="6">
        <f t="shared" si="161"/>
        <v>0</v>
      </c>
    </row>
    <row r="5156" spans="22:24" x14ac:dyDescent="0.3">
      <c r="V5156" t="e">
        <f>VLOOKUP(H5156,'[1]팀별 출판사'!A:B,2,0)</f>
        <v>#N/A</v>
      </c>
      <c r="W5156" s="6">
        <f t="shared" si="160"/>
        <v>0</v>
      </c>
      <c r="X5156" s="6">
        <f t="shared" si="161"/>
        <v>0</v>
      </c>
    </row>
    <row r="5157" spans="22:24" x14ac:dyDescent="0.3">
      <c r="V5157" t="e">
        <f>VLOOKUP(H5157,'[1]팀별 출판사'!A:B,2,0)</f>
        <v>#N/A</v>
      </c>
      <c r="W5157" s="6">
        <f t="shared" si="160"/>
        <v>0</v>
      </c>
      <c r="X5157" s="6">
        <f t="shared" si="161"/>
        <v>0</v>
      </c>
    </row>
    <row r="5158" spans="22:24" x14ac:dyDescent="0.3">
      <c r="V5158" t="e">
        <f>VLOOKUP(H5158,'[1]팀별 출판사'!A:B,2,0)</f>
        <v>#N/A</v>
      </c>
      <c r="W5158" s="6">
        <f t="shared" si="160"/>
        <v>0</v>
      </c>
      <c r="X5158" s="6">
        <f t="shared" si="161"/>
        <v>0</v>
      </c>
    </row>
    <row r="5159" spans="22:24" x14ac:dyDescent="0.3">
      <c r="V5159" t="e">
        <f>VLOOKUP(H5159,'[1]팀별 출판사'!A:B,2,0)</f>
        <v>#N/A</v>
      </c>
      <c r="W5159" s="6">
        <f t="shared" si="160"/>
        <v>0</v>
      </c>
      <c r="X5159" s="6">
        <f t="shared" si="161"/>
        <v>0</v>
      </c>
    </row>
    <row r="5160" spans="22:24" x14ac:dyDescent="0.3">
      <c r="V5160" t="e">
        <f>VLOOKUP(H5160,'[1]팀별 출판사'!A:B,2,0)</f>
        <v>#N/A</v>
      </c>
      <c r="W5160" s="6">
        <f t="shared" si="160"/>
        <v>0</v>
      </c>
      <c r="X5160" s="6">
        <f t="shared" si="161"/>
        <v>0</v>
      </c>
    </row>
    <row r="5161" spans="22:24" x14ac:dyDescent="0.3">
      <c r="V5161" t="e">
        <f>VLOOKUP(H5161,'[1]팀별 출판사'!A:B,2,0)</f>
        <v>#N/A</v>
      </c>
      <c r="W5161" s="6">
        <f t="shared" si="160"/>
        <v>0</v>
      </c>
      <c r="X5161" s="6">
        <f t="shared" si="161"/>
        <v>0</v>
      </c>
    </row>
    <row r="5162" spans="22:24" x14ac:dyDescent="0.3">
      <c r="V5162" t="e">
        <f>VLOOKUP(H5162,'[1]팀별 출판사'!A:B,2,0)</f>
        <v>#N/A</v>
      </c>
      <c r="W5162" s="6">
        <f t="shared" si="160"/>
        <v>0</v>
      </c>
      <c r="X5162" s="6">
        <f t="shared" si="161"/>
        <v>0</v>
      </c>
    </row>
    <row r="5163" spans="22:24" x14ac:dyDescent="0.3">
      <c r="V5163" t="e">
        <f>VLOOKUP(H5163,'[1]팀별 출판사'!A:B,2,0)</f>
        <v>#N/A</v>
      </c>
      <c r="W5163" s="6">
        <f t="shared" si="160"/>
        <v>0</v>
      </c>
      <c r="X5163" s="6">
        <f t="shared" si="161"/>
        <v>0</v>
      </c>
    </row>
    <row r="5164" spans="22:24" x14ac:dyDescent="0.3">
      <c r="V5164" t="e">
        <f>VLOOKUP(H5164,'[1]팀별 출판사'!A:B,2,0)</f>
        <v>#N/A</v>
      </c>
      <c r="W5164" s="6">
        <f t="shared" si="160"/>
        <v>0</v>
      </c>
      <c r="X5164" s="6">
        <f t="shared" si="161"/>
        <v>0</v>
      </c>
    </row>
    <row r="5165" spans="22:24" x14ac:dyDescent="0.3">
      <c r="V5165" t="e">
        <f>VLOOKUP(H5165,'[1]팀별 출판사'!A:B,2,0)</f>
        <v>#N/A</v>
      </c>
      <c r="W5165" s="6">
        <f t="shared" si="160"/>
        <v>0</v>
      </c>
      <c r="X5165" s="6">
        <f t="shared" si="161"/>
        <v>0</v>
      </c>
    </row>
    <row r="5166" spans="22:24" x14ac:dyDescent="0.3">
      <c r="V5166" t="e">
        <f>VLOOKUP(H5166,'[1]팀별 출판사'!A:B,2,0)</f>
        <v>#N/A</v>
      </c>
      <c r="W5166" s="6">
        <f t="shared" si="160"/>
        <v>0</v>
      </c>
      <c r="X5166" s="6">
        <f t="shared" si="161"/>
        <v>0</v>
      </c>
    </row>
    <row r="5167" spans="22:24" x14ac:dyDescent="0.3">
      <c r="V5167" t="e">
        <f>VLOOKUP(H5167,'[1]팀별 출판사'!A:B,2,0)</f>
        <v>#N/A</v>
      </c>
      <c r="W5167" s="6">
        <f t="shared" si="160"/>
        <v>0</v>
      </c>
      <c r="X5167" s="6">
        <f t="shared" si="161"/>
        <v>0</v>
      </c>
    </row>
    <row r="5168" spans="22:24" x14ac:dyDescent="0.3">
      <c r="V5168" t="e">
        <f>VLOOKUP(H5168,'[1]팀별 출판사'!A:B,2,0)</f>
        <v>#N/A</v>
      </c>
      <c r="W5168" s="6">
        <f t="shared" si="160"/>
        <v>0</v>
      </c>
      <c r="X5168" s="6">
        <f t="shared" si="161"/>
        <v>0</v>
      </c>
    </row>
    <row r="5169" spans="22:24" x14ac:dyDescent="0.3">
      <c r="V5169" t="e">
        <f>VLOOKUP(H5169,'[1]팀별 출판사'!A:B,2,0)</f>
        <v>#N/A</v>
      </c>
      <c r="W5169" s="6">
        <f t="shared" si="160"/>
        <v>0</v>
      </c>
      <c r="X5169" s="6">
        <f t="shared" si="161"/>
        <v>0</v>
      </c>
    </row>
    <row r="5170" spans="22:24" x14ac:dyDescent="0.3">
      <c r="V5170" t="e">
        <f>VLOOKUP(H5170,'[1]팀별 출판사'!A:B,2,0)</f>
        <v>#N/A</v>
      </c>
      <c r="W5170" s="6">
        <f t="shared" si="160"/>
        <v>0</v>
      </c>
      <c r="X5170" s="6">
        <f t="shared" si="161"/>
        <v>0</v>
      </c>
    </row>
    <row r="5171" spans="22:24" x14ac:dyDescent="0.3">
      <c r="V5171" t="e">
        <f>VLOOKUP(H5171,'[1]팀별 출판사'!A:B,2,0)</f>
        <v>#N/A</v>
      </c>
      <c r="W5171" s="6">
        <f t="shared" si="160"/>
        <v>0</v>
      </c>
      <c r="X5171" s="6">
        <f t="shared" si="161"/>
        <v>0</v>
      </c>
    </row>
    <row r="5172" spans="22:24" x14ac:dyDescent="0.3">
      <c r="V5172" t="e">
        <f>VLOOKUP(H5172,'[1]팀별 출판사'!A:B,2,0)</f>
        <v>#N/A</v>
      </c>
      <c r="W5172" s="6">
        <f t="shared" si="160"/>
        <v>0</v>
      </c>
      <c r="X5172" s="6">
        <f t="shared" si="161"/>
        <v>0</v>
      </c>
    </row>
    <row r="5173" spans="22:24" x14ac:dyDescent="0.3">
      <c r="V5173" t="e">
        <f>VLOOKUP(H5173,'[1]팀별 출판사'!A:B,2,0)</f>
        <v>#N/A</v>
      </c>
      <c r="W5173" s="6">
        <f t="shared" si="160"/>
        <v>0</v>
      </c>
      <c r="X5173" s="6">
        <f t="shared" si="161"/>
        <v>0</v>
      </c>
    </row>
    <row r="5174" spans="22:24" x14ac:dyDescent="0.3">
      <c r="V5174" t="e">
        <f>VLOOKUP(H5174,'[1]팀별 출판사'!A:B,2,0)</f>
        <v>#N/A</v>
      </c>
      <c r="W5174" s="6">
        <f t="shared" si="160"/>
        <v>0</v>
      </c>
      <c r="X5174" s="6">
        <f t="shared" si="161"/>
        <v>0</v>
      </c>
    </row>
    <row r="5175" spans="22:24" x14ac:dyDescent="0.3">
      <c r="V5175" t="e">
        <f>VLOOKUP(H5175,'[1]팀별 출판사'!A:B,2,0)</f>
        <v>#N/A</v>
      </c>
      <c r="W5175" s="6">
        <f t="shared" si="160"/>
        <v>0</v>
      </c>
      <c r="X5175" s="6">
        <f t="shared" si="161"/>
        <v>0</v>
      </c>
    </row>
    <row r="5176" spans="22:24" x14ac:dyDescent="0.3">
      <c r="V5176" t="e">
        <f>VLOOKUP(H5176,'[1]팀별 출판사'!A:B,2,0)</f>
        <v>#N/A</v>
      </c>
      <c r="W5176" s="6">
        <f t="shared" si="160"/>
        <v>0</v>
      </c>
      <c r="X5176" s="6">
        <f t="shared" si="161"/>
        <v>0</v>
      </c>
    </row>
    <row r="5177" spans="22:24" x14ac:dyDescent="0.3">
      <c r="V5177" t="e">
        <f>VLOOKUP(H5177,'[1]팀별 출판사'!A:B,2,0)</f>
        <v>#N/A</v>
      </c>
      <c r="W5177" s="6">
        <f t="shared" si="160"/>
        <v>0</v>
      </c>
      <c r="X5177" s="6">
        <f t="shared" si="161"/>
        <v>0</v>
      </c>
    </row>
    <row r="5178" spans="22:24" x14ac:dyDescent="0.3">
      <c r="V5178" t="e">
        <f>VLOOKUP(H5178,'[1]팀별 출판사'!A:B,2,0)</f>
        <v>#N/A</v>
      </c>
      <c r="W5178" s="6">
        <f t="shared" si="160"/>
        <v>0</v>
      </c>
      <c r="X5178" s="6">
        <f t="shared" si="161"/>
        <v>0</v>
      </c>
    </row>
    <row r="5179" spans="22:24" x14ac:dyDescent="0.3">
      <c r="V5179" t="e">
        <f>VLOOKUP(H5179,'[1]팀별 출판사'!A:B,2,0)</f>
        <v>#N/A</v>
      </c>
      <c r="W5179" s="6">
        <f t="shared" si="160"/>
        <v>0</v>
      </c>
      <c r="X5179" s="6">
        <f t="shared" si="161"/>
        <v>0</v>
      </c>
    </row>
    <row r="5180" spans="22:24" x14ac:dyDescent="0.3">
      <c r="V5180" t="e">
        <f>VLOOKUP(H5180,'[1]팀별 출판사'!A:B,2,0)</f>
        <v>#N/A</v>
      </c>
      <c r="W5180" s="6">
        <f t="shared" si="160"/>
        <v>0</v>
      </c>
      <c r="X5180" s="6">
        <f t="shared" si="161"/>
        <v>0</v>
      </c>
    </row>
    <row r="5181" spans="22:24" x14ac:dyDescent="0.3">
      <c r="V5181" t="e">
        <f>VLOOKUP(H5181,'[1]팀별 출판사'!A:B,2,0)</f>
        <v>#N/A</v>
      </c>
      <c r="W5181" s="6">
        <f t="shared" si="160"/>
        <v>0</v>
      </c>
      <c r="X5181" s="6">
        <f t="shared" si="161"/>
        <v>0</v>
      </c>
    </row>
    <row r="5182" spans="22:24" x14ac:dyDescent="0.3">
      <c r="V5182" t="e">
        <f>VLOOKUP(H5182,'[1]팀별 출판사'!A:B,2,0)</f>
        <v>#N/A</v>
      </c>
      <c r="W5182" s="6">
        <f t="shared" si="160"/>
        <v>0</v>
      </c>
      <c r="X5182" s="6">
        <f t="shared" si="161"/>
        <v>0</v>
      </c>
    </row>
    <row r="5183" spans="22:24" x14ac:dyDescent="0.3">
      <c r="V5183" t="e">
        <f>VLOOKUP(H5183,'[1]팀별 출판사'!A:B,2,0)</f>
        <v>#N/A</v>
      </c>
      <c r="W5183" s="6">
        <f t="shared" si="160"/>
        <v>0</v>
      </c>
      <c r="X5183" s="6">
        <f t="shared" si="161"/>
        <v>0</v>
      </c>
    </row>
    <row r="5184" spans="22:24" x14ac:dyDescent="0.3">
      <c r="V5184" t="e">
        <f>VLOOKUP(H5184,'[1]팀별 출판사'!A:B,2,0)</f>
        <v>#N/A</v>
      </c>
      <c r="W5184" s="6">
        <f t="shared" si="160"/>
        <v>0</v>
      </c>
      <c r="X5184" s="6">
        <f t="shared" si="161"/>
        <v>0</v>
      </c>
    </row>
    <row r="5185" spans="22:24" x14ac:dyDescent="0.3">
      <c r="V5185" t="e">
        <f>VLOOKUP(H5185,'[1]팀별 출판사'!A:B,2,0)</f>
        <v>#N/A</v>
      </c>
      <c r="W5185" s="6">
        <f t="shared" si="160"/>
        <v>0</v>
      </c>
      <c r="X5185" s="6">
        <f t="shared" si="161"/>
        <v>0</v>
      </c>
    </row>
    <row r="5186" spans="22:24" x14ac:dyDescent="0.3">
      <c r="V5186" t="e">
        <f>VLOOKUP(H5186,'[1]팀별 출판사'!A:B,2,0)</f>
        <v>#N/A</v>
      </c>
      <c r="W5186" s="6">
        <f t="shared" ref="W5186:W5249" si="162">IF(P5186="US", T5186*30%, 0)</f>
        <v>0</v>
      </c>
      <c r="X5186" s="6">
        <f t="shared" ref="X5186:X5249" si="163">T5186-W5186</f>
        <v>0</v>
      </c>
    </row>
    <row r="5187" spans="22:24" x14ac:dyDescent="0.3">
      <c r="V5187" t="e">
        <f>VLOOKUP(H5187,'[1]팀별 출판사'!A:B,2,0)</f>
        <v>#N/A</v>
      </c>
      <c r="W5187" s="6">
        <f t="shared" si="162"/>
        <v>0</v>
      </c>
      <c r="X5187" s="6">
        <f t="shared" si="163"/>
        <v>0</v>
      </c>
    </row>
    <row r="5188" spans="22:24" x14ac:dyDescent="0.3">
      <c r="V5188" t="e">
        <f>VLOOKUP(H5188,'[1]팀별 출판사'!A:B,2,0)</f>
        <v>#N/A</v>
      </c>
      <c r="W5188" s="6">
        <f t="shared" si="162"/>
        <v>0</v>
      </c>
      <c r="X5188" s="6">
        <f t="shared" si="163"/>
        <v>0</v>
      </c>
    </row>
    <row r="5189" spans="22:24" x14ac:dyDescent="0.3">
      <c r="V5189" t="e">
        <f>VLOOKUP(H5189,'[1]팀별 출판사'!A:B,2,0)</f>
        <v>#N/A</v>
      </c>
      <c r="W5189" s="6">
        <f t="shared" si="162"/>
        <v>0</v>
      </c>
      <c r="X5189" s="6">
        <f t="shared" si="163"/>
        <v>0</v>
      </c>
    </row>
    <row r="5190" spans="22:24" x14ac:dyDescent="0.3">
      <c r="V5190" t="e">
        <f>VLOOKUP(H5190,'[1]팀별 출판사'!A:B,2,0)</f>
        <v>#N/A</v>
      </c>
      <c r="W5190" s="6">
        <f t="shared" si="162"/>
        <v>0</v>
      </c>
      <c r="X5190" s="6">
        <f t="shared" si="163"/>
        <v>0</v>
      </c>
    </row>
    <row r="5191" spans="22:24" x14ac:dyDescent="0.3">
      <c r="V5191" t="e">
        <f>VLOOKUP(H5191,'[1]팀별 출판사'!A:B,2,0)</f>
        <v>#N/A</v>
      </c>
      <c r="W5191" s="6">
        <f t="shared" si="162"/>
        <v>0</v>
      </c>
      <c r="X5191" s="6">
        <f t="shared" si="163"/>
        <v>0</v>
      </c>
    </row>
    <row r="5192" spans="22:24" x14ac:dyDescent="0.3">
      <c r="V5192" t="e">
        <f>VLOOKUP(H5192,'[1]팀별 출판사'!A:B,2,0)</f>
        <v>#N/A</v>
      </c>
      <c r="W5192" s="6">
        <f t="shared" si="162"/>
        <v>0</v>
      </c>
      <c r="X5192" s="6">
        <f t="shared" si="163"/>
        <v>0</v>
      </c>
    </row>
    <row r="5193" spans="22:24" x14ac:dyDescent="0.3">
      <c r="V5193" t="e">
        <f>VLOOKUP(H5193,'[1]팀별 출판사'!A:B,2,0)</f>
        <v>#N/A</v>
      </c>
      <c r="W5193" s="6">
        <f t="shared" si="162"/>
        <v>0</v>
      </c>
      <c r="X5193" s="6">
        <f t="shared" si="163"/>
        <v>0</v>
      </c>
    </row>
    <row r="5194" spans="22:24" x14ac:dyDescent="0.3">
      <c r="V5194" t="e">
        <f>VLOOKUP(H5194,'[1]팀별 출판사'!A:B,2,0)</f>
        <v>#N/A</v>
      </c>
      <c r="W5194" s="6">
        <f t="shared" si="162"/>
        <v>0</v>
      </c>
      <c r="X5194" s="6">
        <f t="shared" si="163"/>
        <v>0</v>
      </c>
    </row>
    <row r="5195" spans="22:24" x14ac:dyDescent="0.3">
      <c r="V5195" t="e">
        <f>VLOOKUP(H5195,'[1]팀별 출판사'!A:B,2,0)</f>
        <v>#N/A</v>
      </c>
      <c r="W5195" s="6">
        <f t="shared" si="162"/>
        <v>0</v>
      </c>
      <c r="X5195" s="6">
        <f t="shared" si="163"/>
        <v>0</v>
      </c>
    </row>
    <row r="5196" spans="22:24" x14ac:dyDescent="0.3">
      <c r="V5196" t="e">
        <f>VLOOKUP(H5196,'[1]팀별 출판사'!A:B,2,0)</f>
        <v>#N/A</v>
      </c>
      <c r="W5196" s="6">
        <f t="shared" si="162"/>
        <v>0</v>
      </c>
      <c r="X5196" s="6">
        <f t="shared" si="163"/>
        <v>0</v>
      </c>
    </row>
    <row r="5197" spans="22:24" x14ac:dyDescent="0.3">
      <c r="V5197" t="e">
        <f>VLOOKUP(H5197,'[1]팀별 출판사'!A:B,2,0)</f>
        <v>#N/A</v>
      </c>
      <c r="W5197" s="6">
        <f t="shared" si="162"/>
        <v>0</v>
      </c>
      <c r="X5197" s="6">
        <f t="shared" si="163"/>
        <v>0</v>
      </c>
    </row>
    <row r="5198" spans="22:24" x14ac:dyDescent="0.3">
      <c r="V5198" t="e">
        <f>VLOOKUP(H5198,'[1]팀별 출판사'!A:B,2,0)</f>
        <v>#N/A</v>
      </c>
      <c r="W5198" s="6">
        <f t="shared" si="162"/>
        <v>0</v>
      </c>
      <c r="X5198" s="6">
        <f t="shared" si="163"/>
        <v>0</v>
      </c>
    </row>
    <row r="5199" spans="22:24" x14ac:dyDescent="0.3">
      <c r="V5199" t="e">
        <f>VLOOKUP(H5199,'[1]팀별 출판사'!A:B,2,0)</f>
        <v>#N/A</v>
      </c>
      <c r="W5199" s="6">
        <f t="shared" si="162"/>
        <v>0</v>
      </c>
      <c r="X5199" s="6">
        <f t="shared" si="163"/>
        <v>0</v>
      </c>
    </row>
    <row r="5200" spans="22:24" x14ac:dyDescent="0.3">
      <c r="V5200" t="e">
        <f>VLOOKUP(H5200,'[1]팀별 출판사'!A:B,2,0)</f>
        <v>#N/A</v>
      </c>
      <c r="W5200" s="6">
        <f t="shared" si="162"/>
        <v>0</v>
      </c>
      <c r="X5200" s="6">
        <f t="shared" si="163"/>
        <v>0</v>
      </c>
    </row>
    <row r="5201" spans="22:24" x14ac:dyDescent="0.3">
      <c r="V5201" t="e">
        <f>VLOOKUP(H5201,'[1]팀별 출판사'!A:B,2,0)</f>
        <v>#N/A</v>
      </c>
      <c r="W5201" s="6">
        <f t="shared" si="162"/>
        <v>0</v>
      </c>
      <c r="X5201" s="6">
        <f t="shared" si="163"/>
        <v>0</v>
      </c>
    </row>
    <row r="5202" spans="22:24" x14ac:dyDescent="0.3">
      <c r="V5202" t="e">
        <f>VLOOKUP(H5202,'[1]팀별 출판사'!A:B,2,0)</f>
        <v>#N/A</v>
      </c>
      <c r="W5202" s="6">
        <f t="shared" si="162"/>
        <v>0</v>
      </c>
      <c r="X5202" s="6">
        <f t="shared" si="163"/>
        <v>0</v>
      </c>
    </row>
    <row r="5203" spans="22:24" x14ac:dyDescent="0.3">
      <c r="V5203" t="e">
        <f>VLOOKUP(H5203,'[1]팀별 출판사'!A:B,2,0)</f>
        <v>#N/A</v>
      </c>
      <c r="W5203" s="6">
        <f t="shared" si="162"/>
        <v>0</v>
      </c>
      <c r="X5203" s="6">
        <f t="shared" si="163"/>
        <v>0</v>
      </c>
    </row>
    <row r="5204" spans="22:24" x14ac:dyDescent="0.3">
      <c r="V5204" t="e">
        <f>VLOOKUP(H5204,'[1]팀별 출판사'!A:B,2,0)</f>
        <v>#N/A</v>
      </c>
      <c r="W5204" s="6">
        <f t="shared" si="162"/>
        <v>0</v>
      </c>
      <c r="X5204" s="6">
        <f t="shared" si="163"/>
        <v>0</v>
      </c>
    </row>
    <row r="5205" spans="22:24" x14ac:dyDescent="0.3">
      <c r="V5205" t="e">
        <f>VLOOKUP(H5205,'[1]팀별 출판사'!A:B,2,0)</f>
        <v>#N/A</v>
      </c>
      <c r="W5205" s="6">
        <f t="shared" si="162"/>
        <v>0</v>
      </c>
      <c r="X5205" s="6">
        <f t="shared" si="163"/>
        <v>0</v>
      </c>
    </row>
    <row r="5206" spans="22:24" x14ac:dyDescent="0.3">
      <c r="V5206" t="e">
        <f>VLOOKUP(H5206,'[1]팀별 출판사'!A:B,2,0)</f>
        <v>#N/A</v>
      </c>
      <c r="W5206" s="6">
        <f t="shared" si="162"/>
        <v>0</v>
      </c>
      <c r="X5206" s="6">
        <f t="shared" si="163"/>
        <v>0</v>
      </c>
    </row>
    <row r="5207" spans="22:24" x14ac:dyDescent="0.3">
      <c r="V5207" t="e">
        <f>VLOOKUP(H5207,'[1]팀별 출판사'!A:B,2,0)</f>
        <v>#N/A</v>
      </c>
      <c r="W5207" s="6">
        <f t="shared" si="162"/>
        <v>0</v>
      </c>
      <c r="X5207" s="6">
        <f t="shared" si="163"/>
        <v>0</v>
      </c>
    </row>
    <row r="5208" spans="22:24" x14ac:dyDescent="0.3">
      <c r="V5208" t="e">
        <f>VLOOKUP(H5208,'[1]팀별 출판사'!A:B,2,0)</f>
        <v>#N/A</v>
      </c>
      <c r="W5208" s="6">
        <f t="shared" si="162"/>
        <v>0</v>
      </c>
      <c r="X5208" s="6">
        <f t="shared" si="163"/>
        <v>0</v>
      </c>
    </row>
    <row r="5209" spans="22:24" x14ac:dyDescent="0.3">
      <c r="V5209" t="e">
        <f>VLOOKUP(H5209,'[1]팀별 출판사'!A:B,2,0)</f>
        <v>#N/A</v>
      </c>
      <c r="W5209" s="6">
        <f t="shared" si="162"/>
        <v>0</v>
      </c>
      <c r="X5209" s="6">
        <f t="shared" si="163"/>
        <v>0</v>
      </c>
    </row>
    <row r="5210" spans="22:24" x14ac:dyDescent="0.3">
      <c r="V5210" t="e">
        <f>VLOOKUP(H5210,'[1]팀별 출판사'!A:B,2,0)</f>
        <v>#N/A</v>
      </c>
      <c r="W5210" s="6">
        <f t="shared" si="162"/>
        <v>0</v>
      </c>
      <c r="X5210" s="6">
        <f t="shared" si="163"/>
        <v>0</v>
      </c>
    </row>
    <row r="5211" spans="22:24" x14ac:dyDescent="0.3">
      <c r="V5211" t="e">
        <f>VLOOKUP(H5211,'[1]팀별 출판사'!A:B,2,0)</f>
        <v>#N/A</v>
      </c>
      <c r="W5211" s="6">
        <f t="shared" si="162"/>
        <v>0</v>
      </c>
      <c r="X5211" s="6">
        <f t="shared" si="163"/>
        <v>0</v>
      </c>
    </row>
    <row r="5212" spans="22:24" x14ac:dyDescent="0.3">
      <c r="V5212" t="e">
        <f>VLOOKUP(H5212,'[1]팀별 출판사'!A:B,2,0)</f>
        <v>#N/A</v>
      </c>
      <c r="W5212" s="6">
        <f t="shared" si="162"/>
        <v>0</v>
      </c>
      <c r="X5212" s="6">
        <f t="shared" si="163"/>
        <v>0</v>
      </c>
    </row>
    <row r="5213" spans="22:24" x14ac:dyDescent="0.3">
      <c r="V5213" t="e">
        <f>VLOOKUP(H5213,'[1]팀별 출판사'!A:B,2,0)</f>
        <v>#N/A</v>
      </c>
      <c r="W5213" s="6">
        <f t="shared" si="162"/>
        <v>0</v>
      </c>
      <c r="X5213" s="6">
        <f t="shared" si="163"/>
        <v>0</v>
      </c>
    </row>
    <row r="5214" spans="22:24" x14ac:dyDescent="0.3">
      <c r="V5214" t="e">
        <f>VLOOKUP(H5214,'[1]팀별 출판사'!A:B,2,0)</f>
        <v>#N/A</v>
      </c>
      <c r="W5214" s="6">
        <f t="shared" si="162"/>
        <v>0</v>
      </c>
      <c r="X5214" s="6">
        <f t="shared" si="163"/>
        <v>0</v>
      </c>
    </row>
    <row r="5215" spans="22:24" x14ac:dyDescent="0.3">
      <c r="V5215" t="e">
        <f>VLOOKUP(H5215,'[1]팀별 출판사'!A:B,2,0)</f>
        <v>#N/A</v>
      </c>
      <c r="W5215" s="6">
        <f t="shared" si="162"/>
        <v>0</v>
      </c>
      <c r="X5215" s="6">
        <f t="shared" si="163"/>
        <v>0</v>
      </c>
    </row>
    <row r="5216" spans="22:24" x14ac:dyDescent="0.3">
      <c r="V5216" t="e">
        <f>VLOOKUP(H5216,'[1]팀별 출판사'!A:B,2,0)</f>
        <v>#N/A</v>
      </c>
      <c r="W5216" s="6">
        <f t="shared" si="162"/>
        <v>0</v>
      </c>
      <c r="X5216" s="6">
        <f t="shared" si="163"/>
        <v>0</v>
      </c>
    </row>
    <row r="5217" spans="22:24" x14ac:dyDescent="0.3">
      <c r="V5217" t="e">
        <f>VLOOKUP(H5217,'[1]팀별 출판사'!A:B,2,0)</f>
        <v>#N/A</v>
      </c>
      <c r="W5217" s="6">
        <f t="shared" si="162"/>
        <v>0</v>
      </c>
      <c r="X5217" s="6">
        <f t="shared" si="163"/>
        <v>0</v>
      </c>
    </row>
    <row r="5218" spans="22:24" x14ac:dyDescent="0.3">
      <c r="V5218" t="e">
        <f>VLOOKUP(H5218,'[1]팀별 출판사'!A:B,2,0)</f>
        <v>#N/A</v>
      </c>
      <c r="W5218" s="6">
        <f t="shared" si="162"/>
        <v>0</v>
      </c>
      <c r="X5218" s="6">
        <f t="shared" si="163"/>
        <v>0</v>
      </c>
    </row>
    <row r="5219" spans="22:24" x14ac:dyDescent="0.3">
      <c r="V5219" t="e">
        <f>VLOOKUP(H5219,'[1]팀별 출판사'!A:B,2,0)</f>
        <v>#N/A</v>
      </c>
      <c r="W5219" s="6">
        <f t="shared" si="162"/>
        <v>0</v>
      </c>
      <c r="X5219" s="6">
        <f t="shared" si="163"/>
        <v>0</v>
      </c>
    </row>
    <row r="5220" spans="22:24" x14ac:dyDescent="0.3">
      <c r="V5220" t="e">
        <f>VLOOKUP(H5220,'[1]팀별 출판사'!A:B,2,0)</f>
        <v>#N/A</v>
      </c>
      <c r="W5220" s="6">
        <f t="shared" si="162"/>
        <v>0</v>
      </c>
      <c r="X5220" s="6">
        <f t="shared" si="163"/>
        <v>0</v>
      </c>
    </row>
    <row r="5221" spans="22:24" x14ac:dyDescent="0.3">
      <c r="V5221" t="e">
        <f>VLOOKUP(H5221,'[1]팀별 출판사'!A:B,2,0)</f>
        <v>#N/A</v>
      </c>
      <c r="W5221" s="6">
        <f t="shared" si="162"/>
        <v>0</v>
      </c>
      <c r="X5221" s="6">
        <f t="shared" si="163"/>
        <v>0</v>
      </c>
    </row>
    <row r="5222" spans="22:24" x14ac:dyDescent="0.3">
      <c r="V5222" t="e">
        <f>VLOOKUP(H5222,'[1]팀별 출판사'!A:B,2,0)</f>
        <v>#N/A</v>
      </c>
      <c r="W5222" s="6">
        <f t="shared" si="162"/>
        <v>0</v>
      </c>
      <c r="X5222" s="6">
        <f t="shared" si="163"/>
        <v>0</v>
      </c>
    </row>
    <row r="5223" spans="22:24" x14ac:dyDescent="0.3">
      <c r="V5223" t="e">
        <f>VLOOKUP(H5223,'[1]팀별 출판사'!A:B,2,0)</f>
        <v>#N/A</v>
      </c>
      <c r="W5223" s="6">
        <f t="shared" si="162"/>
        <v>0</v>
      </c>
      <c r="X5223" s="6">
        <f t="shared" si="163"/>
        <v>0</v>
      </c>
    </row>
    <row r="5224" spans="22:24" x14ac:dyDescent="0.3">
      <c r="V5224" t="e">
        <f>VLOOKUP(H5224,'[1]팀별 출판사'!A:B,2,0)</f>
        <v>#N/A</v>
      </c>
      <c r="W5224" s="6">
        <f t="shared" si="162"/>
        <v>0</v>
      </c>
      <c r="X5224" s="6">
        <f t="shared" si="163"/>
        <v>0</v>
      </c>
    </row>
    <row r="5225" spans="22:24" x14ac:dyDescent="0.3">
      <c r="V5225" t="e">
        <f>VLOOKUP(H5225,'[1]팀별 출판사'!A:B,2,0)</f>
        <v>#N/A</v>
      </c>
      <c r="W5225" s="6">
        <f t="shared" si="162"/>
        <v>0</v>
      </c>
      <c r="X5225" s="6">
        <f t="shared" si="163"/>
        <v>0</v>
      </c>
    </row>
    <row r="5226" spans="22:24" x14ac:dyDescent="0.3">
      <c r="V5226" t="e">
        <f>VLOOKUP(H5226,'[1]팀별 출판사'!A:B,2,0)</f>
        <v>#N/A</v>
      </c>
      <c r="W5226" s="6">
        <f t="shared" si="162"/>
        <v>0</v>
      </c>
      <c r="X5226" s="6">
        <f t="shared" si="163"/>
        <v>0</v>
      </c>
    </row>
    <row r="5227" spans="22:24" x14ac:dyDescent="0.3">
      <c r="V5227" t="e">
        <f>VLOOKUP(H5227,'[1]팀별 출판사'!A:B,2,0)</f>
        <v>#N/A</v>
      </c>
      <c r="W5227" s="6">
        <f t="shared" si="162"/>
        <v>0</v>
      </c>
      <c r="X5227" s="6">
        <f t="shared" si="163"/>
        <v>0</v>
      </c>
    </row>
    <row r="5228" spans="22:24" x14ac:dyDescent="0.3">
      <c r="V5228" t="e">
        <f>VLOOKUP(H5228,'[1]팀별 출판사'!A:B,2,0)</f>
        <v>#N/A</v>
      </c>
      <c r="W5228" s="6">
        <f t="shared" si="162"/>
        <v>0</v>
      </c>
      <c r="X5228" s="6">
        <f t="shared" si="163"/>
        <v>0</v>
      </c>
    </row>
    <row r="5229" spans="22:24" x14ac:dyDescent="0.3">
      <c r="V5229" t="e">
        <f>VLOOKUP(H5229,'[1]팀별 출판사'!A:B,2,0)</f>
        <v>#N/A</v>
      </c>
      <c r="W5229" s="6">
        <f t="shared" si="162"/>
        <v>0</v>
      </c>
      <c r="X5229" s="6">
        <f t="shared" si="163"/>
        <v>0</v>
      </c>
    </row>
    <row r="5230" spans="22:24" x14ac:dyDescent="0.3">
      <c r="V5230" t="e">
        <f>VLOOKUP(H5230,'[1]팀별 출판사'!A:B,2,0)</f>
        <v>#N/A</v>
      </c>
      <c r="W5230" s="6">
        <f t="shared" si="162"/>
        <v>0</v>
      </c>
      <c r="X5230" s="6">
        <f t="shared" si="163"/>
        <v>0</v>
      </c>
    </row>
    <row r="5231" spans="22:24" x14ac:dyDescent="0.3">
      <c r="V5231" t="e">
        <f>VLOOKUP(H5231,'[1]팀별 출판사'!A:B,2,0)</f>
        <v>#N/A</v>
      </c>
      <c r="W5231" s="6">
        <f t="shared" si="162"/>
        <v>0</v>
      </c>
      <c r="X5231" s="6">
        <f t="shared" si="163"/>
        <v>0</v>
      </c>
    </row>
    <row r="5232" spans="22:24" x14ac:dyDescent="0.3">
      <c r="V5232" t="e">
        <f>VLOOKUP(H5232,'[1]팀별 출판사'!A:B,2,0)</f>
        <v>#N/A</v>
      </c>
      <c r="W5232" s="6">
        <f t="shared" si="162"/>
        <v>0</v>
      </c>
      <c r="X5232" s="6">
        <f t="shared" si="163"/>
        <v>0</v>
      </c>
    </row>
    <row r="5233" spans="22:24" x14ac:dyDescent="0.3">
      <c r="V5233" t="e">
        <f>VLOOKUP(H5233,'[1]팀별 출판사'!A:B,2,0)</f>
        <v>#N/A</v>
      </c>
      <c r="W5233" s="6">
        <f t="shared" si="162"/>
        <v>0</v>
      </c>
      <c r="X5233" s="6">
        <f t="shared" si="163"/>
        <v>0</v>
      </c>
    </row>
    <row r="5234" spans="22:24" x14ac:dyDescent="0.3">
      <c r="V5234" t="e">
        <f>VLOOKUP(H5234,'[1]팀별 출판사'!A:B,2,0)</f>
        <v>#N/A</v>
      </c>
      <c r="W5234" s="6">
        <f t="shared" si="162"/>
        <v>0</v>
      </c>
      <c r="X5234" s="6">
        <f t="shared" si="163"/>
        <v>0</v>
      </c>
    </row>
    <row r="5235" spans="22:24" x14ac:dyDescent="0.3">
      <c r="V5235" t="e">
        <f>VLOOKUP(H5235,'[1]팀별 출판사'!A:B,2,0)</f>
        <v>#N/A</v>
      </c>
      <c r="W5235" s="6">
        <f t="shared" si="162"/>
        <v>0</v>
      </c>
      <c r="X5235" s="6">
        <f t="shared" si="163"/>
        <v>0</v>
      </c>
    </row>
    <row r="5236" spans="22:24" x14ac:dyDescent="0.3">
      <c r="V5236" t="e">
        <f>VLOOKUP(H5236,'[1]팀별 출판사'!A:B,2,0)</f>
        <v>#N/A</v>
      </c>
      <c r="W5236" s="6">
        <f t="shared" si="162"/>
        <v>0</v>
      </c>
      <c r="X5236" s="6">
        <f t="shared" si="163"/>
        <v>0</v>
      </c>
    </row>
    <row r="5237" spans="22:24" x14ac:dyDescent="0.3">
      <c r="V5237" t="e">
        <f>VLOOKUP(H5237,'[1]팀별 출판사'!A:B,2,0)</f>
        <v>#N/A</v>
      </c>
      <c r="W5237" s="6">
        <f t="shared" si="162"/>
        <v>0</v>
      </c>
      <c r="X5237" s="6">
        <f t="shared" si="163"/>
        <v>0</v>
      </c>
    </row>
    <row r="5238" spans="22:24" x14ac:dyDescent="0.3">
      <c r="V5238" t="e">
        <f>VLOOKUP(H5238,'[1]팀별 출판사'!A:B,2,0)</f>
        <v>#N/A</v>
      </c>
      <c r="W5238" s="6">
        <f t="shared" si="162"/>
        <v>0</v>
      </c>
      <c r="X5238" s="6">
        <f t="shared" si="163"/>
        <v>0</v>
      </c>
    </row>
    <row r="5239" spans="22:24" x14ac:dyDescent="0.3">
      <c r="V5239" t="e">
        <f>VLOOKUP(H5239,'[1]팀별 출판사'!A:B,2,0)</f>
        <v>#N/A</v>
      </c>
      <c r="W5239" s="6">
        <f t="shared" si="162"/>
        <v>0</v>
      </c>
      <c r="X5239" s="6">
        <f t="shared" si="163"/>
        <v>0</v>
      </c>
    </row>
    <row r="5240" spans="22:24" x14ac:dyDescent="0.3">
      <c r="V5240" t="e">
        <f>VLOOKUP(H5240,'[1]팀별 출판사'!A:B,2,0)</f>
        <v>#N/A</v>
      </c>
      <c r="W5240" s="6">
        <f t="shared" si="162"/>
        <v>0</v>
      </c>
      <c r="X5240" s="6">
        <f t="shared" si="163"/>
        <v>0</v>
      </c>
    </row>
    <row r="5241" spans="22:24" x14ac:dyDescent="0.3">
      <c r="V5241" t="e">
        <f>VLOOKUP(H5241,'[1]팀별 출판사'!A:B,2,0)</f>
        <v>#N/A</v>
      </c>
      <c r="W5241" s="6">
        <f t="shared" si="162"/>
        <v>0</v>
      </c>
      <c r="X5241" s="6">
        <f t="shared" si="163"/>
        <v>0</v>
      </c>
    </row>
    <row r="5242" spans="22:24" x14ac:dyDescent="0.3">
      <c r="V5242" t="e">
        <f>VLOOKUP(H5242,'[1]팀별 출판사'!A:B,2,0)</f>
        <v>#N/A</v>
      </c>
      <c r="W5242" s="6">
        <f t="shared" si="162"/>
        <v>0</v>
      </c>
      <c r="X5242" s="6">
        <f t="shared" si="163"/>
        <v>0</v>
      </c>
    </row>
    <row r="5243" spans="22:24" x14ac:dyDescent="0.3">
      <c r="V5243" t="e">
        <f>VLOOKUP(H5243,'[1]팀별 출판사'!A:B,2,0)</f>
        <v>#N/A</v>
      </c>
      <c r="W5243" s="6">
        <f t="shared" si="162"/>
        <v>0</v>
      </c>
      <c r="X5243" s="6">
        <f t="shared" si="163"/>
        <v>0</v>
      </c>
    </row>
    <row r="5244" spans="22:24" x14ac:dyDescent="0.3">
      <c r="V5244" t="e">
        <f>VLOOKUP(H5244,'[1]팀별 출판사'!A:B,2,0)</f>
        <v>#N/A</v>
      </c>
      <c r="W5244" s="6">
        <f t="shared" si="162"/>
        <v>0</v>
      </c>
      <c r="X5244" s="6">
        <f t="shared" si="163"/>
        <v>0</v>
      </c>
    </row>
    <row r="5245" spans="22:24" x14ac:dyDescent="0.3">
      <c r="V5245" t="e">
        <f>VLOOKUP(H5245,'[1]팀별 출판사'!A:B,2,0)</f>
        <v>#N/A</v>
      </c>
      <c r="W5245" s="6">
        <f t="shared" si="162"/>
        <v>0</v>
      </c>
      <c r="X5245" s="6">
        <f t="shared" si="163"/>
        <v>0</v>
      </c>
    </row>
    <row r="5246" spans="22:24" x14ac:dyDescent="0.3">
      <c r="V5246" t="e">
        <f>VLOOKUP(H5246,'[1]팀별 출판사'!A:B,2,0)</f>
        <v>#N/A</v>
      </c>
      <c r="W5246" s="6">
        <f t="shared" si="162"/>
        <v>0</v>
      </c>
      <c r="X5246" s="6">
        <f t="shared" si="163"/>
        <v>0</v>
      </c>
    </row>
    <row r="5247" spans="22:24" x14ac:dyDescent="0.3">
      <c r="V5247" t="e">
        <f>VLOOKUP(H5247,'[1]팀별 출판사'!A:B,2,0)</f>
        <v>#N/A</v>
      </c>
      <c r="W5247" s="6">
        <f t="shared" si="162"/>
        <v>0</v>
      </c>
      <c r="X5247" s="6">
        <f t="shared" si="163"/>
        <v>0</v>
      </c>
    </row>
    <row r="5248" spans="22:24" x14ac:dyDescent="0.3">
      <c r="V5248" t="e">
        <f>VLOOKUP(H5248,'[1]팀별 출판사'!A:B,2,0)</f>
        <v>#N/A</v>
      </c>
      <c r="W5248" s="6">
        <f t="shared" si="162"/>
        <v>0</v>
      </c>
      <c r="X5248" s="6">
        <f t="shared" si="163"/>
        <v>0</v>
      </c>
    </row>
    <row r="5249" spans="22:24" x14ac:dyDescent="0.3">
      <c r="V5249" t="e">
        <f>VLOOKUP(H5249,'[1]팀별 출판사'!A:B,2,0)</f>
        <v>#N/A</v>
      </c>
      <c r="W5249" s="6">
        <f t="shared" si="162"/>
        <v>0</v>
      </c>
      <c r="X5249" s="6">
        <f t="shared" si="163"/>
        <v>0</v>
      </c>
    </row>
    <row r="5250" spans="22:24" x14ac:dyDescent="0.3">
      <c r="V5250" t="e">
        <f>VLOOKUP(H5250,'[1]팀별 출판사'!A:B,2,0)</f>
        <v>#N/A</v>
      </c>
      <c r="W5250" s="6">
        <f t="shared" ref="W5250:W5313" si="164">IF(P5250="US", T5250*30%, 0)</f>
        <v>0</v>
      </c>
      <c r="X5250" s="6">
        <f t="shared" ref="X5250:X5313" si="165">T5250-W5250</f>
        <v>0</v>
      </c>
    </row>
    <row r="5251" spans="22:24" x14ac:dyDescent="0.3">
      <c r="V5251" t="e">
        <f>VLOOKUP(H5251,'[1]팀별 출판사'!A:B,2,0)</f>
        <v>#N/A</v>
      </c>
      <c r="W5251" s="6">
        <f t="shared" si="164"/>
        <v>0</v>
      </c>
      <c r="X5251" s="6">
        <f t="shared" si="165"/>
        <v>0</v>
      </c>
    </row>
    <row r="5252" spans="22:24" x14ac:dyDescent="0.3">
      <c r="V5252" t="e">
        <f>VLOOKUP(H5252,'[1]팀별 출판사'!A:B,2,0)</f>
        <v>#N/A</v>
      </c>
      <c r="W5252" s="6">
        <f t="shared" si="164"/>
        <v>0</v>
      </c>
      <c r="X5252" s="6">
        <f t="shared" si="165"/>
        <v>0</v>
      </c>
    </row>
    <row r="5253" spans="22:24" x14ac:dyDescent="0.3">
      <c r="V5253" t="e">
        <f>VLOOKUP(H5253,'[1]팀별 출판사'!A:B,2,0)</f>
        <v>#N/A</v>
      </c>
      <c r="W5253" s="6">
        <f t="shared" si="164"/>
        <v>0</v>
      </c>
      <c r="X5253" s="6">
        <f t="shared" si="165"/>
        <v>0</v>
      </c>
    </row>
    <row r="5254" spans="22:24" x14ac:dyDescent="0.3">
      <c r="V5254" t="e">
        <f>VLOOKUP(H5254,'[1]팀별 출판사'!A:B,2,0)</f>
        <v>#N/A</v>
      </c>
      <c r="W5254" s="6">
        <f t="shared" si="164"/>
        <v>0</v>
      </c>
      <c r="X5254" s="6">
        <f t="shared" si="165"/>
        <v>0</v>
      </c>
    </row>
    <row r="5255" spans="22:24" x14ac:dyDescent="0.3">
      <c r="V5255" t="e">
        <f>VLOOKUP(H5255,'[1]팀별 출판사'!A:B,2,0)</f>
        <v>#N/A</v>
      </c>
      <c r="W5255" s="6">
        <f t="shared" si="164"/>
        <v>0</v>
      </c>
      <c r="X5255" s="6">
        <f t="shared" si="165"/>
        <v>0</v>
      </c>
    </row>
    <row r="5256" spans="22:24" x14ac:dyDescent="0.3">
      <c r="V5256" t="e">
        <f>VLOOKUP(H5256,'[1]팀별 출판사'!A:B,2,0)</f>
        <v>#N/A</v>
      </c>
      <c r="W5256" s="6">
        <f t="shared" si="164"/>
        <v>0</v>
      </c>
      <c r="X5256" s="6">
        <f t="shared" si="165"/>
        <v>0</v>
      </c>
    </row>
    <row r="5257" spans="22:24" x14ac:dyDescent="0.3">
      <c r="V5257" t="e">
        <f>VLOOKUP(H5257,'[1]팀별 출판사'!A:B,2,0)</f>
        <v>#N/A</v>
      </c>
      <c r="W5257" s="6">
        <f t="shared" si="164"/>
        <v>0</v>
      </c>
      <c r="X5257" s="6">
        <f t="shared" si="165"/>
        <v>0</v>
      </c>
    </row>
    <row r="5258" spans="22:24" x14ac:dyDescent="0.3">
      <c r="V5258" t="e">
        <f>VLOOKUP(H5258,'[1]팀별 출판사'!A:B,2,0)</f>
        <v>#N/A</v>
      </c>
      <c r="W5258" s="6">
        <f t="shared" si="164"/>
        <v>0</v>
      </c>
      <c r="X5258" s="6">
        <f t="shared" si="165"/>
        <v>0</v>
      </c>
    </row>
    <row r="5259" spans="22:24" x14ac:dyDescent="0.3">
      <c r="V5259" t="e">
        <f>VLOOKUP(H5259,'[1]팀별 출판사'!A:B,2,0)</f>
        <v>#N/A</v>
      </c>
      <c r="W5259" s="6">
        <f t="shared" si="164"/>
        <v>0</v>
      </c>
      <c r="X5259" s="6">
        <f t="shared" si="165"/>
        <v>0</v>
      </c>
    </row>
    <row r="5260" spans="22:24" x14ac:dyDescent="0.3">
      <c r="V5260" t="e">
        <f>VLOOKUP(H5260,'[1]팀별 출판사'!A:B,2,0)</f>
        <v>#N/A</v>
      </c>
      <c r="W5260" s="6">
        <f t="shared" si="164"/>
        <v>0</v>
      </c>
      <c r="X5260" s="6">
        <f t="shared" si="165"/>
        <v>0</v>
      </c>
    </row>
    <row r="5261" spans="22:24" x14ac:dyDescent="0.3">
      <c r="V5261" t="e">
        <f>VLOOKUP(H5261,'[1]팀별 출판사'!A:B,2,0)</f>
        <v>#N/A</v>
      </c>
      <c r="W5261" s="6">
        <f t="shared" si="164"/>
        <v>0</v>
      </c>
      <c r="X5261" s="6">
        <f t="shared" si="165"/>
        <v>0</v>
      </c>
    </row>
    <row r="5262" spans="22:24" x14ac:dyDescent="0.3">
      <c r="V5262" t="e">
        <f>VLOOKUP(H5262,'[1]팀별 출판사'!A:B,2,0)</f>
        <v>#N/A</v>
      </c>
      <c r="W5262" s="6">
        <f t="shared" si="164"/>
        <v>0</v>
      </c>
      <c r="X5262" s="6">
        <f t="shared" si="165"/>
        <v>0</v>
      </c>
    </row>
    <row r="5263" spans="22:24" x14ac:dyDescent="0.3">
      <c r="V5263" t="e">
        <f>VLOOKUP(H5263,'[1]팀별 출판사'!A:B,2,0)</f>
        <v>#N/A</v>
      </c>
      <c r="W5263" s="6">
        <f t="shared" si="164"/>
        <v>0</v>
      </c>
      <c r="X5263" s="6">
        <f t="shared" si="165"/>
        <v>0</v>
      </c>
    </row>
    <row r="5264" spans="22:24" x14ac:dyDescent="0.3">
      <c r="V5264" t="e">
        <f>VLOOKUP(H5264,'[1]팀별 출판사'!A:B,2,0)</f>
        <v>#N/A</v>
      </c>
      <c r="W5264" s="6">
        <f t="shared" si="164"/>
        <v>0</v>
      </c>
      <c r="X5264" s="6">
        <f t="shared" si="165"/>
        <v>0</v>
      </c>
    </row>
    <row r="5265" spans="22:24" x14ac:dyDescent="0.3">
      <c r="V5265" t="e">
        <f>VLOOKUP(H5265,'[1]팀별 출판사'!A:B,2,0)</f>
        <v>#N/A</v>
      </c>
      <c r="W5265" s="6">
        <f t="shared" si="164"/>
        <v>0</v>
      </c>
      <c r="X5265" s="6">
        <f t="shared" si="165"/>
        <v>0</v>
      </c>
    </row>
    <row r="5266" spans="22:24" x14ac:dyDescent="0.3">
      <c r="V5266" t="e">
        <f>VLOOKUP(H5266,'[1]팀별 출판사'!A:B,2,0)</f>
        <v>#N/A</v>
      </c>
      <c r="W5266" s="6">
        <f t="shared" si="164"/>
        <v>0</v>
      </c>
      <c r="X5266" s="6">
        <f t="shared" si="165"/>
        <v>0</v>
      </c>
    </row>
    <row r="5267" spans="22:24" x14ac:dyDescent="0.3">
      <c r="V5267" t="e">
        <f>VLOOKUP(H5267,'[1]팀별 출판사'!A:B,2,0)</f>
        <v>#N/A</v>
      </c>
      <c r="W5267" s="6">
        <f t="shared" si="164"/>
        <v>0</v>
      </c>
      <c r="X5267" s="6">
        <f t="shared" si="165"/>
        <v>0</v>
      </c>
    </row>
    <row r="5268" spans="22:24" x14ac:dyDescent="0.3">
      <c r="V5268" t="e">
        <f>VLOOKUP(H5268,'[1]팀별 출판사'!A:B,2,0)</f>
        <v>#N/A</v>
      </c>
      <c r="W5268" s="6">
        <f t="shared" si="164"/>
        <v>0</v>
      </c>
      <c r="X5268" s="6">
        <f t="shared" si="165"/>
        <v>0</v>
      </c>
    </row>
    <row r="5269" spans="22:24" x14ac:dyDescent="0.3">
      <c r="V5269" t="e">
        <f>VLOOKUP(H5269,'[1]팀별 출판사'!A:B,2,0)</f>
        <v>#N/A</v>
      </c>
      <c r="W5269" s="6">
        <f t="shared" si="164"/>
        <v>0</v>
      </c>
      <c r="X5269" s="6">
        <f t="shared" si="165"/>
        <v>0</v>
      </c>
    </row>
    <row r="5270" spans="22:24" x14ac:dyDescent="0.3">
      <c r="V5270" t="e">
        <f>VLOOKUP(H5270,'[1]팀별 출판사'!A:B,2,0)</f>
        <v>#N/A</v>
      </c>
      <c r="W5270" s="6">
        <f t="shared" si="164"/>
        <v>0</v>
      </c>
      <c r="X5270" s="6">
        <f t="shared" si="165"/>
        <v>0</v>
      </c>
    </row>
    <row r="5271" spans="22:24" x14ac:dyDescent="0.3">
      <c r="V5271" t="e">
        <f>VLOOKUP(H5271,'[1]팀별 출판사'!A:B,2,0)</f>
        <v>#N/A</v>
      </c>
      <c r="W5271" s="6">
        <f t="shared" si="164"/>
        <v>0</v>
      </c>
      <c r="X5271" s="6">
        <f t="shared" si="165"/>
        <v>0</v>
      </c>
    </row>
    <row r="5272" spans="22:24" x14ac:dyDescent="0.3">
      <c r="V5272" t="e">
        <f>VLOOKUP(H5272,'[1]팀별 출판사'!A:B,2,0)</f>
        <v>#N/A</v>
      </c>
      <c r="W5272" s="6">
        <f t="shared" si="164"/>
        <v>0</v>
      </c>
      <c r="X5272" s="6">
        <f t="shared" si="165"/>
        <v>0</v>
      </c>
    </row>
    <row r="5273" spans="22:24" x14ac:dyDescent="0.3">
      <c r="V5273" t="e">
        <f>VLOOKUP(H5273,'[1]팀별 출판사'!A:B,2,0)</f>
        <v>#N/A</v>
      </c>
      <c r="W5273" s="6">
        <f t="shared" si="164"/>
        <v>0</v>
      </c>
      <c r="X5273" s="6">
        <f t="shared" si="165"/>
        <v>0</v>
      </c>
    </row>
    <row r="5274" spans="22:24" x14ac:dyDescent="0.3">
      <c r="V5274" t="e">
        <f>VLOOKUP(H5274,'[1]팀별 출판사'!A:B,2,0)</f>
        <v>#N/A</v>
      </c>
      <c r="W5274" s="6">
        <f t="shared" si="164"/>
        <v>0</v>
      </c>
      <c r="X5274" s="6">
        <f t="shared" si="165"/>
        <v>0</v>
      </c>
    </row>
    <row r="5275" spans="22:24" x14ac:dyDescent="0.3">
      <c r="V5275" t="e">
        <f>VLOOKUP(H5275,'[1]팀별 출판사'!A:B,2,0)</f>
        <v>#N/A</v>
      </c>
      <c r="W5275" s="6">
        <f t="shared" si="164"/>
        <v>0</v>
      </c>
      <c r="X5275" s="6">
        <f t="shared" si="165"/>
        <v>0</v>
      </c>
    </row>
    <row r="5276" spans="22:24" x14ac:dyDescent="0.3">
      <c r="V5276" t="e">
        <f>VLOOKUP(H5276,'[1]팀별 출판사'!A:B,2,0)</f>
        <v>#N/A</v>
      </c>
      <c r="W5276" s="6">
        <f t="shared" si="164"/>
        <v>0</v>
      </c>
      <c r="X5276" s="6">
        <f t="shared" si="165"/>
        <v>0</v>
      </c>
    </row>
    <row r="5277" spans="22:24" x14ac:dyDescent="0.3">
      <c r="V5277" t="e">
        <f>VLOOKUP(H5277,'[1]팀별 출판사'!A:B,2,0)</f>
        <v>#N/A</v>
      </c>
      <c r="W5277" s="6">
        <f t="shared" si="164"/>
        <v>0</v>
      </c>
      <c r="X5277" s="6">
        <f t="shared" si="165"/>
        <v>0</v>
      </c>
    </row>
    <row r="5278" spans="22:24" x14ac:dyDescent="0.3">
      <c r="V5278" t="e">
        <f>VLOOKUP(H5278,'[1]팀별 출판사'!A:B,2,0)</f>
        <v>#N/A</v>
      </c>
      <c r="W5278" s="6">
        <f t="shared" si="164"/>
        <v>0</v>
      </c>
      <c r="X5278" s="6">
        <f t="shared" si="165"/>
        <v>0</v>
      </c>
    </row>
    <row r="5279" spans="22:24" x14ac:dyDescent="0.3">
      <c r="V5279" t="e">
        <f>VLOOKUP(H5279,'[1]팀별 출판사'!A:B,2,0)</f>
        <v>#N/A</v>
      </c>
      <c r="W5279" s="6">
        <f t="shared" si="164"/>
        <v>0</v>
      </c>
      <c r="X5279" s="6">
        <f t="shared" si="165"/>
        <v>0</v>
      </c>
    </row>
    <row r="5280" spans="22:24" x14ac:dyDescent="0.3">
      <c r="V5280" t="e">
        <f>VLOOKUP(H5280,'[1]팀별 출판사'!A:B,2,0)</f>
        <v>#N/A</v>
      </c>
      <c r="W5280" s="6">
        <f t="shared" si="164"/>
        <v>0</v>
      </c>
      <c r="X5280" s="6">
        <f t="shared" si="165"/>
        <v>0</v>
      </c>
    </row>
    <row r="5281" spans="22:24" x14ac:dyDescent="0.3">
      <c r="V5281" t="e">
        <f>VLOOKUP(H5281,'[1]팀별 출판사'!A:B,2,0)</f>
        <v>#N/A</v>
      </c>
      <c r="W5281" s="6">
        <f t="shared" si="164"/>
        <v>0</v>
      </c>
      <c r="X5281" s="6">
        <f t="shared" si="165"/>
        <v>0</v>
      </c>
    </row>
    <row r="5282" spans="22:24" x14ac:dyDescent="0.3">
      <c r="V5282" t="e">
        <f>VLOOKUP(H5282,'[1]팀별 출판사'!A:B,2,0)</f>
        <v>#N/A</v>
      </c>
      <c r="W5282" s="6">
        <f t="shared" si="164"/>
        <v>0</v>
      </c>
      <c r="X5282" s="6">
        <f t="shared" si="165"/>
        <v>0</v>
      </c>
    </row>
    <row r="5283" spans="22:24" x14ac:dyDescent="0.3">
      <c r="V5283" t="e">
        <f>VLOOKUP(H5283,'[1]팀별 출판사'!A:B,2,0)</f>
        <v>#N/A</v>
      </c>
      <c r="W5283" s="6">
        <f t="shared" si="164"/>
        <v>0</v>
      </c>
      <c r="X5283" s="6">
        <f t="shared" si="165"/>
        <v>0</v>
      </c>
    </row>
    <row r="5284" spans="22:24" x14ac:dyDescent="0.3">
      <c r="V5284" t="e">
        <f>VLOOKUP(H5284,'[1]팀별 출판사'!A:B,2,0)</f>
        <v>#N/A</v>
      </c>
      <c r="W5284" s="6">
        <f t="shared" si="164"/>
        <v>0</v>
      </c>
      <c r="X5284" s="6">
        <f t="shared" si="165"/>
        <v>0</v>
      </c>
    </row>
    <row r="5285" spans="22:24" x14ac:dyDescent="0.3">
      <c r="V5285" t="e">
        <f>VLOOKUP(H5285,'[1]팀별 출판사'!A:B,2,0)</f>
        <v>#N/A</v>
      </c>
      <c r="W5285" s="6">
        <f t="shared" si="164"/>
        <v>0</v>
      </c>
      <c r="X5285" s="6">
        <f t="shared" si="165"/>
        <v>0</v>
      </c>
    </row>
    <row r="5286" spans="22:24" x14ac:dyDescent="0.3">
      <c r="V5286" t="e">
        <f>VLOOKUP(H5286,'[1]팀별 출판사'!A:B,2,0)</f>
        <v>#N/A</v>
      </c>
      <c r="W5286" s="6">
        <f t="shared" si="164"/>
        <v>0</v>
      </c>
      <c r="X5286" s="6">
        <f t="shared" si="165"/>
        <v>0</v>
      </c>
    </row>
    <row r="5287" spans="22:24" x14ac:dyDescent="0.3">
      <c r="V5287" t="e">
        <f>VLOOKUP(H5287,'[1]팀별 출판사'!A:B,2,0)</f>
        <v>#N/A</v>
      </c>
      <c r="W5287" s="6">
        <f t="shared" si="164"/>
        <v>0</v>
      </c>
      <c r="X5287" s="6">
        <f t="shared" si="165"/>
        <v>0</v>
      </c>
    </row>
    <row r="5288" spans="22:24" x14ac:dyDescent="0.3">
      <c r="V5288" t="e">
        <f>VLOOKUP(H5288,'[1]팀별 출판사'!A:B,2,0)</f>
        <v>#N/A</v>
      </c>
      <c r="W5288" s="6">
        <f t="shared" si="164"/>
        <v>0</v>
      </c>
      <c r="X5288" s="6">
        <f t="shared" si="165"/>
        <v>0</v>
      </c>
    </row>
    <row r="5289" spans="22:24" x14ac:dyDescent="0.3">
      <c r="V5289" t="e">
        <f>VLOOKUP(H5289,'[1]팀별 출판사'!A:B,2,0)</f>
        <v>#N/A</v>
      </c>
      <c r="W5289" s="6">
        <f t="shared" si="164"/>
        <v>0</v>
      </c>
      <c r="X5289" s="6">
        <f t="shared" si="165"/>
        <v>0</v>
      </c>
    </row>
    <row r="5290" spans="22:24" x14ac:dyDescent="0.3">
      <c r="V5290" t="e">
        <f>VLOOKUP(H5290,'[1]팀별 출판사'!A:B,2,0)</f>
        <v>#N/A</v>
      </c>
      <c r="W5290" s="6">
        <f t="shared" si="164"/>
        <v>0</v>
      </c>
      <c r="X5290" s="6">
        <f t="shared" si="165"/>
        <v>0</v>
      </c>
    </row>
    <row r="5291" spans="22:24" x14ac:dyDescent="0.3">
      <c r="V5291" t="e">
        <f>VLOOKUP(H5291,'[1]팀별 출판사'!A:B,2,0)</f>
        <v>#N/A</v>
      </c>
      <c r="W5291" s="6">
        <f t="shared" si="164"/>
        <v>0</v>
      </c>
      <c r="X5291" s="6">
        <f t="shared" si="165"/>
        <v>0</v>
      </c>
    </row>
    <row r="5292" spans="22:24" x14ac:dyDescent="0.3">
      <c r="V5292" t="e">
        <f>VLOOKUP(H5292,'[1]팀별 출판사'!A:B,2,0)</f>
        <v>#N/A</v>
      </c>
      <c r="W5292" s="6">
        <f t="shared" si="164"/>
        <v>0</v>
      </c>
      <c r="X5292" s="6">
        <f t="shared" si="165"/>
        <v>0</v>
      </c>
    </row>
    <row r="5293" spans="22:24" x14ac:dyDescent="0.3">
      <c r="V5293" t="e">
        <f>VLOOKUP(H5293,'[1]팀별 출판사'!A:B,2,0)</f>
        <v>#N/A</v>
      </c>
      <c r="W5293" s="6">
        <f t="shared" si="164"/>
        <v>0</v>
      </c>
      <c r="X5293" s="6">
        <f t="shared" si="165"/>
        <v>0</v>
      </c>
    </row>
    <row r="5294" spans="22:24" x14ac:dyDescent="0.3">
      <c r="V5294" t="e">
        <f>VLOOKUP(H5294,'[1]팀별 출판사'!A:B,2,0)</f>
        <v>#N/A</v>
      </c>
      <c r="W5294" s="6">
        <f t="shared" si="164"/>
        <v>0</v>
      </c>
      <c r="X5294" s="6">
        <f t="shared" si="165"/>
        <v>0</v>
      </c>
    </row>
    <row r="5295" spans="22:24" x14ac:dyDescent="0.3">
      <c r="V5295" t="e">
        <f>VLOOKUP(H5295,'[1]팀별 출판사'!A:B,2,0)</f>
        <v>#N/A</v>
      </c>
      <c r="W5295" s="6">
        <f t="shared" si="164"/>
        <v>0</v>
      </c>
      <c r="X5295" s="6">
        <f t="shared" si="165"/>
        <v>0</v>
      </c>
    </row>
    <row r="5296" spans="22:24" x14ac:dyDescent="0.3">
      <c r="V5296" t="e">
        <f>VLOOKUP(H5296,'[1]팀별 출판사'!A:B,2,0)</f>
        <v>#N/A</v>
      </c>
      <c r="W5296" s="6">
        <f t="shared" si="164"/>
        <v>0</v>
      </c>
      <c r="X5296" s="6">
        <f t="shared" si="165"/>
        <v>0</v>
      </c>
    </row>
    <row r="5297" spans="22:24" x14ac:dyDescent="0.3">
      <c r="V5297" t="e">
        <f>VLOOKUP(H5297,'[1]팀별 출판사'!A:B,2,0)</f>
        <v>#N/A</v>
      </c>
      <c r="W5297" s="6">
        <f t="shared" si="164"/>
        <v>0</v>
      </c>
      <c r="X5297" s="6">
        <f t="shared" si="165"/>
        <v>0</v>
      </c>
    </row>
    <row r="5298" spans="22:24" x14ac:dyDescent="0.3">
      <c r="V5298" t="e">
        <f>VLOOKUP(H5298,'[1]팀별 출판사'!A:B,2,0)</f>
        <v>#N/A</v>
      </c>
      <c r="W5298" s="6">
        <f t="shared" si="164"/>
        <v>0</v>
      </c>
      <c r="X5298" s="6">
        <f t="shared" si="165"/>
        <v>0</v>
      </c>
    </row>
    <row r="5299" spans="22:24" x14ac:dyDescent="0.3">
      <c r="V5299" t="e">
        <f>VLOOKUP(H5299,'[1]팀별 출판사'!A:B,2,0)</f>
        <v>#N/A</v>
      </c>
      <c r="W5299" s="6">
        <f t="shared" si="164"/>
        <v>0</v>
      </c>
      <c r="X5299" s="6">
        <f t="shared" si="165"/>
        <v>0</v>
      </c>
    </row>
    <row r="5300" spans="22:24" x14ac:dyDescent="0.3">
      <c r="V5300" t="e">
        <f>VLOOKUP(H5300,'[1]팀별 출판사'!A:B,2,0)</f>
        <v>#N/A</v>
      </c>
      <c r="W5300" s="6">
        <f t="shared" si="164"/>
        <v>0</v>
      </c>
      <c r="X5300" s="6">
        <f t="shared" si="165"/>
        <v>0</v>
      </c>
    </row>
    <row r="5301" spans="22:24" x14ac:dyDescent="0.3">
      <c r="V5301" t="e">
        <f>VLOOKUP(H5301,'[1]팀별 출판사'!A:B,2,0)</f>
        <v>#N/A</v>
      </c>
      <c r="W5301" s="6">
        <f t="shared" si="164"/>
        <v>0</v>
      </c>
      <c r="X5301" s="6">
        <f t="shared" si="165"/>
        <v>0</v>
      </c>
    </row>
    <row r="5302" spans="22:24" x14ac:dyDescent="0.3">
      <c r="V5302" t="e">
        <f>VLOOKUP(H5302,'[1]팀별 출판사'!A:B,2,0)</f>
        <v>#N/A</v>
      </c>
      <c r="W5302" s="6">
        <f t="shared" si="164"/>
        <v>0</v>
      </c>
      <c r="X5302" s="6">
        <f t="shared" si="165"/>
        <v>0</v>
      </c>
    </row>
    <row r="5303" spans="22:24" x14ac:dyDescent="0.3">
      <c r="V5303" t="e">
        <f>VLOOKUP(H5303,'[1]팀별 출판사'!A:B,2,0)</f>
        <v>#N/A</v>
      </c>
      <c r="W5303" s="6">
        <f t="shared" si="164"/>
        <v>0</v>
      </c>
      <c r="X5303" s="6">
        <f t="shared" si="165"/>
        <v>0</v>
      </c>
    </row>
    <row r="5304" spans="22:24" x14ac:dyDescent="0.3">
      <c r="V5304" t="e">
        <f>VLOOKUP(H5304,'[1]팀별 출판사'!A:B,2,0)</f>
        <v>#N/A</v>
      </c>
      <c r="W5304" s="6">
        <f t="shared" si="164"/>
        <v>0</v>
      </c>
      <c r="X5304" s="6">
        <f t="shared" si="165"/>
        <v>0</v>
      </c>
    </row>
    <row r="5305" spans="22:24" x14ac:dyDescent="0.3">
      <c r="V5305" t="e">
        <f>VLOOKUP(H5305,'[1]팀별 출판사'!A:B,2,0)</f>
        <v>#N/A</v>
      </c>
      <c r="W5305" s="6">
        <f t="shared" si="164"/>
        <v>0</v>
      </c>
      <c r="X5305" s="6">
        <f t="shared" si="165"/>
        <v>0</v>
      </c>
    </row>
    <row r="5306" spans="22:24" x14ac:dyDescent="0.3">
      <c r="V5306" t="e">
        <f>VLOOKUP(H5306,'[1]팀별 출판사'!A:B,2,0)</f>
        <v>#N/A</v>
      </c>
      <c r="W5306" s="6">
        <f t="shared" si="164"/>
        <v>0</v>
      </c>
      <c r="X5306" s="6">
        <f t="shared" si="165"/>
        <v>0</v>
      </c>
    </row>
    <row r="5307" spans="22:24" x14ac:dyDescent="0.3">
      <c r="V5307" t="e">
        <f>VLOOKUP(H5307,'[1]팀별 출판사'!A:B,2,0)</f>
        <v>#N/A</v>
      </c>
      <c r="W5307" s="6">
        <f t="shared" si="164"/>
        <v>0</v>
      </c>
      <c r="X5307" s="6">
        <f t="shared" si="165"/>
        <v>0</v>
      </c>
    </row>
    <row r="5308" spans="22:24" x14ac:dyDescent="0.3">
      <c r="V5308" t="e">
        <f>VLOOKUP(H5308,'[1]팀별 출판사'!A:B,2,0)</f>
        <v>#N/A</v>
      </c>
      <c r="W5308" s="6">
        <f t="shared" si="164"/>
        <v>0</v>
      </c>
      <c r="X5308" s="6">
        <f t="shared" si="165"/>
        <v>0</v>
      </c>
    </row>
    <row r="5309" spans="22:24" x14ac:dyDescent="0.3">
      <c r="V5309" t="e">
        <f>VLOOKUP(H5309,'[1]팀별 출판사'!A:B,2,0)</f>
        <v>#N/A</v>
      </c>
      <c r="W5309" s="6">
        <f t="shared" si="164"/>
        <v>0</v>
      </c>
      <c r="X5309" s="6">
        <f t="shared" si="165"/>
        <v>0</v>
      </c>
    </row>
    <row r="5310" spans="22:24" x14ac:dyDescent="0.3">
      <c r="V5310" t="e">
        <f>VLOOKUP(H5310,'[1]팀별 출판사'!A:B,2,0)</f>
        <v>#N/A</v>
      </c>
      <c r="W5310" s="6">
        <f t="shared" si="164"/>
        <v>0</v>
      </c>
      <c r="X5310" s="6">
        <f t="shared" si="165"/>
        <v>0</v>
      </c>
    </row>
    <row r="5311" spans="22:24" x14ac:dyDescent="0.3">
      <c r="V5311" t="e">
        <f>VLOOKUP(H5311,'[1]팀별 출판사'!A:B,2,0)</f>
        <v>#N/A</v>
      </c>
      <c r="W5311" s="6">
        <f t="shared" si="164"/>
        <v>0</v>
      </c>
      <c r="X5311" s="6">
        <f t="shared" si="165"/>
        <v>0</v>
      </c>
    </row>
    <row r="5312" spans="22:24" x14ac:dyDescent="0.3">
      <c r="V5312" t="e">
        <f>VLOOKUP(H5312,'[1]팀별 출판사'!A:B,2,0)</f>
        <v>#N/A</v>
      </c>
      <c r="W5312" s="6">
        <f t="shared" si="164"/>
        <v>0</v>
      </c>
      <c r="X5312" s="6">
        <f t="shared" si="165"/>
        <v>0</v>
      </c>
    </row>
    <row r="5313" spans="22:24" x14ac:dyDescent="0.3">
      <c r="V5313" t="e">
        <f>VLOOKUP(H5313,'[1]팀별 출판사'!A:B,2,0)</f>
        <v>#N/A</v>
      </c>
      <c r="W5313" s="6">
        <f t="shared" si="164"/>
        <v>0</v>
      </c>
      <c r="X5313" s="6">
        <f t="shared" si="165"/>
        <v>0</v>
      </c>
    </row>
    <row r="5314" spans="22:24" x14ac:dyDescent="0.3">
      <c r="V5314" t="e">
        <f>VLOOKUP(H5314,'[1]팀별 출판사'!A:B,2,0)</f>
        <v>#N/A</v>
      </c>
      <c r="W5314" s="6">
        <f t="shared" ref="W5314:W5377" si="166">IF(P5314="US", T5314*30%, 0)</f>
        <v>0</v>
      </c>
      <c r="X5314" s="6">
        <f t="shared" ref="X5314:X5377" si="167">T5314-W5314</f>
        <v>0</v>
      </c>
    </row>
    <row r="5315" spans="22:24" x14ac:dyDescent="0.3">
      <c r="V5315" t="e">
        <f>VLOOKUP(H5315,'[1]팀별 출판사'!A:B,2,0)</f>
        <v>#N/A</v>
      </c>
      <c r="W5315" s="6">
        <f t="shared" si="166"/>
        <v>0</v>
      </c>
      <c r="X5315" s="6">
        <f t="shared" si="167"/>
        <v>0</v>
      </c>
    </row>
    <row r="5316" spans="22:24" x14ac:dyDescent="0.3">
      <c r="V5316" t="e">
        <f>VLOOKUP(H5316,'[1]팀별 출판사'!A:B,2,0)</f>
        <v>#N/A</v>
      </c>
      <c r="W5316" s="6">
        <f t="shared" si="166"/>
        <v>0</v>
      </c>
      <c r="X5316" s="6">
        <f t="shared" si="167"/>
        <v>0</v>
      </c>
    </row>
    <row r="5317" spans="22:24" x14ac:dyDescent="0.3">
      <c r="V5317" t="e">
        <f>VLOOKUP(H5317,'[1]팀별 출판사'!A:B,2,0)</f>
        <v>#N/A</v>
      </c>
      <c r="W5317" s="6">
        <f t="shared" si="166"/>
        <v>0</v>
      </c>
      <c r="X5317" s="6">
        <f t="shared" si="167"/>
        <v>0</v>
      </c>
    </row>
    <row r="5318" spans="22:24" x14ac:dyDescent="0.3">
      <c r="V5318" t="e">
        <f>VLOOKUP(H5318,'[1]팀별 출판사'!A:B,2,0)</f>
        <v>#N/A</v>
      </c>
      <c r="W5318" s="6">
        <f t="shared" si="166"/>
        <v>0</v>
      </c>
      <c r="X5318" s="6">
        <f t="shared" si="167"/>
        <v>0</v>
      </c>
    </row>
    <row r="5319" spans="22:24" x14ac:dyDescent="0.3">
      <c r="V5319" t="e">
        <f>VLOOKUP(H5319,'[1]팀별 출판사'!A:B,2,0)</f>
        <v>#N/A</v>
      </c>
      <c r="W5319" s="6">
        <f t="shared" si="166"/>
        <v>0</v>
      </c>
      <c r="X5319" s="6">
        <f t="shared" si="167"/>
        <v>0</v>
      </c>
    </row>
    <row r="5320" spans="22:24" x14ac:dyDescent="0.3">
      <c r="V5320" t="e">
        <f>VLOOKUP(H5320,'[1]팀별 출판사'!A:B,2,0)</f>
        <v>#N/A</v>
      </c>
      <c r="W5320" s="6">
        <f t="shared" si="166"/>
        <v>0</v>
      </c>
      <c r="X5320" s="6">
        <f t="shared" si="167"/>
        <v>0</v>
      </c>
    </row>
    <row r="5321" spans="22:24" x14ac:dyDescent="0.3">
      <c r="V5321" t="e">
        <f>VLOOKUP(H5321,'[1]팀별 출판사'!A:B,2,0)</f>
        <v>#N/A</v>
      </c>
      <c r="W5321" s="6">
        <f t="shared" si="166"/>
        <v>0</v>
      </c>
      <c r="X5321" s="6">
        <f t="shared" si="167"/>
        <v>0</v>
      </c>
    </row>
    <row r="5322" spans="22:24" x14ac:dyDescent="0.3">
      <c r="V5322" t="e">
        <f>VLOOKUP(H5322,'[1]팀별 출판사'!A:B,2,0)</f>
        <v>#N/A</v>
      </c>
      <c r="W5322" s="6">
        <f t="shared" si="166"/>
        <v>0</v>
      </c>
      <c r="X5322" s="6">
        <f t="shared" si="167"/>
        <v>0</v>
      </c>
    </row>
    <row r="5323" spans="22:24" x14ac:dyDescent="0.3">
      <c r="V5323" t="e">
        <f>VLOOKUP(H5323,'[1]팀별 출판사'!A:B,2,0)</f>
        <v>#N/A</v>
      </c>
      <c r="W5323" s="6">
        <f t="shared" si="166"/>
        <v>0</v>
      </c>
      <c r="X5323" s="6">
        <f t="shared" si="167"/>
        <v>0</v>
      </c>
    </row>
    <row r="5324" spans="22:24" x14ac:dyDescent="0.3">
      <c r="V5324" t="e">
        <f>VLOOKUP(H5324,'[1]팀별 출판사'!A:B,2,0)</f>
        <v>#N/A</v>
      </c>
      <c r="W5324" s="6">
        <f t="shared" si="166"/>
        <v>0</v>
      </c>
      <c r="X5324" s="6">
        <f t="shared" si="167"/>
        <v>0</v>
      </c>
    </row>
    <row r="5325" spans="22:24" x14ac:dyDescent="0.3">
      <c r="V5325" t="e">
        <f>VLOOKUP(H5325,'[1]팀별 출판사'!A:B,2,0)</f>
        <v>#N/A</v>
      </c>
      <c r="W5325" s="6">
        <f t="shared" si="166"/>
        <v>0</v>
      </c>
      <c r="X5325" s="6">
        <f t="shared" si="167"/>
        <v>0</v>
      </c>
    </row>
    <row r="5326" spans="22:24" x14ac:dyDescent="0.3">
      <c r="V5326" t="e">
        <f>VLOOKUP(H5326,'[1]팀별 출판사'!A:B,2,0)</f>
        <v>#N/A</v>
      </c>
      <c r="W5326" s="6">
        <f t="shared" si="166"/>
        <v>0</v>
      </c>
      <c r="X5326" s="6">
        <f t="shared" si="167"/>
        <v>0</v>
      </c>
    </row>
    <row r="5327" spans="22:24" x14ac:dyDescent="0.3">
      <c r="V5327" t="e">
        <f>VLOOKUP(H5327,'[1]팀별 출판사'!A:B,2,0)</f>
        <v>#N/A</v>
      </c>
      <c r="W5327" s="6">
        <f t="shared" si="166"/>
        <v>0</v>
      </c>
      <c r="X5327" s="6">
        <f t="shared" si="167"/>
        <v>0</v>
      </c>
    </row>
    <row r="5328" spans="22:24" x14ac:dyDescent="0.3">
      <c r="V5328" t="e">
        <f>VLOOKUP(H5328,'[1]팀별 출판사'!A:B,2,0)</f>
        <v>#N/A</v>
      </c>
      <c r="W5328" s="6">
        <f t="shared" si="166"/>
        <v>0</v>
      </c>
      <c r="X5328" s="6">
        <f t="shared" si="167"/>
        <v>0</v>
      </c>
    </row>
    <row r="5329" spans="22:24" x14ac:dyDescent="0.3">
      <c r="V5329" t="e">
        <f>VLOOKUP(H5329,'[1]팀별 출판사'!A:B,2,0)</f>
        <v>#N/A</v>
      </c>
      <c r="W5329" s="6">
        <f t="shared" si="166"/>
        <v>0</v>
      </c>
      <c r="X5329" s="6">
        <f t="shared" si="167"/>
        <v>0</v>
      </c>
    </row>
    <row r="5330" spans="22:24" x14ac:dyDescent="0.3">
      <c r="V5330" t="e">
        <f>VLOOKUP(H5330,'[1]팀별 출판사'!A:B,2,0)</f>
        <v>#N/A</v>
      </c>
      <c r="W5330" s="6">
        <f t="shared" si="166"/>
        <v>0</v>
      </c>
      <c r="X5330" s="6">
        <f t="shared" si="167"/>
        <v>0</v>
      </c>
    </row>
    <row r="5331" spans="22:24" x14ac:dyDescent="0.3">
      <c r="V5331" t="e">
        <f>VLOOKUP(H5331,'[1]팀별 출판사'!A:B,2,0)</f>
        <v>#N/A</v>
      </c>
      <c r="W5331" s="6">
        <f t="shared" si="166"/>
        <v>0</v>
      </c>
      <c r="X5331" s="6">
        <f t="shared" si="167"/>
        <v>0</v>
      </c>
    </row>
    <row r="5332" spans="22:24" x14ac:dyDescent="0.3">
      <c r="V5332" t="e">
        <f>VLOOKUP(H5332,'[1]팀별 출판사'!A:B,2,0)</f>
        <v>#N/A</v>
      </c>
      <c r="W5332" s="6">
        <f t="shared" si="166"/>
        <v>0</v>
      </c>
      <c r="X5332" s="6">
        <f t="shared" si="167"/>
        <v>0</v>
      </c>
    </row>
    <row r="5333" spans="22:24" x14ac:dyDescent="0.3">
      <c r="V5333" t="e">
        <f>VLOOKUP(H5333,'[1]팀별 출판사'!A:B,2,0)</f>
        <v>#N/A</v>
      </c>
      <c r="W5333" s="6">
        <f t="shared" si="166"/>
        <v>0</v>
      </c>
      <c r="X5333" s="6">
        <f t="shared" si="167"/>
        <v>0</v>
      </c>
    </row>
    <row r="5334" spans="22:24" x14ac:dyDescent="0.3">
      <c r="V5334" t="e">
        <f>VLOOKUP(H5334,'[1]팀별 출판사'!A:B,2,0)</f>
        <v>#N/A</v>
      </c>
      <c r="W5334" s="6">
        <f t="shared" si="166"/>
        <v>0</v>
      </c>
      <c r="X5334" s="6">
        <f t="shared" si="167"/>
        <v>0</v>
      </c>
    </row>
    <row r="5335" spans="22:24" x14ac:dyDescent="0.3">
      <c r="V5335" t="e">
        <f>VLOOKUP(H5335,'[1]팀별 출판사'!A:B,2,0)</f>
        <v>#N/A</v>
      </c>
      <c r="W5335" s="6">
        <f t="shared" si="166"/>
        <v>0</v>
      </c>
      <c r="X5335" s="6">
        <f t="shared" si="167"/>
        <v>0</v>
      </c>
    </row>
    <row r="5336" spans="22:24" x14ac:dyDescent="0.3">
      <c r="V5336" t="e">
        <f>VLOOKUP(H5336,'[1]팀별 출판사'!A:B,2,0)</f>
        <v>#N/A</v>
      </c>
      <c r="W5336" s="6">
        <f t="shared" si="166"/>
        <v>0</v>
      </c>
      <c r="X5336" s="6">
        <f t="shared" si="167"/>
        <v>0</v>
      </c>
    </row>
    <row r="5337" spans="22:24" x14ac:dyDescent="0.3">
      <c r="V5337" t="e">
        <f>VLOOKUP(H5337,'[1]팀별 출판사'!A:B,2,0)</f>
        <v>#N/A</v>
      </c>
      <c r="W5337" s="6">
        <f t="shared" si="166"/>
        <v>0</v>
      </c>
      <c r="X5337" s="6">
        <f t="shared" si="167"/>
        <v>0</v>
      </c>
    </row>
    <row r="5338" spans="22:24" x14ac:dyDescent="0.3">
      <c r="V5338" t="e">
        <f>VLOOKUP(H5338,'[1]팀별 출판사'!A:B,2,0)</f>
        <v>#N/A</v>
      </c>
      <c r="W5338" s="6">
        <f t="shared" si="166"/>
        <v>0</v>
      </c>
      <c r="X5338" s="6">
        <f t="shared" si="167"/>
        <v>0</v>
      </c>
    </row>
    <row r="5339" spans="22:24" x14ac:dyDescent="0.3">
      <c r="V5339" t="e">
        <f>VLOOKUP(H5339,'[1]팀별 출판사'!A:B,2,0)</f>
        <v>#N/A</v>
      </c>
      <c r="W5339" s="6">
        <f t="shared" si="166"/>
        <v>0</v>
      </c>
      <c r="X5339" s="6">
        <f t="shared" si="167"/>
        <v>0</v>
      </c>
    </row>
    <row r="5340" spans="22:24" x14ac:dyDescent="0.3">
      <c r="V5340" t="e">
        <f>VLOOKUP(H5340,'[1]팀별 출판사'!A:B,2,0)</f>
        <v>#N/A</v>
      </c>
      <c r="W5340" s="6">
        <f t="shared" si="166"/>
        <v>0</v>
      </c>
      <c r="X5340" s="6">
        <f t="shared" si="167"/>
        <v>0</v>
      </c>
    </row>
    <row r="5341" spans="22:24" x14ac:dyDescent="0.3">
      <c r="V5341" t="e">
        <f>VLOOKUP(H5341,'[1]팀별 출판사'!A:B,2,0)</f>
        <v>#N/A</v>
      </c>
      <c r="W5341" s="6">
        <f t="shared" si="166"/>
        <v>0</v>
      </c>
      <c r="X5341" s="6">
        <f t="shared" si="167"/>
        <v>0</v>
      </c>
    </row>
    <row r="5342" spans="22:24" x14ac:dyDescent="0.3">
      <c r="V5342" t="e">
        <f>VLOOKUP(H5342,'[1]팀별 출판사'!A:B,2,0)</f>
        <v>#N/A</v>
      </c>
      <c r="W5342" s="6">
        <f t="shared" si="166"/>
        <v>0</v>
      </c>
      <c r="X5342" s="6">
        <f t="shared" si="167"/>
        <v>0</v>
      </c>
    </row>
    <row r="5343" spans="22:24" x14ac:dyDescent="0.3">
      <c r="V5343" t="e">
        <f>VLOOKUP(H5343,'[1]팀별 출판사'!A:B,2,0)</f>
        <v>#N/A</v>
      </c>
      <c r="W5343" s="6">
        <f t="shared" si="166"/>
        <v>0</v>
      </c>
      <c r="X5343" s="6">
        <f t="shared" si="167"/>
        <v>0</v>
      </c>
    </row>
    <row r="5344" spans="22:24" x14ac:dyDescent="0.3">
      <c r="V5344" t="e">
        <f>VLOOKUP(H5344,'[1]팀별 출판사'!A:B,2,0)</f>
        <v>#N/A</v>
      </c>
      <c r="W5344" s="6">
        <f t="shared" si="166"/>
        <v>0</v>
      </c>
      <c r="X5344" s="6">
        <f t="shared" si="167"/>
        <v>0</v>
      </c>
    </row>
    <row r="5345" spans="22:24" x14ac:dyDescent="0.3">
      <c r="V5345" t="e">
        <f>VLOOKUP(H5345,'[1]팀별 출판사'!A:B,2,0)</f>
        <v>#N/A</v>
      </c>
      <c r="W5345" s="6">
        <f t="shared" si="166"/>
        <v>0</v>
      </c>
      <c r="X5345" s="6">
        <f t="shared" si="167"/>
        <v>0</v>
      </c>
    </row>
    <row r="5346" spans="22:24" x14ac:dyDescent="0.3">
      <c r="V5346" t="e">
        <f>VLOOKUP(H5346,'[1]팀별 출판사'!A:B,2,0)</f>
        <v>#N/A</v>
      </c>
      <c r="W5346" s="6">
        <f t="shared" si="166"/>
        <v>0</v>
      </c>
      <c r="X5346" s="6">
        <f t="shared" si="167"/>
        <v>0</v>
      </c>
    </row>
    <row r="5347" spans="22:24" x14ac:dyDescent="0.3">
      <c r="V5347" t="e">
        <f>VLOOKUP(H5347,'[1]팀별 출판사'!A:B,2,0)</f>
        <v>#N/A</v>
      </c>
      <c r="W5347" s="6">
        <f t="shared" si="166"/>
        <v>0</v>
      </c>
      <c r="X5347" s="6">
        <f t="shared" si="167"/>
        <v>0</v>
      </c>
    </row>
    <row r="5348" spans="22:24" x14ac:dyDescent="0.3">
      <c r="V5348" t="e">
        <f>VLOOKUP(H5348,'[1]팀별 출판사'!A:B,2,0)</f>
        <v>#N/A</v>
      </c>
      <c r="W5348" s="6">
        <f t="shared" si="166"/>
        <v>0</v>
      </c>
      <c r="X5348" s="6">
        <f t="shared" si="167"/>
        <v>0</v>
      </c>
    </row>
    <row r="5349" spans="22:24" x14ac:dyDescent="0.3">
      <c r="V5349" t="e">
        <f>VLOOKUP(H5349,'[1]팀별 출판사'!A:B,2,0)</f>
        <v>#N/A</v>
      </c>
      <c r="W5349" s="6">
        <f t="shared" si="166"/>
        <v>0</v>
      </c>
      <c r="X5349" s="6">
        <f t="shared" si="167"/>
        <v>0</v>
      </c>
    </row>
    <row r="5350" spans="22:24" x14ac:dyDescent="0.3">
      <c r="V5350" t="e">
        <f>VLOOKUP(H5350,'[1]팀별 출판사'!A:B,2,0)</f>
        <v>#N/A</v>
      </c>
      <c r="W5350" s="6">
        <f t="shared" si="166"/>
        <v>0</v>
      </c>
      <c r="X5350" s="6">
        <f t="shared" si="167"/>
        <v>0</v>
      </c>
    </row>
    <row r="5351" spans="22:24" x14ac:dyDescent="0.3">
      <c r="V5351" t="e">
        <f>VLOOKUP(H5351,'[1]팀별 출판사'!A:B,2,0)</f>
        <v>#N/A</v>
      </c>
      <c r="W5351" s="6">
        <f t="shared" si="166"/>
        <v>0</v>
      </c>
      <c r="X5351" s="6">
        <f t="shared" si="167"/>
        <v>0</v>
      </c>
    </row>
    <row r="5352" spans="22:24" x14ac:dyDescent="0.3">
      <c r="V5352" t="e">
        <f>VLOOKUP(H5352,'[1]팀별 출판사'!A:B,2,0)</f>
        <v>#N/A</v>
      </c>
      <c r="W5352" s="6">
        <f t="shared" si="166"/>
        <v>0</v>
      </c>
      <c r="X5352" s="6">
        <f t="shared" si="167"/>
        <v>0</v>
      </c>
    </row>
    <row r="5353" spans="22:24" x14ac:dyDescent="0.3">
      <c r="V5353" t="e">
        <f>VLOOKUP(H5353,'[1]팀별 출판사'!A:B,2,0)</f>
        <v>#N/A</v>
      </c>
      <c r="W5353" s="6">
        <f t="shared" si="166"/>
        <v>0</v>
      </c>
      <c r="X5353" s="6">
        <f t="shared" si="167"/>
        <v>0</v>
      </c>
    </row>
    <row r="5354" spans="22:24" x14ac:dyDescent="0.3">
      <c r="V5354" t="e">
        <f>VLOOKUP(H5354,'[1]팀별 출판사'!A:B,2,0)</f>
        <v>#N/A</v>
      </c>
      <c r="W5354" s="6">
        <f t="shared" si="166"/>
        <v>0</v>
      </c>
      <c r="X5354" s="6">
        <f t="shared" si="167"/>
        <v>0</v>
      </c>
    </row>
    <row r="5355" spans="22:24" x14ac:dyDescent="0.3">
      <c r="V5355" t="e">
        <f>VLOOKUP(H5355,'[1]팀별 출판사'!A:B,2,0)</f>
        <v>#N/A</v>
      </c>
      <c r="W5355" s="6">
        <f t="shared" si="166"/>
        <v>0</v>
      </c>
      <c r="X5355" s="6">
        <f t="shared" si="167"/>
        <v>0</v>
      </c>
    </row>
    <row r="5356" spans="22:24" x14ac:dyDescent="0.3">
      <c r="V5356" t="e">
        <f>VLOOKUP(H5356,'[1]팀별 출판사'!A:B,2,0)</f>
        <v>#N/A</v>
      </c>
      <c r="W5356" s="6">
        <f t="shared" si="166"/>
        <v>0</v>
      </c>
      <c r="X5356" s="6">
        <f t="shared" si="167"/>
        <v>0</v>
      </c>
    </row>
    <row r="5357" spans="22:24" x14ac:dyDescent="0.3">
      <c r="V5357" t="e">
        <f>VLOOKUP(H5357,'[1]팀별 출판사'!A:B,2,0)</f>
        <v>#N/A</v>
      </c>
      <c r="W5357" s="6">
        <f t="shared" si="166"/>
        <v>0</v>
      </c>
      <c r="X5357" s="6">
        <f t="shared" si="167"/>
        <v>0</v>
      </c>
    </row>
    <row r="5358" spans="22:24" x14ac:dyDescent="0.3">
      <c r="V5358" t="e">
        <f>VLOOKUP(H5358,'[1]팀별 출판사'!A:B,2,0)</f>
        <v>#N/A</v>
      </c>
      <c r="W5358" s="6">
        <f t="shared" si="166"/>
        <v>0</v>
      </c>
      <c r="X5358" s="6">
        <f t="shared" si="167"/>
        <v>0</v>
      </c>
    </row>
    <row r="5359" spans="22:24" x14ac:dyDescent="0.3">
      <c r="V5359" t="e">
        <f>VLOOKUP(H5359,'[1]팀별 출판사'!A:B,2,0)</f>
        <v>#N/A</v>
      </c>
      <c r="W5359" s="6">
        <f t="shared" si="166"/>
        <v>0</v>
      </c>
      <c r="X5359" s="6">
        <f t="shared" si="167"/>
        <v>0</v>
      </c>
    </row>
    <row r="5360" spans="22:24" x14ac:dyDescent="0.3">
      <c r="V5360" t="e">
        <f>VLOOKUP(H5360,'[1]팀별 출판사'!A:B,2,0)</f>
        <v>#N/A</v>
      </c>
      <c r="W5360" s="6">
        <f t="shared" si="166"/>
        <v>0</v>
      </c>
      <c r="X5360" s="6">
        <f t="shared" si="167"/>
        <v>0</v>
      </c>
    </row>
    <row r="5361" spans="22:24" x14ac:dyDescent="0.3">
      <c r="V5361" t="e">
        <f>VLOOKUP(H5361,'[1]팀별 출판사'!A:B,2,0)</f>
        <v>#N/A</v>
      </c>
      <c r="W5361" s="6">
        <f t="shared" si="166"/>
        <v>0</v>
      </c>
      <c r="X5361" s="6">
        <f t="shared" si="167"/>
        <v>0</v>
      </c>
    </row>
    <row r="5362" spans="22:24" x14ac:dyDescent="0.3">
      <c r="V5362" t="e">
        <f>VLOOKUP(H5362,'[1]팀별 출판사'!A:B,2,0)</f>
        <v>#N/A</v>
      </c>
      <c r="W5362" s="6">
        <f t="shared" si="166"/>
        <v>0</v>
      </c>
      <c r="X5362" s="6">
        <f t="shared" si="167"/>
        <v>0</v>
      </c>
    </row>
    <row r="5363" spans="22:24" x14ac:dyDescent="0.3">
      <c r="V5363" t="e">
        <f>VLOOKUP(H5363,'[1]팀별 출판사'!A:B,2,0)</f>
        <v>#N/A</v>
      </c>
      <c r="W5363" s="6">
        <f t="shared" si="166"/>
        <v>0</v>
      </c>
      <c r="X5363" s="6">
        <f t="shared" si="167"/>
        <v>0</v>
      </c>
    </row>
    <row r="5364" spans="22:24" x14ac:dyDescent="0.3">
      <c r="V5364" t="e">
        <f>VLOOKUP(H5364,'[1]팀별 출판사'!A:B,2,0)</f>
        <v>#N/A</v>
      </c>
      <c r="W5364" s="6">
        <f t="shared" si="166"/>
        <v>0</v>
      </c>
      <c r="X5364" s="6">
        <f t="shared" si="167"/>
        <v>0</v>
      </c>
    </row>
    <row r="5365" spans="22:24" x14ac:dyDescent="0.3">
      <c r="V5365" t="e">
        <f>VLOOKUP(H5365,'[1]팀별 출판사'!A:B,2,0)</f>
        <v>#N/A</v>
      </c>
      <c r="W5365" s="6">
        <f t="shared" si="166"/>
        <v>0</v>
      </c>
      <c r="X5365" s="6">
        <f t="shared" si="167"/>
        <v>0</v>
      </c>
    </row>
    <row r="5366" spans="22:24" x14ac:dyDescent="0.3">
      <c r="V5366" t="e">
        <f>VLOOKUP(H5366,'[1]팀별 출판사'!A:B,2,0)</f>
        <v>#N/A</v>
      </c>
      <c r="W5366" s="6">
        <f t="shared" si="166"/>
        <v>0</v>
      </c>
      <c r="X5366" s="6">
        <f t="shared" si="167"/>
        <v>0</v>
      </c>
    </row>
    <row r="5367" spans="22:24" x14ac:dyDescent="0.3">
      <c r="V5367" t="e">
        <f>VLOOKUP(H5367,'[1]팀별 출판사'!A:B,2,0)</f>
        <v>#N/A</v>
      </c>
      <c r="W5367" s="6">
        <f t="shared" si="166"/>
        <v>0</v>
      </c>
      <c r="X5367" s="6">
        <f t="shared" si="167"/>
        <v>0</v>
      </c>
    </row>
    <row r="5368" spans="22:24" x14ac:dyDescent="0.3">
      <c r="V5368" t="e">
        <f>VLOOKUP(H5368,'[1]팀별 출판사'!A:B,2,0)</f>
        <v>#N/A</v>
      </c>
      <c r="W5368" s="6">
        <f t="shared" si="166"/>
        <v>0</v>
      </c>
      <c r="X5368" s="6">
        <f t="shared" si="167"/>
        <v>0</v>
      </c>
    </row>
    <row r="5369" spans="22:24" x14ac:dyDescent="0.3">
      <c r="V5369" t="e">
        <f>VLOOKUP(H5369,'[1]팀별 출판사'!A:B,2,0)</f>
        <v>#N/A</v>
      </c>
      <c r="W5369" s="6">
        <f t="shared" si="166"/>
        <v>0</v>
      </c>
      <c r="X5369" s="6">
        <f t="shared" si="167"/>
        <v>0</v>
      </c>
    </row>
    <row r="5370" spans="22:24" x14ac:dyDescent="0.3">
      <c r="V5370" t="e">
        <f>VLOOKUP(H5370,'[1]팀별 출판사'!A:B,2,0)</f>
        <v>#N/A</v>
      </c>
      <c r="W5370" s="6">
        <f t="shared" si="166"/>
        <v>0</v>
      </c>
      <c r="X5370" s="6">
        <f t="shared" si="167"/>
        <v>0</v>
      </c>
    </row>
    <row r="5371" spans="22:24" x14ac:dyDescent="0.3">
      <c r="V5371" t="e">
        <f>VLOOKUP(H5371,'[1]팀별 출판사'!A:B,2,0)</f>
        <v>#N/A</v>
      </c>
      <c r="W5371" s="6">
        <f t="shared" si="166"/>
        <v>0</v>
      </c>
      <c r="X5371" s="6">
        <f t="shared" si="167"/>
        <v>0</v>
      </c>
    </row>
    <row r="5372" spans="22:24" x14ac:dyDescent="0.3">
      <c r="V5372" t="e">
        <f>VLOOKUP(H5372,'[1]팀별 출판사'!A:B,2,0)</f>
        <v>#N/A</v>
      </c>
      <c r="W5372" s="6">
        <f t="shared" si="166"/>
        <v>0</v>
      </c>
      <c r="X5372" s="6">
        <f t="shared" si="167"/>
        <v>0</v>
      </c>
    </row>
    <row r="5373" spans="22:24" x14ac:dyDescent="0.3">
      <c r="V5373" t="e">
        <f>VLOOKUP(H5373,'[1]팀별 출판사'!A:B,2,0)</f>
        <v>#N/A</v>
      </c>
      <c r="W5373" s="6">
        <f t="shared" si="166"/>
        <v>0</v>
      </c>
      <c r="X5373" s="6">
        <f t="shared" si="167"/>
        <v>0</v>
      </c>
    </row>
    <row r="5374" spans="22:24" x14ac:dyDescent="0.3">
      <c r="V5374" t="e">
        <f>VLOOKUP(H5374,'[1]팀별 출판사'!A:B,2,0)</f>
        <v>#N/A</v>
      </c>
      <c r="W5374" s="6">
        <f t="shared" si="166"/>
        <v>0</v>
      </c>
      <c r="X5374" s="6">
        <f t="shared" si="167"/>
        <v>0</v>
      </c>
    </row>
    <row r="5375" spans="22:24" x14ac:dyDescent="0.3">
      <c r="V5375" t="e">
        <f>VLOOKUP(H5375,'[1]팀별 출판사'!A:B,2,0)</f>
        <v>#N/A</v>
      </c>
      <c r="W5375" s="6">
        <f t="shared" si="166"/>
        <v>0</v>
      </c>
      <c r="X5375" s="6">
        <f t="shared" si="167"/>
        <v>0</v>
      </c>
    </row>
    <row r="5376" spans="22:24" x14ac:dyDescent="0.3">
      <c r="V5376" t="e">
        <f>VLOOKUP(H5376,'[1]팀별 출판사'!A:B,2,0)</f>
        <v>#N/A</v>
      </c>
      <c r="W5376" s="6">
        <f t="shared" si="166"/>
        <v>0</v>
      </c>
      <c r="X5376" s="6">
        <f t="shared" si="167"/>
        <v>0</v>
      </c>
    </row>
    <row r="5377" spans="22:24" x14ac:dyDescent="0.3">
      <c r="V5377" t="e">
        <f>VLOOKUP(H5377,'[1]팀별 출판사'!A:B,2,0)</f>
        <v>#N/A</v>
      </c>
      <c r="W5377" s="6">
        <f t="shared" si="166"/>
        <v>0</v>
      </c>
      <c r="X5377" s="6">
        <f t="shared" si="167"/>
        <v>0</v>
      </c>
    </row>
    <row r="5378" spans="22:24" x14ac:dyDescent="0.3">
      <c r="V5378" t="e">
        <f>VLOOKUP(H5378,'[1]팀별 출판사'!A:B,2,0)</f>
        <v>#N/A</v>
      </c>
      <c r="W5378" s="6">
        <f t="shared" ref="W5378:W5441" si="168">IF(P5378="US", T5378*30%, 0)</f>
        <v>0</v>
      </c>
      <c r="X5378" s="6">
        <f t="shared" ref="X5378:X5441" si="169">T5378-W5378</f>
        <v>0</v>
      </c>
    </row>
    <row r="5379" spans="22:24" x14ac:dyDescent="0.3">
      <c r="V5379" t="e">
        <f>VLOOKUP(H5379,'[1]팀별 출판사'!A:B,2,0)</f>
        <v>#N/A</v>
      </c>
      <c r="W5379" s="6">
        <f t="shared" si="168"/>
        <v>0</v>
      </c>
      <c r="X5379" s="6">
        <f t="shared" si="169"/>
        <v>0</v>
      </c>
    </row>
    <row r="5380" spans="22:24" x14ac:dyDescent="0.3">
      <c r="V5380" t="e">
        <f>VLOOKUP(H5380,'[1]팀별 출판사'!A:B,2,0)</f>
        <v>#N/A</v>
      </c>
      <c r="W5380" s="6">
        <f t="shared" si="168"/>
        <v>0</v>
      </c>
      <c r="X5380" s="6">
        <f t="shared" si="169"/>
        <v>0</v>
      </c>
    </row>
    <row r="5381" spans="22:24" x14ac:dyDescent="0.3">
      <c r="V5381" t="e">
        <f>VLOOKUP(H5381,'[1]팀별 출판사'!A:B,2,0)</f>
        <v>#N/A</v>
      </c>
      <c r="W5381" s="6">
        <f t="shared" si="168"/>
        <v>0</v>
      </c>
      <c r="X5381" s="6">
        <f t="shared" si="169"/>
        <v>0</v>
      </c>
    </row>
    <row r="5382" spans="22:24" x14ac:dyDescent="0.3">
      <c r="V5382" t="e">
        <f>VLOOKUP(H5382,'[1]팀별 출판사'!A:B,2,0)</f>
        <v>#N/A</v>
      </c>
      <c r="W5382" s="6">
        <f t="shared" si="168"/>
        <v>0</v>
      </c>
      <c r="X5382" s="6">
        <f t="shared" si="169"/>
        <v>0</v>
      </c>
    </row>
    <row r="5383" spans="22:24" x14ac:dyDescent="0.3">
      <c r="V5383" t="e">
        <f>VLOOKUP(H5383,'[1]팀별 출판사'!A:B,2,0)</f>
        <v>#N/A</v>
      </c>
      <c r="W5383" s="6">
        <f t="shared" si="168"/>
        <v>0</v>
      </c>
      <c r="X5383" s="6">
        <f t="shared" si="169"/>
        <v>0</v>
      </c>
    </row>
    <row r="5384" spans="22:24" x14ac:dyDescent="0.3">
      <c r="V5384" t="e">
        <f>VLOOKUP(H5384,'[1]팀별 출판사'!A:B,2,0)</f>
        <v>#N/A</v>
      </c>
      <c r="W5384" s="6">
        <f t="shared" si="168"/>
        <v>0</v>
      </c>
      <c r="X5384" s="6">
        <f t="shared" si="169"/>
        <v>0</v>
      </c>
    </row>
    <row r="5385" spans="22:24" x14ac:dyDescent="0.3">
      <c r="V5385" t="e">
        <f>VLOOKUP(H5385,'[1]팀별 출판사'!A:B,2,0)</f>
        <v>#N/A</v>
      </c>
      <c r="W5385" s="6">
        <f t="shared" si="168"/>
        <v>0</v>
      </c>
      <c r="X5385" s="6">
        <f t="shared" si="169"/>
        <v>0</v>
      </c>
    </row>
    <row r="5386" spans="22:24" x14ac:dyDescent="0.3">
      <c r="V5386" t="e">
        <f>VLOOKUP(H5386,'[1]팀별 출판사'!A:B,2,0)</f>
        <v>#N/A</v>
      </c>
      <c r="W5386" s="6">
        <f t="shared" si="168"/>
        <v>0</v>
      </c>
      <c r="X5386" s="6">
        <f t="shared" si="169"/>
        <v>0</v>
      </c>
    </row>
    <row r="5387" spans="22:24" x14ac:dyDescent="0.3">
      <c r="V5387" t="e">
        <f>VLOOKUP(H5387,'[1]팀별 출판사'!A:B,2,0)</f>
        <v>#N/A</v>
      </c>
      <c r="W5387" s="6">
        <f t="shared" si="168"/>
        <v>0</v>
      </c>
      <c r="X5387" s="6">
        <f t="shared" si="169"/>
        <v>0</v>
      </c>
    </row>
    <row r="5388" spans="22:24" x14ac:dyDescent="0.3">
      <c r="V5388" t="e">
        <f>VLOOKUP(H5388,'[1]팀별 출판사'!A:B,2,0)</f>
        <v>#N/A</v>
      </c>
      <c r="W5388" s="6">
        <f t="shared" si="168"/>
        <v>0</v>
      </c>
      <c r="X5388" s="6">
        <f t="shared" si="169"/>
        <v>0</v>
      </c>
    </row>
    <row r="5389" spans="22:24" x14ac:dyDescent="0.3">
      <c r="V5389" t="e">
        <f>VLOOKUP(H5389,'[1]팀별 출판사'!A:B,2,0)</f>
        <v>#N/A</v>
      </c>
      <c r="W5389" s="6">
        <f t="shared" si="168"/>
        <v>0</v>
      </c>
      <c r="X5389" s="6">
        <f t="shared" si="169"/>
        <v>0</v>
      </c>
    </row>
    <row r="5390" spans="22:24" x14ac:dyDescent="0.3">
      <c r="V5390" t="e">
        <f>VLOOKUP(H5390,'[1]팀별 출판사'!A:B,2,0)</f>
        <v>#N/A</v>
      </c>
      <c r="W5390" s="6">
        <f t="shared" si="168"/>
        <v>0</v>
      </c>
      <c r="X5390" s="6">
        <f t="shared" si="169"/>
        <v>0</v>
      </c>
    </row>
    <row r="5391" spans="22:24" x14ac:dyDescent="0.3">
      <c r="V5391" t="e">
        <f>VLOOKUP(H5391,'[1]팀별 출판사'!A:B,2,0)</f>
        <v>#N/A</v>
      </c>
      <c r="W5391" s="6">
        <f t="shared" si="168"/>
        <v>0</v>
      </c>
      <c r="X5391" s="6">
        <f t="shared" si="169"/>
        <v>0</v>
      </c>
    </row>
    <row r="5392" spans="22:24" x14ac:dyDescent="0.3">
      <c r="V5392" t="e">
        <f>VLOOKUP(H5392,'[1]팀별 출판사'!A:B,2,0)</f>
        <v>#N/A</v>
      </c>
      <c r="W5392" s="6">
        <f t="shared" si="168"/>
        <v>0</v>
      </c>
      <c r="X5392" s="6">
        <f t="shared" si="169"/>
        <v>0</v>
      </c>
    </row>
    <row r="5393" spans="22:24" x14ac:dyDescent="0.3">
      <c r="V5393" t="e">
        <f>VLOOKUP(H5393,'[1]팀별 출판사'!A:B,2,0)</f>
        <v>#N/A</v>
      </c>
      <c r="W5393" s="6">
        <f t="shared" si="168"/>
        <v>0</v>
      </c>
      <c r="X5393" s="6">
        <f t="shared" si="169"/>
        <v>0</v>
      </c>
    </row>
    <row r="5394" spans="22:24" x14ac:dyDescent="0.3">
      <c r="V5394" t="e">
        <f>VLOOKUP(H5394,'[1]팀별 출판사'!A:B,2,0)</f>
        <v>#N/A</v>
      </c>
      <c r="W5394" s="6">
        <f t="shared" si="168"/>
        <v>0</v>
      </c>
      <c r="X5394" s="6">
        <f t="shared" si="169"/>
        <v>0</v>
      </c>
    </row>
    <row r="5395" spans="22:24" x14ac:dyDescent="0.3">
      <c r="V5395" t="e">
        <f>VLOOKUP(H5395,'[1]팀별 출판사'!A:B,2,0)</f>
        <v>#N/A</v>
      </c>
      <c r="W5395" s="6">
        <f t="shared" si="168"/>
        <v>0</v>
      </c>
      <c r="X5395" s="6">
        <f t="shared" si="169"/>
        <v>0</v>
      </c>
    </row>
    <row r="5396" spans="22:24" x14ac:dyDescent="0.3">
      <c r="V5396" t="e">
        <f>VLOOKUP(H5396,'[1]팀별 출판사'!A:B,2,0)</f>
        <v>#N/A</v>
      </c>
      <c r="W5396" s="6">
        <f t="shared" si="168"/>
        <v>0</v>
      </c>
      <c r="X5396" s="6">
        <f t="shared" si="169"/>
        <v>0</v>
      </c>
    </row>
    <row r="5397" spans="22:24" x14ac:dyDescent="0.3">
      <c r="V5397" t="e">
        <f>VLOOKUP(H5397,'[1]팀별 출판사'!A:B,2,0)</f>
        <v>#N/A</v>
      </c>
      <c r="W5397" s="6">
        <f t="shared" si="168"/>
        <v>0</v>
      </c>
      <c r="X5397" s="6">
        <f t="shared" si="169"/>
        <v>0</v>
      </c>
    </row>
    <row r="5398" spans="22:24" x14ac:dyDescent="0.3">
      <c r="V5398" t="e">
        <f>VLOOKUP(H5398,'[1]팀별 출판사'!A:B,2,0)</f>
        <v>#N/A</v>
      </c>
      <c r="W5398" s="6">
        <f t="shared" si="168"/>
        <v>0</v>
      </c>
      <c r="X5398" s="6">
        <f t="shared" si="169"/>
        <v>0</v>
      </c>
    </row>
    <row r="5399" spans="22:24" x14ac:dyDescent="0.3">
      <c r="V5399" t="e">
        <f>VLOOKUP(H5399,'[1]팀별 출판사'!A:B,2,0)</f>
        <v>#N/A</v>
      </c>
      <c r="W5399" s="6">
        <f t="shared" si="168"/>
        <v>0</v>
      </c>
      <c r="X5399" s="6">
        <f t="shared" si="169"/>
        <v>0</v>
      </c>
    </row>
    <row r="5400" spans="22:24" x14ac:dyDescent="0.3">
      <c r="V5400" t="e">
        <f>VLOOKUP(H5400,'[1]팀별 출판사'!A:B,2,0)</f>
        <v>#N/A</v>
      </c>
      <c r="W5400" s="6">
        <f t="shared" si="168"/>
        <v>0</v>
      </c>
      <c r="X5400" s="6">
        <f t="shared" si="169"/>
        <v>0</v>
      </c>
    </row>
    <row r="5401" spans="22:24" x14ac:dyDescent="0.3">
      <c r="V5401" t="e">
        <f>VLOOKUP(H5401,'[1]팀별 출판사'!A:B,2,0)</f>
        <v>#N/A</v>
      </c>
      <c r="W5401" s="6">
        <f t="shared" si="168"/>
        <v>0</v>
      </c>
      <c r="X5401" s="6">
        <f t="shared" si="169"/>
        <v>0</v>
      </c>
    </row>
    <row r="5402" spans="22:24" x14ac:dyDescent="0.3">
      <c r="V5402" t="e">
        <f>VLOOKUP(H5402,'[1]팀별 출판사'!A:B,2,0)</f>
        <v>#N/A</v>
      </c>
      <c r="W5402" s="6">
        <f t="shared" si="168"/>
        <v>0</v>
      </c>
      <c r="X5402" s="6">
        <f t="shared" si="169"/>
        <v>0</v>
      </c>
    </row>
    <row r="5403" spans="22:24" x14ac:dyDescent="0.3">
      <c r="V5403" t="e">
        <f>VLOOKUP(H5403,'[1]팀별 출판사'!A:B,2,0)</f>
        <v>#N/A</v>
      </c>
      <c r="W5403" s="6">
        <f t="shared" si="168"/>
        <v>0</v>
      </c>
      <c r="X5403" s="6">
        <f t="shared" si="169"/>
        <v>0</v>
      </c>
    </row>
    <row r="5404" spans="22:24" x14ac:dyDescent="0.3">
      <c r="V5404" t="e">
        <f>VLOOKUP(H5404,'[1]팀별 출판사'!A:B,2,0)</f>
        <v>#N/A</v>
      </c>
      <c r="W5404" s="6">
        <f t="shared" si="168"/>
        <v>0</v>
      </c>
      <c r="X5404" s="6">
        <f t="shared" si="169"/>
        <v>0</v>
      </c>
    </row>
    <row r="5405" spans="22:24" x14ac:dyDescent="0.3">
      <c r="V5405" t="e">
        <f>VLOOKUP(H5405,'[1]팀별 출판사'!A:B,2,0)</f>
        <v>#N/A</v>
      </c>
      <c r="W5405" s="6">
        <f t="shared" si="168"/>
        <v>0</v>
      </c>
      <c r="X5405" s="6">
        <f t="shared" si="169"/>
        <v>0</v>
      </c>
    </row>
    <row r="5406" spans="22:24" x14ac:dyDescent="0.3">
      <c r="V5406" t="e">
        <f>VLOOKUP(H5406,'[1]팀별 출판사'!A:B,2,0)</f>
        <v>#N/A</v>
      </c>
      <c r="W5406" s="6">
        <f t="shared" si="168"/>
        <v>0</v>
      </c>
      <c r="X5406" s="6">
        <f t="shared" si="169"/>
        <v>0</v>
      </c>
    </row>
    <row r="5407" spans="22:24" x14ac:dyDescent="0.3">
      <c r="V5407" t="e">
        <f>VLOOKUP(H5407,'[1]팀별 출판사'!A:B,2,0)</f>
        <v>#N/A</v>
      </c>
      <c r="W5407" s="6">
        <f t="shared" si="168"/>
        <v>0</v>
      </c>
      <c r="X5407" s="6">
        <f t="shared" si="169"/>
        <v>0</v>
      </c>
    </row>
    <row r="5408" spans="22:24" x14ac:dyDescent="0.3">
      <c r="V5408" t="e">
        <f>VLOOKUP(H5408,'[1]팀별 출판사'!A:B,2,0)</f>
        <v>#N/A</v>
      </c>
      <c r="W5408" s="6">
        <f t="shared" si="168"/>
        <v>0</v>
      </c>
      <c r="X5408" s="6">
        <f t="shared" si="169"/>
        <v>0</v>
      </c>
    </row>
    <row r="5409" spans="22:24" x14ac:dyDescent="0.3">
      <c r="V5409" t="e">
        <f>VLOOKUP(H5409,'[1]팀별 출판사'!A:B,2,0)</f>
        <v>#N/A</v>
      </c>
      <c r="W5409" s="6">
        <f t="shared" si="168"/>
        <v>0</v>
      </c>
      <c r="X5409" s="6">
        <f t="shared" si="169"/>
        <v>0</v>
      </c>
    </row>
    <row r="5410" spans="22:24" x14ac:dyDescent="0.3">
      <c r="V5410" t="e">
        <f>VLOOKUP(H5410,'[1]팀별 출판사'!A:B,2,0)</f>
        <v>#N/A</v>
      </c>
      <c r="W5410" s="6">
        <f t="shared" si="168"/>
        <v>0</v>
      </c>
      <c r="X5410" s="6">
        <f t="shared" si="169"/>
        <v>0</v>
      </c>
    </row>
    <row r="5411" spans="22:24" x14ac:dyDescent="0.3">
      <c r="V5411" t="e">
        <f>VLOOKUP(H5411,'[1]팀별 출판사'!A:B,2,0)</f>
        <v>#N/A</v>
      </c>
      <c r="W5411" s="6">
        <f t="shared" si="168"/>
        <v>0</v>
      </c>
      <c r="X5411" s="6">
        <f t="shared" si="169"/>
        <v>0</v>
      </c>
    </row>
    <row r="5412" spans="22:24" x14ac:dyDescent="0.3">
      <c r="V5412" t="e">
        <f>VLOOKUP(H5412,'[1]팀별 출판사'!A:B,2,0)</f>
        <v>#N/A</v>
      </c>
      <c r="W5412" s="6">
        <f t="shared" si="168"/>
        <v>0</v>
      </c>
      <c r="X5412" s="6">
        <f t="shared" si="169"/>
        <v>0</v>
      </c>
    </row>
    <row r="5413" spans="22:24" x14ac:dyDescent="0.3">
      <c r="V5413" t="e">
        <f>VLOOKUP(H5413,'[1]팀별 출판사'!A:B,2,0)</f>
        <v>#N/A</v>
      </c>
      <c r="W5413" s="6">
        <f t="shared" si="168"/>
        <v>0</v>
      </c>
      <c r="X5413" s="6">
        <f t="shared" si="169"/>
        <v>0</v>
      </c>
    </row>
    <row r="5414" spans="22:24" x14ac:dyDescent="0.3">
      <c r="V5414" t="e">
        <f>VLOOKUP(H5414,'[1]팀별 출판사'!A:B,2,0)</f>
        <v>#N/A</v>
      </c>
      <c r="W5414" s="6">
        <f t="shared" si="168"/>
        <v>0</v>
      </c>
      <c r="X5414" s="6">
        <f t="shared" si="169"/>
        <v>0</v>
      </c>
    </row>
    <row r="5415" spans="22:24" x14ac:dyDescent="0.3">
      <c r="V5415" t="e">
        <f>VLOOKUP(H5415,'[1]팀별 출판사'!A:B,2,0)</f>
        <v>#N/A</v>
      </c>
      <c r="W5415" s="6">
        <f t="shared" si="168"/>
        <v>0</v>
      </c>
      <c r="X5415" s="6">
        <f t="shared" si="169"/>
        <v>0</v>
      </c>
    </row>
    <row r="5416" spans="22:24" x14ac:dyDescent="0.3">
      <c r="V5416" t="e">
        <f>VLOOKUP(H5416,'[1]팀별 출판사'!A:B,2,0)</f>
        <v>#N/A</v>
      </c>
      <c r="W5416" s="6">
        <f t="shared" si="168"/>
        <v>0</v>
      </c>
      <c r="X5416" s="6">
        <f t="shared" si="169"/>
        <v>0</v>
      </c>
    </row>
    <row r="5417" spans="22:24" x14ac:dyDescent="0.3">
      <c r="V5417" t="e">
        <f>VLOOKUP(H5417,'[1]팀별 출판사'!A:B,2,0)</f>
        <v>#N/A</v>
      </c>
      <c r="W5417" s="6">
        <f t="shared" si="168"/>
        <v>0</v>
      </c>
      <c r="X5417" s="6">
        <f t="shared" si="169"/>
        <v>0</v>
      </c>
    </row>
    <row r="5418" spans="22:24" x14ac:dyDescent="0.3">
      <c r="V5418" t="e">
        <f>VLOOKUP(H5418,'[1]팀별 출판사'!A:B,2,0)</f>
        <v>#N/A</v>
      </c>
      <c r="W5418" s="6">
        <f t="shared" si="168"/>
        <v>0</v>
      </c>
      <c r="X5418" s="6">
        <f t="shared" si="169"/>
        <v>0</v>
      </c>
    </row>
    <row r="5419" spans="22:24" x14ac:dyDescent="0.3">
      <c r="V5419" t="e">
        <f>VLOOKUP(H5419,'[1]팀별 출판사'!A:B,2,0)</f>
        <v>#N/A</v>
      </c>
      <c r="W5419" s="6">
        <f t="shared" si="168"/>
        <v>0</v>
      </c>
      <c r="X5419" s="6">
        <f t="shared" si="169"/>
        <v>0</v>
      </c>
    </row>
    <row r="5420" spans="22:24" x14ac:dyDescent="0.3">
      <c r="V5420" t="e">
        <f>VLOOKUP(H5420,'[1]팀별 출판사'!A:B,2,0)</f>
        <v>#N/A</v>
      </c>
      <c r="W5420" s="6">
        <f t="shared" si="168"/>
        <v>0</v>
      </c>
      <c r="X5420" s="6">
        <f t="shared" si="169"/>
        <v>0</v>
      </c>
    </row>
    <row r="5421" spans="22:24" x14ac:dyDescent="0.3">
      <c r="V5421" t="e">
        <f>VLOOKUP(H5421,'[1]팀별 출판사'!A:B,2,0)</f>
        <v>#N/A</v>
      </c>
      <c r="W5421" s="6">
        <f t="shared" si="168"/>
        <v>0</v>
      </c>
      <c r="X5421" s="6">
        <f t="shared" si="169"/>
        <v>0</v>
      </c>
    </row>
    <row r="5422" spans="22:24" x14ac:dyDescent="0.3">
      <c r="V5422" t="e">
        <f>VLOOKUP(H5422,'[1]팀별 출판사'!A:B,2,0)</f>
        <v>#N/A</v>
      </c>
      <c r="W5422" s="6">
        <f t="shared" si="168"/>
        <v>0</v>
      </c>
      <c r="X5422" s="6">
        <f t="shared" si="169"/>
        <v>0</v>
      </c>
    </row>
    <row r="5423" spans="22:24" x14ac:dyDescent="0.3">
      <c r="V5423" t="e">
        <f>VLOOKUP(H5423,'[1]팀별 출판사'!A:B,2,0)</f>
        <v>#N/A</v>
      </c>
      <c r="W5423" s="6">
        <f t="shared" si="168"/>
        <v>0</v>
      </c>
      <c r="X5423" s="6">
        <f t="shared" si="169"/>
        <v>0</v>
      </c>
    </row>
    <row r="5424" spans="22:24" x14ac:dyDescent="0.3">
      <c r="V5424" t="e">
        <f>VLOOKUP(H5424,'[1]팀별 출판사'!A:B,2,0)</f>
        <v>#N/A</v>
      </c>
      <c r="W5424" s="6">
        <f t="shared" si="168"/>
        <v>0</v>
      </c>
      <c r="X5424" s="6">
        <f t="shared" si="169"/>
        <v>0</v>
      </c>
    </row>
    <row r="5425" spans="22:24" x14ac:dyDescent="0.3">
      <c r="V5425" t="e">
        <f>VLOOKUP(H5425,'[1]팀별 출판사'!A:B,2,0)</f>
        <v>#N/A</v>
      </c>
      <c r="W5425" s="6">
        <f t="shared" si="168"/>
        <v>0</v>
      </c>
      <c r="X5425" s="6">
        <f t="shared" si="169"/>
        <v>0</v>
      </c>
    </row>
    <row r="5426" spans="22:24" x14ac:dyDescent="0.3">
      <c r="V5426" t="e">
        <f>VLOOKUP(H5426,'[1]팀별 출판사'!A:B,2,0)</f>
        <v>#N/A</v>
      </c>
      <c r="W5426" s="6">
        <f t="shared" si="168"/>
        <v>0</v>
      </c>
      <c r="X5426" s="6">
        <f t="shared" si="169"/>
        <v>0</v>
      </c>
    </row>
    <row r="5427" spans="22:24" x14ac:dyDescent="0.3">
      <c r="V5427" t="e">
        <f>VLOOKUP(H5427,'[1]팀별 출판사'!A:B,2,0)</f>
        <v>#N/A</v>
      </c>
      <c r="W5427" s="6">
        <f t="shared" si="168"/>
        <v>0</v>
      </c>
      <c r="X5427" s="6">
        <f t="shared" si="169"/>
        <v>0</v>
      </c>
    </row>
    <row r="5428" spans="22:24" x14ac:dyDescent="0.3">
      <c r="V5428" t="e">
        <f>VLOOKUP(H5428,'[1]팀별 출판사'!A:B,2,0)</f>
        <v>#N/A</v>
      </c>
      <c r="W5428" s="6">
        <f t="shared" si="168"/>
        <v>0</v>
      </c>
      <c r="X5428" s="6">
        <f t="shared" si="169"/>
        <v>0</v>
      </c>
    </row>
    <row r="5429" spans="22:24" x14ac:dyDescent="0.3">
      <c r="V5429" t="e">
        <f>VLOOKUP(H5429,'[1]팀별 출판사'!A:B,2,0)</f>
        <v>#N/A</v>
      </c>
      <c r="W5429" s="6">
        <f t="shared" si="168"/>
        <v>0</v>
      </c>
      <c r="X5429" s="6">
        <f t="shared" si="169"/>
        <v>0</v>
      </c>
    </row>
    <row r="5430" spans="22:24" x14ac:dyDescent="0.3">
      <c r="V5430" t="e">
        <f>VLOOKUP(H5430,'[1]팀별 출판사'!A:B,2,0)</f>
        <v>#N/A</v>
      </c>
      <c r="W5430" s="6">
        <f t="shared" si="168"/>
        <v>0</v>
      </c>
      <c r="X5430" s="6">
        <f t="shared" si="169"/>
        <v>0</v>
      </c>
    </row>
    <row r="5431" spans="22:24" x14ac:dyDescent="0.3">
      <c r="V5431" t="e">
        <f>VLOOKUP(H5431,'[1]팀별 출판사'!A:B,2,0)</f>
        <v>#N/A</v>
      </c>
      <c r="W5431" s="6">
        <f t="shared" si="168"/>
        <v>0</v>
      </c>
      <c r="X5431" s="6">
        <f t="shared" si="169"/>
        <v>0</v>
      </c>
    </row>
    <row r="5432" spans="22:24" x14ac:dyDescent="0.3">
      <c r="V5432" t="e">
        <f>VLOOKUP(H5432,'[1]팀별 출판사'!A:B,2,0)</f>
        <v>#N/A</v>
      </c>
      <c r="W5432" s="6">
        <f t="shared" si="168"/>
        <v>0</v>
      </c>
      <c r="X5432" s="6">
        <f t="shared" si="169"/>
        <v>0</v>
      </c>
    </row>
    <row r="5433" spans="22:24" x14ac:dyDescent="0.3">
      <c r="V5433" t="e">
        <f>VLOOKUP(H5433,'[1]팀별 출판사'!A:B,2,0)</f>
        <v>#N/A</v>
      </c>
      <c r="W5433" s="6">
        <f t="shared" si="168"/>
        <v>0</v>
      </c>
      <c r="X5433" s="6">
        <f t="shared" si="169"/>
        <v>0</v>
      </c>
    </row>
    <row r="5434" spans="22:24" x14ac:dyDescent="0.3">
      <c r="V5434" t="e">
        <f>VLOOKUP(H5434,'[1]팀별 출판사'!A:B,2,0)</f>
        <v>#N/A</v>
      </c>
      <c r="W5434" s="6">
        <f t="shared" si="168"/>
        <v>0</v>
      </c>
      <c r="X5434" s="6">
        <f t="shared" si="169"/>
        <v>0</v>
      </c>
    </row>
    <row r="5435" spans="22:24" x14ac:dyDescent="0.3">
      <c r="V5435" t="e">
        <f>VLOOKUP(H5435,'[1]팀별 출판사'!A:B,2,0)</f>
        <v>#N/A</v>
      </c>
      <c r="W5435" s="6">
        <f t="shared" si="168"/>
        <v>0</v>
      </c>
      <c r="X5435" s="6">
        <f t="shared" si="169"/>
        <v>0</v>
      </c>
    </row>
    <row r="5436" spans="22:24" x14ac:dyDescent="0.3">
      <c r="V5436" t="e">
        <f>VLOOKUP(H5436,'[1]팀별 출판사'!A:B,2,0)</f>
        <v>#N/A</v>
      </c>
      <c r="W5436" s="6">
        <f t="shared" si="168"/>
        <v>0</v>
      </c>
      <c r="X5436" s="6">
        <f t="shared" si="169"/>
        <v>0</v>
      </c>
    </row>
    <row r="5437" spans="22:24" x14ac:dyDescent="0.3">
      <c r="V5437" t="e">
        <f>VLOOKUP(H5437,'[1]팀별 출판사'!A:B,2,0)</f>
        <v>#N/A</v>
      </c>
      <c r="W5437" s="6">
        <f t="shared" si="168"/>
        <v>0</v>
      </c>
      <c r="X5437" s="6">
        <f t="shared" si="169"/>
        <v>0</v>
      </c>
    </row>
    <row r="5438" spans="22:24" x14ac:dyDescent="0.3">
      <c r="V5438" t="e">
        <f>VLOOKUP(H5438,'[1]팀별 출판사'!A:B,2,0)</f>
        <v>#N/A</v>
      </c>
      <c r="W5438" s="6">
        <f t="shared" si="168"/>
        <v>0</v>
      </c>
      <c r="X5438" s="6">
        <f t="shared" si="169"/>
        <v>0</v>
      </c>
    </row>
    <row r="5439" spans="22:24" x14ac:dyDescent="0.3">
      <c r="V5439" t="e">
        <f>VLOOKUP(H5439,'[1]팀별 출판사'!A:B,2,0)</f>
        <v>#N/A</v>
      </c>
      <c r="W5439" s="6">
        <f t="shared" si="168"/>
        <v>0</v>
      </c>
      <c r="X5439" s="6">
        <f t="shared" si="169"/>
        <v>0</v>
      </c>
    </row>
    <row r="5440" spans="22:24" x14ac:dyDescent="0.3">
      <c r="V5440" t="e">
        <f>VLOOKUP(H5440,'[1]팀별 출판사'!A:B,2,0)</f>
        <v>#N/A</v>
      </c>
      <c r="W5440" s="6">
        <f t="shared" si="168"/>
        <v>0</v>
      </c>
      <c r="X5440" s="6">
        <f t="shared" si="169"/>
        <v>0</v>
      </c>
    </row>
    <row r="5441" spans="22:24" x14ac:dyDescent="0.3">
      <c r="V5441" t="e">
        <f>VLOOKUP(H5441,'[1]팀별 출판사'!A:B,2,0)</f>
        <v>#N/A</v>
      </c>
      <c r="W5441" s="6">
        <f t="shared" si="168"/>
        <v>0</v>
      </c>
      <c r="X5441" s="6">
        <f t="shared" si="169"/>
        <v>0</v>
      </c>
    </row>
    <row r="5442" spans="22:24" x14ac:dyDescent="0.3">
      <c r="V5442" t="e">
        <f>VLOOKUP(H5442,'[1]팀별 출판사'!A:B,2,0)</f>
        <v>#N/A</v>
      </c>
      <c r="W5442" s="6">
        <f t="shared" ref="W5442:W5505" si="170">IF(P5442="US", T5442*30%, 0)</f>
        <v>0</v>
      </c>
      <c r="X5442" s="6">
        <f t="shared" ref="X5442:X5505" si="171">T5442-W5442</f>
        <v>0</v>
      </c>
    </row>
    <row r="5443" spans="22:24" x14ac:dyDescent="0.3">
      <c r="V5443" t="e">
        <f>VLOOKUP(H5443,'[1]팀별 출판사'!A:B,2,0)</f>
        <v>#N/A</v>
      </c>
      <c r="W5443" s="6">
        <f t="shared" si="170"/>
        <v>0</v>
      </c>
      <c r="X5443" s="6">
        <f t="shared" si="171"/>
        <v>0</v>
      </c>
    </row>
    <row r="5444" spans="22:24" x14ac:dyDescent="0.3">
      <c r="V5444" t="e">
        <f>VLOOKUP(H5444,'[1]팀별 출판사'!A:B,2,0)</f>
        <v>#N/A</v>
      </c>
      <c r="W5444" s="6">
        <f t="shared" si="170"/>
        <v>0</v>
      </c>
      <c r="X5444" s="6">
        <f t="shared" si="171"/>
        <v>0</v>
      </c>
    </row>
    <row r="5445" spans="22:24" x14ac:dyDescent="0.3">
      <c r="V5445" t="e">
        <f>VLOOKUP(H5445,'[1]팀별 출판사'!A:B,2,0)</f>
        <v>#N/A</v>
      </c>
      <c r="W5445" s="6">
        <f t="shared" si="170"/>
        <v>0</v>
      </c>
      <c r="X5445" s="6">
        <f t="shared" si="171"/>
        <v>0</v>
      </c>
    </row>
    <row r="5446" spans="22:24" x14ac:dyDescent="0.3">
      <c r="V5446" t="e">
        <f>VLOOKUP(H5446,'[1]팀별 출판사'!A:B,2,0)</f>
        <v>#N/A</v>
      </c>
      <c r="W5446" s="6">
        <f t="shared" si="170"/>
        <v>0</v>
      </c>
      <c r="X5446" s="6">
        <f t="shared" si="171"/>
        <v>0</v>
      </c>
    </row>
    <row r="5447" spans="22:24" x14ac:dyDescent="0.3">
      <c r="V5447" t="e">
        <f>VLOOKUP(H5447,'[1]팀별 출판사'!A:B,2,0)</f>
        <v>#N/A</v>
      </c>
      <c r="W5447" s="6">
        <f t="shared" si="170"/>
        <v>0</v>
      </c>
      <c r="X5447" s="6">
        <f t="shared" si="171"/>
        <v>0</v>
      </c>
    </row>
    <row r="5448" spans="22:24" x14ac:dyDescent="0.3">
      <c r="V5448" t="e">
        <f>VLOOKUP(H5448,'[1]팀별 출판사'!A:B,2,0)</f>
        <v>#N/A</v>
      </c>
      <c r="W5448" s="6">
        <f t="shared" si="170"/>
        <v>0</v>
      </c>
      <c r="X5448" s="6">
        <f t="shared" si="171"/>
        <v>0</v>
      </c>
    </row>
    <row r="5449" spans="22:24" x14ac:dyDescent="0.3">
      <c r="V5449" t="e">
        <f>VLOOKUP(H5449,'[1]팀별 출판사'!A:B,2,0)</f>
        <v>#N/A</v>
      </c>
      <c r="W5449" s="6">
        <f t="shared" si="170"/>
        <v>0</v>
      </c>
      <c r="X5449" s="6">
        <f t="shared" si="171"/>
        <v>0</v>
      </c>
    </row>
    <row r="5450" spans="22:24" x14ac:dyDescent="0.3">
      <c r="V5450" t="e">
        <f>VLOOKUP(H5450,'[1]팀별 출판사'!A:B,2,0)</f>
        <v>#N/A</v>
      </c>
      <c r="W5450" s="6">
        <f t="shared" si="170"/>
        <v>0</v>
      </c>
      <c r="X5450" s="6">
        <f t="shared" si="171"/>
        <v>0</v>
      </c>
    </row>
    <row r="5451" spans="22:24" x14ac:dyDescent="0.3">
      <c r="V5451" t="e">
        <f>VLOOKUP(H5451,'[1]팀별 출판사'!A:B,2,0)</f>
        <v>#N/A</v>
      </c>
      <c r="W5451" s="6">
        <f t="shared" si="170"/>
        <v>0</v>
      </c>
      <c r="X5451" s="6">
        <f t="shared" si="171"/>
        <v>0</v>
      </c>
    </row>
    <row r="5452" spans="22:24" x14ac:dyDescent="0.3">
      <c r="V5452" t="e">
        <f>VLOOKUP(H5452,'[1]팀별 출판사'!A:B,2,0)</f>
        <v>#N/A</v>
      </c>
      <c r="W5452" s="6">
        <f t="shared" si="170"/>
        <v>0</v>
      </c>
      <c r="X5452" s="6">
        <f t="shared" si="171"/>
        <v>0</v>
      </c>
    </row>
    <row r="5453" spans="22:24" x14ac:dyDescent="0.3">
      <c r="V5453" t="e">
        <f>VLOOKUP(H5453,'[1]팀별 출판사'!A:B,2,0)</f>
        <v>#N/A</v>
      </c>
      <c r="W5453" s="6">
        <f t="shared" si="170"/>
        <v>0</v>
      </c>
      <c r="X5453" s="6">
        <f t="shared" si="171"/>
        <v>0</v>
      </c>
    </row>
    <row r="5454" spans="22:24" x14ac:dyDescent="0.3">
      <c r="V5454" t="e">
        <f>VLOOKUP(H5454,'[1]팀별 출판사'!A:B,2,0)</f>
        <v>#N/A</v>
      </c>
      <c r="W5454" s="6">
        <f t="shared" si="170"/>
        <v>0</v>
      </c>
      <c r="X5454" s="6">
        <f t="shared" si="171"/>
        <v>0</v>
      </c>
    </row>
    <row r="5455" spans="22:24" x14ac:dyDescent="0.3">
      <c r="V5455" t="e">
        <f>VLOOKUP(H5455,'[1]팀별 출판사'!A:B,2,0)</f>
        <v>#N/A</v>
      </c>
      <c r="W5455" s="6">
        <f t="shared" si="170"/>
        <v>0</v>
      </c>
      <c r="X5455" s="6">
        <f t="shared" si="171"/>
        <v>0</v>
      </c>
    </row>
    <row r="5456" spans="22:24" x14ac:dyDescent="0.3">
      <c r="V5456" t="e">
        <f>VLOOKUP(H5456,'[1]팀별 출판사'!A:B,2,0)</f>
        <v>#N/A</v>
      </c>
      <c r="W5456" s="6">
        <f t="shared" si="170"/>
        <v>0</v>
      </c>
      <c r="X5456" s="6">
        <f t="shared" si="171"/>
        <v>0</v>
      </c>
    </row>
    <row r="5457" spans="22:24" x14ac:dyDescent="0.3">
      <c r="V5457" t="e">
        <f>VLOOKUP(H5457,'[1]팀별 출판사'!A:B,2,0)</f>
        <v>#N/A</v>
      </c>
      <c r="W5457" s="6">
        <f t="shared" si="170"/>
        <v>0</v>
      </c>
      <c r="X5457" s="6">
        <f t="shared" si="171"/>
        <v>0</v>
      </c>
    </row>
    <row r="5458" spans="22:24" x14ac:dyDescent="0.3">
      <c r="V5458" t="e">
        <f>VLOOKUP(H5458,'[1]팀별 출판사'!A:B,2,0)</f>
        <v>#N/A</v>
      </c>
      <c r="W5458" s="6">
        <f t="shared" si="170"/>
        <v>0</v>
      </c>
      <c r="X5458" s="6">
        <f t="shared" si="171"/>
        <v>0</v>
      </c>
    </row>
    <row r="5459" spans="22:24" x14ac:dyDescent="0.3">
      <c r="V5459" t="e">
        <f>VLOOKUP(H5459,'[1]팀별 출판사'!A:B,2,0)</f>
        <v>#N/A</v>
      </c>
      <c r="W5459" s="6">
        <f t="shared" si="170"/>
        <v>0</v>
      </c>
      <c r="X5459" s="6">
        <f t="shared" si="171"/>
        <v>0</v>
      </c>
    </row>
    <row r="5460" spans="22:24" x14ac:dyDescent="0.3">
      <c r="V5460" t="e">
        <f>VLOOKUP(H5460,'[1]팀별 출판사'!A:B,2,0)</f>
        <v>#N/A</v>
      </c>
      <c r="W5460" s="6">
        <f t="shared" si="170"/>
        <v>0</v>
      </c>
      <c r="X5460" s="6">
        <f t="shared" si="171"/>
        <v>0</v>
      </c>
    </row>
    <row r="5461" spans="22:24" x14ac:dyDescent="0.3">
      <c r="V5461" t="e">
        <f>VLOOKUP(H5461,'[1]팀별 출판사'!A:B,2,0)</f>
        <v>#N/A</v>
      </c>
      <c r="W5461" s="6">
        <f t="shared" si="170"/>
        <v>0</v>
      </c>
      <c r="X5461" s="6">
        <f t="shared" si="171"/>
        <v>0</v>
      </c>
    </row>
    <row r="5462" spans="22:24" x14ac:dyDescent="0.3">
      <c r="V5462" t="e">
        <f>VLOOKUP(H5462,'[1]팀별 출판사'!A:B,2,0)</f>
        <v>#N/A</v>
      </c>
      <c r="W5462" s="6">
        <f t="shared" si="170"/>
        <v>0</v>
      </c>
      <c r="X5462" s="6">
        <f t="shared" si="171"/>
        <v>0</v>
      </c>
    </row>
    <row r="5463" spans="22:24" x14ac:dyDescent="0.3">
      <c r="V5463" t="e">
        <f>VLOOKUP(H5463,'[1]팀별 출판사'!A:B,2,0)</f>
        <v>#N/A</v>
      </c>
      <c r="W5463" s="6">
        <f t="shared" si="170"/>
        <v>0</v>
      </c>
      <c r="X5463" s="6">
        <f t="shared" si="171"/>
        <v>0</v>
      </c>
    </row>
    <row r="5464" spans="22:24" x14ac:dyDescent="0.3">
      <c r="V5464" t="e">
        <f>VLOOKUP(H5464,'[1]팀별 출판사'!A:B,2,0)</f>
        <v>#N/A</v>
      </c>
      <c r="W5464" s="6">
        <f t="shared" si="170"/>
        <v>0</v>
      </c>
      <c r="X5464" s="6">
        <f t="shared" si="171"/>
        <v>0</v>
      </c>
    </row>
    <row r="5465" spans="22:24" x14ac:dyDescent="0.3">
      <c r="V5465" t="e">
        <f>VLOOKUP(H5465,'[1]팀별 출판사'!A:B,2,0)</f>
        <v>#N/A</v>
      </c>
      <c r="W5465" s="6">
        <f t="shared" si="170"/>
        <v>0</v>
      </c>
      <c r="X5465" s="6">
        <f t="shared" si="171"/>
        <v>0</v>
      </c>
    </row>
    <row r="5466" spans="22:24" x14ac:dyDescent="0.3">
      <c r="V5466" t="e">
        <f>VLOOKUP(H5466,'[1]팀별 출판사'!A:B,2,0)</f>
        <v>#N/A</v>
      </c>
      <c r="W5466" s="6">
        <f t="shared" si="170"/>
        <v>0</v>
      </c>
      <c r="X5466" s="6">
        <f t="shared" si="171"/>
        <v>0</v>
      </c>
    </row>
    <row r="5467" spans="22:24" x14ac:dyDescent="0.3">
      <c r="V5467" t="e">
        <f>VLOOKUP(H5467,'[1]팀별 출판사'!A:B,2,0)</f>
        <v>#N/A</v>
      </c>
      <c r="W5467" s="6">
        <f t="shared" si="170"/>
        <v>0</v>
      </c>
      <c r="X5467" s="6">
        <f t="shared" si="171"/>
        <v>0</v>
      </c>
    </row>
    <row r="5468" spans="22:24" x14ac:dyDescent="0.3">
      <c r="V5468" t="e">
        <f>VLOOKUP(H5468,'[1]팀별 출판사'!A:B,2,0)</f>
        <v>#N/A</v>
      </c>
      <c r="W5468" s="6">
        <f t="shared" si="170"/>
        <v>0</v>
      </c>
      <c r="X5468" s="6">
        <f t="shared" si="171"/>
        <v>0</v>
      </c>
    </row>
    <row r="5469" spans="22:24" x14ac:dyDescent="0.3">
      <c r="V5469" t="e">
        <f>VLOOKUP(H5469,'[1]팀별 출판사'!A:B,2,0)</f>
        <v>#N/A</v>
      </c>
      <c r="W5469" s="6">
        <f t="shared" si="170"/>
        <v>0</v>
      </c>
      <c r="X5469" s="6">
        <f t="shared" si="171"/>
        <v>0</v>
      </c>
    </row>
    <row r="5470" spans="22:24" x14ac:dyDescent="0.3">
      <c r="V5470" t="e">
        <f>VLOOKUP(H5470,'[1]팀별 출판사'!A:B,2,0)</f>
        <v>#N/A</v>
      </c>
      <c r="W5470" s="6">
        <f t="shared" si="170"/>
        <v>0</v>
      </c>
      <c r="X5470" s="6">
        <f t="shared" si="171"/>
        <v>0</v>
      </c>
    </row>
    <row r="5471" spans="22:24" x14ac:dyDescent="0.3">
      <c r="V5471" t="e">
        <f>VLOOKUP(H5471,'[1]팀별 출판사'!A:B,2,0)</f>
        <v>#N/A</v>
      </c>
      <c r="W5471" s="6">
        <f t="shared" si="170"/>
        <v>0</v>
      </c>
      <c r="X5471" s="6">
        <f t="shared" si="171"/>
        <v>0</v>
      </c>
    </row>
    <row r="5472" spans="22:24" x14ac:dyDescent="0.3">
      <c r="V5472" t="e">
        <f>VLOOKUP(H5472,'[1]팀별 출판사'!A:B,2,0)</f>
        <v>#N/A</v>
      </c>
      <c r="W5472" s="6">
        <f t="shared" si="170"/>
        <v>0</v>
      </c>
      <c r="X5472" s="6">
        <f t="shared" si="171"/>
        <v>0</v>
      </c>
    </row>
    <row r="5473" spans="22:24" x14ac:dyDescent="0.3">
      <c r="V5473" t="e">
        <f>VLOOKUP(H5473,'[1]팀별 출판사'!A:B,2,0)</f>
        <v>#N/A</v>
      </c>
      <c r="W5473" s="6">
        <f t="shared" si="170"/>
        <v>0</v>
      </c>
      <c r="X5473" s="6">
        <f t="shared" si="171"/>
        <v>0</v>
      </c>
    </row>
    <row r="5474" spans="22:24" x14ac:dyDescent="0.3">
      <c r="V5474" t="e">
        <f>VLOOKUP(H5474,'[1]팀별 출판사'!A:B,2,0)</f>
        <v>#N/A</v>
      </c>
      <c r="W5474" s="6">
        <f t="shared" si="170"/>
        <v>0</v>
      </c>
      <c r="X5474" s="6">
        <f t="shared" si="171"/>
        <v>0</v>
      </c>
    </row>
    <row r="5475" spans="22:24" x14ac:dyDescent="0.3">
      <c r="V5475" t="e">
        <f>VLOOKUP(H5475,'[1]팀별 출판사'!A:B,2,0)</f>
        <v>#N/A</v>
      </c>
      <c r="W5475" s="6">
        <f t="shared" si="170"/>
        <v>0</v>
      </c>
      <c r="X5475" s="6">
        <f t="shared" si="171"/>
        <v>0</v>
      </c>
    </row>
    <row r="5476" spans="22:24" x14ac:dyDescent="0.3">
      <c r="V5476" t="e">
        <f>VLOOKUP(H5476,'[1]팀별 출판사'!A:B,2,0)</f>
        <v>#N/A</v>
      </c>
      <c r="W5476" s="6">
        <f t="shared" si="170"/>
        <v>0</v>
      </c>
      <c r="X5476" s="6">
        <f t="shared" si="171"/>
        <v>0</v>
      </c>
    </row>
    <row r="5477" spans="22:24" x14ac:dyDescent="0.3">
      <c r="V5477" t="e">
        <f>VLOOKUP(H5477,'[1]팀별 출판사'!A:B,2,0)</f>
        <v>#N/A</v>
      </c>
      <c r="W5477" s="6">
        <f t="shared" si="170"/>
        <v>0</v>
      </c>
      <c r="X5477" s="6">
        <f t="shared" si="171"/>
        <v>0</v>
      </c>
    </row>
    <row r="5478" spans="22:24" x14ac:dyDescent="0.3">
      <c r="V5478" t="e">
        <f>VLOOKUP(H5478,'[1]팀별 출판사'!A:B,2,0)</f>
        <v>#N/A</v>
      </c>
      <c r="W5478" s="6">
        <f t="shared" si="170"/>
        <v>0</v>
      </c>
      <c r="X5478" s="6">
        <f t="shared" si="171"/>
        <v>0</v>
      </c>
    </row>
    <row r="5479" spans="22:24" x14ac:dyDescent="0.3">
      <c r="V5479" t="e">
        <f>VLOOKUP(H5479,'[1]팀별 출판사'!A:B,2,0)</f>
        <v>#N/A</v>
      </c>
      <c r="W5479" s="6">
        <f t="shared" si="170"/>
        <v>0</v>
      </c>
      <c r="X5479" s="6">
        <f t="shared" si="171"/>
        <v>0</v>
      </c>
    </row>
    <row r="5480" spans="22:24" x14ac:dyDescent="0.3">
      <c r="V5480" t="e">
        <f>VLOOKUP(H5480,'[1]팀별 출판사'!A:B,2,0)</f>
        <v>#N/A</v>
      </c>
      <c r="W5480" s="6">
        <f t="shared" si="170"/>
        <v>0</v>
      </c>
      <c r="X5480" s="6">
        <f t="shared" si="171"/>
        <v>0</v>
      </c>
    </row>
    <row r="5481" spans="22:24" x14ac:dyDescent="0.3">
      <c r="V5481" t="e">
        <f>VLOOKUP(H5481,'[1]팀별 출판사'!A:B,2,0)</f>
        <v>#N/A</v>
      </c>
      <c r="W5481" s="6">
        <f t="shared" si="170"/>
        <v>0</v>
      </c>
      <c r="X5481" s="6">
        <f t="shared" si="171"/>
        <v>0</v>
      </c>
    </row>
    <row r="5482" spans="22:24" x14ac:dyDescent="0.3">
      <c r="V5482" t="e">
        <f>VLOOKUP(H5482,'[1]팀별 출판사'!A:B,2,0)</f>
        <v>#N/A</v>
      </c>
      <c r="W5482" s="6">
        <f t="shared" si="170"/>
        <v>0</v>
      </c>
      <c r="X5482" s="6">
        <f t="shared" si="171"/>
        <v>0</v>
      </c>
    </row>
    <row r="5483" spans="22:24" x14ac:dyDescent="0.3">
      <c r="V5483" t="e">
        <f>VLOOKUP(H5483,'[1]팀별 출판사'!A:B,2,0)</f>
        <v>#N/A</v>
      </c>
      <c r="W5483" s="6">
        <f t="shared" si="170"/>
        <v>0</v>
      </c>
      <c r="X5483" s="6">
        <f t="shared" si="171"/>
        <v>0</v>
      </c>
    </row>
    <row r="5484" spans="22:24" x14ac:dyDescent="0.3">
      <c r="V5484" t="e">
        <f>VLOOKUP(H5484,'[1]팀별 출판사'!A:B,2,0)</f>
        <v>#N/A</v>
      </c>
      <c r="W5484" s="6">
        <f t="shared" si="170"/>
        <v>0</v>
      </c>
      <c r="X5484" s="6">
        <f t="shared" si="171"/>
        <v>0</v>
      </c>
    </row>
    <row r="5485" spans="22:24" x14ac:dyDescent="0.3">
      <c r="V5485" t="e">
        <f>VLOOKUP(H5485,'[1]팀별 출판사'!A:B,2,0)</f>
        <v>#N/A</v>
      </c>
      <c r="W5485" s="6">
        <f t="shared" si="170"/>
        <v>0</v>
      </c>
      <c r="X5485" s="6">
        <f t="shared" si="171"/>
        <v>0</v>
      </c>
    </row>
    <row r="5486" spans="22:24" x14ac:dyDescent="0.3">
      <c r="V5486" t="e">
        <f>VLOOKUP(H5486,'[1]팀별 출판사'!A:B,2,0)</f>
        <v>#N/A</v>
      </c>
      <c r="W5486" s="6">
        <f t="shared" si="170"/>
        <v>0</v>
      </c>
      <c r="X5486" s="6">
        <f t="shared" si="171"/>
        <v>0</v>
      </c>
    </row>
    <row r="5487" spans="22:24" x14ac:dyDescent="0.3">
      <c r="V5487" t="e">
        <f>VLOOKUP(H5487,'[1]팀별 출판사'!A:B,2,0)</f>
        <v>#N/A</v>
      </c>
      <c r="W5487" s="6">
        <f t="shared" si="170"/>
        <v>0</v>
      </c>
      <c r="X5487" s="6">
        <f t="shared" si="171"/>
        <v>0</v>
      </c>
    </row>
    <row r="5488" spans="22:24" x14ac:dyDescent="0.3">
      <c r="V5488" t="e">
        <f>VLOOKUP(H5488,'[1]팀별 출판사'!A:B,2,0)</f>
        <v>#N/A</v>
      </c>
      <c r="W5488" s="6">
        <f t="shared" si="170"/>
        <v>0</v>
      </c>
      <c r="X5488" s="6">
        <f t="shared" si="171"/>
        <v>0</v>
      </c>
    </row>
    <row r="5489" spans="22:24" x14ac:dyDescent="0.3">
      <c r="V5489" t="e">
        <f>VLOOKUP(H5489,'[1]팀별 출판사'!A:B,2,0)</f>
        <v>#N/A</v>
      </c>
      <c r="W5489" s="6">
        <f t="shared" si="170"/>
        <v>0</v>
      </c>
      <c r="X5489" s="6">
        <f t="shared" si="171"/>
        <v>0</v>
      </c>
    </row>
    <row r="5490" spans="22:24" x14ac:dyDescent="0.3">
      <c r="V5490" t="e">
        <f>VLOOKUP(H5490,'[1]팀별 출판사'!A:B,2,0)</f>
        <v>#N/A</v>
      </c>
      <c r="W5490" s="6">
        <f t="shared" si="170"/>
        <v>0</v>
      </c>
      <c r="X5490" s="6">
        <f t="shared" si="171"/>
        <v>0</v>
      </c>
    </row>
    <row r="5491" spans="22:24" x14ac:dyDescent="0.3">
      <c r="V5491" t="e">
        <f>VLOOKUP(H5491,'[1]팀별 출판사'!A:B,2,0)</f>
        <v>#N/A</v>
      </c>
      <c r="W5491" s="6">
        <f t="shared" si="170"/>
        <v>0</v>
      </c>
      <c r="X5491" s="6">
        <f t="shared" si="171"/>
        <v>0</v>
      </c>
    </row>
    <row r="5492" spans="22:24" x14ac:dyDescent="0.3">
      <c r="V5492" t="e">
        <f>VLOOKUP(H5492,'[1]팀별 출판사'!A:B,2,0)</f>
        <v>#N/A</v>
      </c>
      <c r="W5492" s="6">
        <f t="shared" si="170"/>
        <v>0</v>
      </c>
      <c r="X5492" s="6">
        <f t="shared" si="171"/>
        <v>0</v>
      </c>
    </row>
    <row r="5493" spans="22:24" x14ac:dyDescent="0.3">
      <c r="V5493" t="e">
        <f>VLOOKUP(H5493,'[1]팀별 출판사'!A:B,2,0)</f>
        <v>#N/A</v>
      </c>
      <c r="W5493" s="6">
        <f t="shared" si="170"/>
        <v>0</v>
      </c>
      <c r="X5493" s="6">
        <f t="shared" si="171"/>
        <v>0</v>
      </c>
    </row>
    <row r="5494" spans="22:24" x14ac:dyDescent="0.3">
      <c r="V5494" t="e">
        <f>VLOOKUP(H5494,'[1]팀별 출판사'!A:B,2,0)</f>
        <v>#N/A</v>
      </c>
      <c r="W5494" s="6">
        <f t="shared" si="170"/>
        <v>0</v>
      </c>
      <c r="X5494" s="6">
        <f t="shared" si="171"/>
        <v>0</v>
      </c>
    </row>
    <row r="5495" spans="22:24" x14ac:dyDescent="0.3">
      <c r="V5495" t="e">
        <f>VLOOKUP(H5495,'[1]팀별 출판사'!A:B,2,0)</f>
        <v>#N/A</v>
      </c>
      <c r="W5495" s="6">
        <f t="shared" si="170"/>
        <v>0</v>
      </c>
      <c r="X5495" s="6">
        <f t="shared" si="171"/>
        <v>0</v>
      </c>
    </row>
    <row r="5496" spans="22:24" x14ac:dyDescent="0.3">
      <c r="V5496" t="e">
        <f>VLOOKUP(H5496,'[1]팀별 출판사'!A:B,2,0)</f>
        <v>#N/A</v>
      </c>
      <c r="W5496" s="6">
        <f t="shared" si="170"/>
        <v>0</v>
      </c>
      <c r="X5496" s="6">
        <f t="shared" si="171"/>
        <v>0</v>
      </c>
    </row>
    <row r="5497" spans="22:24" x14ac:dyDescent="0.3">
      <c r="V5497" t="e">
        <f>VLOOKUP(H5497,'[1]팀별 출판사'!A:B,2,0)</f>
        <v>#N/A</v>
      </c>
      <c r="W5497" s="6">
        <f t="shared" si="170"/>
        <v>0</v>
      </c>
      <c r="X5497" s="6">
        <f t="shared" si="171"/>
        <v>0</v>
      </c>
    </row>
    <row r="5498" spans="22:24" x14ac:dyDescent="0.3">
      <c r="V5498" t="e">
        <f>VLOOKUP(H5498,'[1]팀별 출판사'!A:B,2,0)</f>
        <v>#N/A</v>
      </c>
      <c r="W5498" s="6">
        <f t="shared" si="170"/>
        <v>0</v>
      </c>
      <c r="X5498" s="6">
        <f t="shared" si="171"/>
        <v>0</v>
      </c>
    </row>
    <row r="5499" spans="22:24" x14ac:dyDescent="0.3">
      <c r="V5499" t="e">
        <f>VLOOKUP(H5499,'[1]팀별 출판사'!A:B,2,0)</f>
        <v>#N/A</v>
      </c>
      <c r="W5499" s="6">
        <f t="shared" si="170"/>
        <v>0</v>
      </c>
      <c r="X5499" s="6">
        <f t="shared" si="171"/>
        <v>0</v>
      </c>
    </row>
    <row r="5500" spans="22:24" x14ac:dyDescent="0.3">
      <c r="V5500" t="e">
        <f>VLOOKUP(H5500,'[1]팀별 출판사'!A:B,2,0)</f>
        <v>#N/A</v>
      </c>
      <c r="W5500" s="6">
        <f t="shared" si="170"/>
        <v>0</v>
      </c>
      <c r="X5500" s="6">
        <f t="shared" si="171"/>
        <v>0</v>
      </c>
    </row>
    <row r="5501" spans="22:24" x14ac:dyDescent="0.3">
      <c r="V5501" t="e">
        <f>VLOOKUP(H5501,'[1]팀별 출판사'!A:B,2,0)</f>
        <v>#N/A</v>
      </c>
      <c r="W5501" s="6">
        <f t="shared" si="170"/>
        <v>0</v>
      </c>
      <c r="X5501" s="6">
        <f t="shared" si="171"/>
        <v>0</v>
      </c>
    </row>
    <row r="5502" spans="22:24" x14ac:dyDescent="0.3">
      <c r="V5502" t="e">
        <f>VLOOKUP(H5502,'[1]팀별 출판사'!A:B,2,0)</f>
        <v>#N/A</v>
      </c>
      <c r="W5502" s="6">
        <f t="shared" si="170"/>
        <v>0</v>
      </c>
      <c r="X5502" s="6">
        <f t="shared" si="171"/>
        <v>0</v>
      </c>
    </row>
    <row r="5503" spans="22:24" x14ac:dyDescent="0.3">
      <c r="V5503" t="e">
        <f>VLOOKUP(H5503,'[1]팀별 출판사'!A:B,2,0)</f>
        <v>#N/A</v>
      </c>
      <c r="W5503" s="6">
        <f t="shared" si="170"/>
        <v>0</v>
      </c>
      <c r="X5503" s="6">
        <f t="shared" si="171"/>
        <v>0</v>
      </c>
    </row>
    <row r="5504" spans="22:24" x14ac:dyDescent="0.3">
      <c r="V5504" t="e">
        <f>VLOOKUP(H5504,'[1]팀별 출판사'!A:B,2,0)</f>
        <v>#N/A</v>
      </c>
      <c r="W5504" s="6">
        <f t="shared" si="170"/>
        <v>0</v>
      </c>
      <c r="X5504" s="6">
        <f t="shared" si="171"/>
        <v>0</v>
      </c>
    </row>
    <row r="5505" spans="22:24" x14ac:dyDescent="0.3">
      <c r="V5505" t="e">
        <f>VLOOKUP(H5505,'[1]팀별 출판사'!A:B,2,0)</f>
        <v>#N/A</v>
      </c>
      <c r="W5505" s="6">
        <f t="shared" si="170"/>
        <v>0</v>
      </c>
      <c r="X5505" s="6">
        <f t="shared" si="171"/>
        <v>0</v>
      </c>
    </row>
    <row r="5506" spans="22:24" x14ac:dyDescent="0.3">
      <c r="V5506" t="e">
        <f>VLOOKUP(H5506,'[1]팀별 출판사'!A:B,2,0)</f>
        <v>#N/A</v>
      </c>
      <c r="W5506" s="6">
        <f t="shared" ref="W5506:W5569" si="172">IF(P5506="US", T5506*30%, 0)</f>
        <v>0</v>
      </c>
      <c r="X5506" s="6">
        <f t="shared" ref="X5506:X5569" si="173">T5506-W5506</f>
        <v>0</v>
      </c>
    </row>
    <row r="5507" spans="22:24" x14ac:dyDescent="0.3">
      <c r="V5507" t="e">
        <f>VLOOKUP(H5507,'[1]팀별 출판사'!A:B,2,0)</f>
        <v>#N/A</v>
      </c>
      <c r="W5507" s="6">
        <f t="shared" si="172"/>
        <v>0</v>
      </c>
      <c r="X5507" s="6">
        <f t="shared" si="173"/>
        <v>0</v>
      </c>
    </row>
    <row r="5508" spans="22:24" x14ac:dyDescent="0.3">
      <c r="V5508" t="e">
        <f>VLOOKUP(H5508,'[1]팀별 출판사'!A:B,2,0)</f>
        <v>#N/A</v>
      </c>
      <c r="W5508" s="6">
        <f t="shared" si="172"/>
        <v>0</v>
      </c>
      <c r="X5508" s="6">
        <f t="shared" si="173"/>
        <v>0</v>
      </c>
    </row>
    <row r="5509" spans="22:24" x14ac:dyDescent="0.3">
      <c r="V5509" t="e">
        <f>VLOOKUP(H5509,'[1]팀별 출판사'!A:B,2,0)</f>
        <v>#N/A</v>
      </c>
      <c r="W5509" s="6">
        <f t="shared" si="172"/>
        <v>0</v>
      </c>
      <c r="X5509" s="6">
        <f t="shared" si="173"/>
        <v>0</v>
      </c>
    </row>
    <row r="5510" spans="22:24" x14ac:dyDescent="0.3">
      <c r="V5510" t="e">
        <f>VLOOKUP(H5510,'[1]팀별 출판사'!A:B,2,0)</f>
        <v>#N/A</v>
      </c>
      <c r="W5510" s="6">
        <f t="shared" si="172"/>
        <v>0</v>
      </c>
      <c r="X5510" s="6">
        <f t="shared" si="173"/>
        <v>0</v>
      </c>
    </row>
    <row r="5511" spans="22:24" x14ac:dyDescent="0.3">
      <c r="V5511" t="e">
        <f>VLOOKUP(H5511,'[1]팀별 출판사'!A:B,2,0)</f>
        <v>#N/A</v>
      </c>
      <c r="W5511" s="6">
        <f t="shared" si="172"/>
        <v>0</v>
      </c>
      <c r="X5511" s="6">
        <f t="shared" si="173"/>
        <v>0</v>
      </c>
    </row>
    <row r="5512" spans="22:24" x14ac:dyDescent="0.3">
      <c r="V5512" t="e">
        <f>VLOOKUP(H5512,'[1]팀별 출판사'!A:B,2,0)</f>
        <v>#N/A</v>
      </c>
      <c r="W5512" s="6">
        <f t="shared" si="172"/>
        <v>0</v>
      </c>
      <c r="X5512" s="6">
        <f t="shared" si="173"/>
        <v>0</v>
      </c>
    </row>
    <row r="5513" spans="22:24" x14ac:dyDescent="0.3">
      <c r="V5513" t="e">
        <f>VLOOKUP(H5513,'[1]팀별 출판사'!A:B,2,0)</f>
        <v>#N/A</v>
      </c>
      <c r="W5513" s="6">
        <f t="shared" si="172"/>
        <v>0</v>
      </c>
      <c r="X5513" s="6">
        <f t="shared" si="173"/>
        <v>0</v>
      </c>
    </row>
    <row r="5514" spans="22:24" x14ac:dyDescent="0.3">
      <c r="V5514" t="e">
        <f>VLOOKUP(H5514,'[1]팀별 출판사'!A:B,2,0)</f>
        <v>#N/A</v>
      </c>
      <c r="W5514" s="6">
        <f t="shared" si="172"/>
        <v>0</v>
      </c>
      <c r="X5514" s="6">
        <f t="shared" si="173"/>
        <v>0</v>
      </c>
    </row>
    <row r="5515" spans="22:24" x14ac:dyDescent="0.3">
      <c r="V5515" t="e">
        <f>VLOOKUP(H5515,'[1]팀별 출판사'!A:B,2,0)</f>
        <v>#N/A</v>
      </c>
      <c r="W5515" s="6">
        <f t="shared" si="172"/>
        <v>0</v>
      </c>
      <c r="X5515" s="6">
        <f t="shared" si="173"/>
        <v>0</v>
      </c>
    </row>
    <row r="5516" spans="22:24" x14ac:dyDescent="0.3">
      <c r="V5516" t="e">
        <f>VLOOKUP(H5516,'[1]팀별 출판사'!A:B,2,0)</f>
        <v>#N/A</v>
      </c>
      <c r="W5516" s="6">
        <f t="shared" si="172"/>
        <v>0</v>
      </c>
      <c r="X5516" s="6">
        <f t="shared" si="173"/>
        <v>0</v>
      </c>
    </row>
    <row r="5517" spans="22:24" x14ac:dyDescent="0.3">
      <c r="V5517" t="e">
        <f>VLOOKUP(H5517,'[1]팀별 출판사'!A:B,2,0)</f>
        <v>#N/A</v>
      </c>
      <c r="W5517" s="6">
        <f t="shared" si="172"/>
        <v>0</v>
      </c>
      <c r="X5517" s="6">
        <f t="shared" si="173"/>
        <v>0</v>
      </c>
    </row>
    <row r="5518" spans="22:24" x14ac:dyDescent="0.3">
      <c r="V5518" t="e">
        <f>VLOOKUP(H5518,'[1]팀별 출판사'!A:B,2,0)</f>
        <v>#N/A</v>
      </c>
      <c r="W5518" s="6">
        <f t="shared" si="172"/>
        <v>0</v>
      </c>
      <c r="X5518" s="6">
        <f t="shared" si="173"/>
        <v>0</v>
      </c>
    </row>
    <row r="5519" spans="22:24" x14ac:dyDescent="0.3">
      <c r="V5519" t="e">
        <f>VLOOKUP(H5519,'[1]팀별 출판사'!A:B,2,0)</f>
        <v>#N/A</v>
      </c>
      <c r="W5519" s="6">
        <f t="shared" si="172"/>
        <v>0</v>
      </c>
      <c r="X5519" s="6">
        <f t="shared" si="173"/>
        <v>0</v>
      </c>
    </row>
    <row r="5520" spans="22:24" x14ac:dyDescent="0.3">
      <c r="V5520" t="e">
        <f>VLOOKUP(H5520,'[1]팀별 출판사'!A:B,2,0)</f>
        <v>#N/A</v>
      </c>
      <c r="W5520" s="6">
        <f t="shared" si="172"/>
        <v>0</v>
      </c>
      <c r="X5520" s="6">
        <f t="shared" si="173"/>
        <v>0</v>
      </c>
    </row>
    <row r="5521" spans="22:24" x14ac:dyDescent="0.3">
      <c r="V5521" t="e">
        <f>VLOOKUP(H5521,'[1]팀별 출판사'!A:B,2,0)</f>
        <v>#N/A</v>
      </c>
      <c r="W5521" s="6">
        <f t="shared" si="172"/>
        <v>0</v>
      </c>
      <c r="X5521" s="6">
        <f t="shared" si="173"/>
        <v>0</v>
      </c>
    </row>
    <row r="5522" spans="22:24" x14ac:dyDescent="0.3">
      <c r="V5522" t="e">
        <f>VLOOKUP(H5522,'[1]팀별 출판사'!A:B,2,0)</f>
        <v>#N/A</v>
      </c>
      <c r="W5522" s="6">
        <f t="shared" si="172"/>
        <v>0</v>
      </c>
      <c r="X5522" s="6">
        <f t="shared" si="173"/>
        <v>0</v>
      </c>
    </row>
    <row r="5523" spans="22:24" x14ac:dyDescent="0.3">
      <c r="V5523" t="e">
        <f>VLOOKUP(H5523,'[1]팀별 출판사'!A:B,2,0)</f>
        <v>#N/A</v>
      </c>
      <c r="W5523" s="6">
        <f t="shared" si="172"/>
        <v>0</v>
      </c>
      <c r="X5523" s="6">
        <f t="shared" si="173"/>
        <v>0</v>
      </c>
    </row>
    <row r="5524" spans="22:24" x14ac:dyDescent="0.3">
      <c r="V5524" t="e">
        <f>VLOOKUP(H5524,'[1]팀별 출판사'!A:B,2,0)</f>
        <v>#N/A</v>
      </c>
      <c r="W5524" s="6">
        <f t="shared" si="172"/>
        <v>0</v>
      </c>
      <c r="X5524" s="6">
        <f t="shared" si="173"/>
        <v>0</v>
      </c>
    </row>
    <row r="5525" spans="22:24" x14ac:dyDescent="0.3">
      <c r="V5525" t="e">
        <f>VLOOKUP(H5525,'[1]팀별 출판사'!A:B,2,0)</f>
        <v>#N/A</v>
      </c>
      <c r="W5525" s="6">
        <f t="shared" si="172"/>
        <v>0</v>
      </c>
      <c r="X5525" s="6">
        <f t="shared" si="173"/>
        <v>0</v>
      </c>
    </row>
    <row r="5526" spans="22:24" x14ac:dyDescent="0.3">
      <c r="V5526" t="e">
        <f>VLOOKUP(H5526,'[1]팀별 출판사'!A:B,2,0)</f>
        <v>#N/A</v>
      </c>
      <c r="W5526" s="6">
        <f t="shared" si="172"/>
        <v>0</v>
      </c>
      <c r="X5526" s="6">
        <f t="shared" si="173"/>
        <v>0</v>
      </c>
    </row>
    <row r="5527" spans="22:24" x14ac:dyDescent="0.3">
      <c r="V5527" t="e">
        <f>VLOOKUP(H5527,'[1]팀별 출판사'!A:B,2,0)</f>
        <v>#N/A</v>
      </c>
      <c r="W5527" s="6">
        <f t="shared" si="172"/>
        <v>0</v>
      </c>
      <c r="X5527" s="6">
        <f t="shared" si="173"/>
        <v>0</v>
      </c>
    </row>
    <row r="5528" spans="22:24" x14ac:dyDescent="0.3">
      <c r="V5528" t="e">
        <f>VLOOKUP(H5528,'[1]팀별 출판사'!A:B,2,0)</f>
        <v>#N/A</v>
      </c>
      <c r="W5528" s="6">
        <f t="shared" si="172"/>
        <v>0</v>
      </c>
      <c r="X5528" s="6">
        <f t="shared" si="173"/>
        <v>0</v>
      </c>
    </row>
    <row r="5529" spans="22:24" x14ac:dyDescent="0.3">
      <c r="V5529" t="e">
        <f>VLOOKUP(H5529,'[1]팀별 출판사'!A:B,2,0)</f>
        <v>#N/A</v>
      </c>
      <c r="W5529" s="6">
        <f t="shared" si="172"/>
        <v>0</v>
      </c>
      <c r="X5529" s="6">
        <f t="shared" si="173"/>
        <v>0</v>
      </c>
    </row>
    <row r="5530" spans="22:24" x14ac:dyDescent="0.3">
      <c r="V5530" t="e">
        <f>VLOOKUP(H5530,'[1]팀별 출판사'!A:B,2,0)</f>
        <v>#N/A</v>
      </c>
      <c r="W5530" s="6">
        <f t="shared" si="172"/>
        <v>0</v>
      </c>
      <c r="X5530" s="6">
        <f t="shared" si="173"/>
        <v>0</v>
      </c>
    </row>
    <row r="5531" spans="22:24" x14ac:dyDescent="0.3">
      <c r="V5531" t="e">
        <f>VLOOKUP(H5531,'[1]팀별 출판사'!A:B,2,0)</f>
        <v>#N/A</v>
      </c>
      <c r="W5531" s="6">
        <f t="shared" si="172"/>
        <v>0</v>
      </c>
      <c r="X5531" s="6">
        <f t="shared" si="173"/>
        <v>0</v>
      </c>
    </row>
    <row r="5532" spans="22:24" x14ac:dyDescent="0.3">
      <c r="V5532" t="e">
        <f>VLOOKUP(H5532,'[1]팀별 출판사'!A:B,2,0)</f>
        <v>#N/A</v>
      </c>
      <c r="W5532" s="6">
        <f t="shared" si="172"/>
        <v>0</v>
      </c>
      <c r="X5532" s="6">
        <f t="shared" si="173"/>
        <v>0</v>
      </c>
    </row>
    <row r="5533" spans="22:24" x14ac:dyDescent="0.3">
      <c r="V5533" t="e">
        <f>VLOOKUP(H5533,'[1]팀별 출판사'!A:B,2,0)</f>
        <v>#N/A</v>
      </c>
      <c r="W5533" s="6">
        <f t="shared" si="172"/>
        <v>0</v>
      </c>
      <c r="X5533" s="6">
        <f t="shared" si="173"/>
        <v>0</v>
      </c>
    </row>
    <row r="5534" spans="22:24" x14ac:dyDescent="0.3">
      <c r="V5534" t="e">
        <f>VLOOKUP(H5534,'[1]팀별 출판사'!A:B,2,0)</f>
        <v>#N/A</v>
      </c>
      <c r="W5534" s="6">
        <f t="shared" si="172"/>
        <v>0</v>
      </c>
      <c r="X5534" s="6">
        <f t="shared" si="173"/>
        <v>0</v>
      </c>
    </row>
    <row r="5535" spans="22:24" x14ac:dyDescent="0.3">
      <c r="V5535" t="e">
        <f>VLOOKUP(H5535,'[1]팀별 출판사'!A:B,2,0)</f>
        <v>#N/A</v>
      </c>
      <c r="W5535" s="6">
        <f t="shared" si="172"/>
        <v>0</v>
      </c>
      <c r="X5535" s="6">
        <f t="shared" si="173"/>
        <v>0</v>
      </c>
    </row>
    <row r="5536" spans="22:24" x14ac:dyDescent="0.3">
      <c r="V5536" t="e">
        <f>VLOOKUP(H5536,'[1]팀별 출판사'!A:B,2,0)</f>
        <v>#N/A</v>
      </c>
      <c r="W5536" s="6">
        <f t="shared" si="172"/>
        <v>0</v>
      </c>
      <c r="X5536" s="6">
        <f t="shared" si="173"/>
        <v>0</v>
      </c>
    </row>
    <row r="5537" spans="22:24" x14ac:dyDescent="0.3">
      <c r="V5537" t="e">
        <f>VLOOKUP(H5537,'[1]팀별 출판사'!A:B,2,0)</f>
        <v>#N/A</v>
      </c>
      <c r="W5537" s="6">
        <f t="shared" si="172"/>
        <v>0</v>
      </c>
      <c r="X5537" s="6">
        <f t="shared" si="173"/>
        <v>0</v>
      </c>
    </row>
    <row r="5538" spans="22:24" x14ac:dyDescent="0.3">
      <c r="V5538" t="e">
        <f>VLOOKUP(H5538,'[1]팀별 출판사'!A:B,2,0)</f>
        <v>#N/A</v>
      </c>
      <c r="W5538" s="6">
        <f t="shared" si="172"/>
        <v>0</v>
      </c>
      <c r="X5538" s="6">
        <f t="shared" si="173"/>
        <v>0</v>
      </c>
    </row>
    <row r="5539" spans="22:24" x14ac:dyDescent="0.3">
      <c r="V5539" t="e">
        <f>VLOOKUP(H5539,'[1]팀별 출판사'!A:B,2,0)</f>
        <v>#N/A</v>
      </c>
      <c r="W5539" s="6">
        <f t="shared" si="172"/>
        <v>0</v>
      </c>
      <c r="X5539" s="6">
        <f t="shared" si="173"/>
        <v>0</v>
      </c>
    </row>
    <row r="5540" spans="22:24" x14ac:dyDescent="0.3">
      <c r="V5540" t="e">
        <f>VLOOKUP(H5540,'[1]팀별 출판사'!A:B,2,0)</f>
        <v>#N/A</v>
      </c>
      <c r="W5540" s="6">
        <f t="shared" si="172"/>
        <v>0</v>
      </c>
      <c r="X5540" s="6">
        <f t="shared" si="173"/>
        <v>0</v>
      </c>
    </row>
    <row r="5541" spans="22:24" x14ac:dyDescent="0.3">
      <c r="V5541" t="e">
        <f>VLOOKUP(H5541,'[1]팀별 출판사'!A:B,2,0)</f>
        <v>#N/A</v>
      </c>
      <c r="W5541" s="6">
        <f t="shared" si="172"/>
        <v>0</v>
      </c>
      <c r="X5541" s="6">
        <f t="shared" si="173"/>
        <v>0</v>
      </c>
    </row>
    <row r="5542" spans="22:24" x14ac:dyDescent="0.3">
      <c r="V5542" t="e">
        <f>VLOOKUP(H5542,'[1]팀별 출판사'!A:B,2,0)</f>
        <v>#N/A</v>
      </c>
      <c r="W5542" s="6">
        <f t="shared" si="172"/>
        <v>0</v>
      </c>
      <c r="X5542" s="6">
        <f t="shared" si="173"/>
        <v>0</v>
      </c>
    </row>
    <row r="5543" spans="22:24" x14ac:dyDescent="0.3">
      <c r="V5543" t="e">
        <f>VLOOKUP(H5543,'[1]팀별 출판사'!A:B,2,0)</f>
        <v>#N/A</v>
      </c>
      <c r="W5543" s="6">
        <f t="shared" si="172"/>
        <v>0</v>
      </c>
      <c r="X5543" s="6">
        <f t="shared" si="173"/>
        <v>0</v>
      </c>
    </row>
    <row r="5544" spans="22:24" x14ac:dyDescent="0.3">
      <c r="V5544" t="e">
        <f>VLOOKUP(H5544,'[1]팀별 출판사'!A:B,2,0)</f>
        <v>#N/A</v>
      </c>
      <c r="W5544" s="6">
        <f t="shared" si="172"/>
        <v>0</v>
      </c>
      <c r="X5544" s="6">
        <f t="shared" si="173"/>
        <v>0</v>
      </c>
    </row>
    <row r="5545" spans="22:24" x14ac:dyDescent="0.3">
      <c r="V5545" t="e">
        <f>VLOOKUP(H5545,'[1]팀별 출판사'!A:B,2,0)</f>
        <v>#N/A</v>
      </c>
      <c r="W5545" s="6">
        <f t="shared" si="172"/>
        <v>0</v>
      </c>
      <c r="X5545" s="6">
        <f t="shared" si="173"/>
        <v>0</v>
      </c>
    </row>
    <row r="5546" spans="22:24" x14ac:dyDescent="0.3">
      <c r="V5546" t="e">
        <f>VLOOKUP(H5546,'[1]팀별 출판사'!A:B,2,0)</f>
        <v>#N/A</v>
      </c>
      <c r="W5546" s="6">
        <f t="shared" si="172"/>
        <v>0</v>
      </c>
      <c r="X5546" s="6">
        <f t="shared" si="173"/>
        <v>0</v>
      </c>
    </row>
    <row r="5547" spans="22:24" x14ac:dyDescent="0.3">
      <c r="V5547" t="e">
        <f>VLOOKUP(H5547,'[1]팀별 출판사'!A:B,2,0)</f>
        <v>#N/A</v>
      </c>
      <c r="W5547" s="6">
        <f t="shared" si="172"/>
        <v>0</v>
      </c>
      <c r="X5547" s="6">
        <f t="shared" si="173"/>
        <v>0</v>
      </c>
    </row>
    <row r="5548" spans="22:24" x14ac:dyDescent="0.3">
      <c r="V5548" t="e">
        <f>VLOOKUP(H5548,'[1]팀별 출판사'!A:B,2,0)</f>
        <v>#N/A</v>
      </c>
      <c r="W5548" s="6">
        <f t="shared" si="172"/>
        <v>0</v>
      </c>
      <c r="X5548" s="6">
        <f t="shared" si="173"/>
        <v>0</v>
      </c>
    </row>
    <row r="5549" spans="22:24" x14ac:dyDescent="0.3">
      <c r="V5549" t="e">
        <f>VLOOKUP(H5549,'[1]팀별 출판사'!A:B,2,0)</f>
        <v>#N/A</v>
      </c>
      <c r="W5549" s="6">
        <f t="shared" si="172"/>
        <v>0</v>
      </c>
      <c r="X5549" s="6">
        <f t="shared" si="173"/>
        <v>0</v>
      </c>
    </row>
    <row r="5550" spans="22:24" x14ac:dyDescent="0.3">
      <c r="V5550" t="e">
        <f>VLOOKUP(H5550,'[1]팀별 출판사'!A:B,2,0)</f>
        <v>#N/A</v>
      </c>
      <c r="W5550" s="6">
        <f t="shared" si="172"/>
        <v>0</v>
      </c>
      <c r="X5550" s="6">
        <f t="shared" si="173"/>
        <v>0</v>
      </c>
    </row>
    <row r="5551" spans="22:24" x14ac:dyDescent="0.3">
      <c r="V5551" t="e">
        <f>VLOOKUP(H5551,'[1]팀별 출판사'!A:B,2,0)</f>
        <v>#N/A</v>
      </c>
      <c r="W5551" s="6">
        <f t="shared" si="172"/>
        <v>0</v>
      </c>
      <c r="X5551" s="6">
        <f t="shared" si="173"/>
        <v>0</v>
      </c>
    </row>
    <row r="5552" spans="22:24" x14ac:dyDescent="0.3">
      <c r="V5552" t="e">
        <f>VLOOKUP(H5552,'[1]팀별 출판사'!A:B,2,0)</f>
        <v>#N/A</v>
      </c>
      <c r="W5552" s="6">
        <f t="shared" si="172"/>
        <v>0</v>
      </c>
      <c r="X5552" s="6">
        <f t="shared" si="173"/>
        <v>0</v>
      </c>
    </row>
    <row r="5553" spans="22:24" x14ac:dyDescent="0.3">
      <c r="V5553" t="e">
        <f>VLOOKUP(H5553,'[1]팀별 출판사'!A:B,2,0)</f>
        <v>#N/A</v>
      </c>
      <c r="W5553" s="6">
        <f t="shared" si="172"/>
        <v>0</v>
      </c>
      <c r="X5553" s="6">
        <f t="shared" si="173"/>
        <v>0</v>
      </c>
    </row>
    <row r="5554" spans="22:24" x14ac:dyDescent="0.3">
      <c r="V5554" t="e">
        <f>VLOOKUP(H5554,'[1]팀별 출판사'!A:B,2,0)</f>
        <v>#N/A</v>
      </c>
      <c r="W5554" s="6">
        <f t="shared" si="172"/>
        <v>0</v>
      </c>
      <c r="X5554" s="6">
        <f t="shared" si="173"/>
        <v>0</v>
      </c>
    </row>
    <row r="5555" spans="22:24" x14ac:dyDescent="0.3">
      <c r="V5555" t="e">
        <f>VLOOKUP(H5555,'[1]팀별 출판사'!A:B,2,0)</f>
        <v>#N/A</v>
      </c>
      <c r="W5555" s="6">
        <f t="shared" si="172"/>
        <v>0</v>
      </c>
      <c r="X5555" s="6">
        <f t="shared" si="173"/>
        <v>0</v>
      </c>
    </row>
    <row r="5556" spans="22:24" x14ac:dyDescent="0.3">
      <c r="V5556" t="e">
        <f>VLOOKUP(H5556,'[1]팀별 출판사'!A:B,2,0)</f>
        <v>#N/A</v>
      </c>
      <c r="W5556" s="6">
        <f t="shared" si="172"/>
        <v>0</v>
      </c>
      <c r="X5556" s="6">
        <f t="shared" si="173"/>
        <v>0</v>
      </c>
    </row>
    <row r="5557" spans="22:24" x14ac:dyDescent="0.3">
      <c r="V5557" t="e">
        <f>VLOOKUP(H5557,'[1]팀별 출판사'!A:B,2,0)</f>
        <v>#N/A</v>
      </c>
      <c r="W5557" s="6">
        <f t="shared" si="172"/>
        <v>0</v>
      </c>
      <c r="X5557" s="6">
        <f t="shared" si="173"/>
        <v>0</v>
      </c>
    </row>
    <row r="5558" spans="22:24" x14ac:dyDescent="0.3">
      <c r="V5558" t="e">
        <f>VLOOKUP(H5558,'[1]팀별 출판사'!A:B,2,0)</f>
        <v>#N/A</v>
      </c>
      <c r="W5558" s="6">
        <f t="shared" si="172"/>
        <v>0</v>
      </c>
      <c r="X5558" s="6">
        <f t="shared" si="173"/>
        <v>0</v>
      </c>
    </row>
    <row r="5559" spans="22:24" x14ac:dyDescent="0.3">
      <c r="V5559" t="e">
        <f>VLOOKUP(H5559,'[1]팀별 출판사'!A:B,2,0)</f>
        <v>#N/A</v>
      </c>
      <c r="W5559" s="6">
        <f t="shared" si="172"/>
        <v>0</v>
      </c>
      <c r="X5559" s="6">
        <f t="shared" si="173"/>
        <v>0</v>
      </c>
    </row>
    <row r="5560" spans="22:24" x14ac:dyDescent="0.3">
      <c r="V5560" t="e">
        <f>VLOOKUP(H5560,'[1]팀별 출판사'!A:B,2,0)</f>
        <v>#N/A</v>
      </c>
      <c r="W5560" s="6">
        <f t="shared" si="172"/>
        <v>0</v>
      </c>
      <c r="X5560" s="6">
        <f t="shared" si="173"/>
        <v>0</v>
      </c>
    </row>
    <row r="5561" spans="22:24" x14ac:dyDescent="0.3">
      <c r="V5561" t="e">
        <f>VLOOKUP(H5561,'[1]팀별 출판사'!A:B,2,0)</f>
        <v>#N/A</v>
      </c>
      <c r="W5561" s="6">
        <f t="shared" si="172"/>
        <v>0</v>
      </c>
      <c r="X5561" s="6">
        <f t="shared" si="173"/>
        <v>0</v>
      </c>
    </row>
    <row r="5562" spans="22:24" x14ac:dyDescent="0.3">
      <c r="V5562" t="e">
        <f>VLOOKUP(H5562,'[1]팀별 출판사'!A:B,2,0)</f>
        <v>#N/A</v>
      </c>
      <c r="W5562" s="6">
        <f t="shared" si="172"/>
        <v>0</v>
      </c>
      <c r="X5562" s="6">
        <f t="shared" si="173"/>
        <v>0</v>
      </c>
    </row>
    <row r="5563" spans="22:24" x14ac:dyDescent="0.3">
      <c r="V5563" t="e">
        <f>VLOOKUP(H5563,'[1]팀별 출판사'!A:B,2,0)</f>
        <v>#N/A</v>
      </c>
      <c r="W5563" s="6">
        <f t="shared" si="172"/>
        <v>0</v>
      </c>
      <c r="X5563" s="6">
        <f t="shared" si="173"/>
        <v>0</v>
      </c>
    </row>
    <row r="5564" spans="22:24" x14ac:dyDescent="0.3">
      <c r="V5564" t="e">
        <f>VLOOKUP(H5564,'[1]팀별 출판사'!A:B,2,0)</f>
        <v>#N/A</v>
      </c>
      <c r="W5564" s="6">
        <f t="shared" si="172"/>
        <v>0</v>
      </c>
      <c r="X5564" s="6">
        <f t="shared" si="173"/>
        <v>0</v>
      </c>
    </row>
    <row r="5565" spans="22:24" x14ac:dyDescent="0.3">
      <c r="V5565" t="e">
        <f>VLOOKUP(H5565,'[1]팀별 출판사'!A:B,2,0)</f>
        <v>#N/A</v>
      </c>
      <c r="W5565" s="6">
        <f t="shared" si="172"/>
        <v>0</v>
      </c>
      <c r="X5565" s="6">
        <f t="shared" si="173"/>
        <v>0</v>
      </c>
    </row>
    <row r="5566" spans="22:24" x14ac:dyDescent="0.3">
      <c r="V5566" t="e">
        <f>VLOOKUP(H5566,'[1]팀별 출판사'!A:B,2,0)</f>
        <v>#N/A</v>
      </c>
      <c r="W5566" s="6">
        <f t="shared" si="172"/>
        <v>0</v>
      </c>
      <c r="X5566" s="6">
        <f t="shared" si="173"/>
        <v>0</v>
      </c>
    </row>
    <row r="5567" spans="22:24" x14ac:dyDescent="0.3">
      <c r="V5567" t="e">
        <f>VLOOKUP(H5567,'[1]팀별 출판사'!A:B,2,0)</f>
        <v>#N/A</v>
      </c>
      <c r="W5567" s="6">
        <f t="shared" si="172"/>
        <v>0</v>
      </c>
      <c r="X5567" s="6">
        <f t="shared" si="173"/>
        <v>0</v>
      </c>
    </row>
    <row r="5568" spans="22:24" x14ac:dyDescent="0.3">
      <c r="V5568" t="e">
        <f>VLOOKUP(H5568,'[1]팀별 출판사'!A:B,2,0)</f>
        <v>#N/A</v>
      </c>
      <c r="W5568" s="6">
        <f t="shared" si="172"/>
        <v>0</v>
      </c>
      <c r="X5568" s="6">
        <f t="shared" si="173"/>
        <v>0</v>
      </c>
    </row>
    <row r="5569" spans="22:24" x14ac:dyDescent="0.3">
      <c r="V5569" t="e">
        <f>VLOOKUP(H5569,'[1]팀별 출판사'!A:B,2,0)</f>
        <v>#N/A</v>
      </c>
      <c r="W5569" s="6">
        <f t="shared" si="172"/>
        <v>0</v>
      </c>
      <c r="X5569" s="6">
        <f t="shared" si="173"/>
        <v>0</v>
      </c>
    </row>
    <row r="5570" spans="22:24" x14ac:dyDescent="0.3">
      <c r="V5570" t="e">
        <f>VLOOKUP(H5570,'[1]팀별 출판사'!A:B,2,0)</f>
        <v>#N/A</v>
      </c>
      <c r="W5570" s="6">
        <f t="shared" ref="W5570:W5633" si="174">IF(P5570="US", T5570*30%, 0)</f>
        <v>0</v>
      </c>
      <c r="X5570" s="6">
        <f t="shared" ref="X5570:X5633" si="175">T5570-W5570</f>
        <v>0</v>
      </c>
    </row>
    <row r="5571" spans="22:24" x14ac:dyDescent="0.3">
      <c r="V5571" t="e">
        <f>VLOOKUP(H5571,'[1]팀별 출판사'!A:B,2,0)</f>
        <v>#N/A</v>
      </c>
      <c r="W5571" s="6">
        <f t="shared" si="174"/>
        <v>0</v>
      </c>
      <c r="X5571" s="6">
        <f t="shared" si="175"/>
        <v>0</v>
      </c>
    </row>
    <row r="5572" spans="22:24" x14ac:dyDescent="0.3">
      <c r="V5572" t="e">
        <f>VLOOKUP(H5572,'[1]팀별 출판사'!A:B,2,0)</f>
        <v>#N/A</v>
      </c>
      <c r="W5572" s="6">
        <f t="shared" si="174"/>
        <v>0</v>
      </c>
      <c r="X5572" s="6">
        <f t="shared" si="175"/>
        <v>0</v>
      </c>
    </row>
    <row r="5573" spans="22:24" x14ac:dyDescent="0.3">
      <c r="V5573" t="e">
        <f>VLOOKUP(H5573,'[1]팀별 출판사'!A:B,2,0)</f>
        <v>#N/A</v>
      </c>
      <c r="W5573" s="6">
        <f t="shared" si="174"/>
        <v>0</v>
      </c>
      <c r="X5573" s="6">
        <f t="shared" si="175"/>
        <v>0</v>
      </c>
    </row>
    <row r="5574" spans="22:24" x14ac:dyDescent="0.3">
      <c r="V5574" t="e">
        <f>VLOOKUP(H5574,'[1]팀별 출판사'!A:B,2,0)</f>
        <v>#N/A</v>
      </c>
      <c r="W5574" s="6">
        <f t="shared" si="174"/>
        <v>0</v>
      </c>
      <c r="X5574" s="6">
        <f t="shared" si="175"/>
        <v>0</v>
      </c>
    </row>
    <row r="5575" spans="22:24" x14ac:dyDescent="0.3">
      <c r="V5575" t="e">
        <f>VLOOKUP(H5575,'[1]팀별 출판사'!A:B,2,0)</f>
        <v>#N/A</v>
      </c>
      <c r="W5575" s="6">
        <f t="shared" si="174"/>
        <v>0</v>
      </c>
      <c r="X5575" s="6">
        <f t="shared" si="175"/>
        <v>0</v>
      </c>
    </row>
    <row r="5576" spans="22:24" x14ac:dyDescent="0.3">
      <c r="V5576" t="e">
        <f>VLOOKUP(H5576,'[1]팀별 출판사'!A:B,2,0)</f>
        <v>#N/A</v>
      </c>
      <c r="W5576" s="6">
        <f t="shared" si="174"/>
        <v>0</v>
      </c>
      <c r="X5576" s="6">
        <f t="shared" si="175"/>
        <v>0</v>
      </c>
    </row>
    <row r="5577" spans="22:24" x14ac:dyDescent="0.3">
      <c r="V5577" t="e">
        <f>VLOOKUP(H5577,'[1]팀별 출판사'!A:B,2,0)</f>
        <v>#N/A</v>
      </c>
      <c r="W5577" s="6">
        <f t="shared" si="174"/>
        <v>0</v>
      </c>
      <c r="X5577" s="6">
        <f t="shared" si="175"/>
        <v>0</v>
      </c>
    </row>
    <row r="5578" spans="22:24" x14ac:dyDescent="0.3">
      <c r="V5578" t="e">
        <f>VLOOKUP(H5578,'[1]팀별 출판사'!A:B,2,0)</f>
        <v>#N/A</v>
      </c>
      <c r="W5578" s="6">
        <f t="shared" si="174"/>
        <v>0</v>
      </c>
      <c r="X5578" s="6">
        <f t="shared" si="175"/>
        <v>0</v>
      </c>
    </row>
    <row r="5579" spans="22:24" x14ac:dyDescent="0.3">
      <c r="V5579" t="e">
        <f>VLOOKUP(H5579,'[1]팀별 출판사'!A:B,2,0)</f>
        <v>#N/A</v>
      </c>
      <c r="W5579" s="6">
        <f t="shared" si="174"/>
        <v>0</v>
      </c>
      <c r="X5579" s="6">
        <f t="shared" si="175"/>
        <v>0</v>
      </c>
    </row>
    <row r="5580" spans="22:24" x14ac:dyDescent="0.3">
      <c r="V5580" t="e">
        <f>VLOOKUP(H5580,'[1]팀별 출판사'!A:B,2,0)</f>
        <v>#N/A</v>
      </c>
      <c r="W5580" s="6">
        <f t="shared" si="174"/>
        <v>0</v>
      </c>
      <c r="X5580" s="6">
        <f t="shared" si="175"/>
        <v>0</v>
      </c>
    </row>
    <row r="5581" spans="22:24" x14ac:dyDescent="0.3">
      <c r="V5581" t="e">
        <f>VLOOKUP(H5581,'[1]팀별 출판사'!A:B,2,0)</f>
        <v>#N/A</v>
      </c>
      <c r="W5581" s="6">
        <f t="shared" si="174"/>
        <v>0</v>
      </c>
      <c r="X5581" s="6">
        <f t="shared" si="175"/>
        <v>0</v>
      </c>
    </row>
    <row r="5582" spans="22:24" x14ac:dyDescent="0.3">
      <c r="V5582" t="e">
        <f>VLOOKUP(H5582,'[1]팀별 출판사'!A:B,2,0)</f>
        <v>#N/A</v>
      </c>
      <c r="W5582" s="6">
        <f t="shared" si="174"/>
        <v>0</v>
      </c>
      <c r="X5582" s="6">
        <f t="shared" si="175"/>
        <v>0</v>
      </c>
    </row>
    <row r="5583" spans="22:24" x14ac:dyDescent="0.3">
      <c r="V5583" t="e">
        <f>VLOOKUP(H5583,'[1]팀별 출판사'!A:B,2,0)</f>
        <v>#N/A</v>
      </c>
      <c r="W5583" s="6">
        <f t="shared" si="174"/>
        <v>0</v>
      </c>
      <c r="X5583" s="6">
        <f t="shared" si="175"/>
        <v>0</v>
      </c>
    </row>
    <row r="5584" spans="22:24" x14ac:dyDescent="0.3">
      <c r="V5584" t="e">
        <f>VLOOKUP(H5584,'[1]팀별 출판사'!A:B,2,0)</f>
        <v>#N/A</v>
      </c>
      <c r="W5584" s="6">
        <f t="shared" si="174"/>
        <v>0</v>
      </c>
      <c r="X5584" s="6">
        <f t="shared" si="175"/>
        <v>0</v>
      </c>
    </row>
    <row r="5585" spans="22:24" x14ac:dyDescent="0.3">
      <c r="V5585" t="e">
        <f>VLOOKUP(H5585,'[1]팀별 출판사'!A:B,2,0)</f>
        <v>#N/A</v>
      </c>
      <c r="W5585" s="6">
        <f t="shared" si="174"/>
        <v>0</v>
      </c>
      <c r="X5585" s="6">
        <f t="shared" si="175"/>
        <v>0</v>
      </c>
    </row>
    <row r="5586" spans="22:24" x14ac:dyDescent="0.3">
      <c r="V5586" t="e">
        <f>VLOOKUP(H5586,'[1]팀별 출판사'!A:B,2,0)</f>
        <v>#N/A</v>
      </c>
      <c r="W5586" s="6">
        <f t="shared" si="174"/>
        <v>0</v>
      </c>
      <c r="X5586" s="6">
        <f t="shared" si="175"/>
        <v>0</v>
      </c>
    </row>
    <row r="5587" spans="22:24" x14ac:dyDescent="0.3">
      <c r="V5587" t="e">
        <f>VLOOKUP(H5587,'[1]팀별 출판사'!A:B,2,0)</f>
        <v>#N/A</v>
      </c>
      <c r="W5587" s="6">
        <f t="shared" si="174"/>
        <v>0</v>
      </c>
      <c r="X5587" s="6">
        <f t="shared" si="175"/>
        <v>0</v>
      </c>
    </row>
    <row r="5588" spans="22:24" x14ac:dyDescent="0.3">
      <c r="V5588" t="e">
        <f>VLOOKUP(H5588,'[1]팀별 출판사'!A:B,2,0)</f>
        <v>#N/A</v>
      </c>
      <c r="W5588" s="6">
        <f t="shared" si="174"/>
        <v>0</v>
      </c>
      <c r="X5588" s="6">
        <f t="shared" si="175"/>
        <v>0</v>
      </c>
    </row>
    <row r="5589" spans="22:24" x14ac:dyDescent="0.3">
      <c r="V5589" t="e">
        <f>VLOOKUP(H5589,'[1]팀별 출판사'!A:B,2,0)</f>
        <v>#N/A</v>
      </c>
      <c r="W5589" s="6">
        <f t="shared" si="174"/>
        <v>0</v>
      </c>
      <c r="X5589" s="6">
        <f t="shared" si="175"/>
        <v>0</v>
      </c>
    </row>
    <row r="5590" spans="22:24" x14ac:dyDescent="0.3">
      <c r="V5590" t="e">
        <f>VLOOKUP(H5590,'[1]팀별 출판사'!A:B,2,0)</f>
        <v>#N/A</v>
      </c>
      <c r="W5590" s="6">
        <f t="shared" si="174"/>
        <v>0</v>
      </c>
      <c r="X5590" s="6">
        <f t="shared" si="175"/>
        <v>0</v>
      </c>
    </row>
    <row r="5591" spans="22:24" x14ac:dyDescent="0.3">
      <c r="V5591" t="e">
        <f>VLOOKUP(H5591,'[1]팀별 출판사'!A:B,2,0)</f>
        <v>#N/A</v>
      </c>
      <c r="W5591" s="6">
        <f t="shared" si="174"/>
        <v>0</v>
      </c>
      <c r="X5591" s="6">
        <f t="shared" si="175"/>
        <v>0</v>
      </c>
    </row>
    <row r="5592" spans="22:24" x14ac:dyDescent="0.3">
      <c r="V5592" t="e">
        <f>VLOOKUP(H5592,'[1]팀별 출판사'!A:B,2,0)</f>
        <v>#N/A</v>
      </c>
      <c r="W5592" s="6">
        <f t="shared" si="174"/>
        <v>0</v>
      </c>
      <c r="X5592" s="6">
        <f t="shared" si="175"/>
        <v>0</v>
      </c>
    </row>
    <row r="5593" spans="22:24" x14ac:dyDescent="0.3">
      <c r="V5593" t="e">
        <f>VLOOKUP(H5593,'[1]팀별 출판사'!A:B,2,0)</f>
        <v>#N/A</v>
      </c>
      <c r="W5593" s="6">
        <f t="shared" si="174"/>
        <v>0</v>
      </c>
      <c r="X5593" s="6">
        <f t="shared" si="175"/>
        <v>0</v>
      </c>
    </row>
    <row r="5594" spans="22:24" x14ac:dyDescent="0.3">
      <c r="V5594" t="e">
        <f>VLOOKUP(H5594,'[1]팀별 출판사'!A:B,2,0)</f>
        <v>#N/A</v>
      </c>
      <c r="W5594" s="6">
        <f t="shared" si="174"/>
        <v>0</v>
      </c>
      <c r="X5594" s="6">
        <f t="shared" si="175"/>
        <v>0</v>
      </c>
    </row>
    <row r="5595" spans="22:24" x14ac:dyDescent="0.3">
      <c r="V5595" t="e">
        <f>VLOOKUP(H5595,'[1]팀별 출판사'!A:B,2,0)</f>
        <v>#N/A</v>
      </c>
      <c r="W5595" s="6">
        <f t="shared" si="174"/>
        <v>0</v>
      </c>
      <c r="X5595" s="6">
        <f t="shared" si="175"/>
        <v>0</v>
      </c>
    </row>
    <row r="5596" spans="22:24" x14ac:dyDescent="0.3">
      <c r="V5596" t="e">
        <f>VLOOKUP(H5596,'[1]팀별 출판사'!A:B,2,0)</f>
        <v>#N/A</v>
      </c>
      <c r="W5596" s="6">
        <f t="shared" si="174"/>
        <v>0</v>
      </c>
      <c r="X5596" s="6">
        <f t="shared" si="175"/>
        <v>0</v>
      </c>
    </row>
    <row r="5597" spans="22:24" x14ac:dyDescent="0.3">
      <c r="V5597" t="e">
        <f>VLOOKUP(H5597,'[1]팀별 출판사'!A:B,2,0)</f>
        <v>#N/A</v>
      </c>
      <c r="W5597" s="6">
        <f t="shared" si="174"/>
        <v>0</v>
      </c>
      <c r="X5597" s="6">
        <f t="shared" si="175"/>
        <v>0</v>
      </c>
    </row>
    <row r="5598" spans="22:24" x14ac:dyDescent="0.3">
      <c r="V5598" t="e">
        <f>VLOOKUP(H5598,'[1]팀별 출판사'!A:B,2,0)</f>
        <v>#N/A</v>
      </c>
      <c r="W5598" s="6">
        <f t="shared" si="174"/>
        <v>0</v>
      </c>
      <c r="X5598" s="6">
        <f t="shared" si="175"/>
        <v>0</v>
      </c>
    </row>
    <row r="5599" spans="22:24" x14ac:dyDescent="0.3">
      <c r="V5599" t="e">
        <f>VLOOKUP(H5599,'[1]팀별 출판사'!A:B,2,0)</f>
        <v>#N/A</v>
      </c>
      <c r="W5599" s="6">
        <f t="shared" si="174"/>
        <v>0</v>
      </c>
      <c r="X5599" s="6">
        <f t="shared" si="175"/>
        <v>0</v>
      </c>
    </row>
    <row r="5600" spans="22:24" x14ac:dyDescent="0.3">
      <c r="V5600" t="e">
        <f>VLOOKUP(H5600,'[1]팀별 출판사'!A:B,2,0)</f>
        <v>#N/A</v>
      </c>
      <c r="W5600" s="6">
        <f t="shared" si="174"/>
        <v>0</v>
      </c>
      <c r="X5600" s="6">
        <f t="shared" si="175"/>
        <v>0</v>
      </c>
    </row>
    <row r="5601" spans="22:24" x14ac:dyDescent="0.3">
      <c r="V5601" t="e">
        <f>VLOOKUP(H5601,'[1]팀별 출판사'!A:B,2,0)</f>
        <v>#N/A</v>
      </c>
      <c r="W5601" s="6">
        <f t="shared" si="174"/>
        <v>0</v>
      </c>
      <c r="X5601" s="6">
        <f t="shared" si="175"/>
        <v>0</v>
      </c>
    </row>
    <row r="5602" spans="22:24" x14ac:dyDescent="0.3">
      <c r="V5602" t="e">
        <f>VLOOKUP(H5602,'[1]팀별 출판사'!A:B,2,0)</f>
        <v>#N/A</v>
      </c>
      <c r="W5602" s="6">
        <f t="shared" si="174"/>
        <v>0</v>
      </c>
      <c r="X5602" s="6">
        <f t="shared" si="175"/>
        <v>0</v>
      </c>
    </row>
    <row r="5603" spans="22:24" x14ac:dyDescent="0.3">
      <c r="V5603" t="e">
        <f>VLOOKUP(H5603,'[1]팀별 출판사'!A:B,2,0)</f>
        <v>#N/A</v>
      </c>
      <c r="W5603" s="6">
        <f t="shared" si="174"/>
        <v>0</v>
      </c>
      <c r="X5603" s="6">
        <f t="shared" si="175"/>
        <v>0</v>
      </c>
    </row>
    <row r="5604" spans="22:24" x14ac:dyDescent="0.3">
      <c r="V5604" t="e">
        <f>VLOOKUP(H5604,'[1]팀별 출판사'!A:B,2,0)</f>
        <v>#N/A</v>
      </c>
      <c r="W5604" s="6">
        <f t="shared" si="174"/>
        <v>0</v>
      </c>
      <c r="X5604" s="6">
        <f t="shared" si="175"/>
        <v>0</v>
      </c>
    </row>
    <row r="5605" spans="22:24" x14ac:dyDescent="0.3">
      <c r="V5605" t="e">
        <f>VLOOKUP(H5605,'[1]팀별 출판사'!A:B,2,0)</f>
        <v>#N/A</v>
      </c>
      <c r="W5605" s="6">
        <f t="shared" si="174"/>
        <v>0</v>
      </c>
      <c r="X5605" s="6">
        <f t="shared" si="175"/>
        <v>0</v>
      </c>
    </row>
    <row r="5606" spans="22:24" x14ac:dyDescent="0.3">
      <c r="V5606" t="e">
        <f>VLOOKUP(H5606,'[1]팀별 출판사'!A:B,2,0)</f>
        <v>#N/A</v>
      </c>
      <c r="W5606" s="6">
        <f t="shared" si="174"/>
        <v>0</v>
      </c>
      <c r="X5606" s="6">
        <f t="shared" si="175"/>
        <v>0</v>
      </c>
    </row>
    <row r="5607" spans="22:24" x14ac:dyDescent="0.3">
      <c r="V5607" t="e">
        <f>VLOOKUP(H5607,'[1]팀별 출판사'!A:B,2,0)</f>
        <v>#N/A</v>
      </c>
      <c r="W5607" s="6">
        <f t="shared" si="174"/>
        <v>0</v>
      </c>
      <c r="X5607" s="6">
        <f t="shared" si="175"/>
        <v>0</v>
      </c>
    </row>
    <row r="5608" spans="22:24" x14ac:dyDescent="0.3">
      <c r="V5608" t="e">
        <f>VLOOKUP(H5608,'[1]팀별 출판사'!A:B,2,0)</f>
        <v>#N/A</v>
      </c>
      <c r="W5608" s="6">
        <f t="shared" si="174"/>
        <v>0</v>
      </c>
      <c r="X5608" s="6">
        <f t="shared" si="175"/>
        <v>0</v>
      </c>
    </row>
    <row r="5609" spans="22:24" x14ac:dyDescent="0.3">
      <c r="V5609" t="e">
        <f>VLOOKUP(H5609,'[1]팀별 출판사'!A:B,2,0)</f>
        <v>#N/A</v>
      </c>
      <c r="W5609" s="6">
        <f t="shared" si="174"/>
        <v>0</v>
      </c>
      <c r="X5609" s="6">
        <f t="shared" si="175"/>
        <v>0</v>
      </c>
    </row>
    <row r="5610" spans="22:24" x14ac:dyDescent="0.3">
      <c r="V5610" t="e">
        <f>VLOOKUP(H5610,'[1]팀별 출판사'!A:B,2,0)</f>
        <v>#N/A</v>
      </c>
      <c r="W5610" s="6">
        <f t="shared" si="174"/>
        <v>0</v>
      </c>
      <c r="X5610" s="6">
        <f t="shared" si="175"/>
        <v>0</v>
      </c>
    </row>
    <row r="5611" spans="22:24" x14ac:dyDescent="0.3">
      <c r="V5611" t="e">
        <f>VLOOKUP(H5611,'[1]팀별 출판사'!A:B,2,0)</f>
        <v>#N/A</v>
      </c>
      <c r="W5611" s="6">
        <f t="shared" si="174"/>
        <v>0</v>
      </c>
      <c r="X5611" s="6">
        <f t="shared" si="175"/>
        <v>0</v>
      </c>
    </row>
    <row r="5612" spans="22:24" x14ac:dyDescent="0.3">
      <c r="V5612" t="e">
        <f>VLOOKUP(H5612,'[1]팀별 출판사'!A:B,2,0)</f>
        <v>#N/A</v>
      </c>
      <c r="W5612" s="6">
        <f t="shared" si="174"/>
        <v>0</v>
      </c>
      <c r="X5612" s="6">
        <f t="shared" si="175"/>
        <v>0</v>
      </c>
    </row>
    <row r="5613" spans="22:24" x14ac:dyDescent="0.3">
      <c r="V5613" t="e">
        <f>VLOOKUP(H5613,'[1]팀별 출판사'!A:B,2,0)</f>
        <v>#N/A</v>
      </c>
      <c r="W5613" s="6">
        <f t="shared" si="174"/>
        <v>0</v>
      </c>
      <c r="X5613" s="6">
        <f t="shared" si="175"/>
        <v>0</v>
      </c>
    </row>
    <row r="5614" spans="22:24" x14ac:dyDescent="0.3">
      <c r="V5614" t="e">
        <f>VLOOKUP(H5614,'[1]팀별 출판사'!A:B,2,0)</f>
        <v>#N/A</v>
      </c>
      <c r="W5614" s="6">
        <f t="shared" si="174"/>
        <v>0</v>
      </c>
      <c r="X5614" s="6">
        <f t="shared" si="175"/>
        <v>0</v>
      </c>
    </row>
    <row r="5615" spans="22:24" x14ac:dyDescent="0.3">
      <c r="V5615" t="e">
        <f>VLOOKUP(H5615,'[1]팀별 출판사'!A:B,2,0)</f>
        <v>#N/A</v>
      </c>
      <c r="W5615" s="6">
        <f t="shared" si="174"/>
        <v>0</v>
      </c>
      <c r="X5615" s="6">
        <f t="shared" si="175"/>
        <v>0</v>
      </c>
    </row>
    <row r="5616" spans="22:24" x14ac:dyDescent="0.3">
      <c r="V5616" t="e">
        <f>VLOOKUP(H5616,'[1]팀별 출판사'!A:B,2,0)</f>
        <v>#N/A</v>
      </c>
      <c r="W5616" s="6">
        <f t="shared" si="174"/>
        <v>0</v>
      </c>
      <c r="X5616" s="6">
        <f t="shared" si="175"/>
        <v>0</v>
      </c>
    </row>
    <row r="5617" spans="22:24" x14ac:dyDescent="0.3">
      <c r="V5617" t="e">
        <f>VLOOKUP(H5617,'[1]팀별 출판사'!A:B,2,0)</f>
        <v>#N/A</v>
      </c>
      <c r="W5617" s="6">
        <f t="shared" si="174"/>
        <v>0</v>
      </c>
      <c r="X5617" s="6">
        <f t="shared" si="175"/>
        <v>0</v>
      </c>
    </row>
    <row r="5618" spans="22:24" x14ac:dyDescent="0.3">
      <c r="V5618" t="e">
        <f>VLOOKUP(H5618,'[1]팀별 출판사'!A:B,2,0)</f>
        <v>#N/A</v>
      </c>
      <c r="W5618" s="6">
        <f t="shared" si="174"/>
        <v>0</v>
      </c>
      <c r="X5618" s="6">
        <f t="shared" si="175"/>
        <v>0</v>
      </c>
    </row>
    <row r="5619" spans="22:24" x14ac:dyDescent="0.3">
      <c r="V5619" t="e">
        <f>VLOOKUP(H5619,'[1]팀별 출판사'!A:B,2,0)</f>
        <v>#N/A</v>
      </c>
      <c r="W5619" s="6">
        <f t="shared" si="174"/>
        <v>0</v>
      </c>
      <c r="X5619" s="6">
        <f t="shared" si="175"/>
        <v>0</v>
      </c>
    </row>
    <row r="5620" spans="22:24" x14ac:dyDescent="0.3">
      <c r="V5620" t="e">
        <f>VLOOKUP(H5620,'[1]팀별 출판사'!A:B,2,0)</f>
        <v>#N/A</v>
      </c>
      <c r="W5620" s="6">
        <f t="shared" si="174"/>
        <v>0</v>
      </c>
      <c r="X5620" s="6">
        <f t="shared" si="175"/>
        <v>0</v>
      </c>
    </row>
    <row r="5621" spans="22:24" x14ac:dyDescent="0.3">
      <c r="V5621" t="e">
        <f>VLOOKUP(H5621,'[1]팀별 출판사'!A:B,2,0)</f>
        <v>#N/A</v>
      </c>
      <c r="W5621" s="6">
        <f t="shared" si="174"/>
        <v>0</v>
      </c>
      <c r="X5621" s="6">
        <f t="shared" si="175"/>
        <v>0</v>
      </c>
    </row>
    <row r="5622" spans="22:24" x14ac:dyDescent="0.3">
      <c r="V5622" t="e">
        <f>VLOOKUP(H5622,'[1]팀별 출판사'!A:B,2,0)</f>
        <v>#N/A</v>
      </c>
      <c r="W5622" s="6">
        <f t="shared" si="174"/>
        <v>0</v>
      </c>
      <c r="X5622" s="6">
        <f t="shared" si="175"/>
        <v>0</v>
      </c>
    </row>
    <row r="5623" spans="22:24" x14ac:dyDescent="0.3">
      <c r="V5623" t="e">
        <f>VLOOKUP(H5623,'[1]팀별 출판사'!A:B,2,0)</f>
        <v>#N/A</v>
      </c>
      <c r="W5623" s="6">
        <f t="shared" si="174"/>
        <v>0</v>
      </c>
      <c r="X5623" s="6">
        <f t="shared" si="175"/>
        <v>0</v>
      </c>
    </row>
    <row r="5624" spans="22:24" x14ac:dyDescent="0.3">
      <c r="V5624" t="e">
        <f>VLOOKUP(H5624,'[1]팀별 출판사'!A:B,2,0)</f>
        <v>#N/A</v>
      </c>
      <c r="W5624" s="6">
        <f t="shared" si="174"/>
        <v>0</v>
      </c>
      <c r="X5624" s="6">
        <f t="shared" si="175"/>
        <v>0</v>
      </c>
    </row>
    <row r="5625" spans="22:24" x14ac:dyDescent="0.3">
      <c r="V5625" t="e">
        <f>VLOOKUP(H5625,'[1]팀별 출판사'!A:B,2,0)</f>
        <v>#N/A</v>
      </c>
      <c r="W5625" s="6">
        <f t="shared" si="174"/>
        <v>0</v>
      </c>
      <c r="X5625" s="6">
        <f t="shared" si="175"/>
        <v>0</v>
      </c>
    </row>
    <row r="5626" spans="22:24" x14ac:dyDescent="0.3">
      <c r="V5626" t="e">
        <f>VLOOKUP(H5626,'[1]팀별 출판사'!A:B,2,0)</f>
        <v>#N/A</v>
      </c>
      <c r="W5626" s="6">
        <f t="shared" si="174"/>
        <v>0</v>
      </c>
      <c r="X5626" s="6">
        <f t="shared" si="175"/>
        <v>0</v>
      </c>
    </row>
    <row r="5627" spans="22:24" x14ac:dyDescent="0.3">
      <c r="V5627" t="e">
        <f>VLOOKUP(H5627,'[1]팀별 출판사'!A:B,2,0)</f>
        <v>#N/A</v>
      </c>
      <c r="W5627" s="6">
        <f t="shared" si="174"/>
        <v>0</v>
      </c>
      <c r="X5627" s="6">
        <f t="shared" si="175"/>
        <v>0</v>
      </c>
    </row>
    <row r="5628" spans="22:24" x14ac:dyDescent="0.3">
      <c r="V5628" t="e">
        <f>VLOOKUP(H5628,'[1]팀별 출판사'!A:B,2,0)</f>
        <v>#N/A</v>
      </c>
      <c r="W5628" s="6">
        <f t="shared" si="174"/>
        <v>0</v>
      </c>
      <c r="X5628" s="6">
        <f t="shared" si="175"/>
        <v>0</v>
      </c>
    </row>
    <row r="5629" spans="22:24" x14ac:dyDescent="0.3">
      <c r="V5629" t="e">
        <f>VLOOKUP(H5629,'[1]팀별 출판사'!A:B,2,0)</f>
        <v>#N/A</v>
      </c>
      <c r="W5629" s="6">
        <f t="shared" si="174"/>
        <v>0</v>
      </c>
      <c r="X5629" s="6">
        <f t="shared" si="175"/>
        <v>0</v>
      </c>
    </row>
    <row r="5630" spans="22:24" x14ac:dyDescent="0.3">
      <c r="V5630" t="e">
        <f>VLOOKUP(H5630,'[1]팀별 출판사'!A:B,2,0)</f>
        <v>#N/A</v>
      </c>
      <c r="W5630" s="6">
        <f t="shared" si="174"/>
        <v>0</v>
      </c>
      <c r="X5630" s="6">
        <f t="shared" si="175"/>
        <v>0</v>
      </c>
    </row>
    <row r="5631" spans="22:24" x14ac:dyDescent="0.3">
      <c r="V5631" t="e">
        <f>VLOOKUP(H5631,'[1]팀별 출판사'!A:B,2,0)</f>
        <v>#N/A</v>
      </c>
      <c r="W5631" s="6">
        <f t="shared" si="174"/>
        <v>0</v>
      </c>
      <c r="X5631" s="6">
        <f t="shared" si="175"/>
        <v>0</v>
      </c>
    </row>
    <row r="5632" spans="22:24" x14ac:dyDescent="0.3">
      <c r="V5632" t="e">
        <f>VLOOKUP(H5632,'[1]팀별 출판사'!A:B,2,0)</f>
        <v>#N/A</v>
      </c>
      <c r="W5632" s="6">
        <f t="shared" si="174"/>
        <v>0</v>
      </c>
      <c r="X5632" s="6">
        <f t="shared" si="175"/>
        <v>0</v>
      </c>
    </row>
    <row r="5633" spans="22:24" x14ac:dyDescent="0.3">
      <c r="V5633" t="e">
        <f>VLOOKUP(H5633,'[1]팀별 출판사'!A:B,2,0)</f>
        <v>#N/A</v>
      </c>
      <c r="W5633" s="6">
        <f t="shared" si="174"/>
        <v>0</v>
      </c>
      <c r="X5633" s="6">
        <f t="shared" si="175"/>
        <v>0</v>
      </c>
    </row>
    <row r="5634" spans="22:24" x14ac:dyDescent="0.3">
      <c r="V5634" t="e">
        <f>VLOOKUP(H5634,'[1]팀별 출판사'!A:B,2,0)</f>
        <v>#N/A</v>
      </c>
      <c r="W5634" s="6">
        <f t="shared" ref="W5634:W5697" si="176">IF(P5634="US", T5634*30%, 0)</f>
        <v>0</v>
      </c>
      <c r="X5634" s="6">
        <f t="shared" ref="X5634:X5697" si="177">T5634-W5634</f>
        <v>0</v>
      </c>
    </row>
    <row r="5635" spans="22:24" x14ac:dyDescent="0.3">
      <c r="V5635" t="e">
        <f>VLOOKUP(H5635,'[1]팀별 출판사'!A:B,2,0)</f>
        <v>#N/A</v>
      </c>
      <c r="W5635" s="6">
        <f t="shared" si="176"/>
        <v>0</v>
      </c>
      <c r="X5635" s="6">
        <f t="shared" si="177"/>
        <v>0</v>
      </c>
    </row>
    <row r="5636" spans="22:24" x14ac:dyDescent="0.3">
      <c r="V5636" t="e">
        <f>VLOOKUP(H5636,'[1]팀별 출판사'!A:B,2,0)</f>
        <v>#N/A</v>
      </c>
      <c r="W5636" s="6">
        <f t="shared" si="176"/>
        <v>0</v>
      </c>
      <c r="X5636" s="6">
        <f t="shared" si="177"/>
        <v>0</v>
      </c>
    </row>
    <row r="5637" spans="22:24" x14ac:dyDescent="0.3">
      <c r="V5637" t="e">
        <f>VLOOKUP(H5637,'[1]팀별 출판사'!A:B,2,0)</f>
        <v>#N/A</v>
      </c>
      <c r="W5637" s="6">
        <f t="shared" si="176"/>
        <v>0</v>
      </c>
      <c r="X5637" s="6">
        <f t="shared" si="177"/>
        <v>0</v>
      </c>
    </row>
    <row r="5638" spans="22:24" x14ac:dyDescent="0.3">
      <c r="V5638" t="e">
        <f>VLOOKUP(H5638,'[1]팀별 출판사'!A:B,2,0)</f>
        <v>#N/A</v>
      </c>
      <c r="W5638" s="6">
        <f t="shared" si="176"/>
        <v>0</v>
      </c>
      <c r="X5638" s="6">
        <f t="shared" si="177"/>
        <v>0</v>
      </c>
    </row>
    <row r="5639" spans="22:24" x14ac:dyDescent="0.3">
      <c r="V5639" t="e">
        <f>VLOOKUP(H5639,'[1]팀별 출판사'!A:B,2,0)</f>
        <v>#N/A</v>
      </c>
      <c r="W5639" s="6">
        <f t="shared" si="176"/>
        <v>0</v>
      </c>
      <c r="X5639" s="6">
        <f t="shared" si="177"/>
        <v>0</v>
      </c>
    </row>
    <row r="5640" spans="22:24" x14ac:dyDescent="0.3">
      <c r="V5640" t="e">
        <f>VLOOKUP(H5640,'[1]팀별 출판사'!A:B,2,0)</f>
        <v>#N/A</v>
      </c>
      <c r="W5640" s="6">
        <f t="shared" si="176"/>
        <v>0</v>
      </c>
      <c r="X5640" s="6">
        <f t="shared" si="177"/>
        <v>0</v>
      </c>
    </row>
    <row r="5641" spans="22:24" x14ac:dyDescent="0.3">
      <c r="V5641" t="e">
        <f>VLOOKUP(H5641,'[1]팀별 출판사'!A:B,2,0)</f>
        <v>#N/A</v>
      </c>
      <c r="W5641" s="6">
        <f t="shared" si="176"/>
        <v>0</v>
      </c>
      <c r="X5641" s="6">
        <f t="shared" si="177"/>
        <v>0</v>
      </c>
    </row>
    <row r="5642" spans="22:24" x14ac:dyDescent="0.3">
      <c r="V5642" t="e">
        <f>VLOOKUP(H5642,'[1]팀별 출판사'!A:B,2,0)</f>
        <v>#N/A</v>
      </c>
      <c r="W5642" s="6">
        <f t="shared" si="176"/>
        <v>0</v>
      </c>
      <c r="X5642" s="6">
        <f t="shared" si="177"/>
        <v>0</v>
      </c>
    </row>
    <row r="5643" spans="22:24" x14ac:dyDescent="0.3">
      <c r="V5643" t="e">
        <f>VLOOKUP(H5643,'[1]팀별 출판사'!A:B,2,0)</f>
        <v>#N/A</v>
      </c>
      <c r="W5643" s="6">
        <f t="shared" si="176"/>
        <v>0</v>
      </c>
      <c r="X5643" s="6">
        <f t="shared" si="177"/>
        <v>0</v>
      </c>
    </row>
    <row r="5644" spans="22:24" x14ac:dyDescent="0.3">
      <c r="V5644" t="e">
        <f>VLOOKUP(H5644,'[1]팀별 출판사'!A:B,2,0)</f>
        <v>#N/A</v>
      </c>
      <c r="W5644" s="6">
        <f t="shared" si="176"/>
        <v>0</v>
      </c>
      <c r="X5644" s="6">
        <f t="shared" si="177"/>
        <v>0</v>
      </c>
    </row>
    <row r="5645" spans="22:24" x14ac:dyDescent="0.3">
      <c r="V5645" t="e">
        <f>VLOOKUP(H5645,'[1]팀별 출판사'!A:B,2,0)</f>
        <v>#N/A</v>
      </c>
      <c r="W5645" s="6">
        <f t="shared" si="176"/>
        <v>0</v>
      </c>
      <c r="X5645" s="6">
        <f t="shared" si="177"/>
        <v>0</v>
      </c>
    </row>
    <row r="5646" spans="22:24" x14ac:dyDescent="0.3">
      <c r="V5646" t="e">
        <f>VLOOKUP(H5646,'[1]팀별 출판사'!A:B,2,0)</f>
        <v>#N/A</v>
      </c>
      <c r="W5646" s="6">
        <f t="shared" si="176"/>
        <v>0</v>
      </c>
      <c r="X5646" s="6">
        <f t="shared" si="177"/>
        <v>0</v>
      </c>
    </row>
    <row r="5647" spans="22:24" x14ac:dyDescent="0.3">
      <c r="V5647" t="e">
        <f>VLOOKUP(H5647,'[1]팀별 출판사'!A:B,2,0)</f>
        <v>#N/A</v>
      </c>
      <c r="W5647" s="6">
        <f t="shared" si="176"/>
        <v>0</v>
      </c>
      <c r="X5647" s="6">
        <f t="shared" si="177"/>
        <v>0</v>
      </c>
    </row>
    <row r="5648" spans="22:24" x14ac:dyDescent="0.3">
      <c r="V5648" t="e">
        <f>VLOOKUP(H5648,'[1]팀별 출판사'!A:B,2,0)</f>
        <v>#N/A</v>
      </c>
      <c r="W5648" s="6">
        <f t="shared" si="176"/>
        <v>0</v>
      </c>
      <c r="X5648" s="6">
        <f t="shared" si="177"/>
        <v>0</v>
      </c>
    </row>
    <row r="5649" spans="22:24" x14ac:dyDescent="0.3">
      <c r="V5649" t="e">
        <f>VLOOKUP(H5649,'[1]팀별 출판사'!A:B,2,0)</f>
        <v>#N/A</v>
      </c>
      <c r="W5649" s="6">
        <f t="shared" si="176"/>
        <v>0</v>
      </c>
      <c r="X5649" s="6">
        <f t="shared" si="177"/>
        <v>0</v>
      </c>
    </row>
    <row r="5650" spans="22:24" x14ac:dyDescent="0.3">
      <c r="V5650" t="e">
        <f>VLOOKUP(H5650,'[1]팀별 출판사'!A:B,2,0)</f>
        <v>#N/A</v>
      </c>
      <c r="W5650" s="6">
        <f t="shared" si="176"/>
        <v>0</v>
      </c>
      <c r="X5650" s="6">
        <f t="shared" si="177"/>
        <v>0</v>
      </c>
    </row>
    <row r="5651" spans="22:24" x14ac:dyDescent="0.3">
      <c r="V5651" t="e">
        <f>VLOOKUP(H5651,'[1]팀별 출판사'!A:B,2,0)</f>
        <v>#N/A</v>
      </c>
      <c r="W5651" s="6">
        <f t="shared" si="176"/>
        <v>0</v>
      </c>
      <c r="X5651" s="6">
        <f t="shared" si="177"/>
        <v>0</v>
      </c>
    </row>
    <row r="5652" spans="22:24" x14ac:dyDescent="0.3">
      <c r="V5652" t="e">
        <f>VLOOKUP(H5652,'[1]팀별 출판사'!A:B,2,0)</f>
        <v>#N/A</v>
      </c>
      <c r="W5652" s="6">
        <f t="shared" si="176"/>
        <v>0</v>
      </c>
      <c r="X5652" s="6">
        <f t="shared" si="177"/>
        <v>0</v>
      </c>
    </row>
    <row r="5653" spans="22:24" x14ac:dyDescent="0.3">
      <c r="V5653" t="e">
        <f>VLOOKUP(H5653,'[1]팀별 출판사'!A:B,2,0)</f>
        <v>#N/A</v>
      </c>
      <c r="W5653" s="6">
        <f t="shared" si="176"/>
        <v>0</v>
      </c>
      <c r="X5653" s="6">
        <f t="shared" si="177"/>
        <v>0</v>
      </c>
    </row>
    <row r="5654" spans="22:24" x14ac:dyDescent="0.3">
      <c r="V5654" t="e">
        <f>VLOOKUP(H5654,'[1]팀별 출판사'!A:B,2,0)</f>
        <v>#N/A</v>
      </c>
      <c r="W5654" s="6">
        <f t="shared" si="176"/>
        <v>0</v>
      </c>
      <c r="X5654" s="6">
        <f t="shared" si="177"/>
        <v>0</v>
      </c>
    </row>
    <row r="5655" spans="22:24" x14ac:dyDescent="0.3">
      <c r="V5655" t="e">
        <f>VLOOKUP(H5655,'[1]팀별 출판사'!A:B,2,0)</f>
        <v>#N/A</v>
      </c>
      <c r="W5655" s="6">
        <f t="shared" si="176"/>
        <v>0</v>
      </c>
      <c r="X5655" s="6">
        <f t="shared" si="177"/>
        <v>0</v>
      </c>
    </row>
    <row r="5656" spans="22:24" x14ac:dyDescent="0.3">
      <c r="V5656" t="e">
        <f>VLOOKUP(H5656,'[1]팀별 출판사'!A:B,2,0)</f>
        <v>#N/A</v>
      </c>
      <c r="W5656" s="6">
        <f t="shared" si="176"/>
        <v>0</v>
      </c>
      <c r="X5656" s="6">
        <f t="shared" si="177"/>
        <v>0</v>
      </c>
    </row>
    <row r="5657" spans="22:24" x14ac:dyDescent="0.3">
      <c r="V5657" t="e">
        <f>VLOOKUP(H5657,'[1]팀별 출판사'!A:B,2,0)</f>
        <v>#N/A</v>
      </c>
      <c r="W5657" s="6">
        <f t="shared" si="176"/>
        <v>0</v>
      </c>
      <c r="X5657" s="6">
        <f t="shared" si="177"/>
        <v>0</v>
      </c>
    </row>
    <row r="5658" spans="22:24" x14ac:dyDescent="0.3">
      <c r="V5658" t="e">
        <f>VLOOKUP(H5658,'[1]팀별 출판사'!A:B,2,0)</f>
        <v>#N/A</v>
      </c>
      <c r="W5658" s="6">
        <f t="shared" si="176"/>
        <v>0</v>
      </c>
      <c r="X5658" s="6">
        <f t="shared" si="177"/>
        <v>0</v>
      </c>
    </row>
    <row r="5659" spans="22:24" x14ac:dyDescent="0.3">
      <c r="V5659" t="e">
        <f>VLOOKUP(H5659,'[1]팀별 출판사'!A:B,2,0)</f>
        <v>#N/A</v>
      </c>
      <c r="W5659" s="6">
        <f t="shared" si="176"/>
        <v>0</v>
      </c>
      <c r="X5659" s="6">
        <f t="shared" si="177"/>
        <v>0</v>
      </c>
    </row>
    <row r="5660" spans="22:24" x14ac:dyDescent="0.3">
      <c r="V5660" t="e">
        <f>VLOOKUP(H5660,'[1]팀별 출판사'!A:B,2,0)</f>
        <v>#N/A</v>
      </c>
      <c r="W5660" s="6">
        <f t="shared" si="176"/>
        <v>0</v>
      </c>
      <c r="X5660" s="6">
        <f t="shared" si="177"/>
        <v>0</v>
      </c>
    </row>
    <row r="5661" spans="22:24" x14ac:dyDescent="0.3">
      <c r="V5661" t="e">
        <f>VLOOKUP(H5661,'[1]팀별 출판사'!A:B,2,0)</f>
        <v>#N/A</v>
      </c>
      <c r="W5661" s="6">
        <f t="shared" si="176"/>
        <v>0</v>
      </c>
      <c r="X5661" s="6">
        <f t="shared" si="177"/>
        <v>0</v>
      </c>
    </row>
    <row r="5662" spans="22:24" x14ac:dyDescent="0.3">
      <c r="V5662" t="e">
        <f>VLOOKUP(H5662,'[1]팀별 출판사'!A:B,2,0)</f>
        <v>#N/A</v>
      </c>
      <c r="W5662" s="6">
        <f t="shared" si="176"/>
        <v>0</v>
      </c>
      <c r="X5662" s="6">
        <f t="shared" si="177"/>
        <v>0</v>
      </c>
    </row>
    <row r="5663" spans="22:24" x14ac:dyDescent="0.3">
      <c r="V5663" t="e">
        <f>VLOOKUP(H5663,'[1]팀별 출판사'!A:B,2,0)</f>
        <v>#N/A</v>
      </c>
      <c r="W5663" s="6">
        <f t="shared" si="176"/>
        <v>0</v>
      </c>
      <c r="X5663" s="6">
        <f t="shared" si="177"/>
        <v>0</v>
      </c>
    </row>
    <row r="5664" spans="22:24" x14ac:dyDescent="0.3">
      <c r="V5664" t="e">
        <f>VLOOKUP(H5664,'[1]팀별 출판사'!A:B,2,0)</f>
        <v>#N/A</v>
      </c>
      <c r="W5664" s="6">
        <f t="shared" si="176"/>
        <v>0</v>
      </c>
      <c r="X5664" s="6">
        <f t="shared" si="177"/>
        <v>0</v>
      </c>
    </row>
    <row r="5665" spans="22:24" x14ac:dyDescent="0.3">
      <c r="V5665" t="e">
        <f>VLOOKUP(H5665,'[1]팀별 출판사'!A:B,2,0)</f>
        <v>#N/A</v>
      </c>
      <c r="W5665" s="6">
        <f t="shared" si="176"/>
        <v>0</v>
      </c>
      <c r="X5665" s="6">
        <f t="shared" si="177"/>
        <v>0</v>
      </c>
    </row>
    <row r="5666" spans="22:24" x14ac:dyDescent="0.3">
      <c r="V5666" t="e">
        <f>VLOOKUP(H5666,'[1]팀별 출판사'!A:B,2,0)</f>
        <v>#N/A</v>
      </c>
      <c r="W5666" s="6">
        <f t="shared" si="176"/>
        <v>0</v>
      </c>
      <c r="X5666" s="6">
        <f t="shared" si="177"/>
        <v>0</v>
      </c>
    </row>
    <row r="5667" spans="22:24" x14ac:dyDescent="0.3">
      <c r="V5667" t="e">
        <f>VLOOKUP(H5667,'[1]팀별 출판사'!A:B,2,0)</f>
        <v>#N/A</v>
      </c>
      <c r="W5667" s="6">
        <f t="shared" si="176"/>
        <v>0</v>
      </c>
      <c r="X5667" s="6">
        <f t="shared" si="177"/>
        <v>0</v>
      </c>
    </row>
    <row r="5668" spans="22:24" x14ac:dyDescent="0.3">
      <c r="V5668" t="e">
        <f>VLOOKUP(H5668,'[1]팀별 출판사'!A:B,2,0)</f>
        <v>#N/A</v>
      </c>
      <c r="W5668" s="6">
        <f t="shared" si="176"/>
        <v>0</v>
      </c>
      <c r="X5668" s="6">
        <f t="shared" si="177"/>
        <v>0</v>
      </c>
    </row>
    <row r="5669" spans="22:24" x14ac:dyDescent="0.3">
      <c r="V5669" t="e">
        <f>VLOOKUP(H5669,'[1]팀별 출판사'!A:B,2,0)</f>
        <v>#N/A</v>
      </c>
      <c r="W5669" s="6">
        <f t="shared" si="176"/>
        <v>0</v>
      </c>
      <c r="X5669" s="6">
        <f t="shared" si="177"/>
        <v>0</v>
      </c>
    </row>
    <row r="5670" spans="22:24" x14ac:dyDescent="0.3">
      <c r="V5670" t="e">
        <f>VLOOKUP(H5670,'[1]팀별 출판사'!A:B,2,0)</f>
        <v>#N/A</v>
      </c>
      <c r="W5670" s="6">
        <f t="shared" si="176"/>
        <v>0</v>
      </c>
      <c r="X5670" s="6">
        <f t="shared" si="177"/>
        <v>0</v>
      </c>
    </row>
    <row r="5671" spans="22:24" x14ac:dyDescent="0.3">
      <c r="V5671" t="e">
        <f>VLOOKUP(H5671,'[1]팀별 출판사'!A:B,2,0)</f>
        <v>#N/A</v>
      </c>
      <c r="W5671" s="6">
        <f t="shared" si="176"/>
        <v>0</v>
      </c>
      <c r="X5671" s="6">
        <f t="shared" si="177"/>
        <v>0</v>
      </c>
    </row>
    <row r="5672" spans="22:24" x14ac:dyDescent="0.3">
      <c r="V5672" t="e">
        <f>VLOOKUP(H5672,'[1]팀별 출판사'!A:B,2,0)</f>
        <v>#N/A</v>
      </c>
      <c r="W5672" s="6">
        <f t="shared" si="176"/>
        <v>0</v>
      </c>
      <c r="X5672" s="6">
        <f t="shared" si="177"/>
        <v>0</v>
      </c>
    </row>
    <row r="5673" spans="22:24" x14ac:dyDescent="0.3">
      <c r="V5673" t="e">
        <f>VLOOKUP(H5673,'[1]팀별 출판사'!A:B,2,0)</f>
        <v>#N/A</v>
      </c>
      <c r="W5673" s="6">
        <f t="shared" si="176"/>
        <v>0</v>
      </c>
      <c r="X5673" s="6">
        <f t="shared" si="177"/>
        <v>0</v>
      </c>
    </row>
    <row r="5674" spans="22:24" x14ac:dyDescent="0.3">
      <c r="V5674" t="e">
        <f>VLOOKUP(H5674,'[1]팀별 출판사'!A:B,2,0)</f>
        <v>#N/A</v>
      </c>
      <c r="W5674" s="6">
        <f t="shared" si="176"/>
        <v>0</v>
      </c>
      <c r="X5674" s="6">
        <f t="shared" si="177"/>
        <v>0</v>
      </c>
    </row>
    <row r="5675" spans="22:24" x14ac:dyDescent="0.3">
      <c r="V5675" t="e">
        <f>VLOOKUP(H5675,'[1]팀별 출판사'!A:B,2,0)</f>
        <v>#N/A</v>
      </c>
      <c r="W5675" s="6">
        <f t="shared" si="176"/>
        <v>0</v>
      </c>
      <c r="X5675" s="6">
        <f t="shared" si="177"/>
        <v>0</v>
      </c>
    </row>
    <row r="5676" spans="22:24" x14ac:dyDescent="0.3">
      <c r="V5676" t="e">
        <f>VLOOKUP(H5676,'[1]팀별 출판사'!A:B,2,0)</f>
        <v>#N/A</v>
      </c>
      <c r="W5676" s="6">
        <f t="shared" si="176"/>
        <v>0</v>
      </c>
      <c r="X5676" s="6">
        <f t="shared" si="177"/>
        <v>0</v>
      </c>
    </row>
    <row r="5677" spans="22:24" x14ac:dyDescent="0.3">
      <c r="V5677" t="e">
        <f>VLOOKUP(H5677,'[1]팀별 출판사'!A:B,2,0)</f>
        <v>#N/A</v>
      </c>
      <c r="W5677" s="6">
        <f t="shared" si="176"/>
        <v>0</v>
      </c>
      <c r="X5677" s="6">
        <f t="shared" si="177"/>
        <v>0</v>
      </c>
    </row>
    <row r="5678" spans="22:24" x14ac:dyDescent="0.3">
      <c r="V5678" t="e">
        <f>VLOOKUP(H5678,'[1]팀별 출판사'!A:B,2,0)</f>
        <v>#N/A</v>
      </c>
      <c r="W5678" s="6">
        <f t="shared" si="176"/>
        <v>0</v>
      </c>
      <c r="X5678" s="6">
        <f t="shared" si="177"/>
        <v>0</v>
      </c>
    </row>
    <row r="5679" spans="22:24" x14ac:dyDescent="0.3">
      <c r="V5679" t="e">
        <f>VLOOKUP(H5679,'[1]팀별 출판사'!A:B,2,0)</f>
        <v>#N/A</v>
      </c>
      <c r="W5679" s="6">
        <f t="shared" si="176"/>
        <v>0</v>
      </c>
      <c r="X5679" s="6">
        <f t="shared" si="177"/>
        <v>0</v>
      </c>
    </row>
    <row r="5680" spans="22:24" x14ac:dyDescent="0.3">
      <c r="V5680" t="e">
        <f>VLOOKUP(H5680,'[1]팀별 출판사'!A:B,2,0)</f>
        <v>#N/A</v>
      </c>
      <c r="W5680" s="6">
        <f t="shared" si="176"/>
        <v>0</v>
      </c>
      <c r="X5680" s="6">
        <f t="shared" si="177"/>
        <v>0</v>
      </c>
    </row>
    <row r="5681" spans="22:24" x14ac:dyDescent="0.3">
      <c r="V5681" t="e">
        <f>VLOOKUP(H5681,'[1]팀별 출판사'!A:B,2,0)</f>
        <v>#N/A</v>
      </c>
      <c r="W5681" s="6">
        <f t="shared" si="176"/>
        <v>0</v>
      </c>
      <c r="X5681" s="6">
        <f t="shared" si="177"/>
        <v>0</v>
      </c>
    </row>
    <row r="5682" spans="22:24" x14ac:dyDescent="0.3">
      <c r="V5682" t="e">
        <f>VLOOKUP(H5682,'[1]팀별 출판사'!A:B,2,0)</f>
        <v>#N/A</v>
      </c>
      <c r="W5682" s="6">
        <f t="shared" si="176"/>
        <v>0</v>
      </c>
      <c r="X5682" s="6">
        <f t="shared" si="177"/>
        <v>0</v>
      </c>
    </row>
    <row r="5683" spans="22:24" x14ac:dyDescent="0.3">
      <c r="V5683" t="e">
        <f>VLOOKUP(H5683,'[1]팀별 출판사'!A:B,2,0)</f>
        <v>#N/A</v>
      </c>
      <c r="W5683" s="6">
        <f t="shared" si="176"/>
        <v>0</v>
      </c>
      <c r="X5683" s="6">
        <f t="shared" si="177"/>
        <v>0</v>
      </c>
    </row>
    <row r="5684" spans="22:24" x14ac:dyDescent="0.3">
      <c r="V5684" t="e">
        <f>VLOOKUP(H5684,'[1]팀별 출판사'!A:B,2,0)</f>
        <v>#N/A</v>
      </c>
      <c r="W5684" s="6">
        <f t="shared" si="176"/>
        <v>0</v>
      </c>
      <c r="X5684" s="6">
        <f t="shared" si="177"/>
        <v>0</v>
      </c>
    </row>
    <row r="5685" spans="22:24" x14ac:dyDescent="0.3">
      <c r="V5685" t="e">
        <f>VLOOKUP(H5685,'[1]팀별 출판사'!A:B,2,0)</f>
        <v>#N/A</v>
      </c>
      <c r="W5685" s="6">
        <f t="shared" si="176"/>
        <v>0</v>
      </c>
      <c r="X5685" s="6">
        <f t="shared" si="177"/>
        <v>0</v>
      </c>
    </row>
    <row r="5686" spans="22:24" x14ac:dyDescent="0.3">
      <c r="V5686" t="e">
        <f>VLOOKUP(H5686,'[1]팀별 출판사'!A:B,2,0)</f>
        <v>#N/A</v>
      </c>
      <c r="W5686" s="6">
        <f t="shared" si="176"/>
        <v>0</v>
      </c>
      <c r="X5686" s="6">
        <f t="shared" si="177"/>
        <v>0</v>
      </c>
    </row>
    <row r="5687" spans="22:24" x14ac:dyDescent="0.3">
      <c r="V5687" t="e">
        <f>VLOOKUP(H5687,'[1]팀별 출판사'!A:B,2,0)</f>
        <v>#N/A</v>
      </c>
      <c r="W5687" s="6">
        <f t="shared" si="176"/>
        <v>0</v>
      </c>
      <c r="X5687" s="6">
        <f t="shared" si="177"/>
        <v>0</v>
      </c>
    </row>
    <row r="5688" spans="22:24" x14ac:dyDescent="0.3">
      <c r="V5688" t="e">
        <f>VLOOKUP(H5688,'[1]팀별 출판사'!A:B,2,0)</f>
        <v>#N/A</v>
      </c>
      <c r="W5688" s="6">
        <f t="shared" si="176"/>
        <v>0</v>
      </c>
      <c r="X5688" s="6">
        <f t="shared" si="177"/>
        <v>0</v>
      </c>
    </row>
    <row r="5689" spans="22:24" x14ac:dyDescent="0.3">
      <c r="V5689" t="e">
        <f>VLOOKUP(H5689,'[1]팀별 출판사'!A:B,2,0)</f>
        <v>#N/A</v>
      </c>
      <c r="W5689" s="6">
        <f t="shared" si="176"/>
        <v>0</v>
      </c>
      <c r="X5689" s="6">
        <f t="shared" si="177"/>
        <v>0</v>
      </c>
    </row>
    <row r="5690" spans="22:24" x14ac:dyDescent="0.3">
      <c r="V5690" t="e">
        <f>VLOOKUP(H5690,'[1]팀별 출판사'!A:B,2,0)</f>
        <v>#N/A</v>
      </c>
      <c r="W5690" s="6">
        <f t="shared" si="176"/>
        <v>0</v>
      </c>
      <c r="X5690" s="6">
        <f t="shared" si="177"/>
        <v>0</v>
      </c>
    </row>
    <row r="5691" spans="22:24" x14ac:dyDescent="0.3">
      <c r="V5691" t="e">
        <f>VLOOKUP(H5691,'[1]팀별 출판사'!A:B,2,0)</f>
        <v>#N/A</v>
      </c>
      <c r="W5691" s="6">
        <f t="shared" si="176"/>
        <v>0</v>
      </c>
      <c r="X5691" s="6">
        <f t="shared" si="177"/>
        <v>0</v>
      </c>
    </row>
    <row r="5692" spans="22:24" x14ac:dyDescent="0.3">
      <c r="V5692" t="e">
        <f>VLOOKUP(H5692,'[1]팀별 출판사'!A:B,2,0)</f>
        <v>#N/A</v>
      </c>
      <c r="W5692" s="6">
        <f t="shared" si="176"/>
        <v>0</v>
      </c>
      <c r="X5692" s="6">
        <f t="shared" si="177"/>
        <v>0</v>
      </c>
    </row>
    <row r="5693" spans="22:24" x14ac:dyDescent="0.3">
      <c r="V5693" t="e">
        <f>VLOOKUP(H5693,'[1]팀별 출판사'!A:B,2,0)</f>
        <v>#N/A</v>
      </c>
      <c r="W5693" s="6">
        <f t="shared" si="176"/>
        <v>0</v>
      </c>
      <c r="X5693" s="6">
        <f t="shared" si="177"/>
        <v>0</v>
      </c>
    </row>
    <row r="5694" spans="22:24" x14ac:dyDescent="0.3">
      <c r="V5694" t="e">
        <f>VLOOKUP(H5694,'[1]팀별 출판사'!A:B,2,0)</f>
        <v>#N/A</v>
      </c>
      <c r="W5694" s="6">
        <f t="shared" si="176"/>
        <v>0</v>
      </c>
      <c r="X5694" s="6">
        <f t="shared" si="177"/>
        <v>0</v>
      </c>
    </row>
    <row r="5695" spans="22:24" x14ac:dyDescent="0.3">
      <c r="V5695" t="e">
        <f>VLOOKUP(H5695,'[1]팀별 출판사'!A:B,2,0)</f>
        <v>#N/A</v>
      </c>
      <c r="W5695" s="6">
        <f t="shared" si="176"/>
        <v>0</v>
      </c>
      <c r="X5695" s="6">
        <f t="shared" si="177"/>
        <v>0</v>
      </c>
    </row>
    <row r="5696" spans="22:24" x14ac:dyDescent="0.3">
      <c r="V5696" t="e">
        <f>VLOOKUP(H5696,'[1]팀별 출판사'!A:B,2,0)</f>
        <v>#N/A</v>
      </c>
      <c r="W5696" s="6">
        <f t="shared" si="176"/>
        <v>0</v>
      </c>
      <c r="X5696" s="6">
        <f t="shared" si="177"/>
        <v>0</v>
      </c>
    </row>
    <row r="5697" spans="22:24" x14ac:dyDescent="0.3">
      <c r="V5697" t="e">
        <f>VLOOKUP(H5697,'[1]팀별 출판사'!A:B,2,0)</f>
        <v>#N/A</v>
      </c>
      <c r="W5697" s="6">
        <f t="shared" si="176"/>
        <v>0</v>
      </c>
      <c r="X5697" s="6">
        <f t="shared" si="177"/>
        <v>0</v>
      </c>
    </row>
    <row r="5698" spans="22:24" x14ac:dyDescent="0.3">
      <c r="V5698" t="e">
        <f>VLOOKUP(H5698,'[1]팀별 출판사'!A:B,2,0)</f>
        <v>#N/A</v>
      </c>
      <c r="W5698" s="6">
        <f t="shared" ref="W5698:W5761" si="178">IF(P5698="US", T5698*30%, 0)</f>
        <v>0</v>
      </c>
      <c r="X5698" s="6">
        <f t="shared" ref="X5698:X5761" si="179">T5698-W5698</f>
        <v>0</v>
      </c>
    </row>
    <row r="5699" spans="22:24" x14ac:dyDescent="0.3">
      <c r="V5699" t="e">
        <f>VLOOKUP(H5699,'[1]팀별 출판사'!A:B,2,0)</f>
        <v>#N/A</v>
      </c>
      <c r="W5699" s="6">
        <f t="shared" si="178"/>
        <v>0</v>
      </c>
      <c r="X5699" s="6">
        <f t="shared" si="179"/>
        <v>0</v>
      </c>
    </row>
    <row r="5700" spans="22:24" x14ac:dyDescent="0.3">
      <c r="V5700" t="e">
        <f>VLOOKUP(H5700,'[1]팀별 출판사'!A:B,2,0)</f>
        <v>#N/A</v>
      </c>
      <c r="W5700" s="6">
        <f t="shared" si="178"/>
        <v>0</v>
      </c>
      <c r="X5700" s="6">
        <f t="shared" si="179"/>
        <v>0</v>
      </c>
    </row>
    <row r="5701" spans="22:24" x14ac:dyDescent="0.3">
      <c r="V5701" t="e">
        <f>VLOOKUP(H5701,'[1]팀별 출판사'!A:B,2,0)</f>
        <v>#N/A</v>
      </c>
      <c r="W5701" s="6">
        <f t="shared" si="178"/>
        <v>0</v>
      </c>
      <c r="X5701" s="6">
        <f t="shared" si="179"/>
        <v>0</v>
      </c>
    </row>
    <row r="5702" spans="22:24" x14ac:dyDescent="0.3">
      <c r="V5702" t="e">
        <f>VLOOKUP(H5702,'[1]팀별 출판사'!A:B,2,0)</f>
        <v>#N/A</v>
      </c>
      <c r="W5702" s="6">
        <f t="shared" si="178"/>
        <v>0</v>
      </c>
      <c r="X5702" s="6">
        <f t="shared" si="179"/>
        <v>0</v>
      </c>
    </row>
    <row r="5703" spans="22:24" x14ac:dyDescent="0.3">
      <c r="V5703" t="e">
        <f>VLOOKUP(H5703,'[1]팀별 출판사'!A:B,2,0)</f>
        <v>#N/A</v>
      </c>
      <c r="W5703" s="6">
        <f t="shared" si="178"/>
        <v>0</v>
      </c>
      <c r="X5703" s="6">
        <f t="shared" si="179"/>
        <v>0</v>
      </c>
    </row>
    <row r="5704" spans="22:24" x14ac:dyDescent="0.3">
      <c r="V5704" t="e">
        <f>VLOOKUP(H5704,'[1]팀별 출판사'!A:B,2,0)</f>
        <v>#N/A</v>
      </c>
      <c r="W5704" s="6">
        <f t="shared" si="178"/>
        <v>0</v>
      </c>
      <c r="X5704" s="6">
        <f t="shared" si="179"/>
        <v>0</v>
      </c>
    </row>
    <row r="5705" spans="22:24" x14ac:dyDescent="0.3">
      <c r="V5705" t="e">
        <f>VLOOKUP(H5705,'[1]팀별 출판사'!A:B,2,0)</f>
        <v>#N/A</v>
      </c>
      <c r="W5705" s="6">
        <f t="shared" si="178"/>
        <v>0</v>
      </c>
      <c r="X5705" s="6">
        <f t="shared" si="179"/>
        <v>0</v>
      </c>
    </row>
    <row r="5706" spans="22:24" x14ac:dyDescent="0.3">
      <c r="V5706" t="e">
        <f>VLOOKUP(H5706,'[1]팀별 출판사'!A:B,2,0)</f>
        <v>#N/A</v>
      </c>
      <c r="W5706" s="6">
        <f t="shared" si="178"/>
        <v>0</v>
      </c>
      <c r="X5706" s="6">
        <f t="shared" si="179"/>
        <v>0</v>
      </c>
    </row>
    <row r="5707" spans="22:24" x14ac:dyDescent="0.3">
      <c r="V5707" t="e">
        <f>VLOOKUP(H5707,'[1]팀별 출판사'!A:B,2,0)</f>
        <v>#N/A</v>
      </c>
      <c r="W5707" s="6">
        <f t="shared" si="178"/>
        <v>0</v>
      </c>
      <c r="X5707" s="6">
        <f t="shared" si="179"/>
        <v>0</v>
      </c>
    </row>
    <row r="5708" spans="22:24" x14ac:dyDescent="0.3">
      <c r="V5708" t="e">
        <f>VLOOKUP(H5708,'[1]팀별 출판사'!A:B,2,0)</f>
        <v>#N/A</v>
      </c>
      <c r="W5708" s="6">
        <f t="shared" si="178"/>
        <v>0</v>
      </c>
      <c r="X5708" s="6">
        <f t="shared" si="179"/>
        <v>0</v>
      </c>
    </row>
    <row r="5709" spans="22:24" x14ac:dyDescent="0.3">
      <c r="V5709" t="e">
        <f>VLOOKUP(H5709,'[1]팀별 출판사'!A:B,2,0)</f>
        <v>#N/A</v>
      </c>
      <c r="W5709" s="6">
        <f t="shared" si="178"/>
        <v>0</v>
      </c>
      <c r="X5709" s="6">
        <f t="shared" si="179"/>
        <v>0</v>
      </c>
    </row>
    <row r="5710" spans="22:24" x14ac:dyDescent="0.3">
      <c r="V5710" t="e">
        <f>VLOOKUP(H5710,'[1]팀별 출판사'!A:B,2,0)</f>
        <v>#N/A</v>
      </c>
      <c r="W5710" s="6">
        <f t="shared" si="178"/>
        <v>0</v>
      </c>
      <c r="X5710" s="6">
        <f t="shared" si="179"/>
        <v>0</v>
      </c>
    </row>
    <row r="5711" spans="22:24" x14ac:dyDescent="0.3">
      <c r="V5711" t="e">
        <f>VLOOKUP(H5711,'[1]팀별 출판사'!A:B,2,0)</f>
        <v>#N/A</v>
      </c>
      <c r="W5711" s="6">
        <f t="shared" si="178"/>
        <v>0</v>
      </c>
      <c r="X5711" s="6">
        <f t="shared" si="179"/>
        <v>0</v>
      </c>
    </row>
    <row r="5712" spans="22:24" x14ac:dyDescent="0.3">
      <c r="V5712" t="e">
        <f>VLOOKUP(H5712,'[1]팀별 출판사'!A:B,2,0)</f>
        <v>#N/A</v>
      </c>
      <c r="W5712" s="6">
        <f t="shared" si="178"/>
        <v>0</v>
      </c>
      <c r="X5712" s="6">
        <f t="shared" si="179"/>
        <v>0</v>
      </c>
    </row>
    <row r="5713" spans="22:24" x14ac:dyDescent="0.3">
      <c r="V5713" t="e">
        <f>VLOOKUP(H5713,'[1]팀별 출판사'!A:B,2,0)</f>
        <v>#N/A</v>
      </c>
      <c r="W5713" s="6">
        <f t="shared" si="178"/>
        <v>0</v>
      </c>
      <c r="X5713" s="6">
        <f t="shared" si="179"/>
        <v>0</v>
      </c>
    </row>
    <row r="5714" spans="22:24" x14ac:dyDescent="0.3">
      <c r="V5714" t="e">
        <f>VLOOKUP(H5714,'[1]팀별 출판사'!A:B,2,0)</f>
        <v>#N/A</v>
      </c>
      <c r="W5714" s="6">
        <f t="shared" si="178"/>
        <v>0</v>
      </c>
      <c r="X5714" s="6">
        <f t="shared" si="179"/>
        <v>0</v>
      </c>
    </row>
    <row r="5715" spans="22:24" x14ac:dyDescent="0.3">
      <c r="V5715" t="e">
        <f>VLOOKUP(H5715,'[1]팀별 출판사'!A:B,2,0)</f>
        <v>#N/A</v>
      </c>
      <c r="W5715" s="6">
        <f t="shared" si="178"/>
        <v>0</v>
      </c>
      <c r="X5715" s="6">
        <f t="shared" si="179"/>
        <v>0</v>
      </c>
    </row>
    <row r="5716" spans="22:24" x14ac:dyDescent="0.3">
      <c r="V5716" t="e">
        <f>VLOOKUP(H5716,'[1]팀별 출판사'!A:B,2,0)</f>
        <v>#N/A</v>
      </c>
      <c r="W5716" s="6">
        <f t="shared" si="178"/>
        <v>0</v>
      </c>
      <c r="X5716" s="6">
        <f t="shared" si="179"/>
        <v>0</v>
      </c>
    </row>
    <row r="5717" spans="22:24" x14ac:dyDescent="0.3">
      <c r="V5717" t="e">
        <f>VLOOKUP(H5717,'[1]팀별 출판사'!A:B,2,0)</f>
        <v>#N/A</v>
      </c>
      <c r="W5717" s="6">
        <f t="shared" si="178"/>
        <v>0</v>
      </c>
      <c r="X5717" s="6">
        <f t="shared" si="179"/>
        <v>0</v>
      </c>
    </row>
    <row r="5718" spans="22:24" x14ac:dyDescent="0.3">
      <c r="V5718" t="e">
        <f>VLOOKUP(H5718,'[1]팀별 출판사'!A:B,2,0)</f>
        <v>#N/A</v>
      </c>
      <c r="W5718" s="6">
        <f t="shared" si="178"/>
        <v>0</v>
      </c>
      <c r="X5718" s="6">
        <f t="shared" si="179"/>
        <v>0</v>
      </c>
    </row>
    <row r="5719" spans="22:24" x14ac:dyDescent="0.3">
      <c r="V5719" t="e">
        <f>VLOOKUP(H5719,'[1]팀별 출판사'!A:B,2,0)</f>
        <v>#N/A</v>
      </c>
      <c r="W5719" s="6">
        <f t="shared" si="178"/>
        <v>0</v>
      </c>
      <c r="X5719" s="6">
        <f t="shared" si="179"/>
        <v>0</v>
      </c>
    </row>
    <row r="5720" spans="22:24" x14ac:dyDescent="0.3">
      <c r="V5720" t="e">
        <f>VLOOKUP(H5720,'[1]팀별 출판사'!A:B,2,0)</f>
        <v>#N/A</v>
      </c>
      <c r="W5720" s="6">
        <f t="shared" si="178"/>
        <v>0</v>
      </c>
      <c r="X5720" s="6">
        <f t="shared" si="179"/>
        <v>0</v>
      </c>
    </row>
    <row r="5721" spans="22:24" x14ac:dyDescent="0.3">
      <c r="V5721" t="e">
        <f>VLOOKUP(H5721,'[1]팀별 출판사'!A:B,2,0)</f>
        <v>#N/A</v>
      </c>
      <c r="W5721" s="6">
        <f t="shared" si="178"/>
        <v>0</v>
      </c>
      <c r="X5721" s="6">
        <f t="shared" si="179"/>
        <v>0</v>
      </c>
    </row>
    <row r="5722" spans="22:24" x14ac:dyDescent="0.3">
      <c r="V5722" t="e">
        <f>VLOOKUP(H5722,'[1]팀별 출판사'!A:B,2,0)</f>
        <v>#N/A</v>
      </c>
      <c r="W5722" s="6">
        <f t="shared" si="178"/>
        <v>0</v>
      </c>
      <c r="X5722" s="6">
        <f t="shared" si="179"/>
        <v>0</v>
      </c>
    </row>
    <row r="5723" spans="22:24" x14ac:dyDescent="0.3">
      <c r="V5723" t="e">
        <f>VLOOKUP(H5723,'[1]팀별 출판사'!A:B,2,0)</f>
        <v>#N/A</v>
      </c>
      <c r="W5723" s="6">
        <f t="shared" si="178"/>
        <v>0</v>
      </c>
      <c r="X5723" s="6">
        <f t="shared" si="179"/>
        <v>0</v>
      </c>
    </row>
    <row r="5724" spans="22:24" x14ac:dyDescent="0.3">
      <c r="V5724" t="e">
        <f>VLOOKUP(H5724,'[1]팀별 출판사'!A:B,2,0)</f>
        <v>#N/A</v>
      </c>
      <c r="W5724" s="6">
        <f t="shared" si="178"/>
        <v>0</v>
      </c>
      <c r="X5724" s="6">
        <f t="shared" si="179"/>
        <v>0</v>
      </c>
    </row>
    <row r="5725" spans="22:24" x14ac:dyDescent="0.3">
      <c r="V5725" t="e">
        <f>VLOOKUP(H5725,'[1]팀별 출판사'!A:B,2,0)</f>
        <v>#N/A</v>
      </c>
      <c r="W5725" s="6">
        <f t="shared" si="178"/>
        <v>0</v>
      </c>
      <c r="X5725" s="6">
        <f t="shared" si="179"/>
        <v>0</v>
      </c>
    </row>
    <row r="5726" spans="22:24" x14ac:dyDescent="0.3">
      <c r="V5726" t="e">
        <f>VLOOKUP(H5726,'[1]팀별 출판사'!A:B,2,0)</f>
        <v>#N/A</v>
      </c>
      <c r="W5726" s="6">
        <f t="shared" si="178"/>
        <v>0</v>
      </c>
      <c r="X5726" s="6">
        <f t="shared" si="179"/>
        <v>0</v>
      </c>
    </row>
    <row r="5727" spans="22:24" x14ac:dyDescent="0.3">
      <c r="V5727" t="e">
        <f>VLOOKUP(H5727,'[1]팀별 출판사'!A:B,2,0)</f>
        <v>#N/A</v>
      </c>
      <c r="W5727" s="6">
        <f t="shared" si="178"/>
        <v>0</v>
      </c>
      <c r="X5727" s="6">
        <f t="shared" si="179"/>
        <v>0</v>
      </c>
    </row>
    <row r="5728" spans="22:24" x14ac:dyDescent="0.3">
      <c r="V5728" t="e">
        <f>VLOOKUP(H5728,'[1]팀별 출판사'!A:B,2,0)</f>
        <v>#N/A</v>
      </c>
      <c r="W5728" s="6">
        <f t="shared" si="178"/>
        <v>0</v>
      </c>
      <c r="X5728" s="6">
        <f t="shared" si="179"/>
        <v>0</v>
      </c>
    </row>
    <row r="5729" spans="22:24" x14ac:dyDescent="0.3">
      <c r="V5729" t="e">
        <f>VLOOKUP(H5729,'[1]팀별 출판사'!A:B,2,0)</f>
        <v>#N/A</v>
      </c>
      <c r="W5729" s="6">
        <f t="shared" si="178"/>
        <v>0</v>
      </c>
      <c r="X5729" s="6">
        <f t="shared" si="179"/>
        <v>0</v>
      </c>
    </row>
    <row r="5730" spans="22:24" x14ac:dyDescent="0.3">
      <c r="V5730" t="e">
        <f>VLOOKUP(H5730,'[1]팀별 출판사'!A:B,2,0)</f>
        <v>#N/A</v>
      </c>
      <c r="W5730" s="6">
        <f t="shared" si="178"/>
        <v>0</v>
      </c>
      <c r="X5730" s="6">
        <f t="shared" si="179"/>
        <v>0</v>
      </c>
    </row>
    <row r="5731" spans="22:24" x14ac:dyDescent="0.3">
      <c r="V5731" t="e">
        <f>VLOOKUP(H5731,'[1]팀별 출판사'!A:B,2,0)</f>
        <v>#N/A</v>
      </c>
      <c r="W5731" s="6">
        <f t="shared" si="178"/>
        <v>0</v>
      </c>
      <c r="X5731" s="6">
        <f t="shared" si="179"/>
        <v>0</v>
      </c>
    </row>
    <row r="5732" spans="22:24" x14ac:dyDescent="0.3">
      <c r="V5732" t="e">
        <f>VLOOKUP(H5732,'[1]팀별 출판사'!A:B,2,0)</f>
        <v>#N/A</v>
      </c>
      <c r="W5732" s="6">
        <f t="shared" si="178"/>
        <v>0</v>
      </c>
      <c r="X5732" s="6">
        <f t="shared" si="179"/>
        <v>0</v>
      </c>
    </row>
    <row r="5733" spans="22:24" x14ac:dyDescent="0.3">
      <c r="V5733" t="e">
        <f>VLOOKUP(H5733,'[1]팀별 출판사'!A:B,2,0)</f>
        <v>#N/A</v>
      </c>
      <c r="W5733" s="6">
        <f t="shared" si="178"/>
        <v>0</v>
      </c>
      <c r="X5733" s="6">
        <f t="shared" si="179"/>
        <v>0</v>
      </c>
    </row>
    <row r="5734" spans="22:24" x14ac:dyDescent="0.3">
      <c r="V5734" t="e">
        <f>VLOOKUP(H5734,'[1]팀별 출판사'!A:B,2,0)</f>
        <v>#N/A</v>
      </c>
      <c r="W5734" s="6">
        <f t="shared" si="178"/>
        <v>0</v>
      </c>
      <c r="X5734" s="6">
        <f t="shared" si="179"/>
        <v>0</v>
      </c>
    </row>
    <row r="5735" spans="22:24" x14ac:dyDescent="0.3">
      <c r="V5735" t="e">
        <f>VLOOKUP(H5735,'[1]팀별 출판사'!A:B,2,0)</f>
        <v>#N/A</v>
      </c>
      <c r="W5735" s="6">
        <f t="shared" si="178"/>
        <v>0</v>
      </c>
      <c r="X5735" s="6">
        <f t="shared" si="179"/>
        <v>0</v>
      </c>
    </row>
    <row r="5736" spans="22:24" x14ac:dyDescent="0.3">
      <c r="V5736" t="e">
        <f>VLOOKUP(H5736,'[1]팀별 출판사'!A:B,2,0)</f>
        <v>#N/A</v>
      </c>
      <c r="W5736" s="6">
        <f t="shared" si="178"/>
        <v>0</v>
      </c>
      <c r="X5736" s="6">
        <f t="shared" si="179"/>
        <v>0</v>
      </c>
    </row>
    <row r="5737" spans="22:24" x14ac:dyDescent="0.3">
      <c r="V5737" t="e">
        <f>VLOOKUP(H5737,'[1]팀별 출판사'!A:B,2,0)</f>
        <v>#N/A</v>
      </c>
      <c r="W5737" s="6">
        <f t="shared" si="178"/>
        <v>0</v>
      </c>
      <c r="X5737" s="6">
        <f t="shared" si="179"/>
        <v>0</v>
      </c>
    </row>
    <row r="5738" spans="22:24" x14ac:dyDescent="0.3">
      <c r="V5738" t="e">
        <f>VLOOKUP(H5738,'[1]팀별 출판사'!A:B,2,0)</f>
        <v>#N/A</v>
      </c>
      <c r="W5738" s="6">
        <f t="shared" si="178"/>
        <v>0</v>
      </c>
      <c r="X5738" s="6">
        <f t="shared" si="179"/>
        <v>0</v>
      </c>
    </row>
    <row r="5739" spans="22:24" x14ac:dyDescent="0.3">
      <c r="V5739" t="e">
        <f>VLOOKUP(H5739,'[1]팀별 출판사'!A:B,2,0)</f>
        <v>#N/A</v>
      </c>
      <c r="W5739" s="6">
        <f t="shared" si="178"/>
        <v>0</v>
      </c>
      <c r="X5739" s="6">
        <f t="shared" si="179"/>
        <v>0</v>
      </c>
    </row>
    <row r="5740" spans="22:24" x14ac:dyDescent="0.3">
      <c r="V5740" t="e">
        <f>VLOOKUP(H5740,'[1]팀별 출판사'!A:B,2,0)</f>
        <v>#N/A</v>
      </c>
      <c r="W5740" s="6">
        <f t="shared" si="178"/>
        <v>0</v>
      </c>
      <c r="X5740" s="6">
        <f t="shared" si="179"/>
        <v>0</v>
      </c>
    </row>
    <row r="5741" spans="22:24" x14ac:dyDescent="0.3">
      <c r="V5741" t="e">
        <f>VLOOKUP(H5741,'[1]팀별 출판사'!A:B,2,0)</f>
        <v>#N/A</v>
      </c>
      <c r="W5741" s="6">
        <f t="shared" si="178"/>
        <v>0</v>
      </c>
      <c r="X5741" s="6">
        <f t="shared" si="179"/>
        <v>0</v>
      </c>
    </row>
    <row r="5742" spans="22:24" x14ac:dyDescent="0.3">
      <c r="V5742" t="e">
        <f>VLOOKUP(H5742,'[1]팀별 출판사'!A:B,2,0)</f>
        <v>#N/A</v>
      </c>
      <c r="W5742" s="6">
        <f t="shared" si="178"/>
        <v>0</v>
      </c>
      <c r="X5742" s="6">
        <f t="shared" si="179"/>
        <v>0</v>
      </c>
    </row>
    <row r="5743" spans="22:24" x14ac:dyDescent="0.3">
      <c r="V5743" t="e">
        <f>VLOOKUP(H5743,'[1]팀별 출판사'!A:B,2,0)</f>
        <v>#N/A</v>
      </c>
      <c r="W5743" s="6">
        <f t="shared" si="178"/>
        <v>0</v>
      </c>
      <c r="X5743" s="6">
        <f t="shared" si="179"/>
        <v>0</v>
      </c>
    </row>
    <row r="5744" spans="22:24" x14ac:dyDescent="0.3">
      <c r="V5744" t="e">
        <f>VLOOKUP(H5744,'[1]팀별 출판사'!A:B,2,0)</f>
        <v>#N/A</v>
      </c>
      <c r="W5744" s="6">
        <f t="shared" si="178"/>
        <v>0</v>
      </c>
      <c r="X5744" s="6">
        <f t="shared" si="179"/>
        <v>0</v>
      </c>
    </row>
    <row r="5745" spans="22:24" x14ac:dyDescent="0.3">
      <c r="V5745" t="e">
        <f>VLOOKUP(H5745,'[1]팀별 출판사'!A:B,2,0)</f>
        <v>#N/A</v>
      </c>
      <c r="W5745" s="6">
        <f t="shared" si="178"/>
        <v>0</v>
      </c>
      <c r="X5745" s="6">
        <f t="shared" si="179"/>
        <v>0</v>
      </c>
    </row>
    <row r="5746" spans="22:24" x14ac:dyDescent="0.3">
      <c r="V5746" t="e">
        <f>VLOOKUP(H5746,'[1]팀별 출판사'!A:B,2,0)</f>
        <v>#N/A</v>
      </c>
      <c r="W5746" s="6">
        <f t="shared" si="178"/>
        <v>0</v>
      </c>
      <c r="X5746" s="6">
        <f t="shared" si="179"/>
        <v>0</v>
      </c>
    </row>
    <row r="5747" spans="22:24" x14ac:dyDescent="0.3">
      <c r="V5747" t="e">
        <f>VLOOKUP(H5747,'[1]팀별 출판사'!A:B,2,0)</f>
        <v>#N/A</v>
      </c>
      <c r="W5747" s="6">
        <f t="shared" si="178"/>
        <v>0</v>
      </c>
      <c r="X5747" s="6">
        <f t="shared" si="179"/>
        <v>0</v>
      </c>
    </row>
    <row r="5748" spans="22:24" x14ac:dyDescent="0.3">
      <c r="V5748" t="e">
        <f>VLOOKUP(H5748,'[1]팀별 출판사'!A:B,2,0)</f>
        <v>#N/A</v>
      </c>
      <c r="W5748" s="6">
        <f t="shared" si="178"/>
        <v>0</v>
      </c>
      <c r="X5748" s="6">
        <f t="shared" si="179"/>
        <v>0</v>
      </c>
    </row>
    <row r="5749" spans="22:24" x14ac:dyDescent="0.3">
      <c r="V5749" t="e">
        <f>VLOOKUP(H5749,'[1]팀별 출판사'!A:B,2,0)</f>
        <v>#N/A</v>
      </c>
      <c r="W5749" s="6">
        <f t="shared" si="178"/>
        <v>0</v>
      </c>
      <c r="X5749" s="6">
        <f t="shared" si="179"/>
        <v>0</v>
      </c>
    </row>
    <row r="5750" spans="22:24" x14ac:dyDescent="0.3">
      <c r="V5750" t="e">
        <f>VLOOKUP(H5750,'[1]팀별 출판사'!A:B,2,0)</f>
        <v>#N/A</v>
      </c>
      <c r="W5750" s="6">
        <f t="shared" si="178"/>
        <v>0</v>
      </c>
      <c r="X5750" s="6">
        <f t="shared" si="179"/>
        <v>0</v>
      </c>
    </row>
    <row r="5751" spans="22:24" x14ac:dyDescent="0.3">
      <c r="V5751" t="e">
        <f>VLOOKUP(H5751,'[1]팀별 출판사'!A:B,2,0)</f>
        <v>#N/A</v>
      </c>
      <c r="W5751" s="6">
        <f t="shared" si="178"/>
        <v>0</v>
      </c>
      <c r="X5751" s="6">
        <f t="shared" si="179"/>
        <v>0</v>
      </c>
    </row>
    <row r="5752" spans="22:24" x14ac:dyDescent="0.3">
      <c r="V5752" t="e">
        <f>VLOOKUP(H5752,'[1]팀별 출판사'!A:B,2,0)</f>
        <v>#N/A</v>
      </c>
      <c r="W5752" s="6">
        <f t="shared" si="178"/>
        <v>0</v>
      </c>
      <c r="X5752" s="6">
        <f t="shared" si="179"/>
        <v>0</v>
      </c>
    </row>
    <row r="5753" spans="22:24" x14ac:dyDescent="0.3">
      <c r="V5753" t="e">
        <f>VLOOKUP(H5753,'[1]팀별 출판사'!A:B,2,0)</f>
        <v>#N/A</v>
      </c>
      <c r="W5753" s="6">
        <f t="shared" si="178"/>
        <v>0</v>
      </c>
      <c r="X5753" s="6">
        <f t="shared" si="179"/>
        <v>0</v>
      </c>
    </row>
    <row r="5754" spans="22:24" x14ac:dyDescent="0.3">
      <c r="V5754" t="e">
        <f>VLOOKUP(H5754,'[1]팀별 출판사'!A:B,2,0)</f>
        <v>#N/A</v>
      </c>
      <c r="W5754" s="6">
        <f t="shared" si="178"/>
        <v>0</v>
      </c>
      <c r="X5754" s="6">
        <f t="shared" si="179"/>
        <v>0</v>
      </c>
    </row>
    <row r="5755" spans="22:24" x14ac:dyDescent="0.3">
      <c r="V5755" t="e">
        <f>VLOOKUP(H5755,'[1]팀별 출판사'!A:B,2,0)</f>
        <v>#N/A</v>
      </c>
      <c r="W5755" s="6">
        <f t="shared" si="178"/>
        <v>0</v>
      </c>
      <c r="X5755" s="6">
        <f t="shared" si="179"/>
        <v>0</v>
      </c>
    </row>
    <row r="5756" spans="22:24" x14ac:dyDescent="0.3">
      <c r="V5756" t="e">
        <f>VLOOKUP(H5756,'[1]팀별 출판사'!A:B,2,0)</f>
        <v>#N/A</v>
      </c>
      <c r="W5756" s="6">
        <f t="shared" si="178"/>
        <v>0</v>
      </c>
      <c r="X5756" s="6">
        <f t="shared" si="179"/>
        <v>0</v>
      </c>
    </row>
    <row r="5757" spans="22:24" x14ac:dyDescent="0.3">
      <c r="V5757" t="e">
        <f>VLOOKUP(H5757,'[1]팀별 출판사'!A:B,2,0)</f>
        <v>#N/A</v>
      </c>
      <c r="W5757" s="6">
        <f t="shared" si="178"/>
        <v>0</v>
      </c>
      <c r="X5757" s="6">
        <f t="shared" si="179"/>
        <v>0</v>
      </c>
    </row>
    <row r="5758" spans="22:24" x14ac:dyDescent="0.3">
      <c r="V5758" t="e">
        <f>VLOOKUP(H5758,'[1]팀별 출판사'!A:B,2,0)</f>
        <v>#N/A</v>
      </c>
      <c r="W5758" s="6">
        <f t="shared" si="178"/>
        <v>0</v>
      </c>
      <c r="X5758" s="6">
        <f t="shared" si="179"/>
        <v>0</v>
      </c>
    </row>
    <row r="5759" spans="22:24" x14ac:dyDescent="0.3">
      <c r="V5759" t="e">
        <f>VLOOKUP(H5759,'[1]팀별 출판사'!A:B,2,0)</f>
        <v>#N/A</v>
      </c>
      <c r="W5759" s="6">
        <f t="shared" si="178"/>
        <v>0</v>
      </c>
      <c r="X5759" s="6">
        <f t="shared" si="179"/>
        <v>0</v>
      </c>
    </row>
    <row r="5760" spans="22:24" x14ac:dyDescent="0.3">
      <c r="V5760" t="e">
        <f>VLOOKUP(H5760,'[1]팀별 출판사'!A:B,2,0)</f>
        <v>#N/A</v>
      </c>
      <c r="W5760" s="6">
        <f t="shared" si="178"/>
        <v>0</v>
      </c>
      <c r="X5760" s="6">
        <f t="shared" si="179"/>
        <v>0</v>
      </c>
    </row>
    <row r="5761" spans="22:24" x14ac:dyDescent="0.3">
      <c r="V5761" t="e">
        <f>VLOOKUP(H5761,'[1]팀별 출판사'!A:B,2,0)</f>
        <v>#N/A</v>
      </c>
      <c r="W5761" s="6">
        <f t="shared" si="178"/>
        <v>0</v>
      </c>
      <c r="X5761" s="6">
        <f t="shared" si="179"/>
        <v>0</v>
      </c>
    </row>
    <row r="5762" spans="22:24" x14ac:dyDescent="0.3">
      <c r="V5762" t="e">
        <f>VLOOKUP(H5762,'[1]팀별 출판사'!A:B,2,0)</f>
        <v>#N/A</v>
      </c>
      <c r="W5762" s="6">
        <f t="shared" ref="W5762:W5825" si="180">IF(P5762="US", T5762*30%, 0)</f>
        <v>0</v>
      </c>
      <c r="X5762" s="6">
        <f t="shared" ref="X5762:X5825" si="181">T5762-W5762</f>
        <v>0</v>
      </c>
    </row>
    <row r="5763" spans="22:24" x14ac:dyDescent="0.3">
      <c r="V5763" t="e">
        <f>VLOOKUP(H5763,'[1]팀별 출판사'!A:B,2,0)</f>
        <v>#N/A</v>
      </c>
      <c r="W5763" s="6">
        <f t="shared" si="180"/>
        <v>0</v>
      </c>
      <c r="X5763" s="6">
        <f t="shared" si="181"/>
        <v>0</v>
      </c>
    </row>
    <row r="5764" spans="22:24" x14ac:dyDescent="0.3">
      <c r="V5764" t="e">
        <f>VLOOKUP(H5764,'[1]팀별 출판사'!A:B,2,0)</f>
        <v>#N/A</v>
      </c>
      <c r="W5764" s="6">
        <f t="shared" si="180"/>
        <v>0</v>
      </c>
      <c r="X5764" s="6">
        <f t="shared" si="181"/>
        <v>0</v>
      </c>
    </row>
    <row r="5765" spans="22:24" x14ac:dyDescent="0.3">
      <c r="V5765" t="e">
        <f>VLOOKUP(H5765,'[1]팀별 출판사'!A:B,2,0)</f>
        <v>#N/A</v>
      </c>
      <c r="W5765" s="6">
        <f t="shared" si="180"/>
        <v>0</v>
      </c>
      <c r="X5765" s="6">
        <f t="shared" si="181"/>
        <v>0</v>
      </c>
    </row>
    <row r="5766" spans="22:24" x14ac:dyDescent="0.3">
      <c r="V5766" t="e">
        <f>VLOOKUP(H5766,'[1]팀별 출판사'!A:B,2,0)</f>
        <v>#N/A</v>
      </c>
      <c r="W5766" s="6">
        <f t="shared" si="180"/>
        <v>0</v>
      </c>
      <c r="X5766" s="6">
        <f t="shared" si="181"/>
        <v>0</v>
      </c>
    </row>
    <row r="5767" spans="22:24" x14ac:dyDescent="0.3">
      <c r="V5767" t="e">
        <f>VLOOKUP(H5767,'[1]팀별 출판사'!A:B,2,0)</f>
        <v>#N/A</v>
      </c>
      <c r="W5767" s="6">
        <f t="shared" si="180"/>
        <v>0</v>
      </c>
      <c r="X5767" s="6">
        <f t="shared" si="181"/>
        <v>0</v>
      </c>
    </row>
    <row r="5768" spans="22:24" x14ac:dyDescent="0.3">
      <c r="V5768" t="e">
        <f>VLOOKUP(H5768,'[1]팀별 출판사'!A:B,2,0)</f>
        <v>#N/A</v>
      </c>
      <c r="W5768" s="6">
        <f t="shared" si="180"/>
        <v>0</v>
      </c>
      <c r="X5768" s="6">
        <f t="shared" si="181"/>
        <v>0</v>
      </c>
    </row>
    <row r="5769" spans="22:24" x14ac:dyDescent="0.3">
      <c r="V5769" t="e">
        <f>VLOOKUP(H5769,'[1]팀별 출판사'!A:B,2,0)</f>
        <v>#N/A</v>
      </c>
      <c r="W5769" s="6">
        <f t="shared" si="180"/>
        <v>0</v>
      </c>
      <c r="X5769" s="6">
        <f t="shared" si="181"/>
        <v>0</v>
      </c>
    </row>
    <row r="5770" spans="22:24" x14ac:dyDescent="0.3">
      <c r="V5770" t="e">
        <f>VLOOKUP(H5770,'[1]팀별 출판사'!A:B,2,0)</f>
        <v>#N/A</v>
      </c>
      <c r="W5770" s="6">
        <f t="shared" si="180"/>
        <v>0</v>
      </c>
      <c r="X5770" s="6">
        <f t="shared" si="181"/>
        <v>0</v>
      </c>
    </row>
    <row r="5771" spans="22:24" x14ac:dyDescent="0.3">
      <c r="V5771" t="e">
        <f>VLOOKUP(H5771,'[1]팀별 출판사'!A:B,2,0)</f>
        <v>#N/A</v>
      </c>
      <c r="W5771" s="6">
        <f t="shared" si="180"/>
        <v>0</v>
      </c>
      <c r="X5771" s="6">
        <f t="shared" si="181"/>
        <v>0</v>
      </c>
    </row>
    <row r="5772" spans="22:24" x14ac:dyDescent="0.3">
      <c r="V5772" t="e">
        <f>VLOOKUP(H5772,'[1]팀별 출판사'!A:B,2,0)</f>
        <v>#N/A</v>
      </c>
      <c r="W5772" s="6">
        <f t="shared" si="180"/>
        <v>0</v>
      </c>
      <c r="X5772" s="6">
        <f t="shared" si="181"/>
        <v>0</v>
      </c>
    </row>
    <row r="5773" spans="22:24" x14ac:dyDescent="0.3">
      <c r="V5773" t="e">
        <f>VLOOKUP(H5773,'[1]팀별 출판사'!A:B,2,0)</f>
        <v>#N/A</v>
      </c>
      <c r="W5773" s="6">
        <f t="shared" si="180"/>
        <v>0</v>
      </c>
      <c r="X5773" s="6">
        <f t="shared" si="181"/>
        <v>0</v>
      </c>
    </row>
    <row r="5774" spans="22:24" x14ac:dyDescent="0.3">
      <c r="V5774" t="e">
        <f>VLOOKUP(H5774,'[1]팀별 출판사'!A:B,2,0)</f>
        <v>#N/A</v>
      </c>
      <c r="W5774" s="6">
        <f t="shared" si="180"/>
        <v>0</v>
      </c>
      <c r="X5774" s="6">
        <f t="shared" si="181"/>
        <v>0</v>
      </c>
    </row>
    <row r="5775" spans="22:24" x14ac:dyDescent="0.3">
      <c r="V5775" t="e">
        <f>VLOOKUP(H5775,'[1]팀별 출판사'!A:B,2,0)</f>
        <v>#N/A</v>
      </c>
      <c r="W5775" s="6">
        <f t="shared" si="180"/>
        <v>0</v>
      </c>
      <c r="X5775" s="6">
        <f t="shared" si="181"/>
        <v>0</v>
      </c>
    </row>
    <row r="5776" spans="22:24" x14ac:dyDescent="0.3">
      <c r="V5776" t="e">
        <f>VLOOKUP(H5776,'[1]팀별 출판사'!A:B,2,0)</f>
        <v>#N/A</v>
      </c>
      <c r="W5776" s="6">
        <f t="shared" si="180"/>
        <v>0</v>
      </c>
      <c r="X5776" s="6">
        <f t="shared" si="181"/>
        <v>0</v>
      </c>
    </row>
    <row r="5777" spans="22:24" x14ac:dyDescent="0.3">
      <c r="V5777" t="e">
        <f>VLOOKUP(H5777,'[1]팀별 출판사'!A:B,2,0)</f>
        <v>#N/A</v>
      </c>
      <c r="W5777" s="6">
        <f t="shared" si="180"/>
        <v>0</v>
      </c>
      <c r="X5777" s="6">
        <f t="shared" si="181"/>
        <v>0</v>
      </c>
    </row>
    <row r="5778" spans="22:24" x14ac:dyDescent="0.3">
      <c r="V5778" t="e">
        <f>VLOOKUP(H5778,'[1]팀별 출판사'!A:B,2,0)</f>
        <v>#N/A</v>
      </c>
      <c r="W5778" s="6">
        <f t="shared" si="180"/>
        <v>0</v>
      </c>
      <c r="X5778" s="6">
        <f t="shared" si="181"/>
        <v>0</v>
      </c>
    </row>
    <row r="5779" spans="22:24" x14ac:dyDescent="0.3">
      <c r="V5779" t="e">
        <f>VLOOKUP(H5779,'[1]팀별 출판사'!A:B,2,0)</f>
        <v>#N/A</v>
      </c>
      <c r="W5779" s="6">
        <f t="shared" si="180"/>
        <v>0</v>
      </c>
      <c r="X5779" s="6">
        <f t="shared" si="181"/>
        <v>0</v>
      </c>
    </row>
    <row r="5780" spans="22:24" x14ac:dyDescent="0.3">
      <c r="V5780" t="e">
        <f>VLOOKUP(H5780,'[1]팀별 출판사'!A:B,2,0)</f>
        <v>#N/A</v>
      </c>
      <c r="W5780" s="6">
        <f t="shared" si="180"/>
        <v>0</v>
      </c>
      <c r="X5780" s="6">
        <f t="shared" si="181"/>
        <v>0</v>
      </c>
    </row>
    <row r="5781" spans="22:24" x14ac:dyDescent="0.3">
      <c r="V5781" t="e">
        <f>VLOOKUP(H5781,'[1]팀별 출판사'!A:B,2,0)</f>
        <v>#N/A</v>
      </c>
      <c r="W5781" s="6">
        <f t="shared" si="180"/>
        <v>0</v>
      </c>
      <c r="X5781" s="6">
        <f t="shared" si="181"/>
        <v>0</v>
      </c>
    </row>
    <row r="5782" spans="22:24" x14ac:dyDescent="0.3">
      <c r="V5782" t="e">
        <f>VLOOKUP(H5782,'[1]팀별 출판사'!A:B,2,0)</f>
        <v>#N/A</v>
      </c>
      <c r="W5782" s="6">
        <f t="shared" si="180"/>
        <v>0</v>
      </c>
      <c r="X5782" s="6">
        <f t="shared" si="181"/>
        <v>0</v>
      </c>
    </row>
    <row r="5783" spans="22:24" x14ac:dyDescent="0.3">
      <c r="V5783" t="e">
        <f>VLOOKUP(H5783,'[1]팀별 출판사'!A:B,2,0)</f>
        <v>#N/A</v>
      </c>
      <c r="W5783" s="6">
        <f t="shared" si="180"/>
        <v>0</v>
      </c>
      <c r="X5783" s="6">
        <f t="shared" si="181"/>
        <v>0</v>
      </c>
    </row>
    <row r="5784" spans="22:24" x14ac:dyDescent="0.3">
      <c r="V5784" t="e">
        <f>VLOOKUP(H5784,'[1]팀별 출판사'!A:B,2,0)</f>
        <v>#N/A</v>
      </c>
      <c r="W5784" s="6">
        <f t="shared" si="180"/>
        <v>0</v>
      </c>
      <c r="X5784" s="6">
        <f t="shared" si="181"/>
        <v>0</v>
      </c>
    </row>
    <row r="5785" spans="22:24" x14ac:dyDescent="0.3">
      <c r="V5785" t="e">
        <f>VLOOKUP(H5785,'[1]팀별 출판사'!A:B,2,0)</f>
        <v>#N/A</v>
      </c>
      <c r="W5785" s="6">
        <f t="shared" si="180"/>
        <v>0</v>
      </c>
      <c r="X5785" s="6">
        <f t="shared" si="181"/>
        <v>0</v>
      </c>
    </row>
    <row r="5786" spans="22:24" x14ac:dyDescent="0.3">
      <c r="V5786" t="e">
        <f>VLOOKUP(H5786,'[1]팀별 출판사'!A:B,2,0)</f>
        <v>#N/A</v>
      </c>
      <c r="W5786" s="6">
        <f t="shared" si="180"/>
        <v>0</v>
      </c>
      <c r="X5786" s="6">
        <f t="shared" si="181"/>
        <v>0</v>
      </c>
    </row>
    <row r="5787" spans="22:24" x14ac:dyDescent="0.3">
      <c r="V5787" t="e">
        <f>VLOOKUP(H5787,'[1]팀별 출판사'!A:B,2,0)</f>
        <v>#N/A</v>
      </c>
      <c r="W5787" s="6">
        <f t="shared" si="180"/>
        <v>0</v>
      </c>
      <c r="X5787" s="6">
        <f t="shared" si="181"/>
        <v>0</v>
      </c>
    </row>
    <row r="5788" spans="22:24" x14ac:dyDescent="0.3">
      <c r="V5788" t="e">
        <f>VLOOKUP(H5788,'[1]팀별 출판사'!A:B,2,0)</f>
        <v>#N/A</v>
      </c>
      <c r="W5788" s="6">
        <f t="shared" si="180"/>
        <v>0</v>
      </c>
      <c r="X5788" s="6">
        <f t="shared" si="181"/>
        <v>0</v>
      </c>
    </row>
    <row r="5789" spans="22:24" x14ac:dyDescent="0.3">
      <c r="V5789" t="e">
        <f>VLOOKUP(H5789,'[1]팀별 출판사'!A:B,2,0)</f>
        <v>#N/A</v>
      </c>
      <c r="W5789" s="6">
        <f t="shared" si="180"/>
        <v>0</v>
      </c>
      <c r="X5789" s="6">
        <f t="shared" si="181"/>
        <v>0</v>
      </c>
    </row>
    <row r="5790" spans="22:24" x14ac:dyDescent="0.3">
      <c r="V5790" t="e">
        <f>VLOOKUP(H5790,'[1]팀별 출판사'!A:B,2,0)</f>
        <v>#N/A</v>
      </c>
      <c r="W5790" s="6">
        <f t="shared" si="180"/>
        <v>0</v>
      </c>
      <c r="X5790" s="6">
        <f t="shared" si="181"/>
        <v>0</v>
      </c>
    </row>
    <row r="5791" spans="22:24" x14ac:dyDescent="0.3">
      <c r="V5791" t="e">
        <f>VLOOKUP(H5791,'[1]팀별 출판사'!A:B,2,0)</f>
        <v>#N/A</v>
      </c>
      <c r="W5791" s="6">
        <f t="shared" si="180"/>
        <v>0</v>
      </c>
      <c r="X5791" s="6">
        <f t="shared" si="181"/>
        <v>0</v>
      </c>
    </row>
    <row r="5792" spans="22:24" x14ac:dyDescent="0.3">
      <c r="V5792" t="e">
        <f>VLOOKUP(H5792,'[1]팀별 출판사'!A:B,2,0)</f>
        <v>#N/A</v>
      </c>
      <c r="W5792" s="6">
        <f t="shared" si="180"/>
        <v>0</v>
      </c>
      <c r="X5792" s="6">
        <f t="shared" si="181"/>
        <v>0</v>
      </c>
    </row>
    <row r="5793" spans="22:24" x14ac:dyDescent="0.3">
      <c r="V5793" t="e">
        <f>VLOOKUP(H5793,'[1]팀별 출판사'!A:B,2,0)</f>
        <v>#N/A</v>
      </c>
      <c r="W5793" s="6">
        <f t="shared" si="180"/>
        <v>0</v>
      </c>
      <c r="X5793" s="6">
        <f t="shared" si="181"/>
        <v>0</v>
      </c>
    </row>
    <row r="5794" spans="22:24" x14ac:dyDescent="0.3">
      <c r="V5794" t="e">
        <f>VLOOKUP(H5794,'[1]팀별 출판사'!A:B,2,0)</f>
        <v>#N/A</v>
      </c>
      <c r="W5794" s="6">
        <f t="shared" si="180"/>
        <v>0</v>
      </c>
      <c r="X5794" s="6">
        <f t="shared" si="181"/>
        <v>0</v>
      </c>
    </row>
    <row r="5795" spans="22:24" x14ac:dyDescent="0.3">
      <c r="V5795" t="e">
        <f>VLOOKUP(H5795,'[1]팀별 출판사'!A:B,2,0)</f>
        <v>#N/A</v>
      </c>
      <c r="W5795" s="6">
        <f t="shared" si="180"/>
        <v>0</v>
      </c>
      <c r="X5795" s="6">
        <f t="shared" si="181"/>
        <v>0</v>
      </c>
    </row>
    <row r="5796" spans="22:24" x14ac:dyDescent="0.3">
      <c r="V5796" t="e">
        <f>VLOOKUP(H5796,'[1]팀별 출판사'!A:B,2,0)</f>
        <v>#N/A</v>
      </c>
      <c r="W5796" s="6">
        <f t="shared" si="180"/>
        <v>0</v>
      </c>
      <c r="X5796" s="6">
        <f t="shared" si="181"/>
        <v>0</v>
      </c>
    </row>
    <row r="5797" spans="22:24" x14ac:dyDescent="0.3">
      <c r="V5797" t="e">
        <f>VLOOKUP(H5797,'[1]팀별 출판사'!A:B,2,0)</f>
        <v>#N/A</v>
      </c>
      <c r="W5797" s="6">
        <f t="shared" si="180"/>
        <v>0</v>
      </c>
      <c r="X5797" s="6">
        <f t="shared" si="181"/>
        <v>0</v>
      </c>
    </row>
    <row r="5798" spans="22:24" x14ac:dyDescent="0.3">
      <c r="V5798" t="e">
        <f>VLOOKUP(H5798,'[1]팀별 출판사'!A:B,2,0)</f>
        <v>#N/A</v>
      </c>
      <c r="W5798" s="6">
        <f t="shared" si="180"/>
        <v>0</v>
      </c>
      <c r="X5798" s="6">
        <f t="shared" si="181"/>
        <v>0</v>
      </c>
    </row>
    <row r="5799" spans="22:24" x14ac:dyDescent="0.3">
      <c r="V5799" t="e">
        <f>VLOOKUP(H5799,'[1]팀별 출판사'!A:B,2,0)</f>
        <v>#N/A</v>
      </c>
      <c r="W5799" s="6">
        <f t="shared" si="180"/>
        <v>0</v>
      </c>
      <c r="X5799" s="6">
        <f t="shared" si="181"/>
        <v>0</v>
      </c>
    </row>
    <row r="5800" spans="22:24" x14ac:dyDescent="0.3">
      <c r="V5800" t="e">
        <f>VLOOKUP(H5800,'[1]팀별 출판사'!A:B,2,0)</f>
        <v>#N/A</v>
      </c>
      <c r="W5800" s="6">
        <f t="shared" si="180"/>
        <v>0</v>
      </c>
      <c r="X5800" s="6">
        <f t="shared" si="181"/>
        <v>0</v>
      </c>
    </row>
    <row r="5801" spans="22:24" x14ac:dyDescent="0.3">
      <c r="V5801" t="e">
        <f>VLOOKUP(H5801,'[1]팀별 출판사'!A:B,2,0)</f>
        <v>#N/A</v>
      </c>
      <c r="W5801" s="6">
        <f t="shared" si="180"/>
        <v>0</v>
      </c>
      <c r="X5801" s="6">
        <f t="shared" si="181"/>
        <v>0</v>
      </c>
    </row>
    <row r="5802" spans="22:24" x14ac:dyDescent="0.3">
      <c r="V5802" t="e">
        <f>VLOOKUP(H5802,'[1]팀별 출판사'!A:B,2,0)</f>
        <v>#N/A</v>
      </c>
      <c r="W5802" s="6">
        <f t="shared" si="180"/>
        <v>0</v>
      </c>
      <c r="X5802" s="6">
        <f t="shared" si="181"/>
        <v>0</v>
      </c>
    </row>
    <row r="5803" spans="22:24" x14ac:dyDescent="0.3">
      <c r="V5803" t="e">
        <f>VLOOKUP(H5803,'[1]팀별 출판사'!A:B,2,0)</f>
        <v>#N/A</v>
      </c>
      <c r="W5803" s="6">
        <f t="shared" si="180"/>
        <v>0</v>
      </c>
      <c r="X5803" s="6">
        <f t="shared" si="181"/>
        <v>0</v>
      </c>
    </row>
    <row r="5804" spans="22:24" x14ac:dyDescent="0.3">
      <c r="V5804" t="e">
        <f>VLOOKUP(H5804,'[1]팀별 출판사'!A:B,2,0)</f>
        <v>#N/A</v>
      </c>
      <c r="W5804" s="6">
        <f t="shared" si="180"/>
        <v>0</v>
      </c>
      <c r="X5804" s="6">
        <f t="shared" si="181"/>
        <v>0</v>
      </c>
    </row>
    <row r="5805" spans="22:24" x14ac:dyDescent="0.3">
      <c r="V5805" t="e">
        <f>VLOOKUP(H5805,'[1]팀별 출판사'!A:B,2,0)</f>
        <v>#N/A</v>
      </c>
      <c r="W5805" s="6">
        <f t="shared" si="180"/>
        <v>0</v>
      </c>
      <c r="X5805" s="6">
        <f t="shared" si="181"/>
        <v>0</v>
      </c>
    </row>
    <row r="5806" spans="22:24" x14ac:dyDescent="0.3">
      <c r="V5806" t="e">
        <f>VLOOKUP(H5806,'[1]팀별 출판사'!A:B,2,0)</f>
        <v>#N/A</v>
      </c>
      <c r="W5806" s="6">
        <f t="shared" si="180"/>
        <v>0</v>
      </c>
      <c r="X5806" s="6">
        <f t="shared" si="181"/>
        <v>0</v>
      </c>
    </row>
    <row r="5807" spans="22:24" x14ac:dyDescent="0.3">
      <c r="V5807" t="e">
        <f>VLOOKUP(H5807,'[1]팀별 출판사'!A:B,2,0)</f>
        <v>#N/A</v>
      </c>
      <c r="W5807" s="6">
        <f t="shared" si="180"/>
        <v>0</v>
      </c>
      <c r="X5807" s="6">
        <f t="shared" si="181"/>
        <v>0</v>
      </c>
    </row>
    <row r="5808" spans="22:24" x14ac:dyDescent="0.3">
      <c r="V5808" t="e">
        <f>VLOOKUP(H5808,'[1]팀별 출판사'!A:B,2,0)</f>
        <v>#N/A</v>
      </c>
      <c r="W5808" s="6">
        <f t="shared" si="180"/>
        <v>0</v>
      </c>
      <c r="X5808" s="6">
        <f t="shared" si="181"/>
        <v>0</v>
      </c>
    </row>
    <row r="5809" spans="22:24" x14ac:dyDescent="0.3">
      <c r="V5809" t="e">
        <f>VLOOKUP(H5809,'[1]팀별 출판사'!A:B,2,0)</f>
        <v>#N/A</v>
      </c>
      <c r="W5809" s="6">
        <f t="shared" si="180"/>
        <v>0</v>
      </c>
      <c r="X5809" s="6">
        <f t="shared" si="181"/>
        <v>0</v>
      </c>
    </row>
    <row r="5810" spans="22:24" x14ac:dyDescent="0.3">
      <c r="V5810" t="e">
        <f>VLOOKUP(H5810,'[1]팀별 출판사'!A:B,2,0)</f>
        <v>#N/A</v>
      </c>
      <c r="W5810" s="6">
        <f t="shared" si="180"/>
        <v>0</v>
      </c>
      <c r="X5810" s="6">
        <f t="shared" si="181"/>
        <v>0</v>
      </c>
    </row>
    <row r="5811" spans="22:24" x14ac:dyDescent="0.3">
      <c r="V5811" t="e">
        <f>VLOOKUP(H5811,'[1]팀별 출판사'!A:B,2,0)</f>
        <v>#N/A</v>
      </c>
      <c r="W5811" s="6">
        <f t="shared" si="180"/>
        <v>0</v>
      </c>
      <c r="X5811" s="6">
        <f t="shared" si="181"/>
        <v>0</v>
      </c>
    </row>
    <row r="5812" spans="22:24" x14ac:dyDescent="0.3">
      <c r="V5812" t="e">
        <f>VLOOKUP(H5812,'[1]팀별 출판사'!A:B,2,0)</f>
        <v>#N/A</v>
      </c>
      <c r="W5812" s="6">
        <f t="shared" si="180"/>
        <v>0</v>
      </c>
      <c r="X5812" s="6">
        <f t="shared" si="181"/>
        <v>0</v>
      </c>
    </row>
    <row r="5813" spans="22:24" x14ac:dyDescent="0.3">
      <c r="V5813" t="e">
        <f>VLOOKUP(H5813,'[1]팀별 출판사'!A:B,2,0)</f>
        <v>#N/A</v>
      </c>
      <c r="W5813" s="6">
        <f t="shared" si="180"/>
        <v>0</v>
      </c>
      <c r="X5813" s="6">
        <f t="shared" si="181"/>
        <v>0</v>
      </c>
    </row>
    <row r="5814" spans="22:24" x14ac:dyDescent="0.3">
      <c r="V5814" t="e">
        <f>VLOOKUP(H5814,'[1]팀별 출판사'!A:B,2,0)</f>
        <v>#N/A</v>
      </c>
      <c r="W5814" s="6">
        <f t="shared" si="180"/>
        <v>0</v>
      </c>
      <c r="X5814" s="6">
        <f t="shared" si="181"/>
        <v>0</v>
      </c>
    </row>
    <row r="5815" spans="22:24" x14ac:dyDescent="0.3">
      <c r="V5815" t="e">
        <f>VLOOKUP(H5815,'[1]팀별 출판사'!A:B,2,0)</f>
        <v>#N/A</v>
      </c>
      <c r="W5815" s="6">
        <f t="shared" si="180"/>
        <v>0</v>
      </c>
      <c r="X5815" s="6">
        <f t="shared" si="181"/>
        <v>0</v>
      </c>
    </row>
    <row r="5816" spans="22:24" x14ac:dyDescent="0.3">
      <c r="V5816" t="e">
        <f>VLOOKUP(H5816,'[1]팀별 출판사'!A:B,2,0)</f>
        <v>#N/A</v>
      </c>
      <c r="W5816" s="6">
        <f t="shared" si="180"/>
        <v>0</v>
      </c>
      <c r="X5816" s="6">
        <f t="shared" si="181"/>
        <v>0</v>
      </c>
    </row>
    <row r="5817" spans="22:24" x14ac:dyDescent="0.3">
      <c r="V5817" t="e">
        <f>VLOOKUP(H5817,'[1]팀별 출판사'!A:B,2,0)</f>
        <v>#N/A</v>
      </c>
      <c r="W5817" s="6">
        <f t="shared" si="180"/>
        <v>0</v>
      </c>
      <c r="X5817" s="6">
        <f t="shared" si="181"/>
        <v>0</v>
      </c>
    </row>
    <row r="5818" spans="22:24" x14ac:dyDescent="0.3">
      <c r="V5818" t="e">
        <f>VLOOKUP(H5818,'[1]팀별 출판사'!A:B,2,0)</f>
        <v>#N/A</v>
      </c>
      <c r="W5818" s="6">
        <f t="shared" si="180"/>
        <v>0</v>
      </c>
      <c r="X5818" s="6">
        <f t="shared" si="181"/>
        <v>0</v>
      </c>
    </row>
    <row r="5819" spans="22:24" x14ac:dyDescent="0.3">
      <c r="V5819" t="e">
        <f>VLOOKUP(H5819,'[1]팀별 출판사'!A:B,2,0)</f>
        <v>#N/A</v>
      </c>
      <c r="W5819" s="6">
        <f t="shared" si="180"/>
        <v>0</v>
      </c>
      <c r="X5819" s="6">
        <f t="shared" si="181"/>
        <v>0</v>
      </c>
    </row>
    <row r="5820" spans="22:24" x14ac:dyDescent="0.3">
      <c r="V5820" t="e">
        <f>VLOOKUP(H5820,'[1]팀별 출판사'!A:B,2,0)</f>
        <v>#N/A</v>
      </c>
      <c r="W5820" s="6">
        <f t="shared" si="180"/>
        <v>0</v>
      </c>
      <c r="X5820" s="6">
        <f t="shared" si="181"/>
        <v>0</v>
      </c>
    </row>
    <row r="5821" spans="22:24" x14ac:dyDescent="0.3">
      <c r="V5821" t="e">
        <f>VLOOKUP(H5821,'[1]팀별 출판사'!A:B,2,0)</f>
        <v>#N/A</v>
      </c>
      <c r="W5821" s="6">
        <f t="shared" si="180"/>
        <v>0</v>
      </c>
      <c r="X5821" s="6">
        <f t="shared" si="181"/>
        <v>0</v>
      </c>
    </row>
    <row r="5822" spans="22:24" x14ac:dyDescent="0.3">
      <c r="V5822" t="e">
        <f>VLOOKUP(H5822,'[1]팀별 출판사'!A:B,2,0)</f>
        <v>#N/A</v>
      </c>
      <c r="W5822" s="6">
        <f t="shared" si="180"/>
        <v>0</v>
      </c>
      <c r="X5822" s="6">
        <f t="shared" si="181"/>
        <v>0</v>
      </c>
    </row>
    <row r="5823" spans="22:24" x14ac:dyDescent="0.3">
      <c r="V5823" t="e">
        <f>VLOOKUP(H5823,'[1]팀별 출판사'!A:B,2,0)</f>
        <v>#N/A</v>
      </c>
      <c r="W5823" s="6">
        <f t="shared" si="180"/>
        <v>0</v>
      </c>
      <c r="X5823" s="6">
        <f t="shared" si="181"/>
        <v>0</v>
      </c>
    </row>
    <row r="5824" spans="22:24" x14ac:dyDescent="0.3">
      <c r="V5824" t="e">
        <f>VLOOKUP(H5824,'[1]팀별 출판사'!A:B,2,0)</f>
        <v>#N/A</v>
      </c>
      <c r="W5824" s="6">
        <f t="shared" si="180"/>
        <v>0</v>
      </c>
      <c r="X5824" s="6">
        <f t="shared" si="181"/>
        <v>0</v>
      </c>
    </row>
    <row r="5825" spans="22:24" x14ac:dyDescent="0.3">
      <c r="V5825" t="e">
        <f>VLOOKUP(H5825,'[1]팀별 출판사'!A:B,2,0)</f>
        <v>#N/A</v>
      </c>
      <c r="W5825" s="6">
        <f t="shared" si="180"/>
        <v>0</v>
      </c>
      <c r="X5825" s="6">
        <f t="shared" si="181"/>
        <v>0</v>
      </c>
    </row>
    <row r="5826" spans="22:24" x14ac:dyDescent="0.3">
      <c r="V5826" t="e">
        <f>VLOOKUP(H5826,'[1]팀별 출판사'!A:B,2,0)</f>
        <v>#N/A</v>
      </c>
      <c r="W5826" s="6">
        <f t="shared" ref="W5826:W5889" si="182">IF(P5826="US", T5826*30%, 0)</f>
        <v>0</v>
      </c>
      <c r="X5826" s="6">
        <f t="shared" ref="X5826:X5889" si="183">T5826-W5826</f>
        <v>0</v>
      </c>
    </row>
    <row r="5827" spans="22:24" x14ac:dyDescent="0.3">
      <c r="V5827" t="e">
        <f>VLOOKUP(H5827,'[1]팀별 출판사'!A:B,2,0)</f>
        <v>#N/A</v>
      </c>
      <c r="W5827" s="6">
        <f t="shared" si="182"/>
        <v>0</v>
      </c>
      <c r="X5827" s="6">
        <f t="shared" si="183"/>
        <v>0</v>
      </c>
    </row>
    <row r="5828" spans="22:24" x14ac:dyDescent="0.3">
      <c r="V5828" t="e">
        <f>VLOOKUP(H5828,'[1]팀별 출판사'!A:B,2,0)</f>
        <v>#N/A</v>
      </c>
      <c r="W5828" s="6">
        <f t="shared" si="182"/>
        <v>0</v>
      </c>
      <c r="X5828" s="6">
        <f t="shared" si="183"/>
        <v>0</v>
      </c>
    </row>
    <row r="5829" spans="22:24" x14ac:dyDescent="0.3">
      <c r="V5829" t="e">
        <f>VLOOKUP(H5829,'[1]팀별 출판사'!A:B,2,0)</f>
        <v>#N/A</v>
      </c>
      <c r="W5829" s="6">
        <f t="shared" si="182"/>
        <v>0</v>
      </c>
      <c r="X5829" s="6">
        <f t="shared" si="183"/>
        <v>0</v>
      </c>
    </row>
    <row r="5830" spans="22:24" x14ac:dyDescent="0.3">
      <c r="V5830" t="e">
        <f>VLOOKUP(H5830,'[1]팀별 출판사'!A:B,2,0)</f>
        <v>#N/A</v>
      </c>
      <c r="W5830" s="6">
        <f t="shared" si="182"/>
        <v>0</v>
      </c>
      <c r="X5830" s="6">
        <f t="shared" si="183"/>
        <v>0</v>
      </c>
    </row>
    <row r="5831" spans="22:24" x14ac:dyDescent="0.3">
      <c r="V5831" t="e">
        <f>VLOOKUP(H5831,'[1]팀별 출판사'!A:B,2,0)</f>
        <v>#N/A</v>
      </c>
      <c r="W5831" s="6">
        <f t="shared" si="182"/>
        <v>0</v>
      </c>
      <c r="X5831" s="6">
        <f t="shared" si="183"/>
        <v>0</v>
      </c>
    </row>
    <row r="5832" spans="22:24" x14ac:dyDescent="0.3">
      <c r="V5832" t="e">
        <f>VLOOKUP(H5832,'[1]팀별 출판사'!A:B,2,0)</f>
        <v>#N/A</v>
      </c>
      <c r="W5832" s="6">
        <f t="shared" si="182"/>
        <v>0</v>
      </c>
      <c r="X5832" s="6">
        <f t="shared" si="183"/>
        <v>0</v>
      </c>
    </row>
    <row r="5833" spans="22:24" x14ac:dyDescent="0.3">
      <c r="V5833" t="e">
        <f>VLOOKUP(H5833,'[1]팀별 출판사'!A:B,2,0)</f>
        <v>#N/A</v>
      </c>
      <c r="W5833" s="6">
        <f t="shared" si="182"/>
        <v>0</v>
      </c>
      <c r="X5833" s="6">
        <f t="shared" si="183"/>
        <v>0</v>
      </c>
    </row>
    <row r="5834" spans="22:24" x14ac:dyDescent="0.3">
      <c r="V5834" t="e">
        <f>VLOOKUP(H5834,'[1]팀별 출판사'!A:B,2,0)</f>
        <v>#N/A</v>
      </c>
      <c r="W5834" s="6">
        <f t="shared" si="182"/>
        <v>0</v>
      </c>
      <c r="X5834" s="6">
        <f t="shared" si="183"/>
        <v>0</v>
      </c>
    </row>
    <row r="5835" spans="22:24" x14ac:dyDescent="0.3">
      <c r="V5835" t="e">
        <f>VLOOKUP(H5835,'[1]팀별 출판사'!A:B,2,0)</f>
        <v>#N/A</v>
      </c>
      <c r="W5835" s="6">
        <f t="shared" si="182"/>
        <v>0</v>
      </c>
      <c r="X5835" s="6">
        <f t="shared" si="183"/>
        <v>0</v>
      </c>
    </row>
    <row r="5836" spans="22:24" x14ac:dyDescent="0.3">
      <c r="V5836" t="e">
        <f>VLOOKUP(H5836,'[1]팀별 출판사'!A:B,2,0)</f>
        <v>#N/A</v>
      </c>
      <c r="W5836" s="6">
        <f t="shared" si="182"/>
        <v>0</v>
      </c>
      <c r="X5836" s="6">
        <f t="shared" si="183"/>
        <v>0</v>
      </c>
    </row>
    <row r="5837" spans="22:24" x14ac:dyDescent="0.3">
      <c r="V5837" t="e">
        <f>VLOOKUP(H5837,'[1]팀별 출판사'!A:B,2,0)</f>
        <v>#N/A</v>
      </c>
      <c r="W5837" s="6">
        <f t="shared" si="182"/>
        <v>0</v>
      </c>
      <c r="X5837" s="6">
        <f t="shared" si="183"/>
        <v>0</v>
      </c>
    </row>
    <row r="5838" spans="22:24" x14ac:dyDescent="0.3">
      <c r="V5838" t="e">
        <f>VLOOKUP(H5838,'[1]팀별 출판사'!A:B,2,0)</f>
        <v>#N/A</v>
      </c>
      <c r="W5838" s="6">
        <f t="shared" si="182"/>
        <v>0</v>
      </c>
      <c r="X5838" s="6">
        <f t="shared" si="183"/>
        <v>0</v>
      </c>
    </row>
    <row r="5839" spans="22:24" x14ac:dyDescent="0.3">
      <c r="V5839" t="e">
        <f>VLOOKUP(H5839,'[1]팀별 출판사'!A:B,2,0)</f>
        <v>#N/A</v>
      </c>
      <c r="W5839" s="6">
        <f t="shared" si="182"/>
        <v>0</v>
      </c>
      <c r="X5839" s="6">
        <f t="shared" si="183"/>
        <v>0</v>
      </c>
    </row>
    <row r="5840" spans="22:24" x14ac:dyDescent="0.3">
      <c r="V5840" t="e">
        <f>VLOOKUP(H5840,'[1]팀별 출판사'!A:B,2,0)</f>
        <v>#N/A</v>
      </c>
      <c r="W5840" s="6">
        <f t="shared" si="182"/>
        <v>0</v>
      </c>
      <c r="X5840" s="6">
        <f t="shared" si="183"/>
        <v>0</v>
      </c>
    </row>
    <row r="5841" spans="22:24" x14ac:dyDescent="0.3">
      <c r="V5841" t="e">
        <f>VLOOKUP(H5841,'[1]팀별 출판사'!A:B,2,0)</f>
        <v>#N/A</v>
      </c>
      <c r="W5841" s="6">
        <f t="shared" si="182"/>
        <v>0</v>
      </c>
      <c r="X5841" s="6">
        <f t="shared" si="183"/>
        <v>0</v>
      </c>
    </row>
    <row r="5842" spans="22:24" x14ac:dyDescent="0.3">
      <c r="V5842" t="e">
        <f>VLOOKUP(H5842,'[1]팀별 출판사'!A:B,2,0)</f>
        <v>#N/A</v>
      </c>
      <c r="W5842" s="6">
        <f t="shared" si="182"/>
        <v>0</v>
      </c>
      <c r="X5842" s="6">
        <f t="shared" si="183"/>
        <v>0</v>
      </c>
    </row>
    <row r="5843" spans="22:24" x14ac:dyDescent="0.3">
      <c r="V5843" t="e">
        <f>VLOOKUP(H5843,'[1]팀별 출판사'!A:B,2,0)</f>
        <v>#N/A</v>
      </c>
      <c r="W5843" s="6">
        <f t="shared" si="182"/>
        <v>0</v>
      </c>
      <c r="X5843" s="6">
        <f t="shared" si="183"/>
        <v>0</v>
      </c>
    </row>
    <row r="5844" spans="22:24" x14ac:dyDescent="0.3">
      <c r="V5844" t="e">
        <f>VLOOKUP(H5844,'[1]팀별 출판사'!A:B,2,0)</f>
        <v>#N/A</v>
      </c>
      <c r="W5844" s="6">
        <f t="shared" si="182"/>
        <v>0</v>
      </c>
      <c r="X5844" s="6">
        <f t="shared" si="183"/>
        <v>0</v>
      </c>
    </row>
    <row r="5845" spans="22:24" x14ac:dyDescent="0.3">
      <c r="V5845" t="e">
        <f>VLOOKUP(H5845,'[1]팀별 출판사'!A:B,2,0)</f>
        <v>#N/A</v>
      </c>
      <c r="W5845" s="6">
        <f t="shared" si="182"/>
        <v>0</v>
      </c>
      <c r="X5845" s="6">
        <f t="shared" si="183"/>
        <v>0</v>
      </c>
    </row>
    <row r="5846" spans="22:24" x14ac:dyDescent="0.3">
      <c r="V5846" t="e">
        <f>VLOOKUP(H5846,'[1]팀별 출판사'!A:B,2,0)</f>
        <v>#N/A</v>
      </c>
      <c r="W5846" s="6">
        <f t="shared" si="182"/>
        <v>0</v>
      </c>
      <c r="X5846" s="6">
        <f t="shared" si="183"/>
        <v>0</v>
      </c>
    </row>
    <row r="5847" spans="22:24" x14ac:dyDescent="0.3">
      <c r="V5847" t="e">
        <f>VLOOKUP(H5847,'[1]팀별 출판사'!A:B,2,0)</f>
        <v>#N/A</v>
      </c>
      <c r="W5847" s="6">
        <f t="shared" si="182"/>
        <v>0</v>
      </c>
      <c r="X5847" s="6">
        <f t="shared" si="183"/>
        <v>0</v>
      </c>
    </row>
    <row r="5848" spans="22:24" x14ac:dyDescent="0.3">
      <c r="V5848" t="e">
        <f>VLOOKUP(H5848,'[1]팀별 출판사'!A:B,2,0)</f>
        <v>#N/A</v>
      </c>
      <c r="W5848" s="6">
        <f t="shared" si="182"/>
        <v>0</v>
      </c>
      <c r="X5848" s="6">
        <f t="shared" si="183"/>
        <v>0</v>
      </c>
    </row>
    <row r="5849" spans="22:24" x14ac:dyDescent="0.3">
      <c r="V5849" t="e">
        <f>VLOOKUP(H5849,'[1]팀별 출판사'!A:B,2,0)</f>
        <v>#N/A</v>
      </c>
      <c r="W5849" s="6">
        <f t="shared" si="182"/>
        <v>0</v>
      </c>
      <c r="X5849" s="6">
        <f t="shared" si="183"/>
        <v>0</v>
      </c>
    </row>
    <row r="5850" spans="22:24" x14ac:dyDescent="0.3">
      <c r="V5850" t="e">
        <f>VLOOKUP(H5850,'[1]팀별 출판사'!A:B,2,0)</f>
        <v>#N/A</v>
      </c>
      <c r="W5850" s="6">
        <f t="shared" si="182"/>
        <v>0</v>
      </c>
      <c r="X5850" s="6">
        <f t="shared" si="183"/>
        <v>0</v>
      </c>
    </row>
    <row r="5851" spans="22:24" x14ac:dyDescent="0.3">
      <c r="V5851" t="e">
        <f>VLOOKUP(H5851,'[1]팀별 출판사'!A:B,2,0)</f>
        <v>#N/A</v>
      </c>
      <c r="W5851" s="6">
        <f t="shared" si="182"/>
        <v>0</v>
      </c>
      <c r="X5851" s="6">
        <f t="shared" si="183"/>
        <v>0</v>
      </c>
    </row>
    <row r="5852" spans="22:24" x14ac:dyDescent="0.3">
      <c r="V5852" t="e">
        <f>VLOOKUP(H5852,'[1]팀별 출판사'!A:B,2,0)</f>
        <v>#N/A</v>
      </c>
      <c r="W5852" s="6">
        <f t="shared" si="182"/>
        <v>0</v>
      </c>
      <c r="X5852" s="6">
        <f t="shared" si="183"/>
        <v>0</v>
      </c>
    </row>
    <row r="5853" spans="22:24" x14ac:dyDescent="0.3">
      <c r="V5853" t="e">
        <f>VLOOKUP(H5853,'[1]팀별 출판사'!A:B,2,0)</f>
        <v>#N/A</v>
      </c>
      <c r="W5853" s="6">
        <f t="shared" si="182"/>
        <v>0</v>
      </c>
      <c r="X5853" s="6">
        <f t="shared" si="183"/>
        <v>0</v>
      </c>
    </row>
    <row r="5854" spans="22:24" x14ac:dyDescent="0.3">
      <c r="V5854" t="e">
        <f>VLOOKUP(H5854,'[1]팀별 출판사'!A:B,2,0)</f>
        <v>#N/A</v>
      </c>
      <c r="W5854" s="6">
        <f t="shared" si="182"/>
        <v>0</v>
      </c>
      <c r="X5854" s="6">
        <f t="shared" si="183"/>
        <v>0</v>
      </c>
    </row>
    <row r="5855" spans="22:24" x14ac:dyDescent="0.3">
      <c r="V5855" t="e">
        <f>VLOOKUP(H5855,'[1]팀별 출판사'!A:B,2,0)</f>
        <v>#N/A</v>
      </c>
      <c r="W5855" s="6">
        <f t="shared" si="182"/>
        <v>0</v>
      </c>
      <c r="X5855" s="6">
        <f t="shared" si="183"/>
        <v>0</v>
      </c>
    </row>
    <row r="5856" spans="22:24" x14ac:dyDescent="0.3">
      <c r="V5856" t="e">
        <f>VLOOKUP(H5856,'[1]팀별 출판사'!A:B,2,0)</f>
        <v>#N/A</v>
      </c>
      <c r="W5856" s="6">
        <f t="shared" si="182"/>
        <v>0</v>
      </c>
      <c r="X5856" s="6">
        <f t="shared" si="183"/>
        <v>0</v>
      </c>
    </row>
    <row r="5857" spans="22:24" x14ac:dyDescent="0.3">
      <c r="V5857" t="e">
        <f>VLOOKUP(H5857,'[1]팀별 출판사'!A:B,2,0)</f>
        <v>#N/A</v>
      </c>
      <c r="W5857" s="6">
        <f t="shared" si="182"/>
        <v>0</v>
      </c>
      <c r="X5857" s="6">
        <f t="shared" si="183"/>
        <v>0</v>
      </c>
    </row>
    <row r="5858" spans="22:24" x14ac:dyDescent="0.3">
      <c r="V5858" t="e">
        <f>VLOOKUP(H5858,'[1]팀별 출판사'!A:B,2,0)</f>
        <v>#N/A</v>
      </c>
      <c r="W5858" s="6">
        <f t="shared" si="182"/>
        <v>0</v>
      </c>
      <c r="X5858" s="6">
        <f t="shared" si="183"/>
        <v>0</v>
      </c>
    </row>
    <row r="5859" spans="22:24" x14ac:dyDescent="0.3">
      <c r="V5859" t="e">
        <f>VLOOKUP(H5859,'[1]팀별 출판사'!A:B,2,0)</f>
        <v>#N/A</v>
      </c>
      <c r="W5859" s="6">
        <f t="shared" si="182"/>
        <v>0</v>
      </c>
      <c r="X5859" s="6">
        <f t="shared" si="183"/>
        <v>0</v>
      </c>
    </row>
    <row r="5860" spans="22:24" x14ac:dyDescent="0.3">
      <c r="V5860" t="e">
        <f>VLOOKUP(H5860,'[1]팀별 출판사'!A:B,2,0)</f>
        <v>#N/A</v>
      </c>
      <c r="W5860" s="6">
        <f t="shared" si="182"/>
        <v>0</v>
      </c>
      <c r="X5860" s="6">
        <f t="shared" si="183"/>
        <v>0</v>
      </c>
    </row>
    <row r="5861" spans="22:24" x14ac:dyDescent="0.3">
      <c r="V5861" t="e">
        <f>VLOOKUP(H5861,'[1]팀별 출판사'!A:B,2,0)</f>
        <v>#N/A</v>
      </c>
      <c r="W5861" s="6">
        <f t="shared" si="182"/>
        <v>0</v>
      </c>
      <c r="X5861" s="6">
        <f t="shared" si="183"/>
        <v>0</v>
      </c>
    </row>
    <row r="5862" spans="22:24" x14ac:dyDescent="0.3">
      <c r="V5862" t="e">
        <f>VLOOKUP(H5862,'[1]팀별 출판사'!A:B,2,0)</f>
        <v>#N/A</v>
      </c>
      <c r="W5862" s="6">
        <f t="shared" si="182"/>
        <v>0</v>
      </c>
      <c r="X5862" s="6">
        <f t="shared" si="183"/>
        <v>0</v>
      </c>
    </row>
    <row r="5863" spans="22:24" x14ac:dyDescent="0.3">
      <c r="V5863" t="e">
        <f>VLOOKUP(H5863,'[1]팀별 출판사'!A:B,2,0)</f>
        <v>#N/A</v>
      </c>
      <c r="W5863" s="6">
        <f t="shared" si="182"/>
        <v>0</v>
      </c>
      <c r="X5863" s="6">
        <f t="shared" si="183"/>
        <v>0</v>
      </c>
    </row>
    <row r="5864" spans="22:24" x14ac:dyDescent="0.3">
      <c r="V5864" t="e">
        <f>VLOOKUP(H5864,'[1]팀별 출판사'!A:B,2,0)</f>
        <v>#N/A</v>
      </c>
      <c r="W5864" s="6">
        <f t="shared" si="182"/>
        <v>0</v>
      </c>
      <c r="X5864" s="6">
        <f t="shared" si="183"/>
        <v>0</v>
      </c>
    </row>
    <row r="5865" spans="22:24" x14ac:dyDescent="0.3">
      <c r="V5865" t="e">
        <f>VLOOKUP(H5865,'[1]팀별 출판사'!A:B,2,0)</f>
        <v>#N/A</v>
      </c>
      <c r="W5865" s="6">
        <f t="shared" si="182"/>
        <v>0</v>
      </c>
      <c r="X5865" s="6">
        <f t="shared" si="183"/>
        <v>0</v>
      </c>
    </row>
    <row r="5866" spans="22:24" x14ac:dyDescent="0.3">
      <c r="V5866" t="e">
        <f>VLOOKUP(H5866,'[1]팀별 출판사'!A:B,2,0)</f>
        <v>#N/A</v>
      </c>
      <c r="W5866" s="6">
        <f t="shared" si="182"/>
        <v>0</v>
      </c>
      <c r="X5866" s="6">
        <f t="shared" si="183"/>
        <v>0</v>
      </c>
    </row>
    <row r="5867" spans="22:24" x14ac:dyDescent="0.3">
      <c r="V5867" t="e">
        <f>VLOOKUP(H5867,'[1]팀별 출판사'!A:B,2,0)</f>
        <v>#N/A</v>
      </c>
      <c r="W5867" s="6">
        <f t="shared" si="182"/>
        <v>0</v>
      </c>
      <c r="X5867" s="6">
        <f t="shared" si="183"/>
        <v>0</v>
      </c>
    </row>
    <row r="5868" spans="22:24" x14ac:dyDescent="0.3">
      <c r="V5868" t="e">
        <f>VLOOKUP(H5868,'[1]팀별 출판사'!A:B,2,0)</f>
        <v>#N/A</v>
      </c>
      <c r="W5868" s="6">
        <f t="shared" si="182"/>
        <v>0</v>
      </c>
      <c r="X5868" s="6">
        <f t="shared" si="183"/>
        <v>0</v>
      </c>
    </row>
    <row r="5869" spans="22:24" x14ac:dyDescent="0.3">
      <c r="V5869" t="e">
        <f>VLOOKUP(H5869,'[1]팀별 출판사'!A:B,2,0)</f>
        <v>#N/A</v>
      </c>
      <c r="W5869" s="6">
        <f t="shared" si="182"/>
        <v>0</v>
      </c>
      <c r="X5869" s="6">
        <f t="shared" si="183"/>
        <v>0</v>
      </c>
    </row>
    <row r="5870" spans="22:24" x14ac:dyDescent="0.3">
      <c r="V5870" t="e">
        <f>VLOOKUP(H5870,'[1]팀별 출판사'!A:B,2,0)</f>
        <v>#N/A</v>
      </c>
      <c r="W5870" s="6">
        <f t="shared" si="182"/>
        <v>0</v>
      </c>
      <c r="X5870" s="6">
        <f t="shared" si="183"/>
        <v>0</v>
      </c>
    </row>
    <row r="5871" spans="22:24" x14ac:dyDescent="0.3">
      <c r="V5871" t="e">
        <f>VLOOKUP(H5871,'[1]팀별 출판사'!A:B,2,0)</f>
        <v>#N/A</v>
      </c>
      <c r="W5871" s="6">
        <f t="shared" si="182"/>
        <v>0</v>
      </c>
      <c r="X5871" s="6">
        <f t="shared" si="183"/>
        <v>0</v>
      </c>
    </row>
    <row r="5872" spans="22:24" x14ac:dyDescent="0.3">
      <c r="V5872" t="e">
        <f>VLOOKUP(H5872,'[1]팀별 출판사'!A:B,2,0)</f>
        <v>#N/A</v>
      </c>
      <c r="W5872" s="6">
        <f t="shared" si="182"/>
        <v>0</v>
      </c>
      <c r="X5872" s="6">
        <f t="shared" si="183"/>
        <v>0</v>
      </c>
    </row>
    <row r="5873" spans="22:24" x14ac:dyDescent="0.3">
      <c r="V5873" t="e">
        <f>VLOOKUP(H5873,'[1]팀별 출판사'!A:B,2,0)</f>
        <v>#N/A</v>
      </c>
      <c r="W5873" s="6">
        <f t="shared" si="182"/>
        <v>0</v>
      </c>
      <c r="X5873" s="6">
        <f t="shared" si="183"/>
        <v>0</v>
      </c>
    </row>
    <row r="5874" spans="22:24" x14ac:dyDescent="0.3">
      <c r="V5874" t="e">
        <f>VLOOKUP(H5874,'[1]팀별 출판사'!A:B,2,0)</f>
        <v>#N/A</v>
      </c>
      <c r="W5874" s="6">
        <f t="shared" si="182"/>
        <v>0</v>
      </c>
      <c r="X5874" s="6">
        <f t="shared" si="183"/>
        <v>0</v>
      </c>
    </row>
    <row r="5875" spans="22:24" x14ac:dyDescent="0.3">
      <c r="V5875" t="e">
        <f>VLOOKUP(H5875,'[1]팀별 출판사'!A:B,2,0)</f>
        <v>#N/A</v>
      </c>
      <c r="W5875" s="6">
        <f t="shared" si="182"/>
        <v>0</v>
      </c>
      <c r="X5875" s="6">
        <f t="shared" si="183"/>
        <v>0</v>
      </c>
    </row>
    <row r="5876" spans="22:24" x14ac:dyDescent="0.3">
      <c r="V5876" t="e">
        <f>VLOOKUP(H5876,'[1]팀별 출판사'!A:B,2,0)</f>
        <v>#N/A</v>
      </c>
      <c r="W5876" s="6">
        <f t="shared" si="182"/>
        <v>0</v>
      </c>
      <c r="X5876" s="6">
        <f t="shared" si="183"/>
        <v>0</v>
      </c>
    </row>
    <row r="5877" spans="22:24" x14ac:dyDescent="0.3">
      <c r="V5877" t="e">
        <f>VLOOKUP(H5877,'[1]팀별 출판사'!A:B,2,0)</f>
        <v>#N/A</v>
      </c>
      <c r="W5877" s="6">
        <f t="shared" si="182"/>
        <v>0</v>
      </c>
      <c r="X5877" s="6">
        <f t="shared" si="183"/>
        <v>0</v>
      </c>
    </row>
    <row r="5878" spans="22:24" x14ac:dyDescent="0.3">
      <c r="V5878" t="e">
        <f>VLOOKUP(H5878,'[1]팀별 출판사'!A:B,2,0)</f>
        <v>#N/A</v>
      </c>
      <c r="W5878" s="6">
        <f t="shared" si="182"/>
        <v>0</v>
      </c>
      <c r="X5878" s="6">
        <f t="shared" si="183"/>
        <v>0</v>
      </c>
    </row>
    <row r="5879" spans="22:24" x14ac:dyDescent="0.3">
      <c r="V5879" t="e">
        <f>VLOOKUP(H5879,'[1]팀별 출판사'!A:B,2,0)</f>
        <v>#N/A</v>
      </c>
      <c r="W5879" s="6">
        <f t="shared" si="182"/>
        <v>0</v>
      </c>
      <c r="X5879" s="6">
        <f t="shared" si="183"/>
        <v>0</v>
      </c>
    </row>
    <row r="5880" spans="22:24" x14ac:dyDescent="0.3">
      <c r="V5880" t="e">
        <f>VLOOKUP(H5880,'[1]팀별 출판사'!A:B,2,0)</f>
        <v>#N/A</v>
      </c>
      <c r="W5880" s="6">
        <f t="shared" si="182"/>
        <v>0</v>
      </c>
      <c r="X5880" s="6">
        <f t="shared" si="183"/>
        <v>0</v>
      </c>
    </row>
    <row r="5881" spans="22:24" x14ac:dyDescent="0.3">
      <c r="V5881" t="e">
        <f>VLOOKUP(H5881,'[1]팀별 출판사'!A:B,2,0)</f>
        <v>#N/A</v>
      </c>
      <c r="W5881" s="6">
        <f t="shared" si="182"/>
        <v>0</v>
      </c>
      <c r="X5881" s="6">
        <f t="shared" si="183"/>
        <v>0</v>
      </c>
    </row>
    <row r="5882" spans="22:24" x14ac:dyDescent="0.3">
      <c r="V5882" t="e">
        <f>VLOOKUP(H5882,'[1]팀별 출판사'!A:B,2,0)</f>
        <v>#N/A</v>
      </c>
      <c r="W5882" s="6">
        <f t="shared" si="182"/>
        <v>0</v>
      </c>
      <c r="X5882" s="6">
        <f t="shared" si="183"/>
        <v>0</v>
      </c>
    </row>
    <row r="5883" spans="22:24" x14ac:dyDescent="0.3">
      <c r="V5883" t="e">
        <f>VLOOKUP(H5883,'[1]팀별 출판사'!A:B,2,0)</f>
        <v>#N/A</v>
      </c>
      <c r="W5883" s="6">
        <f t="shared" si="182"/>
        <v>0</v>
      </c>
      <c r="X5883" s="6">
        <f t="shared" si="183"/>
        <v>0</v>
      </c>
    </row>
    <row r="5884" spans="22:24" x14ac:dyDescent="0.3">
      <c r="V5884" t="e">
        <f>VLOOKUP(H5884,'[1]팀별 출판사'!A:B,2,0)</f>
        <v>#N/A</v>
      </c>
      <c r="W5884" s="6">
        <f t="shared" si="182"/>
        <v>0</v>
      </c>
      <c r="X5884" s="6">
        <f t="shared" si="183"/>
        <v>0</v>
      </c>
    </row>
    <row r="5885" spans="22:24" x14ac:dyDescent="0.3">
      <c r="V5885" t="e">
        <f>VLOOKUP(H5885,'[1]팀별 출판사'!A:B,2,0)</f>
        <v>#N/A</v>
      </c>
      <c r="W5885" s="6">
        <f t="shared" si="182"/>
        <v>0</v>
      </c>
      <c r="X5885" s="6">
        <f t="shared" si="183"/>
        <v>0</v>
      </c>
    </row>
    <row r="5886" spans="22:24" x14ac:dyDescent="0.3">
      <c r="V5886" t="e">
        <f>VLOOKUP(H5886,'[1]팀별 출판사'!A:B,2,0)</f>
        <v>#N/A</v>
      </c>
      <c r="W5886" s="6">
        <f t="shared" si="182"/>
        <v>0</v>
      </c>
      <c r="X5886" s="6">
        <f t="shared" si="183"/>
        <v>0</v>
      </c>
    </row>
    <row r="5887" spans="22:24" x14ac:dyDescent="0.3">
      <c r="V5887" t="e">
        <f>VLOOKUP(H5887,'[1]팀별 출판사'!A:B,2,0)</f>
        <v>#N/A</v>
      </c>
      <c r="W5887" s="6">
        <f t="shared" si="182"/>
        <v>0</v>
      </c>
      <c r="X5887" s="6">
        <f t="shared" si="183"/>
        <v>0</v>
      </c>
    </row>
    <row r="5888" spans="22:24" x14ac:dyDescent="0.3">
      <c r="V5888" t="e">
        <f>VLOOKUP(H5888,'[1]팀별 출판사'!A:B,2,0)</f>
        <v>#N/A</v>
      </c>
      <c r="W5888" s="6">
        <f t="shared" si="182"/>
        <v>0</v>
      </c>
      <c r="X5888" s="6">
        <f t="shared" si="183"/>
        <v>0</v>
      </c>
    </row>
    <row r="5889" spans="22:24" x14ac:dyDescent="0.3">
      <c r="V5889" t="e">
        <f>VLOOKUP(H5889,'[1]팀별 출판사'!A:B,2,0)</f>
        <v>#N/A</v>
      </c>
      <c r="W5889" s="6">
        <f t="shared" si="182"/>
        <v>0</v>
      </c>
      <c r="X5889" s="6">
        <f t="shared" si="183"/>
        <v>0</v>
      </c>
    </row>
    <row r="5890" spans="22:24" x14ac:dyDescent="0.3">
      <c r="V5890" t="e">
        <f>VLOOKUP(H5890,'[1]팀별 출판사'!A:B,2,0)</f>
        <v>#N/A</v>
      </c>
      <c r="W5890" s="6">
        <f t="shared" ref="W5890:W5953" si="184">IF(P5890="US", T5890*30%, 0)</f>
        <v>0</v>
      </c>
      <c r="X5890" s="6">
        <f t="shared" ref="X5890:X5953" si="185">T5890-W5890</f>
        <v>0</v>
      </c>
    </row>
    <row r="5891" spans="22:24" x14ac:dyDescent="0.3">
      <c r="V5891" t="e">
        <f>VLOOKUP(H5891,'[1]팀별 출판사'!A:B,2,0)</f>
        <v>#N/A</v>
      </c>
      <c r="W5891" s="6">
        <f t="shared" si="184"/>
        <v>0</v>
      </c>
      <c r="X5891" s="6">
        <f t="shared" si="185"/>
        <v>0</v>
      </c>
    </row>
    <row r="5892" spans="22:24" x14ac:dyDescent="0.3">
      <c r="V5892" t="e">
        <f>VLOOKUP(H5892,'[1]팀별 출판사'!A:B,2,0)</f>
        <v>#N/A</v>
      </c>
      <c r="W5892" s="6">
        <f t="shared" si="184"/>
        <v>0</v>
      </c>
      <c r="X5892" s="6">
        <f t="shared" si="185"/>
        <v>0</v>
      </c>
    </row>
    <row r="5893" spans="22:24" x14ac:dyDescent="0.3">
      <c r="V5893" t="e">
        <f>VLOOKUP(H5893,'[1]팀별 출판사'!A:B,2,0)</f>
        <v>#N/A</v>
      </c>
      <c r="W5893" s="6">
        <f t="shared" si="184"/>
        <v>0</v>
      </c>
      <c r="X5893" s="6">
        <f t="shared" si="185"/>
        <v>0</v>
      </c>
    </row>
    <row r="5894" spans="22:24" x14ac:dyDescent="0.3">
      <c r="V5894" t="e">
        <f>VLOOKUP(H5894,'[1]팀별 출판사'!A:B,2,0)</f>
        <v>#N/A</v>
      </c>
      <c r="W5894" s="6">
        <f t="shared" si="184"/>
        <v>0</v>
      </c>
      <c r="X5894" s="6">
        <f t="shared" si="185"/>
        <v>0</v>
      </c>
    </row>
    <row r="5895" spans="22:24" x14ac:dyDescent="0.3">
      <c r="V5895" t="e">
        <f>VLOOKUP(H5895,'[1]팀별 출판사'!A:B,2,0)</f>
        <v>#N/A</v>
      </c>
      <c r="W5895" s="6">
        <f t="shared" si="184"/>
        <v>0</v>
      </c>
      <c r="X5895" s="6">
        <f t="shared" si="185"/>
        <v>0</v>
      </c>
    </row>
    <row r="5896" spans="22:24" x14ac:dyDescent="0.3">
      <c r="V5896" t="e">
        <f>VLOOKUP(H5896,'[1]팀별 출판사'!A:B,2,0)</f>
        <v>#N/A</v>
      </c>
      <c r="W5896" s="6">
        <f t="shared" si="184"/>
        <v>0</v>
      </c>
      <c r="X5896" s="6">
        <f t="shared" si="185"/>
        <v>0</v>
      </c>
    </row>
    <row r="5897" spans="22:24" x14ac:dyDescent="0.3">
      <c r="V5897" t="e">
        <f>VLOOKUP(H5897,'[1]팀별 출판사'!A:B,2,0)</f>
        <v>#N/A</v>
      </c>
      <c r="W5897" s="6">
        <f t="shared" si="184"/>
        <v>0</v>
      </c>
      <c r="X5897" s="6">
        <f t="shared" si="185"/>
        <v>0</v>
      </c>
    </row>
    <row r="5898" spans="22:24" x14ac:dyDescent="0.3">
      <c r="V5898" t="e">
        <f>VLOOKUP(H5898,'[1]팀별 출판사'!A:B,2,0)</f>
        <v>#N/A</v>
      </c>
      <c r="W5898" s="6">
        <f t="shared" si="184"/>
        <v>0</v>
      </c>
      <c r="X5898" s="6">
        <f t="shared" si="185"/>
        <v>0</v>
      </c>
    </row>
    <row r="5899" spans="22:24" x14ac:dyDescent="0.3">
      <c r="V5899" t="e">
        <f>VLOOKUP(H5899,'[1]팀별 출판사'!A:B,2,0)</f>
        <v>#N/A</v>
      </c>
      <c r="W5899" s="6">
        <f t="shared" si="184"/>
        <v>0</v>
      </c>
      <c r="X5899" s="6">
        <f t="shared" si="185"/>
        <v>0</v>
      </c>
    </row>
    <row r="5900" spans="22:24" x14ac:dyDescent="0.3">
      <c r="V5900" t="e">
        <f>VLOOKUP(H5900,'[1]팀별 출판사'!A:B,2,0)</f>
        <v>#N/A</v>
      </c>
      <c r="W5900" s="6">
        <f t="shared" si="184"/>
        <v>0</v>
      </c>
      <c r="X5900" s="6">
        <f t="shared" si="185"/>
        <v>0</v>
      </c>
    </row>
    <row r="5901" spans="22:24" x14ac:dyDescent="0.3">
      <c r="V5901" t="e">
        <f>VLOOKUP(H5901,'[1]팀별 출판사'!A:B,2,0)</f>
        <v>#N/A</v>
      </c>
      <c r="W5901" s="6">
        <f t="shared" si="184"/>
        <v>0</v>
      </c>
      <c r="X5901" s="6">
        <f t="shared" si="185"/>
        <v>0</v>
      </c>
    </row>
    <row r="5902" spans="22:24" x14ac:dyDescent="0.3">
      <c r="V5902" t="e">
        <f>VLOOKUP(H5902,'[1]팀별 출판사'!A:B,2,0)</f>
        <v>#N/A</v>
      </c>
      <c r="W5902" s="6">
        <f t="shared" si="184"/>
        <v>0</v>
      </c>
      <c r="X5902" s="6">
        <f t="shared" si="185"/>
        <v>0</v>
      </c>
    </row>
    <row r="5903" spans="22:24" x14ac:dyDescent="0.3">
      <c r="V5903" t="e">
        <f>VLOOKUP(H5903,'[1]팀별 출판사'!A:B,2,0)</f>
        <v>#N/A</v>
      </c>
      <c r="W5903" s="6">
        <f t="shared" si="184"/>
        <v>0</v>
      </c>
      <c r="X5903" s="6">
        <f t="shared" si="185"/>
        <v>0</v>
      </c>
    </row>
    <row r="5904" spans="22:24" x14ac:dyDescent="0.3">
      <c r="V5904" t="e">
        <f>VLOOKUP(H5904,'[1]팀별 출판사'!A:B,2,0)</f>
        <v>#N/A</v>
      </c>
      <c r="W5904" s="6">
        <f t="shared" si="184"/>
        <v>0</v>
      </c>
      <c r="X5904" s="6">
        <f t="shared" si="185"/>
        <v>0</v>
      </c>
    </row>
    <row r="5905" spans="22:24" x14ac:dyDescent="0.3">
      <c r="V5905" t="e">
        <f>VLOOKUP(H5905,'[1]팀별 출판사'!A:B,2,0)</f>
        <v>#N/A</v>
      </c>
      <c r="W5905" s="6">
        <f t="shared" si="184"/>
        <v>0</v>
      </c>
      <c r="X5905" s="6">
        <f t="shared" si="185"/>
        <v>0</v>
      </c>
    </row>
    <row r="5906" spans="22:24" x14ac:dyDescent="0.3">
      <c r="V5906" t="e">
        <f>VLOOKUP(H5906,'[1]팀별 출판사'!A:B,2,0)</f>
        <v>#N/A</v>
      </c>
      <c r="W5906" s="6">
        <f t="shared" si="184"/>
        <v>0</v>
      </c>
      <c r="X5906" s="6">
        <f t="shared" si="185"/>
        <v>0</v>
      </c>
    </row>
    <row r="5907" spans="22:24" x14ac:dyDescent="0.3">
      <c r="V5907" t="e">
        <f>VLOOKUP(H5907,'[1]팀별 출판사'!A:B,2,0)</f>
        <v>#N/A</v>
      </c>
      <c r="W5907" s="6">
        <f t="shared" si="184"/>
        <v>0</v>
      </c>
      <c r="X5907" s="6">
        <f t="shared" si="185"/>
        <v>0</v>
      </c>
    </row>
    <row r="5908" spans="22:24" x14ac:dyDescent="0.3">
      <c r="V5908" t="e">
        <f>VLOOKUP(H5908,'[1]팀별 출판사'!A:B,2,0)</f>
        <v>#N/A</v>
      </c>
      <c r="W5908" s="6">
        <f t="shared" si="184"/>
        <v>0</v>
      </c>
      <c r="X5908" s="6">
        <f t="shared" si="185"/>
        <v>0</v>
      </c>
    </row>
    <row r="5909" spans="22:24" x14ac:dyDescent="0.3">
      <c r="V5909" t="e">
        <f>VLOOKUP(H5909,'[1]팀별 출판사'!A:B,2,0)</f>
        <v>#N/A</v>
      </c>
      <c r="W5909" s="6">
        <f t="shared" si="184"/>
        <v>0</v>
      </c>
      <c r="X5909" s="6">
        <f t="shared" si="185"/>
        <v>0</v>
      </c>
    </row>
    <row r="5910" spans="22:24" x14ac:dyDescent="0.3">
      <c r="V5910" t="e">
        <f>VLOOKUP(H5910,'[1]팀별 출판사'!A:B,2,0)</f>
        <v>#N/A</v>
      </c>
      <c r="W5910" s="6">
        <f t="shared" si="184"/>
        <v>0</v>
      </c>
      <c r="X5910" s="6">
        <f t="shared" si="185"/>
        <v>0</v>
      </c>
    </row>
    <row r="5911" spans="22:24" x14ac:dyDescent="0.3">
      <c r="V5911" t="e">
        <f>VLOOKUP(H5911,'[1]팀별 출판사'!A:B,2,0)</f>
        <v>#N/A</v>
      </c>
      <c r="W5911" s="6">
        <f t="shared" si="184"/>
        <v>0</v>
      </c>
      <c r="X5911" s="6">
        <f t="shared" si="185"/>
        <v>0</v>
      </c>
    </row>
    <row r="5912" spans="22:24" x14ac:dyDescent="0.3">
      <c r="V5912" t="e">
        <f>VLOOKUP(H5912,'[1]팀별 출판사'!A:B,2,0)</f>
        <v>#N/A</v>
      </c>
      <c r="W5912" s="6">
        <f t="shared" si="184"/>
        <v>0</v>
      </c>
      <c r="X5912" s="6">
        <f t="shared" si="185"/>
        <v>0</v>
      </c>
    </row>
    <row r="5913" spans="22:24" x14ac:dyDescent="0.3">
      <c r="V5913" t="e">
        <f>VLOOKUP(H5913,'[1]팀별 출판사'!A:B,2,0)</f>
        <v>#N/A</v>
      </c>
      <c r="W5913" s="6">
        <f t="shared" si="184"/>
        <v>0</v>
      </c>
      <c r="X5913" s="6">
        <f t="shared" si="185"/>
        <v>0</v>
      </c>
    </row>
    <row r="5914" spans="22:24" x14ac:dyDescent="0.3">
      <c r="V5914" t="e">
        <f>VLOOKUP(H5914,'[1]팀별 출판사'!A:B,2,0)</f>
        <v>#N/A</v>
      </c>
      <c r="W5914" s="6">
        <f t="shared" si="184"/>
        <v>0</v>
      </c>
      <c r="X5914" s="6">
        <f t="shared" si="185"/>
        <v>0</v>
      </c>
    </row>
    <row r="5915" spans="22:24" x14ac:dyDescent="0.3">
      <c r="V5915" t="e">
        <f>VLOOKUP(H5915,'[1]팀별 출판사'!A:B,2,0)</f>
        <v>#N/A</v>
      </c>
      <c r="W5915" s="6">
        <f t="shared" si="184"/>
        <v>0</v>
      </c>
      <c r="X5915" s="6">
        <f t="shared" si="185"/>
        <v>0</v>
      </c>
    </row>
    <row r="5916" spans="22:24" x14ac:dyDescent="0.3">
      <c r="V5916" t="e">
        <f>VLOOKUP(H5916,'[1]팀별 출판사'!A:B,2,0)</f>
        <v>#N/A</v>
      </c>
      <c r="W5916" s="6">
        <f t="shared" si="184"/>
        <v>0</v>
      </c>
      <c r="X5916" s="6">
        <f t="shared" si="185"/>
        <v>0</v>
      </c>
    </row>
    <row r="5917" spans="22:24" x14ac:dyDescent="0.3">
      <c r="V5917" t="e">
        <f>VLOOKUP(H5917,'[1]팀별 출판사'!A:B,2,0)</f>
        <v>#N/A</v>
      </c>
      <c r="W5917" s="6">
        <f t="shared" si="184"/>
        <v>0</v>
      </c>
      <c r="X5917" s="6">
        <f t="shared" si="185"/>
        <v>0</v>
      </c>
    </row>
    <row r="5918" spans="22:24" x14ac:dyDescent="0.3">
      <c r="V5918" t="e">
        <f>VLOOKUP(H5918,'[1]팀별 출판사'!A:B,2,0)</f>
        <v>#N/A</v>
      </c>
      <c r="W5918" s="6">
        <f t="shared" si="184"/>
        <v>0</v>
      </c>
      <c r="X5918" s="6">
        <f t="shared" si="185"/>
        <v>0</v>
      </c>
    </row>
    <row r="5919" spans="22:24" x14ac:dyDescent="0.3">
      <c r="V5919" t="e">
        <f>VLOOKUP(H5919,'[1]팀별 출판사'!A:B,2,0)</f>
        <v>#N/A</v>
      </c>
      <c r="W5919" s="6">
        <f t="shared" si="184"/>
        <v>0</v>
      </c>
      <c r="X5919" s="6">
        <f t="shared" si="185"/>
        <v>0</v>
      </c>
    </row>
    <row r="5920" spans="22:24" x14ac:dyDescent="0.3">
      <c r="V5920" t="e">
        <f>VLOOKUP(H5920,'[1]팀별 출판사'!A:B,2,0)</f>
        <v>#N/A</v>
      </c>
      <c r="W5920" s="6">
        <f t="shared" si="184"/>
        <v>0</v>
      </c>
      <c r="X5920" s="6">
        <f t="shared" si="185"/>
        <v>0</v>
      </c>
    </row>
    <row r="5921" spans="22:24" x14ac:dyDescent="0.3">
      <c r="V5921" t="e">
        <f>VLOOKUP(H5921,'[1]팀별 출판사'!A:B,2,0)</f>
        <v>#N/A</v>
      </c>
      <c r="W5921" s="6">
        <f t="shared" si="184"/>
        <v>0</v>
      </c>
      <c r="X5921" s="6">
        <f t="shared" si="185"/>
        <v>0</v>
      </c>
    </row>
    <row r="5922" spans="22:24" x14ac:dyDescent="0.3">
      <c r="V5922" t="e">
        <f>VLOOKUP(H5922,'[1]팀별 출판사'!A:B,2,0)</f>
        <v>#N/A</v>
      </c>
      <c r="W5922" s="6">
        <f t="shared" si="184"/>
        <v>0</v>
      </c>
      <c r="X5922" s="6">
        <f t="shared" si="185"/>
        <v>0</v>
      </c>
    </row>
    <row r="5923" spans="22:24" x14ac:dyDescent="0.3">
      <c r="V5923" t="e">
        <f>VLOOKUP(H5923,'[1]팀별 출판사'!A:B,2,0)</f>
        <v>#N/A</v>
      </c>
      <c r="W5923" s="6">
        <f t="shared" si="184"/>
        <v>0</v>
      </c>
      <c r="X5923" s="6">
        <f t="shared" si="185"/>
        <v>0</v>
      </c>
    </row>
    <row r="5924" spans="22:24" x14ac:dyDescent="0.3">
      <c r="V5924" t="e">
        <f>VLOOKUP(H5924,'[1]팀별 출판사'!A:B,2,0)</f>
        <v>#N/A</v>
      </c>
      <c r="W5924" s="6">
        <f t="shared" si="184"/>
        <v>0</v>
      </c>
      <c r="X5924" s="6">
        <f t="shared" si="185"/>
        <v>0</v>
      </c>
    </row>
    <row r="5925" spans="22:24" x14ac:dyDescent="0.3">
      <c r="V5925" t="e">
        <f>VLOOKUP(H5925,'[1]팀별 출판사'!A:B,2,0)</f>
        <v>#N/A</v>
      </c>
      <c r="W5925" s="6">
        <f t="shared" si="184"/>
        <v>0</v>
      </c>
      <c r="X5925" s="6">
        <f t="shared" si="185"/>
        <v>0</v>
      </c>
    </row>
    <row r="5926" spans="22:24" x14ac:dyDescent="0.3">
      <c r="V5926" t="e">
        <f>VLOOKUP(H5926,'[1]팀별 출판사'!A:B,2,0)</f>
        <v>#N/A</v>
      </c>
      <c r="W5926" s="6">
        <f t="shared" si="184"/>
        <v>0</v>
      </c>
      <c r="X5926" s="6">
        <f t="shared" si="185"/>
        <v>0</v>
      </c>
    </row>
    <row r="5927" spans="22:24" x14ac:dyDescent="0.3">
      <c r="V5927" t="e">
        <f>VLOOKUP(H5927,'[1]팀별 출판사'!A:B,2,0)</f>
        <v>#N/A</v>
      </c>
      <c r="W5927" s="6">
        <f t="shared" si="184"/>
        <v>0</v>
      </c>
      <c r="X5927" s="6">
        <f t="shared" si="185"/>
        <v>0</v>
      </c>
    </row>
    <row r="5928" spans="22:24" x14ac:dyDescent="0.3">
      <c r="V5928" t="e">
        <f>VLOOKUP(H5928,'[1]팀별 출판사'!A:B,2,0)</f>
        <v>#N/A</v>
      </c>
      <c r="W5928" s="6">
        <f t="shared" si="184"/>
        <v>0</v>
      </c>
      <c r="X5928" s="6">
        <f t="shared" si="185"/>
        <v>0</v>
      </c>
    </row>
    <row r="5929" spans="22:24" x14ac:dyDescent="0.3">
      <c r="V5929" t="e">
        <f>VLOOKUP(H5929,'[1]팀별 출판사'!A:B,2,0)</f>
        <v>#N/A</v>
      </c>
      <c r="W5929" s="6">
        <f t="shared" si="184"/>
        <v>0</v>
      </c>
      <c r="X5929" s="6">
        <f t="shared" si="185"/>
        <v>0</v>
      </c>
    </row>
    <row r="5930" spans="22:24" x14ac:dyDescent="0.3">
      <c r="V5930" t="e">
        <f>VLOOKUP(H5930,'[1]팀별 출판사'!A:B,2,0)</f>
        <v>#N/A</v>
      </c>
      <c r="W5930" s="6">
        <f t="shared" si="184"/>
        <v>0</v>
      </c>
      <c r="X5930" s="6">
        <f t="shared" si="185"/>
        <v>0</v>
      </c>
    </row>
    <row r="5931" spans="22:24" x14ac:dyDescent="0.3">
      <c r="V5931" t="e">
        <f>VLOOKUP(H5931,'[1]팀별 출판사'!A:B,2,0)</f>
        <v>#N/A</v>
      </c>
      <c r="W5931" s="6">
        <f t="shared" si="184"/>
        <v>0</v>
      </c>
      <c r="X5931" s="6">
        <f t="shared" si="185"/>
        <v>0</v>
      </c>
    </row>
    <row r="5932" spans="22:24" x14ac:dyDescent="0.3">
      <c r="V5932" t="e">
        <f>VLOOKUP(H5932,'[1]팀별 출판사'!A:B,2,0)</f>
        <v>#N/A</v>
      </c>
      <c r="W5932" s="6">
        <f t="shared" si="184"/>
        <v>0</v>
      </c>
      <c r="X5932" s="6">
        <f t="shared" si="185"/>
        <v>0</v>
      </c>
    </row>
    <row r="5933" spans="22:24" x14ac:dyDescent="0.3">
      <c r="V5933" t="e">
        <f>VLOOKUP(H5933,'[1]팀별 출판사'!A:B,2,0)</f>
        <v>#N/A</v>
      </c>
      <c r="W5933" s="6">
        <f t="shared" si="184"/>
        <v>0</v>
      </c>
      <c r="X5933" s="6">
        <f t="shared" si="185"/>
        <v>0</v>
      </c>
    </row>
    <row r="5934" spans="22:24" x14ac:dyDescent="0.3">
      <c r="V5934" t="e">
        <f>VLOOKUP(H5934,'[1]팀별 출판사'!A:B,2,0)</f>
        <v>#N/A</v>
      </c>
      <c r="W5934" s="6">
        <f t="shared" si="184"/>
        <v>0</v>
      </c>
      <c r="X5934" s="6">
        <f t="shared" si="185"/>
        <v>0</v>
      </c>
    </row>
    <row r="5935" spans="22:24" x14ac:dyDescent="0.3">
      <c r="V5935" t="e">
        <f>VLOOKUP(H5935,'[1]팀별 출판사'!A:B,2,0)</f>
        <v>#N/A</v>
      </c>
      <c r="W5935" s="6">
        <f t="shared" si="184"/>
        <v>0</v>
      </c>
      <c r="X5935" s="6">
        <f t="shared" si="185"/>
        <v>0</v>
      </c>
    </row>
    <row r="5936" spans="22:24" x14ac:dyDescent="0.3">
      <c r="V5936" t="e">
        <f>VLOOKUP(H5936,'[1]팀별 출판사'!A:B,2,0)</f>
        <v>#N/A</v>
      </c>
      <c r="W5936" s="6">
        <f t="shared" si="184"/>
        <v>0</v>
      </c>
      <c r="X5936" s="6">
        <f t="shared" si="185"/>
        <v>0</v>
      </c>
    </row>
    <row r="5937" spans="22:24" x14ac:dyDescent="0.3">
      <c r="V5937" t="e">
        <f>VLOOKUP(H5937,'[1]팀별 출판사'!A:B,2,0)</f>
        <v>#N/A</v>
      </c>
      <c r="W5937" s="6">
        <f t="shared" si="184"/>
        <v>0</v>
      </c>
      <c r="X5937" s="6">
        <f t="shared" si="185"/>
        <v>0</v>
      </c>
    </row>
    <row r="5938" spans="22:24" x14ac:dyDescent="0.3">
      <c r="V5938" t="e">
        <f>VLOOKUP(H5938,'[1]팀별 출판사'!A:B,2,0)</f>
        <v>#N/A</v>
      </c>
      <c r="W5938" s="6">
        <f t="shared" si="184"/>
        <v>0</v>
      </c>
      <c r="X5938" s="6">
        <f t="shared" si="185"/>
        <v>0</v>
      </c>
    </row>
    <row r="5939" spans="22:24" x14ac:dyDescent="0.3">
      <c r="V5939" t="e">
        <f>VLOOKUP(H5939,'[1]팀별 출판사'!A:B,2,0)</f>
        <v>#N/A</v>
      </c>
      <c r="W5939" s="6">
        <f t="shared" si="184"/>
        <v>0</v>
      </c>
      <c r="X5939" s="6">
        <f t="shared" si="185"/>
        <v>0</v>
      </c>
    </row>
    <row r="5940" spans="22:24" x14ac:dyDescent="0.3">
      <c r="V5940" t="e">
        <f>VLOOKUP(H5940,'[1]팀별 출판사'!A:B,2,0)</f>
        <v>#N/A</v>
      </c>
      <c r="W5940" s="6">
        <f t="shared" si="184"/>
        <v>0</v>
      </c>
      <c r="X5940" s="6">
        <f t="shared" si="185"/>
        <v>0</v>
      </c>
    </row>
    <row r="5941" spans="22:24" x14ac:dyDescent="0.3">
      <c r="V5941" t="e">
        <f>VLOOKUP(H5941,'[1]팀별 출판사'!A:B,2,0)</f>
        <v>#N/A</v>
      </c>
      <c r="W5941" s="6">
        <f t="shared" si="184"/>
        <v>0</v>
      </c>
      <c r="X5941" s="6">
        <f t="shared" si="185"/>
        <v>0</v>
      </c>
    </row>
    <row r="5942" spans="22:24" x14ac:dyDescent="0.3">
      <c r="V5942" t="e">
        <f>VLOOKUP(H5942,'[1]팀별 출판사'!A:B,2,0)</f>
        <v>#N/A</v>
      </c>
      <c r="W5942" s="6">
        <f t="shared" si="184"/>
        <v>0</v>
      </c>
      <c r="X5942" s="6">
        <f t="shared" si="185"/>
        <v>0</v>
      </c>
    </row>
    <row r="5943" spans="22:24" x14ac:dyDescent="0.3">
      <c r="V5943" t="e">
        <f>VLOOKUP(H5943,'[1]팀별 출판사'!A:B,2,0)</f>
        <v>#N/A</v>
      </c>
      <c r="W5943" s="6">
        <f t="shared" si="184"/>
        <v>0</v>
      </c>
      <c r="X5943" s="6">
        <f t="shared" si="185"/>
        <v>0</v>
      </c>
    </row>
    <row r="5944" spans="22:24" x14ac:dyDescent="0.3">
      <c r="V5944" t="e">
        <f>VLOOKUP(H5944,'[1]팀별 출판사'!A:B,2,0)</f>
        <v>#N/A</v>
      </c>
      <c r="W5944" s="6">
        <f t="shared" si="184"/>
        <v>0</v>
      </c>
      <c r="X5944" s="6">
        <f t="shared" si="185"/>
        <v>0</v>
      </c>
    </row>
    <row r="5945" spans="22:24" x14ac:dyDescent="0.3">
      <c r="V5945" t="e">
        <f>VLOOKUP(H5945,'[1]팀별 출판사'!A:B,2,0)</f>
        <v>#N/A</v>
      </c>
      <c r="W5945" s="6">
        <f t="shared" si="184"/>
        <v>0</v>
      </c>
      <c r="X5945" s="6">
        <f t="shared" si="185"/>
        <v>0</v>
      </c>
    </row>
    <row r="5946" spans="22:24" x14ac:dyDescent="0.3">
      <c r="V5946" t="e">
        <f>VLOOKUP(H5946,'[1]팀별 출판사'!A:B,2,0)</f>
        <v>#N/A</v>
      </c>
      <c r="W5946" s="6">
        <f t="shared" si="184"/>
        <v>0</v>
      </c>
      <c r="X5946" s="6">
        <f t="shared" si="185"/>
        <v>0</v>
      </c>
    </row>
    <row r="5947" spans="22:24" x14ac:dyDescent="0.3">
      <c r="V5947" t="e">
        <f>VLOOKUP(H5947,'[1]팀별 출판사'!A:B,2,0)</f>
        <v>#N/A</v>
      </c>
      <c r="W5947" s="6">
        <f t="shared" si="184"/>
        <v>0</v>
      </c>
      <c r="X5947" s="6">
        <f t="shared" si="185"/>
        <v>0</v>
      </c>
    </row>
    <row r="5948" spans="22:24" x14ac:dyDescent="0.3">
      <c r="V5948" t="e">
        <f>VLOOKUP(H5948,'[1]팀별 출판사'!A:B,2,0)</f>
        <v>#N/A</v>
      </c>
      <c r="W5948" s="6">
        <f t="shared" si="184"/>
        <v>0</v>
      </c>
      <c r="X5948" s="6">
        <f t="shared" si="185"/>
        <v>0</v>
      </c>
    </row>
    <row r="5949" spans="22:24" x14ac:dyDescent="0.3">
      <c r="V5949" t="e">
        <f>VLOOKUP(H5949,'[1]팀별 출판사'!A:B,2,0)</f>
        <v>#N/A</v>
      </c>
      <c r="W5949" s="6">
        <f t="shared" si="184"/>
        <v>0</v>
      </c>
      <c r="X5949" s="6">
        <f t="shared" si="185"/>
        <v>0</v>
      </c>
    </row>
    <row r="5950" spans="22:24" x14ac:dyDescent="0.3">
      <c r="V5950" t="e">
        <f>VLOOKUP(H5950,'[1]팀별 출판사'!A:B,2,0)</f>
        <v>#N/A</v>
      </c>
      <c r="W5950" s="6">
        <f t="shared" si="184"/>
        <v>0</v>
      </c>
      <c r="X5950" s="6">
        <f t="shared" si="185"/>
        <v>0</v>
      </c>
    </row>
    <row r="5951" spans="22:24" x14ac:dyDescent="0.3">
      <c r="V5951" t="e">
        <f>VLOOKUP(H5951,'[1]팀별 출판사'!A:B,2,0)</f>
        <v>#N/A</v>
      </c>
      <c r="W5951" s="6">
        <f t="shared" si="184"/>
        <v>0</v>
      </c>
      <c r="X5951" s="6">
        <f t="shared" si="185"/>
        <v>0</v>
      </c>
    </row>
    <row r="5952" spans="22:24" x14ac:dyDescent="0.3">
      <c r="V5952" t="e">
        <f>VLOOKUP(H5952,'[1]팀별 출판사'!A:B,2,0)</f>
        <v>#N/A</v>
      </c>
      <c r="W5952" s="6">
        <f t="shared" si="184"/>
        <v>0</v>
      </c>
      <c r="X5952" s="6">
        <f t="shared" si="185"/>
        <v>0</v>
      </c>
    </row>
    <row r="5953" spans="22:24" x14ac:dyDescent="0.3">
      <c r="V5953" t="e">
        <f>VLOOKUP(H5953,'[1]팀별 출판사'!A:B,2,0)</f>
        <v>#N/A</v>
      </c>
      <c r="W5953" s="6">
        <f t="shared" si="184"/>
        <v>0</v>
      </c>
      <c r="X5953" s="6">
        <f t="shared" si="185"/>
        <v>0</v>
      </c>
    </row>
    <row r="5954" spans="22:24" x14ac:dyDescent="0.3">
      <c r="V5954" t="e">
        <f>VLOOKUP(H5954,'[1]팀별 출판사'!A:B,2,0)</f>
        <v>#N/A</v>
      </c>
      <c r="W5954" s="6">
        <f t="shared" ref="W5954:W6017" si="186">IF(P5954="US", T5954*30%, 0)</f>
        <v>0</v>
      </c>
      <c r="X5954" s="6">
        <f t="shared" ref="X5954:X6017" si="187">T5954-W5954</f>
        <v>0</v>
      </c>
    </row>
    <row r="5955" spans="22:24" x14ac:dyDescent="0.3">
      <c r="V5955" t="e">
        <f>VLOOKUP(H5955,'[1]팀별 출판사'!A:B,2,0)</f>
        <v>#N/A</v>
      </c>
      <c r="W5955" s="6">
        <f t="shared" si="186"/>
        <v>0</v>
      </c>
      <c r="X5955" s="6">
        <f t="shared" si="187"/>
        <v>0</v>
      </c>
    </row>
    <row r="5956" spans="22:24" x14ac:dyDescent="0.3">
      <c r="V5956" t="e">
        <f>VLOOKUP(H5956,'[1]팀별 출판사'!A:B,2,0)</f>
        <v>#N/A</v>
      </c>
      <c r="W5956" s="6">
        <f t="shared" si="186"/>
        <v>0</v>
      </c>
      <c r="X5956" s="6">
        <f t="shared" si="187"/>
        <v>0</v>
      </c>
    </row>
    <row r="5957" spans="22:24" x14ac:dyDescent="0.3">
      <c r="V5957" t="e">
        <f>VLOOKUP(H5957,'[1]팀별 출판사'!A:B,2,0)</f>
        <v>#N/A</v>
      </c>
      <c r="W5957" s="6">
        <f t="shared" si="186"/>
        <v>0</v>
      </c>
      <c r="X5957" s="6">
        <f t="shared" si="187"/>
        <v>0</v>
      </c>
    </row>
    <row r="5958" spans="22:24" x14ac:dyDescent="0.3">
      <c r="V5958" t="e">
        <f>VLOOKUP(H5958,'[1]팀별 출판사'!A:B,2,0)</f>
        <v>#N/A</v>
      </c>
      <c r="W5958" s="6">
        <f t="shared" si="186"/>
        <v>0</v>
      </c>
      <c r="X5958" s="6">
        <f t="shared" si="187"/>
        <v>0</v>
      </c>
    </row>
    <row r="5959" spans="22:24" x14ac:dyDescent="0.3">
      <c r="V5959" t="e">
        <f>VLOOKUP(H5959,'[1]팀별 출판사'!A:B,2,0)</f>
        <v>#N/A</v>
      </c>
      <c r="W5959" s="6">
        <f t="shared" si="186"/>
        <v>0</v>
      </c>
      <c r="X5959" s="6">
        <f t="shared" si="187"/>
        <v>0</v>
      </c>
    </row>
    <row r="5960" spans="22:24" x14ac:dyDescent="0.3">
      <c r="V5960" t="e">
        <f>VLOOKUP(H5960,'[1]팀별 출판사'!A:B,2,0)</f>
        <v>#N/A</v>
      </c>
      <c r="W5960" s="6">
        <f t="shared" si="186"/>
        <v>0</v>
      </c>
      <c r="X5960" s="6">
        <f t="shared" si="187"/>
        <v>0</v>
      </c>
    </row>
    <row r="5961" spans="22:24" x14ac:dyDescent="0.3">
      <c r="V5961" t="e">
        <f>VLOOKUP(H5961,'[1]팀별 출판사'!A:B,2,0)</f>
        <v>#N/A</v>
      </c>
      <c r="W5961" s="6">
        <f t="shared" si="186"/>
        <v>0</v>
      </c>
      <c r="X5961" s="6">
        <f t="shared" si="187"/>
        <v>0</v>
      </c>
    </row>
    <row r="5962" spans="22:24" x14ac:dyDescent="0.3">
      <c r="V5962" t="e">
        <f>VLOOKUP(H5962,'[1]팀별 출판사'!A:B,2,0)</f>
        <v>#N/A</v>
      </c>
      <c r="W5962" s="6">
        <f t="shared" si="186"/>
        <v>0</v>
      </c>
      <c r="X5962" s="6">
        <f t="shared" si="187"/>
        <v>0</v>
      </c>
    </row>
    <row r="5963" spans="22:24" x14ac:dyDescent="0.3">
      <c r="V5963" t="e">
        <f>VLOOKUP(H5963,'[1]팀별 출판사'!A:B,2,0)</f>
        <v>#N/A</v>
      </c>
      <c r="W5963" s="6">
        <f t="shared" si="186"/>
        <v>0</v>
      </c>
      <c r="X5963" s="6">
        <f t="shared" si="187"/>
        <v>0</v>
      </c>
    </row>
    <row r="5964" spans="22:24" x14ac:dyDescent="0.3">
      <c r="V5964" t="e">
        <f>VLOOKUP(H5964,'[1]팀별 출판사'!A:B,2,0)</f>
        <v>#N/A</v>
      </c>
      <c r="W5964" s="6">
        <f t="shared" si="186"/>
        <v>0</v>
      </c>
      <c r="X5964" s="6">
        <f t="shared" si="187"/>
        <v>0</v>
      </c>
    </row>
    <row r="5965" spans="22:24" x14ac:dyDescent="0.3">
      <c r="V5965" t="e">
        <f>VLOOKUP(H5965,'[1]팀별 출판사'!A:B,2,0)</f>
        <v>#N/A</v>
      </c>
      <c r="W5965" s="6">
        <f t="shared" si="186"/>
        <v>0</v>
      </c>
      <c r="X5965" s="6">
        <f t="shared" si="187"/>
        <v>0</v>
      </c>
    </row>
    <row r="5966" spans="22:24" x14ac:dyDescent="0.3">
      <c r="V5966" t="e">
        <f>VLOOKUP(H5966,'[1]팀별 출판사'!A:B,2,0)</f>
        <v>#N/A</v>
      </c>
      <c r="W5966" s="6">
        <f t="shared" si="186"/>
        <v>0</v>
      </c>
      <c r="X5966" s="6">
        <f t="shared" si="187"/>
        <v>0</v>
      </c>
    </row>
    <row r="5967" spans="22:24" x14ac:dyDescent="0.3">
      <c r="V5967" t="e">
        <f>VLOOKUP(H5967,'[1]팀별 출판사'!A:B,2,0)</f>
        <v>#N/A</v>
      </c>
      <c r="W5967" s="6">
        <f t="shared" si="186"/>
        <v>0</v>
      </c>
      <c r="X5967" s="6">
        <f t="shared" si="187"/>
        <v>0</v>
      </c>
    </row>
    <row r="5968" spans="22:24" x14ac:dyDescent="0.3">
      <c r="V5968" t="e">
        <f>VLOOKUP(H5968,'[1]팀별 출판사'!A:B,2,0)</f>
        <v>#N/A</v>
      </c>
      <c r="W5968" s="6">
        <f t="shared" si="186"/>
        <v>0</v>
      </c>
      <c r="X5968" s="6">
        <f t="shared" si="187"/>
        <v>0</v>
      </c>
    </row>
    <row r="5969" spans="22:24" x14ac:dyDescent="0.3">
      <c r="V5969" t="e">
        <f>VLOOKUP(H5969,'[1]팀별 출판사'!A:B,2,0)</f>
        <v>#N/A</v>
      </c>
      <c r="W5969" s="6">
        <f t="shared" si="186"/>
        <v>0</v>
      </c>
      <c r="X5969" s="6">
        <f t="shared" si="187"/>
        <v>0</v>
      </c>
    </row>
    <row r="5970" spans="22:24" x14ac:dyDescent="0.3">
      <c r="V5970" t="e">
        <f>VLOOKUP(H5970,'[1]팀별 출판사'!A:B,2,0)</f>
        <v>#N/A</v>
      </c>
      <c r="W5970" s="6">
        <f t="shared" si="186"/>
        <v>0</v>
      </c>
      <c r="X5970" s="6">
        <f t="shared" si="187"/>
        <v>0</v>
      </c>
    </row>
    <row r="5971" spans="22:24" x14ac:dyDescent="0.3">
      <c r="V5971" t="e">
        <f>VLOOKUP(H5971,'[1]팀별 출판사'!A:B,2,0)</f>
        <v>#N/A</v>
      </c>
      <c r="W5971" s="6">
        <f t="shared" si="186"/>
        <v>0</v>
      </c>
      <c r="X5971" s="6">
        <f t="shared" si="187"/>
        <v>0</v>
      </c>
    </row>
    <row r="5972" spans="22:24" x14ac:dyDescent="0.3">
      <c r="V5972" t="e">
        <f>VLOOKUP(H5972,'[1]팀별 출판사'!A:B,2,0)</f>
        <v>#N/A</v>
      </c>
      <c r="W5972" s="6">
        <f t="shared" si="186"/>
        <v>0</v>
      </c>
      <c r="X5972" s="6">
        <f t="shared" si="187"/>
        <v>0</v>
      </c>
    </row>
    <row r="5973" spans="22:24" x14ac:dyDescent="0.3">
      <c r="V5973" t="e">
        <f>VLOOKUP(H5973,'[1]팀별 출판사'!A:B,2,0)</f>
        <v>#N/A</v>
      </c>
      <c r="W5973" s="6">
        <f t="shared" si="186"/>
        <v>0</v>
      </c>
      <c r="X5973" s="6">
        <f t="shared" si="187"/>
        <v>0</v>
      </c>
    </row>
    <row r="5974" spans="22:24" x14ac:dyDescent="0.3">
      <c r="V5974" t="e">
        <f>VLOOKUP(H5974,'[1]팀별 출판사'!A:B,2,0)</f>
        <v>#N/A</v>
      </c>
      <c r="W5974" s="6">
        <f t="shared" si="186"/>
        <v>0</v>
      </c>
      <c r="X5974" s="6">
        <f t="shared" si="187"/>
        <v>0</v>
      </c>
    </row>
    <row r="5975" spans="22:24" x14ac:dyDescent="0.3">
      <c r="V5975" t="e">
        <f>VLOOKUP(H5975,'[1]팀별 출판사'!A:B,2,0)</f>
        <v>#N/A</v>
      </c>
      <c r="W5975" s="6">
        <f t="shared" si="186"/>
        <v>0</v>
      </c>
      <c r="X5975" s="6">
        <f t="shared" si="187"/>
        <v>0</v>
      </c>
    </row>
    <row r="5976" spans="22:24" x14ac:dyDescent="0.3">
      <c r="V5976" t="e">
        <f>VLOOKUP(H5976,'[1]팀별 출판사'!A:B,2,0)</f>
        <v>#N/A</v>
      </c>
      <c r="W5976" s="6">
        <f t="shared" si="186"/>
        <v>0</v>
      </c>
      <c r="X5976" s="6">
        <f t="shared" si="187"/>
        <v>0</v>
      </c>
    </row>
    <row r="5977" spans="22:24" x14ac:dyDescent="0.3">
      <c r="V5977" t="e">
        <f>VLOOKUP(H5977,'[1]팀별 출판사'!A:B,2,0)</f>
        <v>#N/A</v>
      </c>
      <c r="W5977" s="6">
        <f t="shared" si="186"/>
        <v>0</v>
      </c>
      <c r="X5977" s="6">
        <f t="shared" si="187"/>
        <v>0</v>
      </c>
    </row>
    <row r="5978" spans="22:24" x14ac:dyDescent="0.3">
      <c r="V5978" t="e">
        <f>VLOOKUP(H5978,'[1]팀별 출판사'!A:B,2,0)</f>
        <v>#N/A</v>
      </c>
      <c r="W5978" s="6">
        <f t="shared" si="186"/>
        <v>0</v>
      </c>
      <c r="X5978" s="6">
        <f t="shared" si="187"/>
        <v>0</v>
      </c>
    </row>
    <row r="5979" spans="22:24" x14ac:dyDescent="0.3">
      <c r="V5979" t="e">
        <f>VLOOKUP(H5979,'[1]팀별 출판사'!A:B,2,0)</f>
        <v>#N/A</v>
      </c>
      <c r="W5979" s="6">
        <f t="shared" si="186"/>
        <v>0</v>
      </c>
      <c r="X5979" s="6">
        <f t="shared" si="187"/>
        <v>0</v>
      </c>
    </row>
    <row r="5980" spans="22:24" x14ac:dyDescent="0.3">
      <c r="V5980" t="e">
        <f>VLOOKUP(H5980,'[1]팀별 출판사'!A:B,2,0)</f>
        <v>#N/A</v>
      </c>
      <c r="W5980" s="6">
        <f t="shared" si="186"/>
        <v>0</v>
      </c>
      <c r="X5980" s="6">
        <f t="shared" si="187"/>
        <v>0</v>
      </c>
    </row>
    <row r="5981" spans="22:24" x14ac:dyDescent="0.3">
      <c r="V5981" t="e">
        <f>VLOOKUP(H5981,'[1]팀별 출판사'!A:B,2,0)</f>
        <v>#N/A</v>
      </c>
      <c r="W5981" s="6">
        <f t="shared" si="186"/>
        <v>0</v>
      </c>
      <c r="X5981" s="6">
        <f t="shared" si="187"/>
        <v>0</v>
      </c>
    </row>
    <row r="5982" spans="22:24" x14ac:dyDescent="0.3">
      <c r="V5982" t="e">
        <f>VLOOKUP(H5982,'[1]팀별 출판사'!A:B,2,0)</f>
        <v>#N/A</v>
      </c>
      <c r="W5982" s="6">
        <f t="shared" si="186"/>
        <v>0</v>
      </c>
      <c r="X5982" s="6">
        <f t="shared" si="187"/>
        <v>0</v>
      </c>
    </row>
    <row r="5983" spans="22:24" x14ac:dyDescent="0.3">
      <c r="V5983" t="e">
        <f>VLOOKUP(H5983,'[1]팀별 출판사'!A:B,2,0)</f>
        <v>#N/A</v>
      </c>
      <c r="W5983" s="6">
        <f t="shared" si="186"/>
        <v>0</v>
      </c>
      <c r="X5983" s="6">
        <f t="shared" si="187"/>
        <v>0</v>
      </c>
    </row>
    <row r="5984" spans="22:24" x14ac:dyDescent="0.3">
      <c r="V5984" t="e">
        <f>VLOOKUP(H5984,'[1]팀별 출판사'!A:B,2,0)</f>
        <v>#N/A</v>
      </c>
      <c r="W5984" s="6">
        <f t="shared" si="186"/>
        <v>0</v>
      </c>
      <c r="X5984" s="6">
        <f t="shared" si="187"/>
        <v>0</v>
      </c>
    </row>
    <row r="5985" spans="22:24" x14ac:dyDescent="0.3">
      <c r="V5985" t="e">
        <f>VLOOKUP(H5985,'[1]팀별 출판사'!A:B,2,0)</f>
        <v>#N/A</v>
      </c>
      <c r="W5985" s="6">
        <f t="shared" si="186"/>
        <v>0</v>
      </c>
      <c r="X5985" s="6">
        <f t="shared" si="187"/>
        <v>0</v>
      </c>
    </row>
    <row r="5986" spans="22:24" x14ac:dyDescent="0.3">
      <c r="V5986" t="e">
        <f>VLOOKUP(H5986,'[1]팀별 출판사'!A:B,2,0)</f>
        <v>#N/A</v>
      </c>
      <c r="W5986" s="6">
        <f t="shared" si="186"/>
        <v>0</v>
      </c>
      <c r="X5986" s="6">
        <f t="shared" si="187"/>
        <v>0</v>
      </c>
    </row>
    <row r="5987" spans="22:24" x14ac:dyDescent="0.3">
      <c r="V5987" t="e">
        <f>VLOOKUP(H5987,'[1]팀별 출판사'!A:B,2,0)</f>
        <v>#N/A</v>
      </c>
      <c r="W5987" s="6">
        <f t="shared" si="186"/>
        <v>0</v>
      </c>
      <c r="X5987" s="6">
        <f t="shared" si="187"/>
        <v>0</v>
      </c>
    </row>
    <row r="5988" spans="22:24" x14ac:dyDescent="0.3">
      <c r="V5988" t="e">
        <f>VLOOKUP(H5988,'[1]팀별 출판사'!A:B,2,0)</f>
        <v>#N/A</v>
      </c>
      <c r="W5988" s="6">
        <f t="shared" si="186"/>
        <v>0</v>
      </c>
      <c r="X5988" s="6">
        <f t="shared" si="187"/>
        <v>0</v>
      </c>
    </row>
    <row r="5989" spans="22:24" x14ac:dyDescent="0.3">
      <c r="V5989" t="e">
        <f>VLOOKUP(H5989,'[1]팀별 출판사'!A:B,2,0)</f>
        <v>#N/A</v>
      </c>
      <c r="W5989" s="6">
        <f t="shared" si="186"/>
        <v>0</v>
      </c>
      <c r="X5989" s="6">
        <f t="shared" si="187"/>
        <v>0</v>
      </c>
    </row>
    <row r="5990" spans="22:24" x14ac:dyDescent="0.3">
      <c r="V5990" t="e">
        <f>VLOOKUP(H5990,'[1]팀별 출판사'!A:B,2,0)</f>
        <v>#N/A</v>
      </c>
      <c r="W5990" s="6">
        <f t="shared" si="186"/>
        <v>0</v>
      </c>
      <c r="X5990" s="6">
        <f t="shared" si="187"/>
        <v>0</v>
      </c>
    </row>
    <row r="5991" spans="22:24" x14ac:dyDescent="0.3">
      <c r="V5991" t="e">
        <f>VLOOKUP(H5991,'[1]팀별 출판사'!A:B,2,0)</f>
        <v>#N/A</v>
      </c>
      <c r="W5991" s="6">
        <f t="shared" si="186"/>
        <v>0</v>
      </c>
      <c r="X5991" s="6">
        <f t="shared" si="187"/>
        <v>0</v>
      </c>
    </row>
    <row r="5992" spans="22:24" x14ac:dyDescent="0.3">
      <c r="V5992" t="e">
        <f>VLOOKUP(H5992,'[1]팀별 출판사'!A:B,2,0)</f>
        <v>#N/A</v>
      </c>
      <c r="W5992" s="6">
        <f t="shared" si="186"/>
        <v>0</v>
      </c>
      <c r="X5992" s="6">
        <f t="shared" si="187"/>
        <v>0</v>
      </c>
    </row>
    <row r="5993" spans="22:24" x14ac:dyDescent="0.3">
      <c r="V5993" t="e">
        <f>VLOOKUP(H5993,'[1]팀별 출판사'!A:B,2,0)</f>
        <v>#N/A</v>
      </c>
      <c r="W5993" s="6">
        <f t="shared" si="186"/>
        <v>0</v>
      </c>
      <c r="X5993" s="6">
        <f t="shared" si="187"/>
        <v>0</v>
      </c>
    </row>
    <row r="5994" spans="22:24" x14ac:dyDescent="0.3">
      <c r="V5994" t="e">
        <f>VLOOKUP(H5994,'[1]팀별 출판사'!A:B,2,0)</f>
        <v>#N/A</v>
      </c>
      <c r="W5994" s="6">
        <f t="shared" si="186"/>
        <v>0</v>
      </c>
      <c r="X5994" s="6">
        <f t="shared" si="187"/>
        <v>0</v>
      </c>
    </row>
    <row r="5995" spans="22:24" x14ac:dyDescent="0.3">
      <c r="V5995" t="e">
        <f>VLOOKUP(H5995,'[1]팀별 출판사'!A:B,2,0)</f>
        <v>#N/A</v>
      </c>
      <c r="W5995" s="6">
        <f t="shared" si="186"/>
        <v>0</v>
      </c>
      <c r="X5995" s="6">
        <f t="shared" si="187"/>
        <v>0</v>
      </c>
    </row>
    <row r="5996" spans="22:24" x14ac:dyDescent="0.3">
      <c r="V5996" t="e">
        <f>VLOOKUP(H5996,'[1]팀별 출판사'!A:B,2,0)</f>
        <v>#N/A</v>
      </c>
      <c r="W5996" s="6">
        <f t="shared" si="186"/>
        <v>0</v>
      </c>
      <c r="X5996" s="6">
        <f t="shared" si="187"/>
        <v>0</v>
      </c>
    </row>
    <row r="5997" spans="22:24" x14ac:dyDescent="0.3">
      <c r="V5997" t="e">
        <f>VLOOKUP(H5997,'[1]팀별 출판사'!A:B,2,0)</f>
        <v>#N/A</v>
      </c>
      <c r="W5997" s="6">
        <f t="shared" si="186"/>
        <v>0</v>
      </c>
      <c r="X5997" s="6">
        <f t="shared" si="187"/>
        <v>0</v>
      </c>
    </row>
    <row r="5998" spans="22:24" x14ac:dyDescent="0.3">
      <c r="V5998" t="e">
        <f>VLOOKUP(H5998,'[1]팀별 출판사'!A:B,2,0)</f>
        <v>#N/A</v>
      </c>
      <c r="W5998" s="6">
        <f t="shared" si="186"/>
        <v>0</v>
      </c>
      <c r="X5998" s="6">
        <f t="shared" si="187"/>
        <v>0</v>
      </c>
    </row>
    <row r="5999" spans="22:24" x14ac:dyDescent="0.3">
      <c r="V5999" t="e">
        <f>VLOOKUP(H5999,'[1]팀별 출판사'!A:B,2,0)</f>
        <v>#N/A</v>
      </c>
      <c r="W5999" s="6">
        <f t="shared" si="186"/>
        <v>0</v>
      </c>
      <c r="X5999" s="6">
        <f t="shared" si="187"/>
        <v>0</v>
      </c>
    </row>
    <row r="6000" spans="22:24" x14ac:dyDescent="0.3">
      <c r="V6000" t="e">
        <f>VLOOKUP(H6000,'[1]팀별 출판사'!A:B,2,0)</f>
        <v>#N/A</v>
      </c>
      <c r="W6000" s="6">
        <f t="shared" si="186"/>
        <v>0</v>
      </c>
      <c r="X6000" s="6">
        <f t="shared" si="187"/>
        <v>0</v>
      </c>
    </row>
    <row r="6001" spans="22:24" x14ac:dyDescent="0.3">
      <c r="V6001" t="e">
        <f>VLOOKUP(H6001,'[1]팀별 출판사'!A:B,2,0)</f>
        <v>#N/A</v>
      </c>
      <c r="W6001" s="6">
        <f t="shared" si="186"/>
        <v>0</v>
      </c>
      <c r="X6001" s="6">
        <f t="shared" si="187"/>
        <v>0</v>
      </c>
    </row>
    <row r="6002" spans="22:24" x14ac:dyDescent="0.3">
      <c r="V6002" t="e">
        <f>VLOOKUP(H6002,'[1]팀별 출판사'!A:B,2,0)</f>
        <v>#N/A</v>
      </c>
      <c r="W6002" s="6">
        <f t="shared" si="186"/>
        <v>0</v>
      </c>
      <c r="X6002" s="6">
        <f t="shared" si="187"/>
        <v>0</v>
      </c>
    </row>
    <row r="6003" spans="22:24" x14ac:dyDescent="0.3">
      <c r="V6003" t="e">
        <f>VLOOKUP(H6003,'[1]팀별 출판사'!A:B,2,0)</f>
        <v>#N/A</v>
      </c>
      <c r="W6003" s="6">
        <f t="shared" si="186"/>
        <v>0</v>
      </c>
      <c r="X6003" s="6">
        <f t="shared" si="187"/>
        <v>0</v>
      </c>
    </row>
    <row r="6004" spans="22:24" x14ac:dyDescent="0.3">
      <c r="V6004" t="e">
        <f>VLOOKUP(H6004,'[1]팀별 출판사'!A:B,2,0)</f>
        <v>#N/A</v>
      </c>
      <c r="W6004" s="6">
        <f t="shared" si="186"/>
        <v>0</v>
      </c>
      <c r="X6004" s="6">
        <f t="shared" si="187"/>
        <v>0</v>
      </c>
    </row>
    <row r="6005" spans="22:24" x14ac:dyDescent="0.3">
      <c r="V6005" t="e">
        <f>VLOOKUP(H6005,'[1]팀별 출판사'!A:B,2,0)</f>
        <v>#N/A</v>
      </c>
      <c r="W6005" s="6">
        <f t="shared" si="186"/>
        <v>0</v>
      </c>
      <c r="X6005" s="6">
        <f t="shared" si="187"/>
        <v>0</v>
      </c>
    </row>
    <row r="6006" spans="22:24" x14ac:dyDescent="0.3">
      <c r="V6006" t="e">
        <f>VLOOKUP(H6006,'[1]팀별 출판사'!A:B,2,0)</f>
        <v>#N/A</v>
      </c>
      <c r="W6006" s="6">
        <f t="shared" si="186"/>
        <v>0</v>
      </c>
      <c r="X6006" s="6">
        <f t="shared" si="187"/>
        <v>0</v>
      </c>
    </row>
    <row r="6007" spans="22:24" x14ac:dyDescent="0.3">
      <c r="V6007" t="e">
        <f>VLOOKUP(H6007,'[1]팀별 출판사'!A:B,2,0)</f>
        <v>#N/A</v>
      </c>
      <c r="W6007" s="6">
        <f t="shared" si="186"/>
        <v>0</v>
      </c>
      <c r="X6007" s="6">
        <f t="shared" si="187"/>
        <v>0</v>
      </c>
    </row>
    <row r="6008" spans="22:24" x14ac:dyDescent="0.3">
      <c r="V6008" t="e">
        <f>VLOOKUP(H6008,'[1]팀별 출판사'!A:B,2,0)</f>
        <v>#N/A</v>
      </c>
      <c r="W6008" s="6">
        <f t="shared" si="186"/>
        <v>0</v>
      </c>
      <c r="X6008" s="6">
        <f t="shared" si="187"/>
        <v>0</v>
      </c>
    </row>
    <row r="6009" spans="22:24" x14ac:dyDescent="0.3">
      <c r="V6009" t="e">
        <f>VLOOKUP(H6009,'[1]팀별 출판사'!A:B,2,0)</f>
        <v>#N/A</v>
      </c>
      <c r="W6009" s="6">
        <f t="shared" si="186"/>
        <v>0</v>
      </c>
      <c r="X6009" s="6">
        <f t="shared" si="187"/>
        <v>0</v>
      </c>
    </row>
    <row r="6010" spans="22:24" x14ac:dyDescent="0.3">
      <c r="V6010" t="e">
        <f>VLOOKUP(H6010,'[1]팀별 출판사'!A:B,2,0)</f>
        <v>#N/A</v>
      </c>
      <c r="W6010" s="6">
        <f t="shared" si="186"/>
        <v>0</v>
      </c>
      <c r="X6010" s="6">
        <f t="shared" si="187"/>
        <v>0</v>
      </c>
    </row>
    <row r="6011" spans="22:24" x14ac:dyDescent="0.3">
      <c r="V6011" t="e">
        <f>VLOOKUP(H6011,'[1]팀별 출판사'!A:B,2,0)</f>
        <v>#N/A</v>
      </c>
      <c r="W6011" s="6">
        <f t="shared" si="186"/>
        <v>0</v>
      </c>
      <c r="X6011" s="6">
        <f t="shared" si="187"/>
        <v>0</v>
      </c>
    </row>
    <row r="6012" spans="22:24" x14ac:dyDescent="0.3">
      <c r="V6012" t="e">
        <f>VLOOKUP(H6012,'[1]팀별 출판사'!A:B,2,0)</f>
        <v>#N/A</v>
      </c>
      <c r="W6012" s="6">
        <f t="shared" si="186"/>
        <v>0</v>
      </c>
      <c r="X6012" s="6">
        <f t="shared" si="187"/>
        <v>0</v>
      </c>
    </row>
    <row r="6013" spans="22:24" x14ac:dyDescent="0.3">
      <c r="V6013" t="e">
        <f>VLOOKUP(H6013,'[1]팀별 출판사'!A:B,2,0)</f>
        <v>#N/A</v>
      </c>
      <c r="W6013" s="6">
        <f t="shared" si="186"/>
        <v>0</v>
      </c>
      <c r="X6013" s="6">
        <f t="shared" si="187"/>
        <v>0</v>
      </c>
    </row>
    <row r="6014" spans="22:24" x14ac:dyDescent="0.3">
      <c r="V6014" t="e">
        <f>VLOOKUP(H6014,'[1]팀별 출판사'!A:B,2,0)</f>
        <v>#N/A</v>
      </c>
      <c r="W6014" s="6">
        <f t="shared" si="186"/>
        <v>0</v>
      </c>
      <c r="X6014" s="6">
        <f t="shared" si="187"/>
        <v>0</v>
      </c>
    </row>
    <row r="6015" spans="22:24" x14ac:dyDescent="0.3">
      <c r="V6015" t="e">
        <f>VLOOKUP(H6015,'[1]팀별 출판사'!A:B,2,0)</f>
        <v>#N/A</v>
      </c>
      <c r="W6015" s="6">
        <f t="shared" si="186"/>
        <v>0</v>
      </c>
      <c r="X6015" s="6">
        <f t="shared" si="187"/>
        <v>0</v>
      </c>
    </row>
    <row r="6016" spans="22:24" x14ac:dyDescent="0.3">
      <c r="V6016" t="e">
        <f>VLOOKUP(H6016,'[1]팀별 출판사'!A:B,2,0)</f>
        <v>#N/A</v>
      </c>
      <c r="W6016" s="6">
        <f t="shared" si="186"/>
        <v>0</v>
      </c>
      <c r="X6016" s="6">
        <f t="shared" si="187"/>
        <v>0</v>
      </c>
    </row>
    <row r="6017" spans="22:24" x14ac:dyDescent="0.3">
      <c r="V6017" t="e">
        <f>VLOOKUP(H6017,'[1]팀별 출판사'!A:B,2,0)</f>
        <v>#N/A</v>
      </c>
      <c r="W6017" s="6">
        <f t="shared" si="186"/>
        <v>0</v>
      </c>
      <c r="X6017" s="6">
        <f t="shared" si="187"/>
        <v>0</v>
      </c>
    </row>
    <row r="6018" spans="22:24" x14ac:dyDescent="0.3">
      <c r="V6018" t="e">
        <f>VLOOKUP(H6018,'[1]팀별 출판사'!A:B,2,0)</f>
        <v>#N/A</v>
      </c>
      <c r="W6018" s="6">
        <f t="shared" ref="W6018:W6081" si="188">IF(P6018="US", T6018*30%, 0)</f>
        <v>0</v>
      </c>
      <c r="X6018" s="6">
        <f t="shared" ref="X6018:X6081" si="189">T6018-W6018</f>
        <v>0</v>
      </c>
    </row>
    <row r="6019" spans="22:24" x14ac:dyDescent="0.3">
      <c r="V6019" t="e">
        <f>VLOOKUP(H6019,'[1]팀별 출판사'!A:B,2,0)</f>
        <v>#N/A</v>
      </c>
      <c r="W6019" s="6">
        <f t="shared" si="188"/>
        <v>0</v>
      </c>
      <c r="X6019" s="6">
        <f t="shared" si="189"/>
        <v>0</v>
      </c>
    </row>
    <row r="6020" spans="22:24" x14ac:dyDescent="0.3">
      <c r="V6020" t="e">
        <f>VLOOKUP(H6020,'[1]팀별 출판사'!A:B,2,0)</f>
        <v>#N/A</v>
      </c>
      <c r="W6020" s="6">
        <f t="shared" si="188"/>
        <v>0</v>
      </c>
      <c r="X6020" s="6">
        <f t="shared" si="189"/>
        <v>0</v>
      </c>
    </row>
    <row r="6021" spans="22:24" x14ac:dyDescent="0.3">
      <c r="V6021" t="e">
        <f>VLOOKUP(H6021,'[1]팀별 출판사'!A:B,2,0)</f>
        <v>#N/A</v>
      </c>
      <c r="W6021" s="6">
        <f t="shared" si="188"/>
        <v>0</v>
      </c>
      <c r="X6021" s="6">
        <f t="shared" si="189"/>
        <v>0</v>
      </c>
    </row>
    <row r="6022" spans="22:24" x14ac:dyDescent="0.3">
      <c r="V6022" t="e">
        <f>VLOOKUP(H6022,'[1]팀별 출판사'!A:B,2,0)</f>
        <v>#N/A</v>
      </c>
      <c r="W6022" s="6">
        <f t="shared" si="188"/>
        <v>0</v>
      </c>
      <c r="X6022" s="6">
        <f t="shared" si="189"/>
        <v>0</v>
      </c>
    </row>
    <row r="6023" spans="22:24" x14ac:dyDescent="0.3">
      <c r="V6023" t="e">
        <f>VLOOKUP(H6023,'[1]팀별 출판사'!A:B,2,0)</f>
        <v>#N/A</v>
      </c>
      <c r="W6023" s="6">
        <f t="shared" si="188"/>
        <v>0</v>
      </c>
      <c r="X6023" s="6">
        <f t="shared" si="189"/>
        <v>0</v>
      </c>
    </row>
    <row r="6024" spans="22:24" x14ac:dyDescent="0.3">
      <c r="V6024" t="e">
        <f>VLOOKUP(H6024,'[1]팀별 출판사'!A:B,2,0)</f>
        <v>#N/A</v>
      </c>
      <c r="W6024" s="6">
        <f t="shared" si="188"/>
        <v>0</v>
      </c>
      <c r="X6024" s="6">
        <f t="shared" si="189"/>
        <v>0</v>
      </c>
    </row>
    <row r="6025" spans="22:24" x14ac:dyDescent="0.3">
      <c r="V6025" t="e">
        <f>VLOOKUP(H6025,'[1]팀별 출판사'!A:B,2,0)</f>
        <v>#N/A</v>
      </c>
      <c r="W6025" s="6">
        <f t="shared" si="188"/>
        <v>0</v>
      </c>
      <c r="X6025" s="6">
        <f t="shared" si="189"/>
        <v>0</v>
      </c>
    </row>
    <row r="6026" spans="22:24" x14ac:dyDescent="0.3">
      <c r="V6026" t="e">
        <f>VLOOKUP(H6026,'[1]팀별 출판사'!A:B,2,0)</f>
        <v>#N/A</v>
      </c>
      <c r="W6026" s="6">
        <f t="shared" si="188"/>
        <v>0</v>
      </c>
      <c r="X6026" s="6">
        <f t="shared" si="189"/>
        <v>0</v>
      </c>
    </row>
    <row r="6027" spans="22:24" x14ac:dyDescent="0.3">
      <c r="V6027" t="e">
        <f>VLOOKUP(H6027,'[1]팀별 출판사'!A:B,2,0)</f>
        <v>#N/A</v>
      </c>
      <c r="W6027" s="6">
        <f t="shared" si="188"/>
        <v>0</v>
      </c>
      <c r="X6027" s="6">
        <f t="shared" si="189"/>
        <v>0</v>
      </c>
    </row>
    <row r="6028" spans="22:24" x14ac:dyDescent="0.3">
      <c r="V6028" t="e">
        <f>VLOOKUP(H6028,'[1]팀별 출판사'!A:B,2,0)</f>
        <v>#N/A</v>
      </c>
      <c r="W6028" s="6">
        <f t="shared" si="188"/>
        <v>0</v>
      </c>
      <c r="X6028" s="6">
        <f t="shared" si="189"/>
        <v>0</v>
      </c>
    </row>
    <row r="6029" spans="22:24" x14ac:dyDescent="0.3">
      <c r="V6029" t="e">
        <f>VLOOKUP(H6029,'[1]팀별 출판사'!A:B,2,0)</f>
        <v>#N/A</v>
      </c>
      <c r="W6029" s="6">
        <f t="shared" si="188"/>
        <v>0</v>
      </c>
      <c r="X6029" s="6">
        <f t="shared" si="189"/>
        <v>0</v>
      </c>
    </row>
    <row r="6030" spans="22:24" x14ac:dyDescent="0.3">
      <c r="V6030" t="e">
        <f>VLOOKUP(H6030,'[1]팀별 출판사'!A:B,2,0)</f>
        <v>#N/A</v>
      </c>
      <c r="W6030" s="6">
        <f t="shared" si="188"/>
        <v>0</v>
      </c>
      <c r="X6030" s="6">
        <f t="shared" si="189"/>
        <v>0</v>
      </c>
    </row>
    <row r="6031" spans="22:24" x14ac:dyDescent="0.3">
      <c r="V6031" t="e">
        <f>VLOOKUP(H6031,'[1]팀별 출판사'!A:B,2,0)</f>
        <v>#N/A</v>
      </c>
      <c r="W6031" s="6">
        <f t="shared" si="188"/>
        <v>0</v>
      </c>
      <c r="X6031" s="6">
        <f t="shared" si="189"/>
        <v>0</v>
      </c>
    </row>
    <row r="6032" spans="22:24" x14ac:dyDescent="0.3">
      <c r="V6032" t="e">
        <f>VLOOKUP(H6032,'[1]팀별 출판사'!A:B,2,0)</f>
        <v>#N/A</v>
      </c>
      <c r="W6032" s="6">
        <f t="shared" si="188"/>
        <v>0</v>
      </c>
      <c r="X6032" s="6">
        <f t="shared" si="189"/>
        <v>0</v>
      </c>
    </row>
    <row r="6033" spans="22:24" x14ac:dyDescent="0.3">
      <c r="V6033" t="e">
        <f>VLOOKUP(H6033,'[1]팀별 출판사'!A:B,2,0)</f>
        <v>#N/A</v>
      </c>
      <c r="W6033" s="6">
        <f t="shared" si="188"/>
        <v>0</v>
      </c>
      <c r="X6033" s="6">
        <f t="shared" si="189"/>
        <v>0</v>
      </c>
    </row>
    <row r="6034" spans="22:24" x14ac:dyDescent="0.3">
      <c r="V6034" t="e">
        <f>VLOOKUP(H6034,'[1]팀별 출판사'!A:B,2,0)</f>
        <v>#N/A</v>
      </c>
      <c r="W6034" s="6">
        <f t="shared" si="188"/>
        <v>0</v>
      </c>
      <c r="X6034" s="6">
        <f t="shared" si="189"/>
        <v>0</v>
      </c>
    </row>
    <row r="6035" spans="22:24" x14ac:dyDescent="0.3">
      <c r="V6035" t="e">
        <f>VLOOKUP(H6035,'[1]팀별 출판사'!A:B,2,0)</f>
        <v>#N/A</v>
      </c>
      <c r="W6035" s="6">
        <f t="shared" si="188"/>
        <v>0</v>
      </c>
      <c r="X6035" s="6">
        <f t="shared" si="189"/>
        <v>0</v>
      </c>
    </row>
    <row r="6036" spans="22:24" x14ac:dyDescent="0.3">
      <c r="V6036" t="e">
        <f>VLOOKUP(H6036,'[1]팀별 출판사'!A:B,2,0)</f>
        <v>#N/A</v>
      </c>
      <c r="W6036" s="6">
        <f t="shared" si="188"/>
        <v>0</v>
      </c>
      <c r="X6036" s="6">
        <f t="shared" si="189"/>
        <v>0</v>
      </c>
    </row>
    <row r="6037" spans="22:24" x14ac:dyDescent="0.3">
      <c r="V6037" t="e">
        <f>VLOOKUP(H6037,'[1]팀별 출판사'!A:B,2,0)</f>
        <v>#N/A</v>
      </c>
      <c r="W6037" s="6">
        <f t="shared" si="188"/>
        <v>0</v>
      </c>
      <c r="X6037" s="6">
        <f t="shared" si="189"/>
        <v>0</v>
      </c>
    </row>
    <row r="6038" spans="22:24" x14ac:dyDescent="0.3">
      <c r="V6038" t="e">
        <f>VLOOKUP(H6038,'[1]팀별 출판사'!A:B,2,0)</f>
        <v>#N/A</v>
      </c>
      <c r="W6038" s="6">
        <f t="shared" si="188"/>
        <v>0</v>
      </c>
      <c r="X6038" s="6">
        <f t="shared" si="189"/>
        <v>0</v>
      </c>
    </row>
    <row r="6039" spans="22:24" x14ac:dyDescent="0.3">
      <c r="V6039" t="e">
        <f>VLOOKUP(H6039,'[1]팀별 출판사'!A:B,2,0)</f>
        <v>#N/A</v>
      </c>
      <c r="W6039" s="6">
        <f t="shared" si="188"/>
        <v>0</v>
      </c>
      <c r="X6039" s="6">
        <f t="shared" si="189"/>
        <v>0</v>
      </c>
    </row>
    <row r="6040" spans="22:24" x14ac:dyDescent="0.3">
      <c r="V6040" t="e">
        <f>VLOOKUP(H6040,'[1]팀별 출판사'!A:B,2,0)</f>
        <v>#N/A</v>
      </c>
      <c r="W6040" s="6">
        <f t="shared" si="188"/>
        <v>0</v>
      </c>
      <c r="X6040" s="6">
        <f t="shared" si="189"/>
        <v>0</v>
      </c>
    </row>
    <row r="6041" spans="22:24" x14ac:dyDescent="0.3">
      <c r="V6041" t="e">
        <f>VLOOKUP(H6041,'[1]팀별 출판사'!A:B,2,0)</f>
        <v>#N/A</v>
      </c>
      <c r="W6041" s="6">
        <f t="shared" si="188"/>
        <v>0</v>
      </c>
      <c r="X6041" s="6">
        <f t="shared" si="189"/>
        <v>0</v>
      </c>
    </row>
    <row r="6042" spans="22:24" x14ac:dyDescent="0.3">
      <c r="V6042" t="e">
        <f>VLOOKUP(H6042,'[1]팀별 출판사'!A:B,2,0)</f>
        <v>#N/A</v>
      </c>
      <c r="W6042" s="6">
        <f t="shared" si="188"/>
        <v>0</v>
      </c>
      <c r="X6042" s="6">
        <f t="shared" si="189"/>
        <v>0</v>
      </c>
    </row>
    <row r="6043" spans="22:24" x14ac:dyDescent="0.3">
      <c r="V6043" t="e">
        <f>VLOOKUP(H6043,'[1]팀별 출판사'!A:B,2,0)</f>
        <v>#N/A</v>
      </c>
      <c r="W6043" s="6">
        <f t="shared" si="188"/>
        <v>0</v>
      </c>
      <c r="X6043" s="6">
        <f t="shared" si="189"/>
        <v>0</v>
      </c>
    </row>
    <row r="6044" spans="22:24" x14ac:dyDescent="0.3">
      <c r="V6044" t="e">
        <f>VLOOKUP(H6044,'[1]팀별 출판사'!A:B,2,0)</f>
        <v>#N/A</v>
      </c>
      <c r="W6044" s="6">
        <f t="shared" si="188"/>
        <v>0</v>
      </c>
      <c r="X6044" s="6">
        <f t="shared" si="189"/>
        <v>0</v>
      </c>
    </row>
    <row r="6045" spans="22:24" x14ac:dyDescent="0.3">
      <c r="V6045" t="e">
        <f>VLOOKUP(H6045,'[1]팀별 출판사'!A:B,2,0)</f>
        <v>#N/A</v>
      </c>
      <c r="W6045" s="6">
        <f t="shared" si="188"/>
        <v>0</v>
      </c>
      <c r="X6045" s="6">
        <f t="shared" si="189"/>
        <v>0</v>
      </c>
    </row>
    <row r="6046" spans="22:24" x14ac:dyDescent="0.3">
      <c r="V6046" t="e">
        <f>VLOOKUP(H6046,'[1]팀별 출판사'!A:B,2,0)</f>
        <v>#N/A</v>
      </c>
      <c r="W6046" s="6">
        <f t="shared" si="188"/>
        <v>0</v>
      </c>
      <c r="X6046" s="6">
        <f t="shared" si="189"/>
        <v>0</v>
      </c>
    </row>
    <row r="6047" spans="22:24" x14ac:dyDescent="0.3">
      <c r="V6047" t="e">
        <f>VLOOKUP(H6047,'[1]팀별 출판사'!A:B,2,0)</f>
        <v>#N/A</v>
      </c>
      <c r="W6047" s="6">
        <f t="shared" si="188"/>
        <v>0</v>
      </c>
      <c r="X6047" s="6">
        <f t="shared" si="189"/>
        <v>0</v>
      </c>
    </row>
    <row r="6048" spans="22:24" x14ac:dyDescent="0.3">
      <c r="V6048" t="e">
        <f>VLOOKUP(H6048,'[1]팀별 출판사'!A:B,2,0)</f>
        <v>#N/A</v>
      </c>
      <c r="W6048" s="6">
        <f t="shared" si="188"/>
        <v>0</v>
      </c>
      <c r="X6048" s="6">
        <f t="shared" si="189"/>
        <v>0</v>
      </c>
    </row>
    <row r="6049" spans="22:24" x14ac:dyDescent="0.3">
      <c r="V6049" t="e">
        <f>VLOOKUP(H6049,'[1]팀별 출판사'!A:B,2,0)</f>
        <v>#N/A</v>
      </c>
      <c r="W6049" s="6">
        <f t="shared" si="188"/>
        <v>0</v>
      </c>
      <c r="X6049" s="6">
        <f t="shared" si="189"/>
        <v>0</v>
      </c>
    </row>
    <row r="6050" spans="22:24" x14ac:dyDescent="0.3">
      <c r="V6050" t="e">
        <f>VLOOKUP(H6050,'[1]팀별 출판사'!A:B,2,0)</f>
        <v>#N/A</v>
      </c>
      <c r="W6050" s="6">
        <f t="shared" si="188"/>
        <v>0</v>
      </c>
      <c r="X6050" s="6">
        <f t="shared" si="189"/>
        <v>0</v>
      </c>
    </row>
    <row r="6051" spans="22:24" x14ac:dyDescent="0.3">
      <c r="V6051" t="e">
        <f>VLOOKUP(H6051,'[1]팀별 출판사'!A:B,2,0)</f>
        <v>#N/A</v>
      </c>
      <c r="W6051" s="6">
        <f t="shared" si="188"/>
        <v>0</v>
      </c>
      <c r="X6051" s="6">
        <f t="shared" si="189"/>
        <v>0</v>
      </c>
    </row>
    <row r="6052" spans="22:24" x14ac:dyDescent="0.3">
      <c r="V6052" t="e">
        <f>VLOOKUP(H6052,'[1]팀별 출판사'!A:B,2,0)</f>
        <v>#N/A</v>
      </c>
      <c r="W6052" s="6">
        <f t="shared" si="188"/>
        <v>0</v>
      </c>
      <c r="X6052" s="6">
        <f t="shared" si="189"/>
        <v>0</v>
      </c>
    </row>
    <row r="6053" spans="22:24" x14ac:dyDescent="0.3">
      <c r="V6053" t="e">
        <f>VLOOKUP(H6053,'[1]팀별 출판사'!A:B,2,0)</f>
        <v>#N/A</v>
      </c>
      <c r="W6053" s="6">
        <f t="shared" si="188"/>
        <v>0</v>
      </c>
      <c r="X6053" s="6">
        <f t="shared" si="189"/>
        <v>0</v>
      </c>
    </row>
    <row r="6054" spans="22:24" x14ac:dyDescent="0.3">
      <c r="V6054" t="e">
        <f>VLOOKUP(H6054,'[1]팀별 출판사'!A:B,2,0)</f>
        <v>#N/A</v>
      </c>
      <c r="W6054" s="6">
        <f t="shared" si="188"/>
        <v>0</v>
      </c>
      <c r="X6054" s="6">
        <f t="shared" si="189"/>
        <v>0</v>
      </c>
    </row>
    <row r="6055" spans="22:24" x14ac:dyDescent="0.3">
      <c r="V6055" t="e">
        <f>VLOOKUP(H6055,'[1]팀별 출판사'!A:B,2,0)</f>
        <v>#N/A</v>
      </c>
      <c r="W6055" s="6">
        <f t="shared" si="188"/>
        <v>0</v>
      </c>
      <c r="X6055" s="6">
        <f t="shared" si="189"/>
        <v>0</v>
      </c>
    </row>
    <row r="6056" spans="22:24" x14ac:dyDescent="0.3">
      <c r="V6056" t="e">
        <f>VLOOKUP(H6056,'[1]팀별 출판사'!A:B,2,0)</f>
        <v>#N/A</v>
      </c>
      <c r="W6056" s="6">
        <f t="shared" si="188"/>
        <v>0</v>
      </c>
      <c r="X6056" s="6">
        <f t="shared" si="189"/>
        <v>0</v>
      </c>
    </row>
    <row r="6057" spans="22:24" x14ac:dyDescent="0.3">
      <c r="V6057" t="e">
        <f>VLOOKUP(H6057,'[1]팀별 출판사'!A:B,2,0)</f>
        <v>#N/A</v>
      </c>
      <c r="W6057" s="6">
        <f t="shared" si="188"/>
        <v>0</v>
      </c>
      <c r="X6057" s="6">
        <f t="shared" si="189"/>
        <v>0</v>
      </c>
    </row>
    <row r="6058" spans="22:24" x14ac:dyDescent="0.3">
      <c r="V6058" t="e">
        <f>VLOOKUP(H6058,'[1]팀별 출판사'!A:B,2,0)</f>
        <v>#N/A</v>
      </c>
      <c r="W6058" s="6">
        <f t="shared" si="188"/>
        <v>0</v>
      </c>
      <c r="X6058" s="6">
        <f t="shared" si="189"/>
        <v>0</v>
      </c>
    </row>
    <row r="6059" spans="22:24" x14ac:dyDescent="0.3">
      <c r="V6059" t="e">
        <f>VLOOKUP(H6059,'[1]팀별 출판사'!A:B,2,0)</f>
        <v>#N/A</v>
      </c>
      <c r="W6059" s="6">
        <f t="shared" si="188"/>
        <v>0</v>
      </c>
      <c r="X6059" s="6">
        <f t="shared" si="189"/>
        <v>0</v>
      </c>
    </row>
    <row r="6060" spans="22:24" x14ac:dyDescent="0.3">
      <c r="V6060" t="e">
        <f>VLOOKUP(H6060,'[1]팀별 출판사'!A:B,2,0)</f>
        <v>#N/A</v>
      </c>
      <c r="W6060" s="6">
        <f t="shared" si="188"/>
        <v>0</v>
      </c>
      <c r="X6060" s="6">
        <f t="shared" si="189"/>
        <v>0</v>
      </c>
    </row>
    <row r="6061" spans="22:24" x14ac:dyDescent="0.3">
      <c r="V6061" t="e">
        <f>VLOOKUP(H6061,'[1]팀별 출판사'!A:B,2,0)</f>
        <v>#N/A</v>
      </c>
      <c r="W6061" s="6">
        <f t="shared" si="188"/>
        <v>0</v>
      </c>
      <c r="X6061" s="6">
        <f t="shared" si="189"/>
        <v>0</v>
      </c>
    </row>
    <row r="6062" spans="22:24" x14ac:dyDescent="0.3">
      <c r="V6062" t="e">
        <f>VLOOKUP(H6062,'[1]팀별 출판사'!A:B,2,0)</f>
        <v>#N/A</v>
      </c>
      <c r="W6062" s="6">
        <f t="shared" si="188"/>
        <v>0</v>
      </c>
      <c r="X6062" s="6">
        <f t="shared" si="189"/>
        <v>0</v>
      </c>
    </row>
    <row r="6063" spans="22:24" x14ac:dyDescent="0.3">
      <c r="V6063" t="e">
        <f>VLOOKUP(H6063,'[1]팀별 출판사'!A:B,2,0)</f>
        <v>#N/A</v>
      </c>
      <c r="W6063" s="6">
        <f t="shared" si="188"/>
        <v>0</v>
      </c>
      <c r="X6063" s="6">
        <f t="shared" si="189"/>
        <v>0</v>
      </c>
    </row>
    <row r="6064" spans="22:24" x14ac:dyDescent="0.3">
      <c r="V6064" t="e">
        <f>VLOOKUP(H6064,'[1]팀별 출판사'!A:B,2,0)</f>
        <v>#N/A</v>
      </c>
      <c r="W6064" s="6">
        <f t="shared" si="188"/>
        <v>0</v>
      </c>
      <c r="X6064" s="6">
        <f t="shared" si="189"/>
        <v>0</v>
      </c>
    </row>
    <row r="6065" spans="22:24" x14ac:dyDescent="0.3">
      <c r="V6065" t="e">
        <f>VLOOKUP(H6065,'[1]팀별 출판사'!A:B,2,0)</f>
        <v>#N/A</v>
      </c>
      <c r="W6065" s="6">
        <f t="shared" si="188"/>
        <v>0</v>
      </c>
      <c r="X6065" s="6">
        <f t="shared" si="189"/>
        <v>0</v>
      </c>
    </row>
    <row r="6066" spans="22:24" x14ac:dyDescent="0.3">
      <c r="V6066" t="e">
        <f>VLOOKUP(H6066,'[1]팀별 출판사'!A:B,2,0)</f>
        <v>#N/A</v>
      </c>
      <c r="W6066" s="6">
        <f t="shared" si="188"/>
        <v>0</v>
      </c>
      <c r="X6066" s="6">
        <f t="shared" si="189"/>
        <v>0</v>
      </c>
    </row>
    <row r="6067" spans="22:24" x14ac:dyDescent="0.3">
      <c r="V6067" t="e">
        <f>VLOOKUP(H6067,'[1]팀별 출판사'!A:B,2,0)</f>
        <v>#N/A</v>
      </c>
      <c r="W6067" s="6">
        <f t="shared" si="188"/>
        <v>0</v>
      </c>
      <c r="X6067" s="6">
        <f t="shared" si="189"/>
        <v>0</v>
      </c>
    </row>
    <row r="6068" spans="22:24" x14ac:dyDescent="0.3">
      <c r="V6068" t="e">
        <f>VLOOKUP(H6068,'[1]팀별 출판사'!A:B,2,0)</f>
        <v>#N/A</v>
      </c>
      <c r="W6068" s="6">
        <f t="shared" si="188"/>
        <v>0</v>
      </c>
      <c r="X6068" s="6">
        <f t="shared" si="189"/>
        <v>0</v>
      </c>
    </row>
    <row r="6069" spans="22:24" x14ac:dyDescent="0.3">
      <c r="V6069" t="e">
        <f>VLOOKUP(H6069,'[1]팀별 출판사'!A:B,2,0)</f>
        <v>#N/A</v>
      </c>
      <c r="W6069" s="6">
        <f t="shared" si="188"/>
        <v>0</v>
      </c>
      <c r="X6069" s="6">
        <f t="shared" si="189"/>
        <v>0</v>
      </c>
    </row>
    <row r="6070" spans="22:24" x14ac:dyDescent="0.3">
      <c r="V6070" t="e">
        <f>VLOOKUP(H6070,'[1]팀별 출판사'!A:B,2,0)</f>
        <v>#N/A</v>
      </c>
      <c r="W6070" s="6">
        <f t="shared" si="188"/>
        <v>0</v>
      </c>
      <c r="X6070" s="6">
        <f t="shared" si="189"/>
        <v>0</v>
      </c>
    </row>
    <row r="6071" spans="22:24" x14ac:dyDescent="0.3">
      <c r="V6071" t="e">
        <f>VLOOKUP(H6071,'[1]팀별 출판사'!A:B,2,0)</f>
        <v>#N/A</v>
      </c>
      <c r="W6071" s="6">
        <f t="shared" si="188"/>
        <v>0</v>
      </c>
      <c r="X6071" s="6">
        <f t="shared" si="189"/>
        <v>0</v>
      </c>
    </row>
    <row r="6072" spans="22:24" x14ac:dyDescent="0.3">
      <c r="V6072" t="e">
        <f>VLOOKUP(H6072,'[1]팀별 출판사'!A:B,2,0)</f>
        <v>#N/A</v>
      </c>
      <c r="W6072" s="6">
        <f t="shared" si="188"/>
        <v>0</v>
      </c>
      <c r="X6072" s="6">
        <f t="shared" si="189"/>
        <v>0</v>
      </c>
    </row>
    <row r="6073" spans="22:24" x14ac:dyDescent="0.3">
      <c r="V6073" t="e">
        <f>VLOOKUP(H6073,'[1]팀별 출판사'!A:B,2,0)</f>
        <v>#N/A</v>
      </c>
      <c r="W6073" s="6">
        <f t="shared" si="188"/>
        <v>0</v>
      </c>
      <c r="X6073" s="6">
        <f t="shared" si="189"/>
        <v>0</v>
      </c>
    </row>
    <row r="6074" spans="22:24" x14ac:dyDescent="0.3">
      <c r="V6074" t="e">
        <f>VLOOKUP(H6074,'[1]팀별 출판사'!A:B,2,0)</f>
        <v>#N/A</v>
      </c>
      <c r="W6074" s="6">
        <f t="shared" si="188"/>
        <v>0</v>
      </c>
      <c r="X6074" s="6">
        <f t="shared" si="189"/>
        <v>0</v>
      </c>
    </row>
    <row r="6075" spans="22:24" x14ac:dyDescent="0.3">
      <c r="V6075" t="e">
        <f>VLOOKUP(H6075,'[1]팀별 출판사'!A:B,2,0)</f>
        <v>#N/A</v>
      </c>
      <c r="W6075" s="6">
        <f t="shared" si="188"/>
        <v>0</v>
      </c>
      <c r="X6075" s="6">
        <f t="shared" si="189"/>
        <v>0</v>
      </c>
    </row>
    <row r="6076" spans="22:24" x14ac:dyDescent="0.3">
      <c r="V6076" t="e">
        <f>VLOOKUP(H6076,'[1]팀별 출판사'!A:B,2,0)</f>
        <v>#N/A</v>
      </c>
      <c r="W6076" s="6">
        <f t="shared" si="188"/>
        <v>0</v>
      </c>
      <c r="X6076" s="6">
        <f t="shared" si="189"/>
        <v>0</v>
      </c>
    </row>
    <row r="6077" spans="22:24" x14ac:dyDescent="0.3">
      <c r="V6077" t="e">
        <f>VLOOKUP(H6077,'[1]팀별 출판사'!A:B,2,0)</f>
        <v>#N/A</v>
      </c>
      <c r="W6077" s="6">
        <f t="shared" si="188"/>
        <v>0</v>
      </c>
      <c r="X6077" s="6">
        <f t="shared" si="189"/>
        <v>0</v>
      </c>
    </row>
    <row r="6078" spans="22:24" x14ac:dyDescent="0.3">
      <c r="V6078" t="e">
        <f>VLOOKUP(H6078,'[1]팀별 출판사'!A:B,2,0)</f>
        <v>#N/A</v>
      </c>
      <c r="W6078" s="6">
        <f t="shared" si="188"/>
        <v>0</v>
      </c>
      <c r="X6078" s="6">
        <f t="shared" si="189"/>
        <v>0</v>
      </c>
    </row>
    <row r="6079" spans="22:24" x14ac:dyDescent="0.3">
      <c r="V6079" t="e">
        <f>VLOOKUP(H6079,'[1]팀별 출판사'!A:B,2,0)</f>
        <v>#N/A</v>
      </c>
      <c r="W6079" s="6">
        <f t="shared" si="188"/>
        <v>0</v>
      </c>
      <c r="X6079" s="6">
        <f t="shared" si="189"/>
        <v>0</v>
      </c>
    </row>
    <row r="6080" spans="22:24" x14ac:dyDescent="0.3">
      <c r="V6080" t="e">
        <f>VLOOKUP(H6080,'[1]팀별 출판사'!A:B,2,0)</f>
        <v>#N/A</v>
      </c>
      <c r="W6080" s="6">
        <f t="shared" si="188"/>
        <v>0</v>
      </c>
      <c r="X6080" s="6">
        <f t="shared" si="189"/>
        <v>0</v>
      </c>
    </row>
    <row r="6081" spans="22:24" x14ac:dyDescent="0.3">
      <c r="V6081" t="e">
        <f>VLOOKUP(H6081,'[1]팀별 출판사'!A:B,2,0)</f>
        <v>#N/A</v>
      </c>
      <c r="W6081" s="6">
        <f t="shared" si="188"/>
        <v>0</v>
      </c>
      <c r="X6081" s="6">
        <f t="shared" si="189"/>
        <v>0</v>
      </c>
    </row>
    <row r="6082" spans="22:24" x14ac:dyDescent="0.3">
      <c r="V6082" t="e">
        <f>VLOOKUP(H6082,'[1]팀별 출판사'!A:B,2,0)</f>
        <v>#N/A</v>
      </c>
      <c r="W6082" s="6">
        <f t="shared" ref="W6082:W6145" si="190">IF(P6082="US", T6082*30%, 0)</f>
        <v>0</v>
      </c>
      <c r="X6082" s="6">
        <f t="shared" ref="X6082:X6145" si="191">T6082-W6082</f>
        <v>0</v>
      </c>
    </row>
    <row r="6083" spans="22:24" x14ac:dyDescent="0.3">
      <c r="V6083" t="e">
        <f>VLOOKUP(H6083,'[1]팀별 출판사'!A:B,2,0)</f>
        <v>#N/A</v>
      </c>
      <c r="W6083" s="6">
        <f t="shared" si="190"/>
        <v>0</v>
      </c>
      <c r="X6083" s="6">
        <f t="shared" si="191"/>
        <v>0</v>
      </c>
    </row>
    <row r="6084" spans="22:24" x14ac:dyDescent="0.3">
      <c r="V6084" t="e">
        <f>VLOOKUP(H6084,'[1]팀별 출판사'!A:B,2,0)</f>
        <v>#N/A</v>
      </c>
      <c r="W6084" s="6">
        <f t="shared" si="190"/>
        <v>0</v>
      </c>
      <c r="X6084" s="6">
        <f t="shared" si="191"/>
        <v>0</v>
      </c>
    </row>
    <row r="6085" spans="22:24" x14ac:dyDescent="0.3">
      <c r="V6085" t="e">
        <f>VLOOKUP(H6085,'[1]팀별 출판사'!A:B,2,0)</f>
        <v>#N/A</v>
      </c>
      <c r="W6085" s="6">
        <f t="shared" si="190"/>
        <v>0</v>
      </c>
      <c r="X6085" s="6">
        <f t="shared" si="191"/>
        <v>0</v>
      </c>
    </row>
    <row r="6086" spans="22:24" x14ac:dyDescent="0.3">
      <c r="V6086" t="e">
        <f>VLOOKUP(H6086,'[1]팀별 출판사'!A:B,2,0)</f>
        <v>#N/A</v>
      </c>
      <c r="W6086" s="6">
        <f t="shared" si="190"/>
        <v>0</v>
      </c>
      <c r="X6086" s="6">
        <f t="shared" si="191"/>
        <v>0</v>
      </c>
    </row>
    <row r="6087" spans="22:24" x14ac:dyDescent="0.3">
      <c r="V6087" t="e">
        <f>VLOOKUP(H6087,'[1]팀별 출판사'!A:B,2,0)</f>
        <v>#N/A</v>
      </c>
      <c r="W6087" s="6">
        <f t="shared" si="190"/>
        <v>0</v>
      </c>
      <c r="X6087" s="6">
        <f t="shared" si="191"/>
        <v>0</v>
      </c>
    </row>
    <row r="6088" spans="22:24" x14ac:dyDescent="0.3">
      <c r="V6088" t="e">
        <f>VLOOKUP(H6088,'[1]팀별 출판사'!A:B,2,0)</f>
        <v>#N/A</v>
      </c>
      <c r="W6088" s="6">
        <f t="shared" si="190"/>
        <v>0</v>
      </c>
      <c r="X6088" s="6">
        <f t="shared" si="191"/>
        <v>0</v>
      </c>
    </row>
    <row r="6089" spans="22:24" x14ac:dyDescent="0.3">
      <c r="V6089" t="e">
        <f>VLOOKUP(H6089,'[1]팀별 출판사'!A:B,2,0)</f>
        <v>#N/A</v>
      </c>
      <c r="W6089" s="6">
        <f t="shared" si="190"/>
        <v>0</v>
      </c>
      <c r="X6089" s="6">
        <f t="shared" si="191"/>
        <v>0</v>
      </c>
    </row>
    <row r="6090" spans="22:24" x14ac:dyDescent="0.3">
      <c r="V6090" t="e">
        <f>VLOOKUP(H6090,'[1]팀별 출판사'!A:B,2,0)</f>
        <v>#N/A</v>
      </c>
      <c r="W6090" s="6">
        <f t="shared" si="190"/>
        <v>0</v>
      </c>
      <c r="X6090" s="6">
        <f t="shared" si="191"/>
        <v>0</v>
      </c>
    </row>
    <row r="6091" spans="22:24" x14ac:dyDescent="0.3">
      <c r="V6091" t="e">
        <f>VLOOKUP(H6091,'[1]팀별 출판사'!A:B,2,0)</f>
        <v>#N/A</v>
      </c>
      <c r="W6091" s="6">
        <f t="shared" si="190"/>
        <v>0</v>
      </c>
      <c r="X6091" s="6">
        <f t="shared" si="191"/>
        <v>0</v>
      </c>
    </row>
    <row r="6092" spans="22:24" x14ac:dyDescent="0.3">
      <c r="V6092" t="e">
        <f>VLOOKUP(H6092,'[1]팀별 출판사'!A:B,2,0)</f>
        <v>#N/A</v>
      </c>
      <c r="W6092" s="6">
        <f t="shared" si="190"/>
        <v>0</v>
      </c>
      <c r="X6092" s="6">
        <f t="shared" si="191"/>
        <v>0</v>
      </c>
    </row>
    <row r="6093" spans="22:24" x14ac:dyDescent="0.3">
      <c r="V6093" t="e">
        <f>VLOOKUP(H6093,'[1]팀별 출판사'!A:B,2,0)</f>
        <v>#N/A</v>
      </c>
      <c r="W6093" s="6">
        <f t="shared" si="190"/>
        <v>0</v>
      </c>
      <c r="X6093" s="6">
        <f t="shared" si="191"/>
        <v>0</v>
      </c>
    </row>
    <row r="6094" spans="22:24" x14ac:dyDescent="0.3">
      <c r="V6094" t="e">
        <f>VLOOKUP(H6094,'[1]팀별 출판사'!A:B,2,0)</f>
        <v>#N/A</v>
      </c>
      <c r="W6094" s="6">
        <f t="shared" si="190"/>
        <v>0</v>
      </c>
      <c r="X6094" s="6">
        <f t="shared" si="191"/>
        <v>0</v>
      </c>
    </row>
    <row r="6095" spans="22:24" x14ac:dyDescent="0.3">
      <c r="V6095" t="e">
        <f>VLOOKUP(H6095,'[1]팀별 출판사'!A:B,2,0)</f>
        <v>#N/A</v>
      </c>
      <c r="W6095" s="6">
        <f t="shared" si="190"/>
        <v>0</v>
      </c>
      <c r="X6095" s="6">
        <f t="shared" si="191"/>
        <v>0</v>
      </c>
    </row>
    <row r="6096" spans="22:24" x14ac:dyDescent="0.3">
      <c r="V6096" t="e">
        <f>VLOOKUP(H6096,'[1]팀별 출판사'!A:B,2,0)</f>
        <v>#N/A</v>
      </c>
      <c r="W6096" s="6">
        <f t="shared" si="190"/>
        <v>0</v>
      </c>
      <c r="X6096" s="6">
        <f t="shared" si="191"/>
        <v>0</v>
      </c>
    </row>
    <row r="6097" spans="22:24" x14ac:dyDescent="0.3">
      <c r="V6097" t="e">
        <f>VLOOKUP(H6097,'[1]팀별 출판사'!A:B,2,0)</f>
        <v>#N/A</v>
      </c>
      <c r="W6097" s="6">
        <f t="shared" si="190"/>
        <v>0</v>
      </c>
      <c r="X6097" s="6">
        <f t="shared" si="191"/>
        <v>0</v>
      </c>
    </row>
    <row r="6098" spans="22:24" x14ac:dyDescent="0.3">
      <c r="V6098" t="e">
        <f>VLOOKUP(H6098,'[1]팀별 출판사'!A:B,2,0)</f>
        <v>#N/A</v>
      </c>
      <c r="W6098" s="6">
        <f t="shared" si="190"/>
        <v>0</v>
      </c>
      <c r="X6098" s="6">
        <f t="shared" si="191"/>
        <v>0</v>
      </c>
    </row>
    <row r="6099" spans="22:24" x14ac:dyDescent="0.3">
      <c r="V6099" t="e">
        <f>VLOOKUP(H6099,'[1]팀별 출판사'!A:B,2,0)</f>
        <v>#N/A</v>
      </c>
      <c r="W6099" s="6">
        <f t="shared" si="190"/>
        <v>0</v>
      </c>
      <c r="X6099" s="6">
        <f t="shared" si="191"/>
        <v>0</v>
      </c>
    </row>
    <row r="6100" spans="22:24" x14ac:dyDescent="0.3">
      <c r="V6100" t="e">
        <f>VLOOKUP(H6100,'[1]팀별 출판사'!A:B,2,0)</f>
        <v>#N/A</v>
      </c>
      <c r="W6100" s="6">
        <f t="shared" si="190"/>
        <v>0</v>
      </c>
      <c r="X6100" s="6">
        <f t="shared" si="191"/>
        <v>0</v>
      </c>
    </row>
    <row r="6101" spans="22:24" x14ac:dyDescent="0.3">
      <c r="V6101" t="e">
        <f>VLOOKUP(H6101,'[1]팀별 출판사'!A:B,2,0)</f>
        <v>#N/A</v>
      </c>
      <c r="W6101" s="6">
        <f t="shared" si="190"/>
        <v>0</v>
      </c>
      <c r="X6101" s="6">
        <f t="shared" si="191"/>
        <v>0</v>
      </c>
    </row>
    <row r="6102" spans="22:24" x14ac:dyDescent="0.3">
      <c r="V6102" t="e">
        <f>VLOOKUP(H6102,'[1]팀별 출판사'!A:B,2,0)</f>
        <v>#N/A</v>
      </c>
      <c r="W6102" s="6">
        <f t="shared" si="190"/>
        <v>0</v>
      </c>
      <c r="X6102" s="6">
        <f t="shared" si="191"/>
        <v>0</v>
      </c>
    </row>
    <row r="6103" spans="22:24" x14ac:dyDescent="0.3">
      <c r="V6103" t="e">
        <f>VLOOKUP(H6103,'[1]팀별 출판사'!A:B,2,0)</f>
        <v>#N/A</v>
      </c>
      <c r="W6103" s="6">
        <f t="shared" si="190"/>
        <v>0</v>
      </c>
      <c r="X6103" s="6">
        <f t="shared" si="191"/>
        <v>0</v>
      </c>
    </row>
    <row r="6104" spans="22:24" x14ac:dyDescent="0.3">
      <c r="V6104" t="e">
        <f>VLOOKUP(H6104,'[1]팀별 출판사'!A:B,2,0)</f>
        <v>#N/A</v>
      </c>
      <c r="W6104" s="6">
        <f t="shared" si="190"/>
        <v>0</v>
      </c>
      <c r="X6104" s="6">
        <f t="shared" si="191"/>
        <v>0</v>
      </c>
    </row>
    <row r="6105" spans="22:24" x14ac:dyDescent="0.3">
      <c r="V6105" t="e">
        <f>VLOOKUP(H6105,'[1]팀별 출판사'!A:B,2,0)</f>
        <v>#N/A</v>
      </c>
      <c r="W6105" s="6">
        <f t="shared" si="190"/>
        <v>0</v>
      </c>
      <c r="X6105" s="6">
        <f t="shared" si="191"/>
        <v>0</v>
      </c>
    </row>
    <row r="6106" spans="22:24" x14ac:dyDescent="0.3">
      <c r="V6106" t="e">
        <f>VLOOKUP(H6106,'[1]팀별 출판사'!A:B,2,0)</f>
        <v>#N/A</v>
      </c>
      <c r="W6106" s="6">
        <f t="shared" si="190"/>
        <v>0</v>
      </c>
      <c r="X6106" s="6">
        <f t="shared" si="191"/>
        <v>0</v>
      </c>
    </row>
    <row r="6107" spans="22:24" x14ac:dyDescent="0.3">
      <c r="V6107" t="e">
        <f>VLOOKUP(H6107,'[1]팀별 출판사'!A:B,2,0)</f>
        <v>#N/A</v>
      </c>
      <c r="W6107" s="6">
        <f t="shared" si="190"/>
        <v>0</v>
      </c>
      <c r="X6107" s="6">
        <f t="shared" si="191"/>
        <v>0</v>
      </c>
    </row>
    <row r="6108" spans="22:24" x14ac:dyDescent="0.3">
      <c r="V6108" t="e">
        <f>VLOOKUP(H6108,'[1]팀별 출판사'!A:B,2,0)</f>
        <v>#N/A</v>
      </c>
      <c r="W6108" s="6">
        <f t="shared" si="190"/>
        <v>0</v>
      </c>
      <c r="X6108" s="6">
        <f t="shared" si="191"/>
        <v>0</v>
      </c>
    </row>
    <row r="6109" spans="22:24" x14ac:dyDescent="0.3">
      <c r="V6109" t="e">
        <f>VLOOKUP(H6109,'[1]팀별 출판사'!A:B,2,0)</f>
        <v>#N/A</v>
      </c>
      <c r="W6109" s="6">
        <f t="shared" si="190"/>
        <v>0</v>
      </c>
      <c r="X6109" s="6">
        <f t="shared" si="191"/>
        <v>0</v>
      </c>
    </row>
    <row r="6110" spans="22:24" x14ac:dyDescent="0.3">
      <c r="V6110" t="e">
        <f>VLOOKUP(H6110,'[1]팀별 출판사'!A:B,2,0)</f>
        <v>#N/A</v>
      </c>
      <c r="W6110" s="6">
        <f t="shared" si="190"/>
        <v>0</v>
      </c>
      <c r="X6110" s="6">
        <f t="shared" si="191"/>
        <v>0</v>
      </c>
    </row>
    <row r="6111" spans="22:24" x14ac:dyDescent="0.3">
      <c r="V6111" t="e">
        <f>VLOOKUP(H6111,'[1]팀별 출판사'!A:B,2,0)</f>
        <v>#N/A</v>
      </c>
      <c r="W6111" s="6">
        <f t="shared" si="190"/>
        <v>0</v>
      </c>
      <c r="X6111" s="6">
        <f t="shared" si="191"/>
        <v>0</v>
      </c>
    </row>
    <row r="6112" spans="22:24" x14ac:dyDescent="0.3">
      <c r="V6112" t="e">
        <f>VLOOKUP(H6112,'[1]팀별 출판사'!A:B,2,0)</f>
        <v>#N/A</v>
      </c>
      <c r="W6112" s="6">
        <f t="shared" si="190"/>
        <v>0</v>
      </c>
      <c r="X6112" s="6">
        <f t="shared" si="191"/>
        <v>0</v>
      </c>
    </row>
    <row r="6113" spans="22:24" x14ac:dyDescent="0.3">
      <c r="V6113" t="e">
        <f>VLOOKUP(H6113,'[1]팀별 출판사'!A:B,2,0)</f>
        <v>#N/A</v>
      </c>
      <c r="W6113" s="6">
        <f t="shared" si="190"/>
        <v>0</v>
      </c>
      <c r="X6113" s="6">
        <f t="shared" si="191"/>
        <v>0</v>
      </c>
    </row>
    <row r="6114" spans="22:24" x14ac:dyDescent="0.3">
      <c r="V6114" t="e">
        <f>VLOOKUP(H6114,'[1]팀별 출판사'!A:B,2,0)</f>
        <v>#N/A</v>
      </c>
      <c r="W6114" s="6">
        <f t="shared" si="190"/>
        <v>0</v>
      </c>
      <c r="X6114" s="6">
        <f t="shared" si="191"/>
        <v>0</v>
      </c>
    </row>
    <row r="6115" spans="22:24" x14ac:dyDescent="0.3">
      <c r="V6115" t="e">
        <f>VLOOKUP(H6115,'[1]팀별 출판사'!A:B,2,0)</f>
        <v>#N/A</v>
      </c>
      <c r="W6115" s="6">
        <f t="shared" si="190"/>
        <v>0</v>
      </c>
      <c r="X6115" s="6">
        <f t="shared" si="191"/>
        <v>0</v>
      </c>
    </row>
    <row r="6116" spans="22:24" x14ac:dyDescent="0.3">
      <c r="V6116" t="e">
        <f>VLOOKUP(H6116,'[1]팀별 출판사'!A:B,2,0)</f>
        <v>#N/A</v>
      </c>
      <c r="W6116" s="6">
        <f t="shared" si="190"/>
        <v>0</v>
      </c>
      <c r="X6116" s="6">
        <f t="shared" si="191"/>
        <v>0</v>
      </c>
    </row>
    <row r="6117" spans="22:24" x14ac:dyDescent="0.3">
      <c r="V6117" t="e">
        <f>VLOOKUP(H6117,'[1]팀별 출판사'!A:B,2,0)</f>
        <v>#N/A</v>
      </c>
      <c r="W6117" s="6">
        <f t="shared" si="190"/>
        <v>0</v>
      </c>
      <c r="X6117" s="6">
        <f t="shared" si="191"/>
        <v>0</v>
      </c>
    </row>
    <row r="6118" spans="22:24" x14ac:dyDescent="0.3">
      <c r="V6118" t="e">
        <f>VLOOKUP(H6118,'[1]팀별 출판사'!A:B,2,0)</f>
        <v>#N/A</v>
      </c>
      <c r="W6118" s="6">
        <f t="shared" si="190"/>
        <v>0</v>
      </c>
      <c r="X6118" s="6">
        <f t="shared" si="191"/>
        <v>0</v>
      </c>
    </row>
    <row r="6119" spans="22:24" x14ac:dyDescent="0.3">
      <c r="V6119" t="e">
        <f>VLOOKUP(H6119,'[1]팀별 출판사'!A:B,2,0)</f>
        <v>#N/A</v>
      </c>
      <c r="W6119" s="6">
        <f t="shared" si="190"/>
        <v>0</v>
      </c>
      <c r="X6119" s="6">
        <f t="shared" si="191"/>
        <v>0</v>
      </c>
    </row>
    <row r="6120" spans="22:24" x14ac:dyDescent="0.3">
      <c r="V6120" t="e">
        <f>VLOOKUP(H6120,'[1]팀별 출판사'!A:B,2,0)</f>
        <v>#N/A</v>
      </c>
      <c r="W6120" s="6">
        <f t="shared" si="190"/>
        <v>0</v>
      </c>
      <c r="X6120" s="6">
        <f t="shared" si="191"/>
        <v>0</v>
      </c>
    </row>
    <row r="6121" spans="22:24" x14ac:dyDescent="0.3">
      <c r="V6121" t="e">
        <f>VLOOKUP(H6121,'[1]팀별 출판사'!A:B,2,0)</f>
        <v>#N/A</v>
      </c>
      <c r="W6121" s="6">
        <f t="shared" si="190"/>
        <v>0</v>
      </c>
      <c r="X6121" s="6">
        <f t="shared" si="191"/>
        <v>0</v>
      </c>
    </row>
    <row r="6122" spans="22:24" x14ac:dyDescent="0.3">
      <c r="V6122" t="e">
        <f>VLOOKUP(H6122,'[1]팀별 출판사'!A:B,2,0)</f>
        <v>#N/A</v>
      </c>
      <c r="W6122" s="6">
        <f t="shared" si="190"/>
        <v>0</v>
      </c>
      <c r="X6122" s="6">
        <f t="shared" si="191"/>
        <v>0</v>
      </c>
    </row>
    <row r="6123" spans="22:24" x14ac:dyDescent="0.3">
      <c r="V6123" t="e">
        <f>VLOOKUP(H6123,'[1]팀별 출판사'!A:B,2,0)</f>
        <v>#N/A</v>
      </c>
      <c r="W6123" s="6">
        <f t="shared" si="190"/>
        <v>0</v>
      </c>
      <c r="X6123" s="6">
        <f t="shared" si="191"/>
        <v>0</v>
      </c>
    </row>
    <row r="6124" spans="22:24" x14ac:dyDescent="0.3">
      <c r="V6124" t="e">
        <f>VLOOKUP(H6124,'[1]팀별 출판사'!A:B,2,0)</f>
        <v>#N/A</v>
      </c>
      <c r="W6124" s="6">
        <f t="shared" si="190"/>
        <v>0</v>
      </c>
      <c r="X6124" s="6">
        <f t="shared" si="191"/>
        <v>0</v>
      </c>
    </row>
    <row r="6125" spans="22:24" x14ac:dyDescent="0.3">
      <c r="V6125" t="e">
        <f>VLOOKUP(H6125,'[1]팀별 출판사'!A:B,2,0)</f>
        <v>#N/A</v>
      </c>
      <c r="W6125" s="6">
        <f t="shared" si="190"/>
        <v>0</v>
      </c>
      <c r="X6125" s="6">
        <f t="shared" si="191"/>
        <v>0</v>
      </c>
    </row>
    <row r="6126" spans="22:24" x14ac:dyDescent="0.3">
      <c r="V6126" t="e">
        <f>VLOOKUP(H6126,'[1]팀별 출판사'!A:B,2,0)</f>
        <v>#N/A</v>
      </c>
      <c r="W6126" s="6">
        <f t="shared" si="190"/>
        <v>0</v>
      </c>
      <c r="X6126" s="6">
        <f t="shared" si="191"/>
        <v>0</v>
      </c>
    </row>
    <row r="6127" spans="22:24" x14ac:dyDescent="0.3">
      <c r="V6127" t="e">
        <f>VLOOKUP(H6127,'[1]팀별 출판사'!A:B,2,0)</f>
        <v>#N/A</v>
      </c>
      <c r="W6127" s="6">
        <f t="shared" si="190"/>
        <v>0</v>
      </c>
      <c r="X6127" s="6">
        <f t="shared" si="191"/>
        <v>0</v>
      </c>
    </row>
    <row r="6128" spans="22:24" x14ac:dyDescent="0.3">
      <c r="V6128" t="e">
        <f>VLOOKUP(H6128,'[1]팀별 출판사'!A:B,2,0)</f>
        <v>#N/A</v>
      </c>
      <c r="W6128" s="6">
        <f t="shared" si="190"/>
        <v>0</v>
      </c>
      <c r="X6128" s="6">
        <f t="shared" si="191"/>
        <v>0</v>
      </c>
    </row>
    <row r="6129" spans="22:24" x14ac:dyDescent="0.3">
      <c r="V6129" t="e">
        <f>VLOOKUP(H6129,'[1]팀별 출판사'!A:B,2,0)</f>
        <v>#N/A</v>
      </c>
      <c r="W6129" s="6">
        <f t="shared" si="190"/>
        <v>0</v>
      </c>
      <c r="X6129" s="6">
        <f t="shared" si="191"/>
        <v>0</v>
      </c>
    </row>
    <row r="6130" spans="22:24" x14ac:dyDescent="0.3">
      <c r="V6130" t="e">
        <f>VLOOKUP(H6130,'[1]팀별 출판사'!A:B,2,0)</f>
        <v>#N/A</v>
      </c>
      <c r="W6130" s="6">
        <f t="shared" si="190"/>
        <v>0</v>
      </c>
      <c r="X6130" s="6">
        <f t="shared" si="191"/>
        <v>0</v>
      </c>
    </row>
    <row r="6131" spans="22:24" x14ac:dyDescent="0.3">
      <c r="V6131" t="e">
        <f>VLOOKUP(H6131,'[1]팀별 출판사'!A:B,2,0)</f>
        <v>#N/A</v>
      </c>
      <c r="W6131" s="6">
        <f t="shared" si="190"/>
        <v>0</v>
      </c>
      <c r="X6131" s="6">
        <f t="shared" si="191"/>
        <v>0</v>
      </c>
    </row>
    <row r="6132" spans="22:24" x14ac:dyDescent="0.3">
      <c r="V6132" t="e">
        <f>VLOOKUP(H6132,'[1]팀별 출판사'!A:B,2,0)</f>
        <v>#N/A</v>
      </c>
      <c r="W6132" s="6">
        <f t="shared" si="190"/>
        <v>0</v>
      </c>
      <c r="X6132" s="6">
        <f t="shared" si="191"/>
        <v>0</v>
      </c>
    </row>
    <row r="6133" spans="22:24" x14ac:dyDescent="0.3">
      <c r="V6133" t="e">
        <f>VLOOKUP(H6133,'[1]팀별 출판사'!A:B,2,0)</f>
        <v>#N/A</v>
      </c>
      <c r="W6133" s="6">
        <f t="shared" si="190"/>
        <v>0</v>
      </c>
      <c r="X6133" s="6">
        <f t="shared" si="191"/>
        <v>0</v>
      </c>
    </row>
    <row r="6134" spans="22:24" x14ac:dyDescent="0.3">
      <c r="V6134" t="e">
        <f>VLOOKUP(H6134,'[1]팀별 출판사'!A:B,2,0)</f>
        <v>#N/A</v>
      </c>
      <c r="W6134" s="6">
        <f t="shared" si="190"/>
        <v>0</v>
      </c>
      <c r="X6134" s="6">
        <f t="shared" si="191"/>
        <v>0</v>
      </c>
    </row>
    <row r="6135" spans="22:24" x14ac:dyDescent="0.3">
      <c r="V6135" t="e">
        <f>VLOOKUP(H6135,'[1]팀별 출판사'!A:B,2,0)</f>
        <v>#N/A</v>
      </c>
      <c r="W6135" s="6">
        <f t="shared" si="190"/>
        <v>0</v>
      </c>
      <c r="X6135" s="6">
        <f t="shared" si="191"/>
        <v>0</v>
      </c>
    </row>
    <row r="6136" spans="22:24" x14ac:dyDescent="0.3">
      <c r="V6136" t="e">
        <f>VLOOKUP(H6136,'[1]팀별 출판사'!A:B,2,0)</f>
        <v>#N/A</v>
      </c>
      <c r="W6136" s="6">
        <f t="shared" si="190"/>
        <v>0</v>
      </c>
      <c r="X6136" s="6">
        <f t="shared" si="191"/>
        <v>0</v>
      </c>
    </row>
    <row r="6137" spans="22:24" x14ac:dyDescent="0.3">
      <c r="V6137" t="e">
        <f>VLOOKUP(H6137,'[1]팀별 출판사'!A:B,2,0)</f>
        <v>#N/A</v>
      </c>
      <c r="W6137" s="6">
        <f t="shared" si="190"/>
        <v>0</v>
      </c>
      <c r="X6137" s="6">
        <f t="shared" si="191"/>
        <v>0</v>
      </c>
    </row>
    <row r="6138" spans="22:24" x14ac:dyDescent="0.3">
      <c r="V6138" t="e">
        <f>VLOOKUP(H6138,'[1]팀별 출판사'!A:B,2,0)</f>
        <v>#N/A</v>
      </c>
      <c r="W6138" s="6">
        <f t="shared" si="190"/>
        <v>0</v>
      </c>
      <c r="X6138" s="6">
        <f t="shared" si="191"/>
        <v>0</v>
      </c>
    </row>
    <row r="6139" spans="22:24" x14ac:dyDescent="0.3">
      <c r="V6139" t="e">
        <f>VLOOKUP(H6139,'[1]팀별 출판사'!A:B,2,0)</f>
        <v>#N/A</v>
      </c>
      <c r="W6139" s="6">
        <f t="shared" si="190"/>
        <v>0</v>
      </c>
      <c r="X6139" s="6">
        <f t="shared" si="191"/>
        <v>0</v>
      </c>
    </row>
    <row r="6140" spans="22:24" x14ac:dyDescent="0.3">
      <c r="V6140" t="e">
        <f>VLOOKUP(H6140,'[1]팀별 출판사'!A:B,2,0)</f>
        <v>#N/A</v>
      </c>
      <c r="W6140" s="6">
        <f t="shared" si="190"/>
        <v>0</v>
      </c>
      <c r="X6140" s="6">
        <f t="shared" si="191"/>
        <v>0</v>
      </c>
    </row>
    <row r="6141" spans="22:24" x14ac:dyDescent="0.3">
      <c r="V6141" t="e">
        <f>VLOOKUP(H6141,'[1]팀별 출판사'!A:B,2,0)</f>
        <v>#N/A</v>
      </c>
      <c r="W6141" s="6">
        <f t="shared" si="190"/>
        <v>0</v>
      </c>
      <c r="X6141" s="6">
        <f t="shared" si="191"/>
        <v>0</v>
      </c>
    </row>
    <row r="6142" spans="22:24" x14ac:dyDescent="0.3">
      <c r="V6142" t="e">
        <f>VLOOKUP(H6142,'[1]팀별 출판사'!A:B,2,0)</f>
        <v>#N/A</v>
      </c>
      <c r="W6142" s="6">
        <f t="shared" si="190"/>
        <v>0</v>
      </c>
      <c r="X6142" s="6">
        <f t="shared" si="191"/>
        <v>0</v>
      </c>
    </row>
    <row r="6143" spans="22:24" x14ac:dyDescent="0.3">
      <c r="V6143" t="e">
        <f>VLOOKUP(H6143,'[1]팀별 출판사'!A:B,2,0)</f>
        <v>#N/A</v>
      </c>
      <c r="W6143" s="6">
        <f t="shared" si="190"/>
        <v>0</v>
      </c>
      <c r="X6143" s="6">
        <f t="shared" si="191"/>
        <v>0</v>
      </c>
    </row>
    <row r="6144" spans="22:24" x14ac:dyDescent="0.3">
      <c r="V6144" t="e">
        <f>VLOOKUP(H6144,'[1]팀별 출판사'!A:B,2,0)</f>
        <v>#N/A</v>
      </c>
      <c r="W6144" s="6">
        <f t="shared" si="190"/>
        <v>0</v>
      </c>
      <c r="X6144" s="6">
        <f t="shared" si="191"/>
        <v>0</v>
      </c>
    </row>
    <row r="6145" spans="22:24" x14ac:dyDescent="0.3">
      <c r="V6145" t="e">
        <f>VLOOKUP(H6145,'[1]팀별 출판사'!A:B,2,0)</f>
        <v>#N/A</v>
      </c>
      <c r="W6145" s="6">
        <f t="shared" si="190"/>
        <v>0</v>
      </c>
      <c r="X6145" s="6">
        <f t="shared" si="191"/>
        <v>0</v>
      </c>
    </row>
    <row r="6146" spans="22:24" x14ac:dyDescent="0.3">
      <c r="V6146" t="e">
        <f>VLOOKUP(H6146,'[1]팀별 출판사'!A:B,2,0)</f>
        <v>#N/A</v>
      </c>
      <c r="W6146" s="6">
        <f t="shared" ref="W6146:W6209" si="192">IF(P6146="US", T6146*30%, 0)</f>
        <v>0</v>
      </c>
      <c r="X6146" s="6">
        <f t="shared" ref="X6146:X6209" si="193">T6146-W6146</f>
        <v>0</v>
      </c>
    </row>
    <row r="6147" spans="22:24" x14ac:dyDescent="0.3">
      <c r="V6147" t="e">
        <f>VLOOKUP(H6147,'[1]팀별 출판사'!A:B,2,0)</f>
        <v>#N/A</v>
      </c>
      <c r="W6147" s="6">
        <f t="shared" si="192"/>
        <v>0</v>
      </c>
      <c r="X6147" s="6">
        <f t="shared" si="193"/>
        <v>0</v>
      </c>
    </row>
    <row r="6148" spans="22:24" x14ac:dyDescent="0.3">
      <c r="V6148" t="e">
        <f>VLOOKUP(H6148,'[1]팀별 출판사'!A:B,2,0)</f>
        <v>#N/A</v>
      </c>
      <c r="W6148" s="6">
        <f t="shared" si="192"/>
        <v>0</v>
      </c>
      <c r="X6148" s="6">
        <f t="shared" si="193"/>
        <v>0</v>
      </c>
    </row>
    <row r="6149" spans="22:24" x14ac:dyDescent="0.3">
      <c r="V6149" t="e">
        <f>VLOOKUP(H6149,'[1]팀별 출판사'!A:B,2,0)</f>
        <v>#N/A</v>
      </c>
      <c r="W6149" s="6">
        <f t="shared" si="192"/>
        <v>0</v>
      </c>
      <c r="X6149" s="6">
        <f t="shared" si="193"/>
        <v>0</v>
      </c>
    </row>
    <row r="6150" spans="22:24" x14ac:dyDescent="0.3">
      <c r="V6150" t="e">
        <f>VLOOKUP(H6150,'[1]팀별 출판사'!A:B,2,0)</f>
        <v>#N/A</v>
      </c>
      <c r="W6150" s="6">
        <f t="shared" si="192"/>
        <v>0</v>
      </c>
      <c r="X6150" s="6">
        <f t="shared" si="193"/>
        <v>0</v>
      </c>
    </row>
    <row r="6151" spans="22:24" x14ac:dyDescent="0.3">
      <c r="V6151" t="e">
        <f>VLOOKUP(H6151,'[1]팀별 출판사'!A:B,2,0)</f>
        <v>#N/A</v>
      </c>
      <c r="W6151" s="6">
        <f t="shared" si="192"/>
        <v>0</v>
      </c>
      <c r="X6151" s="6">
        <f t="shared" si="193"/>
        <v>0</v>
      </c>
    </row>
    <row r="6152" spans="22:24" x14ac:dyDescent="0.3">
      <c r="V6152" t="e">
        <f>VLOOKUP(H6152,'[1]팀별 출판사'!A:B,2,0)</f>
        <v>#N/A</v>
      </c>
      <c r="W6152" s="6">
        <f t="shared" si="192"/>
        <v>0</v>
      </c>
      <c r="X6152" s="6">
        <f t="shared" si="193"/>
        <v>0</v>
      </c>
    </row>
    <row r="6153" spans="22:24" x14ac:dyDescent="0.3">
      <c r="V6153" t="e">
        <f>VLOOKUP(H6153,'[1]팀별 출판사'!A:B,2,0)</f>
        <v>#N/A</v>
      </c>
      <c r="W6153" s="6">
        <f t="shared" si="192"/>
        <v>0</v>
      </c>
      <c r="X6153" s="6">
        <f t="shared" si="193"/>
        <v>0</v>
      </c>
    </row>
    <row r="6154" spans="22:24" x14ac:dyDescent="0.3">
      <c r="V6154" t="e">
        <f>VLOOKUP(H6154,'[1]팀별 출판사'!A:B,2,0)</f>
        <v>#N/A</v>
      </c>
      <c r="W6154" s="6">
        <f t="shared" si="192"/>
        <v>0</v>
      </c>
      <c r="X6154" s="6">
        <f t="shared" si="193"/>
        <v>0</v>
      </c>
    </row>
    <row r="6155" spans="22:24" x14ac:dyDescent="0.3">
      <c r="V6155" t="e">
        <f>VLOOKUP(H6155,'[1]팀별 출판사'!A:B,2,0)</f>
        <v>#N/A</v>
      </c>
      <c r="W6155" s="6">
        <f t="shared" si="192"/>
        <v>0</v>
      </c>
      <c r="X6155" s="6">
        <f t="shared" si="193"/>
        <v>0</v>
      </c>
    </row>
    <row r="6156" spans="22:24" x14ac:dyDescent="0.3">
      <c r="V6156" t="e">
        <f>VLOOKUP(H6156,'[1]팀별 출판사'!A:B,2,0)</f>
        <v>#N/A</v>
      </c>
      <c r="W6156" s="6">
        <f t="shared" si="192"/>
        <v>0</v>
      </c>
      <c r="X6156" s="6">
        <f t="shared" si="193"/>
        <v>0</v>
      </c>
    </row>
    <row r="6157" spans="22:24" x14ac:dyDescent="0.3">
      <c r="V6157" t="e">
        <f>VLOOKUP(H6157,'[1]팀별 출판사'!A:B,2,0)</f>
        <v>#N/A</v>
      </c>
      <c r="W6157" s="6">
        <f t="shared" si="192"/>
        <v>0</v>
      </c>
      <c r="X6157" s="6">
        <f t="shared" si="193"/>
        <v>0</v>
      </c>
    </row>
    <row r="6158" spans="22:24" x14ac:dyDescent="0.3">
      <c r="V6158" t="e">
        <f>VLOOKUP(H6158,'[1]팀별 출판사'!A:B,2,0)</f>
        <v>#N/A</v>
      </c>
      <c r="W6158" s="6">
        <f t="shared" si="192"/>
        <v>0</v>
      </c>
      <c r="X6158" s="6">
        <f t="shared" si="193"/>
        <v>0</v>
      </c>
    </row>
    <row r="6159" spans="22:24" x14ac:dyDescent="0.3">
      <c r="V6159" t="e">
        <f>VLOOKUP(H6159,'[1]팀별 출판사'!A:B,2,0)</f>
        <v>#N/A</v>
      </c>
      <c r="W6159" s="6">
        <f t="shared" si="192"/>
        <v>0</v>
      </c>
      <c r="X6159" s="6">
        <f t="shared" si="193"/>
        <v>0</v>
      </c>
    </row>
    <row r="6160" spans="22:24" x14ac:dyDescent="0.3">
      <c r="V6160" t="e">
        <f>VLOOKUP(H6160,'[1]팀별 출판사'!A:B,2,0)</f>
        <v>#N/A</v>
      </c>
      <c r="W6160" s="6">
        <f t="shared" si="192"/>
        <v>0</v>
      </c>
      <c r="X6160" s="6">
        <f t="shared" si="193"/>
        <v>0</v>
      </c>
    </row>
    <row r="6161" spans="22:24" x14ac:dyDescent="0.3">
      <c r="V6161" t="e">
        <f>VLOOKUP(H6161,'[1]팀별 출판사'!A:B,2,0)</f>
        <v>#N/A</v>
      </c>
      <c r="W6161" s="6">
        <f t="shared" si="192"/>
        <v>0</v>
      </c>
      <c r="X6161" s="6">
        <f t="shared" si="193"/>
        <v>0</v>
      </c>
    </row>
    <row r="6162" spans="22:24" x14ac:dyDescent="0.3">
      <c r="V6162" t="e">
        <f>VLOOKUP(H6162,'[1]팀별 출판사'!A:B,2,0)</f>
        <v>#N/A</v>
      </c>
      <c r="W6162" s="6">
        <f t="shared" si="192"/>
        <v>0</v>
      </c>
      <c r="X6162" s="6">
        <f t="shared" si="193"/>
        <v>0</v>
      </c>
    </row>
    <row r="6163" spans="22:24" x14ac:dyDescent="0.3">
      <c r="V6163" t="e">
        <f>VLOOKUP(H6163,'[1]팀별 출판사'!A:B,2,0)</f>
        <v>#N/A</v>
      </c>
      <c r="W6163" s="6">
        <f t="shared" si="192"/>
        <v>0</v>
      </c>
      <c r="X6163" s="6">
        <f t="shared" si="193"/>
        <v>0</v>
      </c>
    </row>
    <row r="6164" spans="22:24" x14ac:dyDescent="0.3">
      <c r="V6164" t="e">
        <f>VLOOKUP(H6164,'[1]팀별 출판사'!A:B,2,0)</f>
        <v>#N/A</v>
      </c>
      <c r="W6164" s="6">
        <f t="shared" si="192"/>
        <v>0</v>
      </c>
      <c r="X6164" s="6">
        <f t="shared" si="193"/>
        <v>0</v>
      </c>
    </row>
    <row r="6165" spans="22:24" x14ac:dyDescent="0.3">
      <c r="V6165" t="e">
        <f>VLOOKUP(H6165,'[1]팀별 출판사'!A:B,2,0)</f>
        <v>#N/A</v>
      </c>
      <c r="W6165" s="6">
        <f t="shared" si="192"/>
        <v>0</v>
      </c>
      <c r="X6165" s="6">
        <f t="shared" si="193"/>
        <v>0</v>
      </c>
    </row>
    <row r="6166" spans="22:24" x14ac:dyDescent="0.3">
      <c r="V6166" t="e">
        <f>VLOOKUP(H6166,'[1]팀별 출판사'!A:B,2,0)</f>
        <v>#N/A</v>
      </c>
      <c r="W6166" s="6">
        <f t="shared" si="192"/>
        <v>0</v>
      </c>
      <c r="X6166" s="6">
        <f t="shared" si="193"/>
        <v>0</v>
      </c>
    </row>
    <row r="6167" spans="22:24" x14ac:dyDescent="0.3">
      <c r="V6167" t="e">
        <f>VLOOKUP(H6167,'[1]팀별 출판사'!A:B,2,0)</f>
        <v>#N/A</v>
      </c>
      <c r="W6167" s="6">
        <f t="shared" si="192"/>
        <v>0</v>
      </c>
      <c r="X6167" s="6">
        <f t="shared" si="193"/>
        <v>0</v>
      </c>
    </row>
    <row r="6168" spans="22:24" x14ac:dyDescent="0.3">
      <c r="V6168" t="e">
        <f>VLOOKUP(H6168,'[1]팀별 출판사'!A:B,2,0)</f>
        <v>#N/A</v>
      </c>
      <c r="W6168" s="6">
        <f t="shared" si="192"/>
        <v>0</v>
      </c>
      <c r="X6168" s="6">
        <f t="shared" si="193"/>
        <v>0</v>
      </c>
    </row>
    <row r="6169" spans="22:24" x14ac:dyDescent="0.3">
      <c r="V6169" t="e">
        <f>VLOOKUP(H6169,'[1]팀별 출판사'!A:B,2,0)</f>
        <v>#N/A</v>
      </c>
      <c r="W6169" s="6">
        <f t="shared" si="192"/>
        <v>0</v>
      </c>
      <c r="X6169" s="6">
        <f t="shared" si="193"/>
        <v>0</v>
      </c>
    </row>
    <row r="6170" spans="22:24" x14ac:dyDescent="0.3">
      <c r="V6170" t="e">
        <f>VLOOKUP(H6170,'[1]팀별 출판사'!A:B,2,0)</f>
        <v>#N/A</v>
      </c>
      <c r="W6170" s="6">
        <f t="shared" si="192"/>
        <v>0</v>
      </c>
      <c r="X6170" s="6">
        <f t="shared" si="193"/>
        <v>0</v>
      </c>
    </row>
    <row r="6171" spans="22:24" x14ac:dyDescent="0.3">
      <c r="V6171" t="e">
        <f>VLOOKUP(H6171,'[1]팀별 출판사'!A:B,2,0)</f>
        <v>#N/A</v>
      </c>
      <c r="W6171" s="6">
        <f t="shared" si="192"/>
        <v>0</v>
      </c>
      <c r="X6171" s="6">
        <f t="shared" si="193"/>
        <v>0</v>
      </c>
    </row>
    <row r="6172" spans="22:24" x14ac:dyDescent="0.3">
      <c r="V6172" t="e">
        <f>VLOOKUP(H6172,'[1]팀별 출판사'!A:B,2,0)</f>
        <v>#N/A</v>
      </c>
      <c r="W6172" s="6">
        <f t="shared" si="192"/>
        <v>0</v>
      </c>
      <c r="X6172" s="6">
        <f t="shared" si="193"/>
        <v>0</v>
      </c>
    </row>
    <row r="6173" spans="22:24" x14ac:dyDescent="0.3">
      <c r="V6173" t="e">
        <f>VLOOKUP(H6173,'[1]팀별 출판사'!A:B,2,0)</f>
        <v>#N/A</v>
      </c>
      <c r="W6173" s="6">
        <f t="shared" si="192"/>
        <v>0</v>
      </c>
      <c r="X6173" s="6">
        <f t="shared" si="193"/>
        <v>0</v>
      </c>
    </row>
    <row r="6174" spans="22:24" x14ac:dyDescent="0.3">
      <c r="V6174" t="e">
        <f>VLOOKUP(H6174,'[1]팀별 출판사'!A:B,2,0)</f>
        <v>#N/A</v>
      </c>
      <c r="W6174" s="6">
        <f t="shared" si="192"/>
        <v>0</v>
      </c>
      <c r="X6174" s="6">
        <f t="shared" si="193"/>
        <v>0</v>
      </c>
    </row>
    <row r="6175" spans="22:24" x14ac:dyDescent="0.3">
      <c r="V6175" t="e">
        <f>VLOOKUP(H6175,'[1]팀별 출판사'!A:B,2,0)</f>
        <v>#N/A</v>
      </c>
      <c r="W6175" s="6">
        <f t="shared" si="192"/>
        <v>0</v>
      </c>
      <c r="X6175" s="6">
        <f t="shared" si="193"/>
        <v>0</v>
      </c>
    </row>
    <row r="6176" spans="22:24" x14ac:dyDescent="0.3">
      <c r="V6176" t="e">
        <f>VLOOKUP(H6176,'[1]팀별 출판사'!A:B,2,0)</f>
        <v>#N/A</v>
      </c>
      <c r="W6176" s="6">
        <f t="shared" si="192"/>
        <v>0</v>
      </c>
      <c r="X6176" s="6">
        <f t="shared" si="193"/>
        <v>0</v>
      </c>
    </row>
    <row r="6177" spans="22:24" x14ac:dyDescent="0.3">
      <c r="V6177" t="e">
        <f>VLOOKUP(H6177,'[1]팀별 출판사'!A:B,2,0)</f>
        <v>#N/A</v>
      </c>
      <c r="W6177" s="6">
        <f t="shared" si="192"/>
        <v>0</v>
      </c>
      <c r="X6177" s="6">
        <f t="shared" si="193"/>
        <v>0</v>
      </c>
    </row>
    <row r="6178" spans="22:24" x14ac:dyDescent="0.3">
      <c r="V6178" t="e">
        <f>VLOOKUP(H6178,'[1]팀별 출판사'!A:B,2,0)</f>
        <v>#N/A</v>
      </c>
      <c r="W6178" s="6">
        <f t="shared" si="192"/>
        <v>0</v>
      </c>
      <c r="X6178" s="6">
        <f t="shared" si="193"/>
        <v>0</v>
      </c>
    </row>
    <row r="6179" spans="22:24" x14ac:dyDescent="0.3">
      <c r="V6179" t="e">
        <f>VLOOKUP(H6179,'[1]팀별 출판사'!A:B,2,0)</f>
        <v>#N/A</v>
      </c>
      <c r="W6179" s="6">
        <f t="shared" si="192"/>
        <v>0</v>
      </c>
      <c r="X6179" s="6">
        <f t="shared" si="193"/>
        <v>0</v>
      </c>
    </row>
    <row r="6180" spans="22:24" x14ac:dyDescent="0.3">
      <c r="V6180" t="e">
        <f>VLOOKUP(H6180,'[1]팀별 출판사'!A:B,2,0)</f>
        <v>#N/A</v>
      </c>
      <c r="W6180" s="6">
        <f t="shared" si="192"/>
        <v>0</v>
      </c>
      <c r="X6180" s="6">
        <f t="shared" si="193"/>
        <v>0</v>
      </c>
    </row>
    <row r="6181" spans="22:24" x14ac:dyDescent="0.3">
      <c r="V6181" t="e">
        <f>VLOOKUP(H6181,'[1]팀별 출판사'!A:B,2,0)</f>
        <v>#N/A</v>
      </c>
      <c r="W6181" s="6">
        <f t="shared" si="192"/>
        <v>0</v>
      </c>
      <c r="X6181" s="6">
        <f t="shared" si="193"/>
        <v>0</v>
      </c>
    </row>
    <row r="6182" spans="22:24" x14ac:dyDescent="0.3">
      <c r="V6182" t="e">
        <f>VLOOKUP(H6182,'[1]팀별 출판사'!A:B,2,0)</f>
        <v>#N/A</v>
      </c>
      <c r="W6182" s="6">
        <f t="shared" si="192"/>
        <v>0</v>
      </c>
      <c r="X6182" s="6">
        <f t="shared" si="193"/>
        <v>0</v>
      </c>
    </row>
    <row r="6183" spans="22:24" x14ac:dyDescent="0.3">
      <c r="V6183" t="e">
        <f>VLOOKUP(H6183,'[1]팀별 출판사'!A:B,2,0)</f>
        <v>#N/A</v>
      </c>
      <c r="W6183" s="6">
        <f t="shared" si="192"/>
        <v>0</v>
      </c>
      <c r="X6183" s="6">
        <f t="shared" si="193"/>
        <v>0</v>
      </c>
    </row>
    <row r="6184" spans="22:24" x14ac:dyDescent="0.3">
      <c r="V6184" t="e">
        <f>VLOOKUP(H6184,'[1]팀별 출판사'!A:B,2,0)</f>
        <v>#N/A</v>
      </c>
      <c r="W6184" s="6">
        <f t="shared" si="192"/>
        <v>0</v>
      </c>
      <c r="X6184" s="6">
        <f t="shared" si="193"/>
        <v>0</v>
      </c>
    </row>
    <row r="6185" spans="22:24" x14ac:dyDescent="0.3">
      <c r="V6185" t="e">
        <f>VLOOKUP(H6185,'[1]팀별 출판사'!A:B,2,0)</f>
        <v>#N/A</v>
      </c>
      <c r="W6185" s="6">
        <f t="shared" si="192"/>
        <v>0</v>
      </c>
      <c r="X6185" s="6">
        <f t="shared" si="193"/>
        <v>0</v>
      </c>
    </row>
    <row r="6186" spans="22:24" x14ac:dyDescent="0.3">
      <c r="V6186" t="e">
        <f>VLOOKUP(H6186,'[1]팀별 출판사'!A:B,2,0)</f>
        <v>#N/A</v>
      </c>
      <c r="W6186" s="6">
        <f t="shared" si="192"/>
        <v>0</v>
      </c>
      <c r="X6186" s="6">
        <f t="shared" si="193"/>
        <v>0</v>
      </c>
    </row>
    <row r="6187" spans="22:24" x14ac:dyDescent="0.3">
      <c r="V6187" t="e">
        <f>VLOOKUP(H6187,'[1]팀별 출판사'!A:B,2,0)</f>
        <v>#N/A</v>
      </c>
      <c r="W6187" s="6">
        <f t="shared" si="192"/>
        <v>0</v>
      </c>
      <c r="X6187" s="6">
        <f t="shared" si="193"/>
        <v>0</v>
      </c>
    </row>
    <row r="6188" spans="22:24" x14ac:dyDescent="0.3">
      <c r="V6188" t="e">
        <f>VLOOKUP(H6188,'[1]팀별 출판사'!A:B,2,0)</f>
        <v>#N/A</v>
      </c>
      <c r="W6188" s="6">
        <f t="shared" si="192"/>
        <v>0</v>
      </c>
      <c r="X6188" s="6">
        <f t="shared" si="193"/>
        <v>0</v>
      </c>
    </row>
    <row r="6189" spans="22:24" x14ac:dyDescent="0.3">
      <c r="V6189" t="e">
        <f>VLOOKUP(H6189,'[1]팀별 출판사'!A:B,2,0)</f>
        <v>#N/A</v>
      </c>
      <c r="W6189" s="6">
        <f t="shared" si="192"/>
        <v>0</v>
      </c>
      <c r="X6189" s="6">
        <f t="shared" si="193"/>
        <v>0</v>
      </c>
    </row>
    <row r="6190" spans="22:24" x14ac:dyDescent="0.3">
      <c r="V6190" t="e">
        <f>VLOOKUP(H6190,'[1]팀별 출판사'!A:B,2,0)</f>
        <v>#N/A</v>
      </c>
      <c r="W6190" s="6">
        <f t="shared" si="192"/>
        <v>0</v>
      </c>
      <c r="X6190" s="6">
        <f t="shared" si="193"/>
        <v>0</v>
      </c>
    </row>
    <row r="6191" spans="22:24" x14ac:dyDescent="0.3">
      <c r="V6191" t="e">
        <f>VLOOKUP(H6191,'[1]팀별 출판사'!A:B,2,0)</f>
        <v>#N/A</v>
      </c>
      <c r="W6191" s="6">
        <f t="shared" si="192"/>
        <v>0</v>
      </c>
      <c r="X6191" s="6">
        <f t="shared" si="193"/>
        <v>0</v>
      </c>
    </row>
    <row r="6192" spans="22:24" x14ac:dyDescent="0.3">
      <c r="V6192" t="e">
        <f>VLOOKUP(H6192,'[1]팀별 출판사'!A:B,2,0)</f>
        <v>#N/A</v>
      </c>
      <c r="W6192" s="6">
        <f t="shared" si="192"/>
        <v>0</v>
      </c>
      <c r="X6192" s="6">
        <f t="shared" si="193"/>
        <v>0</v>
      </c>
    </row>
    <row r="6193" spans="22:24" x14ac:dyDescent="0.3">
      <c r="V6193" t="e">
        <f>VLOOKUP(H6193,'[1]팀별 출판사'!A:B,2,0)</f>
        <v>#N/A</v>
      </c>
      <c r="W6193" s="6">
        <f t="shared" si="192"/>
        <v>0</v>
      </c>
      <c r="X6193" s="6">
        <f t="shared" si="193"/>
        <v>0</v>
      </c>
    </row>
    <row r="6194" spans="22:24" x14ac:dyDescent="0.3">
      <c r="V6194" t="e">
        <f>VLOOKUP(H6194,'[1]팀별 출판사'!A:B,2,0)</f>
        <v>#N/A</v>
      </c>
      <c r="W6194" s="6">
        <f t="shared" si="192"/>
        <v>0</v>
      </c>
      <c r="X6194" s="6">
        <f t="shared" si="193"/>
        <v>0</v>
      </c>
    </row>
    <row r="6195" spans="22:24" x14ac:dyDescent="0.3">
      <c r="V6195" t="e">
        <f>VLOOKUP(H6195,'[1]팀별 출판사'!A:B,2,0)</f>
        <v>#N/A</v>
      </c>
      <c r="W6195" s="6">
        <f t="shared" si="192"/>
        <v>0</v>
      </c>
      <c r="X6195" s="6">
        <f t="shared" si="193"/>
        <v>0</v>
      </c>
    </row>
    <row r="6196" spans="22:24" x14ac:dyDescent="0.3">
      <c r="V6196" t="e">
        <f>VLOOKUP(H6196,'[1]팀별 출판사'!A:B,2,0)</f>
        <v>#N/A</v>
      </c>
      <c r="W6196" s="6">
        <f t="shared" si="192"/>
        <v>0</v>
      </c>
      <c r="X6196" s="6">
        <f t="shared" si="193"/>
        <v>0</v>
      </c>
    </row>
    <row r="6197" spans="22:24" x14ac:dyDescent="0.3">
      <c r="V6197" t="e">
        <f>VLOOKUP(H6197,'[1]팀별 출판사'!A:B,2,0)</f>
        <v>#N/A</v>
      </c>
      <c r="W6197" s="6">
        <f t="shared" si="192"/>
        <v>0</v>
      </c>
      <c r="X6197" s="6">
        <f t="shared" si="193"/>
        <v>0</v>
      </c>
    </row>
    <row r="6198" spans="22:24" x14ac:dyDescent="0.3">
      <c r="V6198" t="e">
        <f>VLOOKUP(H6198,'[1]팀별 출판사'!A:B,2,0)</f>
        <v>#N/A</v>
      </c>
      <c r="W6198" s="6">
        <f t="shared" si="192"/>
        <v>0</v>
      </c>
      <c r="X6198" s="6">
        <f t="shared" si="193"/>
        <v>0</v>
      </c>
    </row>
    <row r="6199" spans="22:24" x14ac:dyDescent="0.3">
      <c r="V6199" t="e">
        <f>VLOOKUP(H6199,'[1]팀별 출판사'!A:B,2,0)</f>
        <v>#N/A</v>
      </c>
      <c r="W6199" s="6">
        <f t="shared" si="192"/>
        <v>0</v>
      </c>
      <c r="X6199" s="6">
        <f t="shared" si="193"/>
        <v>0</v>
      </c>
    </row>
    <row r="6200" spans="22:24" x14ac:dyDescent="0.3">
      <c r="V6200" t="e">
        <f>VLOOKUP(H6200,'[1]팀별 출판사'!A:B,2,0)</f>
        <v>#N/A</v>
      </c>
      <c r="W6200" s="6">
        <f t="shared" si="192"/>
        <v>0</v>
      </c>
      <c r="X6200" s="6">
        <f t="shared" si="193"/>
        <v>0</v>
      </c>
    </row>
    <row r="6201" spans="22:24" x14ac:dyDescent="0.3">
      <c r="V6201" t="e">
        <f>VLOOKUP(H6201,'[1]팀별 출판사'!A:B,2,0)</f>
        <v>#N/A</v>
      </c>
      <c r="W6201" s="6">
        <f t="shared" si="192"/>
        <v>0</v>
      </c>
      <c r="X6201" s="6">
        <f t="shared" si="193"/>
        <v>0</v>
      </c>
    </row>
    <row r="6202" spans="22:24" x14ac:dyDescent="0.3">
      <c r="V6202" t="e">
        <f>VLOOKUP(H6202,'[1]팀별 출판사'!A:B,2,0)</f>
        <v>#N/A</v>
      </c>
      <c r="W6202" s="6">
        <f t="shared" si="192"/>
        <v>0</v>
      </c>
      <c r="X6202" s="6">
        <f t="shared" si="193"/>
        <v>0</v>
      </c>
    </row>
    <row r="6203" spans="22:24" x14ac:dyDescent="0.3">
      <c r="V6203" t="e">
        <f>VLOOKUP(H6203,'[1]팀별 출판사'!A:B,2,0)</f>
        <v>#N/A</v>
      </c>
      <c r="W6203" s="6">
        <f t="shared" si="192"/>
        <v>0</v>
      </c>
      <c r="X6203" s="6">
        <f t="shared" si="193"/>
        <v>0</v>
      </c>
    </row>
    <row r="6204" spans="22:24" x14ac:dyDescent="0.3">
      <c r="V6204" t="e">
        <f>VLOOKUP(H6204,'[1]팀별 출판사'!A:B,2,0)</f>
        <v>#N/A</v>
      </c>
      <c r="W6204" s="6">
        <f t="shared" si="192"/>
        <v>0</v>
      </c>
      <c r="X6204" s="6">
        <f t="shared" si="193"/>
        <v>0</v>
      </c>
    </row>
    <row r="6205" spans="22:24" x14ac:dyDescent="0.3">
      <c r="V6205" t="e">
        <f>VLOOKUP(H6205,'[1]팀별 출판사'!A:B,2,0)</f>
        <v>#N/A</v>
      </c>
      <c r="W6205" s="6">
        <f t="shared" si="192"/>
        <v>0</v>
      </c>
      <c r="X6205" s="6">
        <f t="shared" si="193"/>
        <v>0</v>
      </c>
    </row>
    <row r="6206" spans="22:24" x14ac:dyDescent="0.3">
      <c r="V6206" t="e">
        <f>VLOOKUP(H6206,'[1]팀별 출판사'!A:B,2,0)</f>
        <v>#N/A</v>
      </c>
      <c r="W6206" s="6">
        <f t="shared" si="192"/>
        <v>0</v>
      </c>
      <c r="X6206" s="6">
        <f t="shared" si="193"/>
        <v>0</v>
      </c>
    </row>
    <row r="6207" spans="22:24" x14ac:dyDescent="0.3">
      <c r="V6207" t="e">
        <f>VLOOKUP(H6207,'[1]팀별 출판사'!A:B,2,0)</f>
        <v>#N/A</v>
      </c>
      <c r="W6207" s="6">
        <f t="shared" si="192"/>
        <v>0</v>
      </c>
      <c r="X6207" s="6">
        <f t="shared" si="193"/>
        <v>0</v>
      </c>
    </row>
    <row r="6208" spans="22:24" x14ac:dyDescent="0.3">
      <c r="V6208" t="e">
        <f>VLOOKUP(H6208,'[1]팀별 출판사'!A:B,2,0)</f>
        <v>#N/A</v>
      </c>
      <c r="W6208" s="6">
        <f t="shared" si="192"/>
        <v>0</v>
      </c>
      <c r="X6208" s="6">
        <f t="shared" si="193"/>
        <v>0</v>
      </c>
    </row>
    <row r="6209" spans="22:24" x14ac:dyDescent="0.3">
      <c r="V6209" t="e">
        <f>VLOOKUP(H6209,'[1]팀별 출판사'!A:B,2,0)</f>
        <v>#N/A</v>
      </c>
      <c r="W6209" s="6">
        <f t="shared" si="192"/>
        <v>0</v>
      </c>
      <c r="X6209" s="6">
        <f t="shared" si="193"/>
        <v>0</v>
      </c>
    </row>
    <row r="6210" spans="22:24" x14ac:dyDescent="0.3">
      <c r="V6210" t="e">
        <f>VLOOKUP(H6210,'[1]팀별 출판사'!A:B,2,0)</f>
        <v>#N/A</v>
      </c>
      <c r="W6210" s="6">
        <f t="shared" ref="W6210:W6273" si="194">IF(P6210="US", T6210*30%, 0)</f>
        <v>0</v>
      </c>
      <c r="X6210" s="6">
        <f t="shared" ref="X6210:X6273" si="195">T6210-W6210</f>
        <v>0</v>
      </c>
    </row>
    <row r="6211" spans="22:24" x14ac:dyDescent="0.3">
      <c r="V6211" t="e">
        <f>VLOOKUP(H6211,'[1]팀별 출판사'!A:B,2,0)</f>
        <v>#N/A</v>
      </c>
      <c r="W6211" s="6">
        <f t="shared" si="194"/>
        <v>0</v>
      </c>
      <c r="X6211" s="6">
        <f t="shared" si="195"/>
        <v>0</v>
      </c>
    </row>
    <row r="6212" spans="22:24" x14ac:dyDescent="0.3">
      <c r="V6212" t="e">
        <f>VLOOKUP(H6212,'[1]팀별 출판사'!A:B,2,0)</f>
        <v>#N/A</v>
      </c>
      <c r="W6212" s="6">
        <f t="shared" si="194"/>
        <v>0</v>
      </c>
      <c r="X6212" s="6">
        <f t="shared" si="195"/>
        <v>0</v>
      </c>
    </row>
    <row r="6213" spans="22:24" x14ac:dyDescent="0.3">
      <c r="V6213" t="e">
        <f>VLOOKUP(H6213,'[1]팀별 출판사'!A:B,2,0)</f>
        <v>#N/A</v>
      </c>
      <c r="W6213" s="6">
        <f t="shared" si="194"/>
        <v>0</v>
      </c>
      <c r="X6213" s="6">
        <f t="shared" si="195"/>
        <v>0</v>
      </c>
    </row>
    <row r="6214" spans="22:24" x14ac:dyDescent="0.3">
      <c r="V6214" t="e">
        <f>VLOOKUP(H6214,'[1]팀별 출판사'!A:B,2,0)</f>
        <v>#N/A</v>
      </c>
      <c r="W6214" s="6">
        <f t="shared" si="194"/>
        <v>0</v>
      </c>
      <c r="X6214" s="6">
        <f t="shared" si="195"/>
        <v>0</v>
      </c>
    </row>
    <row r="6215" spans="22:24" x14ac:dyDescent="0.3">
      <c r="V6215" t="e">
        <f>VLOOKUP(H6215,'[1]팀별 출판사'!A:B,2,0)</f>
        <v>#N/A</v>
      </c>
      <c r="W6215" s="6">
        <f t="shared" si="194"/>
        <v>0</v>
      </c>
      <c r="X6215" s="6">
        <f t="shared" si="195"/>
        <v>0</v>
      </c>
    </row>
    <row r="6216" spans="22:24" x14ac:dyDescent="0.3">
      <c r="V6216" t="e">
        <f>VLOOKUP(H6216,'[1]팀별 출판사'!A:B,2,0)</f>
        <v>#N/A</v>
      </c>
      <c r="W6216" s="6">
        <f t="shared" si="194"/>
        <v>0</v>
      </c>
      <c r="X6216" s="6">
        <f t="shared" si="195"/>
        <v>0</v>
      </c>
    </row>
    <row r="6217" spans="22:24" x14ac:dyDescent="0.3">
      <c r="V6217" t="e">
        <f>VLOOKUP(H6217,'[1]팀별 출판사'!A:B,2,0)</f>
        <v>#N/A</v>
      </c>
      <c r="W6217" s="6">
        <f t="shared" si="194"/>
        <v>0</v>
      </c>
      <c r="X6217" s="6">
        <f t="shared" si="195"/>
        <v>0</v>
      </c>
    </row>
    <row r="6218" spans="22:24" x14ac:dyDescent="0.3">
      <c r="V6218" t="e">
        <f>VLOOKUP(H6218,'[1]팀별 출판사'!A:B,2,0)</f>
        <v>#N/A</v>
      </c>
      <c r="W6218" s="6">
        <f t="shared" si="194"/>
        <v>0</v>
      </c>
      <c r="X6218" s="6">
        <f t="shared" si="195"/>
        <v>0</v>
      </c>
    </row>
    <row r="6219" spans="22:24" x14ac:dyDescent="0.3">
      <c r="V6219" t="e">
        <f>VLOOKUP(H6219,'[1]팀별 출판사'!A:B,2,0)</f>
        <v>#N/A</v>
      </c>
      <c r="W6219" s="6">
        <f t="shared" si="194"/>
        <v>0</v>
      </c>
      <c r="X6219" s="6">
        <f t="shared" si="195"/>
        <v>0</v>
      </c>
    </row>
    <row r="6220" spans="22:24" x14ac:dyDescent="0.3">
      <c r="V6220" t="e">
        <f>VLOOKUP(H6220,'[1]팀별 출판사'!A:B,2,0)</f>
        <v>#N/A</v>
      </c>
      <c r="W6220" s="6">
        <f t="shared" si="194"/>
        <v>0</v>
      </c>
      <c r="X6220" s="6">
        <f t="shared" si="195"/>
        <v>0</v>
      </c>
    </row>
    <row r="6221" spans="22:24" x14ac:dyDescent="0.3">
      <c r="V6221" t="e">
        <f>VLOOKUP(H6221,'[1]팀별 출판사'!A:B,2,0)</f>
        <v>#N/A</v>
      </c>
      <c r="W6221" s="6">
        <f t="shared" si="194"/>
        <v>0</v>
      </c>
      <c r="X6221" s="6">
        <f t="shared" si="195"/>
        <v>0</v>
      </c>
    </row>
    <row r="6222" spans="22:24" x14ac:dyDescent="0.3">
      <c r="V6222" t="e">
        <f>VLOOKUP(H6222,'[1]팀별 출판사'!A:B,2,0)</f>
        <v>#N/A</v>
      </c>
      <c r="W6222" s="6">
        <f t="shared" si="194"/>
        <v>0</v>
      </c>
      <c r="X6222" s="6">
        <f t="shared" si="195"/>
        <v>0</v>
      </c>
    </row>
    <row r="6223" spans="22:24" x14ac:dyDescent="0.3">
      <c r="V6223" t="e">
        <f>VLOOKUP(H6223,'[1]팀별 출판사'!A:B,2,0)</f>
        <v>#N/A</v>
      </c>
      <c r="W6223" s="6">
        <f t="shared" si="194"/>
        <v>0</v>
      </c>
      <c r="X6223" s="6">
        <f t="shared" si="195"/>
        <v>0</v>
      </c>
    </row>
    <row r="6224" spans="22:24" x14ac:dyDescent="0.3">
      <c r="V6224" t="e">
        <f>VLOOKUP(H6224,'[1]팀별 출판사'!A:B,2,0)</f>
        <v>#N/A</v>
      </c>
      <c r="W6224" s="6">
        <f t="shared" si="194"/>
        <v>0</v>
      </c>
      <c r="X6224" s="6">
        <f t="shared" si="195"/>
        <v>0</v>
      </c>
    </row>
    <row r="6225" spans="22:24" x14ac:dyDescent="0.3">
      <c r="V6225" t="e">
        <f>VLOOKUP(H6225,'[1]팀별 출판사'!A:B,2,0)</f>
        <v>#N/A</v>
      </c>
      <c r="W6225" s="6">
        <f t="shared" si="194"/>
        <v>0</v>
      </c>
      <c r="X6225" s="6">
        <f t="shared" si="195"/>
        <v>0</v>
      </c>
    </row>
    <row r="6226" spans="22:24" x14ac:dyDescent="0.3">
      <c r="V6226" t="e">
        <f>VLOOKUP(H6226,'[1]팀별 출판사'!A:B,2,0)</f>
        <v>#N/A</v>
      </c>
      <c r="W6226" s="6">
        <f t="shared" si="194"/>
        <v>0</v>
      </c>
      <c r="X6226" s="6">
        <f t="shared" si="195"/>
        <v>0</v>
      </c>
    </row>
    <row r="6227" spans="22:24" x14ac:dyDescent="0.3">
      <c r="V6227" t="e">
        <f>VLOOKUP(H6227,'[1]팀별 출판사'!A:B,2,0)</f>
        <v>#N/A</v>
      </c>
      <c r="W6227" s="6">
        <f t="shared" si="194"/>
        <v>0</v>
      </c>
      <c r="X6227" s="6">
        <f t="shared" si="195"/>
        <v>0</v>
      </c>
    </row>
    <row r="6228" spans="22:24" x14ac:dyDescent="0.3">
      <c r="V6228" t="e">
        <f>VLOOKUP(H6228,'[1]팀별 출판사'!A:B,2,0)</f>
        <v>#N/A</v>
      </c>
      <c r="W6228" s="6">
        <f t="shared" si="194"/>
        <v>0</v>
      </c>
      <c r="X6228" s="6">
        <f t="shared" si="195"/>
        <v>0</v>
      </c>
    </row>
    <row r="6229" spans="22:24" x14ac:dyDescent="0.3">
      <c r="V6229" t="e">
        <f>VLOOKUP(H6229,'[1]팀별 출판사'!A:B,2,0)</f>
        <v>#N/A</v>
      </c>
      <c r="W6229" s="6">
        <f t="shared" si="194"/>
        <v>0</v>
      </c>
      <c r="X6229" s="6">
        <f t="shared" si="195"/>
        <v>0</v>
      </c>
    </row>
    <row r="6230" spans="22:24" x14ac:dyDescent="0.3">
      <c r="V6230" t="e">
        <f>VLOOKUP(H6230,'[1]팀별 출판사'!A:B,2,0)</f>
        <v>#N/A</v>
      </c>
      <c r="W6230" s="6">
        <f t="shared" si="194"/>
        <v>0</v>
      </c>
      <c r="X6230" s="6">
        <f t="shared" si="195"/>
        <v>0</v>
      </c>
    </row>
    <row r="6231" spans="22:24" x14ac:dyDescent="0.3">
      <c r="V6231" t="e">
        <f>VLOOKUP(H6231,'[1]팀별 출판사'!A:B,2,0)</f>
        <v>#N/A</v>
      </c>
      <c r="W6231" s="6">
        <f t="shared" si="194"/>
        <v>0</v>
      </c>
      <c r="X6231" s="6">
        <f t="shared" si="195"/>
        <v>0</v>
      </c>
    </row>
    <row r="6232" spans="22:24" x14ac:dyDescent="0.3">
      <c r="V6232" t="e">
        <f>VLOOKUP(H6232,'[1]팀별 출판사'!A:B,2,0)</f>
        <v>#N/A</v>
      </c>
      <c r="W6232" s="6">
        <f t="shared" si="194"/>
        <v>0</v>
      </c>
      <c r="X6232" s="6">
        <f t="shared" si="195"/>
        <v>0</v>
      </c>
    </row>
    <row r="6233" spans="22:24" x14ac:dyDescent="0.3">
      <c r="V6233" t="e">
        <f>VLOOKUP(H6233,'[1]팀별 출판사'!A:B,2,0)</f>
        <v>#N/A</v>
      </c>
      <c r="W6233" s="6">
        <f t="shared" si="194"/>
        <v>0</v>
      </c>
      <c r="X6233" s="6">
        <f t="shared" si="195"/>
        <v>0</v>
      </c>
    </row>
    <row r="6234" spans="22:24" x14ac:dyDescent="0.3">
      <c r="V6234" t="e">
        <f>VLOOKUP(H6234,'[1]팀별 출판사'!A:B,2,0)</f>
        <v>#N/A</v>
      </c>
      <c r="W6234" s="6">
        <f t="shared" si="194"/>
        <v>0</v>
      </c>
      <c r="X6234" s="6">
        <f t="shared" si="195"/>
        <v>0</v>
      </c>
    </row>
    <row r="6235" spans="22:24" x14ac:dyDescent="0.3">
      <c r="V6235" t="e">
        <f>VLOOKUP(H6235,'[1]팀별 출판사'!A:B,2,0)</f>
        <v>#N/A</v>
      </c>
      <c r="W6235" s="6">
        <f t="shared" si="194"/>
        <v>0</v>
      </c>
      <c r="X6235" s="6">
        <f t="shared" si="195"/>
        <v>0</v>
      </c>
    </row>
    <row r="6236" spans="22:24" x14ac:dyDescent="0.3">
      <c r="V6236" t="e">
        <f>VLOOKUP(H6236,'[1]팀별 출판사'!A:B,2,0)</f>
        <v>#N/A</v>
      </c>
      <c r="W6236" s="6">
        <f t="shared" si="194"/>
        <v>0</v>
      </c>
      <c r="X6236" s="6">
        <f t="shared" si="195"/>
        <v>0</v>
      </c>
    </row>
    <row r="6237" spans="22:24" x14ac:dyDescent="0.3">
      <c r="V6237" t="e">
        <f>VLOOKUP(H6237,'[1]팀별 출판사'!A:B,2,0)</f>
        <v>#N/A</v>
      </c>
      <c r="W6237" s="6">
        <f t="shared" si="194"/>
        <v>0</v>
      </c>
      <c r="X6237" s="6">
        <f t="shared" si="195"/>
        <v>0</v>
      </c>
    </row>
    <row r="6238" spans="22:24" x14ac:dyDescent="0.3">
      <c r="V6238" t="e">
        <f>VLOOKUP(H6238,'[1]팀별 출판사'!A:B,2,0)</f>
        <v>#N/A</v>
      </c>
      <c r="W6238" s="6">
        <f t="shared" si="194"/>
        <v>0</v>
      </c>
      <c r="X6238" s="6">
        <f t="shared" si="195"/>
        <v>0</v>
      </c>
    </row>
    <row r="6239" spans="22:24" x14ac:dyDescent="0.3">
      <c r="V6239" t="e">
        <f>VLOOKUP(H6239,'[1]팀별 출판사'!A:B,2,0)</f>
        <v>#N/A</v>
      </c>
      <c r="W6239" s="6">
        <f t="shared" si="194"/>
        <v>0</v>
      </c>
      <c r="X6239" s="6">
        <f t="shared" si="195"/>
        <v>0</v>
      </c>
    </row>
    <row r="6240" spans="22:24" x14ac:dyDescent="0.3">
      <c r="V6240" t="e">
        <f>VLOOKUP(H6240,'[1]팀별 출판사'!A:B,2,0)</f>
        <v>#N/A</v>
      </c>
      <c r="W6240" s="6">
        <f t="shared" si="194"/>
        <v>0</v>
      </c>
      <c r="X6240" s="6">
        <f t="shared" si="195"/>
        <v>0</v>
      </c>
    </row>
    <row r="6241" spans="22:24" x14ac:dyDescent="0.3">
      <c r="V6241" t="e">
        <f>VLOOKUP(H6241,'[1]팀별 출판사'!A:B,2,0)</f>
        <v>#N/A</v>
      </c>
      <c r="W6241" s="6">
        <f t="shared" si="194"/>
        <v>0</v>
      </c>
      <c r="X6241" s="6">
        <f t="shared" si="195"/>
        <v>0</v>
      </c>
    </row>
    <row r="6242" spans="22:24" x14ac:dyDescent="0.3">
      <c r="V6242" t="e">
        <f>VLOOKUP(H6242,'[1]팀별 출판사'!A:B,2,0)</f>
        <v>#N/A</v>
      </c>
      <c r="W6242" s="6">
        <f t="shared" si="194"/>
        <v>0</v>
      </c>
      <c r="X6242" s="6">
        <f t="shared" si="195"/>
        <v>0</v>
      </c>
    </row>
    <row r="6243" spans="22:24" x14ac:dyDescent="0.3">
      <c r="V6243" t="e">
        <f>VLOOKUP(H6243,'[1]팀별 출판사'!A:B,2,0)</f>
        <v>#N/A</v>
      </c>
      <c r="W6243" s="6">
        <f t="shared" si="194"/>
        <v>0</v>
      </c>
      <c r="X6243" s="6">
        <f t="shared" si="195"/>
        <v>0</v>
      </c>
    </row>
    <row r="6244" spans="22:24" x14ac:dyDescent="0.3">
      <c r="V6244" t="e">
        <f>VLOOKUP(H6244,'[1]팀별 출판사'!A:B,2,0)</f>
        <v>#N/A</v>
      </c>
      <c r="W6244" s="6">
        <f t="shared" si="194"/>
        <v>0</v>
      </c>
      <c r="X6244" s="6">
        <f t="shared" si="195"/>
        <v>0</v>
      </c>
    </row>
    <row r="6245" spans="22:24" x14ac:dyDescent="0.3">
      <c r="V6245" t="e">
        <f>VLOOKUP(H6245,'[1]팀별 출판사'!A:B,2,0)</f>
        <v>#N/A</v>
      </c>
      <c r="W6245" s="6">
        <f t="shared" si="194"/>
        <v>0</v>
      </c>
      <c r="X6245" s="6">
        <f t="shared" si="195"/>
        <v>0</v>
      </c>
    </row>
    <row r="6246" spans="22:24" x14ac:dyDescent="0.3">
      <c r="V6246" t="e">
        <f>VLOOKUP(H6246,'[1]팀별 출판사'!A:B,2,0)</f>
        <v>#N/A</v>
      </c>
      <c r="W6246" s="6">
        <f t="shared" si="194"/>
        <v>0</v>
      </c>
      <c r="X6246" s="6">
        <f t="shared" si="195"/>
        <v>0</v>
      </c>
    </row>
    <row r="6247" spans="22:24" x14ac:dyDescent="0.3">
      <c r="V6247" t="e">
        <f>VLOOKUP(H6247,'[1]팀별 출판사'!A:B,2,0)</f>
        <v>#N/A</v>
      </c>
      <c r="W6247" s="6">
        <f t="shared" si="194"/>
        <v>0</v>
      </c>
      <c r="X6247" s="6">
        <f t="shared" si="195"/>
        <v>0</v>
      </c>
    </row>
    <row r="6248" spans="22:24" x14ac:dyDescent="0.3">
      <c r="V6248" t="e">
        <f>VLOOKUP(H6248,'[1]팀별 출판사'!A:B,2,0)</f>
        <v>#N/A</v>
      </c>
      <c r="W6248" s="6">
        <f t="shared" si="194"/>
        <v>0</v>
      </c>
      <c r="X6248" s="6">
        <f t="shared" si="195"/>
        <v>0</v>
      </c>
    </row>
    <row r="6249" spans="22:24" x14ac:dyDescent="0.3">
      <c r="V6249" t="e">
        <f>VLOOKUP(H6249,'[1]팀별 출판사'!A:B,2,0)</f>
        <v>#N/A</v>
      </c>
      <c r="W6249" s="6">
        <f t="shared" si="194"/>
        <v>0</v>
      </c>
      <c r="X6249" s="6">
        <f t="shared" si="195"/>
        <v>0</v>
      </c>
    </row>
    <row r="6250" spans="22:24" x14ac:dyDescent="0.3">
      <c r="V6250" t="e">
        <f>VLOOKUP(H6250,'[1]팀별 출판사'!A:B,2,0)</f>
        <v>#N/A</v>
      </c>
      <c r="W6250" s="6">
        <f t="shared" si="194"/>
        <v>0</v>
      </c>
      <c r="X6250" s="6">
        <f t="shared" si="195"/>
        <v>0</v>
      </c>
    </row>
    <row r="6251" spans="22:24" x14ac:dyDescent="0.3">
      <c r="V6251" t="e">
        <f>VLOOKUP(H6251,'[1]팀별 출판사'!A:B,2,0)</f>
        <v>#N/A</v>
      </c>
      <c r="W6251" s="6">
        <f t="shared" si="194"/>
        <v>0</v>
      </c>
      <c r="X6251" s="6">
        <f t="shared" si="195"/>
        <v>0</v>
      </c>
    </row>
    <row r="6252" spans="22:24" x14ac:dyDescent="0.3">
      <c r="V6252" t="e">
        <f>VLOOKUP(H6252,'[1]팀별 출판사'!A:B,2,0)</f>
        <v>#N/A</v>
      </c>
      <c r="W6252" s="6">
        <f t="shared" si="194"/>
        <v>0</v>
      </c>
      <c r="X6252" s="6">
        <f t="shared" si="195"/>
        <v>0</v>
      </c>
    </row>
    <row r="6253" spans="22:24" x14ac:dyDescent="0.3">
      <c r="V6253" t="e">
        <f>VLOOKUP(H6253,'[1]팀별 출판사'!A:B,2,0)</f>
        <v>#N/A</v>
      </c>
      <c r="W6253" s="6">
        <f t="shared" si="194"/>
        <v>0</v>
      </c>
      <c r="X6253" s="6">
        <f t="shared" si="195"/>
        <v>0</v>
      </c>
    </row>
    <row r="6254" spans="22:24" x14ac:dyDescent="0.3">
      <c r="V6254" t="e">
        <f>VLOOKUP(H6254,'[1]팀별 출판사'!A:B,2,0)</f>
        <v>#N/A</v>
      </c>
      <c r="W6254" s="6">
        <f t="shared" si="194"/>
        <v>0</v>
      </c>
      <c r="X6254" s="6">
        <f t="shared" si="195"/>
        <v>0</v>
      </c>
    </row>
    <row r="6255" spans="22:24" x14ac:dyDescent="0.3">
      <c r="V6255" t="e">
        <f>VLOOKUP(H6255,'[1]팀별 출판사'!A:B,2,0)</f>
        <v>#N/A</v>
      </c>
      <c r="W6255" s="6">
        <f t="shared" si="194"/>
        <v>0</v>
      </c>
      <c r="X6255" s="6">
        <f t="shared" si="195"/>
        <v>0</v>
      </c>
    </row>
    <row r="6256" spans="22:24" x14ac:dyDescent="0.3">
      <c r="V6256" t="e">
        <f>VLOOKUP(H6256,'[1]팀별 출판사'!A:B,2,0)</f>
        <v>#N/A</v>
      </c>
      <c r="W6256" s="6">
        <f t="shared" si="194"/>
        <v>0</v>
      </c>
      <c r="X6256" s="6">
        <f t="shared" si="195"/>
        <v>0</v>
      </c>
    </row>
    <row r="6257" spans="22:24" x14ac:dyDescent="0.3">
      <c r="V6257" t="e">
        <f>VLOOKUP(H6257,'[1]팀별 출판사'!A:B,2,0)</f>
        <v>#N/A</v>
      </c>
      <c r="W6257" s="6">
        <f t="shared" si="194"/>
        <v>0</v>
      </c>
      <c r="X6257" s="6">
        <f t="shared" si="195"/>
        <v>0</v>
      </c>
    </row>
    <row r="6258" spans="22:24" x14ac:dyDescent="0.3">
      <c r="V6258" t="e">
        <f>VLOOKUP(H6258,'[1]팀별 출판사'!A:B,2,0)</f>
        <v>#N/A</v>
      </c>
      <c r="W6258" s="6">
        <f t="shared" si="194"/>
        <v>0</v>
      </c>
      <c r="X6258" s="6">
        <f t="shared" si="195"/>
        <v>0</v>
      </c>
    </row>
    <row r="6259" spans="22:24" x14ac:dyDescent="0.3">
      <c r="V6259" t="e">
        <f>VLOOKUP(H6259,'[1]팀별 출판사'!A:B,2,0)</f>
        <v>#N/A</v>
      </c>
      <c r="W6259" s="6">
        <f t="shared" si="194"/>
        <v>0</v>
      </c>
      <c r="X6259" s="6">
        <f t="shared" si="195"/>
        <v>0</v>
      </c>
    </row>
    <row r="6260" spans="22:24" x14ac:dyDescent="0.3">
      <c r="V6260" t="e">
        <f>VLOOKUP(H6260,'[1]팀별 출판사'!A:B,2,0)</f>
        <v>#N/A</v>
      </c>
      <c r="W6260" s="6">
        <f t="shared" si="194"/>
        <v>0</v>
      </c>
      <c r="X6260" s="6">
        <f t="shared" si="195"/>
        <v>0</v>
      </c>
    </row>
    <row r="6261" spans="22:24" x14ac:dyDescent="0.3">
      <c r="V6261" t="e">
        <f>VLOOKUP(H6261,'[1]팀별 출판사'!A:B,2,0)</f>
        <v>#N/A</v>
      </c>
      <c r="W6261" s="6">
        <f t="shared" si="194"/>
        <v>0</v>
      </c>
      <c r="X6261" s="6">
        <f t="shared" si="195"/>
        <v>0</v>
      </c>
    </row>
    <row r="6262" spans="22:24" x14ac:dyDescent="0.3">
      <c r="V6262" t="e">
        <f>VLOOKUP(H6262,'[1]팀별 출판사'!A:B,2,0)</f>
        <v>#N/A</v>
      </c>
      <c r="W6262" s="6">
        <f t="shared" si="194"/>
        <v>0</v>
      </c>
      <c r="X6262" s="6">
        <f t="shared" si="195"/>
        <v>0</v>
      </c>
    </row>
    <row r="6263" spans="22:24" x14ac:dyDescent="0.3">
      <c r="V6263" t="e">
        <f>VLOOKUP(H6263,'[1]팀별 출판사'!A:B,2,0)</f>
        <v>#N/A</v>
      </c>
      <c r="W6263" s="6">
        <f t="shared" si="194"/>
        <v>0</v>
      </c>
      <c r="X6263" s="6">
        <f t="shared" si="195"/>
        <v>0</v>
      </c>
    </row>
    <row r="6264" spans="22:24" x14ac:dyDescent="0.3">
      <c r="V6264" t="e">
        <f>VLOOKUP(H6264,'[1]팀별 출판사'!A:B,2,0)</f>
        <v>#N/A</v>
      </c>
      <c r="W6264" s="6">
        <f t="shared" si="194"/>
        <v>0</v>
      </c>
      <c r="X6264" s="6">
        <f t="shared" si="195"/>
        <v>0</v>
      </c>
    </row>
    <row r="6265" spans="22:24" x14ac:dyDescent="0.3">
      <c r="V6265" t="e">
        <f>VLOOKUP(H6265,'[1]팀별 출판사'!A:B,2,0)</f>
        <v>#N/A</v>
      </c>
      <c r="W6265" s="6">
        <f t="shared" si="194"/>
        <v>0</v>
      </c>
      <c r="X6265" s="6">
        <f t="shared" si="195"/>
        <v>0</v>
      </c>
    </row>
    <row r="6266" spans="22:24" x14ac:dyDescent="0.3">
      <c r="V6266" t="e">
        <f>VLOOKUP(H6266,'[1]팀별 출판사'!A:B,2,0)</f>
        <v>#N/A</v>
      </c>
      <c r="W6266" s="6">
        <f t="shared" si="194"/>
        <v>0</v>
      </c>
      <c r="X6266" s="6">
        <f t="shared" si="195"/>
        <v>0</v>
      </c>
    </row>
    <row r="6267" spans="22:24" x14ac:dyDescent="0.3">
      <c r="V6267" t="e">
        <f>VLOOKUP(H6267,'[1]팀별 출판사'!A:B,2,0)</f>
        <v>#N/A</v>
      </c>
      <c r="W6267" s="6">
        <f t="shared" si="194"/>
        <v>0</v>
      </c>
      <c r="X6267" s="6">
        <f t="shared" si="195"/>
        <v>0</v>
      </c>
    </row>
    <row r="6268" spans="22:24" x14ac:dyDescent="0.3">
      <c r="V6268" t="e">
        <f>VLOOKUP(H6268,'[1]팀별 출판사'!A:B,2,0)</f>
        <v>#N/A</v>
      </c>
      <c r="W6268" s="6">
        <f t="shared" si="194"/>
        <v>0</v>
      </c>
      <c r="X6268" s="6">
        <f t="shared" si="195"/>
        <v>0</v>
      </c>
    </row>
    <row r="6269" spans="22:24" x14ac:dyDescent="0.3">
      <c r="V6269" t="e">
        <f>VLOOKUP(H6269,'[1]팀별 출판사'!A:B,2,0)</f>
        <v>#N/A</v>
      </c>
      <c r="W6269" s="6">
        <f t="shared" si="194"/>
        <v>0</v>
      </c>
      <c r="X6269" s="6">
        <f t="shared" si="195"/>
        <v>0</v>
      </c>
    </row>
    <row r="6270" spans="22:24" x14ac:dyDescent="0.3">
      <c r="V6270" t="e">
        <f>VLOOKUP(H6270,'[1]팀별 출판사'!A:B,2,0)</f>
        <v>#N/A</v>
      </c>
      <c r="W6270" s="6">
        <f t="shared" si="194"/>
        <v>0</v>
      </c>
      <c r="X6270" s="6">
        <f t="shared" si="195"/>
        <v>0</v>
      </c>
    </row>
    <row r="6271" spans="22:24" x14ac:dyDescent="0.3">
      <c r="V6271" t="e">
        <f>VLOOKUP(H6271,'[1]팀별 출판사'!A:B,2,0)</f>
        <v>#N/A</v>
      </c>
      <c r="W6271" s="6">
        <f t="shared" si="194"/>
        <v>0</v>
      </c>
      <c r="X6271" s="6">
        <f t="shared" si="195"/>
        <v>0</v>
      </c>
    </row>
    <row r="6272" spans="22:24" x14ac:dyDescent="0.3">
      <c r="V6272" t="e">
        <f>VLOOKUP(H6272,'[1]팀별 출판사'!A:B,2,0)</f>
        <v>#N/A</v>
      </c>
      <c r="W6272" s="6">
        <f t="shared" si="194"/>
        <v>0</v>
      </c>
      <c r="X6272" s="6">
        <f t="shared" si="195"/>
        <v>0</v>
      </c>
    </row>
    <row r="6273" spans="22:24" x14ac:dyDescent="0.3">
      <c r="V6273" t="e">
        <f>VLOOKUP(H6273,'[1]팀별 출판사'!A:B,2,0)</f>
        <v>#N/A</v>
      </c>
      <c r="W6273" s="6">
        <f t="shared" si="194"/>
        <v>0</v>
      </c>
      <c r="X6273" s="6">
        <f t="shared" si="195"/>
        <v>0</v>
      </c>
    </row>
    <row r="6274" spans="22:24" x14ac:dyDescent="0.3">
      <c r="V6274" t="e">
        <f>VLOOKUP(H6274,'[1]팀별 출판사'!A:B,2,0)</f>
        <v>#N/A</v>
      </c>
      <c r="W6274" s="6">
        <f t="shared" ref="W6274:W6337" si="196">IF(P6274="US", T6274*30%, 0)</f>
        <v>0</v>
      </c>
      <c r="X6274" s="6">
        <f t="shared" ref="X6274:X6337" si="197">T6274-W6274</f>
        <v>0</v>
      </c>
    </row>
    <row r="6275" spans="22:24" x14ac:dyDescent="0.3">
      <c r="V6275" t="e">
        <f>VLOOKUP(H6275,'[1]팀별 출판사'!A:B,2,0)</f>
        <v>#N/A</v>
      </c>
      <c r="W6275" s="6">
        <f t="shared" si="196"/>
        <v>0</v>
      </c>
      <c r="X6275" s="6">
        <f t="shared" si="197"/>
        <v>0</v>
      </c>
    </row>
    <row r="6276" spans="22:24" x14ac:dyDescent="0.3">
      <c r="V6276" t="e">
        <f>VLOOKUP(H6276,'[1]팀별 출판사'!A:B,2,0)</f>
        <v>#N/A</v>
      </c>
      <c r="W6276" s="6">
        <f t="shared" si="196"/>
        <v>0</v>
      </c>
      <c r="X6276" s="6">
        <f t="shared" si="197"/>
        <v>0</v>
      </c>
    </row>
    <row r="6277" spans="22:24" x14ac:dyDescent="0.3">
      <c r="V6277" t="e">
        <f>VLOOKUP(H6277,'[1]팀별 출판사'!A:B,2,0)</f>
        <v>#N/A</v>
      </c>
      <c r="W6277" s="6">
        <f t="shared" si="196"/>
        <v>0</v>
      </c>
      <c r="X6277" s="6">
        <f t="shared" si="197"/>
        <v>0</v>
      </c>
    </row>
    <row r="6278" spans="22:24" x14ac:dyDescent="0.3">
      <c r="V6278" t="e">
        <f>VLOOKUP(H6278,'[1]팀별 출판사'!A:B,2,0)</f>
        <v>#N/A</v>
      </c>
      <c r="W6278" s="6">
        <f t="shared" si="196"/>
        <v>0</v>
      </c>
      <c r="X6278" s="6">
        <f t="shared" si="197"/>
        <v>0</v>
      </c>
    </row>
    <row r="6279" spans="22:24" x14ac:dyDescent="0.3">
      <c r="V6279" t="e">
        <f>VLOOKUP(H6279,'[1]팀별 출판사'!A:B,2,0)</f>
        <v>#N/A</v>
      </c>
      <c r="W6279" s="6">
        <f t="shared" si="196"/>
        <v>0</v>
      </c>
      <c r="X6279" s="6">
        <f t="shared" si="197"/>
        <v>0</v>
      </c>
    </row>
    <row r="6280" spans="22:24" x14ac:dyDescent="0.3">
      <c r="V6280" t="e">
        <f>VLOOKUP(H6280,'[1]팀별 출판사'!A:B,2,0)</f>
        <v>#N/A</v>
      </c>
      <c r="W6280" s="6">
        <f t="shared" si="196"/>
        <v>0</v>
      </c>
      <c r="X6280" s="6">
        <f t="shared" si="197"/>
        <v>0</v>
      </c>
    </row>
    <row r="6281" spans="22:24" x14ac:dyDescent="0.3">
      <c r="V6281" t="e">
        <f>VLOOKUP(H6281,'[1]팀별 출판사'!A:B,2,0)</f>
        <v>#N/A</v>
      </c>
      <c r="W6281" s="6">
        <f t="shared" si="196"/>
        <v>0</v>
      </c>
      <c r="X6281" s="6">
        <f t="shared" si="197"/>
        <v>0</v>
      </c>
    </row>
    <row r="6282" spans="22:24" x14ac:dyDescent="0.3">
      <c r="V6282" t="e">
        <f>VLOOKUP(H6282,'[1]팀별 출판사'!A:B,2,0)</f>
        <v>#N/A</v>
      </c>
      <c r="W6282" s="6">
        <f t="shared" si="196"/>
        <v>0</v>
      </c>
      <c r="X6282" s="6">
        <f t="shared" si="197"/>
        <v>0</v>
      </c>
    </row>
    <row r="6283" spans="22:24" x14ac:dyDescent="0.3">
      <c r="V6283" t="e">
        <f>VLOOKUP(H6283,'[1]팀별 출판사'!A:B,2,0)</f>
        <v>#N/A</v>
      </c>
      <c r="W6283" s="6">
        <f t="shared" si="196"/>
        <v>0</v>
      </c>
      <c r="X6283" s="6">
        <f t="shared" si="197"/>
        <v>0</v>
      </c>
    </row>
    <row r="6284" spans="22:24" x14ac:dyDescent="0.3">
      <c r="V6284" t="e">
        <f>VLOOKUP(H6284,'[1]팀별 출판사'!A:B,2,0)</f>
        <v>#N/A</v>
      </c>
      <c r="W6284" s="6">
        <f t="shared" si="196"/>
        <v>0</v>
      </c>
      <c r="X6284" s="6">
        <f t="shared" si="197"/>
        <v>0</v>
      </c>
    </row>
    <row r="6285" spans="22:24" x14ac:dyDescent="0.3">
      <c r="V6285" t="e">
        <f>VLOOKUP(H6285,'[1]팀별 출판사'!A:B,2,0)</f>
        <v>#N/A</v>
      </c>
      <c r="W6285" s="6">
        <f t="shared" si="196"/>
        <v>0</v>
      </c>
      <c r="X6285" s="6">
        <f t="shared" si="197"/>
        <v>0</v>
      </c>
    </row>
    <row r="6286" spans="22:24" x14ac:dyDescent="0.3">
      <c r="V6286" t="e">
        <f>VLOOKUP(H6286,'[1]팀별 출판사'!A:B,2,0)</f>
        <v>#N/A</v>
      </c>
      <c r="W6286" s="6">
        <f t="shared" si="196"/>
        <v>0</v>
      </c>
      <c r="X6286" s="6">
        <f t="shared" si="197"/>
        <v>0</v>
      </c>
    </row>
    <row r="6287" spans="22:24" x14ac:dyDescent="0.3">
      <c r="V6287" t="e">
        <f>VLOOKUP(H6287,'[1]팀별 출판사'!A:B,2,0)</f>
        <v>#N/A</v>
      </c>
      <c r="W6287" s="6">
        <f t="shared" si="196"/>
        <v>0</v>
      </c>
      <c r="X6287" s="6">
        <f t="shared" si="197"/>
        <v>0</v>
      </c>
    </row>
    <row r="6288" spans="22:24" x14ac:dyDescent="0.3">
      <c r="V6288" t="e">
        <f>VLOOKUP(H6288,'[1]팀별 출판사'!A:B,2,0)</f>
        <v>#N/A</v>
      </c>
      <c r="W6288" s="6">
        <f t="shared" si="196"/>
        <v>0</v>
      </c>
      <c r="X6288" s="6">
        <f t="shared" si="197"/>
        <v>0</v>
      </c>
    </row>
    <row r="6289" spans="22:24" x14ac:dyDescent="0.3">
      <c r="V6289" t="e">
        <f>VLOOKUP(H6289,'[1]팀별 출판사'!A:B,2,0)</f>
        <v>#N/A</v>
      </c>
      <c r="W6289" s="6">
        <f t="shared" si="196"/>
        <v>0</v>
      </c>
      <c r="X6289" s="6">
        <f t="shared" si="197"/>
        <v>0</v>
      </c>
    </row>
    <row r="6290" spans="22:24" x14ac:dyDescent="0.3">
      <c r="V6290" t="e">
        <f>VLOOKUP(H6290,'[1]팀별 출판사'!A:B,2,0)</f>
        <v>#N/A</v>
      </c>
      <c r="W6290" s="6">
        <f t="shared" si="196"/>
        <v>0</v>
      </c>
      <c r="X6290" s="6">
        <f t="shared" si="197"/>
        <v>0</v>
      </c>
    </row>
    <row r="6291" spans="22:24" x14ac:dyDescent="0.3">
      <c r="V6291" t="e">
        <f>VLOOKUP(H6291,'[1]팀별 출판사'!A:B,2,0)</f>
        <v>#N/A</v>
      </c>
      <c r="W6291" s="6">
        <f t="shared" si="196"/>
        <v>0</v>
      </c>
      <c r="X6291" s="6">
        <f t="shared" si="197"/>
        <v>0</v>
      </c>
    </row>
    <row r="6292" spans="22:24" x14ac:dyDescent="0.3">
      <c r="V6292" t="e">
        <f>VLOOKUP(H6292,'[1]팀별 출판사'!A:B,2,0)</f>
        <v>#N/A</v>
      </c>
      <c r="W6292" s="6">
        <f t="shared" si="196"/>
        <v>0</v>
      </c>
      <c r="X6292" s="6">
        <f t="shared" si="197"/>
        <v>0</v>
      </c>
    </row>
    <row r="6293" spans="22:24" x14ac:dyDescent="0.3">
      <c r="V6293" t="e">
        <f>VLOOKUP(H6293,'[1]팀별 출판사'!A:B,2,0)</f>
        <v>#N/A</v>
      </c>
      <c r="W6293" s="6">
        <f t="shared" si="196"/>
        <v>0</v>
      </c>
      <c r="X6293" s="6">
        <f t="shared" si="197"/>
        <v>0</v>
      </c>
    </row>
    <row r="6294" spans="22:24" x14ac:dyDescent="0.3">
      <c r="V6294" t="e">
        <f>VLOOKUP(H6294,'[1]팀별 출판사'!A:B,2,0)</f>
        <v>#N/A</v>
      </c>
      <c r="W6294" s="6">
        <f t="shared" si="196"/>
        <v>0</v>
      </c>
      <c r="X6294" s="6">
        <f t="shared" si="197"/>
        <v>0</v>
      </c>
    </row>
    <row r="6295" spans="22:24" x14ac:dyDescent="0.3">
      <c r="V6295" t="e">
        <f>VLOOKUP(H6295,'[1]팀별 출판사'!A:B,2,0)</f>
        <v>#N/A</v>
      </c>
      <c r="W6295" s="6">
        <f t="shared" si="196"/>
        <v>0</v>
      </c>
      <c r="X6295" s="6">
        <f t="shared" si="197"/>
        <v>0</v>
      </c>
    </row>
    <row r="6296" spans="22:24" x14ac:dyDescent="0.3">
      <c r="V6296" t="e">
        <f>VLOOKUP(H6296,'[1]팀별 출판사'!A:B,2,0)</f>
        <v>#N/A</v>
      </c>
      <c r="W6296" s="6">
        <f t="shared" si="196"/>
        <v>0</v>
      </c>
      <c r="X6296" s="6">
        <f t="shared" si="197"/>
        <v>0</v>
      </c>
    </row>
    <row r="6297" spans="22:24" x14ac:dyDescent="0.3">
      <c r="V6297" t="e">
        <f>VLOOKUP(H6297,'[1]팀별 출판사'!A:B,2,0)</f>
        <v>#N/A</v>
      </c>
      <c r="W6297" s="6">
        <f t="shared" si="196"/>
        <v>0</v>
      </c>
      <c r="X6297" s="6">
        <f t="shared" si="197"/>
        <v>0</v>
      </c>
    </row>
    <row r="6298" spans="22:24" x14ac:dyDescent="0.3">
      <c r="V6298" t="e">
        <f>VLOOKUP(H6298,'[1]팀별 출판사'!A:B,2,0)</f>
        <v>#N/A</v>
      </c>
      <c r="W6298" s="6">
        <f t="shared" si="196"/>
        <v>0</v>
      </c>
      <c r="X6298" s="6">
        <f t="shared" si="197"/>
        <v>0</v>
      </c>
    </row>
    <row r="6299" spans="22:24" x14ac:dyDescent="0.3">
      <c r="V6299" t="e">
        <f>VLOOKUP(H6299,'[1]팀별 출판사'!A:B,2,0)</f>
        <v>#N/A</v>
      </c>
      <c r="W6299" s="6">
        <f t="shared" si="196"/>
        <v>0</v>
      </c>
      <c r="X6299" s="6">
        <f t="shared" si="197"/>
        <v>0</v>
      </c>
    </row>
    <row r="6300" spans="22:24" x14ac:dyDescent="0.3">
      <c r="V6300" t="e">
        <f>VLOOKUP(H6300,'[1]팀별 출판사'!A:B,2,0)</f>
        <v>#N/A</v>
      </c>
      <c r="W6300" s="6">
        <f t="shared" si="196"/>
        <v>0</v>
      </c>
      <c r="X6300" s="6">
        <f t="shared" si="197"/>
        <v>0</v>
      </c>
    </row>
    <row r="6301" spans="22:24" x14ac:dyDescent="0.3">
      <c r="V6301" t="e">
        <f>VLOOKUP(H6301,'[1]팀별 출판사'!A:B,2,0)</f>
        <v>#N/A</v>
      </c>
      <c r="W6301" s="6">
        <f t="shared" si="196"/>
        <v>0</v>
      </c>
      <c r="X6301" s="6">
        <f t="shared" si="197"/>
        <v>0</v>
      </c>
    </row>
    <row r="6302" spans="22:24" x14ac:dyDescent="0.3">
      <c r="V6302" t="e">
        <f>VLOOKUP(H6302,'[1]팀별 출판사'!A:B,2,0)</f>
        <v>#N/A</v>
      </c>
      <c r="W6302" s="6">
        <f t="shared" si="196"/>
        <v>0</v>
      </c>
      <c r="X6302" s="6">
        <f t="shared" si="197"/>
        <v>0</v>
      </c>
    </row>
    <row r="6303" spans="22:24" x14ac:dyDescent="0.3">
      <c r="V6303" t="e">
        <f>VLOOKUP(H6303,'[1]팀별 출판사'!A:B,2,0)</f>
        <v>#N/A</v>
      </c>
      <c r="W6303" s="6">
        <f t="shared" si="196"/>
        <v>0</v>
      </c>
      <c r="X6303" s="6">
        <f t="shared" si="197"/>
        <v>0</v>
      </c>
    </row>
    <row r="6304" spans="22:24" x14ac:dyDescent="0.3">
      <c r="V6304" t="e">
        <f>VLOOKUP(H6304,'[1]팀별 출판사'!A:B,2,0)</f>
        <v>#N/A</v>
      </c>
      <c r="W6304" s="6">
        <f t="shared" si="196"/>
        <v>0</v>
      </c>
      <c r="X6304" s="6">
        <f t="shared" si="197"/>
        <v>0</v>
      </c>
    </row>
    <row r="6305" spans="22:24" x14ac:dyDescent="0.3">
      <c r="V6305" t="e">
        <f>VLOOKUP(H6305,'[1]팀별 출판사'!A:B,2,0)</f>
        <v>#N/A</v>
      </c>
      <c r="W6305" s="6">
        <f t="shared" si="196"/>
        <v>0</v>
      </c>
      <c r="X6305" s="6">
        <f t="shared" si="197"/>
        <v>0</v>
      </c>
    </row>
    <row r="6306" spans="22:24" x14ac:dyDescent="0.3">
      <c r="V6306" t="e">
        <f>VLOOKUP(H6306,'[1]팀별 출판사'!A:B,2,0)</f>
        <v>#N/A</v>
      </c>
      <c r="W6306" s="6">
        <f t="shared" si="196"/>
        <v>0</v>
      </c>
      <c r="X6306" s="6">
        <f t="shared" si="197"/>
        <v>0</v>
      </c>
    </row>
    <row r="6307" spans="22:24" x14ac:dyDescent="0.3">
      <c r="V6307" t="e">
        <f>VLOOKUP(H6307,'[1]팀별 출판사'!A:B,2,0)</f>
        <v>#N/A</v>
      </c>
      <c r="W6307" s="6">
        <f t="shared" si="196"/>
        <v>0</v>
      </c>
      <c r="X6307" s="6">
        <f t="shared" si="197"/>
        <v>0</v>
      </c>
    </row>
    <row r="6308" spans="22:24" x14ac:dyDescent="0.3">
      <c r="V6308" t="e">
        <f>VLOOKUP(H6308,'[1]팀별 출판사'!A:B,2,0)</f>
        <v>#N/A</v>
      </c>
      <c r="W6308" s="6">
        <f t="shared" si="196"/>
        <v>0</v>
      </c>
      <c r="X6308" s="6">
        <f t="shared" si="197"/>
        <v>0</v>
      </c>
    </row>
    <row r="6309" spans="22:24" x14ac:dyDescent="0.3">
      <c r="V6309" t="e">
        <f>VLOOKUP(H6309,'[1]팀별 출판사'!A:B,2,0)</f>
        <v>#N/A</v>
      </c>
      <c r="W6309" s="6">
        <f t="shared" si="196"/>
        <v>0</v>
      </c>
      <c r="X6309" s="6">
        <f t="shared" si="197"/>
        <v>0</v>
      </c>
    </row>
    <row r="6310" spans="22:24" x14ac:dyDescent="0.3">
      <c r="V6310" t="e">
        <f>VLOOKUP(H6310,'[1]팀별 출판사'!A:B,2,0)</f>
        <v>#N/A</v>
      </c>
      <c r="W6310" s="6">
        <f t="shared" si="196"/>
        <v>0</v>
      </c>
      <c r="X6310" s="6">
        <f t="shared" si="197"/>
        <v>0</v>
      </c>
    </row>
    <row r="6311" spans="22:24" x14ac:dyDescent="0.3">
      <c r="V6311" t="e">
        <f>VLOOKUP(H6311,'[1]팀별 출판사'!A:B,2,0)</f>
        <v>#N/A</v>
      </c>
      <c r="W6311" s="6">
        <f t="shared" si="196"/>
        <v>0</v>
      </c>
      <c r="X6311" s="6">
        <f t="shared" si="197"/>
        <v>0</v>
      </c>
    </row>
    <row r="6312" spans="22:24" x14ac:dyDescent="0.3">
      <c r="V6312" t="e">
        <f>VLOOKUP(H6312,'[1]팀별 출판사'!A:B,2,0)</f>
        <v>#N/A</v>
      </c>
      <c r="W6312" s="6">
        <f t="shared" si="196"/>
        <v>0</v>
      </c>
      <c r="X6312" s="6">
        <f t="shared" si="197"/>
        <v>0</v>
      </c>
    </row>
    <row r="6313" spans="22:24" x14ac:dyDescent="0.3">
      <c r="V6313" t="e">
        <f>VLOOKUP(H6313,'[1]팀별 출판사'!A:B,2,0)</f>
        <v>#N/A</v>
      </c>
      <c r="W6313" s="6">
        <f t="shared" si="196"/>
        <v>0</v>
      </c>
      <c r="X6313" s="6">
        <f t="shared" si="197"/>
        <v>0</v>
      </c>
    </row>
    <row r="6314" spans="22:24" x14ac:dyDescent="0.3">
      <c r="V6314" t="e">
        <f>VLOOKUP(H6314,'[1]팀별 출판사'!A:B,2,0)</f>
        <v>#N/A</v>
      </c>
      <c r="W6314" s="6">
        <f t="shared" si="196"/>
        <v>0</v>
      </c>
      <c r="X6314" s="6">
        <f t="shared" si="197"/>
        <v>0</v>
      </c>
    </row>
    <row r="6315" spans="22:24" x14ac:dyDescent="0.3">
      <c r="V6315" t="e">
        <f>VLOOKUP(H6315,'[1]팀별 출판사'!A:B,2,0)</f>
        <v>#N/A</v>
      </c>
      <c r="W6315" s="6">
        <f t="shared" si="196"/>
        <v>0</v>
      </c>
      <c r="X6315" s="6">
        <f t="shared" si="197"/>
        <v>0</v>
      </c>
    </row>
    <row r="6316" spans="22:24" x14ac:dyDescent="0.3">
      <c r="V6316" t="e">
        <f>VLOOKUP(H6316,'[1]팀별 출판사'!A:B,2,0)</f>
        <v>#N/A</v>
      </c>
      <c r="W6316" s="6">
        <f t="shared" si="196"/>
        <v>0</v>
      </c>
      <c r="X6316" s="6">
        <f t="shared" si="197"/>
        <v>0</v>
      </c>
    </row>
    <row r="6317" spans="22:24" x14ac:dyDescent="0.3">
      <c r="V6317" t="e">
        <f>VLOOKUP(H6317,'[1]팀별 출판사'!A:B,2,0)</f>
        <v>#N/A</v>
      </c>
      <c r="W6317" s="6">
        <f t="shared" si="196"/>
        <v>0</v>
      </c>
      <c r="X6317" s="6">
        <f t="shared" si="197"/>
        <v>0</v>
      </c>
    </row>
    <row r="6318" spans="22:24" x14ac:dyDescent="0.3">
      <c r="V6318" t="e">
        <f>VLOOKUP(H6318,'[1]팀별 출판사'!A:B,2,0)</f>
        <v>#N/A</v>
      </c>
      <c r="W6318" s="6">
        <f t="shared" si="196"/>
        <v>0</v>
      </c>
      <c r="X6318" s="6">
        <f t="shared" si="197"/>
        <v>0</v>
      </c>
    </row>
    <row r="6319" spans="22:24" x14ac:dyDescent="0.3">
      <c r="V6319" t="e">
        <f>VLOOKUP(H6319,'[1]팀별 출판사'!A:B,2,0)</f>
        <v>#N/A</v>
      </c>
      <c r="W6319" s="6">
        <f t="shared" si="196"/>
        <v>0</v>
      </c>
      <c r="X6319" s="6">
        <f t="shared" si="197"/>
        <v>0</v>
      </c>
    </row>
    <row r="6320" spans="22:24" x14ac:dyDescent="0.3">
      <c r="V6320" t="e">
        <f>VLOOKUP(H6320,'[1]팀별 출판사'!A:B,2,0)</f>
        <v>#N/A</v>
      </c>
      <c r="W6320" s="6">
        <f t="shared" si="196"/>
        <v>0</v>
      </c>
      <c r="X6320" s="6">
        <f t="shared" si="197"/>
        <v>0</v>
      </c>
    </row>
    <row r="6321" spans="22:24" x14ac:dyDescent="0.3">
      <c r="V6321" t="e">
        <f>VLOOKUP(H6321,'[1]팀별 출판사'!A:B,2,0)</f>
        <v>#N/A</v>
      </c>
      <c r="W6321" s="6">
        <f t="shared" si="196"/>
        <v>0</v>
      </c>
      <c r="X6321" s="6">
        <f t="shared" si="197"/>
        <v>0</v>
      </c>
    </row>
    <row r="6322" spans="22:24" x14ac:dyDescent="0.3">
      <c r="V6322" t="e">
        <f>VLOOKUP(H6322,'[1]팀별 출판사'!A:B,2,0)</f>
        <v>#N/A</v>
      </c>
      <c r="W6322" s="6">
        <f t="shared" si="196"/>
        <v>0</v>
      </c>
      <c r="X6322" s="6">
        <f t="shared" si="197"/>
        <v>0</v>
      </c>
    </row>
    <row r="6323" spans="22:24" x14ac:dyDescent="0.3">
      <c r="V6323" t="e">
        <f>VLOOKUP(H6323,'[1]팀별 출판사'!A:B,2,0)</f>
        <v>#N/A</v>
      </c>
      <c r="W6323" s="6">
        <f t="shared" si="196"/>
        <v>0</v>
      </c>
      <c r="X6323" s="6">
        <f t="shared" si="197"/>
        <v>0</v>
      </c>
    </row>
    <row r="6324" spans="22:24" x14ac:dyDescent="0.3">
      <c r="V6324" t="e">
        <f>VLOOKUP(H6324,'[1]팀별 출판사'!A:B,2,0)</f>
        <v>#N/A</v>
      </c>
      <c r="W6324" s="6">
        <f t="shared" si="196"/>
        <v>0</v>
      </c>
      <c r="X6324" s="6">
        <f t="shared" si="197"/>
        <v>0</v>
      </c>
    </row>
    <row r="6325" spans="22:24" x14ac:dyDescent="0.3">
      <c r="V6325" t="e">
        <f>VLOOKUP(H6325,'[1]팀별 출판사'!A:B,2,0)</f>
        <v>#N/A</v>
      </c>
      <c r="W6325" s="6">
        <f t="shared" si="196"/>
        <v>0</v>
      </c>
      <c r="X6325" s="6">
        <f t="shared" si="197"/>
        <v>0</v>
      </c>
    </row>
    <row r="6326" spans="22:24" x14ac:dyDescent="0.3">
      <c r="V6326" t="e">
        <f>VLOOKUP(H6326,'[1]팀별 출판사'!A:B,2,0)</f>
        <v>#N/A</v>
      </c>
      <c r="W6326" s="6">
        <f t="shared" si="196"/>
        <v>0</v>
      </c>
      <c r="X6326" s="6">
        <f t="shared" si="197"/>
        <v>0</v>
      </c>
    </row>
    <row r="6327" spans="22:24" x14ac:dyDescent="0.3">
      <c r="V6327" t="e">
        <f>VLOOKUP(H6327,'[1]팀별 출판사'!A:B,2,0)</f>
        <v>#N/A</v>
      </c>
      <c r="W6327" s="6">
        <f t="shared" si="196"/>
        <v>0</v>
      </c>
      <c r="X6327" s="6">
        <f t="shared" si="197"/>
        <v>0</v>
      </c>
    </row>
    <row r="6328" spans="22:24" x14ac:dyDescent="0.3">
      <c r="V6328" t="e">
        <f>VLOOKUP(H6328,'[1]팀별 출판사'!A:B,2,0)</f>
        <v>#N/A</v>
      </c>
      <c r="W6328" s="6">
        <f t="shared" si="196"/>
        <v>0</v>
      </c>
      <c r="X6328" s="6">
        <f t="shared" si="197"/>
        <v>0</v>
      </c>
    </row>
    <row r="6329" spans="22:24" x14ac:dyDescent="0.3">
      <c r="V6329" t="e">
        <f>VLOOKUP(H6329,'[1]팀별 출판사'!A:B,2,0)</f>
        <v>#N/A</v>
      </c>
      <c r="W6329" s="6">
        <f t="shared" si="196"/>
        <v>0</v>
      </c>
      <c r="X6329" s="6">
        <f t="shared" si="197"/>
        <v>0</v>
      </c>
    </row>
    <row r="6330" spans="22:24" x14ac:dyDescent="0.3">
      <c r="V6330" t="e">
        <f>VLOOKUP(H6330,'[1]팀별 출판사'!A:B,2,0)</f>
        <v>#N/A</v>
      </c>
      <c r="W6330" s="6">
        <f t="shared" si="196"/>
        <v>0</v>
      </c>
      <c r="X6330" s="6">
        <f t="shared" si="197"/>
        <v>0</v>
      </c>
    </row>
    <row r="6331" spans="22:24" x14ac:dyDescent="0.3">
      <c r="V6331" t="e">
        <f>VLOOKUP(H6331,'[1]팀별 출판사'!A:B,2,0)</f>
        <v>#N/A</v>
      </c>
      <c r="W6331" s="6">
        <f t="shared" si="196"/>
        <v>0</v>
      </c>
      <c r="X6331" s="6">
        <f t="shared" si="197"/>
        <v>0</v>
      </c>
    </row>
    <row r="6332" spans="22:24" x14ac:dyDescent="0.3">
      <c r="V6332" t="e">
        <f>VLOOKUP(H6332,'[1]팀별 출판사'!A:B,2,0)</f>
        <v>#N/A</v>
      </c>
      <c r="W6332" s="6">
        <f t="shared" si="196"/>
        <v>0</v>
      </c>
      <c r="X6332" s="6">
        <f t="shared" si="197"/>
        <v>0</v>
      </c>
    </row>
    <row r="6333" spans="22:24" x14ac:dyDescent="0.3">
      <c r="V6333" t="e">
        <f>VLOOKUP(H6333,'[1]팀별 출판사'!A:B,2,0)</f>
        <v>#N/A</v>
      </c>
      <c r="W6333" s="6">
        <f t="shared" si="196"/>
        <v>0</v>
      </c>
      <c r="X6333" s="6">
        <f t="shared" si="197"/>
        <v>0</v>
      </c>
    </row>
    <row r="6334" spans="22:24" x14ac:dyDescent="0.3">
      <c r="V6334" t="e">
        <f>VLOOKUP(H6334,'[1]팀별 출판사'!A:B,2,0)</f>
        <v>#N/A</v>
      </c>
      <c r="W6334" s="6">
        <f t="shared" si="196"/>
        <v>0</v>
      </c>
      <c r="X6334" s="6">
        <f t="shared" si="197"/>
        <v>0</v>
      </c>
    </row>
    <row r="6335" spans="22:24" x14ac:dyDescent="0.3">
      <c r="V6335" t="e">
        <f>VLOOKUP(H6335,'[1]팀별 출판사'!A:B,2,0)</f>
        <v>#N/A</v>
      </c>
      <c r="W6335" s="6">
        <f t="shared" si="196"/>
        <v>0</v>
      </c>
      <c r="X6335" s="6">
        <f t="shared" si="197"/>
        <v>0</v>
      </c>
    </row>
    <row r="6336" spans="22:24" x14ac:dyDescent="0.3">
      <c r="V6336" t="e">
        <f>VLOOKUP(H6336,'[1]팀별 출판사'!A:B,2,0)</f>
        <v>#N/A</v>
      </c>
      <c r="W6336" s="6">
        <f t="shared" si="196"/>
        <v>0</v>
      </c>
      <c r="X6336" s="6">
        <f t="shared" si="197"/>
        <v>0</v>
      </c>
    </row>
    <row r="6337" spans="22:24" x14ac:dyDescent="0.3">
      <c r="V6337" t="e">
        <f>VLOOKUP(H6337,'[1]팀별 출판사'!A:B,2,0)</f>
        <v>#N/A</v>
      </c>
      <c r="W6337" s="6">
        <f t="shared" si="196"/>
        <v>0</v>
      </c>
      <c r="X6337" s="6">
        <f t="shared" si="197"/>
        <v>0</v>
      </c>
    </row>
    <row r="6338" spans="22:24" x14ac:dyDescent="0.3">
      <c r="V6338" t="e">
        <f>VLOOKUP(H6338,'[1]팀별 출판사'!A:B,2,0)</f>
        <v>#N/A</v>
      </c>
      <c r="W6338" s="6">
        <f t="shared" ref="W6338:W6401" si="198">IF(P6338="US", T6338*30%, 0)</f>
        <v>0</v>
      </c>
      <c r="X6338" s="6">
        <f t="shared" ref="X6338:X6401" si="199">T6338-W6338</f>
        <v>0</v>
      </c>
    </row>
    <row r="6339" spans="22:24" x14ac:dyDescent="0.3">
      <c r="V6339" t="e">
        <f>VLOOKUP(H6339,'[1]팀별 출판사'!A:B,2,0)</f>
        <v>#N/A</v>
      </c>
      <c r="W6339" s="6">
        <f t="shared" si="198"/>
        <v>0</v>
      </c>
      <c r="X6339" s="6">
        <f t="shared" si="199"/>
        <v>0</v>
      </c>
    </row>
    <row r="6340" spans="22:24" x14ac:dyDescent="0.3">
      <c r="V6340" t="e">
        <f>VLOOKUP(H6340,'[1]팀별 출판사'!A:B,2,0)</f>
        <v>#N/A</v>
      </c>
      <c r="W6340" s="6">
        <f t="shared" si="198"/>
        <v>0</v>
      </c>
      <c r="X6340" s="6">
        <f t="shared" si="199"/>
        <v>0</v>
      </c>
    </row>
    <row r="6341" spans="22:24" x14ac:dyDescent="0.3">
      <c r="V6341" t="e">
        <f>VLOOKUP(H6341,'[1]팀별 출판사'!A:B,2,0)</f>
        <v>#N/A</v>
      </c>
      <c r="W6341" s="6">
        <f t="shared" si="198"/>
        <v>0</v>
      </c>
      <c r="X6341" s="6">
        <f t="shared" si="199"/>
        <v>0</v>
      </c>
    </row>
    <row r="6342" spans="22:24" x14ac:dyDescent="0.3">
      <c r="V6342" t="e">
        <f>VLOOKUP(H6342,'[1]팀별 출판사'!A:B,2,0)</f>
        <v>#N/A</v>
      </c>
      <c r="W6342" s="6">
        <f t="shared" si="198"/>
        <v>0</v>
      </c>
      <c r="X6342" s="6">
        <f t="shared" si="199"/>
        <v>0</v>
      </c>
    </row>
    <row r="6343" spans="22:24" x14ac:dyDescent="0.3">
      <c r="V6343" t="e">
        <f>VLOOKUP(H6343,'[1]팀별 출판사'!A:B,2,0)</f>
        <v>#N/A</v>
      </c>
      <c r="W6343" s="6">
        <f t="shared" si="198"/>
        <v>0</v>
      </c>
      <c r="X6343" s="6">
        <f t="shared" si="199"/>
        <v>0</v>
      </c>
    </row>
    <row r="6344" spans="22:24" x14ac:dyDescent="0.3">
      <c r="V6344" t="e">
        <f>VLOOKUP(H6344,'[1]팀별 출판사'!A:B,2,0)</f>
        <v>#N/A</v>
      </c>
      <c r="W6344" s="6">
        <f t="shared" si="198"/>
        <v>0</v>
      </c>
      <c r="X6344" s="6">
        <f t="shared" si="199"/>
        <v>0</v>
      </c>
    </row>
    <row r="6345" spans="22:24" x14ac:dyDescent="0.3">
      <c r="V6345" t="e">
        <f>VLOOKUP(H6345,'[1]팀별 출판사'!A:B,2,0)</f>
        <v>#N/A</v>
      </c>
      <c r="W6345" s="6">
        <f t="shared" si="198"/>
        <v>0</v>
      </c>
      <c r="X6345" s="6">
        <f t="shared" si="199"/>
        <v>0</v>
      </c>
    </row>
    <row r="6346" spans="22:24" x14ac:dyDescent="0.3">
      <c r="V6346" t="e">
        <f>VLOOKUP(H6346,'[1]팀별 출판사'!A:B,2,0)</f>
        <v>#N/A</v>
      </c>
      <c r="W6346" s="6">
        <f t="shared" si="198"/>
        <v>0</v>
      </c>
      <c r="X6346" s="6">
        <f t="shared" si="199"/>
        <v>0</v>
      </c>
    </row>
    <row r="6347" spans="22:24" x14ac:dyDescent="0.3">
      <c r="V6347" t="e">
        <f>VLOOKUP(H6347,'[1]팀별 출판사'!A:B,2,0)</f>
        <v>#N/A</v>
      </c>
      <c r="W6347" s="6">
        <f t="shared" si="198"/>
        <v>0</v>
      </c>
      <c r="X6347" s="6">
        <f t="shared" si="199"/>
        <v>0</v>
      </c>
    </row>
    <row r="6348" spans="22:24" x14ac:dyDescent="0.3">
      <c r="V6348" t="e">
        <f>VLOOKUP(H6348,'[1]팀별 출판사'!A:B,2,0)</f>
        <v>#N/A</v>
      </c>
      <c r="W6348" s="6">
        <f t="shared" si="198"/>
        <v>0</v>
      </c>
      <c r="X6348" s="6">
        <f t="shared" si="199"/>
        <v>0</v>
      </c>
    </row>
    <row r="6349" spans="22:24" x14ac:dyDescent="0.3">
      <c r="V6349" t="e">
        <f>VLOOKUP(H6349,'[1]팀별 출판사'!A:B,2,0)</f>
        <v>#N/A</v>
      </c>
      <c r="W6349" s="6">
        <f t="shared" si="198"/>
        <v>0</v>
      </c>
      <c r="X6349" s="6">
        <f t="shared" si="199"/>
        <v>0</v>
      </c>
    </row>
    <row r="6350" spans="22:24" x14ac:dyDescent="0.3">
      <c r="V6350" t="e">
        <f>VLOOKUP(H6350,'[1]팀별 출판사'!A:B,2,0)</f>
        <v>#N/A</v>
      </c>
      <c r="W6350" s="6">
        <f t="shared" si="198"/>
        <v>0</v>
      </c>
      <c r="X6350" s="6">
        <f t="shared" si="199"/>
        <v>0</v>
      </c>
    </row>
    <row r="6351" spans="22:24" x14ac:dyDescent="0.3">
      <c r="V6351" t="e">
        <f>VLOOKUP(H6351,'[1]팀별 출판사'!A:B,2,0)</f>
        <v>#N/A</v>
      </c>
      <c r="W6351" s="6">
        <f t="shared" si="198"/>
        <v>0</v>
      </c>
      <c r="X6351" s="6">
        <f t="shared" si="199"/>
        <v>0</v>
      </c>
    </row>
    <row r="6352" spans="22:24" x14ac:dyDescent="0.3">
      <c r="V6352" t="e">
        <f>VLOOKUP(H6352,'[1]팀별 출판사'!A:B,2,0)</f>
        <v>#N/A</v>
      </c>
      <c r="W6352" s="6">
        <f t="shared" si="198"/>
        <v>0</v>
      </c>
      <c r="X6352" s="6">
        <f t="shared" si="199"/>
        <v>0</v>
      </c>
    </row>
    <row r="6353" spans="22:24" x14ac:dyDescent="0.3">
      <c r="V6353" t="e">
        <f>VLOOKUP(H6353,'[1]팀별 출판사'!A:B,2,0)</f>
        <v>#N/A</v>
      </c>
      <c r="W6353" s="6">
        <f t="shared" si="198"/>
        <v>0</v>
      </c>
      <c r="X6353" s="6">
        <f t="shared" si="199"/>
        <v>0</v>
      </c>
    </row>
    <row r="6354" spans="22:24" x14ac:dyDescent="0.3">
      <c r="V6354" t="e">
        <f>VLOOKUP(H6354,'[1]팀별 출판사'!A:B,2,0)</f>
        <v>#N/A</v>
      </c>
      <c r="W6354" s="6">
        <f t="shared" si="198"/>
        <v>0</v>
      </c>
      <c r="X6354" s="6">
        <f t="shared" si="199"/>
        <v>0</v>
      </c>
    </row>
    <row r="6355" spans="22:24" x14ac:dyDescent="0.3">
      <c r="V6355" t="e">
        <f>VLOOKUP(H6355,'[1]팀별 출판사'!A:B,2,0)</f>
        <v>#N/A</v>
      </c>
      <c r="W6355" s="6">
        <f t="shared" si="198"/>
        <v>0</v>
      </c>
      <c r="X6355" s="6">
        <f t="shared" si="199"/>
        <v>0</v>
      </c>
    </row>
    <row r="6356" spans="22:24" x14ac:dyDescent="0.3">
      <c r="V6356" t="e">
        <f>VLOOKUP(H6356,'[1]팀별 출판사'!A:B,2,0)</f>
        <v>#N/A</v>
      </c>
      <c r="W6356" s="6">
        <f t="shared" si="198"/>
        <v>0</v>
      </c>
      <c r="X6356" s="6">
        <f t="shared" si="199"/>
        <v>0</v>
      </c>
    </row>
    <row r="6357" spans="22:24" x14ac:dyDescent="0.3">
      <c r="V6357" t="e">
        <f>VLOOKUP(H6357,'[1]팀별 출판사'!A:B,2,0)</f>
        <v>#N/A</v>
      </c>
      <c r="W6357" s="6">
        <f t="shared" si="198"/>
        <v>0</v>
      </c>
      <c r="X6357" s="6">
        <f t="shared" si="199"/>
        <v>0</v>
      </c>
    </row>
    <row r="6358" spans="22:24" x14ac:dyDescent="0.3">
      <c r="V6358" t="e">
        <f>VLOOKUP(H6358,'[1]팀별 출판사'!A:B,2,0)</f>
        <v>#N/A</v>
      </c>
      <c r="W6358" s="6">
        <f t="shared" si="198"/>
        <v>0</v>
      </c>
      <c r="X6358" s="6">
        <f t="shared" si="199"/>
        <v>0</v>
      </c>
    </row>
    <row r="6359" spans="22:24" x14ac:dyDescent="0.3">
      <c r="V6359" t="e">
        <f>VLOOKUP(H6359,'[1]팀별 출판사'!A:B,2,0)</f>
        <v>#N/A</v>
      </c>
      <c r="W6359" s="6">
        <f t="shared" si="198"/>
        <v>0</v>
      </c>
      <c r="X6359" s="6">
        <f t="shared" si="199"/>
        <v>0</v>
      </c>
    </row>
    <row r="6360" spans="22:24" x14ac:dyDescent="0.3">
      <c r="V6360" t="e">
        <f>VLOOKUP(H6360,'[1]팀별 출판사'!A:B,2,0)</f>
        <v>#N/A</v>
      </c>
      <c r="W6360" s="6">
        <f t="shared" si="198"/>
        <v>0</v>
      </c>
      <c r="X6360" s="6">
        <f t="shared" si="199"/>
        <v>0</v>
      </c>
    </row>
    <row r="6361" spans="22:24" x14ac:dyDescent="0.3">
      <c r="V6361" t="e">
        <f>VLOOKUP(H6361,'[1]팀별 출판사'!A:B,2,0)</f>
        <v>#N/A</v>
      </c>
      <c r="W6361" s="6">
        <f t="shared" si="198"/>
        <v>0</v>
      </c>
      <c r="X6361" s="6">
        <f t="shared" si="199"/>
        <v>0</v>
      </c>
    </row>
    <row r="6362" spans="22:24" x14ac:dyDescent="0.3">
      <c r="V6362" t="e">
        <f>VLOOKUP(H6362,'[1]팀별 출판사'!A:B,2,0)</f>
        <v>#N/A</v>
      </c>
      <c r="W6362" s="6">
        <f t="shared" si="198"/>
        <v>0</v>
      </c>
      <c r="X6362" s="6">
        <f t="shared" si="199"/>
        <v>0</v>
      </c>
    </row>
    <row r="6363" spans="22:24" x14ac:dyDescent="0.3">
      <c r="V6363" t="e">
        <f>VLOOKUP(H6363,'[1]팀별 출판사'!A:B,2,0)</f>
        <v>#N/A</v>
      </c>
      <c r="W6363" s="6">
        <f t="shared" si="198"/>
        <v>0</v>
      </c>
      <c r="X6363" s="6">
        <f t="shared" si="199"/>
        <v>0</v>
      </c>
    </row>
    <row r="6364" spans="22:24" x14ac:dyDescent="0.3">
      <c r="V6364" t="e">
        <f>VLOOKUP(H6364,'[1]팀별 출판사'!A:B,2,0)</f>
        <v>#N/A</v>
      </c>
      <c r="W6364" s="6">
        <f t="shared" si="198"/>
        <v>0</v>
      </c>
      <c r="X6364" s="6">
        <f t="shared" si="199"/>
        <v>0</v>
      </c>
    </row>
    <row r="6365" spans="22:24" x14ac:dyDescent="0.3">
      <c r="V6365" t="e">
        <f>VLOOKUP(H6365,'[1]팀별 출판사'!A:B,2,0)</f>
        <v>#N/A</v>
      </c>
      <c r="W6365" s="6">
        <f t="shared" si="198"/>
        <v>0</v>
      </c>
      <c r="X6365" s="6">
        <f t="shared" si="199"/>
        <v>0</v>
      </c>
    </row>
    <row r="6366" spans="22:24" x14ac:dyDescent="0.3">
      <c r="V6366" t="e">
        <f>VLOOKUP(H6366,'[1]팀별 출판사'!A:B,2,0)</f>
        <v>#N/A</v>
      </c>
      <c r="W6366" s="6">
        <f t="shared" si="198"/>
        <v>0</v>
      </c>
      <c r="X6366" s="6">
        <f t="shared" si="199"/>
        <v>0</v>
      </c>
    </row>
    <row r="6367" spans="22:24" x14ac:dyDescent="0.3">
      <c r="V6367" t="e">
        <f>VLOOKUP(H6367,'[1]팀별 출판사'!A:B,2,0)</f>
        <v>#N/A</v>
      </c>
      <c r="W6367" s="6">
        <f t="shared" si="198"/>
        <v>0</v>
      </c>
      <c r="X6367" s="6">
        <f t="shared" si="199"/>
        <v>0</v>
      </c>
    </row>
    <row r="6368" spans="22:24" x14ac:dyDescent="0.3">
      <c r="V6368" t="e">
        <f>VLOOKUP(H6368,'[1]팀별 출판사'!A:B,2,0)</f>
        <v>#N/A</v>
      </c>
      <c r="W6368" s="6">
        <f t="shared" si="198"/>
        <v>0</v>
      </c>
      <c r="X6368" s="6">
        <f t="shared" si="199"/>
        <v>0</v>
      </c>
    </row>
    <row r="6369" spans="22:24" x14ac:dyDescent="0.3">
      <c r="V6369" t="e">
        <f>VLOOKUP(H6369,'[1]팀별 출판사'!A:B,2,0)</f>
        <v>#N/A</v>
      </c>
      <c r="W6369" s="6">
        <f t="shared" si="198"/>
        <v>0</v>
      </c>
      <c r="X6369" s="6">
        <f t="shared" si="199"/>
        <v>0</v>
      </c>
    </row>
    <row r="6370" spans="22:24" x14ac:dyDescent="0.3">
      <c r="V6370" t="e">
        <f>VLOOKUP(H6370,'[1]팀별 출판사'!A:B,2,0)</f>
        <v>#N/A</v>
      </c>
      <c r="W6370" s="6">
        <f t="shared" si="198"/>
        <v>0</v>
      </c>
      <c r="X6370" s="6">
        <f t="shared" si="199"/>
        <v>0</v>
      </c>
    </row>
    <row r="6371" spans="22:24" x14ac:dyDescent="0.3">
      <c r="V6371" t="e">
        <f>VLOOKUP(H6371,'[1]팀별 출판사'!A:B,2,0)</f>
        <v>#N/A</v>
      </c>
      <c r="W6371" s="6">
        <f t="shared" si="198"/>
        <v>0</v>
      </c>
      <c r="X6371" s="6">
        <f t="shared" si="199"/>
        <v>0</v>
      </c>
    </row>
    <row r="6372" spans="22:24" x14ac:dyDescent="0.3">
      <c r="V6372" t="e">
        <f>VLOOKUP(H6372,'[1]팀별 출판사'!A:B,2,0)</f>
        <v>#N/A</v>
      </c>
      <c r="W6372" s="6">
        <f t="shared" si="198"/>
        <v>0</v>
      </c>
      <c r="X6372" s="6">
        <f t="shared" si="199"/>
        <v>0</v>
      </c>
    </row>
    <row r="6373" spans="22:24" x14ac:dyDescent="0.3">
      <c r="V6373" t="e">
        <f>VLOOKUP(H6373,'[1]팀별 출판사'!A:B,2,0)</f>
        <v>#N/A</v>
      </c>
      <c r="W6373" s="6">
        <f t="shared" si="198"/>
        <v>0</v>
      </c>
      <c r="X6373" s="6">
        <f t="shared" si="199"/>
        <v>0</v>
      </c>
    </row>
    <row r="6374" spans="22:24" x14ac:dyDescent="0.3">
      <c r="V6374" t="e">
        <f>VLOOKUP(H6374,'[1]팀별 출판사'!A:B,2,0)</f>
        <v>#N/A</v>
      </c>
      <c r="W6374" s="6">
        <f t="shared" si="198"/>
        <v>0</v>
      </c>
      <c r="X6374" s="6">
        <f t="shared" si="199"/>
        <v>0</v>
      </c>
    </row>
    <row r="6375" spans="22:24" x14ac:dyDescent="0.3">
      <c r="V6375" t="e">
        <f>VLOOKUP(H6375,'[1]팀별 출판사'!A:B,2,0)</f>
        <v>#N/A</v>
      </c>
      <c r="W6375" s="6">
        <f t="shared" si="198"/>
        <v>0</v>
      </c>
      <c r="X6375" s="6">
        <f t="shared" si="199"/>
        <v>0</v>
      </c>
    </row>
    <row r="6376" spans="22:24" x14ac:dyDescent="0.3">
      <c r="V6376" t="e">
        <f>VLOOKUP(H6376,'[1]팀별 출판사'!A:B,2,0)</f>
        <v>#N/A</v>
      </c>
      <c r="W6376" s="6">
        <f t="shared" si="198"/>
        <v>0</v>
      </c>
      <c r="X6376" s="6">
        <f t="shared" si="199"/>
        <v>0</v>
      </c>
    </row>
    <row r="6377" spans="22:24" x14ac:dyDescent="0.3">
      <c r="V6377" t="e">
        <f>VLOOKUP(H6377,'[1]팀별 출판사'!A:B,2,0)</f>
        <v>#N/A</v>
      </c>
      <c r="W6377" s="6">
        <f t="shared" si="198"/>
        <v>0</v>
      </c>
      <c r="X6377" s="6">
        <f t="shared" si="199"/>
        <v>0</v>
      </c>
    </row>
    <row r="6378" spans="22:24" x14ac:dyDescent="0.3">
      <c r="V6378" t="e">
        <f>VLOOKUP(H6378,'[1]팀별 출판사'!A:B,2,0)</f>
        <v>#N/A</v>
      </c>
      <c r="W6378" s="6">
        <f t="shared" si="198"/>
        <v>0</v>
      </c>
      <c r="X6378" s="6">
        <f t="shared" si="199"/>
        <v>0</v>
      </c>
    </row>
    <row r="6379" spans="22:24" x14ac:dyDescent="0.3">
      <c r="V6379" t="e">
        <f>VLOOKUP(H6379,'[1]팀별 출판사'!A:B,2,0)</f>
        <v>#N/A</v>
      </c>
      <c r="W6379" s="6">
        <f t="shared" si="198"/>
        <v>0</v>
      </c>
      <c r="X6379" s="6">
        <f t="shared" si="199"/>
        <v>0</v>
      </c>
    </row>
    <row r="6380" spans="22:24" x14ac:dyDescent="0.3">
      <c r="V6380" t="e">
        <f>VLOOKUP(H6380,'[1]팀별 출판사'!A:B,2,0)</f>
        <v>#N/A</v>
      </c>
      <c r="W6380" s="6">
        <f t="shared" si="198"/>
        <v>0</v>
      </c>
      <c r="X6380" s="6">
        <f t="shared" si="199"/>
        <v>0</v>
      </c>
    </row>
    <row r="6381" spans="22:24" x14ac:dyDescent="0.3">
      <c r="V6381" t="e">
        <f>VLOOKUP(H6381,'[1]팀별 출판사'!A:B,2,0)</f>
        <v>#N/A</v>
      </c>
      <c r="W6381" s="6">
        <f t="shared" si="198"/>
        <v>0</v>
      </c>
      <c r="X6381" s="6">
        <f t="shared" si="199"/>
        <v>0</v>
      </c>
    </row>
    <row r="6382" spans="22:24" x14ac:dyDescent="0.3">
      <c r="V6382" t="e">
        <f>VLOOKUP(H6382,'[1]팀별 출판사'!A:B,2,0)</f>
        <v>#N/A</v>
      </c>
      <c r="W6382" s="6">
        <f t="shared" si="198"/>
        <v>0</v>
      </c>
      <c r="X6382" s="6">
        <f t="shared" si="199"/>
        <v>0</v>
      </c>
    </row>
    <row r="6383" spans="22:24" x14ac:dyDescent="0.3">
      <c r="V6383" t="e">
        <f>VLOOKUP(H6383,'[1]팀별 출판사'!A:B,2,0)</f>
        <v>#N/A</v>
      </c>
      <c r="W6383" s="6">
        <f t="shared" si="198"/>
        <v>0</v>
      </c>
      <c r="X6383" s="6">
        <f t="shared" si="199"/>
        <v>0</v>
      </c>
    </row>
    <row r="6384" spans="22:24" x14ac:dyDescent="0.3">
      <c r="V6384" t="e">
        <f>VLOOKUP(H6384,'[1]팀별 출판사'!A:B,2,0)</f>
        <v>#N/A</v>
      </c>
      <c r="W6384" s="6">
        <f t="shared" si="198"/>
        <v>0</v>
      </c>
      <c r="X6384" s="6">
        <f t="shared" si="199"/>
        <v>0</v>
      </c>
    </row>
    <row r="6385" spans="22:24" x14ac:dyDescent="0.3">
      <c r="V6385" t="e">
        <f>VLOOKUP(H6385,'[1]팀별 출판사'!A:B,2,0)</f>
        <v>#N/A</v>
      </c>
      <c r="W6385" s="6">
        <f t="shared" si="198"/>
        <v>0</v>
      </c>
      <c r="X6385" s="6">
        <f t="shared" si="199"/>
        <v>0</v>
      </c>
    </row>
    <row r="6386" spans="22:24" x14ac:dyDescent="0.3">
      <c r="V6386" t="e">
        <f>VLOOKUP(H6386,'[1]팀별 출판사'!A:B,2,0)</f>
        <v>#N/A</v>
      </c>
      <c r="W6386" s="6">
        <f t="shared" si="198"/>
        <v>0</v>
      </c>
      <c r="X6386" s="6">
        <f t="shared" si="199"/>
        <v>0</v>
      </c>
    </row>
    <row r="6387" spans="22:24" x14ac:dyDescent="0.3">
      <c r="V6387" t="e">
        <f>VLOOKUP(H6387,'[1]팀별 출판사'!A:B,2,0)</f>
        <v>#N/A</v>
      </c>
      <c r="W6387" s="6">
        <f t="shared" si="198"/>
        <v>0</v>
      </c>
      <c r="X6387" s="6">
        <f t="shared" si="199"/>
        <v>0</v>
      </c>
    </row>
    <row r="6388" spans="22:24" x14ac:dyDescent="0.3">
      <c r="V6388" t="e">
        <f>VLOOKUP(H6388,'[1]팀별 출판사'!A:B,2,0)</f>
        <v>#N/A</v>
      </c>
      <c r="W6388" s="6">
        <f t="shared" si="198"/>
        <v>0</v>
      </c>
      <c r="X6388" s="6">
        <f t="shared" si="199"/>
        <v>0</v>
      </c>
    </row>
    <row r="6389" spans="22:24" x14ac:dyDescent="0.3">
      <c r="V6389" t="e">
        <f>VLOOKUP(H6389,'[1]팀별 출판사'!A:B,2,0)</f>
        <v>#N/A</v>
      </c>
      <c r="W6389" s="6">
        <f t="shared" si="198"/>
        <v>0</v>
      </c>
      <c r="X6389" s="6">
        <f t="shared" si="199"/>
        <v>0</v>
      </c>
    </row>
    <row r="6390" spans="22:24" x14ac:dyDescent="0.3">
      <c r="V6390" t="e">
        <f>VLOOKUP(H6390,'[1]팀별 출판사'!A:B,2,0)</f>
        <v>#N/A</v>
      </c>
      <c r="W6390" s="6">
        <f t="shared" si="198"/>
        <v>0</v>
      </c>
      <c r="X6390" s="6">
        <f t="shared" si="199"/>
        <v>0</v>
      </c>
    </row>
    <row r="6391" spans="22:24" x14ac:dyDescent="0.3">
      <c r="V6391" t="e">
        <f>VLOOKUP(H6391,'[1]팀별 출판사'!A:B,2,0)</f>
        <v>#N/A</v>
      </c>
      <c r="W6391" s="6">
        <f t="shared" si="198"/>
        <v>0</v>
      </c>
      <c r="X6391" s="6">
        <f t="shared" si="199"/>
        <v>0</v>
      </c>
    </row>
    <row r="6392" spans="22:24" x14ac:dyDescent="0.3">
      <c r="V6392" t="e">
        <f>VLOOKUP(H6392,'[1]팀별 출판사'!A:B,2,0)</f>
        <v>#N/A</v>
      </c>
      <c r="W6392" s="6">
        <f t="shared" si="198"/>
        <v>0</v>
      </c>
      <c r="X6392" s="6">
        <f t="shared" si="199"/>
        <v>0</v>
      </c>
    </row>
    <row r="6393" spans="22:24" x14ac:dyDescent="0.3">
      <c r="V6393" t="e">
        <f>VLOOKUP(H6393,'[1]팀별 출판사'!A:B,2,0)</f>
        <v>#N/A</v>
      </c>
      <c r="W6393" s="6">
        <f t="shared" si="198"/>
        <v>0</v>
      </c>
      <c r="X6393" s="6">
        <f t="shared" si="199"/>
        <v>0</v>
      </c>
    </row>
    <row r="6394" spans="22:24" x14ac:dyDescent="0.3">
      <c r="V6394" t="e">
        <f>VLOOKUP(H6394,'[1]팀별 출판사'!A:B,2,0)</f>
        <v>#N/A</v>
      </c>
      <c r="W6394" s="6">
        <f t="shared" si="198"/>
        <v>0</v>
      </c>
      <c r="X6394" s="6">
        <f t="shared" si="199"/>
        <v>0</v>
      </c>
    </row>
    <row r="6395" spans="22:24" x14ac:dyDescent="0.3">
      <c r="V6395" t="e">
        <f>VLOOKUP(H6395,'[1]팀별 출판사'!A:B,2,0)</f>
        <v>#N/A</v>
      </c>
      <c r="W6395" s="6">
        <f t="shared" si="198"/>
        <v>0</v>
      </c>
      <c r="X6395" s="6">
        <f t="shared" si="199"/>
        <v>0</v>
      </c>
    </row>
    <row r="6396" spans="22:24" x14ac:dyDescent="0.3">
      <c r="V6396" t="e">
        <f>VLOOKUP(H6396,'[1]팀별 출판사'!A:B,2,0)</f>
        <v>#N/A</v>
      </c>
      <c r="W6396" s="6">
        <f t="shared" si="198"/>
        <v>0</v>
      </c>
      <c r="X6396" s="6">
        <f t="shared" si="199"/>
        <v>0</v>
      </c>
    </row>
    <row r="6397" spans="22:24" x14ac:dyDescent="0.3">
      <c r="V6397" t="e">
        <f>VLOOKUP(H6397,'[1]팀별 출판사'!A:B,2,0)</f>
        <v>#N/A</v>
      </c>
      <c r="W6397" s="6">
        <f t="shared" si="198"/>
        <v>0</v>
      </c>
      <c r="X6397" s="6">
        <f t="shared" si="199"/>
        <v>0</v>
      </c>
    </row>
    <row r="6398" spans="22:24" x14ac:dyDescent="0.3">
      <c r="V6398" t="e">
        <f>VLOOKUP(H6398,'[1]팀별 출판사'!A:B,2,0)</f>
        <v>#N/A</v>
      </c>
      <c r="W6398" s="6">
        <f t="shared" si="198"/>
        <v>0</v>
      </c>
      <c r="X6398" s="6">
        <f t="shared" si="199"/>
        <v>0</v>
      </c>
    </row>
    <row r="6399" spans="22:24" x14ac:dyDescent="0.3">
      <c r="V6399" t="e">
        <f>VLOOKUP(H6399,'[1]팀별 출판사'!A:B,2,0)</f>
        <v>#N/A</v>
      </c>
      <c r="W6399" s="6">
        <f t="shared" si="198"/>
        <v>0</v>
      </c>
      <c r="X6399" s="6">
        <f t="shared" si="199"/>
        <v>0</v>
      </c>
    </row>
    <row r="6400" spans="22:24" x14ac:dyDescent="0.3">
      <c r="V6400" t="e">
        <f>VLOOKUP(H6400,'[1]팀별 출판사'!A:B,2,0)</f>
        <v>#N/A</v>
      </c>
      <c r="W6400" s="6">
        <f t="shared" si="198"/>
        <v>0</v>
      </c>
      <c r="X6400" s="6">
        <f t="shared" si="199"/>
        <v>0</v>
      </c>
    </row>
    <row r="6401" spans="22:24" x14ac:dyDescent="0.3">
      <c r="V6401" t="e">
        <f>VLOOKUP(H6401,'[1]팀별 출판사'!A:B,2,0)</f>
        <v>#N/A</v>
      </c>
      <c r="W6401" s="6">
        <f t="shared" si="198"/>
        <v>0</v>
      </c>
      <c r="X6401" s="6">
        <f t="shared" si="199"/>
        <v>0</v>
      </c>
    </row>
    <row r="6402" spans="22:24" x14ac:dyDescent="0.3">
      <c r="V6402" t="e">
        <f>VLOOKUP(H6402,'[1]팀별 출판사'!A:B,2,0)</f>
        <v>#N/A</v>
      </c>
      <c r="W6402" s="6">
        <f t="shared" ref="W6402:W6465" si="200">IF(P6402="US", T6402*30%, 0)</f>
        <v>0</v>
      </c>
      <c r="X6402" s="6">
        <f t="shared" ref="X6402:X6465" si="201">T6402-W6402</f>
        <v>0</v>
      </c>
    </row>
    <row r="6403" spans="22:24" x14ac:dyDescent="0.3">
      <c r="V6403" t="e">
        <f>VLOOKUP(H6403,'[1]팀별 출판사'!A:B,2,0)</f>
        <v>#N/A</v>
      </c>
      <c r="W6403" s="6">
        <f t="shared" si="200"/>
        <v>0</v>
      </c>
      <c r="X6403" s="6">
        <f t="shared" si="201"/>
        <v>0</v>
      </c>
    </row>
    <row r="6404" spans="22:24" x14ac:dyDescent="0.3">
      <c r="V6404" t="e">
        <f>VLOOKUP(H6404,'[1]팀별 출판사'!A:B,2,0)</f>
        <v>#N/A</v>
      </c>
      <c r="W6404" s="6">
        <f t="shared" si="200"/>
        <v>0</v>
      </c>
      <c r="X6404" s="6">
        <f t="shared" si="201"/>
        <v>0</v>
      </c>
    </row>
    <row r="6405" spans="22:24" x14ac:dyDescent="0.3">
      <c r="V6405" t="e">
        <f>VLOOKUP(H6405,'[1]팀별 출판사'!A:B,2,0)</f>
        <v>#N/A</v>
      </c>
      <c r="W6405" s="6">
        <f t="shared" si="200"/>
        <v>0</v>
      </c>
      <c r="X6405" s="6">
        <f t="shared" si="201"/>
        <v>0</v>
      </c>
    </row>
    <row r="6406" spans="22:24" x14ac:dyDescent="0.3">
      <c r="V6406" t="e">
        <f>VLOOKUP(H6406,'[1]팀별 출판사'!A:B,2,0)</f>
        <v>#N/A</v>
      </c>
      <c r="W6406" s="6">
        <f t="shared" si="200"/>
        <v>0</v>
      </c>
      <c r="X6406" s="6">
        <f t="shared" si="201"/>
        <v>0</v>
      </c>
    </row>
    <row r="6407" spans="22:24" x14ac:dyDescent="0.3">
      <c r="V6407" t="e">
        <f>VLOOKUP(H6407,'[1]팀별 출판사'!A:B,2,0)</f>
        <v>#N/A</v>
      </c>
      <c r="W6407" s="6">
        <f t="shared" si="200"/>
        <v>0</v>
      </c>
      <c r="X6407" s="6">
        <f t="shared" si="201"/>
        <v>0</v>
      </c>
    </row>
    <row r="6408" spans="22:24" x14ac:dyDescent="0.3">
      <c r="V6408" t="e">
        <f>VLOOKUP(H6408,'[1]팀별 출판사'!A:B,2,0)</f>
        <v>#N/A</v>
      </c>
      <c r="W6408" s="6">
        <f t="shared" si="200"/>
        <v>0</v>
      </c>
      <c r="X6408" s="6">
        <f t="shared" si="201"/>
        <v>0</v>
      </c>
    </row>
    <row r="6409" spans="22:24" x14ac:dyDescent="0.3">
      <c r="V6409" t="e">
        <f>VLOOKUP(H6409,'[1]팀별 출판사'!A:B,2,0)</f>
        <v>#N/A</v>
      </c>
      <c r="W6409" s="6">
        <f t="shared" si="200"/>
        <v>0</v>
      </c>
      <c r="X6409" s="6">
        <f t="shared" si="201"/>
        <v>0</v>
      </c>
    </row>
    <row r="6410" spans="22:24" x14ac:dyDescent="0.3">
      <c r="V6410" t="e">
        <f>VLOOKUP(H6410,'[1]팀별 출판사'!A:B,2,0)</f>
        <v>#N/A</v>
      </c>
      <c r="W6410" s="6">
        <f t="shared" si="200"/>
        <v>0</v>
      </c>
      <c r="X6410" s="6">
        <f t="shared" si="201"/>
        <v>0</v>
      </c>
    </row>
    <row r="6411" spans="22:24" x14ac:dyDescent="0.3">
      <c r="V6411" t="e">
        <f>VLOOKUP(H6411,'[1]팀별 출판사'!A:B,2,0)</f>
        <v>#N/A</v>
      </c>
      <c r="W6411" s="6">
        <f t="shared" si="200"/>
        <v>0</v>
      </c>
      <c r="X6411" s="6">
        <f t="shared" si="201"/>
        <v>0</v>
      </c>
    </row>
    <row r="6412" spans="22:24" x14ac:dyDescent="0.3">
      <c r="V6412" t="e">
        <f>VLOOKUP(H6412,'[1]팀별 출판사'!A:B,2,0)</f>
        <v>#N/A</v>
      </c>
      <c r="W6412" s="6">
        <f t="shared" si="200"/>
        <v>0</v>
      </c>
      <c r="X6412" s="6">
        <f t="shared" si="201"/>
        <v>0</v>
      </c>
    </row>
    <row r="6413" spans="22:24" x14ac:dyDescent="0.3">
      <c r="V6413" t="e">
        <f>VLOOKUP(H6413,'[1]팀별 출판사'!A:B,2,0)</f>
        <v>#N/A</v>
      </c>
      <c r="W6413" s="6">
        <f t="shared" si="200"/>
        <v>0</v>
      </c>
      <c r="X6413" s="6">
        <f t="shared" si="201"/>
        <v>0</v>
      </c>
    </row>
    <row r="6414" spans="22:24" x14ac:dyDescent="0.3">
      <c r="V6414" t="e">
        <f>VLOOKUP(H6414,'[1]팀별 출판사'!A:B,2,0)</f>
        <v>#N/A</v>
      </c>
      <c r="W6414" s="6">
        <f t="shared" si="200"/>
        <v>0</v>
      </c>
      <c r="X6414" s="6">
        <f t="shared" si="201"/>
        <v>0</v>
      </c>
    </row>
    <row r="6415" spans="22:24" x14ac:dyDescent="0.3">
      <c r="V6415" t="e">
        <f>VLOOKUP(H6415,'[1]팀별 출판사'!A:B,2,0)</f>
        <v>#N/A</v>
      </c>
      <c r="W6415" s="6">
        <f t="shared" si="200"/>
        <v>0</v>
      </c>
      <c r="X6415" s="6">
        <f t="shared" si="201"/>
        <v>0</v>
      </c>
    </row>
    <row r="6416" spans="22:24" x14ac:dyDescent="0.3">
      <c r="V6416" t="e">
        <f>VLOOKUP(H6416,'[1]팀별 출판사'!A:B,2,0)</f>
        <v>#N/A</v>
      </c>
      <c r="W6416" s="6">
        <f t="shared" si="200"/>
        <v>0</v>
      </c>
      <c r="X6416" s="6">
        <f t="shared" si="201"/>
        <v>0</v>
      </c>
    </row>
    <row r="6417" spans="22:24" x14ac:dyDescent="0.3">
      <c r="V6417" t="e">
        <f>VLOOKUP(H6417,'[1]팀별 출판사'!A:B,2,0)</f>
        <v>#N/A</v>
      </c>
      <c r="W6417" s="6">
        <f t="shared" si="200"/>
        <v>0</v>
      </c>
      <c r="X6417" s="6">
        <f t="shared" si="201"/>
        <v>0</v>
      </c>
    </row>
    <row r="6418" spans="22:24" x14ac:dyDescent="0.3">
      <c r="V6418" t="e">
        <f>VLOOKUP(H6418,'[1]팀별 출판사'!A:B,2,0)</f>
        <v>#N/A</v>
      </c>
      <c r="W6418" s="6">
        <f t="shared" si="200"/>
        <v>0</v>
      </c>
      <c r="X6418" s="6">
        <f t="shared" si="201"/>
        <v>0</v>
      </c>
    </row>
    <row r="6419" spans="22:24" x14ac:dyDescent="0.3">
      <c r="V6419" t="e">
        <f>VLOOKUP(H6419,'[1]팀별 출판사'!A:B,2,0)</f>
        <v>#N/A</v>
      </c>
      <c r="W6419" s="6">
        <f t="shared" si="200"/>
        <v>0</v>
      </c>
      <c r="X6419" s="6">
        <f t="shared" si="201"/>
        <v>0</v>
      </c>
    </row>
    <row r="6420" spans="22:24" x14ac:dyDescent="0.3">
      <c r="V6420" t="e">
        <f>VLOOKUP(H6420,'[1]팀별 출판사'!A:B,2,0)</f>
        <v>#N/A</v>
      </c>
      <c r="W6420" s="6">
        <f t="shared" si="200"/>
        <v>0</v>
      </c>
      <c r="X6420" s="6">
        <f t="shared" si="201"/>
        <v>0</v>
      </c>
    </row>
    <row r="6421" spans="22:24" x14ac:dyDescent="0.3">
      <c r="V6421" t="e">
        <f>VLOOKUP(H6421,'[1]팀별 출판사'!A:B,2,0)</f>
        <v>#N/A</v>
      </c>
      <c r="W6421" s="6">
        <f t="shared" si="200"/>
        <v>0</v>
      </c>
      <c r="X6421" s="6">
        <f t="shared" si="201"/>
        <v>0</v>
      </c>
    </row>
    <row r="6422" spans="22:24" x14ac:dyDescent="0.3">
      <c r="V6422" t="e">
        <f>VLOOKUP(H6422,'[1]팀별 출판사'!A:B,2,0)</f>
        <v>#N/A</v>
      </c>
      <c r="W6422" s="6">
        <f t="shared" si="200"/>
        <v>0</v>
      </c>
      <c r="X6422" s="6">
        <f t="shared" si="201"/>
        <v>0</v>
      </c>
    </row>
    <row r="6423" spans="22:24" x14ac:dyDescent="0.3">
      <c r="V6423" t="e">
        <f>VLOOKUP(H6423,'[1]팀별 출판사'!A:B,2,0)</f>
        <v>#N/A</v>
      </c>
      <c r="W6423" s="6">
        <f t="shared" si="200"/>
        <v>0</v>
      </c>
      <c r="X6423" s="6">
        <f t="shared" si="201"/>
        <v>0</v>
      </c>
    </row>
    <row r="6424" spans="22:24" x14ac:dyDescent="0.3">
      <c r="V6424" t="e">
        <f>VLOOKUP(H6424,'[1]팀별 출판사'!A:B,2,0)</f>
        <v>#N/A</v>
      </c>
      <c r="W6424" s="6">
        <f t="shared" si="200"/>
        <v>0</v>
      </c>
      <c r="X6424" s="6">
        <f t="shared" si="201"/>
        <v>0</v>
      </c>
    </row>
    <row r="6425" spans="22:24" x14ac:dyDescent="0.3">
      <c r="V6425" t="e">
        <f>VLOOKUP(H6425,'[1]팀별 출판사'!A:B,2,0)</f>
        <v>#N/A</v>
      </c>
      <c r="W6425" s="6">
        <f t="shared" si="200"/>
        <v>0</v>
      </c>
      <c r="X6425" s="6">
        <f t="shared" si="201"/>
        <v>0</v>
      </c>
    </row>
    <row r="6426" spans="22:24" x14ac:dyDescent="0.3">
      <c r="V6426" t="e">
        <f>VLOOKUP(H6426,'[1]팀별 출판사'!A:B,2,0)</f>
        <v>#N/A</v>
      </c>
      <c r="W6426" s="6">
        <f t="shared" si="200"/>
        <v>0</v>
      </c>
      <c r="X6426" s="6">
        <f t="shared" si="201"/>
        <v>0</v>
      </c>
    </row>
    <row r="6427" spans="22:24" x14ac:dyDescent="0.3">
      <c r="V6427" t="e">
        <f>VLOOKUP(H6427,'[1]팀별 출판사'!A:B,2,0)</f>
        <v>#N/A</v>
      </c>
      <c r="W6427" s="6">
        <f t="shared" si="200"/>
        <v>0</v>
      </c>
      <c r="X6427" s="6">
        <f t="shared" si="201"/>
        <v>0</v>
      </c>
    </row>
    <row r="6428" spans="22:24" x14ac:dyDescent="0.3">
      <c r="V6428" t="e">
        <f>VLOOKUP(H6428,'[1]팀별 출판사'!A:B,2,0)</f>
        <v>#N/A</v>
      </c>
      <c r="W6428" s="6">
        <f t="shared" si="200"/>
        <v>0</v>
      </c>
      <c r="X6428" s="6">
        <f t="shared" si="201"/>
        <v>0</v>
      </c>
    </row>
    <row r="6429" spans="22:24" x14ac:dyDescent="0.3">
      <c r="V6429" t="e">
        <f>VLOOKUP(H6429,'[1]팀별 출판사'!A:B,2,0)</f>
        <v>#N/A</v>
      </c>
      <c r="W6429" s="6">
        <f t="shared" si="200"/>
        <v>0</v>
      </c>
      <c r="X6429" s="6">
        <f t="shared" si="201"/>
        <v>0</v>
      </c>
    </row>
    <row r="6430" spans="22:24" x14ac:dyDescent="0.3">
      <c r="V6430" t="e">
        <f>VLOOKUP(H6430,'[1]팀별 출판사'!A:B,2,0)</f>
        <v>#N/A</v>
      </c>
      <c r="W6430" s="6">
        <f t="shared" si="200"/>
        <v>0</v>
      </c>
      <c r="X6430" s="6">
        <f t="shared" si="201"/>
        <v>0</v>
      </c>
    </row>
    <row r="6431" spans="22:24" x14ac:dyDescent="0.3">
      <c r="V6431" t="e">
        <f>VLOOKUP(H6431,'[1]팀별 출판사'!A:B,2,0)</f>
        <v>#N/A</v>
      </c>
      <c r="W6431" s="6">
        <f t="shared" si="200"/>
        <v>0</v>
      </c>
      <c r="X6431" s="6">
        <f t="shared" si="201"/>
        <v>0</v>
      </c>
    </row>
    <row r="6432" spans="22:24" x14ac:dyDescent="0.3">
      <c r="V6432" t="e">
        <f>VLOOKUP(H6432,'[1]팀별 출판사'!A:B,2,0)</f>
        <v>#N/A</v>
      </c>
      <c r="W6432" s="6">
        <f t="shared" si="200"/>
        <v>0</v>
      </c>
      <c r="X6432" s="6">
        <f t="shared" si="201"/>
        <v>0</v>
      </c>
    </row>
    <row r="6433" spans="22:24" x14ac:dyDescent="0.3">
      <c r="V6433" t="e">
        <f>VLOOKUP(H6433,'[1]팀별 출판사'!A:B,2,0)</f>
        <v>#N/A</v>
      </c>
      <c r="W6433" s="6">
        <f t="shared" si="200"/>
        <v>0</v>
      </c>
      <c r="X6433" s="6">
        <f t="shared" si="201"/>
        <v>0</v>
      </c>
    </row>
    <row r="6434" spans="22:24" x14ac:dyDescent="0.3">
      <c r="V6434" t="e">
        <f>VLOOKUP(H6434,'[1]팀별 출판사'!A:B,2,0)</f>
        <v>#N/A</v>
      </c>
      <c r="W6434" s="6">
        <f t="shared" si="200"/>
        <v>0</v>
      </c>
      <c r="X6434" s="6">
        <f t="shared" si="201"/>
        <v>0</v>
      </c>
    </row>
    <row r="6435" spans="22:24" x14ac:dyDescent="0.3">
      <c r="V6435" t="e">
        <f>VLOOKUP(H6435,'[1]팀별 출판사'!A:B,2,0)</f>
        <v>#N/A</v>
      </c>
      <c r="W6435" s="6">
        <f t="shared" si="200"/>
        <v>0</v>
      </c>
      <c r="X6435" s="6">
        <f t="shared" si="201"/>
        <v>0</v>
      </c>
    </row>
    <row r="6436" spans="22:24" x14ac:dyDescent="0.3">
      <c r="V6436" t="e">
        <f>VLOOKUP(H6436,'[1]팀별 출판사'!A:B,2,0)</f>
        <v>#N/A</v>
      </c>
      <c r="W6436" s="6">
        <f t="shared" si="200"/>
        <v>0</v>
      </c>
      <c r="X6436" s="6">
        <f t="shared" si="201"/>
        <v>0</v>
      </c>
    </row>
    <row r="6437" spans="22:24" x14ac:dyDescent="0.3">
      <c r="V6437" t="e">
        <f>VLOOKUP(H6437,'[1]팀별 출판사'!A:B,2,0)</f>
        <v>#N/A</v>
      </c>
      <c r="W6437" s="6">
        <f t="shared" si="200"/>
        <v>0</v>
      </c>
      <c r="X6437" s="6">
        <f t="shared" si="201"/>
        <v>0</v>
      </c>
    </row>
    <row r="6438" spans="22:24" x14ac:dyDescent="0.3">
      <c r="V6438" t="e">
        <f>VLOOKUP(H6438,'[1]팀별 출판사'!A:B,2,0)</f>
        <v>#N/A</v>
      </c>
      <c r="W6438" s="6">
        <f t="shared" si="200"/>
        <v>0</v>
      </c>
      <c r="X6438" s="6">
        <f t="shared" si="201"/>
        <v>0</v>
      </c>
    </row>
    <row r="6439" spans="22:24" x14ac:dyDescent="0.3">
      <c r="V6439" t="e">
        <f>VLOOKUP(H6439,'[1]팀별 출판사'!A:B,2,0)</f>
        <v>#N/A</v>
      </c>
      <c r="W6439" s="6">
        <f t="shared" si="200"/>
        <v>0</v>
      </c>
      <c r="X6439" s="6">
        <f t="shared" si="201"/>
        <v>0</v>
      </c>
    </row>
    <row r="6440" spans="22:24" x14ac:dyDescent="0.3">
      <c r="V6440" t="e">
        <f>VLOOKUP(H6440,'[1]팀별 출판사'!A:B,2,0)</f>
        <v>#N/A</v>
      </c>
      <c r="W6440" s="6">
        <f t="shared" si="200"/>
        <v>0</v>
      </c>
      <c r="X6440" s="6">
        <f t="shared" si="201"/>
        <v>0</v>
      </c>
    </row>
    <row r="6441" spans="22:24" x14ac:dyDescent="0.3">
      <c r="V6441" t="e">
        <f>VLOOKUP(H6441,'[1]팀별 출판사'!A:B,2,0)</f>
        <v>#N/A</v>
      </c>
      <c r="W6441" s="6">
        <f t="shared" si="200"/>
        <v>0</v>
      </c>
      <c r="X6441" s="6">
        <f t="shared" si="201"/>
        <v>0</v>
      </c>
    </row>
    <row r="6442" spans="22:24" x14ac:dyDescent="0.3">
      <c r="V6442" t="e">
        <f>VLOOKUP(H6442,'[1]팀별 출판사'!A:B,2,0)</f>
        <v>#N/A</v>
      </c>
      <c r="W6442" s="6">
        <f t="shared" si="200"/>
        <v>0</v>
      </c>
      <c r="X6442" s="6">
        <f t="shared" si="201"/>
        <v>0</v>
      </c>
    </row>
    <row r="6443" spans="22:24" x14ac:dyDescent="0.3">
      <c r="V6443" t="e">
        <f>VLOOKUP(H6443,'[1]팀별 출판사'!A:B,2,0)</f>
        <v>#N/A</v>
      </c>
      <c r="W6443" s="6">
        <f t="shared" si="200"/>
        <v>0</v>
      </c>
      <c r="X6443" s="6">
        <f t="shared" si="201"/>
        <v>0</v>
      </c>
    </row>
    <row r="6444" spans="22:24" x14ac:dyDescent="0.3">
      <c r="V6444" t="e">
        <f>VLOOKUP(H6444,'[1]팀별 출판사'!A:B,2,0)</f>
        <v>#N/A</v>
      </c>
      <c r="W6444" s="6">
        <f t="shared" si="200"/>
        <v>0</v>
      </c>
      <c r="X6444" s="6">
        <f t="shared" si="201"/>
        <v>0</v>
      </c>
    </row>
    <row r="6445" spans="22:24" x14ac:dyDescent="0.3">
      <c r="V6445" t="e">
        <f>VLOOKUP(H6445,'[1]팀별 출판사'!A:B,2,0)</f>
        <v>#N/A</v>
      </c>
      <c r="W6445" s="6">
        <f t="shared" si="200"/>
        <v>0</v>
      </c>
      <c r="X6445" s="6">
        <f t="shared" si="201"/>
        <v>0</v>
      </c>
    </row>
    <row r="6446" spans="22:24" x14ac:dyDescent="0.3">
      <c r="V6446" t="e">
        <f>VLOOKUP(H6446,'[1]팀별 출판사'!A:B,2,0)</f>
        <v>#N/A</v>
      </c>
      <c r="W6446" s="6">
        <f t="shared" si="200"/>
        <v>0</v>
      </c>
      <c r="X6446" s="6">
        <f t="shared" si="201"/>
        <v>0</v>
      </c>
    </row>
    <row r="6447" spans="22:24" x14ac:dyDescent="0.3">
      <c r="V6447" t="e">
        <f>VLOOKUP(H6447,'[1]팀별 출판사'!A:B,2,0)</f>
        <v>#N/A</v>
      </c>
      <c r="W6447" s="6">
        <f t="shared" si="200"/>
        <v>0</v>
      </c>
      <c r="X6447" s="6">
        <f t="shared" si="201"/>
        <v>0</v>
      </c>
    </row>
    <row r="6448" spans="22:24" x14ac:dyDescent="0.3">
      <c r="V6448" t="e">
        <f>VLOOKUP(H6448,'[1]팀별 출판사'!A:B,2,0)</f>
        <v>#N/A</v>
      </c>
      <c r="W6448" s="6">
        <f t="shared" si="200"/>
        <v>0</v>
      </c>
      <c r="X6448" s="6">
        <f t="shared" si="201"/>
        <v>0</v>
      </c>
    </row>
    <row r="6449" spans="22:24" x14ac:dyDescent="0.3">
      <c r="V6449" t="e">
        <f>VLOOKUP(H6449,'[1]팀별 출판사'!A:B,2,0)</f>
        <v>#N/A</v>
      </c>
      <c r="W6449" s="6">
        <f t="shared" si="200"/>
        <v>0</v>
      </c>
      <c r="X6449" s="6">
        <f t="shared" si="201"/>
        <v>0</v>
      </c>
    </row>
    <row r="6450" spans="22:24" x14ac:dyDescent="0.3">
      <c r="V6450" t="e">
        <f>VLOOKUP(H6450,'[1]팀별 출판사'!A:B,2,0)</f>
        <v>#N/A</v>
      </c>
      <c r="W6450" s="6">
        <f t="shared" si="200"/>
        <v>0</v>
      </c>
      <c r="X6450" s="6">
        <f t="shared" si="201"/>
        <v>0</v>
      </c>
    </row>
    <row r="6451" spans="22:24" x14ac:dyDescent="0.3">
      <c r="V6451" t="e">
        <f>VLOOKUP(H6451,'[1]팀별 출판사'!A:B,2,0)</f>
        <v>#N/A</v>
      </c>
      <c r="W6451" s="6">
        <f t="shared" si="200"/>
        <v>0</v>
      </c>
      <c r="X6451" s="6">
        <f t="shared" si="201"/>
        <v>0</v>
      </c>
    </row>
    <row r="6452" spans="22:24" x14ac:dyDescent="0.3">
      <c r="V6452" t="e">
        <f>VLOOKUP(H6452,'[1]팀별 출판사'!A:B,2,0)</f>
        <v>#N/A</v>
      </c>
      <c r="W6452" s="6">
        <f t="shared" si="200"/>
        <v>0</v>
      </c>
      <c r="X6452" s="6">
        <f t="shared" si="201"/>
        <v>0</v>
      </c>
    </row>
    <row r="6453" spans="22:24" x14ac:dyDescent="0.3">
      <c r="V6453" t="e">
        <f>VLOOKUP(H6453,'[1]팀별 출판사'!A:B,2,0)</f>
        <v>#N/A</v>
      </c>
      <c r="W6453" s="6">
        <f t="shared" si="200"/>
        <v>0</v>
      </c>
      <c r="X6453" s="6">
        <f t="shared" si="201"/>
        <v>0</v>
      </c>
    </row>
    <row r="6454" spans="22:24" x14ac:dyDescent="0.3">
      <c r="V6454" t="e">
        <f>VLOOKUP(H6454,'[1]팀별 출판사'!A:B,2,0)</f>
        <v>#N/A</v>
      </c>
      <c r="W6454" s="6">
        <f t="shared" si="200"/>
        <v>0</v>
      </c>
      <c r="X6454" s="6">
        <f t="shared" si="201"/>
        <v>0</v>
      </c>
    </row>
    <row r="6455" spans="22:24" x14ac:dyDescent="0.3">
      <c r="V6455" t="e">
        <f>VLOOKUP(H6455,'[1]팀별 출판사'!A:B,2,0)</f>
        <v>#N/A</v>
      </c>
      <c r="W6455" s="6">
        <f t="shared" si="200"/>
        <v>0</v>
      </c>
      <c r="X6455" s="6">
        <f t="shared" si="201"/>
        <v>0</v>
      </c>
    </row>
    <row r="6456" spans="22:24" x14ac:dyDescent="0.3">
      <c r="V6456" t="e">
        <f>VLOOKUP(H6456,'[1]팀별 출판사'!A:B,2,0)</f>
        <v>#N/A</v>
      </c>
      <c r="W6456" s="6">
        <f t="shared" si="200"/>
        <v>0</v>
      </c>
      <c r="X6456" s="6">
        <f t="shared" si="201"/>
        <v>0</v>
      </c>
    </row>
    <row r="6457" spans="22:24" x14ac:dyDescent="0.3">
      <c r="V6457" t="e">
        <f>VLOOKUP(H6457,'[1]팀별 출판사'!A:B,2,0)</f>
        <v>#N/A</v>
      </c>
      <c r="W6457" s="6">
        <f t="shared" si="200"/>
        <v>0</v>
      </c>
      <c r="X6457" s="6">
        <f t="shared" si="201"/>
        <v>0</v>
      </c>
    </row>
    <row r="6458" spans="22:24" x14ac:dyDescent="0.3">
      <c r="V6458" t="e">
        <f>VLOOKUP(H6458,'[1]팀별 출판사'!A:B,2,0)</f>
        <v>#N/A</v>
      </c>
      <c r="W6458" s="6">
        <f t="shared" si="200"/>
        <v>0</v>
      </c>
      <c r="X6458" s="6">
        <f t="shared" si="201"/>
        <v>0</v>
      </c>
    </row>
    <row r="6459" spans="22:24" x14ac:dyDescent="0.3">
      <c r="V6459" t="e">
        <f>VLOOKUP(H6459,'[1]팀별 출판사'!A:B,2,0)</f>
        <v>#N/A</v>
      </c>
      <c r="W6459" s="6">
        <f t="shared" si="200"/>
        <v>0</v>
      </c>
      <c r="X6459" s="6">
        <f t="shared" si="201"/>
        <v>0</v>
      </c>
    </row>
    <row r="6460" spans="22:24" x14ac:dyDescent="0.3">
      <c r="V6460" t="e">
        <f>VLOOKUP(H6460,'[1]팀별 출판사'!A:B,2,0)</f>
        <v>#N/A</v>
      </c>
      <c r="W6460" s="6">
        <f t="shared" si="200"/>
        <v>0</v>
      </c>
      <c r="X6460" s="6">
        <f t="shared" si="201"/>
        <v>0</v>
      </c>
    </row>
    <row r="6461" spans="22:24" x14ac:dyDescent="0.3">
      <c r="V6461" t="e">
        <f>VLOOKUP(H6461,'[1]팀별 출판사'!A:B,2,0)</f>
        <v>#N/A</v>
      </c>
      <c r="W6461" s="6">
        <f t="shared" si="200"/>
        <v>0</v>
      </c>
      <c r="X6461" s="6">
        <f t="shared" si="201"/>
        <v>0</v>
      </c>
    </row>
    <row r="6462" spans="22:24" x14ac:dyDescent="0.3">
      <c r="V6462" t="e">
        <f>VLOOKUP(H6462,'[1]팀별 출판사'!A:B,2,0)</f>
        <v>#N/A</v>
      </c>
      <c r="W6462" s="6">
        <f t="shared" si="200"/>
        <v>0</v>
      </c>
      <c r="X6462" s="6">
        <f t="shared" si="201"/>
        <v>0</v>
      </c>
    </row>
    <row r="6463" spans="22:24" x14ac:dyDescent="0.3">
      <c r="V6463" t="e">
        <f>VLOOKUP(H6463,'[1]팀별 출판사'!A:B,2,0)</f>
        <v>#N/A</v>
      </c>
      <c r="W6463" s="6">
        <f t="shared" si="200"/>
        <v>0</v>
      </c>
      <c r="X6463" s="6">
        <f t="shared" si="201"/>
        <v>0</v>
      </c>
    </row>
    <row r="6464" spans="22:24" x14ac:dyDescent="0.3">
      <c r="V6464" t="e">
        <f>VLOOKUP(H6464,'[1]팀별 출판사'!A:B,2,0)</f>
        <v>#N/A</v>
      </c>
      <c r="W6464" s="6">
        <f t="shared" si="200"/>
        <v>0</v>
      </c>
      <c r="X6464" s="6">
        <f t="shared" si="201"/>
        <v>0</v>
      </c>
    </row>
    <row r="6465" spans="22:24" x14ac:dyDescent="0.3">
      <c r="V6465" t="e">
        <f>VLOOKUP(H6465,'[1]팀별 출판사'!A:B,2,0)</f>
        <v>#N/A</v>
      </c>
      <c r="W6465" s="6">
        <f t="shared" si="200"/>
        <v>0</v>
      </c>
      <c r="X6465" s="6">
        <f t="shared" si="201"/>
        <v>0</v>
      </c>
    </row>
    <row r="6466" spans="22:24" x14ac:dyDescent="0.3">
      <c r="V6466" t="e">
        <f>VLOOKUP(H6466,'[1]팀별 출판사'!A:B,2,0)</f>
        <v>#N/A</v>
      </c>
      <c r="W6466" s="6">
        <f t="shared" ref="W6466:W6529" si="202">IF(P6466="US", T6466*30%, 0)</f>
        <v>0</v>
      </c>
      <c r="X6466" s="6">
        <f t="shared" ref="X6466:X6529" si="203">T6466-W6466</f>
        <v>0</v>
      </c>
    </row>
    <row r="6467" spans="22:24" x14ac:dyDescent="0.3">
      <c r="V6467" t="e">
        <f>VLOOKUP(H6467,'[1]팀별 출판사'!A:B,2,0)</f>
        <v>#N/A</v>
      </c>
      <c r="W6467" s="6">
        <f t="shared" si="202"/>
        <v>0</v>
      </c>
      <c r="X6467" s="6">
        <f t="shared" si="203"/>
        <v>0</v>
      </c>
    </row>
    <row r="6468" spans="22:24" x14ac:dyDescent="0.3">
      <c r="V6468" t="e">
        <f>VLOOKUP(H6468,'[1]팀별 출판사'!A:B,2,0)</f>
        <v>#N/A</v>
      </c>
      <c r="W6468" s="6">
        <f t="shared" si="202"/>
        <v>0</v>
      </c>
      <c r="X6468" s="6">
        <f t="shared" si="203"/>
        <v>0</v>
      </c>
    </row>
    <row r="6469" spans="22:24" x14ac:dyDescent="0.3">
      <c r="V6469" t="e">
        <f>VLOOKUP(H6469,'[1]팀별 출판사'!A:B,2,0)</f>
        <v>#N/A</v>
      </c>
      <c r="W6469" s="6">
        <f t="shared" si="202"/>
        <v>0</v>
      </c>
      <c r="X6469" s="6">
        <f t="shared" si="203"/>
        <v>0</v>
      </c>
    </row>
    <row r="6470" spans="22:24" x14ac:dyDescent="0.3">
      <c r="V6470" t="e">
        <f>VLOOKUP(H6470,'[1]팀별 출판사'!A:B,2,0)</f>
        <v>#N/A</v>
      </c>
      <c r="W6470" s="6">
        <f t="shared" si="202"/>
        <v>0</v>
      </c>
      <c r="X6470" s="6">
        <f t="shared" si="203"/>
        <v>0</v>
      </c>
    </row>
    <row r="6471" spans="22:24" x14ac:dyDescent="0.3">
      <c r="V6471" t="e">
        <f>VLOOKUP(H6471,'[1]팀별 출판사'!A:B,2,0)</f>
        <v>#N/A</v>
      </c>
      <c r="W6471" s="6">
        <f t="shared" si="202"/>
        <v>0</v>
      </c>
      <c r="X6471" s="6">
        <f t="shared" si="203"/>
        <v>0</v>
      </c>
    </row>
    <row r="6472" spans="22:24" x14ac:dyDescent="0.3">
      <c r="V6472" t="e">
        <f>VLOOKUP(H6472,'[1]팀별 출판사'!A:B,2,0)</f>
        <v>#N/A</v>
      </c>
      <c r="W6472" s="6">
        <f t="shared" si="202"/>
        <v>0</v>
      </c>
      <c r="X6472" s="6">
        <f t="shared" si="203"/>
        <v>0</v>
      </c>
    </row>
    <row r="6473" spans="22:24" x14ac:dyDescent="0.3">
      <c r="V6473" t="e">
        <f>VLOOKUP(H6473,'[1]팀별 출판사'!A:B,2,0)</f>
        <v>#N/A</v>
      </c>
      <c r="W6473" s="6">
        <f t="shared" si="202"/>
        <v>0</v>
      </c>
      <c r="X6473" s="6">
        <f t="shared" si="203"/>
        <v>0</v>
      </c>
    </row>
    <row r="6474" spans="22:24" x14ac:dyDescent="0.3">
      <c r="V6474" t="e">
        <f>VLOOKUP(H6474,'[1]팀별 출판사'!A:B,2,0)</f>
        <v>#N/A</v>
      </c>
      <c r="W6474" s="6">
        <f t="shared" si="202"/>
        <v>0</v>
      </c>
      <c r="X6474" s="6">
        <f t="shared" si="203"/>
        <v>0</v>
      </c>
    </row>
    <row r="6475" spans="22:24" x14ac:dyDescent="0.3">
      <c r="V6475" t="e">
        <f>VLOOKUP(H6475,'[1]팀별 출판사'!A:B,2,0)</f>
        <v>#N/A</v>
      </c>
      <c r="W6475" s="6">
        <f t="shared" si="202"/>
        <v>0</v>
      </c>
      <c r="X6475" s="6">
        <f t="shared" si="203"/>
        <v>0</v>
      </c>
    </row>
    <row r="6476" spans="22:24" x14ac:dyDescent="0.3">
      <c r="V6476" t="e">
        <f>VLOOKUP(H6476,'[1]팀별 출판사'!A:B,2,0)</f>
        <v>#N/A</v>
      </c>
      <c r="W6476" s="6">
        <f t="shared" si="202"/>
        <v>0</v>
      </c>
      <c r="X6476" s="6">
        <f t="shared" si="203"/>
        <v>0</v>
      </c>
    </row>
    <row r="6477" spans="22:24" x14ac:dyDescent="0.3">
      <c r="V6477" t="e">
        <f>VLOOKUP(H6477,'[1]팀별 출판사'!A:B,2,0)</f>
        <v>#N/A</v>
      </c>
      <c r="W6477" s="6">
        <f t="shared" si="202"/>
        <v>0</v>
      </c>
      <c r="X6477" s="6">
        <f t="shared" si="203"/>
        <v>0</v>
      </c>
    </row>
    <row r="6478" spans="22:24" x14ac:dyDescent="0.3">
      <c r="V6478" t="e">
        <f>VLOOKUP(H6478,'[1]팀별 출판사'!A:B,2,0)</f>
        <v>#N/A</v>
      </c>
      <c r="W6478" s="6">
        <f t="shared" si="202"/>
        <v>0</v>
      </c>
      <c r="X6478" s="6">
        <f t="shared" si="203"/>
        <v>0</v>
      </c>
    </row>
    <row r="6479" spans="22:24" x14ac:dyDescent="0.3">
      <c r="V6479" t="e">
        <f>VLOOKUP(H6479,'[1]팀별 출판사'!A:B,2,0)</f>
        <v>#N/A</v>
      </c>
      <c r="W6479" s="6">
        <f t="shared" si="202"/>
        <v>0</v>
      </c>
      <c r="X6479" s="6">
        <f t="shared" si="203"/>
        <v>0</v>
      </c>
    </row>
    <row r="6480" spans="22:24" x14ac:dyDescent="0.3">
      <c r="V6480" t="e">
        <f>VLOOKUP(H6480,'[1]팀별 출판사'!A:B,2,0)</f>
        <v>#N/A</v>
      </c>
      <c r="W6480" s="6">
        <f t="shared" si="202"/>
        <v>0</v>
      </c>
      <c r="X6480" s="6">
        <f t="shared" si="203"/>
        <v>0</v>
      </c>
    </row>
    <row r="6481" spans="22:24" x14ac:dyDescent="0.3">
      <c r="V6481" t="e">
        <f>VLOOKUP(H6481,'[1]팀별 출판사'!A:B,2,0)</f>
        <v>#N/A</v>
      </c>
      <c r="W6481" s="6">
        <f t="shared" si="202"/>
        <v>0</v>
      </c>
      <c r="X6481" s="6">
        <f t="shared" si="203"/>
        <v>0</v>
      </c>
    </row>
    <row r="6482" spans="22:24" x14ac:dyDescent="0.3">
      <c r="V6482" t="e">
        <f>VLOOKUP(H6482,'[1]팀별 출판사'!A:B,2,0)</f>
        <v>#N/A</v>
      </c>
      <c r="W6482" s="6">
        <f t="shared" si="202"/>
        <v>0</v>
      </c>
      <c r="X6482" s="6">
        <f t="shared" si="203"/>
        <v>0</v>
      </c>
    </row>
    <row r="6483" spans="22:24" x14ac:dyDescent="0.3">
      <c r="V6483" t="e">
        <f>VLOOKUP(H6483,'[1]팀별 출판사'!A:B,2,0)</f>
        <v>#N/A</v>
      </c>
      <c r="W6483" s="6">
        <f t="shared" si="202"/>
        <v>0</v>
      </c>
      <c r="X6483" s="6">
        <f t="shared" si="203"/>
        <v>0</v>
      </c>
    </row>
    <row r="6484" spans="22:24" x14ac:dyDescent="0.3">
      <c r="V6484" t="e">
        <f>VLOOKUP(H6484,'[1]팀별 출판사'!A:B,2,0)</f>
        <v>#N/A</v>
      </c>
      <c r="W6484" s="6">
        <f t="shared" si="202"/>
        <v>0</v>
      </c>
      <c r="X6484" s="6">
        <f t="shared" si="203"/>
        <v>0</v>
      </c>
    </row>
    <row r="6485" spans="22:24" x14ac:dyDescent="0.3">
      <c r="V6485" t="e">
        <f>VLOOKUP(H6485,'[1]팀별 출판사'!A:B,2,0)</f>
        <v>#N/A</v>
      </c>
      <c r="W6485" s="6">
        <f t="shared" si="202"/>
        <v>0</v>
      </c>
      <c r="X6485" s="6">
        <f t="shared" si="203"/>
        <v>0</v>
      </c>
    </row>
    <row r="6486" spans="22:24" x14ac:dyDescent="0.3">
      <c r="V6486" t="e">
        <f>VLOOKUP(H6486,'[1]팀별 출판사'!A:B,2,0)</f>
        <v>#N/A</v>
      </c>
      <c r="W6486" s="6">
        <f t="shared" si="202"/>
        <v>0</v>
      </c>
      <c r="X6486" s="6">
        <f t="shared" si="203"/>
        <v>0</v>
      </c>
    </row>
    <row r="6487" spans="22:24" x14ac:dyDescent="0.3">
      <c r="V6487" t="e">
        <f>VLOOKUP(H6487,'[1]팀별 출판사'!A:B,2,0)</f>
        <v>#N/A</v>
      </c>
      <c r="W6487" s="6">
        <f t="shared" si="202"/>
        <v>0</v>
      </c>
      <c r="X6487" s="6">
        <f t="shared" si="203"/>
        <v>0</v>
      </c>
    </row>
    <row r="6488" spans="22:24" x14ac:dyDescent="0.3">
      <c r="V6488" t="e">
        <f>VLOOKUP(H6488,'[1]팀별 출판사'!A:B,2,0)</f>
        <v>#N/A</v>
      </c>
      <c r="W6488" s="6">
        <f t="shared" si="202"/>
        <v>0</v>
      </c>
      <c r="X6488" s="6">
        <f t="shared" si="203"/>
        <v>0</v>
      </c>
    </row>
    <row r="6489" spans="22:24" x14ac:dyDescent="0.3">
      <c r="V6489" t="e">
        <f>VLOOKUP(H6489,'[1]팀별 출판사'!A:B,2,0)</f>
        <v>#N/A</v>
      </c>
      <c r="W6489" s="6">
        <f t="shared" si="202"/>
        <v>0</v>
      </c>
      <c r="X6489" s="6">
        <f t="shared" si="203"/>
        <v>0</v>
      </c>
    </row>
    <row r="6490" spans="22:24" x14ac:dyDescent="0.3">
      <c r="V6490" t="e">
        <f>VLOOKUP(H6490,'[1]팀별 출판사'!A:B,2,0)</f>
        <v>#N/A</v>
      </c>
      <c r="W6490" s="6">
        <f t="shared" si="202"/>
        <v>0</v>
      </c>
      <c r="X6490" s="6">
        <f t="shared" si="203"/>
        <v>0</v>
      </c>
    </row>
    <row r="6491" spans="22:24" x14ac:dyDescent="0.3">
      <c r="V6491" t="e">
        <f>VLOOKUP(H6491,'[1]팀별 출판사'!A:B,2,0)</f>
        <v>#N/A</v>
      </c>
      <c r="W6491" s="6">
        <f t="shared" si="202"/>
        <v>0</v>
      </c>
      <c r="X6491" s="6">
        <f t="shared" si="203"/>
        <v>0</v>
      </c>
    </row>
    <row r="6492" spans="22:24" x14ac:dyDescent="0.3">
      <c r="V6492" t="e">
        <f>VLOOKUP(H6492,'[1]팀별 출판사'!A:B,2,0)</f>
        <v>#N/A</v>
      </c>
      <c r="W6492" s="6">
        <f t="shared" si="202"/>
        <v>0</v>
      </c>
      <c r="X6492" s="6">
        <f t="shared" si="203"/>
        <v>0</v>
      </c>
    </row>
    <row r="6493" spans="22:24" x14ac:dyDescent="0.3">
      <c r="V6493" t="e">
        <f>VLOOKUP(H6493,'[1]팀별 출판사'!A:B,2,0)</f>
        <v>#N/A</v>
      </c>
      <c r="W6493" s="6">
        <f t="shared" si="202"/>
        <v>0</v>
      </c>
      <c r="X6493" s="6">
        <f t="shared" si="203"/>
        <v>0</v>
      </c>
    </row>
    <row r="6494" spans="22:24" x14ac:dyDescent="0.3">
      <c r="V6494" t="e">
        <f>VLOOKUP(H6494,'[1]팀별 출판사'!A:B,2,0)</f>
        <v>#N/A</v>
      </c>
      <c r="W6494" s="6">
        <f t="shared" si="202"/>
        <v>0</v>
      </c>
      <c r="X6494" s="6">
        <f t="shared" si="203"/>
        <v>0</v>
      </c>
    </row>
    <row r="6495" spans="22:24" x14ac:dyDescent="0.3">
      <c r="V6495" t="e">
        <f>VLOOKUP(H6495,'[1]팀별 출판사'!A:B,2,0)</f>
        <v>#N/A</v>
      </c>
      <c r="W6495" s="6">
        <f t="shared" si="202"/>
        <v>0</v>
      </c>
      <c r="X6495" s="6">
        <f t="shared" si="203"/>
        <v>0</v>
      </c>
    </row>
    <row r="6496" spans="22:24" x14ac:dyDescent="0.3">
      <c r="V6496" t="e">
        <f>VLOOKUP(H6496,'[1]팀별 출판사'!A:B,2,0)</f>
        <v>#N/A</v>
      </c>
      <c r="W6496" s="6">
        <f t="shared" si="202"/>
        <v>0</v>
      </c>
      <c r="X6496" s="6">
        <f t="shared" si="203"/>
        <v>0</v>
      </c>
    </row>
    <row r="6497" spans="22:24" x14ac:dyDescent="0.3">
      <c r="V6497" t="e">
        <f>VLOOKUP(H6497,'[1]팀별 출판사'!A:B,2,0)</f>
        <v>#N/A</v>
      </c>
      <c r="W6497" s="6">
        <f t="shared" si="202"/>
        <v>0</v>
      </c>
      <c r="X6497" s="6">
        <f t="shared" si="203"/>
        <v>0</v>
      </c>
    </row>
    <row r="6498" spans="22:24" x14ac:dyDescent="0.3">
      <c r="V6498" t="e">
        <f>VLOOKUP(H6498,'[1]팀별 출판사'!A:B,2,0)</f>
        <v>#N/A</v>
      </c>
      <c r="W6498" s="6">
        <f t="shared" si="202"/>
        <v>0</v>
      </c>
      <c r="X6498" s="6">
        <f t="shared" si="203"/>
        <v>0</v>
      </c>
    </row>
    <row r="6499" spans="22:24" x14ac:dyDescent="0.3">
      <c r="V6499" t="e">
        <f>VLOOKUP(H6499,'[1]팀별 출판사'!A:B,2,0)</f>
        <v>#N/A</v>
      </c>
      <c r="W6499" s="6">
        <f t="shared" si="202"/>
        <v>0</v>
      </c>
      <c r="X6499" s="6">
        <f t="shared" si="203"/>
        <v>0</v>
      </c>
    </row>
    <row r="6500" spans="22:24" x14ac:dyDescent="0.3">
      <c r="V6500" t="e">
        <f>VLOOKUP(H6500,'[1]팀별 출판사'!A:B,2,0)</f>
        <v>#N/A</v>
      </c>
      <c r="W6500" s="6">
        <f t="shared" si="202"/>
        <v>0</v>
      </c>
      <c r="X6500" s="6">
        <f t="shared" si="203"/>
        <v>0</v>
      </c>
    </row>
    <row r="6501" spans="22:24" x14ac:dyDescent="0.3">
      <c r="V6501" t="e">
        <f>VLOOKUP(H6501,'[1]팀별 출판사'!A:B,2,0)</f>
        <v>#N/A</v>
      </c>
      <c r="W6501" s="6">
        <f t="shared" si="202"/>
        <v>0</v>
      </c>
      <c r="X6501" s="6">
        <f t="shared" si="203"/>
        <v>0</v>
      </c>
    </row>
    <row r="6502" spans="22:24" x14ac:dyDescent="0.3">
      <c r="V6502" t="e">
        <f>VLOOKUP(H6502,'[1]팀별 출판사'!A:B,2,0)</f>
        <v>#N/A</v>
      </c>
      <c r="W6502" s="6">
        <f t="shared" si="202"/>
        <v>0</v>
      </c>
      <c r="X6502" s="6">
        <f t="shared" si="203"/>
        <v>0</v>
      </c>
    </row>
    <row r="6503" spans="22:24" x14ac:dyDescent="0.3">
      <c r="V6503" t="e">
        <f>VLOOKUP(H6503,'[1]팀별 출판사'!A:B,2,0)</f>
        <v>#N/A</v>
      </c>
      <c r="W6503" s="6">
        <f t="shared" si="202"/>
        <v>0</v>
      </c>
      <c r="X6503" s="6">
        <f t="shared" si="203"/>
        <v>0</v>
      </c>
    </row>
    <row r="6504" spans="22:24" x14ac:dyDescent="0.3">
      <c r="V6504" t="e">
        <f>VLOOKUP(H6504,'[1]팀별 출판사'!A:B,2,0)</f>
        <v>#N/A</v>
      </c>
      <c r="W6504" s="6">
        <f t="shared" si="202"/>
        <v>0</v>
      </c>
      <c r="X6504" s="6">
        <f t="shared" si="203"/>
        <v>0</v>
      </c>
    </row>
    <row r="6505" spans="22:24" x14ac:dyDescent="0.3">
      <c r="V6505" t="e">
        <f>VLOOKUP(H6505,'[1]팀별 출판사'!A:B,2,0)</f>
        <v>#N/A</v>
      </c>
      <c r="W6505" s="6">
        <f t="shared" si="202"/>
        <v>0</v>
      </c>
      <c r="X6505" s="6">
        <f t="shared" si="203"/>
        <v>0</v>
      </c>
    </row>
    <row r="6506" spans="22:24" x14ac:dyDescent="0.3">
      <c r="V6506" t="e">
        <f>VLOOKUP(H6506,'[1]팀별 출판사'!A:B,2,0)</f>
        <v>#N/A</v>
      </c>
      <c r="W6506" s="6">
        <f t="shared" si="202"/>
        <v>0</v>
      </c>
      <c r="X6506" s="6">
        <f t="shared" si="203"/>
        <v>0</v>
      </c>
    </row>
    <row r="6507" spans="22:24" x14ac:dyDescent="0.3">
      <c r="V6507" t="e">
        <f>VLOOKUP(H6507,'[1]팀별 출판사'!A:B,2,0)</f>
        <v>#N/A</v>
      </c>
      <c r="W6507" s="6">
        <f t="shared" si="202"/>
        <v>0</v>
      </c>
      <c r="X6507" s="6">
        <f t="shared" si="203"/>
        <v>0</v>
      </c>
    </row>
    <row r="6508" spans="22:24" x14ac:dyDescent="0.3">
      <c r="V6508" t="e">
        <f>VLOOKUP(H6508,'[1]팀별 출판사'!A:B,2,0)</f>
        <v>#N/A</v>
      </c>
      <c r="W6508" s="6">
        <f t="shared" si="202"/>
        <v>0</v>
      </c>
      <c r="X6508" s="6">
        <f t="shared" si="203"/>
        <v>0</v>
      </c>
    </row>
    <row r="6509" spans="22:24" x14ac:dyDescent="0.3">
      <c r="V6509" t="e">
        <f>VLOOKUP(H6509,'[1]팀별 출판사'!A:B,2,0)</f>
        <v>#N/A</v>
      </c>
      <c r="W6509" s="6">
        <f t="shared" si="202"/>
        <v>0</v>
      </c>
      <c r="X6509" s="6">
        <f t="shared" si="203"/>
        <v>0</v>
      </c>
    </row>
    <row r="6510" spans="22:24" x14ac:dyDescent="0.3">
      <c r="V6510" t="e">
        <f>VLOOKUP(H6510,'[1]팀별 출판사'!A:B,2,0)</f>
        <v>#N/A</v>
      </c>
      <c r="W6510" s="6">
        <f t="shared" si="202"/>
        <v>0</v>
      </c>
      <c r="X6510" s="6">
        <f t="shared" si="203"/>
        <v>0</v>
      </c>
    </row>
    <row r="6511" spans="22:24" x14ac:dyDescent="0.3">
      <c r="V6511" t="e">
        <f>VLOOKUP(H6511,'[1]팀별 출판사'!A:B,2,0)</f>
        <v>#N/A</v>
      </c>
      <c r="W6511" s="6">
        <f t="shared" si="202"/>
        <v>0</v>
      </c>
      <c r="X6511" s="6">
        <f t="shared" si="203"/>
        <v>0</v>
      </c>
    </row>
    <row r="6512" spans="22:24" x14ac:dyDescent="0.3">
      <c r="V6512" t="e">
        <f>VLOOKUP(H6512,'[1]팀별 출판사'!A:B,2,0)</f>
        <v>#N/A</v>
      </c>
      <c r="W6512" s="6">
        <f t="shared" si="202"/>
        <v>0</v>
      </c>
      <c r="X6512" s="6">
        <f t="shared" si="203"/>
        <v>0</v>
      </c>
    </row>
    <row r="6513" spans="22:24" x14ac:dyDescent="0.3">
      <c r="V6513" t="e">
        <f>VLOOKUP(H6513,'[1]팀별 출판사'!A:B,2,0)</f>
        <v>#N/A</v>
      </c>
      <c r="W6513" s="6">
        <f t="shared" si="202"/>
        <v>0</v>
      </c>
      <c r="X6513" s="6">
        <f t="shared" si="203"/>
        <v>0</v>
      </c>
    </row>
    <row r="6514" spans="22:24" x14ac:dyDescent="0.3">
      <c r="V6514" t="e">
        <f>VLOOKUP(H6514,'[1]팀별 출판사'!A:B,2,0)</f>
        <v>#N/A</v>
      </c>
      <c r="W6514" s="6">
        <f t="shared" si="202"/>
        <v>0</v>
      </c>
      <c r="X6514" s="6">
        <f t="shared" si="203"/>
        <v>0</v>
      </c>
    </row>
    <row r="6515" spans="22:24" x14ac:dyDescent="0.3">
      <c r="V6515" t="e">
        <f>VLOOKUP(H6515,'[1]팀별 출판사'!A:B,2,0)</f>
        <v>#N/A</v>
      </c>
      <c r="W6515" s="6">
        <f t="shared" si="202"/>
        <v>0</v>
      </c>
      <c r="X6515" s="6">
        <f t="shared" si="203"/>
        <v>0</v>
      </c>
    </row>
    <row r="6516" spans="22:24" x14ac:dyDescent="0.3">
      <c r="V6516" t="e">
        <f>VLOOKUP(H6516,'[1]팀별 출판사'!A:B,2,0)</f>
        <v>#N/A</v>
      </c>
      <c r="W6516" s="6">
        <f t="shared" si="202"/>
        <v>0</v>
      </c>
      <c r="X6516" s="6">
        <f t="shared" si="203"/>
        <v>0</v>
      </c>
    </row>
    <row r="6517" spans="22:24" x14ac:dyDescent="0.3">
      <c r="V6517" t="e">
        <f>VLOOKUP(H6517,'[1]팀별 출판사'!A:B,2,0)</f>
        <v>#N/A</v>
      </c>
      <c r="W6517" s="6">
        <f t="shared" si="202"/>
        <v>0</v>
      </c>
      <c r="X6517" s="6">
        <f t="shared" si="203"/>
        <v>0</v>
      </c>
    </row>
    <row r="6518" spans="22:24" x14ac:dyDescent="0.3">
      <c r="V6518" t="e">
        <f>VLOOKUP(H6518,'[1]팀별 출판사'!A:B,2,0)</f>
        <v>#N/A</v>
      </c>
      <c r="W6518" s="6">
        <f t="shared" si="202"/>
        <v>0</v>
      </c>
      <c r="X6518" s="6">
        <f t="shared" si="203"/>
        <v>0</v>
      </c>
    </row>
    <row r="6519" spans="22:24" x14ac:dyDescent="0.3">
      <c r="V6519" t="e">
        <f>VLOOKUP(H6519,'[1]팀별 출판사'!A:B,2,0)</f>
        <v>#N/A</v>
      </c>
      <c r="W6519" s="6">
        <f t="shared" si="202"/>
        <v>0</v>
      </c>
      <c r="X6519" s="6">
        <f t="shared" si="203"/>
        <v>0</v>
      </c>
    </row>
    <row r="6520" spans="22:24" x14ac:dyDescent="0.3">
      <c r="V6520" t="e">
        <f>VLOOKUP(H6520,'[1]팀별 출판사'!A:B,2,0)</f>
        <v>#N/A</v>
      </c>
      <c r="W6520" s="6">
        <f t="shared" si="202"/>
        <v>0</v>
      </c>
      <c r="X6520" s="6">
        <f t="shared" si="203"/>
        <v>0</v>
      </c>
    </row>
    <row r="6521" spans="22:24" x14ac:dyDescent="0.3">
      <c r="V6521" t="e">
        <f>VLOOKUP(H6521,'[1]팀별 출판사'!A:B,2,0)</f>
        <v>#N/A</v>
      </c>
      <c r="W6521" s="6">
        <f t="shared" si="202"/>
        <v>0</v>
      </c>
      <c r="X6521" s="6">
        <f t="shared" si="203"/>
        <v>0</v>
      </c>
    </row>
    <row r="6522" spans="22:24" x14ac:dyDescent="0.3">
      <c r="V6522" t="e">
        <f>VLOOKUP(H6522,'[1]팀별 출판사'!A:B,2,0)</f>
        <v>#N/A</v>
      </c>
      <c r="W6522" s="6">
        <f t="shared" si="202"/>
        <v>0</v>
      </c>
      <c r="X6522" s="6">
        <f t="shared" si="203"/>
        <v>0</v>
      </c>
    </row>
    <row r="6523" spans="22:24" x14ac:dyDescent="0.3">
      <c r="V6523" t="e">
        <f>VLOOKUP(H6523,'[1]팀별 출판사'!A:B,2,0)</f>
        <v>#N/A</v>
      </c>
      <c r="W6523" s="6">
        <f t="shared" si="202"/>
        <v>0</v>
      </c>
      <c r="X6523" s="6">
        <f t="shared" si="203"/>
        <v>0</v>
      </c>
    </row>
    <row r="6524" spans="22:24" x14ac:dyDescent="0.3">
      <c r="V6524" t="e">
        <f>VLOOKUP(H6524,'[1]팀별 출판사'!A:B,2,0)</f>
        <v>#N/A</v>
      </c>
      <c r="W6524" s="6">
        <f t="shared" si="202"/>
        <v>0</v>
      </c>
      <c r="X6524" s="6">
        <f t="shared" si="203"/>
        <v>0</v>
      </c>
    </row>
    <row r="6525" spans="22:24" x14ac:dyDescent="0.3">
      <c r="V6525" t="e">
        <f>VLOOKUP(H6525,'[1]팀별 출판사'!A:B,2,0)</f>
        <v>#N/A</v>
      </c>
      <c r="W6525" s="6">
        <f t="shared" si="202"/>
        <v>0</v>
      </c>
      <c r="X6525" s="6">
        <f t="shared" si="203"/>
        <v>0</v>
      </c>
    </row>
    <row r="6526" spans="22:24" x14ac:dyDescent="0.3">
      <c r="V6526" t="e">
        <f>VLOOKUP(H6526,'[1]팀별 출판사'!A:B,2,0)</f>
        <v>#N/A</v>
      </c>
      <c r="W6526" s="6">
        <f t="shared" si="202"/>
        <v>0</v>
      </c>
      <c r="X6526" s="6">
        <f t="shared" si="203"/>
        <v>0</v>
      </c>
    </row>
    <row r="6527" spans="22:24" x14ac:dyDescent="0.3">
      <c r="V6527" t="e">
        <f>VLOOKUP(H6527,'[1]팀별 출판사'!A:B,2,0)</f>
        <v>#N/A</v>
      </c>
      <c r="W6527" s="6">
        <f t="shared" si="202"/>
        <v>0</v>
      </c>
      <c r="X6527" s="6">
        <f t="shared" si="203"/>
        <v>0</v>
      </c>
    </row>
    <row r="6528" spans="22:24" x14ac:dyDescent="0.3">
      <c r="V6528" t="e">
        <f>VLOOKUP(H6528,'[1]팀별 출판사'!A:B,2,0)</f>
        <v>#N/A</v>
      </c>
      <c r="W6528" s="6">
        <f t="shared" si="202"/>
        <v>0</v>
      </c>
      <c r="X6528" s="6">
        <f t="shared" si="203"/>
        <v>0</v>
      </c>
    </row>
    <row r="6529" spans="22:24" x14ac:dyDescent="0.3">
      <c r="V6529" t="e">
        <f>VLOOKUP(H6529,'[1]팀별 출판사'!A:B,2,0)</f>
        <v>#N/A</v>
      </c>
      <c r="W6529" s="6">
        <f t="shared" si="202"/>
        <v>0</v>
      </c>
      <c r="X6529" s="6">
        <f t="shared" si="203"/>
        <v>0</v>
      </c>
    </row>
    <row r="6530" spans="22:24" x14ac:dyDescent="0.3">
      <c r="V6530" t="e">
        <f>VLOOKUP(H6530,'[1]팀별 출판사'!A:B,2,0)</f>
        <v>#N/A</v>
      </c>
      <c r="W6530" s="6">
        <f t="shared" ref="W6530:W6593" si="204">IF(P6530="US", T6530*30%, 0)</f>
        <v>0</v>
      </c>
      <c r="X6530" s="6">
        <f t="shared" ref="X6530:X6593" si="205">T6530-W6530</f>
        <v>0</v>
      </c>
    </row>
    <row r="6531" spans="22:24" x14ac:dyDescent="0.3">
      <c r="V6531" t="e">
        <f>VLOOKUP(H6531,'[1]팀별 출판사'!A:B,2,0)</f>
        <v>#N/A</v>
      </c>
      <c r="W6531" s="6">
        <f t="shared" si="204"/>
        <v>0</v>
      </c>
      <c r="X6531" s="6">
        <f t="shared" si="205"/>
        <v>0</v>
      </c>
    </row>
    <row r="6532" spans="22:24" x14ac:dyDescent="0.3">
      <c r="V6532" t="e">
        <f>VLOOKUP(H6532,'[1]팀별 출판사'!A:B,2,0)</f>
        <v>#N/A</v>
      </c>
      <c r="W6532" s="6">
        <f t="shared" si="204"/>
        <v>0</v>
      </c>
      <c r="X6532" s="6">
        <f t="shared" si="205"/>
        <v>0</v>
      </c>
    </row>
    <row r="6533" spans="22:24" x14ac:dyDescent="0.3">
      <c r="V6533" t="e">
        <f>VLOOKUP(H6533,'[1]팀별 출판사'!A:B,2,0)</f>
        <v>#N/A</v>
      </c>
      <c r="W6533" s="6">
        <f t="shared" si="204"/>
        <v>0</v>
      </c>
      <c r="X6533" s="6">
        <f t="shared" si="205"/>
        <v>0</v>
      </c>
    </row>
    <row r="6534" spans="22:24" x14ac:dyDescent="0.3">
      <c r="V6534" t="e">
        <f>VLOOKUP(H6534,'[1]팀별 출판사'!A:B,2,0)</f>
        <v>#N/A</v>
      </c>
      <c r="W6534" s="6">
        <f t="shared" si="204"/>
        <v>0</v>
      </c>
      <c r="X6534" s="6">
        <f t="shared" si="205"/>
        <v>0</v>
      </c>
    </row>
    <row r="6535" spans="22:24" x14ac:dyDescent="0.3">
      <c r="V6535" t="e">
        <f>VLOOKUP(H6535,'[1]팀별 출판사'!A:B,2,0)</f>
        <v>#N/A</v>
      </c>
      <c r="W6535" s="6">
        <f t="shared" si="204"/>
        <v>0</v>
      </c>
      <c r="X6535" s="6">
        <f t="shared" si="205"/>
        <v>0</v>
      </c>
    </row>
    <row r="6536" spans="22:24" x14ac:dyDescent="0.3">
      <c r="V6536" t="e">
        <f>VLOOKUP(H6536,'[1]팀별 출판사'!A:B,2,0)</f>
        <v>#N/A</v>
      </c>
      <c r="W6536" s="6">
        <f t="shared" si="204"/>
        <v>0</v>
      </c>
      <c r="X6536" s="6">
        <f t="shared" si="205"/>
        <v>0</v>
      </c>
    </row>
    <row r="6537" spans="22:24" x14ac:dyDescent="0.3">
      <c r="V6537" t="e">
        <f>VLOOKUP(H6537,'[1]팀별 출판사'!A:B,2,0)</f>
        <v>#N/A</v>
      </c>
      <c r="W6537" s="6">
        <f t="shared" si="204"/>
        <v>0</v>
      </c>
      <c r="X6537" s="6">
        <f t="shared" si="205"/>
        <v>0</v>
      </c>
    </row>
    <row r="6538" spans="22:24" x14ac:dyDescent="0.3">
      <c r="V6538" t="e">
        <f>VLOOKUP(H6538,'[1]팀별 출판사'!A:B,2,0)</f>
        <v>#N/A</v>
      </c>
      <c r="W6538" s="6">
        <f t="shared" si="204"/>
        <v>0</v>
      </c>
      <c r="X6538" s="6">
        <f t="shared" si="205"/>
        <v>0</v>
      </c>
    </row>
    <row r="6539" spans="22:24" x14ac:dyDescent="0.3">
      <c r="V6539" t="e">
        <f>VLOOKUP(H6539,'[1]팀별 출판사'!A:B,2,0)</f>
        <v>#N/A</v>
      </c>
      <c r="W6539" s="6">
        <f t="shared" si="204"/>
        <v>0</v>
      </c>
      <c r="X6539" s="6">
        <f t="shared" si="205"/>
        <v>0</v>
      </c>
    </row>
    <row r="6540" spans="22:24" x14ac:dyDescent="0.3">
      <c r="V6540" t="e">
        <f>VLOOKUP(H6540,'[1]팀별 출판사'!A:B,2,0)</f>
        <v>#N/A</v>
      </c>
      <c r="W6540" s="6">
        <f t="shared" si="204"/>
        <v>0</v>
      </c>
      <c r="X6540" s="6">
        <f t="shared" si="205"/>
        <v>0</v>
      </c>
    </row>
    <row r="6541" spans="22:24" x14ac:dyDescent="0.3">
      <c r="V6541" t="e">
        <f>VLOOKUP(H6541,'[1]팀별 출판사'!A:B,2,0)</f>
        <v>#N/A</v>
      </c>
      <c r="W6541" s="6">
        <f t="shared" si="204"/>
        <v>0</v>
      </c>
      <c r="X6541" s="6">
        <f t="shared" si="205"/>
        <v>0</v>
      </c>
    </row>
    <row r="6542" spans="22:24" x14ac:dyDescent="0.3">
      <c r="V6542" t="e">
        <f>VLOOKUP(H6542,'[1]팀별 출판사'!A:B,2,0)</f>
        <v>#N/A</v>
      </c>
      <c r="W6542" s="6">
        <f t="shared" si="204"/>
        <v>0</v>
      </c>
      <c r="X6542" s="6">
        <f t="shared" si="205"/>
        <v>0</v>
      </c>
    </row>
    <row r="6543" spans="22:24" x14ac:dyDescent="0.3">
      <c r="V6543" t="e">
        <f>VLOOKUP(H6543,'[1]팀별 출판사'!A:B,2,0)</f>
        <v>#N/A</v>
      </c>
      <c r="W6543" s="6">
        <f t="shared" si="204"/>
        <v>0</v>
      </c>
      <c r="X6543" s="6">
        <f t="shared" si="205"/>
        <v>0</v>
      </c>
    </row>
    <row r="6544" spans="22:24" x14ac:dyDescent="0.3">
      <c r="V6544" t="e">
        <f>VLOOKUP(H6544,'[1]팀별 출판사'!A:B,2,0)</f>
        <v>#N/A</v>
      </c>
      <c r="W6544" s="6">
        <f t="shared" si="204"/>
        <v>0</v>
      </c>
      <c r="X6544" s="6">
        <f t="shared" si="205"/>
        <v>0</v>
      </c>
    </row>
    <row r="6545" spans="22:24" x14ac:dyDescent="0.3">
      <c r="V6545" t="e">
        <f>VLOOKUP(H6545,'[1]팀별 출판사'!A:B,2,0)</f>
        <v>#N/A</v>
      </c>
      <c r="W6545" s="6">
        <f t="shared" si="204"/>
        <v>0</v>
      </c>
      <c r="X6545" s="6">
        <f t="shared" si="205"/>
        <v>0</v>
      </c>
    </row>
    <row r="6546" spans="22:24" x14ac:dyDescent="0.3">
      <c r="V6546" t="e">
        <f>VLOOKUP(H6546,'[1]팀별 출판사'!A:B,2,0)</f>
        <v>#N/A</v>
      </c>
      <c r="W6546" s="6">
        <f t="shared" si="204"/>
        <v>0</v>
      </c>
      <c r="X6546" s="6">
        <f t="shared" si="205"/>
        <v>0</v>
      </c>
    </row>
    <row r="6547" spans="22:24" x14ac:dyDescent="0.3">
      <c r="V6547" t="e">
        <f>VLOOKUP(H6547,'[1]팀별 출판사'!A:B,2,0)</f>
        <v>#N/A</v>
      </c>
      <c r="W6547" s="6">
        <f t="shared" si="204"/>
        <v>0</v>
      </c>
      <c r="X6547" s="6">
        <f t="shared" si="205"/>
        <v>0</v>
      </c>
    </row>
    <row r="6548" spans="22:24" x14ac:dyDescent="0.3">
      <c r="V6548" t="e">
        <f>VLOOKUP(H6548,'[1]팀별 출판사'!A:B,2,0)</f>
        <v>#N/A</v>
      </c>
      <c r="W6548" s="6">
        <f t="shared" si="204"/>
        <v>0</v>
      </c>
      <c r="X6548" s="6">
        <f t="shared" si="205"/>
        <v>0</v>
      </c>
    </row>
    <row r="6549" spans="22:24" x14ac:dyDescent="0.3">
      <c r="V6549" t="e">
        <f>VLOOKUP(H6549,'[1]팀별 출판사'!A:B,2,0)</f>
        <v>#N/A</v>
      </c>
      <c r="W6549" s="6">
        <f t="shared" si="204"/>
        <v>0</v>
      </c>
      <c r="X6549" s="6">
        <f t="shared" si="205"/>
        <v>0</v>
      </c>
    </row>
    <row r="6550" spans="22:24" x14ac:dyDescent="0.3">
      <c r="V6550" t="e">
        <f>VLOOKUP(H6550,'[1]팀별 출판사'!A:B,2,0)</f>
        <v>#N/A</v>
      </c>
      <c r="W6550" s="6">
        <f t="shared" si="204"/>
        <v>0</v>
      </c>
      <c r="X6550" s="6">
        <f t="shared" si="205"/>
        <v>0</v>
      </c>
    </row>
    <row r="6551" spans="22:24" x14ac:dyDescent="0.3">
      <c r="V6551" t="e">
        <f>VLOOKUP(H6551,'[1]팀별 출판사'!A:B,2,0)</f>
        <v>#N/A</v>
      </c>
      <c r="W6551" s="6">
        <f t="shared" si="204"/>
        <v>0</v>
      </c>
      <c r="X6551" s="6">
        <f t="shared" si="205"/>
        <v>0</v>
      </c>
    </row>
    <row r="6552" spans="22:24" x14ac:dyDescent="0.3">
      <c r="V6552" t="e">
        <f>VLOOKUP(H6552,'[1]팀별 출판사'!A:B,2,0)</f>
        <v>#N/A</v>
      </c>
      <c r="W6552" s="6">
        <f t="shared" si="204"/>
        <v>0</v>
      </c>
      <c r="X6552" s="6">
        <f t="shared" si="205"/>
        <v>0</v>
      </c>
    </row>
    <row r="6553" spans="22:24" x14ac:dyDescent="0.3">
      <c r="V6553" t="e">
        <f>VLOOKUP(H6553,'[1]팀별 출판사'!A:B,2,0)</f>
        <v>#N/A</v>
      </c>
      <c r="W6553" s="6">
        <f t="shared" si="204"/>
        <v>0</v>
      </c>
      <c r="X6553" s="6">
        <f t="shared" si="205"/>
        <v>0</v>
      </c>
    </row>
    <row r="6554" spans="22:24" x14ac:dyDescent="0.3">
      <c r="V6554" t="e">
        <f>VLOOKUP(H6554,'[1]팀별 출판사'!A:B,2,0)</f>
        <v>#N/A</v>
      </c>
      <c r="W6554" s="6">
        <f t="shared" si="204"/>
        <v>0</v>
      </c>
      <c r="X6554" s="6">
        <f t="shared" si="205"/>
        <v>0</v>
      </c>
    </row>
    <row r="6555" spans="22:24" x14ac:dyDescent="0.3">
      <c r="V6555" t="e">
        <f>VLOOKUP(H6555,'[1]팀별 출판사'!A:B,2,0)</f>
        <v>#N/A</v>
      </c>
      <c r="W6555" s="6">
        <f t="shared" si="204"/>
        <v>0</v>
      </c>
      <c r="X6555" s="6">
        <f t="shared" si="205"/>
        <v>0</v>
      </c>
    </row>
    <row r="6556" spans="22:24" x14ac:dyDescent="0.3">
      <c r="V6556" t="e">
        <f>VLOOKUP(H6556,'[1]팀별 출판사'!A:B,2,0)</f>
        <v>#N/A</v>
      </c>
      <c r="W6556" s="6">
        <f t="shared" si="204"/>
        <v>0</v>
      </c>
      <c r="X6556" s="6">
        <f t="shared" si="205"/>
        <v>0</v>
      </c>
    </row>
    <row r="6557" spans="22:24" x14ac:dyDescent="0.3">
      <c r="V6557" t="e">
        <f>VLOOKUP(H6557,'[1]팀별 출판사'!A:B,2,0)</f>
        <v>#N/A</v>
      </c>
      <c r="W6557" s="6">
        <f t="shared" si="204"/>
        <v>0</v>
      </c>
      <c r="X6557" s="6">
        <f t="shared" si="205"/>
        <v>0</v>
      </c>
    </row>
    <row r="6558" spans="22:24" x14ac:dyDescent="0.3">
      <c r="V6558" t="e">
        <f>VLOOKUP(H6558,'[1]팀별 출판사'!A:B,2,0)</f>
        <v>#N/A</v>
      </c>
      <c r="W6558" s="6">
        <f t="shared" si="204"/>
        <v>0</v>
      </c>
      <c r="X6558" s="6">
        <f t="shared" si="205"/>
        <v>0</v>
      </c>
    </row>
    <row r="6559" spans="22:24" x14ac:dyDescent="0.3">
      <c r="V6559" t="e">
        <f>VLOOKUP(H6559,'[1]팀별 출판사'!A:B,2,0)</f>
        <v>#N/A</v>
      </c>
      <c r="W6559" s="6">
        <f t="shared" si="204"/>
        <v>0</v>
      </c>
      <c r="X6559" s="6">
        <f t="shared" si="205"/>
        <v>0</v>
      </c>
    </row>
    <row r="6560" spans="22:24" x14ac:dyDescent="0.3">
      <c r="V6560" t="e">
        <f>VLOOKUP(H6560,'[1]팀별 출판사'!A:B,2,0)</f>
        <v>#N/A</v>
      </c>
      <c r="W6560" s="6">
        <f t="shared" si="204"/>
        <v>0</v>
      </c>
      <c r="X6560" s="6">
        <f t="shared" si="205"/>
        <v>0</v>
      </c>
    </row>
    <row r="6561" spans="22:24" x14ac:dyDescent="0.3">
      <c r="V6561" t="e">
        <f>VLOOKUP(H6561,'[1]팀별 출판사'!A:B,2,0)</f>
        <v>#N/A</v>
      </c>
      <c r="W6561" s="6">
        <f t="shared" si="204"/>
        <v>0</v>
      </c>
      <c r="X6561" s="6">
        <f t="shared" si="205"/>
        <v>0</v>
      </c>
    </row>
    <row r="6562" spans="22:24" x14ac:dyDescent="0.3">
      <c r="V6562" t="e">
        <f>VLOOKUP(H6562,'[1]팀별 출판사'!A:B,2,0)</f>
        <v>#N/A</v>
      </c>
      <c r="W6562" s="6">
        <f t="shared" si="204"/>
        <v>0</v>
      </c>
      <c r="X6562" s="6">
        <f t="shared" si="205"/>
        <v>0</v>
      </c>
    </row>
    <row r="6563" spans="22:24" x14ac:dyDescent="0.3">
      <c r="V6563" t="e">
        <f>VLOOKUP(H6563,'[1]팀별 출판사'!A:B,2,0)</f>
        <v>#N/A</v>
      </c>
      <c r="W6563" s="6">
        <f t="shared" si="204"/>
        <v>0</v>
      </c>
      <c r="X6563" s="6">
        <f t="shared" si="205"/>
        <v>0</v>
      </c>
    </row>
    <row r="6564" spans="22:24" x14ac:dyDescent="0.3">
      <c r="V6564" t="e">
        <f>VLOOKUP(H6564,'[1]팀별 출판사'!A:B,2,0)</f>
        <v>#N/A</v>
      </c>
      <c r="W6564" s="6">
        <f t="shared" si="204"/>
        <v>0</v>
      </c>
      <c r="X6564" s="6">
        <f t="shared" si="205"/>
        <v>0</v>
      </c>
    </row>
    <row r="6565" spans="22:24" x14ac:dyDescent="0.3">
      <c r="V6565" t="e">
        <f>VLOOKUP(H6565,'[1]팀별 출판사'!A:B,2,0)</f>
        <v>#N/A</v>
      </c>
      <c r="W6565" s="6">
        <f t="shared" si="204"/>
        <v>0</v>
      </c>
      <c r="X6565" s="6">
        <f t="shared" si="205"/>
        <v>0</v>
      </c>
    </row>
    <row r="6566" spans="22:24" x14ac:dyDescent="0.3">
      <c r="V6566" t="e">
        <f>VLOOKUP(H6566,'[1]팀별 출판사'!A:B,2,0)</f>
        <v>#N/A</v>
      </c>
      <c r="W6566" s="6">
        <f t="shared" si="204"/>
        <v>0</v>
      </c>
      <c r="X6566" s="6">
        <f t="shared" si="205"/>
        <v>0</v>
      </c>
    </row>
    <row r="6567" spans="22:24" x14ac:dyDescent="0.3">
      <c r="V6567" t="e">
        <f>VLOOKUP(H6567,'[1]팀별 출판사'!A:B,2,0)</f>
        <v>#N/A</v>
      </c>
      <c r="W6567" s="6">
        <f t="shared" si="204"/>
        <v>0</v>
      </c>
      <c r="X6567" s="6">
        <f t="shared" si="205"/>
        <v>0</v>
      </c>
    </row>
    <row r="6568" spans="22:24" x14ac:dyDescent="0.3">
      <c r="V6568" t="e">
        <f>VLOOKUP(H6568,'[1]팀별 출판사'!A:B,2,0)</f>
        <v>#N/A</v>
      </c>
      <c r="W6568" s="6">
        <f t="shared" si="204"/>
        <v>0</v>
      </c>
      <c r="X6568" s="6">
        <f t="shared" si="205"/>
        <v>0</v>
      </c>
    </row>
    <row r="6569" spans="22:24" x14ac:dyDescent="0.3">
      <c r="V6569" t="e">
        <f>VLOOKUP(H6569,'[1]팀별 출판사'!A:B,2,0)</f>
        <v>#N/A</v>
      </c>
      <c r="W6569" s="6">
        <f t="shared" si="204"/>
        <v>0</v>
      </c>
      <c r="X6569" s="6">
        <f t="shared" si="205"/>
        <v>0</v>
      </c>
    </row>
    <row r="6570" spans="22:24" x14ac:dyDescent="0.3">
      <c r="V6570" t="e">
        <f>VLOOKUP(H6570,'[1]팀별 출판사'!A:B,2,0)</f>
        <v>#N/A</v>
      </c>
      <c r="W6570" s="6">
        <f t="shared" si="204"/>
        <v>0</v>
      </c>
      <c r="X6570" s="6">
        <f t="shared" si="205"/>
        <v>0</v>
      </c>
    </row>
    <row r="6571" spans="22:24" x14ac:dyDescent="0.3">
      <c r="V6571" t="e">
        <f>VLOOKUP(H6571,'[1]팀별 출판사'!A:B,2,0)</f>
        <v>#N/A</v>
      </c>
      <c r="W6571" s="6">
        <f t="shared" si="204"/>
        <v>0</v>
      </c>
      <c r="X6571" s="6">
        <f t="shared" si="205"/>
        <v>0</v>
      </c>
    </row>
    <row r="6572" spans="22:24" x14ac:dyDescent="0.3">
      <c r="V6572" t="e">
        <f>VLOOKUP(H6572,'[1]팀별 출판사'!A:B,2,0)</f>
        <v>#N/A</v>
      </c>
      <c r="W6572" s="6">
        <f t="shared" si="204"/>
        <v>0</v>
      </c>
      <c r="X6572" s="6">
        <f t="shared" si="205"/>
        <v>0</v>
      </c>
    </row>
    <row r="6573" spans="22:24" x14ac:dyDescent="0.3">
      <c r="V6573" t="e">
        <f>VLOOKUP(H6573,'[1]팀별 출판사'!A:B,2,0)</f>
        <v>#N/A</v>
      </c>
      <c r="W6573" s="6">
        <f t="shared" si="204"/>
        <v>0</v>
      </c>
      <c r="X6573" s="6">
        <f t="shared" si="205"/>
        <v>0</v>
      </c>
    </row>
    <row r="6574" spans="22:24" x14ac:dyDescent="0.3">
      <c r="V6574" t="e">
        <f>VLOOKUP(H6574,'[1]팀별 출판사'!A:B,2,0)</f>
        <v>#N/A</v>
      </c>
      <c r="W6574" s="6">
        <f t="shared" si="204"/>
        <v>0</v>
      </c>
      <c r="X6574" s="6">
        <f t="shared" si="205"/>
        <v>0</v>
      </c>
    </row>
    <row r="6575" spans="22:24" x14ac:dyDescent="0.3">
      <c r="V6575" t="e">
        <f>VLOOKUP(H6575,'[1]팀별 출판사'!A:B,2,0)</f>
        <v>#N/A</v>
      </c>
      <c r="W6575" s="6">
        <f t="shared" si="204"/>
        <v>0</v>
      </c>
      <c r="X6575" s="6">
        <f t="shared" si="205"/>
        <v>0</v>
      </c>
    </row>
    <row r="6576" spans="22:24" x14ac:dyDescent="0.3">
      <c r="V6576" t="e">
        <f>VLOOKUP(H6576,'[1]팀별 출판사'!A:B,2,0)</f>
        <v>#N/A</v>
      </c>
      <c r="W6576" s="6">
        <f t="shared" si="204"/>
        <v>0</v>
      </c>
      <c r="X6576" s="6">
        <f t="shared" si="205"/>
        <v>0</v>
      </c>
    </row>
    <row r="6577" spans="22:24" x14ac:dyDescent="0.3">
      <c r="V6577" t="e">
        <f>VLOOKUP(H6577,'[1]팀별 출판사'!A:B,2,0)</f>
        <v>#N/A</v>
      </c>
      <c r="W6577" s="6">
        <f t="shared" si="204"/>
        <v>0</v>
      </c>
      <c r="X6577" s="6">
        <f t="shared" si="205"/>
        <v>0</v>
      </c>
    </row>
    <row r="6578" spans="22:24" x14ac:dyDescent="0.3">
      <c r="V6578" t="e">
        <f>VLOOKUP(H6578,'[1]팀별 출판사'!A:B,2,0)</f>
        <v>#N/A</v>
      </c>
      <c r="W6578" s="6">
        <f t="shared" si="204"/>
        <v>0</v>
      </c>
      <c r="X6578" s="6">
        <f t="shared" si="205"/>
        <v>0</v>
      </c>
    </row>
    <row r="6579" spans="22:24" x14ac:dyDescent="0.3">
      <c r="V6579" t="e">
        <f>VLOOKUP(H6579,'[1]팀별 출판사'!A:B,2,0)</f>
        <v>#N/A</v>
      </c>
      <c r="W6579" s="6">
        <f t="shared" si="204"/>
        <v>0</v>
      </c>
      <c r="X6579" s="6">
        <f t="shared" si="205"/>
        <v>0</v>
      </c>
    </row>
    <row r="6580" spans="22:24" x14ac:dyDescent="0.3">
      <c r="V6580" t="e">
        <f>VLOOKUP(H6580,'[1]팀별 출판사'!A:B,2,0)</f>
        <v>#N/A</v>
      </c>
      <c r="W6580" s="6">
        <f t="shared" si="204"/>
        <v>0</v>
      </c>
      <c r="X6580" s="6">
        <f t="shared" si="205"/>
        <v>0</v>
      </c>
    </row>
    <row r="6581" spans="22:24" x14ac:dyDescent="0.3">
      <c r="V6581" t="e">
        <f>VLOOKUP(H6581,'[1]팀별 출판사'!A:B,2,0)</f>
        <v>#N/A</v>
      </c>
      <c r="W6581" s="6">
        <f t="shared" si="204"/>
        <v>0</v>
      </c>
      <c r="X6581" s="6">
        <f t="shared" si="205"/>
        <v>0</v>
      </c>
    </row>
    <row r="6582" spans="22:24" x14ac:dyDescent="0.3">
      <c r="V6582" t="e">
        <f>VLOOKUP(H6582,'[1]팀별 출판사'!A:B,2,0)</f>
        <v>#N/A</v>
      </c>
      <c r="W6582" s="6">
        <f t="shared" si="204"/>
        <v>0</v>
      </c>
      <c r="X6582" s="6">
        <f t="shared" si="205"/>
        <v>0</v>
      </c>
    </row>
    <row r="6583" spans="22:24" x14ac:dyDescent="0.3">
      <c r="V6583" t="e">
        <f>VLOOKUP(H6583,'[1]팀별 출판사'!A:B,2,0)</f>
        <v>#N/A</v>
      </c>
      <c r="W6583" s="6">
        <f t="shared" si="204"/>
        <v>0</v>
      </c>
      <c r="X6583" s="6">
        <f t="shared" si="205"/>
        <v>0</v>
      </c>
    </row>
    <row r="6584" spans="22:24" x14ac:dyDescent="0.3">
      <c r="V6584" t="e">
        <f>VLOOKUP(H6584,'[1]팀별 출판사'!A:B,2,0)</f>
        <v>#N/A</v>
      </c>
      <c r="W6584" s="6">
        <f t="shared" si="204"/>
        <v>0</v>
      </c>
      <c r="X6584" s="6">
        <f t="shared" si="205"/>
        <v>0</v>
      </c>
    </row>
    <row r="6585" spans="22:24" x14ac:dyDescent="0.3">
      <c r="V6585" t="e">
        <f>VLOOKUP(H6585,'[1]팀별 출판사'!A:B,2,0)</f>
        <v>#N/A</v>
      </c>
      <c r="W6585" s="6">
        <f t="shared" si="204"/>
        <v>0</v>
      </c>
      <c r="X6585" s="6">
        <f t="shared" si="205"/>
        <v>0</v>
      </c>
    </row>
    <row r="6586" spans="22:24" x14ac:dyDescent="0.3">
      <c r="V6586" t="e">
        <f>VLOOKUP(H6586,'[1]팀별 출판사'!A:B,2,0)</f>
        <v>#N/A</v>
      </c>
      <c r="W6586" s="6">
        <f t="shared" si="204"/>
        <v>0</v>
      </c>
      <c r="X6586" s="6">
        <f t="shared" si="205"/>
        <v>0</v>
      </c>
    </row>
    <row r="6587" spans="22:24" x14ac:dyDescent="0.3">
      <c r="V6587" t="e">
        <f>VLOOKUP(H6587,'[1]팀별 출판사'!A:B,2,0)</f>
        <v>#N/A</v>
      </c>
      <c r="W6587" s="6">
        <f t="shared" si="204"/>
        <v>0</v>
      </c>
      <c r="X6587" s="6">
        <f t="shared" si="205"/>
        <v>0</v>
      </c>
    </row>
    <row r="6588" spans="22:24" x14ac:dyDescent="0.3">
      <c r="V6588" t="e">
        <f>VLOOKUP(H6588,'[1]팀별 출판사'!A:B,2,0)</f>
        <v>#N/A</v>
      </c>
      <c r="W6588" s="6">
        <f t="shared" si="204"/>
        <v>0</v>
      </c>
      <c r="X6588" s="6">
        <f t="shared" si="205"/>
        <v>0</v>
      </c>
    </row>
    <row r="6589" spans="22:24" x14ac:dyDescent="0.3">
      <c r="V6589" t="e">
        <f>VLOOKUP(H6589,'[1]팀별 출판사'!A:B,2,0)</f>
        <v>#N/A</v>
      </c>
      <c r="W6589" s="6">
        <f t="shared" si="204"/>
        <v>0</v>
      </c>
      <c r="X6589" s="6">
        <f t="shared" si="205"/>
        <v>0</v>
      </c>
    </row>
    <row r="6590" spans="22:24" x14ac:dyDescent="0.3">
      <c r="V6590" t="e">
        <f>VLOOKUP(H6590,'[1]팀별 출판사'!A:B,2,0)</f>
        <v>#N/A</v>
      </c>
      <c r="W6590" s="6">
        <f t="shared" si="204"/>
        <v>0</v>
      </c>
      <c r="X6590" s="6">
        <f t="shared" si="205"/>
        <v>0</v>
      </c>
    </row>
    <row r="6591" spans="22:24" x14ac:dyDescent="0.3">
      <c r="V6591" t="e">
        <f>VLOOKUP(H6591,'[1]팀별 출판사'!A:B,2,0)</f>
        <v>#N/A</v>
      </c>
      <c r="W6591" s="6">
        <f t="shared" si="204"/>
        <v>0</v>
      </c>
      <c r="X6591" s="6">
        <f t="shared" si="205"/>
        <v>0</v>
      </c>
    </row>
    <row r="6592" spans="22:24" x14ac:dyDescent="0.3">
      <c r="V6592" t="e">
        <f>VLOOKUP(H6592,'[1]팀별 출판사'!A:B,2,0)</f>
        <v>#N/A</v>
      </c>
      <c r="W6592" s="6">
        <f t="shared" si="204"/>
        <v>0</v>
      </c>
      <c r="X6592" s="6">
        <f t="shared" si="205"/>
        <v>0</v>
      </c>
    </row>
    <row r="6593" spans="22:24" x14ac:dyDescent="0.3">
      <c r="V6593" t="e">
        <f>VLOOKUP(H6593,'[1]팀별 출판사'!A:B,2,0)</f>
        <v>#N/A</v>
      </c>
      <c r="W6593" s="6">
        <f t="shared" si="204"/>
        <v>0</v>
      </c>
      <c r="X6593" s="6">
        <f t="shared" si="205"/>
        <v>0</v>
      </c>
    </row>
    <row r="6594" spans="22:24" x14ac:dyDescent="0.3">
      <c r="V6594" t="e">
        <f>VLOOKUP(H6594,'[1]팀별 출판사'!A:B,2,0)</f>
        <v>#N/A</v>
      </c>
      <c r="W6594" s="6">
        <f t="shared" ref="W6594:W6657" si="206">IF(P6594="US", T6594*30%, 0)</f>
        <v>0</v>
      </c>
      <c r="X6594" s="6">
        <f t="shared" ref="X6594:X6657" si="207">T6594-W6594</f>
        <v>0</v>
      </c>
    </row>
    <row r="6595" spans="22:24" x14ac:dyDescent="0.3">
      <c r="V6595" t="e">
        <f>VLOOKUP(H6595,'[1]팀별 출판사'!A:B,2,0)</f>
        <v>#N/A</v>
      </c>
      <c r="W6595" s="6">
        <f t="shared" si="206"/>
        <v>0</v>
      </c>
      <c r="X6595" s="6">
        <f t="shared" si="207"/>
        <v>0</v>
      </c>
    </row>
    <row r="6596" spans="22:24" x14ac:dyDescent="0.3">
      <c r="V6596" t="e">
        <f>VLOOKUP(H6596,'[1]팀별 출판사'!A:B,2,0)</f>
        <v>#N/A</v>
      </c>
      <c r="W6596" s="6">
        <f t="shared" si="206"/>
        <v>0</v>
      </c>
      <c r="X6596" s="6">
        <f t="shared" si="207"/>
        <v>0</v>
      </c>
    </row>
    <row r="6597" spans="22:24" x14ac:dyDescent="0.3">
      <c r="V6597" t="e">
        <f>VLOOKUP(H6597,'[1]팀별 출판사'!A:B,2,0)</f>
        <v>#N/A</v>
      </c>
      <c r="W6597" s="6">
        <f t="shared" si="206"/>
        <v>0</v>
      </c>
      <c r="X6597" s="6">
        <f t="shared" si="207"/>
        <v>0</v>
      </c>
    </row>
    <row r="6598" spans="22:24" x14ac:dyDescent="0.3">
      <c r="V6598" t="e">
        <f>VLOOKUP(H6598,'[1]팀별 출판사'!A:B,2,0)</f>
        <v>#N/A</v>
      </c>
      <c r="W6598" s="6">
        <f t="shared" si="206"/>
        <v>0</v>
      </c>
      <c r="X6598" s="6">
        <f t="shared" si="207"/>
        <v>0</v>
      </c>
    </row>
    <row r="6599" spans="22:24" x14ac:dyDescent="0.3">
      <c r="V6599" t="e">
        <f>VLOOKUP(H6599,'[1]팀별 출판사'!A:B,2,0)</f>
        <v>#N/A</v>
      </c>
      <c r="W6599" s="6">
        <f t="shared" si="206"/>
        <v>0</v>
      </c>
      <c r="X6599" s="6">
        <f t="shared" si="207"/>
        <v>0</v>
      </c>
    </row>
    <row r="6600" spans="22:24" x14ac:dyDescent="0.3">
      <c r="V6600" t="e">
        <f>VLOOKUP(H6600,'[1]팀별 출판사'!A:B,2,0)</f>
        <v>#N/A</v>
      </c>
      <c r="W6600" s="6">
        <f t="shared" si="206"/>
        <v>0</v>
      </c>
      <c r="X6600" s="6">
        <f t="shared" si="207"/>
        <v>0</v>
      </c>
    </row>
    <row r="6601" spans="22:24" x14ac:dyDescent="0.3">
      <c r="V6601" t="e">
        <f>VLOOKUP(H6601,'[1]팀별 출판사'!A:B,2,0)</f>
        <v>#N/A</v>
      </c>
      <c r="W6601" s="6">
        <f t="shared" si="206"/>
        <v>0</v>
      </c>
      <c r="X6601" s="6">
        <f t="shared" si="207"/>
        <v>0</v>
      </c>
    </row>
    <row r="6602" spans="22:24" x14ac:dyDescent="0.3">
      <c r="V6602" t="e">
        <f>VLOOKUP(H6602,'[1]팀별 출판사'!A:B,2,0)</f>
        <v>#N/A</v>
      </c>
      <c r="W6602" s="6">
        <f t="shared" si="206"/>
        <v>0</v>
      </c>
      <c r="X6602" s="6">
        <f t="shared" si="207"/>
        <v>0</v>
      </c>
    </row>
    <row r="6603" spans="22:24" x14ac:dyDescent="0.3">
      <c r="V6603" t="e">
        <f>VLOOKUP(H6603,'[1]팀별 출판사'!A:B,2,0)</f>
        <v>#N/A</v>
      </c>
      <c r="W6603" s="6">
        <f t="shared" si="206"/>
        <v>0</v>
      </c>
      <c r="X6603" s="6">
        <f t="shared" si="207"/>
        <v>0</v>
      </c>
    </row>
    <row r="6604" spans="22:24" x14ac:dyDescent="0.3">
      <c r="V6604" t="e">
        <f>VLOOKUP(H6604,'[1]팀별 출판사'!A:B,2,0)</f>
        <v>#N/A</v>
      </c>
      <c r="W6604" s="6">
        <f t="shared" si="206"/>
        <v>0</v>
      </c>
      <c r="X6604" s="6">
        <f t="shared" si="207"/>
        <v>0</v>
      </c>
    </row>
    <row r="6605" spans="22:24" x14ac:dyDescent="0.3">
      <c r="V6605" t="e">
        <f>VLOOKUP(H6605,'[1]팀별 출판사'!A:B,2,0)</f>
        <v>#N/A</v>
      </c>
      <c r="W6605" s="6">
        <f t="shared" si="206"/>
        <v>0</v>
      </c>
      <c r="X6605" s="6">
        <f t="shared" si="207"/>
        <v>0</v>
      </c>
    </row>
    <row r="6606" spans="22:24" x14ac:dyDescent="0.3">
      <c r="V6606" t="e">
        <f>VLOOKUP(H6606,'[1]팀별 출판사'!A:B,2,0)</f>
        <v>#N/A</v>
      </c>
      <c r="W6606" s="6">
        <f t="shared" si="206"/>
        <v>0</v>
      </c>
      <c r="X6606" s="6">
        <f t="shared" si="207"/>
        <v>0</v>
      </c>
    </row>
    <row r="6607" spans="22:24" x14ac:dyDescent="0.3">
      <c r="V6607" t="e">
        <f>VLOOKUP(H6607,'[1]팀별 출판사'!A:B,2,0)</f>
        <v>#N/A</v>
      </c>
      <c r="W6607" s="6">
        <f t="shared" si="206"/>
        <v>0</v>
      </c>
      <c r="X6607" s="6">
        <f t="shared" si="207"/>
        <v>0</v>
      </c>
    </row>
    <row r="6608" spans="22:24" x14ac:dyDescent="0.3">
      <c r="V6608" t="e">
        <f>VLOOKUP(H6608,'[1]팀별 출판사'!A:B,2,0)</f>
        <v>#N/A</v>
      </c>
      <c r="W6608" s="6">
        <f t="shared" si="206"/>
        <v>0</v>
      </c>
      <c r="X6608" s="6">
        <f t="shared" si="207"/>
        <v>0</v>
      </c>
    </row>
    <row r="6609" spans="22:24" x14ac:dyDescent="0.3">
      <c r="V6609" t="e">
        <f>VLOOKUP(H6609,'[1]팀별 출판사'!A:B,2,0)</f>
        <v>#N/A</v>
      </c>
      <c r="W6609" s="6">
        <f t="shared" si="206"/>
        <v>0</v>
      </c>
      <c r="X6609" s="6">
        <f t="shared" si="207"/>
        <v>0</v>
      </c>
    </row>
    <row r="6610" spans="22:24" x14ac:dyDescent="0.3">
      <c r="V6610" t="e">
        <f>VLOOKUP(H6610,'[1]팀별 출판사'!A:B,2,0)</f>
        <v>#N/A</v>
      </c>
      <c r="W6610" s="6">
        <f t="shared" si="206"/>
        <v>0</v>
      </c>
      <c r="X6610" s="6">
        <f t="shared" si="207"/>
        <v>0</v>
      </c>
    </row>
    <row r="6611" spans="22:24" x14ac:dyDescent="0.3">
      <c r="V6611" t="e">
        <f>VLOOKUP(H6611,'[1]팀별 출판사'!A:B,2,0)</f>
        <v>#N/A</v>
      </c>
      <c r="W6611" s="6">
        <f t="shared" si="206"/>
        <v>0</v>
      </c>
      <c r="X6611" s="6">
        <f t="shared" si="207"/>
        <v>0</v>
      </c>
    </row>
    <row r="6612" spans="22:24" x14ac:dyDescent="0.3">
      <c r="V6612" t="e">
        <f>VLOOKUP(H6612,'[1]팀별 출판사'!A:B,2,0)</f>
        <v>#N/A</v>
      </c>
      <c r="W6612" s="6">
        <f t="shared" si="206"/>
        <v>0</v>
      </c>
      <c r="X6612" s="6">
        <f t="shared" si="207"/>
        <v>0</v>
      </c>
    </row>
    <row r="6613" spans="22:24" x14ac:dyDescent="0.3">
      <c r="V6613" t="e">
        <f>VLOOKUP(H6613,'[1]팀별 출판사'!A:B,2,0)</f>
        <v>#N/A</v>
      </c>
      <c r="W6613" s="6">
        <f t="shared" si="206"/>
        <v>0</v>
      </c>
      <c r="X6613" s="6">
        <f t="shared" si="207"/>
        <v>0</v>
      </c>
    </row>
    <row r="6614" spans="22:24" x14ac:dyDescent="0.3">
      <c r="V6614" t="e">
        <f>VLOOKUP(H6614,'[1]팀별 출판사'!A:B,2,0)</f>
        <v>#N/A</v>
      </c>
      <c r="W6614" s="6">
        <f t="shared" si="206"/>
        <v>0</v>
      </c>
      <c r="X6614" s="6">
        <f t="shared" si="207"/>
        <v>0</v>
      </c>
    </row>
    <row r="6615" spans="22:24" x14ac:dyDescent="0.3">
      <c r="V6615" t="e">
        <f>VLOOKUP(H6615,'[1]팀별 출판사'!A:B,2,0)</f>
        <v>#N/A</v>
      </c>
      <c r="W6615" s="6">
        <f t="shared" si="206"/>
        <v>0</v>
      </c>
      <c r="X6615" s="6">
        <f t="shared" si="207"/>
        <v>0</v>
      </c>
    </row>
    <row r="6616" spans="22:24" x14ac:dyDescent="0.3">
      <c r="V6616" t="e">
        <f>VLOOKUP(H6616,'[1]팀별 출판사'!A:B,2,0)</f>
        <v>#N/A</v>
      </c>
      <c r="W6616" s="6">
        <f t="shared" si="206"/>
        <v>0</v>
      </c>
      <c r="X6616" s="6">
        <f t="shared" si="207"/>
        <v>0</v>
      </c>
    </row>
    <row r="6617" spans="22:24" x14ac:dyDescent="0.3">
      <c r="V6617" t="e">
        <f>VLOOKUP(H6617,'[1]팀별 출판사'!A:B,2,0)</f>
        <v>#N/A</v>
      </c>
      <c r="W6617" s="6">
        <f t="shared" si="206"/>
        <v>0</v>
      </c>
      <c r="X6617" s="6">
        <f t="shared" si="207"/>
        <v>0</v>
      </c>
    </row>
    <row r="6618" spans="22:24" x14ac:dyDescent="0.3">
      <c r="V6618" t="e">
        <f>VLOOKUP(H6618,'[1]팀별 출판사'!A:B,2,0)</f>
        <v>#N/A</v>
      </c>
      <c r="W6618" s="6">
        <f t="shared" si="206"/>
        <v>0</v>
      </c>
      <c r="X6618" s="6">
        <f t="shared" si="207"/>
        <v>0</v>
      </c>
    </row>
    <row r="6619" spans="22:24" x14ac:dyDescent="0.3">
      <c r="V6619" t="e">
        <f>VLOOKUP(H6619,'[1]팀별 출판사'!A:B,2,0)</f>
        <v>#N/A</v>
      </c>
      <c r="W6619" s="6">
        <f t="shared" si="206"/>
        <v>0</v>
      </c>
      <c r="X6619" s="6">
        <f t="shared" si="207"/>
        <v>0</v>
      </c>
    </row>
    <row r="6620" spans="22:24" x14ac:dyDescent="0.3">
      <c r="V6620" t="e">
        <f>VLOOKUP(H6620,'[1]팀별 출판사'!A:B,2,0)</f>
        <v>#N/A</v>
      </c>
      <c r="W6620" s="6">
        <f t="shared" si="206"/>
        <v>0</v>
      </c>
      <c r="X6620" s="6">
        <f t="shared" si="207"/>
        <v>0</v>
      </c>
    </row>
    <row r="6621" spans="22:24" x14ac:dyDescent="0.3">
      <c r="V6621" t="e">
        <f>VLOOKUP(H6621,'[1]팀별 출판사'!A:B,2,0)</f>
        <v>#N/A</v>
      </c>
      <c r="W6621" s="6">
        <f t="shared" si="206"/>
        <v>0</v>
      </c>
      <c r="X6621" s="6">
        <f t="shared" si="207"/>
        <v>0</v>
      </c>
    </row>
    <row r="6622" spans="22:24" x14ac:dyDescent="0.3">
      <c r="V6622" t="e">
        <f>VLOOKUP(H6622,'[1]팀별 출판사'!A:B,2,0)</f>
        <v>#N/A</v>
      </c>
      <c r="W6622" s="6">
        <f t="shared" si="206"/>
        <v>0</v>
      </c>
      <c r="X6622" s="6">
        <f t="shared" si="207"/>
        <v>0</v>
      </c>
    </row>
    <row r="6623" spans="22:24" x14ac:dyDescent="0.3">
      <c r="V6623" t="e">
        <f>VLOOKUP(H6623,'[1]팀별 출판사'!A:B,2,0)</f>
        <v>#N/A</v>
      </c>
      <c r="W6623" s="6">
        <f t="shared" si="206"/>
        <v>0</v>
      </c>
      <c r="X6623" s="6">
        <f t="shared" si="207"/>
        <v>0</v>
      </c>
    </row>
    <row r="6624" spans="22:24" x14ac:dyDescent="0.3">
      <c r="V6624" t="e">
        <f>VLOOKUP(H6624,'[1]팀별 출판사'!A:B,2,0)</f>
        <v>#N/A</v>
      </c>
      <c r="W6624" s="6">
        <f t="shared" si="206"/>
        <v>0</v>
      </c>
      <c r="X6624" s="6">
        <f t="shared" si="207"/>
        <v>0</v>
      </c>
    </row>
    <row r="6625" spans="22:24" x14ac:dyDescent="0.3">
      <c r="V6625" t="e">
        <f>VLOOKUP(H6625,'[1]팀별 출판사'!A:B,2,0)</f>
        <v>#N/A</v>
      </c>
      <c r="W6625" s="6">
        <f t="shared" si="206"/>
        <v>0</v>
      </c>
      <c r="X6625" s="6">
        <f t="shared" si="207"/>
        <v>0</v>
      </c>
    </row>
    <row r="6626" spans="22:24" x14ac:dyDescent="0.3">
      <c r="V6626" t="e">
        <f>VLOOKUP(H6626,'[1]팀별 출판사'!A:B,2,0)</f>
        <v>#N/A</v>
      </c>
      <c r="W6626" s="6">
        <f t="shared" si="206"/>
        <v>0</v>
      </c>
      <c r="X6626" s="6">
        <f t="shared" si="207"/>
        <v>0</v>
      </c>
    </row>
    <row r="6627" spans="22:24" x14ac:dyDescent="0.3">
      <c r="V6627" t="e">
        <f>VLOOKUP(H6627,'[1]팀별 출판사'!A:B,2,0)</f>
        <v>#N/A</v>
      </c>
      <c r="W6627" s="6">
        <f t="shared" si="206"/>
        <v>0</v>
      </c>
      <c r="X6627" s="6">
        <f t="shared" si="207"/>
        <v>0</v>
      </c>
    </row>
    <row r="6628" spans="22:24" x14ac:dyDescent="0.3">
      <c r="V6628" t="e">
        <f>VLOOKUP(H6628,'[1]팀별 출판사'!A:B,2,0)</f>
        <v>#N/A</v>
      </c>
      <c r="W6628" s="6">
        <f t="shared" si="206"/>
        <v>0</v>
      </c>
      <c r="X6628" s="6">
        <f t="shared" si="207"/>
        <v>0</v>
      </c>
    </row>
    <row r="6629" spans="22:24" x14ac:dyDescent="0.3">
      <c r="V6629" t="e">
        <f>VLOOKUP(H6629,'[1]팀별 출판사'!A:B,2,0)</f>
        <v>#N/A</v>
      </c>
      <c r="W6629" s="6">
        <f t="shared" si="206"/>
        <v>0</v>
      </c>
      <c r="X6629" s="6">
        <f t="shared" si="207"/>
        <v>0</v>
      </c>
    </row>
    <row r="6630" spans="22:24" x14ac:dyDescent="0.3">
      <c r="V6630" t="e">
        <f>VLOOKUP(H6630,'[1]팀별 출판사'!A:B,2,0)</f>
        <v>#N/A</v>
      </c>
      <c r="W6630" s="6">
        <f t="shared" si="206"/>
        <v>0</v>
      </c>
      <c r="X6630" s="6">
        <f t="shared" si="207"/>
        <v>0</v>
      </c>
    </row>
    <row r="6631" spans="22:24" x14ac:dyDescent="0.3">
      <c r="V6631" t="e">
        <f>VLOOKUP(H6631,'[1]팀별 출판사'!A:B,2,0)</f>
        <v>#N/A</v>
      </c>
      <c r="W6631" s="6">
        <f t="shared" si="206"/>
        <v>0</v>
      </c>
      <c r="X6631" s="6">
        <f t="shared" si="207"/>
        <v>0</v>
      </c>
    </row>
    <row r="6632" spans="22:24" x14ac:dyDescent="0.3">
      <c r="V6632" t="e">
        <f>VLOOKUP(H6632,'[1]팀별 출판사'!A:B,2,0)</f>
        <v>#N/A</v>
      </c>
      <c r="W6632" s="6">
        <f t="shared" si="206"/>
        <v>0</v>
      </c>
      <c r="X6632" s="6">
        <f t="shared" si="207"/>
        <v>0</v>
      </c>
    </row>
    <row r="6633" spans="22:24" x14ac:dyDescent="0.3">
      <c r="V6633" t="e">
        <f>VLOOKUP(H6633,'[1]팀별 출판사'!A:B,2,0)</f>
        <v>#N/A</v>
      </c>
      <c r="W6633" s="6">
        <f t="shared" si="206"/>
        <v>0</v>
      </c>
      <c r="X6633" s="6">
        <f t="shared" si="207"/>
        <v>0</v>
      </c>
    </row>
    <row r="6634" spans="22:24" x14ac:dyDescent="0.3">
      <c r="V6634" t="e">
        <f>VLOOKUP(H6634,'[1]팀별 출판사'!A:B,2,0)</f>
        <v>#N/A</v>
      </c>
      <c r="W6634" s="6">
        <f t="shared" si="206"/>
        <v>0</v>
      </c>
      <c r="X6634" s="6">
        <f t="shared" si="207"/>
        <v>0</v>
      </c>
    </row>
    <row r="6635" spans="22:24" x14ac:dyDescent="0.3">
      <c r="V6635" t="e">
        <f>VLOOKUP(H6635,'[1]팀별 출판사'!A:B,2,0)</f>
        <v>#N/A</v>
      </c>
      <c r="W6635" s="6">
        <f t="shared" si="206"/>
        <v>0</v>
      </c>
      <c r="X6635" s="6">
        <f t="shared" si="207"/>
        <v>0</v>
      </c>
    </row>
    <row r="6636" spans="22:24" x14ac:dyDescent="0.3">
      <c r="V6636" t="e">
        <f>VLOOKUP(H6636,'[1]팀별 출판사'!A:B,2,0)</f>
        <v>#N/A</v>
      </c>
      <c r="W6636" s="6">
        <f t="shared" si="206"/>
        <v>0</v>
      </c>
      <c r="X6636" s="6">
        <f t="shared" si="207"/>
        <v>0</v>
      </c>
    </row>
    <row r="6637" spans="22:24" x14ac:dyDescent="0.3">
      <c r="V6637" t="e">
        <f>VLOOKUP(H6637,'[1]팀별 출판사'!A:B,2,0)</f>
        <v>#N/A</v>
      </c>
      <c r="W6637" s="6">
        <f t="shared" si="206"/>
        <v>0</v>
      </c>
      <c r="X6637" s="6">
        <f t="shared" si="207"/>
        <v>0</v>
      </c>
    </row>
    <row r="6638" spans="22:24" x14ac:dyDescent="0.3">
      <c r="V6638" t="e">
        <f>VLOOKUP(H6638,'[1]팀별 출판사'!A:B,2,0)</f>
        <v>#N/A</v>
      </c>
      <c r="W6638" s="6">
        <f t="shared" si="206"/>
        <v>0</v>
      </c>
      <c r="X6638" s="6">
        <f t="shared" si="207"/>
        <v>0</v>
      </c>
    </row>
    <row r="6639" spans="22:24" x14ac:dyDescent="0.3">
      <c r="V6639" t="e">
        <f>VLOOKUP(H6639,'[1]팀별 출판사'!A:B,2,0)</f>
        <v>#N/A</v>
      </c>
      <c r="W6639" s="6">
        <f t="shared" si="206"/>
        <v>0</v>
      </c>
      <c r="X6639" s="6">
        <f t="shared" si="207"/>
        <v>0</v>
      </c>
    </row>
    <row r="6640" spans="22:24" x14ac:dyDescent="0.3">
      <c r="V6640" t="e">
        <f>VLOOKUP(H6640,'[1]팀별 출판사'!A:B,2,0)</f>
        <v>#N/A</v>
      </c>
      <c r="W6640" s="6">
        <f t="shared" si="206"/>
        <v>0</v>
      </c>
      <c r="X6640" s="6">
        <f t="shared" si="207"/>
        <v>0</v>
      </c>
    </row>
    <row r="6641" spans="22:24" x14ac:dyDescent="0.3">
      <c r="V6641" t="e">
        <f>VLOOKUP(H6641,'[1]팀별 출판사'!A:B,2,0)</f>
        <v>#N/A</v>
      </c>
      <c r="W6641" s="6">
        <f t="shared" si="206"/>
        <v>0</v>
      </c>
      <c r="X6641" s="6">
        <f t="shared" si="207"/>
        <v>0</v>
      </c>
    </row>
    <row r="6642" spans="22:24" x14ac:dyDescent="0.3">
      <c r="V6642" t="e">
        <f>VLOOKUP(H6642,'[1]팀별 출판사'!A:B,2,0)</f>
        <v>#N/A</v>
      </c>
      <c r="W6642" s="6">
        <f t="shared" si="206"/>
        <v>0</v>
      </c>
      <c r="X6642" s="6">
        <f t="shared" si="207"/>
        <v>0</v>
      </c>
    </row>
    <row r="6643" spans="22:24" x14ac:dyDescent="0.3">
      <c r="V6643" t="e">
        <f>VLOOKUP(H6643,'[1]팀별 출판사'!A:B,2,0)</f>
        <v>#N/A</v>
      </c>
      <c r="W6643" s="6">
        <f t="shared" si="206"/>
        <v>0</v>
      </c>
      <c r="X6643" s="6">
        <f t="shared" si="207"/>
        <v>0</v>
      </c>
    </row>
    <row r="6644" spans="22:24" x14ac:dyDescent="0.3">
      <c r="V6644" t="e">
        <f>VLOOKUP(H6644,'[1]팀별 출판사'!A:B,2,0)</f>
        <v>#N/A</v>
      </c>
      <c r="W6644" s="6">
        <f t="shared" si="206"/>
        <v>0</v>
      </c>
      <c r="X6644" s="6">
        <f t="shared" si="207"/>
        <v>0</v>
      </c>
    </row>
    <row r="6645" spans="22:24" x14ac:dyDescent="0.3">
      <c r="V6645" t="e">
        <f>VLOOKUP(H6645,'[1]팀별 출판사'!A:B,2,0)</f>
        <v>#N/A</v>
      </c>
      <c r="W6645" s="6">
        <f t="shared" si="206"/>
        <v>0</v>
      </c>
      <c r="X6645" s="6">
        <f t="shared" si="207"/>
        <v>0</v>
      </c>
    </row>
    <row r="6646" spans="22:24" x14ac:dyDescent="0.3">
      <c r="V6646" t="e">
        <f>VLOOKUP(H6646,'[1]팀별 출판사'!A:B,2,0)</f>
        <v>#N/A</v>
      </c>
      <c r="W6646" s="6">
        <f t="shared" si="206"/>
        <v>0</v>
      </c>
      <c r="X6646" s="6">
        <f t="shared" si="207"/>
        <v>0</v>
      </c>
    </row>
    <row r="6647" spans="22:24" x14ac:dyDescent="0.3">
      <c r="V6647" t="e">
        <f>VLOOKUP(H6647,'[1]팀별 출판사'!A:B,2,0)</f>
        <v>#N/A</v>
      </c>
      <c r="W6647" s="6">
        <f t="shared" si="206"/>
        <v>0</v>
      </c>
      <c r="X6647" s="6">
        <f t="shared" si="207"/>
        <v>0</v>
      </c>
    </row>
    <row r="6648" spans="22:24" x14ac:dyDescent="0.3">
      <c r="V6648" t="e">
        <f>VLOOKUP(H6648,'[1]팀별 출판사'!A:B,2,0)</f>
        <v>#N/A</v>
      </c>
      <c r="W6648" s="6">
        <f t="shared" si="206"/>
        <v>0</v>
      </c>
      <c r="X6648" s="6">
        <f t="shared" si="207"/>
        <v>0</v>
      </c>
    </row>
    <row r="6649" spans="22:24" x14ac:dyDescent="0.3">
      <c r="V6649" t="e">
        <f>VLOOKUP(H6649,'[1]팀별 출판사'!A:B,2,0)</f>
        <v>#N/A</v>
      </c>
      <c r="W6649" s="6">
        <f t="shared" si="206"/>
        <v>0</v>
      </c>
      <c r="X6649" s="6">
        <f t="shared" si="207"/>
        <v>0</v>
      </c>
    </row>
    <row r="6650" spans="22:24" x14ac:dyDescent="0.3">
      <c r="V6650" t="e">
        <f>VLOOKUP(H6650,'[1]팀별 출판사'!A:B,2,0)</f>
        <v>#N/A</v>
      </c>
      <c r="W6650" s="6">
        <f t="shared" si="206"/>
        <v>0</v>
      </c>
      <c r="X6650" s="6">
        <f t="shared" si="207"/>
        <v>0</v>
      </c>
    </row>
    <row r="6651" spans="22:24" x14ac:dyDescent="0.3">
      <c r="V6651" t="e">
        <f>VLOOKUP(H6651,'[1]팀별 출판사'!A:B,2,0)</f>
        <v>#N/A</v>
      </c>
      <c r="W6651" s="6">
        <f t="shared" si="206"/>
        <v>0</v>
      </c>
      <c r="X6651" s="6">
        <f t="shared" si="207"/>
        <v>0</v>
      </c>
    </row>
    <row r="6652" spans="22:24" x14ac:dyDescent="0.3">
      <c r="V6652" t="e">
        <f>VLOOKUP(H6652,'[1]팀별 출판사'!A:B,2,0)</f>
        <v>#N/A</v>
      </c>
      <c r="W6652" s="6">
        <f t="shared" si="206"/>
        <v>0</v>
      </c>
      <c r="X6652" s="6">
        <f t="shared" si="207"/>
        <v>0</v>
      </c>
    </row>
    <row r="6653" spans="22:24" x14ac:dyDescent="0.3">
      <c r="V6653" t="e">
        <f>VLOOKUP(H6653,'[1]팀별 출판사'!A:B,2,0)</f>
        <v>#N/A</v>
      </c>
      <c r="W6653" s="6">
        <f t="shared" si="206"/>
        <v>0</v>
      </c>
      <c r="X6653" s="6">
        <f t="shared" si="207"/>
        <v>0</v>
      </c>
    </row>
    <row r="6654" spans="22:24" x14ac:dyDescent="0.3">
      <c r="V6654" t="e">
        <f>VLOOKUP(H6654,'[1]팀별 출판사'!A:B,2,0)</f>
        <v>#N/A</v>
      </c>
      <c r="W6654" s="6">
        <f t="shared" si="206"/>
        <v>0</v>
      </c>
      <c r="X6654" s="6">
        <f t="shared" si="207"/>
        <v>0</v>
      </c>
    </row>
    <row r="6655" spans="22:24" x14ac:dyDescent="0.3">
      <c r="V6655" t="e">
        <f>VLOOKUP(H6655,'[1]팀별 출판사'!A:B,2,0)</f>
        <v>#N/A</v>
      </c>
      <c r="W6655" s="6">
        <f t="shared" si="206"/>
        <v>0</v>
      </c>
      <c r="X6655" s="6">
        <f t="shared" si="207"/>
        <v>0</v>
      </c>
    </row>
    <row r="6656" spans="22:24" x14ac:dyDescent="0.3">
      <c r="V6656" t="e">
        <f>VLOOKUP(H6656,'[1]팀별 출판사'!A:B,2,0)</f>
        <v>#N/A</v>
      </c>
      <c r="W6656" s="6">
        <f t="shared" si="206"/>
        <v>0</v>
      </c>
      <c r="X6656" s="6">
        <f t="shared" si="207"/>
        <v>0</v>
      </c>
    </row>
    <row r="6657" spans="22:24" x14ac:dyDescent="0.3">
      <c r="V6657" t="e">
        <f>VLOOKUP(H6657,'[1]팀별 출판사'!A:B,2,0)</f>
        <v>#N/A</v>
      </c>
      <c r="W6657" s="6">
        <f t="shared" si="206"/>
        <v>0</v>
      </c>
      <c r="X6657" s="6">
        <f t="shared" si="207"/>
        <v>0</v>
      </c>
    </row>
    <row r="6658" spans="22:24" x14ac:dyDescent="0.3">
      <c r="V6658" t="e">
        <f>VLOOKUP(H6658,'[1]팀별 출판사'!A:B,2,0)</f>
        <v>#N/A</v>
      </c>
      <c r="W6658" s="6">
        <f t="shared" ref="W6658:W6660" si="208">IF(P6658="US", T6658*30%, 0)</f>
        <v>0</v>
      </c>
      <c r="X6658" s="6">
        <f t="shared" ref="X6658:X6660" si="209">T6658-W6658</f>
        <v>0</v>
      </c>
    </row>
    <row r="6659" spans="22:24" x14ac:dyDescent="0.3">
      <c r="V6659" t="e">
        <f>VLOOKUP(H6659,'[1]팀별 출판사'!A:B,2,0)</f>
        <v>#N/A</v>
      </c>
      <c r="W6659" s="6">
        <f t="shared" si="208"/>
        <v>0</v>
      </c>
      <c r="X6659" s="6">
        <f t="shared" si="209"/>
        <v>0</v>
      </c>
    </row>
    <row r="6660" spans="22:24" x14ac:dyDescent="0.3">
      <c r="V6660" t="e">
        <f>VLOOKUP(H6660,'[1]팀별 출판사'!A:B,2,0)</f>
        <v>#N/A</v>
      </c>
      <c r="W6660" s="6">
        <f t="shared" si="208"/>
        <v>0</v>
      </c>
      <c r="X6660" s="6">
        <f t="shared" si="209"/>
        <v>0</v>
      </c>
    </row>
  </sheetData>
  <phoneticPr fontId="18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GoogleSalesTransactionReport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2026-03-03T06:37:56Z</dcterms:created>
  <dcterms:modified xsi:type="dcterms:W3CDTF">2026-03-03T06:40:27Z</dcterms:modified>
</cp:coreProperties>
</file>