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jk\Downloads\"/>
    </mc:Choice>
  </mc:AlternateContent>
  <xr:revisionPtr revIDLastSave="0" documentId="13_ncr:1_{2F8C7B04-8CE3-469C-B0CF-24FB1ADD314A}" xr6:coauthVersionLast="47" xr6:coauthVersionMax="47" xr10:uidLastSave="{00000000-0000-0000-0000-000000000000}"/>
  <bookViews>
    <workbookView xWindow="29910" yWindow="0" windowWidth="27465" windowHeight="15285" xr2:uid="{139D1634-C598-44E9-BA73-8F9647211018}"/>
  </bookViews>
  <sheets>
    <sheet name="sales_18156_2026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1" i="1"/>
  <c r="M561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08" i="1"/>
  <c r="M608" i="1"/>
  <c r="L609" i="1"/>
  <c r="M609" i="1"/>
  <c r="L610" i="1"/>
  <c r="M610" i="1"/>
  <c r="L611" i="1"/>
  <c r="M611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L759" i="1"/>
  <c r="M759" i="1"/>
  <c r="L760" i="1"/>
  <c r="M760" i="1"/>
  <c r="L761" i="1"/>
  <c r="M761" i="1"/>
  <c r="L762" i="1"/>
  <c r="M762" i="1"/>
  <c r="L763" i="1"/>
  <c r="M763" i="1"/>
  <c r="L764" i="1"/>
  <c r="M764" i="1"/>
  <c r="L765" i="1"/>
  <c r="M765" i="1"/>
  <c r="L766" i="1"/>
  <c r="M766" i="1"/>
  <c r="L767" i="1"/>
  <c r="M767" i="1"/>
  <c r="L768" i="1"/>
  <c r="M768" i="1"/>
  <c r="L769" i="1"/>
  <c r="M769" i="1"/>
  <c r="L770" i="1"/>
  <c r="M770" i="1"/>
  <c r="L771" i="1"/>
  <c r="M771" i="1"/>
  <c r="L772" i="1"/>
  <c r="M772" i="1"/>
  <c r="L773" i="1"/>
  <c r="M773" i="1"/>
  <c r="L774" i="1"/>
  <c r="M774" i="1"/>
  <c r="L775" i="1"/>
  <c r="M775" i="1"/>
  <c r="L776" i="1"/>
  <c r="M776" i="1"/>
  <c r="L777" i="1"/>
  <c r="M777" i="1"/>
  <c r="L778" i="1"/>
  <c r="M778" i="1"/>
  <c r="L779" i="1"/>
  <c r="M779" i="1"/>
  <c r="L780" i="1"/>
  <c r="M780" i="1"/>
  <c r="L781" i="1"/>
  <c r="M781" i="1"/>
  <c r="L782" i="1"/>
  <c r="M782" i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L791" i="1"/>
  <c r="M791" i="1"/>
  <c r="L792" i="1"/>
  <c r="M792" i="1"/>
  <c r="L793" i="1"/>
  <c r="M793" i="1"/>
  <c r="L794" i="1"/>
  <c r="M794" i="1"/>
  <c r="L795" i="1"/>
  <c r="M795" i="1"/>
  <c r="L796" i="1"/>
  <c r="M796" i="1"/>
  <c r="L797" i="1"/>
  <c r="M797" i="1"/>
  <c r="L798" i="1"/>
  <c r="M798" i="1"/>
  <c r="L799" i="1"/>
  <c r="M799" i="1"/>
  <c r="L800" i="1"/>
  <c r="M800" i="1"/>
  <c r="L801" i="1"/>
  <c r="M801" i="1"/>
  <c r="L802" i="1"/>
  <c r="M802" i="1"/>
  <c r="L803" i="1"/>
  <c r="M803" i="1"/>
  <c r="L804" i="1"/>
  <c r="M804" i="1"/>
  <c r="L805" i="1"/>
  <c r="M805" i="1"/>
  <c r="L806" i="1"/>
  <c r="M806" i="1"/>
  <c r="L807" i="1"/>
  <c r="M807" i="1"/>
  <c r="L808" i="1"/>
  <c r="M808" i="1"/>
  <c r="L809" i="1"/>
  <c r="M809" i="1"/>
  <c r="L810" i="1"/>
  <c r="M810" i="1"/>
  <c r="L811" i="1"/>
  <c r="M811" i="1"/>
  <c r="L812" i="1"/>
  <c r="M812" i="1"/>
  <c r="L813" i="1"/>
  <c r="M813" i="1"/>
  <c r="L814" i="1"/>
  <c r="M814" i="1"/>
  <c r="L815" i="1"/>
  <c r="M815" i="1"/>
  <c r="L816" i="1"/>
  <c r="M816" i="1"/>
  <c r="L817" i="1"/>
  <c r="M817" i="1"/>
  <c r="L818" i="1"/>
  <c r="M818" i="1"/>
  <c r="L819" i="1"/>
  <c r="M819" i="1"/>
  <c r="L820" i="1"/>
  <c r="M820" i="1"/>
  <c r="L821" i="1"/>
  <c r="M821" i="1"/>
  <c r="L822" i="1"/>
  <c r="M822" i="1"/>
  <c r="L823" i="1"/>
  <c r="M823" i="1"/>
  <c r="L824" i="1"/>
  <c r="M824" i="1"/>
  <c r="L825" i="1"/>
  <c r="M825" i="1"/>
  <c r="L826" i="1"/>
  <c r="M826" i="1"/>
  <c r="L827" i="1"/>
  <c r="M827" i="1"/>
  <c r="L828" i="1"/>
  <c r="M828" i="1"/>
  <c r="L829" i="1"/>
  <c r="M829" i="1"/>
  <c r="L830" i="1"/>
  <c r="M830" i="1"/>
  <c r="L831" i="1"/>
  <c r="M831" i="1"/>
  <c r="L832" i="1"/>
  <c r="M832" i="1"/>
  <c r="L833" i="1"/>
  <c r="M833" i="1"/>
  <c r="L834" i="1"/>
  <c r="M834" i="1"/>
  <c r="L835" i="1"/>
  <c r="M835" i="1"/>
  <c r="L836" i="1"/>
  <c r="M836" i="1"/>
  <c r="L837" i="1"/>
  <c r="M837" i="1"/>
  <c r="L838" i="1"/>
  <c r="M838" i="1"/>
  <c r="L839" i="1"/>
  <c r="M839" i="1"/>
  <c r="L840" i="1"/>
  <c r="M840" i="1"/>
  <c r="L841" i="1"/>
  <c r="M841" i="1"/>
  <c r="L842" i="1"/>
  <c r="M842" i="1"/>
  <c r="L843" i="1"/>
  <c r="M843" i="1"/>
  <c r="L844" i="1"/>
  <c r="M844" i="1"/>
  <c r="L845" i="1"/>
  <c r="M845" i="1"/>
  <c r="L846" i="1"/>
  <c r="M846" i="1"/>
  <c r="L847" i="1"/>
  <c r="M847" i="1"/>
  <c r="L848" i="1"/>
  <c r="M848" i="1"/>
  <c r="L849" i="1"/>
  <c r="M849" i="1"/>
  <c r="L850" i="1"/>
  <c r="M850" i="1"/>
  <c r="L851" i="1"/>
  <c r="M851" i="1"/>
  <c r="L852" i="1"/>
  <c r="M852" i="1"/>
  <c r="L853" i="1"/>
  <c r="M853" i="1"/>
  <c r="L854" i="1"/>
  <c r="M854" i="1"/>
  <c r="L855" i="1"/>
  <c r="M855" i="1"/>
  <c r="L856" i="1"/>
  <c r="M856" i="1"/>
  <c r="L857" i="1"/>
  <c r="M857" i="1"/>
  <c r="L858" i="1"/>
  <c r="M858" i="1"/>
  <c r="L859" i="1"/>
  <c r="M859" i="1"/>
  <c r="L860" i="1"/>
  <c r="M860" i="1"/>
  <c r="L861" i="1"/>
  <c r="M861" i="1"/>
  <c r="L862" i="1"/>
  <c r="M862" i="1"/>
  <c r="L863" i="1"/>
  <c r="M863" i="1"/>
  <c r="L864" i="1"/>
  <c r="M864" i="1"/>
  <c r="L865" i="1"/>
  <c r="M865" i="1"/>
  <c r="L866" i="1"/>
  <c r="M866" i="1"/>
  <c r="L867" i="1"/>
  <c r="M867" i="1"/>
  <c r="L868" i="1"/>
  <c r="M868" i="1"/>
  <c r="L869" i="1"/>
  <c r="M869" i="1"/>
  <c r="L870" i="1"/>
  <c r="M870" i="1"/>
  <c r="L871" i="1"/>
  <c r="M871" i="1"/>
  <c r="L872" i="1"/>
  <c r="M872" i="1"/>
  <c r="L873" i="1"/>
  <c r="M873" i="1"/>
  <c r="L874" i="1"/>
  <c r="M874" i="1"/>
  <c r="L875" i="1"/>
  <c r="M875" i="1"/>
  <c r="L876" i="1"/>
  <c r="M876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L884" i="1"/>
  <c r="M884" i="1"/>
  <c r="L885" i="1"/>
  <c r="M885" i="1"/>
  <c r="L886" i="1"/>
  <c r="M886" i="1"/>
  <c r="L887" i="1"/>
  <c r="M887" i="1"/>
  <c r="L888" i="1"/>
  <c r="M888" i="1"/>
  <c r="L889" i="1"/>
  <c r="M889" i="1"/>
  <c r="L890" i="1"/>
  <c r="M890" i="1"/>
  <c r="L891" i="1"/>
  <c r="M891" i="1"/>
  <c r="L892" i="1"/>
  <c r="M892" i="1"/>
  <c r="L893" i="1"/>
  <c r="M893" i="1"/>
  <c r="L894" i="1"/>
  <c r="M894" i="1"/>
  <c r="L895" i="1"/>
  <c r="M895" i="1"/>
  <c r="L896" i="1"/>
  <c r="M896" i="1"/>
  <c r="L897" i="1"/>
  <c r="M897" i="1"/>
  <c r="L898" i="1"/>
  <c r="M898" i="1"/>
  <c r="L899" i="1"/>
  <c r="M899" i="1"/>
  <c r="L900" i="1"/>
  <c r="M900" i="1"/>
  <c r="L901" i="1"/>
  <c r="M901" i="1"/>
  <c r="L902" i="1"/>
  <c r="M902" i="1"/>
  <c r="L903" i="1"/>
  <c r="M903" i="1"/>
  <c r="L904" i="1"/>
  <c r="M904" i="1"/>
  <c r="L905" i="1"/>
  <c r="M905" i="1"/>
  <c r="L906" i="1"/>
  <c r="M906" i="1"/>
  <c r="L907" i="1"/>
  <c r="M907" i="1"/>
  <c r="L908" i="1"/>
  <c r="M908" i="1"/>
  <c r="L909" i="1"/>
  <c r="M909" i="1"/>
  <c r="L910" i="1"/>
  <c r="M910" i="1"/>
  <c r="L911" i="1"/>
  <c r="M911" i="1"/>
  <c r="L912" i="1"/>
  <c r="M912" i="1"/>
  <c r="L913" i="1"/>
  <c r="M913" i="1"/>
  <c r="L914" i="1"/>
  <c r="M914" i="1"/>
  <c r="L915" i="1"/>
  <c r="M915" i="1"/>
  <c r="L916" i="1"/>
  <c r="M916" i="1"/>
  <c r="L917" i="1"/>
  <c r="M917" i="1"/>
  <c r="L918" i="1"/>
  <c r="M918" i="1"/>
  <c r="L919" i="1"/>
  <c r="M919" i="1"/>
  <c r="L920" i="1"/>
  <c r="M920" i="1"/>
  <c r="L921" i="1"/>
  <c r="M921" i="1"/>
  <c r="L922" i="1"/>
  <c r="M922" i="1"/>
  <c r="L923" i="1"/>
  <c r="M923" i="1"/>
  <c r="L924" i="1"/>
  <c r="M924" i="1"/>
  <c r="L925" i="1"/>
  <c r="M925" i="1"/>
  <c r="L926" i="1"/>
  <c r="M926" i="1"/>
  <c r="L927" i="1"/>
  <c r="M927" i="1"/>
  <c r="L928" i="1"/>
  <c r="M928" i="1"/>
  <c r="L929" i="1"/>
  <c r="M929" i="1"/>
  <c r="L930" i="1"/>
  <c r="M930" i="1"/>
  <c r="L931" i="1"/>
  <c r="M931" i="1"/>
  <c r="L932" i="1"/>
  <c r="M932" i="1"/>
  <c r="L933" i="1"/>
  <c r="M933" i="1"/>
  <c r="L934" i="1"/>
  <c r="M934" i="1"/>
  <c r="L935" i="1"/>
  <c r="M935" i="1"/>
  <c r="L936" i="1"/>
  <c r="M936" i="1"/>
  <c r="L937" i="1"/>
  <c r="M937" i="1"/>
  <c r="L938" i="1"/>
  <c r="M938" i="1"/>
  <c r="L939" i="1"/>
  <c r="M939" i="1"/>
  <c r="L940" i="1"/>
  <c r="M940" i="1"/>
  <c r="L941" i="1"/>
  <c r="M941" i="1"/>
  <c r="L942" i="1"/>
  <c r="M942" i="1"/>
  <c r="L943" i="1"/>
  <c r="M943" i="1"/>
  <c r="L944" i="1"/>
  <c r="M944" i="1"/>
  <c r="L945" i="1"/>
  <c r="M945" i="1"/>
  <c r="L946" i="1"/>
  <c r="M946" i="1"/>
  <c r="L947" i="1"/>
  <c r="M947" i="1"/>
  <c r="L948" i="1"/>
  <c r="M948" i="1"/>
  <c r="L949" i="1"/>
  <c r="M949" i="1"/>
  <c r="L950" i="1"/>
  <c r="M950" i="1"/>
  <c r="L951" i="1"/>
  <c r="M951" i="1"/>
  <c r="L952" i="1"/>
  <c r="M952" i="1"/>
  <c r="L953" i="1"/>
  <c r="M953" i="1"/>
  <c r="L954" i="1"/>
  <c r="M954" i="1"/>
  <c r="L955" i="1"/>
  <c r="M955" i="1"/>
  <c r="L956" i="1"/>
  <c r="M956" i="1"/>
  <c r="L957" i="1"/>
  <c r="M957" i="1"/>
  <c r="L958" i="1"/>
  <c r="M958" i="1"/>
  <c r="L959" i="1"/>
  <c r="M959" i="1"/>
  <c r="L960" i="1"/>
  <c r="M960" i="1"/>
  <c r="L961" i="1"/>
  <c r="M961" i="1"/>
  <c r="L962" i="1"/>
  <c r="M962" i="1"/>
  <c r="L963" i="1"/>
  <c r="M963" i="1"/>
  <c r="L964" i="1"/>
  <c r="M964" i="1"/>
  <c r="L965" i="1"/>
  <c r="M965" i="1"/>
  <c r="L966" i="1"/>
  <c r="M966" i="1"/>
  <c r="L967" i="1"/>
  <c r="M967" i="1"/>
  <c r="L968" i="1"/>
  <c r="M968" i="1"/>
  <c r="L969" i="1"/>
  <c r="M969" i="1"/>
  <c r="L970" i="1"/>
  <c r="M970" i="1"/>
  <c r="L971" i="1"/>
  <c r="M971" i="1"/>
  <c r="L972" i="1"/>
  <c r="M972" i="1"/>
  <c r="L973" i="1"/>
  <c r="M973" i="1"/>
  <c r="L974" i="1"/>
  <c r="M974" i="1"/>
  <c r="L975" i="1"/>
  <c r="M975" i="1"/>
  <c r="L976" i="1"/>
  <c r="M976" i="1"/>
  <c r="L977" i="1"/>
  <c r="M977" i="1"/>
  <c r="L978" i="1"/>
  <c r="M978" i="1"/>
  <c r="L979" i="1"/>
  <c r="M979" i="1"/>
  <c r="L980" i="1"/>
  <c r="M980" i="1"/>
  <c r="L981" i="1"/>
  <c r="M981" i="1"/>
  <c r="L982" i="1"/>
  <c r="M982" i="1"/>
  <c r="L983" i="1"/>
  <c r="M983" i="1"/>
  <c r="L984" i="1"/>
  <c r="M984" i="1"/>
  <c r="L985" i="1"/>
  <c r="M985" i="1"/>
  <c r="L986" i="1"/>
  <c r="M986" i="1"/>
  <c r="L987" i="1"/>
  <c r="M987" i="1"/>
  <c r="L988" i="1"/>
  <c r="M988" i="1"/>
  <c r="L989" i="1"/>
  <c r="M989" i="1"/>
  <c r="L990" i="1"/>
  <c r="M990" i="1"/>
  <c r="L991" i="1"/>
  <c r="M991" i="1"/>
  <c r="L992" i="1"/>
  <c r="M992" i="1"/>
  <c r="L993" i="1"/>
  <c r="M993" i="1"/>
  <c r="L994" i="1"/>
  <c r="M994" i="1"/>
  <c r="L995" i="1"/>
  <c r="M995" i="1"/>
  <c r="L996" i="1"/>
  <c r="M996" i="1"/>
  <c r="L997" i="1"/>
  <c r="M997" i="1"/>
  <c r="L998" i="1"/>
  <c r="M998" i="1"/>
  <c r="L999" i="1"/>
  <c r="M999" i="1"/>
  <c r="L1000" i="1"/>
  <c r="M1000" i="1"/>
  <c r="L1001" i="1"/>
  <c r="M1001" i="1"/>
  <c r="L1002" i="1"/>
  <c r="M1002" i="1"/>
  <c r="L1003" i="1"/>
  <c r="M1003" i="1"/>
  <c r="L1004" i="1"/>
  <c r="M1004" i="1"/>
  <c r="L1005" i="1"/>
  <c r="M1005" i="1"/>
  <c r="L1006" i="1"/>
  <c r="M1006" i="1"/>
  <c r="L1007" i="1"/>
  <c r="M1007" i="1"/>
  <c r="L1008" i="1"/>
  <c r="M1008" i="1"/>
  <c r="L1009" i="1"/>
  <c r="M1009" i="1"/>
  <c r="L1010" i="1"/>
  <c r="M1010" i="1"/>
  <c r="L1011" i="1"/>
  <c r="M1011" i="1"/>
  <c r="L1012" i="1"/>
  <c r="M1012" i="1"/>
  <c r="L1013" i="1"/>
  <c r="M1013" i="1"/>
  <c r="L1014" i="1"/>
  <c r="M1014" i="1"/>
  <c r="L1015" i="1"/>
  <c r="M1015" i="1"/>
  <c r="L1016" i="1"/>
  <c r="M1016" i="1"/>
  <c r="L1017" i="1"/>
  <c r="M1017" i="1"/>
  <c r="L1018" i="1"/>
  <c r="M1018" i="1"/>
  <c r="L1019" i="1"/>
  <c r="M1019" i="1"/>
  <c r="L1020" i="1"/>
  <c r="M1020" i="1"/>
  <c r="L1021" i="1"/>
  <c r="M1021" i="1"/>
  <c r="L1022" i="1"/>
  <c r="M1022" i="1"/>
  <c r="L1023" i="1"/>
  <c r="M1023" i="1"/>
  <c r="L1024" i="1"/>
  <c r="M1024" i="1"/>
  <c r="L1025" i="1"/>
  <c r="M1025" i="1"/>
  <c r="L1026" i="1"/>
  <c r="M1026" i="1"/>
  <c r="L1027" i="1"/>
  <c r="M1027" i="1"/>
  <c r="L1028" i="1"/>
  <c r="M1028" i="1"/>
  <c r="L1029" i="1"/>
  <c r="M1029" i="1"/>
  <c r="L1030" i="1"/>
  <c r="M1030" i="1"/>
  <c r="L1031" i="1"/>
  <c r="M1031" i="1"/>
  <c r="L1032" i="1"/>
  <c r="M1032" i="1"/>
  <c r="L1033" i="1"/>
  <c r="M1033" i="1"/>
  <c r="L1034" i="1"/>
  <c r="M1034" i="1"/>
  <c r="L1035" i="1"/>
  <c r="M1035" i="1"/>
  <c r="L1036" i="1"/>
  <c r="M1036" i="1"/>
  <c r="L1037" i="1"/>
  <c r="M1037" i="1"/>
  <c r="L1038" i="1"/>
  <c r="M1038" i="1"/>
  <c r="L1039" i="1"/>
  <c r="M1039" i="1"/>
  <c r="L1040" i="1"/>
  <c r="M1040" i="1"/>
  <c r="L1041" i="1"/>
  <c r="M1041" i="1"/>
  <c r="L1042" i="1"/>
  <c r="M1042" i="1"/>
  <c r="L1043" i="1"/>
  <c r="M1043" i="1"/>
  <c r="L1044" i="1"/>
  <c r="M1044" i="1"/>
  <c r="L1045" i="1"/>
  <c r="M1045" i="1"/>
  <c r="L1046" i="1"/>
  <c r="M1046" i="1"/>
  <c r="L1047" i="1"/>
  <c r="M1047" i="1"/>
  <c r="L1048" i="1"/>
  <c r="M1048" i="1"/>
  <c r="L1049" i="1"/>
  <c r="M1049" i="1"/>
  <c r="L1050" i="1"/>
  <c r="M1050" i="1"/>
  <c r="L1051" i="1"/>
  <c r="M1051" i="1"/>
  <c r="L1052" i="1"/>
  <c r="M1052" i="1"/>
  <c r="L1053" i="1"/>
  <c r="M1053" i="1"/>
  <c r="L1054" i="1"/>
  <c r="M1054" i="1"/>
  <c r="L1055" i="1"/>
  <c r="M1055" i="1"/>
  <c r="L1056" i="1"/>
  <c r="M1056" i="1"/>
  <c r="L1057" i="1"/>
  <c r="M1057" i="1"/>
  <c r="L1058" i="1"/>
  <c r="M1058" i="1"/>
  <c r="L1059" i="1"/>
  <c r="M1059" i="1"/>
  <c r="L1060" i="1"/>
  <c r="M1060" i="1"/>
  <c r="L1061" i="1"/>
  <c r="M1061" i="1"/>
  <c r="L1062" i="1"/>
  <c r="M1062" i="1"/>
  <c r="L1063" i="1"/>
  <c r="M1063" i="1"/>
  <c r="L1064" i="1"/>
  <c r="M1064" i="1"/>
  <c r="L1065" i="1"/>
  <c r="M1065" i="1"/>
  <c r="L1066" i="1"/>
  <c r="M1066" i="1"/>
  <c r="L1067" i="1"/>
  <c r="M1067" i="1"/>
  <c r="L1068" i="1"/>
  <c r="M1068" i="1"/>
  <c r="L1069" i="1"/>
  <c r="M1069" i="1"/>
  <c r="L1070" i="1"/>
  <c r="M1070" i="1"/>
  <c r="L1071" i="1"/>
  <c r="M1071" i="1"/>
  <c r="L1072" i="1"/>
  <c r="M1072" i="1"/>
  <c r="L1073" i="1"/>
  <c r="M1073" i="1"/>
  <c r="L1074" i="1"/>
  <c r="M1074" i="1"/>
  <c r="L1075" i="1"/>
  <c r="M1075" i="1"/>
  <c r="L1076" i="1"/>
  <c r="M1076" i="1"/>
  <c r="L1077" i="1"/>
  <c r="M1077" i="1"/>
  <c r="L1078" i="1"/>
  <c r="M1078" i="1"/>
  <c r="L1079" i="1"/>
  <c r="M1079" i="1"/>
  <c r="L1080" i="1"/>
  <c r="M1080" i="1"/>
  <c r="L1081" i="1"/>
  <c r="M1081" i="1"/>
  <c r="L1082" i="1"/>
  <c r="M1082" i="1"/>
  <c r="L1083" i="1"/>
  <c r="M1083" i="1"/>
  <c r="L1084" i="1"/>
  <c r="M1084" i="1"/>
  <c r="L1085" i="1"/>
  <c r="M1085" i="1"/>
  <c r="L1086" i="1"/>
  <c r="M1086" i="1"/>
  <c r="L1087" i="1"/>
  <c r="M1087" i="1"/>
  <c r="L1088" i="1"/>
  <c r="M1088" i="1"/>
  <c r="L1089" i="1"/>
  <c r="M1089" i="1"/>
  <c r="L1090" i="1"/>
  <c r="M1090" i="1"/>
  <c r="L1091" i="1"/>
  <c r="M1091" i="1"/>
  <c r="L1092" i="1"/>
  <c r="M1092" i="1"/>
  <c r="L1093" i="1"/>
  <c r="M1093" i="1"/>
  <c r="L1094" i="1"/>
  <c r="M1094" i="1"/>
  <c r="L1095" i="1"/>
  <c r="M1095" i="1"/>
  <c r="L1096" i="1"/>
  <c r="M1096" i="1"/>
  <c r="L1097" i="1"/>
  <c r="M1097" i="1"/>
  <c r="L1098" i="1"/>
  <c r="M1098" i="1"/>
  <c r="L1099" i="1"/>
  <c r="M1099" i="1"/>
  <c r="L1100" i="1"/>
  <c r="M1100" i="1"/>
  <c r="L1101" i="1"/>
  <c r="M1101" i="1"/>
  <c r="L1102" i="1"/>
  <c r="M1102" i="1"/>
  <c r="L1103" i="1"/>
  <c r="M1103" i="1"/>
  <c r="L1104" i="1"/>
  <c r="M1104" i="1"/>
  <c r="L1105" i="1"/>
  <c r="M1105" i="1"/>
  <c r="L1106" i="1"/>
  <c r="M1106" i="1"/>
  <c r="L1107" i="1"/>
  <c r="M1107" i="1"/>
  <c r="L1108" i="1"/>
  <c r="M1108" i="1"/>
  <c r="L1109" i="1"/>
  <c r="M1109" i="1"/>
  <c r="L1110" i="1"/>
  <c r="M1110" i="1"/>
  <c r="L1111" i="1"/>
  <c r="M1111" i="1"/>
  <c r="L1112" i="1"/>
  <c r="M1112" i="1"/>
  <c r="L1113" i="1"/>
  <c r="M1113" i="1"/>
  <c r="L1114" i="1"/>
  <c r="M1114" i="1"/>
  <c r="L1115" i="1"/>
  <c r="M1115" i="1"/>
  <c r="L1116" i="1"/>
  <c r="M1116" i="1"/>
  <c r="L1117" i="1"/>
  <c r="M1117" i="1"/>
  <c r="L1118" i="1"/>
  <c r="M1118" i="1"/>
  <c r="L1119" i="1"/>
  <c r="M1119" i="1"/>
  <c r="L1120" i="1"/>
  <c r="M1120" i="1"/>
  <c r="L1121" i="1"/>
  <c r="M1121" i="1"/>
  <c r="L1122" i="1"/>
  <c r="M1122" i="1"/>
  <c r="L1123" i="1"/>
  <c r="M1123" i="1"/>
  <c r="L1124" i="1"/>
  <c r="M1124" i="1"/>
  <c r="L1125" i="1"/>
  <c r="M1125" i="1"/>
  <c r="L1126" i="1"/>
  <c r="M1126" i="1"/>
  <c r="L1127" i="1"/>
  <c r="M1127" i="1"/>
  <c r="L1128" i="1"/>
  <c r="M1128" i="1"/>
  <c r="L1129" i="1"/>
  <c r="M1129" i="1"/>
  <c r="L1130" i="1"/>
  <c r="M1130" i="1"/>
  <c r="L1131" i="1"/>
  <c r="M1131" i="1"/>
  <c r="L1132" i="1"/>
  <c r="M1132" i="1"/>
  <c r="L1133" i="1"/>
  <c r="M1133" i="1"/>
  <c r="L1134" i="1"/>
  <c r="M1134" i="1"/>
  <c r="L1135" i="1"/>
  <c r="M1135" i="1"/>
  <c r="L1136" i="1"/>
  <c r="M1136" i="1"/>
  <c r="L1137" i="1"/>
  <c r="M1137" i="1"/>
  <c r="L1138" i="1"/>
  <c r="M1138" i="1"/>
  <c r="L1139" i="1"/>
  <c r="M1139" i="1"/>
  <c r="L1140" i="1"/>
  <c r="M1140" i="1"/>
  <c r="L1141" i="1"/>
  <c r="M1141" i="1"/>
  <c r="L1142" i="1"/>
  <c r="M1142" i="1"/>
  <c r="L1143" i="1"/>
  <c r="M1143" i="1"/>
  <c r="L1144" i="1"/>
  <c r="M1144" i="1"/>
  <c r="L1145" i="1"/>
  <c r="M1145" i="1"/>
  <c r="L1146" i="1"/>
  <c r="M1146" i="1"/>
  <c r="L1147" i="1"/>
  <c r="M1147" i="1"/>
  <c r="L1148" i="1"/>
  <c r="M1148" i="1"/>
  <c r="L1149" i="1"/>
  <c r="M1149" i="1"/>
  <c r="L1150" i="1"/>
  <c r="M1150" i="1"/>
  <c r="L1151" i="1"/>
  <c r="M1151" i="1"/>
  <c r="L1152" i="1"/>
  <c r="M1152" i="1"/>
  <c r="L1153" i="1"/>
  <c r="M1153" i="1"/>
  <c r="L1154" i="1"/>
  <c r="M1154" i="1"/>
  <c r="L1155" i="1"/>
  <c r="M1155" i="1"/>
  <c r="L1156" i="1"/>
  <c r="M1156" i="1"/>
  <c r="L1157" i="1"/>
  <c r="M1157" i="1"/>
  <c r="L1158" i="1"/>
  <c r="M1158" i="1"/>
  <c r="L1159" i="1"/>
  <c r="M1159" i="1"/>
  <c r="L1160" i="1"/>
  <c r="M1160" i="1"/>
  <c r="L1161" i="1"/>
  <c r="M1161" i="1"/>
  <c r="L1162" i="1"/>
  <c r="M1162" i="1"/>
  <c r="L1163" i="1"/>
  <c r="M1163" i="1"/>
  <c r="L1164" i="1"/>
  <c r="M1164" i="1"/>
  <c r="L1165" i="1"/>
  <c r="M1165" i="1"/>
  <c r="L1166" i="1"/>
  <c r="M1166" i="1"/>
  <c r="L1167" i="1"/>
  <c r="M1167" i="1"/>
  <c r="L1168" i="1"/>
  <c r="M1168" i="1"/>
  <c r="L1169" i="1"/>
  <c r="M1169" i="1"/>
  <c r="L1170" i="1"/>
  <c r="M1170" i="1"/>
  <c r="L1171" i="1"/>
  <c r="M1171" i="1"/>
  <c r="L1172" i="1"/>
  <c r="M1172" i="1"/>
  <c r="L1173" i="1"/>
  <c r="M1173" i="1"/>
  <c r="L1174" i="1"/>
  <c r="M1174" i="1"/>
  <c r="L1175" i="1"/>
  <c r="M1175" i="1"/>
  <c r="L1176" i="1"/>
  <c r="M1176" i="1"/>
  <c r="L1177" i="1"/>
  <c r="M1177" i="1"/>
  <c r="L1178" i="1"/>
  <c r="M1178" i="1"/>
  <c r="L1179" i="1"/>
  <c r="M1179" i="1"/>
  <c r="L1180" i="1"/>
  <c r="M1180" i="1"/>
  <c r="L1181" i="1"/>
  <c r="M1181" i="1"/>
  <c r="L1182" i="1"/>
  <c r="M1182" i="1"/>
  <c r="L1183" i="1"/>
  <c r="M1183" i="1"/>
  <c r="L1184" i="1"/>
  <c r="M1184" i="1"/>
  <c r="L1185" i="1"/>
  <c r="M1185" i="1"/>
  <c r="L1186" i="1"/>
  <c r="M1186" i="1"/>
  <c r="L1187" i="1"/>
  <c r="M1187" i="1"/>
  <c r="L1188" i="1"/>
  <c r="M1188" i="1"/>
  <c r="L1189" i="1"/>
  <c r="M1189" i="1"/>
  <c r="L1190" i="1"/>
  <c r="M1190" i="1"/>
  <c r="L1191" i="1"/>
  <c r="M1191" i="1"/>
  <c r="L1192" i="1"/>
  <c r="M1192" i="1"/>
  <c r="L1193" i="1"/>
  <c r="M1193" i="1"/>
  <c r="L1194" i="1"/>
  <c r="M1194" i="1"/>
  <c r="L1195" i="1"/>
  <c r="M1195" i="1"/>
  <c r="L1196" i="1"/>
  <c r="M1196" i="1"/>
  <c r="L1197" i="1"/>
  <c r="M1197" i="1"/>
  <c r="L1198" i="1"/>
  <c r="M1198" i="1"/>
  <c r="L1199" i="1"/>
  <c r="M1199" i="1"/>
  <c r="L1200" i="1"/>
  <c r="M1200" i="1"/>
  <c r="L1201" i="1"/>
  <c r="M1201" i="1"/>
  <c r="L1202" i="1"/>
  <c r="M1202" i="1"/>
  <c r="L1203" i="1"/>
  <c r="M1203" i="1"/>
  <c r="L1204" i="1"/>
  <c r="M1204" i="1"/>
  <c r="L1205" i="1"/>
  <c r="M1205" i="1"/>
  <c r="L1206" i="1"/>
  <c r="M1206" i="1"/>
  <c r="L1207" i="1"/>
  <c r="M1207" i="1"/>
  <c r="L1208" i="1"/>
  <c r="M1208" i="1"/>
  <c r="L1209" i="1"/>
  <c r="M1209" i="1"/>
  <c r="L1210" i="1"/>
  <c r="M1210" i="1"/>
  <c r="L1211" i="1"/>
  <c r="M1211" i="1"/>
  <c r="L1212" i="1"/>
  <c r="M1212" i="1"/>
  <c r="L1213" i="1"/>
  <c r="M1213" i="1"/>
  <c r="L1214" i="1"/>
  <c r="M1214" i="1"/>
  <c r="L1215" i="1"/>
  <c r="M1215" i="1"/>
  <c r="L1216" i="1"/>
  <c r="M1216" i="1"/>
  <c r="L1217" i="1"/>
  <c r="M1217" i="1"/>
  <c r="L1218" i="1"/>
  <c r="M1218" i="1"/>
  <c r="L1219" i="1"/>
  <c r="M1219" i="1"/>
  <c r="L1220" i="1"/>
  <c r="M1220" i="1"/>
  <c r="L1221" i="1"/>
  <c r="M1221" i="1"/>
  <c r="L1222" i="1"/>
  <c r="M1222" i="1"/>
  <c r="L1223" i="1"/>
  <c r="M1223" i="1"/>
  <c r="L1224" i="1"/>
  <c r="M1224" i="1"/>
  <c r="L1225" i="1"/>
  <c r="M1225" i="1"/>
  <c r="L1226" i="1"/>
  <c r="M1226" i="1"/>
  <c r="L1227" i="1"/>
  <c r="M1227" i="1"/>
  <c r="L1228" i="1"/>
  <c r="M1228" i="1"/>
  <c r="L1229" i="1"/>
  <c r="M1229" i="1"/>
  <c r="L1230" i="1"/>
  <c r="M1230" i="1"/>
  <c r="L1231" i="1"/>
  <c r="M1231" i="1"/>
  <c r="L1232" i="1"/>
  <c r="M1232" i="1"/>
  <c r="L1233" i="1"/>
  <c r="M1233" i="1"/>
  <c r="L1234" i="1"/>
  <c r="M1234" i="1"/>
  <c r="L1235" i="1"/>
  <c r="M1235" i="1"/>
  <c r="L1236" i="1"/>
  <c r="M1236" i="1"/>
  <c r="L1237" i="1"/>
  <c r="M1237" i="1"/>
  <c r="L1238" i="1"/>
  <c r="M1238" i="1"/>
  <c r="L1239" i="1"/>
  <c r="M1239" i="1"/>
  <c r="L1240" i="1"/>
  <c r="M1240" i="1"/>
  <c r="L1241" i="1"/>
  <c r="M1241" i="1"/>
  <c r="L1242" i="1"/>
  <c r="M1242" i="1"/>
  <c r="L1243" i="1"/>
  <c r="M1243" i="1"/>
  <c r="L1244" i="1"/>
  <c r="M1244" i="1"/>
  <c r="L1245" i="1"/>
  <c r="M1245" i="1"/>
  <c r="L1246" i="1"/>
  <c r="M1246" i="1"/>
  <c r="L1247" i="1"/>
  <c r="M1247" i="1"/>
  <c r="L1248" i="1"/>
  <c r="M1248" i="1"/>
  <c r="L1249" i="1"/>
  <c r="M1249" i="1"/>
  <c r="L1250" i="1"/>
  <c r="M1250" i="1"/>
  <c r="L1251" i="1"/>
  <c r="M1251" i="1"/>
  <c r="L1252" i="1"/>
  <c r="M1252" i="1"/>
  <c r="L1253" i="1"/>
  <c r="M1253" i="1"/>
  <c r="L1254" i="1"/>
  <c r="M1254" i="1"/>
  <c r="L1255" i="1"/>
  <c r="M1255" i="1"/>
  <c r="L1256" i="1"/>
  <c r="M1256" i="1"/>
  <c r="L1257" i="1"/>
  <c r="M1257" i="1"/>
  <c r="L1258" i="1"/>
  <c r="M1258" i="1"/>
  <c r="L1259" i="1"/>
  <c r="M1259" i="1"/>
  <c r="L1260" i="1"/>
  <c r="M1260" i="1"/>
  <c r="L1261" i="1"/>
  <c r="M1261" i="1"/>
  <c r="L1262" i="1"/>
  <c r="M1262" i="1"/>
  <c r="L1263" i="1"/>
  <c r="M1263" i="1"/>
  <c r="L1264" i="1"/>
  <c r="M1264" i="1"/>
  <c r="L1265" i="1"/>
  <c r="M1265" i="1"/>
  <c r="L1266" i="1"/>
  <c r="M1266" i="1"/>
  <c r="L1267" i="1"/>
  <c r="M1267" i="1"/>
  <c r="L1268" i="1"/>
  <c r="M1268" i="1"/>
  <c r="L1269" i="1"/>
  <c r="M1269" i="1"/>
  <c r="L1270" i="1"/>
  <c r="M1270" i="1"/>
  <c r="L1271" i="1"/>
  <c r="M1271" i="1"/>
  <c r="L1272" i="1"/>
  <c r="M1272" i="1"/>
  <c r="L1273" i="1"/>
  <c r="M1273" i="1"/>
  <c r="L1274" i="1"/>
  <c r="M1274" i="1"/>
  <c r="L1275" i="1"/>
  <c r="M1275" i="1"/>
  <c r="L1276" i="1"/>
  <c r="M1276" i="1"/>
  <c r="L1277" i="1"/>
  <c r="M1277" i="1"/>
  <c r="L1278" i="1"/>
  <c r="M1278" i="1"/>
  <c r="L1279" i="1"/>
  <c r="M1279" i="1"/>
  <c r="L1280" i="1"/>
  <c r="M1280" i="1"/>
  <c r="L1281" i="1"/>
  <c r="M1281" i="1"/>
  <c r="L1282" i="1"/>
  <c r="M1282" i="1"/>
  <c r="L1283" i="1"/>
  <c r="M1283" i="1"/>
  <c r="L1284" i="1"/>
  <c r="M1284" i="1"/>
  <c r="L1285" i="1"/>
  <c r="M1285" i="1"/>
  <c r="L1286" i="1"/>
  <c r="M1286" i="1"/>
  <c r="L1287" i="1"/>
  <c r="M1287" i="1"/>
  <c r="L1288" i="1"/>
  <c r="M1288" i="1"/>
  <c r="L1289" i="1"/>
  <c r="M1289" i="1"/>
  <c r="L1290" i="1"/>
  <c r="M1290" i="1"/>
  <c r="L1291" i="1"/>
  <c r="M1291" i="1"/>
  <c r="L1292" i="1"/>
  <c r="M1292" i="1"/>
  <c r="L1293" i="1"/>
  <c r="M1293" i="1"/>
  <c r="L1294" i="1"/>
  <c r="M1294" i="1"/>
  <c r="L1295" i="1"/>
  <c r="M1295" i="1"/>
  <c r="L1296" i="1"/>
  <c r="M1296" i="1"/>
  <c r="L1297" i="1"/>
  <c r="M1297" i="1"/>
  <c r="L1298" i="1"/>
  <c r="M1298" i="1"/>
  <c r="L1299" i="1"/>
  <c r="M1299" i="1"/>
  <c r="L1300" i="1"/>
  <c r="M1300" i="1"/>
  <c r="L1301" i="1"/>
  <c r="M1301" i="1"/>
  <c r="L1302" i="1"/>
  <c r="M1302" i="1"/>
  <c r="L1303" i="1"/>
  <c r="M1303" i="1"/>
  <c r="L1304" i="1"/>
  <c r="M1304" i="1"/>
  <c r="L1305" i="1"/>
  <c r="M1305" i="1"/>
  <c r="L1306" i="1"/>
  <c r="M1306" i="1"/>
  <c r="L1307" i="1"/>
  <c r="M1307" i="1"/>
  <c r="L1308" i="1"/>
  <c r="M1308" i="1"/>
  <c r="L1309" i="1"/>
  <c r="M1309" i="1"/>
  <c r="L1310" i="1"/>
  <c r="M1310" i="1"/>
  <c r="L1311" i="1"/>
  <c r="M1311" i="1"/>
  <c r="L1312" i="1"/>
  <c r="M1312" i="1"/>
  <c r="L1313" i="1"/>
  <c r="M1313" i="1"/>
  <c r="L1314" i="1"/>
  <c r="M1314" i="1"/>
  <c r="L1315" i="1"/>
  <c r="M1315" i="1"/>
  <c r="L1316" i="1"/>
  <c r="M1316" i="1"/>
  <c r="L1317" i="1"/>
  <c r="M1317" i="1"/>
  <c r="L1318" i="1"/>
  <c r="M1318" i="1"/>
  <c r="L1319" i="1"/>
  <c r="M1319" i="1"/>
  <c r="L1320" i="1"/>
  <c r="M1320" i="1"/>
  <c r="L1321" i="1"/>
  <c r="M1321" i="1"/>
  <c r="L1322" i="1"/>
  <c r="M1322" i="1"/>
  <c r="L1323" i="1"/>
  <c r="M1323" i="1"/>
  <c r="L1324" i="1"/>
  <c r="M1324" i="1"/>
  <c r="L1325" i="1"/>
  <c r="M1325" i="1"/>
  <c r="L1326" i="1"/>
  <c r="M1326" i="1"/>
  <c r="L1327" i="1"/>
  <c r="M1327" i="1"/>
  <c r="L1328" i="1"/>
  <c r="M1328" i="1"/>
  <c r="L1329" i="1"/>
  <c r="M1329" i="1"/>
  <c r="L1330" i="1"/>
  <c r="M1330" i="1"/>
  <c r="L1331" i="1"/>
  <c r="M1331" i="1"/>
  <c r="L1332" i="1"/>
  <c r="M1332" i="1"/>
  <c r="L1333" i="1"/>
  <c r="M1333" i="1"/>
  <c r="L1334" i="1"/>
  <c r="M1334" i="1"/>
  <c r="L1335" i="1"/>
  <c r="M1335" i="1"/>
  <c r="L1336" i="1"/>
  <c r="M1336" i="1"/>
  <c r="L1337" i="1"/>
  <c r="M1337" i="1"/>
  <c r="L1338" i="1"/>
  <c r="M1338" i="1"/>
  <c r="L1339" i="1"/>
  <c r="M1339" i="1"/>
  <c r="L1340" i="1"/>
  <c r="M1340" i="1"/>
  <c r="L1341" i="1"/>
  <c r="M1341" i="1"/>
  <c r="L1342" i="1"/>
  <c r="M1342" i="1"/>
  <c r="L1343" i="1"/>
  <c r="M1343" i="1"/>
  <c r="L1344" i="1"/>
  <c r="M1344" i="1"/>
  <c r="L1345" i="1"/>
  <c r="M1345" i="1"/>
  <c r="L1346" i="1"/>
  <c r="M1346" i="1"/>
  <c r="L1347" i="1"/>
  <c r="M1347" i="1"/>
  <c r="L1348" i="1"/>
  <c r="M1348" i="1"/>
  <c r="L1349" i="1"/>
  <c r="M1349" i="1"/>
  <c r="L1350" i="1"/>
  <c r="M1350" i="1"/>
  <c r="L1351" i="1"/>
  <c r="M1351" i="1"/>
  <c r="L1352" i="1"/>
  <c r="M1352" i="1"/>
  <c r="L1353" i="1"/>
  <c r="M1353" i="1"/>
  <c r="L1354" i="1"/>
  <c r="M1354" i="1"/>
  <c r="L1355" i="1"/>
  <c r="M1355" i="1"/>
  <c r="L1356" i="1"/>
  <c r="M1356" i="1"/>
  <c r="L1357" i="1"/>
  <c r="M1357" i="1"/>
  <c r="L1358" i="1"/>
  <c r="M1358" i="1"/>
  <c r="L1359" i="1"/>
  <c r="M1359" i="1"/>
  <c r="L1360" i="1"/>
  <c r="M1360" i="1"/>
  <c r="L1361" i="1"/>
  <c r="M1361" i="1"/>
  <c r="L1362" i="1"/>
  <c r="M1362" i="1"/>
  <c r="L1363" i="1"/>
  <c r="M1363" i="1"/>
  <c r="L1364" i="1"/>
  <c r="M1364" i="1"/>
  <c r="L1365" i="1"/>
  <c r="M1365" i="1"/>
  <c r="L1366" i="1"/>
  <c r="M1366" i="1"/>
  <c r="L1367" i="1"/>
  <c r="M1367" i="1"/>
  <c r="L1368" i="1"/>
  <c r="M1368" i="1"/>
  <c r="L1369" i="1"/>
  <c r="M1369" i="1"/>
  <c r="L1370" i="1"/>
  <c r="M1370" i="1"/>
  <c r="L1371" i="1"/>
  <c r="M1371" i="1"/>
  <c r="L1372" i="1"/>
  <c r="M1372" i="1"/>
  <c r="L1373" i="1"/>
  <c r="M1373" i="1"/>
  <c r="L1374" i="1"/>
  <c r="M1374" i="1"/>
  <c r="L1375" i="1"/>
  <c r="M1375" i="1"/>
  <c r="L1376" i="1"/>
  <c r="M1376" i="1"/>
  <c r="L1377" i="1"/>
  <c r="M1377" i="1"/>
  <c r="L1378" i="1"/>
  <c r="M1378" i="1"/>
  <c r="L1379" i="1"/>
  <c r="M1379" i="1"/>
  <c r="L1380" i="1"/>
  <c r="M1380" i="1"/>
  <c r="L1381" i="1"/>
  <c r="M1381" i="1"/>
  <c r="L1382" i="1"/>
  <c r="M1382" i="1"/>
  <c r="L1383" i="1"/>
  <c r="M1383" i="1"/>
  <c r="L1384" i="1"/>
  <c r="M1384" i="1"/>
  <c r="L1385" i="1"/>
  <c r="M1385" i="1"/>
  <c r="L1386" i="1"/>
  <c r="M1386" i="1"/>
  <c r="L1387" i="1"/>
  <c r="M1387" i="1"/>
  <c r="L1388" i="1"/>
  <c r="M1388" i="1"/>
  <c r="L1389" i="1"/>
  <c r="M1389" i="1"/>
  <c r="L1390" i="1"/>
  <c r="M1390" i="1"/>
  <c r="L1391" i="1"/>
  <c r="M1391" i="1"/>
  <c r="L1392" i="1"/>
  <c r="M1392" i="1"/>
  <c r="L1393" i="1"/>
  <c r="M1393" i="1"/>
  <c r="L1394" i="1"/>
  <c r="M1394" i="1"/>
  <c r="L1395" i="1"/>
  <c r="M1395" i="1"/>
  <c r="L1396" i="1"/>
  <c r="M1396" i="1"/>
  <c r="L1397" i="1"/>
  <c r="M1397" i="1"/>
  <c r="L1398" i="1"/>
  <c r="M1398" i="1"/>
  <c r="L1399" i="1"/>
  <c r="M1399" i="1"/>
  <c r="L1400" i="1"/>
  <c r="M1400" i="1"/>
  <c r="L1401" i="1"/>
  <c r="M1401" i="1"/>
  <c r="L1402" i="1"/>
  <c r="M1402" i="1"/>
  <c r="L1403" i="1"/>
  <c r="M1403" i="1"/>
  <c r="L1404" i="1"/>
  <c r="M1404" i="1"/>
  <c r="L1405" i="1"/>
  <c r="M1405" i="1"/>
  <c r="L1406" i="1"/>
  <c r="M1406" i="1"/>
  <c r="L1407" i="1"/>
  <c r="M1407" i="1"/>
  <c r="L1408" i="1"/>
  <c r="M1408" i="1"/>
  <c r="L1409" i="1"/>
  <c r="M1409" i="1"/>
  <c r="L1410" i="1"/>
  <c r="M1410" i="1"/>
  <c r="L1411" i="1"/>
  <c r="M1411" i="1"/>
  <c r="L1412" i="1"/>
  <c r="M1412" i="1"/>
  <c r="L1413" i="1"/>
  <c r="M1413" i="1"/>
  <c r="L1414" i="1"/>
  <c r="M1414" i="1"/>
  <c r="L1415" i="1"/>
  <c r="M1415" i="1"/>
  <c r="L1416" i="1"/>
  <c r="M1416" i="1"/>
  <c r="L1417" i="1"/>
  <c r="M1417" i="1"/>
  <c r="L1418" i="1"/>
  <c r="M1418" i="1"/>
  <c r="L1419" i="1"/>
  <c r="M1419" i="1"/>
  <c r="L1420" i="1"/>
  <c r="M1420" i="1"/>
  <c r="L1421" i="1"/>
  <c r="M1421" i="1"/>
  <c r="L1422" i="1"/>
  <c r="M1422" i="1"/>
  <c r="L1423" i="1"/>
  <c r="M1423" i="1"/>
  <c r="L1424" i="1"/>
  <c r="M1424" i="1"/>
  <c r="L1425" i="1"/>
  <c r="M1425" i="1"/>
  <c r="L1426" i="1"/>
  <c r="M1426" i="1"/>
  <c r="L1427" i="1"/>
  <c r="M1427" i="1"/>
  <c r="L1428" i="1"/>
  <c r="M1428" i="1"/>
  <c r="L1429" i="1"/>
  <c r="M1429" i="1"/>
  <c r="L1430" i="1"/>
  <c r="M1430" i="1"/>
  <c r="L1431" i="1"/>
  <c r="M1431" i="1"/>
  <c r="L1432" i="1"/>
  <c r="M1432" i="1"/>
  <c r="L1433" i="1"/>
  <c r="M1433" i="1"/>
  <c r="L1434" i="1"/>
  <c r="M1434" i="1"/>
  <c r="L1435" i="1"/>
  <c r="M1435" i="1"/>
  <c r="L1436" i="1"/>
  <c r="M1436" i="1"/>
  <c r="L1437" i="1"/>
  <c r="M1437" i="1"/>
  <c r="L1438" i="1"/>
  <c r="M1438" i="1"/>
  <c r="L1439" i="1"/>
  <c r="M1439" i="1"/>
  <c r="L1440" i="1"/>
  <c r="M1440" i="1"/>
  <c r="L1441" i="1"/>
  <c r="M1441" i="1"/>
  <c r="L1442" i="1"/>
  <c r="M1442" i="1"/>
  <c r="L1443" i="1"/>
  <c r="M1443" i="1"/>
  <c r="L1444" i="1"/>
  <c r="M1444" i="1"/>
  <c r="L1445" i="1"/>
  <c r="M1445" i="1"/>
  <c r="L1446" i="1"/>
  <c r="M1446" i="1"/>
  <c r="L1447" i="1"/>
  <c r="M1447" i="1"/>
  <c r="L1448" i="1"/>
  <c r="M1448" i="1"/>
  <c r="L1449" i="1"/>
  <c r="M1449" i="1"/>
  <c r="L1450" i="1"/>
  <c r="M1450" i="1"/>
  <c r="L1451" i="1"/>
  <c r="M1451" i="1"/>
  <c r="L1452" i="1"/>
  <c r="M1452" i="1"/>
  <c r="L1453" i="1"/>
  <c r="M1453" i="1"/>
  <c r="L1454" i="1"/>
  <c r="M1454" i="1"/>
  <c r="L1455" i="1"/>
  <c r="M1455" i="1"/>
  <c r="L1456" i="1"/>
  <c r="M1456" i="1"/>
  <c r="L1457" i="1"/>
  <c r="M1457" i="1"/>
  <c r="L1458" i="1"/>
  <c r="M1458" i="1"/>
  <c r="L1459" i="1"/>
  <c r="M1459" i="1"/>
  <c r="L1460" i="1"/>
  <c r="M1460" i="1"/>
  <c r="L1461" i="1"/>
  <c r="M1461" i="1"/>
  <c r="L1462" i="1"/>
  <c r="M1462" i="1"/>
  <c r="L1463" i="1"/>
  <c r="M1463" i="1"/>
  <c r="L1464" i="1"/>
  <c r="M1464" i="1"/>
  <c r="L1465" i="1"/>
  <c r="M1465" i="1"/>
  <c r="L1466" i="1"/>
  <c r="M1466" i="1"/>
  <c r="L1467" i="1"/>
  <c r="M1467" i="1"/>
  <c r="L1468" i="1"/>
  <c r="M1468" i="1"/>
  <c r="L1469" i="1"/>
  <c r="M1469" i="1"/>
  <c r="L1470" i="1"/>
  <c r="M1470" i="1"/>
  <c r="L1471" i="1"/>
  <c r="M1471" i="1"/>
  <c r="L1472" i="1"/>
  <c r="M1472" i="1"/>
  <c r="L1473" i="1"/>
  <c r="M1473" i="1"/>
  <c r="L1474" i="1"/>
  <c r="M1474" i="1"/>
  <c r="L1475" i="1"/>
  <c r="M1475" i="1"/>
  <c r="L1476" i="1"/>
  <c r="M1476" i="1"/>
  <c r="L1477" i="1"/>
  <c r="M1477" i="1"/>
  <c r="L1478" i="1"/>
  <c r="M1478" i="1"/>
  <c r="L1479" i="1"/>
  <c r="M1479" i="1"/>
  <c r="L1480" i="1"/>
  <c r="M1480" i="1"/>
  <c r="L1481" i="1"/>
  <c r="M1481" i="1"/>
  <c r="L1482" i="1"/>
  <c r="M1482" i="1"/>
  <c r="L1483" i="1"/>
  <c r="M1483" i="1"/>
  <c r="L1484" i="1"/>
  <c r="M1484" i="1"/>
  <c r="L1485" i="1"/>
  <c r="M1485" i="1"/>
  <c r="L1486" i="1"/>
  <c r="M1486" i="1"/>
  <c r="L1487" i="1"/>
  <c r="M1487" i="1"/>
  <c r="L1488" i="1"/>
  <c r="M1488" i="1"/>
  <c r="L1489" i="1"/>
  <c r="M1489" i="1"/>
  <c r="L1490" i="1"/>
  <c r="M1490" i="1"/>
  <c r="L1491" i="1"/>
  <c r="M1491" i="1"/>
  <c r="L1492" i="1"/>
  <c r="M1492" i="1"/>
  <c r="L1493" i="1"/>
  <c r="M1493" i="1"/>
  <c r="L1494" i="1"/>
  <c r="M1494" i="1"/>
  <c r="L1495" i="1"/>
  <c r="M1495" i="1"/>
  <c r="L1496" i="1"/>
  <c r="M1496" i="1"/>
  <c r="L1497" i="1"/>
  <c r="M1497" i="1"/>
  <c r="L1498" i="1"/>
  <c r="M1498" i="1"/>
  <c r="L1499" i="1"/>
  <c r="M1499" i="1"/>
  <c r="L1500" i="1"/>
  <c r="M1500" i="1"/>
  <c r="L1501" i="1"/>
  <c r="M1501" i="1"/>
  <c r="L1502" i="1"/>
  <c r="M1502" i="1"/>
  <c r="L1503" i="1"/>
  <c r="M1503" i="1"/>
  <c r="L1504" i="1"/>
  <c r="M1504" i="1"/>
  <c r="L1505" i="1"/>
  <c r="M1505" i="1"/>
  <c r="L1506" i="1"/>
  <c r="M1506" i="1"/>
  <c r="L1507" i="1"/>
  <c r="M1507" i="1"/>
  <c r="L1508" i="1"/>
  <c r="M1508" i="1"/>
  <c r="L1509" i="1"/>
  <c r="M1509" i="1"/>
  <c r="L1510" i="1"/>
  <c r="M1510" i="1"/>
  <c r="L1511" i="1"/>
  <c r="M1511" i="1"/>
  <c r="L1512" i="1"/>
  <c r="M1512" i="1"/>
  <c r="L1513" i="1"/>
  <c r="M1513" i="1"/>
  <c r="L1514" i="1"/>
  <c r="M1514" i="1"/>
  <c r="L1515" i="1"/>
  <c r="M1515" i="1"/>
  <c r="L1516" i="1"/>
  <c r="M1516" i="1"/>
  <c r="L1517" i="1"/>
  <c r="M1517" i="1"/>
  <c r="L1518" i="1"/>
  <c r="M1518" i="1"/>
  <c r="L1519" i="1"/>
  <c r="M1519" i="1"/>
  <c r="L1520" i="1"/>
  <c r="M1520" i="1"/>
  <c r="L1521" i="1"/>
  <c r="M1521" i="1"/>
  <c r="L1522" i="1"/>
  <c r="M1522" i="1"/>
  <c r="L1523" i="1"/>
  <c r="M1523" i="1"/>
  <c r="L1524" i="1"/>
  <c r="M1524" i="1"/>
  <c r="L1525" i="1"/>
  <c r="M1525" i="1"/>
  <c r="L1526" i="1"/>
  <c r="M1526" i="1"/>
  <c r="L1527" i="1"/>
  <c r="M1527" i="1"/>
  <c r="L1528" i="1"/>
  <c r="M1528" i="1"/>
  <c r="L1529" i="1"/>
  <c r="M1529" i="1"/>
  <c r="L1530" i="1"/>
  <c r="M1530" i="1"/>
  <c r="L1531" i="1"/>
  <c r="M1531" i="1"/>
  <c r="L1532" i="1"/>
  <c r="M1532" i="1"/>
  <c r="L1533" i="1"/>
  <c r="M1533" i="1"/>
  <c r="L1534" i="1"/>
  <c r="M1534" i="1"/>
  <c r="L1535" i="1"/>
  <c r="M1535" i="1"/>
  <c r="L1536" i="1"/>
  <c r="M1536" i="1"/>
  <c r="L1537" i="1"/>
  <c r="M1537" i="1"/>
  <c r="L1538" i="1"/>
  <c r="M1538" i="1"/>
  <c r="L1539" i="1"/>
  <c r="M1539" i="1"/>
  <c r="L1540" i="1"/>
  <c r="M1540" i="1"/>
  <c r="L1541" i="1"/>
  <c r="M1541" i="1"/>
  <c r="L1542" i="1"/>
  <c r="M1542" i="1"/>
  <c r="L1543" i="1"/>
  <c r="M1543" i="1"/>
  <c r="L1544" i="1"/>
  <c r="M1544" i="1"/>
  <c r="L1545" i="1"/>
  <c r="M1545" i="1"/>
  <c r="L1546" i="1"/>
  <c r="M1546" i="1"/>
  <c r="L1547" i="1"/>
  <c r="M1547" i="1"/>
  <c r="L1548" i="1"/>
  <c r="M1548" i="1"/>
  <c r="L1549" i="1"/>
  <c r="M1549" i="1"/>
  <c r="L1550" i="1"/>
  <c r="M1550" i="1"/>
  <c r="L1551" i="1"/>
  <c r="M1551" i="1"/>
  <c r="L1552" i="1"/>
  <c r="M1552" i="1"/>
  <c r="L1553" i="1"/>
  <c r="M1553" i="1"/>
  <c r="L1554" i="1"/>
  <c r="M1554" i="1"/>
  <c r="L1555" i="1"/>
  <c r="M1555" i="1"/>
  <c r="L1556" i="1"/>
  <c r="M1556" i="1"/>
  <c r="L1557" i="1"/>
  <c r="M1557" i="1"/>
  <c r="L1558" i="1"/>
  <c r="M1558" i="1"/>
  <c r="L1559" i="1"/>
  <c r="M1559" i="1"/>
  <c r="L1560" i="1"/>
  <c r="M1560" i="1"/>
  <c r="L1561" i="1"/>
  <c r="M1561" i="1"/>
  <c r="L1562" i="1"/>
  <c r="M1562" i="1"/>
  <c r="L1563" i="1"/>
  <c r="M1563" i="1"/>
  <c r="L1564" i="1"/>
  <c r="M1564" i="1"/>
  <c r="L1565" i="1"/>
  <c r="M1565" i="1"/>
  <c r="L1566" i="1"/>
  <c r="M1566" i="1"/>
  <c r="L1567" i="1"/>
  <c r="M1567" i="1"/>
  <c r="L1568" i="1"/>
  <c r="M1568" i="1"/>
  <c r="L1569" i="1"/>
  <c r="M1569" i="1"/>
  <c r="L1570" i="1"/>
  <c r="M1570" i="1"/>
  <c r="L1571" i="1"/>
  <c r="M1571" i="1"/>
  <c r="L1572" i="1"/>
  <c r="M1572" i="1"/>
  <c r="L1573" i="1"/>
  <c r="M1573" i="1"/>
  <c r="L1574" i="1"/>
  <c r="M1574" i="1"/>
  <c r="L1575" i="1"/>
  <c r="M1575" i="1"/>
  <c r="L1576" i="1"/>
  <c r="M1576" i="1"/>
  <c r="L1577" i="1"/>
  <c r="M1577" i="1"/>
  <c r="L1578" i="1"/>
  <c r="M1578" i="1"/>
  <c r="L1579" i="1"/>
  <c r="M1579" i="1"/>
  <c r="L1580" i="1"/>
  <c r="M1580" i="1"/>
  <c r="L1581" i="1"/>
  <c r="M1581" i="1"/>
  <c r="L1582" i="1"/>
  <c r="M1582" i="1"/>
  <c r="L1583" i="1"/>
  <c r="M1583" i="1"/>
  <c r="L1584" i="1"/>
  <c r="M1584" i="1"/>
  <c r="L1585" i="1"/>
  <c r="M1585" i="1"/>
  <c r="L1586" i="1"/>
  <c r="M1586" i="1"/>
  <c r="L1587" i="1"/>
  <c r="M1587" i="1"/>
  <c r="L1588" i="1"/>
  <c r="M1588" i="1"/>
  <c r="L1589" i="1"/>
  <c r="M1589" i="1"/>
  <c r="L1590" i="1"/>
  <c r="M1590" i="1"/>
  <c r="L1591" i="1"/>
  <c r="M1591" i="1"/>
  <c r="L1592" i="1"/>
  <c r="M1592" i="1"/>
  <c r="L1593" i="1"/>
  <c r="M1593" i="1"/>
  <c r="L1594" i="1"/>
  <c r="M1594" i="1"/>
  <c r="L1595" i="1"/>
  <c r="M1595" i="1"/>
  <c r="L1596" i="1"/>
  <c r="M1596" i="1"/>
  <c r="L1597" i="1"/>
  <c r="M1597" i="1"/>
  <c r="L1598" i="1"/>
  <c r="M1598" i="1"/>
  <c r="L1599" i="1"/>
  <c r="M1599" i="1"/>
  <c r="L1600" i="1"/>
  <c r="M1600" i="1"/>
  <c r="L1601" i="1"/>
  <c r="M1601" i="1"/>
  <c r="L1602" i="1"/>
  <c r="M1602" i="1"/>
  <c r="L1603" i="1"/>
  <c r="M1603" i="1"/>
  <c r="L1604" i="1"/>
  <c r="M1604" i="1"/>
  <c r="L1605" i="1"/>
  <c r="M1605" i="1"/>
  <c r="L1606" i="1"/>
  <c r="M1606" i="1"/>
  <c r="L1607" i="1"/>
  <c r="M1607" i="1"/>
  <c r="L1608" i="1"/>
  <c r="M1608" i="1"/>
  <c r="L1609" i="1"/>
  <c r="M1609" i="1"/>
  <c r="L1610" i="1"/>
  <c r="M1610" i="1"/>
  <c r="L1611" i="1"/>
  <c r="M1611" i="1"/>
  <c r="L1612" i="1"/>
  <c r="M1612" i="1"/>
  <c r="L1613" i="1"/>
  <c r="M1613" i="1"/>
  <c r="L1614" i="1"/>
  <c r="M1614" i="1"/>
  <c r="L1615" i="1"/>
  <c r="M1615" i="1"/>
  <c r="L1616" i="1"/>
  <c r="M1616" i="1"/>
  <c r="L1617" i="1"/>
  <c r="M1617" i="1"/>
  <c r="L1618" i="1"/>
  <c r="M1618" i="1"/>
  <c r="L1619" i="1"/>
  <c r="M1619" i="1"/>
  <c r="L1620" i="1"/>
  <c r="M1620" i="1"/>
  <c r="L1621" i="1"/>
  <c r="M1621" i="1"/>
  <c r="L1622" i="1"/>
  <c r="M1622" i="1"/>
  <c r="L1623" i="1"/>
  <c r="M1623" i="1"/>
  <c r="L1624" i="1"/>
  <c r="M1624" i="1"/>
  <c r="L1625" i="1"/>
  <c r="M1625" i="1"/>
  <c r="L1626" i="1"/>
  <c r="M1626" i="1"/>
  <c r="L1627" i="1"/>
  <c r="M1627" i="1"/>
  <c r="L1628" i="1"/>
  <c r="M1628" i="1"/>
  <c r="L1629" i="1"/>
  <c r="M1629" i="1"/>
  <c r="L1630" i="1"/>
  <c r="M1630" i="1"/>
  <c r="L1631" i="1"/>
  <c r="M1631" i="1"/>
  <c r="L1632" i="1"/>
  <c r="M1632" i="1"/>
  <c r="L1633" i="1"/>
  <c r="M1633" i="1"/>
  <c r="L1634" i="1"/>
  <c r="M1634" i="1"/>
  <c r="L1635" i="1"/>
  <c r="M1635" i="1"/>
  <c r="L1636" i="1"/>
  <c r="M1636" i="1"/>
  <c r="L1637" i="1"/>
  <c r="M1637" i="1"/>
  <c r="L1638" i="1"/>
  <c r="M1638" i="1"/>
  <c r="L1639" i="1"/>
  <c r="M1639" i="1"/>
  <c r="L1640" i="1"/>
  <c r="M1640" i="1"/>
  <c r="L1641" i="1"/>
  <c r="M1641" i="1"/>
  <c r="L1642" i="1"/>
  <c r="M1642" i="1"/>
  <c r="L1643" i="1"/>
  <c r="M1643" i="1"/>
  <c r="L1644" i="1"/>
  <c r="M1644" i="1"/>
  <c r="L1645" i="1"/>
  <c r="M1645" i="1"/>
  <c r="L1646" i="1"/>
  <c r="M1646" i="1"/>
  <c r="L1647" i="1"/>
  <c r="M1647" i="1"/>
  <c r="L1648" i="1"/>
  <c r="M1648" i="1"/>
  <c r="L1649" i="1"/>
  <c r="M1649" i="1"/>
  <c r="L1650" i="1"/>
  <c r="M1650" i="1"/>
  <c r="L1651" i="1"/>
  <c r="M1651" i="1"/>
  <c r="L1652" i="1"/>
  <c r="M1652" i="1"/>
  <c r="L1653" i="1"/>
  <c r="M1653" i="1"/>
  <c r="L1654" i="1"/>
  <c r="M1654" i="1"/>
  <c r="L1655" i="1"/>
  <c r="M1655" i="1"/>
  <c r="L1656" i="1"/>
  <c r="M1656" i="1"/>
  <c r="L1657" i="1"/>
  <c r="M1657" i="1"/>
  <c r="L1658" i="1"/>
  <c r="M1658" i="1"/>
  <c r="L1659" i="1"/>
  <c r="M1659" i="1"/>
  <c r="L1660" i="1"/>
  <c r="M1660" i="1"/>
  <c r="L1661" i="1"/>
  <c r="M1661" i="1"/>
  <c r="L1662" i="1"/>
  <c r="M1662" i="1"/>
  <c r="L1663" i="1"/>
  <c r="M1663" i="1"/>
  <c r="L1664" i="1"/>
  <c r="M1664" i="1"/>
  <c r="L1665" i="1"/>
  <c r="M1665" i="1"/>
  <c r="L1666" i="1"/>
  <c r="M1666" i="1"/>
  <c r="L1667" i="1"/>
  <c r="M1667" i="1"/>
  <c r="L1668" i="1"/>
  <c r="M1668" i="1"/>
  <c r="L1669" i="1"/>
  <c r="M1669" i="1"/>
  <c r="L1670" i="1"/>
  <c r="M1670" i="1"/>
  <c r="L1671" i="1"/>
  <c r="M1671" i="1"/>
  <c r="L1672" i="1"/>
  <c r="M1672" i="1"/>
  <c r="L1673" i="1"/>
  <c r="M1673" i="1"/>
  <c r="L1674" i="1"/>
  <c r="M1674" i="1"/>
  <c r="L1675" i="1"/>
  <c r="M1675" i="1"/>
  <c r="L1676" i="1"/>
  <c r="M1676" i="1"/>
  <c r="L1677" i="1"/>
  <c r="M1677" i="1"/>
  <c r="L1678" i="1"/>
  <c r="M1678" i="1"/>
  <c r="L1679" i="1"/>
  <c r="M1679" i="1"/>
  <c r="L1680" i="1"/>
  <c r="M1680" i="1"/>
  <c r="L1681" i="1"/>
  <c r="M1681" i="1"/>
  <c r="L1682" i="1"/>
  <c r="M1682" i="1"/>
  <c r="L1683" i="1"/>
  <c r="M1683" i="1"/>
  <c r="L1684" i="1"/>
  <c r="M1684" i="1"/>
  <c r="L1685" i="1"/>
  <c r="M1685" i="1"/>
  <c r="L1686" i="1"/>
  <c r="M1686" i="1"/>
  <c r="L1687" i="1"/>
  <c r="M1687" i="1"/>
  <c r="L1688" i="1"/>
  <c r="M1688" i="1"/>
  <c r="L1689" i="1"/>
  <c r="M1689" i="1"/>
  <c r="L1690" i="1"/>
  <c r="M1690" i="1"/>
  <c r="L1691" i="1"/>
  <c r="M1691" i="1"/>
  <c r="L1692" i="1"/>
  <c r="M1692" i="1"/>
  <c r="L1693" i="1"/>
  <c r="M1693" i="1"/>
  <c r="L1694" i="1"/>
  <c r="M1694" i="1"/>
  <c r="L1695" i="1"/>
  <c r="M1695" i="1"/>
  <c r="L1696" i="1"/>
  <c r="M1696" i="1"/>
  <c r="L1697" i="1"/>
  <c r="M1697" i="1"/>
  <c r="L1698" i="1"/>
  <c r="M1698" i="1"/>
  <c r="L1699" i="1"/>
  <c r="M1699" i="1"/>
  <c r="L1700" i="1"/>
  <c r="M1700" i="1"/>
  <c r="L1701" i="1"/>
  <c r="M1701" i="1"/>
  <c r="L1702" i="1"/>
  <c r="M1702" i="1"/>
  <c r="L1703" i="1"/>
  <c r="M1703" i="1"/>
  <c r="L1704" i="1"/>
  <c r="M1704" i="1"/>
  <c r="L1705" i="1"/>
  <c r="M1705" i="1"/>
  <c r="L1706" i="1"/>
  <c r="M1706" i="1"/>
  <c r="L1707" i="1"/>
  <c r="M1707" i="1"/>
  <c r="L1708" i="1"/>
  <c r="M1708" i="1"/>
  <c r="L1709" i="1"/>
  <c r="M1709" i="1"/>
  <c r="L1710" i="1"/>
  <c r="M1710" i="1"/>
  <c r="L1711" i="1"/>
  <c r="M1711" i="1"/>
  <c r="L1712" i="1"/>
  <c r="M1712" i="1"/>
  <c r="L1713" i="1"/>
  <c r="M1713" i="1"/>
  <c r="L1714" i="1"/>
  <c r="M1714" i="1"/>
  <c r="L1715" i="1"/>
  <c r="M1715" i="1"/>
  <c r="L1716" i="1"/>
  <c r="M1716" i="1"/>
  <c r="L1717" i="1"/>
  <c r="M1717" i="1"/>
  <c r="L1718" i="1"/>
  <c r="M1718" i="1"/>
  <c r="L1719" i="1"/>
  <c r="M1719" i="1"/>
  <c r="L1720" i="1"/>
  <c r="M1720" i="1"/>
  <c r="L1721" i="1"/>
  <c r="M1721" i="1"/>
  <c r="L1722" i="1"/>
  <c r="M1722" i="1"/>
  <c r="L1723" i="1"/>
  <c r="M1723" i="1"/>
  <c r="L1724" i="1"/>
  <c r="M1724" i="1"/>
  <c r="L1725" i="1"/>
  <c r="M1725" i="1"/>
  <c r="L1726" i="1"/>
  <c r="M1726" i="1"/>
  <c r="L1727" i="1"/>
  <c r="M1727" i="1"/>
  <c r="L1728" i="1"/>
  <c r="M1728" i="1"/>
  <c r="L1729" i="1"/>
  <c r="M1729" i="1"/>
  <c r="L1730" i="1"/>
  <c r="M1730" i="1"/>
  <c r="L1731" i="1"/>
  <c r="M1731" i="1"/>
  <c r="L1732" i="1"/>
  <c r="M1732" i="1"/>
  <c r="L1733" i="1"/>
  <c r="M1733" i="1"/>
  <c r="L1734" i="1"/>
  <c r="M1734" i="1"/>
  <c r="L1735" i="1"/>
  <c r="M1735" i="1"/>
  <c r="L1736" i="1"/>
  <c r="M1736" i="1"/>
  <c r="L1737" i="1"/>
  <c r="M1737" i="1"/>
  <c r="L1738" i="1"/>
  <c r="M1738" i="1"/>
  <c r="L1739" i="1"/>
  <c r="M1739" i="1"/>
  <c r="L1740" i="1"/>
  <c r="M1740" i="1"/>
  <c r="L1741" i="1"/>
  <c r="M1741" i="1"/>
  <c r="L1742" i="1"/>
  <c r="M1742" i="1"/>
  <c r="L1743" i="1"/>
  <c r="M1743" i="1"/>
  <c r="L1744" i="1"/>
  <c r="M1744" i="1"/>
  <c r="L1745" i="1"/>
  <c r="M1745" i="1"/>
  <c r="L1746" i="1"/>
  <c r="M1746" i="1"/>
  <c r="L1747" i="1"/>
  <c r="M1747" i="1"/>
  <c r="L1748" i="1"/>
  <c r="M1748" i="1"/>
  <c r="L1749" i="1"/>
  <c r="M1749" i="1"/>
  <c r="L1750" i="1"/>
  <c r="M1750" i="1"/>
  <c r="L1751" i="1"/>
  <c r="M1751" i="1"/>
  <c r="L1752" i="1"/>
  <c r="M1752" i="1"/>
  <c r="L1753" i="1"/>
  <c r="M1753" i="1"/>
  <c r="L1754" i="1"/>
  <c r="M1754" i="1"/>
  <c r="L1755" i="1"/>
  <c r="M1755" i="1"/>
  <c r="L1756" i="1"/>
  <c r="M1756" i="1"/>
  <c r="L1757" i="1"/>
  <c r="M1757" i="1"/>
  <c r="L1758" i="1"/>
  <c r="M1758" i="1"/>
  <c r="L1759" i="1"/>
  <c r="M1759" i="1"/>
  <c r="L1760" i="1"/>
  <c r="M1760" i="1"/>
  <c r="L1761" i="1"/>
  <c r="M1761" i="1"/>
  <c r="L1762" i="1"/>
  <c r="M1762" i="1"/>
  <c r="L1763" i="1"/>
  <c r="M1763" i="1"/>
  <c r="L1764" i="1"/>
  <c r="M1764" i="1"/>
  <c r="L1765" i="1"/>
  <c r="M1765" i="1"/>
  <c r="L1766" i="1"/>
  <c r="M1766" i="1"/>
  <c r="L1767" i="1"/>
  <c r="M1767" i="1"/>
  <c r="L1768" i="1"/>
  <c r="M1768" i="1"/>
  <c r="L1769" i="1"/>
  <c r="M1769" i="1"/>
  <c r="L1770" i="1"/>
  <c r="M1770" i="1"/>
  <c r="L1771" i="1"/>
  <c r="M1771" i="1"/>
  <c r="L1772" i="1"/>
  <c r="M1772" i="1"/>
</calcChain>
</file>

<file path=xl/sharedStrings.xml><?xml version="1.0" encoding="utf-8"?>
<sst xmlns="http://schemas.openxmlformats.org/spreadsheetml/2006/main" count="8869" uniqueCount="702">
  <si>
    <t>판매/취소일시</t>
  </si>
  <si>
    <t>ItemId</t>
  </si>
  <si>
    <t>제목</t>
  </si>
  <si>
    <t>판매형태</t>
  </si>
  <si>
    <t>정가</t>
  </si>
  <si>
    <t>판매가</t>
  </si>
  <si>
    <t>정산액</t>
  </si>
  <si>
    <t>원주문일시</t>
  </si>
  <si>
    <t>저자명</t>
  </si>
  <si>
    <t>출판사명</t>
  </si>
  <si>
    <t>정산처명</t>
  </si>
  <si>
    <t>ISBN</t>
  </si>
  <si>
    <t>UCI</t>
  </si>
  <si>
    <t>CID</t>
  </si>
  <si>
    <t>폭군의 명기(名器)</t>
  </si>
  <si>
    <t>판매</t>
  </si>
  <si>
    <t>리리코스</t>
  </si>
  <si>
    <t>힙</t>
  </si>
  <si>
    <t>키다리스튜디오(바로북)</t>
  </si>
  <si>
    <t>속 깊은 승은상궁</t>
  </si>
  <si>
    <t>러브홀릭</t>
  </si>
  <si>
    <t>[BL] 레드 코너 메리지 6 (완결)</t>
  </si>
  <si>
    <t>아르곤18</t>
  </si>
  <si>
    <t>블루브</t>
  </si>
  <si>
    <t>[세트] [BL] 아기 삵을 낳아줘, 나 미치는 꼴 보기 싫으면! (총3권/완결)</t>
  </si>
  <si>
    <t>간장팩토리</t>
  </si>
  <si>
    <t>저주마경 2</t>
  </si>
  <si>
    <t>와룡강</t>
  </si>
  <si>
    <t>대현문고</t>
  </si>
  <si>
    <t>저주마경 3 (완결)</t>
  </si>
  <si>
    <t>저주마경 1</t>
  </si>
  <si>
    <t>[세트] [BL] 엑시덴탈 베이비(Accidental baby) (외전 포함) (총6권/완결)</t>
  </si>
  <si>
    <t>루하랑</t>
  </si>
  <si>
    <t>[BL] 궁지에 몰린 쥐는 앙하고 문다 4 (완결)</t>
  </si>
  <si>
    <t>왕해나</t>
  </si>
  <si>
    <t>황궁의 정원에는 개가 산다 (특별 외전2)</t>
  </si>
  <si>
    <t>핑캐</t>
  </si>
  <si>
    <t>플랫뷰</t>
  </si>
  <si>
    <t>황궁의 정원에는 개가 산다 (특별 외전1)</t>
  </si>
  <si>
    <t>황궁의 정원에는 개가 산다 3 (완결)</t>
  </si>
  <si>
    <t>황궁의 정원에는 개가 산다 2</t>
  </si>
  <si>
    <t>황궁의 정원에는 개가 산다 1</t>
  </si>
  <si>
    <t>황궁의 정원에는 개가 산다 (외전)</t>
  </si>
  <si>
    <t>[BL] 엑시덴탈 베이비(Accidental baby) 2</t>
  </si>
  <si>
    <t>[BL] 엑시덴탈 베이비(Accidental baby) 3</t>
  </si>
  <si>
    <t>[BL] 엑시덴탈 베이비(Accidental baby) 5 (완결)</t>
  </si>
  <si>
    <t>[BL] 엑시덴탈 베이비(Accidental baby) 4</t>
  </si>
  <si>
    <t>겨울 숲의 아르덴 1</t>
  </si>
  <si>
    <t>나리타</t>
  </si>
  <si>
    <t>오드아이</t>
  </si>
  <si>
    <t>섹스마스터가 되어 다 따먹기 1</t>
  </si>
  <si>
    <t>빨간홍차</t>
  </si>
  <si>
    <t>올나이트노벨</t>
  </si>
  <si>
    <t>야성의 전설 01</t>
  </si>
  <si>
    <t>원하</t>
  </si>
  <si>
    <t>용사 노릇이 지겨워서 마왕군에 들어갔더니 하루하루가 행복해서 인생 절반 손해봤다 01</t>
  </si>
  <si>
    <t>FlowerJhin</t>
  </si>
  <si>
    <t>스킬 복사로 꿀 빱니다 01</t>
  </si>
  <si>
    <t>김현준</t>
  </si>
  <si>
    <t>포텐</t>
  </si>
  <si>
    <t>재벌가 장남은 가치를 본다! 01</t>
  </si>
  <si>
    <t>유재무</t>
  </si>
  <si>
    <t>재벌가 장남은 가치를 본다! 02</t>
  </si>
  <si>
    <t>[세트] [BL] 레드 코너 메리지 (총6권/완결)</t>
  </si>
  <si>
    <t>어서 와, 마왕은 처음이지? 01</t>
  </si>
  <si>
    <t>하늘곰</t>
  </si>
  <si>
    <t>[BL] 자격 없는 낮 (외전)</t>
  </si>
  <si>
    <t>이주웅</t>
  </si>
  <si>
    <t>[BL] 헌터 외 사망 금지 1</t>
  </si>
  <si>
    <t>파인애플덤플링</t>
  </si>
  <si>
    <t>프리즘</t>
  </si>
  <si>
    <t>킬러 비트 (외전)</t>
  </si>
  <si>
    <t>티디</t>
  </si>
  <si>
    <t>본레로</t>
  </si>
  <si>
    <t>[세트] 호심전(虎心傳) (총4권/완결)</t>
  </si>
  <si>
    <t>모화연</t>
  </si>
  <si>
    <t>골 때리는 엄마들 1</t>
  </si>
  <si>
    <t>미도파</t>
  </si>
  <si>
    <t>친구 엄마와 친구 먹기 01</t>
  </si>
  <si>
    <t>프로무림</t>
  </si>
  <si>
    <t>회사에서 자위하면 생기는 일 1</t>
  </si>
  <si>
    <t>친구 엄마와 친구 먹기 10 (완결)</t>
  </si>
  <si>
    <t>곤륜패선 01</t>
  </si>
  <si>
    <t>윤신현</t>
  </si>
  <si>
    <t>SSS급 블러드 헌터! 1</t>
  </si>
  <si>
    <t>흑곰작가</t>
  </si>
  <si>
    <t>[BL] 엉덩이가 예뻐서 (외전)</t>
  </si>
  <si>
    <t>유니네오</t>
  </si>
  <si>
    <t>[세트] [BL] 현대 사회의 XX에 대하여 (총3권/완결)</t>
  </si>
  <si>
    <t>대여</t>
  </si>
  <si>
    <t>심옥화</t>
  </si>
  <si>
    <t>[BL] 외과의사랑했나봐 (외전1)</t>
  </si>
  <si>
    <t>해로운</t>
  </si>
  <si>
    <t>[BL] 곡두 (외전)</t>
  </si>
  <si>
    <t>생강청</t>
  </si>
  <si>
    <t>[BL] 영원한 불사자들의 생존전략 1</t>
  </si>
  <si>
    <t>이미누</t>
  </si>
  <si>
    <t>[BL] 현대 사회의 XX에 대하여 1</t>
  </si>
  <si>
    <t>[BL] 슈가 트랩 (외전)</t>
  </si>
  <si>
    <t>현지하</t>
  </si>
  <si>
    <t>고독천년 2 (무삭제판)</t>
  </si>
  <si>
    <t>[BL] 악작 (현대AU 특별외전)</t>
  </si>
  <si>
    <t>소조금</t>
  </si>
  <si>
    <t>[BL] 현대 사회의 XX에 대하여 2</t>
  </si>
  <si>
    <t>EX급 절대반지를 얻었다 01</t>
  </si>
  <si>
    <t>후원에 핀 제비꽃 3</t>
  </si>
  <si>
    <t>성혜림</t>
  </si>
  <si>
    <t>[BL] 현대 사회의 XX에 대하여 3 (완결)</t>
  </si>
  <si>
    <t>[BL] 레드 코너 메리지 3</t>
  </si>
  <si>
    <t>[BL] 레드 코너 메리지 4</t>
  </si>
  <si>
    <t>[BL] 헌터 외 사망 금지 2</t>
  </si>
  <si>
    <t>[BL] 레드 코너 메리지 5</t>
  </si>
  <si>
    <t>최면</t>
  </si>
  <si>
    <t>적랑</t>
  </si>
  <si>
    <t>[세트] [BL] 엉덩이가 예뻐서 (외전 포함) (총5권/완결)</t>
  </si>
  <si>
    <t>[GL] 불온전한 악연 1</t>
  </si>
  <si>
    <t>Aktiv</t>
  </si>
  <si>
    <t>크나큰 은총 (외전)</t>
  </si>
  <si>
    <t>고요(꽃잎이톡톡)</t>
  </si>
  <si>
    <t>남주의 가짜 누님 1</t>
  </si>
  <si>
    <t>은해윤</t>
  </si>
  <si>
    <t>용사무적 1</t>
  </si>
  <si>
    <t>만선</t>
  </si>
  <si>
    <t>[BL] 쓰레기장 X 천사 (외전)</t>
  </si>
  <si>
    <t>한유담</t>
  </si>
  <si>
    <t>[BL] 악작 2</t>
  </si>
  <si>
    <t>[BL] 아기 삵을 낳아줘, 나 미치는 꼴 보기 싫으면! 3 (완결)</t>
  </si>
  <si>
    <t>[BL] 달콤한 최면 1</t>
  </si>
  <si>
    <t>꾸밍크</t>
  </si>
  <si>
    <t>귀환한 절대자는 역대급 헌터 01</t>
  </si>
  <si>
    <t>김현각</t>
  </si>
  <si>
    <t>메탈헌터 01</t>
  </si>
  <si>
    <t>와이번스</t>
  </si>
  <si>
    <t>[BL] 달콤한 최면 2 (완결)</t>
  </si>
  <si>
    <t>[BL] 잘 자, 내 꿈 꿔 2</t>
  </si>
  <si>
    <t>백목련</t>
  </si>
  <si>
    <t>[세트] 겨울 숲의 아르덴 (총4권/완결)</t>
  </si>
  <si>
    <t>[BL] 잘 자, 내 꿈 꿔 3 (완결)</t>
  </si>
  <si>
    <t>SSS급 블러드 헌터! 8 (완결)</t>
  </si>
  <si>
    <t>SSS급 블러드 헌터! 6</t>
  </si>
  <si>
    <t>SSS급 블러드 헌터! 3</t>
  </si>
  <si>
    <t>SSS급 블러드 헌터! 5</t>
  </si>
  <si>
    <t>SSS급 블러드 헌터! 2</t>
  </si>
  <si>
    <t>SSS급 블러드 헌터! 4</t>
  </si>
  <si>
    <t>SSS급 블러드 헌터! 7</t>
  </si>
  <si>
    <t>[BL] 부자(父子)의 난 1</t>
  </si>
  <si>
    <t>daldare</t>
  </si>
  <si>
    <t>[BL] 금단의 선 1</t>
  </si>
  <si>
    <t>백순수</t>
  </si>
  <si>
    <t>[세트] 곤륜패선 (총13권/완결)</t>
  </si>
  <si>
    <t>귀환한 절대자는 역대급 헌터 05</t>
  </si>
  <si>
    <t>귀환한 절대자는 역대급 헌터 04</t>
  </si>
  <si>
    <t>[BL] 리셋 증후군 1</t>
  </si>
  <si>
    <t>묘월아</t>
  </si>
  <si>
    <t>[BL] 리셋 증후군 2</t>
  </si>
  <si>
    <t>재벌가 장남은 가치를 본다! 03</t>
  </si>
  <si>
    <t>재벌가 장남은 가치를 본다! 09</t>
  </si>
  <si>
    <t>재벌가 장남은 가치를 본다! 07</t>
  </si>
  <si>
    <t>재벌가 장남은 가치를 본다! 10</t>
  </si>
  <si>
    <t>재벌가 장남은 가치를 본다! 06</t>
  </si>
  <si>
    <t>재벌가 장남은 가치를 본다! 08</t>
  </si>
  <si>
    <t>재벌가 장남은 가치를 본다! 05</t>
  </si>
  <si>
    <t>재벌가 장남은 가치를 본다! 04</t>
  </si>
  <si>
    <t>[BL] 리셋 증후군 3 (완결)</t>
  </si>
  <si>
    <t>[BL] 악작 1</t>
  </si>
  <si>
    <t>EX급 절대반지를 얻었다 03</t>
  </si>
  <si>
    <t>EX급 절대반지를 얻었다 02</t>
  </si>
  <si>
    <t>고독천년 3 (무삭제판)</t>
  </si>
  <si>
    <t>메탈헌터 06</t>
  </si>
  <si>
    <t>메탈헌터 02</t>
  </si>
  <si>
    <t>메탈헌터 07</t>
  </si>
  <si>
    <t>메탈헌터 03</t>
  </si>
  <si>
    <t>메탈헌터 04</t>
  </si>
  <si>
    <t>메탈헌터 05</t>
  </si>
  <si>
    <t>[GL] 아내는 결혼한 사실을 숨기고 다닌다 1</t>
  </si>
  <si>
    <t>김유리</t>
  </si>
  <si>
    <t>키다리스튜디오</t>
  </si>
  <si>
    <t>[BL] 엉덩이가 예뻐서 3</t>
  </si>
  <si>
    <t>[BL] 엉덩이가 예뻐서 2</t>
  </si>
  <si>
    <t>[BL] 엉덩이가 예뻐서 1</t>
  </si>
  <si>
    <t>[BL] 엉덩이가 예뻐서 4 (완결)</t>
  </si>
  <si>
    <t>[BL] 악작 (현대AU 외전)</t>
  </si>
  <si>
    <t>[BL] 악작 (외전)</t>
  </si>
  <si>
    <t>[BL] 악작 3 (완결)</t>
  </si>
  <si>
    <t>태양전기 10</t>
  </si>
  <si>
    <t>태양전기 11 (완결)</t>
  </si>
  <si>
    <t>태양전기 08</t>
  </si>
  <si>
    <t>태양전기 09</t>
  </si>
  <si>
    <t>[BL] 멸종위기종을 보호하는 법 2</t>
  </si>
  <si>
    <t>이소해</t>
  </si>
  <si>
    <t>[BL] 엑시덴탈 베이비(Accidental baby) (외전)</t>
  </si>
  <si>
    <t>[BL] 엑시덴탈 베이비(Accidental baby) 1</t>
  </si>
  <si>
    <t>리라이프 에이전트 01</t>
  </si>
  <si>
    <t>강동호</t>
  </si>
  <si>
    <t>섹스마스터가 되어 다 따먹기 2</t>
  </si>
  <si>
    <t>[BL] 메소드 로맨스 (개정판) 웹툰 출간 기념 수인 외전: 메소드 비스트 로맨스</t>
  </si>
  <si>
    <t>라쉬</t>
  </si>
  <si>
    <t>금발의 정령사 2부 4</t>
  </si>
  <si>
    <t>글비</t>
  </si>
  <si>
    <t>당신의 발아래 구원이 되어 5 (완결)</t>
  </si>
  <si>
    <t>배이플</t>
  </si>
  <si>
    <t>[세트] [BL] 궁지에 몰린 쥐는 앙하고 문다 (총4권/완결)</t>
  </si>
  <si>
    <t>[세트] [BL] 이토록 사랑스러운 죄악 (총3권/완결)</t>
  </si>
  <si>
    <t>라휘</t>
  </si>
  <si>
    <t>귀환한 절대자는 역대급 헌터 06</t>
  </si>
  <si>
    <t>금발의 정령사 3부 2</t>
  </si>
  <si>
    <t>[BL] 이토록 사랑스러운 죄악 1</t>
  </si>
  <si>
    <t>입술을 깨물었다 (무삭제완전판)</t>
  </si>
  <si>
    <t>엄재양</t>
  </si>
  <si>
    <t>[BL] 슈가 보일드 2</t>
  </si>
  <si>
    <t>한홍</t>
  </si>
  <si>
    <t>[BL] 슈가 보일드 1</t>
  </si>
  <si>
    <t>[BL] 슈가 보일드 3 (완결)</t>
  </si>
  <si>
    <t>곤륜패선 06</t>
  </si>
  <si>
    <t>곤륜패선 11</t>
  </si>
  <si>
    <t>곤륜패선 12</t>
  </si>
  <si>
    <t>곤륜패선 04</t>
  </si>
  <si>
    <t>곤륜패선 09</t>
  </si>
  <si>
    <t>곤륜패선 03</t>
  </si>
  <si>
    <t>곤륜패선 08</t>
  </si>
  <si>
    <t>곤륜패선 13 (완결)</t>
  </si>
  <si>
    <t>곤륜패선 05</t>
  </si>
  <si>
    <t>곤륜패선 02</t>
  </si>
  <si>
    <t>곤륜패선 10</t>
  </si>
  <si>
    <t>곤륜패선 07</t>
  </si>
  <si>
    <t>[BL] 히트 가이딩 3</t>
  </si>
  <si>
    <t>도라방스</t>
  </si>
  <si>
    <t>[BL] 히트 가이딩 4 (완결)</t>
  </si>
  <si>
    <t>[BL] 히트 가이딩 1</t>
  </si>
  <si>
    <t>[BL] 히트 가이딩 2</t>
  </si>
  <si>
    <t>[BL] 히트 가이딩 (외전)</t>
  </si>
  <si>
    <t>고독천년 8 (무삭제판)</t>
  </si>
  <si>
    <t>금발의 정령사 3부 3</t>
  </si>
  <si>
    <t>[BL] 플레이 위드 미 3 (완결)</t>
  </si>
  <si>
    <t>삐삐</t>
  </si>
  <si>
    <t>[BL] 황홀한 악연 1</t>
  </si>
  <si>
    <t>야로안</t>
  </si>
  <si>
    <t>[GL] 아내는 결혼한 사실을 숨기고 다닌다 3 (완결)</t>
  </si>
  <si>
    <t>[GL] 아내는 결혼한 사실을 숨기고 다닌다 2</t>
  </si>
  <si>
    <t>[세트] 19금 피폐 역하렘 게임의 여주인공이 되었다! (총2권/완결)</t>
  </si>
  <si>
    <t>금나래</t>
  </si>
  <si>
    <t>[세트] 성공시대 (총40권/완결)</t>
  </si>
  <si>
    <t>[합본] 빛나는 유산 (전2권/완결)</t>
  </si>
  <si>
    <t>장소영</t>
  </si>
  <si>
    <t>[합본] 해리 (전2권/완결)</t>
  </si>
  <si>
    <t>[세트] [BL] 하트 바터 (총3권/완결)</t>
  </si>
  <si>
    <t>디큐</t>
  </si>
  <si>
    <t>[BL] 레드 코너 메리지 1</t>
  </si>
  <si>
    <t>깜빵에서 재벌까지! 01</t>
  </si>
  <si>
    <t>[BL] 레드 코너 메리지 2</t>
  </si>
  <si>
    <t>[BL] 베팅 온 (외전)</t>
  </si>
  <si>
    <t>룽다</t>
  </si>
  <si>
    <t>[세트] [BL] 슈가 보일드 (총3권/완결)</t>
  </si>
  <si>
    <t>군림몽 3권</t>
  </si>
  <si>
    <t>군림몽 4권 (완결)</t>
  </si>
  <si>
    <t>군림몽 1권</t>
  </si>
  <si>
    <t>군림몽 2권</t>
  </si>
  <si>
    <t>섹스로 지배한다 1</t>
  </si>
  <si>
    <t>용병애쉬</t>
  </si>
  <si>
    <t>[세트] [BL] 시한부 후궁도 살고 싶습니다 (외전 포함) (총6권/완결)</t>
  </si>
  <si>
    <t>네르시온</t>
  </si>
  <si>
    <t>EX급 절대반지를 얻었다 11</t>
  </si>
  <si>
    <t>EX급 절대반지를 얻었다 05</t>
  </si>
  <si>
    <t>EX급 절대반지를 얻었다 14</t>
  </si>
  <si>
    <t>EX급 절대반지를 얻었다 08</t>
  </si>
  <si>
    <t>EX급 절대반지를 얻었다 04</t>
  </si>
  <si>
    <t>EX급 절대반지를 얻었다 13</t>
  </si>
  <si>
    <t>EX급 절대반지를 얻었다 09</t>
  </si>
  <si>
    <t>EX급 절대반지를 얻었다 06</t>
  </si>
  <si>
    <t>EX급 절대반지를 얻었다 07</t>
  </si>
  <si>
    <t>EX급 절대반지를 얻었다 12</t>
  </si>
  <si>
    <t>EX급 절대반지를 얻었다 10</t>
  </si>
  <si>
    <t>EX급 절대반지를 얻었다 15 (완결)</t>
  </si>
  <si>
    <t>재벌가 장남은 가치를 본다! 12</t>
  </si>
  <si>
    <t>재벌가 장남은 가치를 본다! 15</t>
  </si>
  <si>
    <t>재벌가 장남은 가치를 본다! 11</t>
  </si>
  <si>
    <t>재벌가 장남은 가치를 본다! 13</t>
  </si>
  <si>
    <t>재벌가 장남은 가치를 본다! 17</t>
  </si>
  <si>
    <t>재벌가 장남은 가치를 본다! 14</t>
  </si>
  <si>
    <t>재벌가 장남은 가치를 본다! 16</t>
  </si>
  <si>
    <t>재벌가 장남은 가치를 본다! 21</t>
  </si>
  <si>
    <t>재벌가 장남은 가치를 본다! 19</t>
  </si>
  <si>
    <t>재벌가 장남은 가치를 본다! 18</t>
  </si>
  <si>
    <t>재벌가 장남은 가치를 본다! 20</t>
  </si>
  <si>
    <t>재벌가 장남은 가치를 본다! 23 (완결)</t>
  </si>
  <si>
    <t>재벌가 장남은 가치를 본다! 22</t>
  </si>
  <si>
    <t>성형무공, 가슴 키워드림 1</t>
  </si>
  <si>
    <t>탄마</t>
  </si>
  <si>
    <t>호심전(虎心傳) 1</t>
  </si>
  <si>
    <t>[BL] 하트 바터 1</t>
  </si>
  <si>
    <t>[세트] [BL] 그 기억의 끝에 (외전 포함) (총6권/완결)</t>
  </si>
  <si>
    <t>오늘봄</t>
  </si>
  <si>
    <t>[GL] 유리꽃</t>
  </si>
  <si>
    <t>[BL] 역지사지 3</t>
  </si>
  <si>
    <t>폴닉</t>
  </si>
  <si>
    <t>용사 노릇이 지겨워서 마왕군에 들어갔더니 하루하루가 행복해서 인생 절반 손해봤다 05</t>
  </si>
  <si>
    <t>용사 노릇이 지겨워서 마왕군에 들어갔더니 하루하루가 행복해서 인생 절반 손해봤다 04</t>
  </si>
  <si>
    <t>[세트] [BL] 데칼코마니 (총3권/완결)</t>
  </si>
  <si>
    <t>조선백자</t>
  </si>
  <si>
    <t>[세트] [GL] 아내는 결혼한 사실을 숨기고 다닌다 (총3권/완결)</t>
  </si>
  <si>
    <t>[세트] 남편과 결혼하면 악녀가 되는데 (외전 포함) (총4권/완결)</t>
  </si>
  <si>
    <t>쮸메라</t>
  </si>
  <si>
    <t>[세트] [BL] 멸종위기종을 보호하는 법 (총3권/완결)</t>
  </si>
  <si>
    <t>[BL] 인간 사육 3 (완결)</t>
  </si>
  <si>
    <t>[세트] 야만족의 신부가 되었다 (총4권/완결)</t>
  </si>
  <si>
    <t>하라쇼</t>
  </si>
  <si>
    <t>용사무적 2</t>
  </si>
  <si>
    <t>[BL] 역지사지 4 (완결)</t>
  </si>
  <si>
    <t>[GL] 아가씨, 이러지 마세요 1</t>
  </si>
  <si>
    <t>여후배의 최면, 남선배 1</t>
  </si>
  <si>
    <t>탐욕적인창작자</t>
  </si>
  <si>
    <t>[BL] 사워 캔디(Sour Candy) 2 (완결)</t>
  </si>
  <si>
    <t>봄비봄</t>
  </si>
  <si>
    <t>[BL] 시한부 후궁도 살고 싶습니다 4</t>
  </si>
  <si>
    <t>[GL] 아가씨, 이러지 마세요 2</t>
  </si>
  <si>
    <t>[GL] 아가씨, 이러지 마세요 3 (완결)</t>
  </si>
  <si>
    <t>[BL] 자격 없는 낮 4 (완결)</t>
  </si>
  <si>
    <t>[세트] [BL] 오메가 사냥 (총3권/완결)</t>
  </si>
  <si>
    <t>코네꼬</t>
  </si>
  <si>
    <t>철혈혼 1</t>
  </si>
  <si>
    <t>철혈혼 2</t>
  </si>
  <si>
    <t>철혈혼 3 (완결)</t>
  </si>
  <si>
    <t>[합본] 대마불사 (전5권/완결)</t>
  </si>
  <si>
    <t>[합본] 천룡파황보 (전5권/완결)</t>
  </si>
  <si>
    <t>[합본] 연정무한 (전3권/완결)</t>
  </si>
  <si>
    <t>마법 배운 재벌집 늦둥이 01</t>
  </si>
  <si>
    <t>서오</t>
  </si>
  <si>
    <t>회귀해서 천재 PD 01</t>
  </si>
  <si>
    <t>조도모</t>
  </si>
  <si>
    <t>[BL] 시한부 후궁도 살고 싶습니다 5 (완결)</t>
  </si>
  <si>
    <t>야한 규칙으로 다 따먹음 1</t>
  </si>
  <si>
    <t>파워레인젖</t>
  </si>
  <si>
    <t>절망하고 복종하라 1</t>
  </si>
  <si>
    <t>베노맨서</t>
  </si>
  <si>
    <t>경찰청 그 꼴통! 1</t>
  </si>
  <si>
    <t>야한 규칙으로 다 따먹음 2</t>
  </si>
  <si>
    <t>성공시대 01</t>
  </si>
  <si>
    <t>야한 규칙으로 다 따먹음 3</t>
  </si>
  <si>
    <t>야한 규칙으로 다 따먹음 5</t>
  </si>
  <si>
    <t>야한 규칙으로 다 따먹음 4</t>
  </si>
  <si>
    <t>야한 규칙으로 다 따먹음 7</t>
  </si>
  <si>
    <t>야한 규칙으로 다 따먹음 6</t>
  </si>
  <si>
    <t>[BL] 역지사지 (외전)</t>
  </si>
  <si>
    <t>[세트] [BL] 못 찾으면 죽습니다 (총4권/완결)</t>
  </si>
  <si>
    <t>두나래</t>
  </si>
  <si>
    <t>[BL] 강아지 목에 방울 달기 2</t>
  </si>
  <si>
    <t>뷰이뷰이</t>
  </si>
  <si>
    <t>[BL] 강아지 목에 방울 달기 3 (완결)</t>
  </si>
  <si>
    <t>[세트] SSS급 블러드 헌터! (총8권/완결)</t>
  </si>
  <si>
    <t>교룡의 발정기</t>
  </si>
  <si>
    <t>미약</t>
  </si>
  <si>
    <t>사랑을 말하다 1</t>
  </si>
  <si>
    <t>이지아</t>
  </si>
  <si>
    <t>사랑을 말하다 2 (완결)</t>
  </si>
  <si>
    <t>사랑을 말하다 (외전)</t>
  </si>
  <si>
    <t>패악질 2 (완결)</t>
  </si>
  <si>
    <t>계바비</t>
  </si>
  <si>
    <t>패악질 1</t>
  </si>
  <si>
    <t>[BL] 황홀한 악연 2 (완결)</t>
  </si>
  <si>
    <t>[BL] 베팅 온 1</t>
  </si>
  <si>
    <t>[BL] 인간 사육 2</t>
  </si>
  <si>
    <t>후원에 핀 제비꽃 4</t>
  </si>
  <si>
    <t>[BL] 역지사지 2</t>
  </si>
  <si>
    <t>[세트] [GL] 불온전한 악연 (외전 포함) (총5권/완결)</t>
  </si>
  <si>
    <t>재벌집 외동딸과 하룻밤을 보냈다 01</t>
  </si>
  <si>
    <t>희나리T</t>
  </si>
  <si>
    <t>[BL] 시한부 후궁도 살고 싶습니다 (외전)</t>
  </si>
  <si>
    <t>[BL] Plaything(플레이싱) ~ 어느 대공 각하의 장난감 ~ 2</t>
  </si>
  <si>
    <t>TR</t>
  </si>
  <si>
    <t>절망하고 복종하라 2</t>
  </si>
  <si>
    <t>[세트] [BL] 악작 (외전 포함) (총6권/완결)</t>
  </si>
  <si>
    <t>재벌집 외동딸과 하룻밤을 보냈다 02</t>
  </si>
  <si>
    <t>[BL] 황홀한 악연 (외전)</t>
  </si>
  <si>
    <t>시한부 대공비를 기억하세요 1</t>
  </si>
  <si>
    <t>달보메</t>
  </si>
  <si>
    <t>[GL] 불온전한 악연 3</t>
  </si>
  <si>
    <t>[BL] 별종 1</t>
  </si>
  <si>
    <t>구월</t>
  </si>
  <si>
    <t>[BL] 하트 바터 2</t>
  </si>
  <si>
    <t>[BL] 하트 바터 3 (완결)</t>
  </si>
  <si>
    <t>[세트] [BL] 늑대와 마법사와 패치워크숲 (외전 포함) (총4권/완결)</t>
  </si>
  <si>
    <t>봄봄치</t>
  </si>
  <si>
    <t>[세트] [BL] 논 마라나타(non marana tha) (외전 포함) (총5권/완결)</t>
  </si>
  <si>
    <t>두고</t>
  </si>
  <si>
    <t>재벌집 외동딸과 하룻밤을 보냈다 03</t>
  </si>
  <si>
    <t>[세트] [BL] 슈가 트랩 (외전 포함) (총5권/완결)</t>
  </si>
  <si>
    <t>귀환한 절대자는 역대급 헌터 07</t>
  </si>
  <si>
    <t>불행을 보는 재벌집 손자 01</t>
  </si>
  <si>
    <t>[세트] [BL] Plaything(플레이싱) ~ 어느 대공 각하의 장난감 ~ (외전 포함) (총5권/완결)</t>
  </si>
  <si>
    <t>시한부 대공비를 기억하세요 2</t>
  </si>
  <si>
    <t>[세트] [BL] 사소한 꽃잎 (외전 포함) (총5권/완결)</t>
  </si>
  <si>
    <t>[세트] [BL] 트윈 가이드 (외전 포함) (총4권/완결)</t>
  </si>
  <si>
    <t>해태</t>
  </si>
  <si>
    <t>[세트] [BL] 강아지 목에 방울 달기 (총3권/완결)</t>
  </si>
  <si>
    <t>[세트] [BL] 베팅 온 (외전 포함) (총4권/완결)</t>
  </si>
  <si>
    <t>[세트] [BL] 플레이 위드 미 (총3권/완결)</t>
  </si>
  <si>
    <t>육식동물 : 좀비 레전드 아포칼립스 06</t>
  </si>
  <si>
    <t>불행을 보는 재벌집 손자 02</t>
  </si>
  <si>
    <t>[BL] 이토록 사랑스러운 죄악 3 (완결)</t>
  </si>
  <si>
    <t>[세트] [BL] 전직 헌터 현직 왕비, 남은 건 실전뿐 (외전 포함) (총7권/완결)</t>
  </si>
  <si>
    <t>라그노</t>
  </si>
  <si>
    <t>시한부 대공비를 기억하세요 3</t>
  </si>
  <si>
    <t>불행을 보는 재벌집 손자 03</t>
  </si>
  <si>
    <t>시한부 대공비를 기억하세요 4 (완결)</t>
  </si>
  <si>
    <t>이혼 후 재벌 각성! 2</t>
  </si>
  <si>
    <t>[BL] 서브공이 메인공수의 첫사랑이어도 괜찮은 건가요? 1</t>
  </si>
  <si>
    <t>하주인</t>
  </si>
  <si>
    <t>귀환한 절대자는 역대급 헌터 08</t>
  </si>
  <si>
    <t>[BL] 히든 피스틸(Hidden Pistil) 1</t>
  </si>
  <si>
    <t>윤아련</t>
  </si>
  <si>
    <t>재벌집 외동딸과 하룻밤을 보냈다 04</t>
  </si>
  <si>
    <t>재벌집 외동딸과 하룻밤을 보냈다 05</t>
  </si>
  <si>
    <t>불행을 보는 재벌집 손자 04</t>
  </si>
  <si>
    <t>[BL] 몽유병자의 저택 1</t>
  </si>
  <si>
    <t>음유팀장</t>
  </si>
  <si>
    <t>[세트] [BL] 인간 번식장 (총6권/완결)</t>
  </si>
  <si>
    <t>바다사막</t>
  </si>
  <si>
    <t>귀환한 절대자는 역대급 헌터 09</t>
  </si>
  <si>
    <t>[세트] [BL] 잘 자, 내 꿈 꿔 (총3권/완결)</t>
  </si>
  <si>
    <t>귀환한 절대자는 역대급 헌터 10</t>
  </si>
  <si>
    <t>[세트] [BL] 쓰레기장 X 천사 (외전 포함) (총4권/완결)</t>
  </si>
  <si>
    <t>이혼 후 재벌 각성! 3</t>
  </si>
  <si>
    <t>[BL] 멸종위기종을 보호하는 법 3 (완결)</t>
  </si>
  <si>
    <t>[세트] [BL] 꽃, 피우다 (총3권/완결)</t>
  </si>
  <si>
    <t>탱탱볼</t>
  </si>
  <si>
    <t>[세트] 금발의 정령사 1부 (총5권/완결)</t>
  </si>
  <si>
    <t>마도겁 3 (완결)</t>
  </si>
  <si>
    <t>청솔</t>
  </si>
  <si>
    <t>금발의 정령사 1부 2</t>
  </si>
  <si>
    <t>금발의 정령사 1부 4</t>
  </si>
  <si>
    <t>금발의 정령사 1부 3</t>
  </si>
  <si>
    <t>불행을 보는 재벌집 손자 05</t>
  </si>
  <si>
    <t>이혼 후 재벌 각성! 4</t>
  </si>
  <si>
    <t>금발의 정령사 3부 5</t>
  </si>
  <si>
    <t>금발의 정령사 3부 6 (완결)</t>
  </si>
  <si>
    <t>재벌집 외동딸과 하룻밤을 보냈다 08</t>
  </si>
  <si>
    <t>재벌집 외동딸과 하룻밤을 보냈다 06</t>
  </si>
  <si>
    <t>재벌집 외동딸과 하룻밤을 보냈다 07</t>
  </si>
  <si>
    <t>[세트] [BL] 영원한 불사자들의 생존전략 (총4권/완결)</t>
  </si>
  <si>
    <t>[세트] [BL] 외과의사랑했나봐 (외전 포함) (총4권/완결)</t>
  </si>
  <si>
    <t>[세트] [BL] 소용돌이 (외전 포함) (총4권/완결)</t>
  </si>
  <si>
    <t>빈야드</t>
  </si>
  <si>
    <t>불행을 보는 재벌집 손자 06</t>
  </si>
  <si>
    <t>귀환한 절대자는 역대급 헌터 11</t>
  </si>
  <si>
    <t>리라이프 에이전트 02</t>
  </si>
  <si>
    <t>리라이프 에이전트 03</t>
  </si>
  <si>
    <t>뱀파이어 보스 1</t>
  </si>
  <si>
    <t>김서울</t>
  </si>
  <si>
    <t>이화우, 배꽃이 비처럼 흩날리다 01</t>
  </si>
  <si>
    <t>매혹화</t>
  </si>
  <si>
    <t>대역공녀 1</t>
  </si>
  <si>
    <t>카나드리엘 지음</t>
  </si>
  <si>
    <t>라이어 뉴테프 이야기 1</t>
  </si>
  <si>
    <t>summer</t>
  </si>
  <si>
    <t>불행을 보는 재벌집 손자 07</t>
  </si>
  <si>
    <t>[BL] 서브공이 메인공수의 첫사랑이어도 괜찮은 건가요? 2</t>
  </si>
  <si>
    <t>[BL] 못 찾으면 죽습니다 1</t>
  </si>
  <si>
    <t>금발의 정령사 1부 5 (완결)</t>
  </si>
  <si>
    <t>[세트] 금발의 정령사 2부 (총5권/완결)</t>
  </si>
  <si>
    <t>금발의 정령사 2부 1</t>
  </si>
  <si>
    <t>19금 피폐 역하렘 게임의 여주인공이 되었다! 1</t>
  </si>
  <si>
    <t>이혼 후 재벌 각성! 5</t>
  </si>
  <si>
    <t>[세트] [BL] 정의되지 않은 XX (외전 포함) (총4권/완결)</t>
  </si>
  <si>
    <t>불행을 보는 재벌집 손자 08</t>
  </si>
  <si>
    <t>[BL] 역지사지 1</t>
  </si>
  <si>
    <t>[세트] [BL] 마교주의 첩으로 살아남기 (외전 포함) (총4권/완결)</t>
  </si>
  <si>
    <t>고독천년 1권 (무삭제판)</t>
  </si>
  <si>
    <t>과장님, 이혼해 주세요</t>
  </si>
  <si>
    <t>님도르신</t>
  </si>
  <si>
    <t>재벌집 외동딸과 하룻밤을 보냈다 09</t>
  </si>
  <si>
    <t>불행을 보는 재벌집 손자 09</t>
  </si>
  <si>
    <t>[BL] 별종 2</t>
  </si>
  <si>
    <t>[GL] 불온전한 악연 4 (완결)</t>
  </si>
  <si>
    <t>[BL] 슈가 트랩 3</t>
  </si>
  <si>
    <t>금발의 정령사 3부 4</t>
  </si>
  <si>
    <t>금발의 정령사 2부 2</t>
  </si>
  <si>
    <t>[BL] 서브공이 메인공수의 첫사랑이어도 괜찮은 건가요? 3 (완결)</t>
  </si>
  <si>
    <t>금발의 정령사 2부 5 (완결)</t>
  </si>
  <si>
    <t>[세트] [BL] Speak Of The Devil(스피크 오브 더 데블) (총5권/완결)</t>
  </si>
  <si>
    <t>연정무한 1권</t>
  </si>
  <si>
    <t>연정무한 2권</t>
  </si>
  <si>
    <t>연정무한 3권 (완결)</t>
  </si>
  <si>
    <t>[BL] 히든 피스틸(Hidden Pistil) 2</t>
  </si>
  <si>
    <t>미친 공작에게 납치당했다 3</t>
  </si>
  <si>
    <t>이아나킴</t>
  </si>
  <si>
    <t>친구 엄마와 친구 먹기 08</t>
  </si>
  <si>
    <t>친구 엄마와 친구 먹기 09</t>
  </si>
  <si>
    <t>리라이프 에이전트 05</t>
  </si>
  <si>
    <t>리라이프 에이전트 04</t>
  </si>
  <si>
    <t>[BL] 멸종위기종을 보호하는 법 1</t>
  </si>
  <si>
    <t>불행을 보는 재벌집 손자 10</t>
  </si>
  <si>
    <t>금발의 정령사 3부 1</t>
  </si>
  <si>
    <t>엉큼한 맞선 1</t>
  </si>
  <si>
    <t>강영주</t>
  </si>
  <si>
    <t>[세트] 사랑보다 먼, 증오보다 가까운 (외전 포함) (총3권/완결)</t>
  </si>
  <si>
    <t>재벌집 외동딸과 하룻밤을 보냈다 10</t>
  </si>
  <si>
    <t>[세트] 금발의 정령사 3부 (총6권/완결)</t>
  </si>
  <si>
    <t>[세트] [BL] 피치 투 피치 (총3권/완결)</t>
  </si>
  <si>
    <t>고독천년 7 (무삭제판)</t>
  </si>
  <si>
    <t>고독천년 6 (무삭제판)</t>
  </si>
  <si>
    <t>고독천년 5 (무삭제판)</t>
  </si>
  <si>
    <t>고독천년 4 (무삭제판)</t>
  </si>
  <si>
    <t>미제사건 전담팀 01</t>
  </si>
  <si>
    <t>인디고</t>
  </si>
  <si>
    <t>[BL] 정의되지 않은 XX (특별외전)</t>
  </si>
  <si>
    <t>[BL] Plaything(플레이싱) ~ 어느 대공 각하의 장난감 ~ 3</t>
  </si>
  <si>
    <t>19금 피폐 역하렘 게임의 여주인공이 되었다! 2 (완결)</t>
  </si>
  <si>
    <t>[BL] 번식 캠퍼스 1</t>
  </si>
  <si>
    <t>밤밤맨</t>
  </si>
  <si>
    <t>[세트] [BL] 아가레스를 떠나는 사람들 (총2권/완결)</t>
  </si>
  <si>
    <t>엉큼한 맞선 2 (완결)</t>
  </si>
  <si>
    <t>금발의 정령사 2부 3</t>
  </si>
  <si>
    <t>불행을 보는 재벌집 손자 11</t>
  </si>
  <si>
    <t>재벌집 외동딸과 하룻밤을 보냈다 11</t>
  </si>
  <si>
    <t>재벌집 외동딸과 하룻밤을 보냈다 12 (완결)</t>
  </si>
  <si>
    <t>[BL] Plaything(플레이싱) ~ 어느 대공 각하의 장난감 ~ 4 (완결)</t>
  </si>
  <si>
    <t>월광연가 1</t>
  </si>
  <si>
    <t>김뉴희</t>
  </si>
  <si>
    <t>금발의 정령사 1부 1</t>
  </si>
  <si>
    <t>불행을 보는 재벌집 손자 12</t>
  </si>
  <si>
    <t>친구 엄마와 친구 먹기 02</t>
  </si>
  <si>
    <t>[세트] [BL] 히든 피스틸(Hidden Pistil) (총4권/완결)</t>
  </si>
  <si>
    <t>리라이프 에이전트 07</t>
  </si>
  <si>
    <t>리라이프 에이전트 06</t>
  </si>
  <si>
    <t>불행을 보는 재벌집 손자 14</t>
  </si>
  <si>
    <t>불행을 보는 재벌집 손자 13</t>
  </si>
  <si>
    <t>[GL] 불온전한 악연 2</t>
  </si>
  <si>
    <t>[GL] 불온전한 악연 (외전)</t>
  </si>
  <si>
    <t>섹스마스터가 되어 다 따먹기 6 (완결)</t>
  </si>
  <si>
    <t>섹스마스터가 되어 다 따먹기 4</t>
  </si>
  <si>
    <t>섹스마스터가 되어 다 따먹기 5</t>
  </si>
  <si>
    <t>섹스마스터가 되어 다 따먹기 3</t>
  </si>
  <si>
    <t>재벌가 차남은 먼치킨 01</t>
  </si>
  <si>
    <t>말리브해적</t>
  </si>
  <si>
    <t>재벌가 차남은 먼치킨 02</t>
  </si>
  <si>
    <t>재벌가 차남은 먼치킨 03</t>
  </si>
  <si>
    <t>여왕의 발등에 키스를</t>
  </si>
  <si>
    <t>마승리</t>
  </si>
  <si>
    <t>터치 레슨 1</t>
  </si>
  <si>
    <t>예주하</t>
  </si>
  <si>
    <t>[세트] [GL] 아가씨, 이러지 마세요 (총3권/완결)</t>
  </si>
  <si>
    <t>불행을 보는 재벌집 손자 15</t>
  </si>
  <si>
    <t>회사에서 자위하면 생기는 일 6 (완결)</t>
  </si>
  <si>
    <t>[세트] 여기 게임 속 아닌가요? (총7권/완결)</t>
  </si>
  <si>
    <t>서텔</t>
  </si>
  <si>
    <t>대망 01</t>
  </si>
  <si>
    <t>[세트] [BL] MC 플래터 (총3권/완결)</t>
  </si>
  <si>
    <t>꼬북밥</t>
  </si>
  <si>
    <t>[세트] [BL] 별종 (외전 포함) (총4권/완결)</t>
  </si>
  <si>
    <t>불행을 보는 재벌집 손자 16 (완결)</t>
  </si>
  <si>
    <t>[세트] [BL] 짝사랑 또 하면 내가 개다 (외전 포함) (총6권/완결)</t>
  </si>
  <si>
    <t>구슬윤</t>
  </si>
  <si>
    <t>타락 부부 01</t>
  </si>
  <si>
    <t>[세트] [BL] 익시드(Exceed) (외전 포함) (총3권/완결)</t>
  </si>
  <si>
    <t>만능강아지</t>
  </si>
  <si>
    <t>친구 엄마와 친구 먹기 03</t>
  </si>
  <si>
    <t>[세트] [BL] 환락요새 (총4권/완결)</t>
  </si>
  <si>
    <t>겨울 숲의 아르덴 2</t>
  </si>
  <si>
    <t>겨울 숲의 아르덴 4 (완결)</t>
  </si>
  <si>
    <t>겨울 숲의 아르덴 3</t>
  </si>
  <si>
    <t xml:space="preserve">지존독보 (至尊獨步)2            </t>
  </si>
  <si>
    <t xml:space="preserve">지존독보 (至尊獨步)3            </t>
  </si>
  <si>
    <t>지존독보 (至尊獨步)5 (완결)</t>
  </si>
  <si>
    <t xml:space="preserve">지존독보 (至尊獨步)4            </t>
  </si>
  <si>
    <t>무적천년 1권</t>
  </si>
  <si>
    <t>무적천년 2권</t>
  </si>
  <si>
    <t>무적천년 3권 (완결)</t>
  </si>
  <si>
    <t xml:space="preserve">지존독보 (至尊獨步)1            </t>
  </si>
  <si>
    <t>[BL] 리스트 컷 1</t>
  </si>
  <si>
    <t>밤디</t>
  </si>
  <si>
    <t>[BL] 별종 3 (완결)</t>
  </si>
  <si>
    <t>[세트] 무림드래곤 (총11권/완결)</t>
  </si>
  <si>
    <t>강주호(예로나)</t>
  </si>
  <si>
    <t>식사하고 가세요! 01</t>
  </si>
  <si>
    <t>인기영</t>
  </si>
  <si>
    <t>식사하고 가세요! 04</t>
  </si>
  <si>
    <t>식사하고 가세요! 05</t>
  </si>
  <si>
    <t>리라이프 에이전트 09</t>
  </si>
  <si>
    <t>리라이프 에이전트 08</t>
  </si>
  <si>
    <t>[세트] [BL] 표류하는 X (총3권/완결)</t>
  </si>
  <si>
    <t>삐빔</t>
  </si>
  <si>
    <t>식사하고 가세요! 07</t>
  </si>
  <si>
    <t>식사하고 가세요! 10</t>
  </si>
  <si>
    <t>식사하고 가세요! 08</t>
  </si>
  <si>
    <t>식사하고 가세요! 09</t>
  </si>
  <si>
    <t>식사하고 가세요! 06</t>
  </si>
  <si>
    <t>육식동물 : 좀비 레전드 아포칼립스 07</t>
  </si>
  <si>
    <t>[BL] 못 찾으면 죽습니다 4 (완결)</t>
  </si>
  <si>
    <t>역대급 포식능력자의 2회차 1</t>
  </si>
  <si>
    <t>이세계사장</t>
  </si>
  <si>
    <t>[BL] 전직 헌터 현직 왕비, 남은 건 실전뿐 5</t>
  </si>
  <si>
    <t>[BL] 전직 헌터 현직 왕비, 남은 건 실전뿐 (외전)</t>
  </si>
  <si>
    <t>외도 전설 -마법소녀 조교기- 1</t>
  </si>
  <si>
    <t>외도정사</t>
  </si>
  <si>
    <t>남자의 길 01</t>
  </si>
  <si>
    <t>[BL] 몽유병자의 저택 2</t>
  </si>
  <si>
    <t>색희</t>
  </si>
  <si>
    <t>야담가</t>
  </si>
  <si>
    <t>서큐버스 프로게이머 5</t>
  </si>
  <si>
    <t>스즈나</t>
  </si>
  <si>
    <t>서큐버스 프로게이머 2</t>
  </si>
  <si>
    <t>서큐버스 프로게이머 4</t>
  </si>
  <si>
    <t>서큐버스 프로게이머 3</t>
  </si>
  <si>
    <t>서큐버스 프로게이머 7</t>
  </si>
  <si>
    <t>서큐버스 프로게이머 6</t>
  </si>
  <si>
    <t>서큐버스 프로게이머 8 (완결)</t>
  </si>
  <si>
    <t>친구 엄마와 친구 먹기 04</t>
  </si>
  <si>
    <t>패배용사 -약골 용사의 에로 대모험- 5 (완결)</t>
  </si>
  <si>
    <t>[BL] 슈가 트랩 1</t>
  </si>
  <si>
    <t>[BL] 히든 피스틸(Hidden Pistil) 3</t>
  </si>
  <si>
    <t>효종 01</t>
  </si>
  <si>
    <t>[세트] 코드네임 사신 (총17권/완결)</t>
  </si>
  <si>
    <t>준강</t>
  </si>
  <si>
    <t>후원에 핀 제비꽃 6 (완결)</t>
  </si>
  <si>
    <t>후원에 핀 제비꽃 (외전)</t>
  </si>
  <si>
    <t>빙하기 아포칼립스의 회사원 01</t>
  </si>
  <si>
    <t>[연재] 소뢰아 025화</t>
  </si>
  <si>
    <t>강태산</t>
  </si>
  <si>
    <t>[연재] 소뢰아 024화</t>
  </si>
  <si>
    <t>[연재] 소뢰아 023화</t>
  </si>
  <si>
    <t>[연재] 소뢰아 022화</t>
  </si>
  <si>
    <t>[연재] 소뢰아 021화</t>
  </si>
  <si>
    <t>[연재] 소뢰아 020화</t>
  </si>
  <si>
    <t>[연재] 소뢰아 019화</t>
  </si>
  <si>
    <t>[연재] 소뢰아 018화</t>
  </si>
  <si>
    <t>[연재] 소뢰아 017화</t>
  </si>
  <si>
    <t>[연재] 소뢰아 016화</t>
  </si>
  <si>
    <t>[연재] 소뢰아 015화</t>
  </si>
  <si>
    <t>[연재] 소뢰아 014화</t>
  </si>
  <si>
    <t>[연재] 소뢰아 013화</t>
  </si>
  <si>
    <t>[연재] 소뢰아 012화</t>
  </si>
  <si>
    <t>[연재] 소뢰아 011화</t>
  </si>
  <si>
    <t>[연재] 소뢰아 010화</t>
  </si>
  <si>
    <t>[연재] 소뢰아 009화</t>
  </si>
  <si>
    <t>[연재] 소뢰아 008화</t>
  </si>
  <si>
    <t>[연재] 소뢰아 007화</t>
  </si>
  <si>
    <t>[연재] 소뢰아 006화</t>
  </si>
  <si>
    <t>[연재] 소뢰아 005화</t>
  </si>
  <si>
    <t>[연재] 소뢰아 004화</t>
  </si>
  <si>
    <t>[연재] 소뢰아 003화</t>
  </si>
  <si>
    <t>[연재] 소뢰아 002화</t>
  </si>
  <si>
    <t>[연재] 소뢰아 001화</t>
  </si>
  <si>
    <t>각성자 위탁관리인 01</t>
  </si>
  <si>
    <t>오시안</t>
  </si>
  <si>
    <t>[세트] 엉큼한 맞선 (총2권/완결)</t>
  </si>
  <si>
    <t>[BL] 서브공이 메인공수의 첫사랑이어도 괜찮은 건가요? (외전)</t>
  </si>
  <si>
    <t>각성자 위탁관리인 03</t>
  </si>
  <si>
    <t>각성자 위탁관리인 02</t>
  </si>
  <si>
    <t>각성자 위탁관리인 08</t>
  </si>
  <si>
    <t>각성자 위탁관리인 05</t>
  </si>
  <si>
    <t>각성자 위탁관리인 04</t>
  </si>
  <si>
    <t>각성자 위탁관리인 07</t>
  </si>
  <si>
    <t>각성자 위탁관리인 13</t>
  </si>
  <si>
    <t>각성자 위탁관리인 09</t>
  </si>
  <si>
    <t>각성자 위탁관리인 10</t>
  </si>
  <si>
    <t>각성자 위탁관리인 12</t>
  </si>
  <si>
    <t>각성자 위탁관리인 06</t>
  </si>
  <si>
    <t>각성자 위탁관리인 15</t>
  </si>
  <si>
    <t>각성자 위탁관리인 14</t>
  </si>
  <si>
    <t>각성자 위탁관리인 11</t>
  </si>
  <si>
    <t>각성자 위탁관리인 16 (완결)</t>
  </si>
  <si>
    <t>백작가의 사생아가 결혼하면 4 (완결)</t>
  </si>
  <si>
    <t>랏슈</t>
  </si>
  <si>
    <t>[BL] In The Private Room(인 더 프라이빗 룸) (외전 2)</t>
  </si>
  <si>
    <t>SEOBANG</t>
  </si>
  <si>
    <t>식사하고 가세요! 13</t>
  </si>
  <si>
    <t>식사하고 가세요! 18</t>
  </si>
  <si>
    <t>식사하고 가세요! 23</t>
  </si>
  <si>
    <t>식사하고 가세요! 12</t>
  </si>
  <si>
    <t>식사하고 가세요! 15</t>
  </si>
  <si>
    <t>식사하고 가세요! 20</t>
  </si>
  <si>
    <t>식사하고 가세요! 17</t>
  </si>
  <si>
    <t>식사하고 가세요! 25</t>
  </si>
  <si>
    <t>식사하고 가세요! 22</t>
  </si>
  <si>
    <t>식사하고 가세요! 24</t>
  </si>
  <si>
    <t>식사하고 가세요! 19</t>
  </si>
  <si>
    <t>식사하고 가세요! 11</t>
  </si>
  <si>
    <t>식사하고 가세요! 16</t>
  </si>
  <si>
    <t>식사하고 가세요! 21</t>
  </si>
  <si>
    <t>식사하고 가세요! 26</t>
  </si>
  <si>
    <t>식사하고 가세요! 14</t>
  </si>
  <si>
    <t>[BL] 궁지에 몰린 쥐는 앙하고 문다 1</t>
  </si>
  <si>
    <t>[BL] 늑대와 마법사와 패치워크숲 (외전)</t>
  </si>
  <si>
    <t>리라이프 에이전트 10</t>
  </si>
  <si>
    <t>리라이프 에이전트 11</t>
  </si>
  <si>
    <t>[세트] 오빠와 결혼하면 (19세개정판) (총3권/완결)</t>
  </si>
  <si>
    <t>호애</t>
  </si>
  <si>
    <t>패배용사 -약골 용사의 에로 대모험- 1</t>
  </si>
  <si>
    <t>식사하고 가세요! 27</t>
  </si>
  <si>
    <t>식사하고 가세요! 28</t>
  </si>
  <si>
    <t>[세트] 황궁의 정원에는 개가 산다 (외전 포함) (총6권/완결)</t>
  </si>
  <si>
    <t>[BL] 공작 형제의 오메가 (외전)</t>
  </si>
  <si>
    <t>[BL] MC 플래터 2</t>
  </si>
  <si>
    <t>[BL] MC 플래터 3 (완결)</t>
  </si>
  <si>
    <t>신부 상속</t>
  </si>
  <si>
    <t>[BL] 히든 피스틸(Hidden Pistil) 4 (완결)</t>
  </si>
  <si>
    <t>친구 엄마와 친구 먹기 05</t>
  </si>
  <si>
    <t>랭킹 1위가 내 공간에서 힐링함 6</t>
  </si>
  <si>
    <t>남은건</t>
  </si>
  <si>
    <t>[세트] [BL] 쓰리 나이츠. 실제로 합니다 (외전 포함) (총4권/완결)</t>
  </si>
  <si>
    <t>육식동물 : 좀비 레전드 아포칼립스 09</t>
  </si>
  <si>
    <t>육식동물 : 좀비 레전드 아포칼립스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</si>
</sst>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E03C-ABC9-4325-8CE5-2C8B7E2955CB}">
  <dimension ref="A1:N1772"/>
  <sheetViews>
    <sheetView tabSelected="1" topLeftCell="A49" workbookViewId="0"/>
  </sheetViews>
  <sheetFormatPr defaultRowHeight="16.5" x14ac:dyDescent="0.3"/>
  <cols>
    <col min="1" max="1" width="16.625" bestFit="1" customWidth="1"/>
    <col min="8" max="8" width="16.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46059.458043981482</v>
      </c>
      <c r="B2">
        <v>181241293</v>
      </c>
      <c r="C2" t="s">
        <v>14</v>
      </c>
      <c r="D2" t="s">
        <v>15</v>
      </c>
      <c r="E2" s="2">
        <v>-1500</v>
      </c>
      <c r="F2" s="2">
        <v>-1500</v>
      </c>
      <c r="G2" s="2">
        <v>-1050</v>
      </c>
      <c r="H2" s="1">
        <v>46048.650011574071</v>
      </c>
      <c r="I2" t="s">
        <v>16</v>
      </c>
      <c r="J2" t="s">
        <v>17</v>
      </c>
      <c r="K2" t="s">
        <v>18</v>
      </c>
      <c r="L2" t="str">
        <f>T("9791133186792")</f>
        <v>9791133186792</v>
      </c>
      <c r="M2" t="str">
        <f t="shared" ref="M2:M65" si="0">T("")</f>
        <v/>
      </c>
      <c r="N2">
        <v>718041</v>
      </c>
    </row>
    <row r="3" spans="1:14" x14ac:dyDescent="0.3">
      <c r="A3" s="1">
        <v>46059.458043981482</v>
      </c>
      <c r="B3">
        <v>267360122</v>
      </c>
      <c r="C3" t="s">
        <v>19</v>
      </c>
      <c r="D3" t="s">
        <v>15</v>
      </c>
      <c r="E3" s="2">
        <v>-3500</v>
      </c>
      <c r="F3" s="2">
        <v>-3500</v>
      </c>
      <c r="G3" s="2">
        <v>-2450</v>
      </c>
      <c r="H3" s="1">
        <v>46048.650011574071</v>
      </c>
      <c r="I3" t="s">
        <v>16</v>
      </c>
      <c r="J3" t="s">
        <v>20</v>
      </c>
      <c r="K3" t="s">
        <v>18</v>
      </c>
      <c r="L3" t="str">
        <f>T("9791136912558")</f>
        <v>9791136912558</v>
      </c>
      <c r="M3" t="str">
        <f t="shared" si="0"/>
        <v/>
      </c>
      <c r="N3">
        <v>835304</v>
      </c>
    </row>
    <row r="4" spans="1:14" x14ac:dyDescent="0.3">
      <c r="A4" s="1">
        <v>46055.63082175926</v>
      </c>
      <c r="B4">
        <v>384177441</v>
      </c>
      <c r="C4" t="s">
        <v>21</v>
      </c>
      <c r="D4" t="s">
        <v>15</v>
      </c>
      <c r="E4" s="2">
        <v>-3500</v>
      </c>
      <c r="F4" s="2">
        <v>-3500</v>
      </c>
      <c r="G4" s="2">
        <v>-2450</v>
      </c>
      <c r="H4" s="1">
        <v>46053.784756944442</v>
      </c>
      <c r="I4" t="s">
        <v>22</v>
      </c>
      <c r="J4" t="s">
        <v>23</v>
      </c>
      <c r="K4" t="s">
        <v>18</v>
      </c>
      <c r="L4" t="str">
        <f>T("9791175309821")</f>
        <v>9791175309821</v>
      </c>
      <c r="M4" t="str">
        <f t="shared" si="0"/>
        <v/>
      </c>
      <c r="N4">
        <v>958592</v>
      </c>
    </row>
    <row r="5" spans="1:14" x14ac:dyDescent="0.3">
      <c r="A5" s="1">
        <v>46054.318136574075</v>
      </c>
      <c r="B5">
        <v>363738065</v>
      </c>
      <c r="C5" t="s">
        <v>24</v>
      </c>
      <c r="D5" t="s">
        <v>15</v>
      </c>
      <c r="E5" s="2">
        <v>10800</v>
      </c>
      <c r="F5" s="2">
        <v>10800</v>
      </c>
      <c r="G5" s="2">
        <v>7560</v>
      </c>
      <c r="I5" t="s">
        <v>25</v>
      </c>
      <c r="J5" t="s">
        <v>23</v>
      </c>
      <c r="K5" t="s">
        <v>18</v>
      </c>
      <c r="L5" t="str">
        <f>T("9791173783708")</f>
        <v>9791173783708</v>
      </c>
      <c r="M5" t="str">
        <f t="shared" si="0"/>
        <v/>
      </c>
    </row>
    <row r="6" spans="1:14" x14ac:dyDescent="0.3">
      <c r="A6" s="1">
        <v>46054.371018518519</v>
      </c>
      <c r="B6">
        <v>14308592</v>
      </c>
      <c r="C6" t="s">
        <v>26</v>
      </c>
      <c r="D6" t="s">
        <v>15</v>
      </c>
      <c r="E6" s="2">
        <v>3000</v>
      </c>
      <c r="F6" s="2">
        <v>3000</v>
      </c>
      <c r="G6" s="2">
        <v>2100</v>
      </c>
      <c r="I6" t="s">
        <v>27</v>
      </c>
      <c r="J6" t="s">
        <v>28</v>
      </c>
      <c r="K6" t="s">
        <v>18</v>
      </c>
      <c r="L6" t="str">
        <f>T("")</f>
        <v/>
      </c>
      <c r="M6" t="str">
        <f t="shared" si="0"/>
        <v/>
      </c>
    </row>
    <row r="7" spans="1:14" x14ac:dyDescent="0.3">
      <c r="A7" s="1">
        <v>46054.371018518519</v>
      </c>
      <c r="B7">
        <v>14308593</v>
      </c>
      <c r="C7" t="s">
        <v>29</v>
      </c>
      <c r="D7" t="s">
        <v>15</v>
      </c>
      <c r="E7" s="2">
        <v>3000</v>
      </c>
      <c r="F7" s="2">
        <v>3000</v>
      </c>
      <c r="G7" s="2">
        <v>2100</v>
      </c>
      <c r="I7" t="s">
        <v>27</v>
      </c>
      <c r="J7" t="s">
        <v>28</v>
      </c>
      <c r="K7" t="s">
        <v>18</v>
      </c>
      <c r="L7" t="str">
        <f>T("")</f>
        <v/>
      </c>
      <c r="M7" t="str">
        <f t="shared" si="0"/>
        <v/>
      </c>
    </row>
    <row r="8" spans="1:14" x14ac:dyDescent="0.3">
      <c r="A8" s="1">
        <v>46054.371018518519</v>
      </c>
      <c r="B8">
        <v>14308591</v>
      </c>
      <c r="C8" t="s">
        <v>30</v>
      </c>
      <c r="D8" t="s">
        <v>15</v>
      </c>
      <c r="E8" s="2">
        <v>3000</v>
      </c>
      <c r="F8" s="2">
        <v>3000</v>
      </c>
      <c r="G8" s="2">
        <v>2100</v>
      </c>
      <c r="I8" t="s">
        <v>27</v>
      </c>
      <c r="J8" t="s">
        <v>28</v>
      </c>
      <c r="K8" t="s">
        <v>18</v>
      </c>
      <c r="L8" t="str">
        <f>T("")</f>
        <v/>
      </c>
      <c r="M8" t="str">
        <f t="shared" si="0"/>
        <v/>
      </c>
    </row>
    <row r="9" spans="1:14" x14ac:dyDescent="0.3">
      <c r="A9" s="1">
        <v>46054.417071759257</v>
      </c>
      <c r="B9">
        <v>366387869</v>
      </c>
      <c r="C9" t="s">
        <v>31</v>
      </c>
      <c r="D9" t="s">
        <v>15</v>
      </c>
      <c r="E9" s="2">
        <v>18300</v>
      </c>
      <c r="F9" s="2">
        <v>18300</v>
      </c>
      <c r="G9" s="2">
        <v>12810</v>
      </c>
      <c r="I9" t="s">
        <v>32</v>
      </c>
      <c r="J9" t="s">
        <v>23</v>
      </c>
      <c r="K9" t="s">
        <v>18</v>
      </c>
      <c r="L9" t="str">
        <f>T("9791173786648")</f>
        <v>9791173786648</v>
      </c>
      <c r="M9" t="str">
        <f t="shared" si="0"/>
        <v/>
      </c>
    </row>
    <row r="10" spans="1:14" x14ac:dyDescent="0.3">
      <c r="A10" s="1">
        <v>46054.448622685188</v>
      </c>
      <c r="B10">
        <v>366169569</v>
      </c>
      <c r="C10" t="s">
        <v>33</v>
      </c>
      <c r="D10" t="s">
        <v>15</v>
      </c>
      <c r="E10" s="2">
        <v>3300</v>
      </c>
      <c r="F10" s="2">
        <v>3300</v>
      </c>
      <c r="G10" s="2">
        <v>2310</v>
      </c>
      <c r="I10" t="s">
        <v>34</v>
      </c>
      <c r="J10" t="s">
        <v>23</v>
      </c>
      <c r="K10" t="s">
        <v>18</v>
      </c>
      <c r="L10" t="str">
        <f>T("9791173784644")</f>
        <v>9791173784644</v>
      </c>
      <c r="M10" t="str">
        <f t="shared" si="0"/>
        <v/>
      </c>
      <c r="N10">
        <v>948979</v>
      </c>
    </row>
    <row r="11" spans="1:14" x14ac:dyDescent="0.3">
      <c r="A11" s="1">
        <v>46054.46770833333</v>
      </c>
      <c r="B11">
        <v>366387869</v>
      </c>
      <c r="C11" t="s">
        <v>31</v>
      </c>
      <c r="D11" t="s">
        <v>15</v>
      </c>
      <c r="E11" s="2">
        <v>18300</v>
      </c>
      <c r="F11" s="2">
        <v>18300</v>
      </c>
      <c r="G11" s="2">
        <v>12810</v>
      </c>
      <c r="I11" t="s">
        <v>32</v>
      </c>
      <c r="J11" t="s">
        <v>23</v>
      </c>
      <c r="K11" t="s">
        <v>18</v>
      </c>
      <c r="L11" t="str">
        <f>T("9791173786648")</f>
        <v>9791173786648</v>
      </c>
      <c r="M11" t="str">
        <f t="shared" si="0"/>
        <v/>
      </c>
    </row>
    <row r="12" spans="1:14" x14ac:dyDescent="0.3">
      <c r="A12" s="1">
        <v>46054.473333333335</v>
      </c>
      <c r="B12">
        <v>369306537</v>
      </c>
      <c r="C12" t="s">
        <v>35</v>
      </c>
      <c r="D12" t="s">
        <v>15</v>
      </c>
      <c r="E12" s="2">
        <v>-1000</v>
      </c>
      <c r="F12" s="2">
        <v>-1000</v>
      </c>
      <c r="G12">
        <v>-700</v>
      </c>
      <c r="H12" s="1">
        <v>46054.469108796293</v>
      </c>
      <c r="I12" t="s">
        <v>36</v>
      </c>
      <c r="J12" t="s">
        <v>37</v>
      </c>
      <c r="K12" t="s">
        <v>18</v>
      </c>
      <c r="L12" t="str">
        <f>T("9791173786402")</f>
        <v>9791173786402</v>
      </c>
      <c r="M12" t="str">
        <f t="shared" si="0"/>
        <v/>
      </c>
      <c r="N12">
        <v>950696</v>
      </c>
    </row>
    <row r="13" spans="1:14" x14ac:dyDescent="0.3">
      <c r="A13" s="1">
        <v>46054.469108796293</v>
      </c>
      <c r="B13">
        <v>369306537</v>
      </c>
      <c r="C13" t="s">
        <v>35</v>
      </c>
      <c r="D13" t="s">
        <v>15</v>
      </c>
      <c r="E13" s="2">
        <v>1000</v>
      </c>
      <c r="F13" s="2">
        <v>1000</v>
      </c>
      <c r="G13">
        <v>700</v>
      </c>
      <c r="I13" t="s">
        <v>36</v>
      </c>
      <c r="J13" t="s">
        <v>37</v>
      </c>
      <c r="K13" t="s">
        <v>18</v>
      </c>
      <c r="L13" t="str">
        <f>T("9791173786402")</f>
        <v>9791173786402</v>
      </c>
      <c r="M13" t="str">
        <f t="shared" si="0"/>
        <v/>
      </c>
      <c r="N13">
        <v>950696</v>
      </c>
    </row>
    <row r="14" spans="1:14" x14ac:dyDescent="0.3">
      <c r="A14" s="1">
        <v>46054.469108796293</v>
      </c>
      <c r="B14">
        <v>354572364</v>
      </c>
      <c r="C14" t="s">
        <v>38</v>
      </c>
      <c r="D14" t="s">
        <v>15</v>
      </c>
      <c r="E14" s="2">
        <v>1000</v>
      </c>
      <c r="F14" s="2">
        <v>1000</v>
      </c>
      <c r="G14">
        <v>700</v>
      </c>
      <c r="I14" t="s">
        <v>36</v>
      </c>
      <c r="J14" t="s">
        <v>37</v>
      </c>
      <c r="K14" t="s">
        <v>18</v>
      </c>
      <c r="L14" t="str">
        <f>T("9791172923365")</f>
        <v>9791172923365</v>
      </c>
      <c r="M14" t="str">
        <f t="shared" si="0"/>
        <v/>
      </c>
      <c r="N14">
        <v>932802</v>
      </c>
    </row>
    <row r="15" spans="1:14" x14ac:dyDescent="0.3">
      <c r="A15" s="1">
        <v>46054.473333333335</v>
      </c>
      <c r="B15">
        <v>354572364</v>
      </c>
      <c r="C15" t="s">
        <v>38</v>
      </c>
      <c r="D15" t="s">
        <v>15</v>
      </c>
      <c r="E15" s="2">
        <v>-1000</v>
      </c>
      <c r="F15" s="2">
        <v>-1000</v>
      </c>
      <c r="G15">
        <v>-700</v>
      </c>
      <c r="H15" s="1">
        <v>46054.469108796293</v>
      </c>
      <c r="I15" t="s">
        <v>36</v>
      </c>
      <c r="J15" t="s">
        <v>37</v>
      </c>
      <c r="K15" t="s">
        <v>18</v>
      </c>
      <c r="L15" t="str">
        <f>T("9791172923365")</f>
        <v>9791172923365</v>
      </c>
      <c r="M15" t="str">
        <f t="shared" si="0"/>
        <v/>
      </c>
      <c r="N15">
        <v>932802</v>
      </c>
    </row>
    <row r="16" spans="1:14" x14ac:dyDescent="0.3">
      <c r="A16" s="1">
        <v>46054.469108796293</v>
      </c>
      <c r="B16">
        <v>321811944</v>
      </c>
      <c r="C16" t="s">
        <v>39</v>
      </c>
      <c r="D16" t="s">
        <v>15</v>
      </c>
      <c r="E16" s="2">
        <v>3700</v>
      </c>
      <c r="F16" s="2">
        <v>3700</v>
      </c>
      <c r="G16" s="2">
        <v>2590</v>
      </c>
      <c r="I16" t="s">
        <v>36</v>
      </c>
      <c r="J16" t="s">
        <v>37</v>
      </c>
      <c r="K16" t="s">
        <v>18</v>
      </c>
      <c r="L16" t="str">
        <f>T("9791136938121")</f>
        <v>9791136938121</v>
      </c>
      <c r="M16" t="str">
        <f t="shared" si="0"/>
        <v/>
      </c>
      <c r="N16">
        <v>911112</v>
      </c>
    </row>
    <row r="17" spans="1:14" x14ac:dyDescent="0.3">
      <c r="A17" s="1">
        <v>46054.473333333335</v>
      </c>
      <c r="B17">
        <v>321811944</v>
      </c>
      <c r="C17" t="s">
        <v>39</v>
      </c>
      <c r="D17" t="s">
        <v>15</v>
      </c>
      <c r="E17" s="2">
        <v>-3700</v>
      </c>
      <c r="F17" s="2">
        <v>-3700</v>
      </c>
      <c r="G17" s="2">
        <v>-2590</v>
      </c>
      <c r="H17" s="1">
        <v>46054.469108796293</v>
      </c>
      <c r="I17" t="s">
        <v>36</v>
      </c>
      <c r="J17" t="s">
        <v>37</v>
      </c>
      <c r="K17" t="s">
        <v>18</v>
      </c>
      <c r="L17" t="str">
        <f>T("9791136938121")</f>
        <v>9791136938121</v>
      </c>
      <c r="M17" t="str">
        <f t="shared" si="0"/>
        <v/>
      </c>
      <c r="N17">
        <v>911112</v>
      </c>
    </row>
    <row r="18" spans="1:14" x14ac:dyDescent="0.3">
      <c r="A18" s="1">
        <v>46054.473333333335</v>
      </c>
      <c r="B18">
        <v>321811986</v>
      </c>
      <c r="C18" t="s">
        <v>40</v>
      </c>
      <c r="D18" t="s">
        <v>15</v>
      </c>
      <c r="E18" s="2">
        <v>-3700</v>
      </c>
      <c r="F18" s="2">
        <v>-3700</v>
      </c>
      <c r="G18" s="2">
        <v>-2590</v>
      </c>
      <c r="H18" s="1">
        <v>46054.469108796293</v>
      </c>
      <c r="I18" t="s">
        <v>36</v>
      </c>
      <c r="J18" t="s">
        <v>37</v>
      </c>
      <c r="K18" t="s">
        <v>18</v>
      </c>
      <c r="L18" t="str">
        <f>T("9791136938107")</f>
        <v>9791136938107</v>
      </c>
      <c r="M18" t="str">
        <f t="shared" si="0"/>
        <v/>
      </c>
      <c r="N18">
        <v>911113</v>
      </c>
    </row>
    <row r="19" spans="1:14" x14ac:dyDescent="0.3">
      <c r="A19" s="1">
        <v>46054.469108796293</v>
      </c>
      <c r="B19">
        <v>321811986</v>
      </c>
      <c r="C19" t="s">
        <v>40</v>
      </c>
      <c r="D19" t="s">
        <v>15</v>
      </c>
      <c r="E19" s="2">
        <v>3700</v>
      </c>
      <c r="F19" s="2">
        <v>3700</v>
      </c>
      <c r="G19" s="2">
        <v>2590</v>
      </c>
      <c r="I19" t="s">
        <v>36</v>
      </c>
      <c r="J19" t="s">
        <v>37</v>
      </c>
      <c r="K19" t="s">
        <v>18</v>
      </c>
      <c r="L19" t="str">
        <f>T("9791136938107")</f>
        <v>9791136938107</v>
      </c>
      <c r="M19" t="str">
        <f t="shared" si="0"/>
        <v/>
      </c>
      <c r="N19">
        <v>911113</v>
      </c>
    </row>
    <row r="20" spans="1:14" x14ac:dyDescent="0.3">
      <c r="A20" s="1">
        <v>46054.469108796293</v>
      </c>
      <c r="B20">
        <v>321812002</v>
      </c>
      <c r="C20" t="s">
        <v>41</v>
      </c>
      <c r="D20" t="s">
        <v>15</v>
      </c>
      <c r="E20" s="2">
        <v>3700</v>
      </c>
      <c r="F20" s="2">
        <v>3700</v>
      </c>
      <c r="G20" s="2">
        <v>2590</v>
      </c>
      <c r="I20" t="s">
        <v>36</v>
      </c>
      <c r="J20" t="s">
        <v>37</v>
      </c>
      <c r="K20" t="s">
        <v>18</v>
      </c>
      <c r="L20" t="str">
        <f>T("9791136938091")</f>
        <v>9791136938091</v>
      </c>
      <c r="M20" t="str">
        <f t="shared" si="0"/>
        <v/>
      </c>
      <c r="N20">
        <v>911114</v>
      </c>
    </row>
    <row r="21" spans="1:14" x14ac:dyDescent="0.3">
      <c r="A21" s="1">
        <v>46054.473333333335</v>
      </c>
      <c r="B21">
        <v>321812002</v>
      </c>
      <c r="C21" t="s">
        <v>41</v>
      </c>
      <c r="D21" t="s">
        <v>15</v>
      </c>
      <c r="E21" s="2">
        <v>-3700</v>
      </c>
      <c r="F21" s="2">
        <v>-3700</v>
      </c>
      <c r="G21" s="2">
        <v>-2590</v>
      </c>
      <c r="H21" s="1">
        <v>46054.469108796293</v>
      </c>
      <c r="I21" t="s">
        <v>36</v>
      </c>
      <c r="J21" t="s">
        <v>37</v>
      </c>
      <c r="K21" t="s">
        <v>18</v>
      </c>
      <c r="L21" t="str">
        <f>T("9791136938091")</f>
        <v>9791136938091</v>
      </c>
      <c r="M21" t="str">
        <f t="shared" si="0"/>
        <v/>
      </c>
      <c r="N21">
        <v>911114</v>
      </c>
    </row>
    <row r="22" spans="1:14" x14ac:dyDescent="0.3">
      <c r="A22" s="1">
        <v>46054.473333333335</v>
      </c>
      <c r="B22">
        <v>338609849</v>
      </c>
      <c r="C22" t="s">
        <v>42</v>
      </c>
      <c r="D22" t="s">
        <v>15</v>
      </c>
      <c r="E22" s="2">
        <v>-2000</v>
      </c>
      <c r="F22" s="2">
        <v>-2000</v>
      </c>
      <c r="G22" s="2">
        <v>-1400</v>
      </c>
      <c r="H22" s="1">
        <v>46054.469108796293</v>
      </c>
      <c r="I22" t="s">
        <v>36</v>
      </c>
      <c r="J22" t="s">
        <v>37</v>
      </c>
      <c r="K22" t="s">
        <v>18</v>
      </c>
      <c r="L22" t="str">
        <f>T("9791136958143")</f>
        <v>9791136958143</v>
      </c>
      <c r="M22" t="str">
        <f t="shared" si="0"/>
        <v/>
      </c>
      <c r="N22">
        <v>921601</v>
      </c>
    </row>
    <row r="23" spans="1:14" x14ac:dyDescent="0.3">
      <c r="A23" s="1">
        <v>46054.469108796293</v>
      </c>
      <c r="B23">
        <v>338609849</v>
      </c>
      <c r="C23" t="s">
        <v>42</v>
      </c>
      <c r="D23" t="s">
        <v>15</v>
      </c>
      <c r="E23" s="2">
        <v>2000</v>
      </c>
      <c r="F23" s="2">
        <v>2000</v>
      </c>
      <c r="G23" s="2">
        <v>1400</v>
      </c>
      <c r="I23" t="s">
        <v>36</v>
      </c>
      <c r="J23" t="s">
        <v>37</v>
      </c>
      <c r="K23" t="s">
        <v>18</v>
      </c>
      <c r="L23" t="str">
        <f>T("9791136958143")</f>
        <v>9791136958143</v>
      </c>
      <c r="M23" t="str">
        <f t="shared" si="0"/>
        <v/>
      </c>
      <c r="N23">
        <v>921601</v>
      </c>
    </row>
    <row r="24" spans="1:14" x14ac:dyDescent="0.3">
      <c r="A24" s="1">
        <v>46054.475717592592</v>
      </c>
      <c r="B24">
        <v>346154638</v>
      </c>
      <c r="C24" t="s">
        <v>43</v>
      </c>
      <c r="D24" t="s">
        <v>15</v>
      </c>
      <c r="E24" s="2">
        <v>3300</v>
      </c>
      <c r="F24" s="2">
        <v>3300</v>
      </c>
      <c r="G24" s="2">
        <v>2310</v>
      </c>
      <c r="I24" t="s">
        <v>32</v>
      </c>
      <c r="J24" t="s">
        <v>23</v>
      </c>
      <c r="K24" t="s">
        <v>18</v>
      </c>
      <c r="L24" t="str">
        <f>T("9791136927255")</f>
        <v>9791136927255</v>
      </c>
      <c r="M24" t="str">
        <f t="shared" si="0"/>
        <v/>
      </c>
      <c r="N24">
        <v>928444</v>
      </c>
    </row>
    <row r="25" spans="1:14" x14ac:dyDescent="0.3">
      <c r="A25" s="1">
        <v>46054.475717592592</v>
      </c>
      <c r="B25">
        <v>346154719</v>
      </c>
      <c r="C25" t="s">
        <v>44</v>
      </c>
      <c r="D25" t="s">
        <v>15</v>
      </c>
      <c r="E25" s="2">
        <v>3300</v>
      </c>
      <c r="F25" s="2">
        <v>3300</v>
      </c>
      <c r="G25" s="2">
        <v>2310</v>
      </c>
      <c r="I25" t="s">
        <v>32</v>
      </c>
      <c r="J25" t="s">
        <v>23</v>
      </c>
      <c r="K25" t="s">
        <v>18</v>
      </c>
      <c r="L25" t="str">
        <f>T("9791136927675")</f>
        <v>9791136927675</v>
      </c>
      <c r="M25" t="str">
        <f t="shared" si="0"/>
        <v/>
      </c>
      <c r="N25">
        <v>928443</v>
      </c>
    </row>
    <row r="26" spans="1:14" x14ac:dyDescent="0.3">
      <c r="A26" s="1">
        <v>46054.475717592592</v>
      </c>
      <c r="B26">
        <v>346154245</v>
      </c>
      <c r="C26" t="s">
        <v>45</v>
      </c>
      <c r="D26" t="s">
        <v>15</v>
      </c>
      <c r="E26" s="2">
        <v>3300</v>
      </c>
      <c r="F26" s="2">
        <v>3300</v>
      </c>
      <c r="G26" s="2">
        <v>2310</v>
      </c>
      <c r="I26" t="s">
        <v>32</v>
      </c>
      <c r="J26" t="s">
        <v>23</v>
      </c>
      <c r="K26" t="s">
        <v>18</v>
      </c>
      <c r="L26" t="str">
        <f>T("9791136940728")</f>
        <v>9791136940728</v>
      </c>
      <c r="M26" t="str">
        <f t="shared" si="0"/>
        <v/>
      </c>
      <c r="N26">
        <v>928441</v>
      </c>
    </row>
    <row r="27" spans="1:14" x14ac:dyDescent="0.3">
      <c r="A27" s="1">
        <v>46054.475717592592</v>
      </c>
      <c r="B27">
        <v>346154276</v>
      </c>
      <c r="C27" t="s">
        <v>46</v>
      </c>
      <c r="D27" t="s">
        <v>15</v>
      </c>
      <c r="E27" s="2">
        <v>3300</v>
      </c>
      <c r="F27" s="2">
        <v>3300</v>
      </c>
      <c r="G27" s="2">
        <v>2310</v>
      </c>
      <c r="I27" t="s">
        <v>32</v>
      </c>
      <c r="J27" t="s">
        <v>23</v>
      </c>
      <c r="K27" t="s">
        <v>18</v>
      </c>
      <c r="L27" t="str">
        <f>T("9791136940704")</f>
        <v>9791136940704</v>
      </c>
      <c r="M27" t="str">
        <f t="shared" si="0"/>
        <v/>
      </c>
      <c r="N27">
        <v>928442</v>
      </c>
    </row>
    <row r="28" spans="1:14" x14ac:dyDescent="0.3">
      <c r="A28" s="1">
        <v>46054.486261574071</v>
      </c>
      <c r="B28">
        <v>385129183</v>
      </c>
      <c r="C28" t="s">
        <v>47</v>
      </c>
      <c r="D28" t="s">
        <v>15</v>
      </c>
      <c r="E28" s="2">
        <v>3200</v>
      </c>
      <c r="F28" s="2">
        <v>3200</v>
      </c>
      <c r="G28" s="2">
        <v>2240</v>
      </c>
      <c r="I28" t="s">
        <v>48</v>
      </c>
      <c r="J28" t="s">
        <v>49</v>
      </c>
      <c r="K28" t="s">
        <v>18</v>
      </c>
      <c r="L28" t="str">
        <f>T("9791175305151")</f>
        <v>9791175305151</v>
      </c>
      <c r="M28" t="str">
        <f t="shared" si="0"/>
        <v/>
      </c>
      <c r="N28">
        <v>954900</v>
      </c>
    </row>
    <row r="29" spans="1:14" x14ac:dyDescent="0.3">
      <c r="A29" s="1">
        <v>46054.658750000002</v>
      </c>
      <c r="B29">
        <v>338609849</v>
      </c>
      <c r="C29" t="s">
        <v>42</v>
      </c>
      <c r="D29" t="s">
        <v>15</v>
      </c>
      <c r="E29" s="2">
        <v>2000</v>
      </c>
      <c r="F29" s="2">
        <v>2000</v>
      </c>
      <c r="G29" s="2">
        <v>1400</v>
      </c>
      <c r="I29" t="s">
        <v>36</v>
      </c>
      <c r="J29" t="s">
        <v>37</v>
      </c>
      <c r="K29" t="s">
        <v>18</v>
      </c>
      <c r="L29" t="str">
        <f>T("9791136958143")</f>
        <v>9791136958143</v>
      </c>
      <c r="M29" t="str">
        <f t="shared" si="0"/>
        <v/>
      </c>
      <c r="N29">
        <v>921601</v>
      </c>
    </row>
    <row r="30" spans="1:14" x14ac:dyDescent="0.3">
      <c r="A30" s="1">
        <v>46054.658750000002</v>
      </c>
      <c r="B30">
        <v>369306537</v>
      </c>
      <c r="C30" t="s">
        <v>35</v>
      </c>
      <c r="D30" t="s">
        <v>15</v>
      </c>
      <c r="E30" s="2">
        <v>1000</v>
      </c>
      <c r="F30" s="2">
        <v>1000</v>
      </c>
      <c r="G30">
        <v>700</v>
      </c>
      <c r="I30" t="s">
        <v>36</v>
      </c>
      <c r="J30" t="s">
        <v>37</v>
      </c>
      <c r="K30" t="s">
        <v>18</v>
      </c>
      <c r="L30" t="str">
        <f>T("9791173786402")</f>
        <v>9791173786402</v>
      </c>
      <c r="M30" t="str">
        <f t="shared" si="0"/>
        <v/>
      </c>
      <c r="N30">
        <v>950696</v>
      </c>
    </row>
    <row r="31" spans="1:14" x14ac:dyDescent="0.3">
      <c r="A31" s="1">
        <v>46054.658750000002</v>
      </c>
      <c r="B31">
        <v>354572364</v>
      </c>
      <c r="C31" t="s">
        <v>38</v>
      </c>
      <c r="D31" t="s">
        <v>15</v>
      </c>
      <c r="E31" s="2">
        <v>1000</v>
      </c>
      <c r="F31" s="2">
        <v>1000</v>
      </c>
      <c r="G31">
        <v>700</v>
      </c>
      <c r="I31" t="s">
        <v>36</v>
      </c>
      <c r="J31" t="s">
        <v>37</v>
      </c>
      <c r="K31" t="s">
        <v>18</v>
      </c>
      <c r="L31" t="str">
        <f>T("9791172923365")</f>
        <v>9791172923365</v>
      </c>
      <c r="M31" t="str">
        <f t="shared" si="0"/>
        <v/>
      </c>
      <c r="N31">
        <v>932802</v>
      </c>
    </row>
    <row r="32" spans="1:14" x14ac:dyDescent="0.3">
      <c r="A32" s="1">
        <v>46054.658750000002</v>
      </c>
      <c r="B32">
        <v>321812002</v>
      </c>
      <c r="C32" t="s">
        <v>41</v>
      </c>
      <c r="D32" t="s">
        <v>15</v>
      </c>
      <c r="E32" s="2">
        <v>3700</v>
      </c>
      <c r="F32" s="2">
        <v>3700</v>
      </c>
      <c r="G32" s="2">
        <v>2590</v>
      </c>
      <c r="I32" t="s">
        <v>36</v>
      </c>
      <c r="J32" t="s">
        <v>37</v>
      </c>
      <c r="K32" t="s">
        <v>18</v>
      </c>
      <c r="L32" t="str">
        <f>T("9791136938091")</f>
        <v>9791136938091</v>
      </c>
      <c r="M32" t="str">
        <f t="shared" si="0"/>
        <v/>
      </c>
      <c r="N32">
        <v>911114</v>
      </c>
    </row>
    <row r="33" spans="1:14" x14ac:dyDescent="0.3">
      <c r="A33" s="1">
        <v>46054.658750000002</v>
      </c>
      <c r="B33">
        <v>321811944</v>
      </c>
      <c r="C33" t="s">
        <v>39</v>
      </c>
      <c r="D33" t="s">
        <v>15</v>
      </c>
      <c r="E33" s="2">
        <v>3700</v>
      </c>
      <c r="F33" s="2">
        <v>3700</v>
      </c>
      <c r="G33" s="2">
        <v>2590</v>
      </c>
      <c r="I33" t="s">
        <v>36</v>
      </c>
      <c r="J33" t="s">
        <v>37</v>
      </c>
      <c r="K33" t="s">
        <v>18</v>
      </c>
      <c r="L33" t="str">
        <f>T("9791136938121")</f>
        <v>9791136938121</v>
      </c>
      <c r="M33" t="str">
        <f t="shared" si="0"/>
        <v/>
      </c>
      <c r="N33">
        <v>911112</v>
      </c>
    </row>
    <row r="34" spans="1:14" x14ac:dyDescent="0.3">
      <c r="A34" s="1">
        <v>46054.658750000002</v>
      </c>
      <c r="B34">
        <v>321811986</v>
      </c>
      <c r="C34" t="s">
        <v>40</v>
      </c>
      <c r="D34" t="s">
        <v>15</v>
      </c>
      <c r="E34" s="2">
        <v>3700</v>
      </c>
      <c r="F34" s="2">
        <v>3700</v>
      </c>
      <c r="G34" s="2">
        <v>2590</v>
      </c>
      <c r="I34" t="s">
        <v>36</v>
      </c>
      <c r="J34" t="s">
        <v>37</v>
      </c>
      <c r="K34" t="s">
        <v>18</v>
      </c>
      <c r="L34" t="str">
        <f>T("9791136938107")</f>
        <v>9791136938107</v>
      </c>
      <c r="M34" t="str">
        <f t="shared" si="0"/>
        <v/>
      </c>
      <c r="N34">
        <v>911113</v>
      </c>
    </row>
    <row r="35" spans="1:14" x14ac:dyDescent="0.3">
      <c r="A35" s="1">
        <v>46054.789918981478</v>
      </c>
      <c r="B35">
        <v>361759402</v>
      </c>
      <c r="C35" t="s">
        <v>50</v>
      </c>
      <c r="D35" t="s">
        <v>15</v>
      </c>
      <c r="E35">
        <v>0</v>
      </c>
      <c r="F35">
        <v>0</v>
      </c>
      <c r="G35">
        <v>0</v>
      </c>
      <c r="I35" t="s">
        <v>51</v>
      </c>
      <c r="J35" t="s">
        <v>52</v>
      </c>
      <c r="K35" t="s">
        <v>18</v>
      </c>
      <c r="L35" t="str">
        <f>T("9791173782381")</f>
        <v>9791173782381</v>
      </c>
      <c r="M35" t="str">
        <f t="shared" si="0"/>
        <v/>
      </c>
      <c r="N35">
        <v>946964</v>
      </c>
    </row>
    <row r="36" spans="1:14" x14ac:dyDescent="0.3">
      <c r="A36" s="1">
        <v>46054.789918981478</v>
      </c>
      <c r="B36">
        <v>358358066</v>
      </c>
      <c r="C36" t="s">
        <v>53</v>
      </c>
      <c r="D36" t="s">
        <v>15</v>
      </c>
      <c r="E36">
        <v>0</v>
      </c>
      <c r="F36">
        <v>0</v>
      </c>
      <c r="G36">
        <v>0</v>
      </c>
      <c r="I36" t="s">
        <v>54</v>
      </c>
      <c r="J36" t="s">
        <v>52</v>
      </c>
      <c r="K36" t="s">
        <v>18</v>
      </c>
      <c r="L36" t="str">
        <f>T("9791172927165")</f>
        <v>9791172927165</v>
      </c>
      <c r="M36" t="str">
        <f t="shared" si="0"/>
        <v/>
      </c>
      <c r="N36">
        <v>938967</v>
      </c>
    </row>
    <row r="37" spans="1:14" x14ac:dyDescent="0.3">
      <c r="A37" s="1">
        <v>46054.836388888885</v>
      </c>
      <c r="B37">
        <v>370422694</v>
      </c>
      <c r="C37" t="s">
        <v>55</v>
      </c>
      <c r="D37" t="s">
        <v>15</v>
      </c>
      <c r="E37">
        <v>0</v>
      </c>
      <c r="F37">
        <v>0</v>
      </c>
      <c r="G37">
        <v>0</v>
      </c>
      <c r="I37" t="s">
        <v>56</v>
      </c>
      <c r="J37" t="s">
        <v>52</v>
      </c>
      <c r="K37" t="s">
        <v>18</v>
      </c>
      <c r="L37" t="str">
        <f>T("9791175301368")</f>
        <v>9791175301368</v>
      </c>
      <c r="M37" t="str">
        <f t="shared" si="0"/>
        <v/>
      </c>
      <c r="N37">
        <v>952865</v>
      </c>
    </row>
    <row r="38" spans="1:14" x14ac:dyDescent="0.3">
      <c r="A38" s="1">
        <v>46054.857164351852</v>
      </c>
      <c r="B38">
        <v>373442871</v>
      </c>
      <c r="C38" t="s">
        <v>57</v>
      </c>
      <c r="D38" t="s">
        <v>15</v>
      </c>
      <c r="E38">
        <v>0</v>
      </c>
      <c r="F38">
        <v>0</v>
      </c>
      <c r="G38">
        <v>0</v>
      </c>
      <c r="I38" t="s">
        <v>58</v>
      </c>
      <c r="J38" t="s">
        <v>59</v>
      </c>
      <c r="K38" t="s">
        <v>18</v>
      </c>
      <c r="L38" t="str">
        <f>T("9791136957986")</f>
        <v>9791136957986</v>
      </c>
      <c r="M38" t="str">
        <f t="shared" si="0"/>
        <v/>
      </c>
      <c r="N38">
        <v>921574</v>
      </c>
    </row>
    <row r="39" spans="1:14" x14ac:dyDescent="0.3">
      <c r="A39" s="1">
        <v>46054.916400462964</v>
      </c>
      <c r="B39">
        <v>341681878</v>
      </c>
      <c r="C39" t="s">
        <v>60</v>
      </c>
      <c r="D39" t="s">
        <v>15</v>
      </c>
      <c r="E39">
        <v>0</v>
      </c>
      <c r="F39">
        <v>0</v>
      </c>
      <c r="G39">
        <v>0</v>
      </c>
      <c r="I39" t="s">
        <v>61</v>
      </c>
      <c r="J39" t="s">
        <v>59</v>
      </c>
      <c r="K39" t="s">
        <v>18</v>
      </c>
      <c r="L39" t="str">
        <f>T("9791136916969")</f>
        <v>9791136916969</v>
      </c>
      <c r="M39" t="str">
        <f t="shared" si="0"/>
        <v/>
      </c>
      <c r="N39">
        <v>866099</v>
      </c>
    </row>
    <row r="40" spans="1:14" x14ac:dyDescent="0.3">
      <c r="A40" s="1">
        <v>46054.916817129626</v>
      </c>
      <c r="B40">
        <v>341681875</v>
      </c>
      <c r="C40" t="s">
        <v>62</v>
      </c>
      <c r="D40" t="s">
        <v>15</v>
      </c>
      <c r="E40" s="2">
        <v>3200</v>
      </c>
      <c r="F40" s="2">
        <v>3200</v>
      </c>
      <c r="G40" s="2">
        <v>2240</v>
      </c>
      <c r="I40" t="s">
        <v>61</v>
      </c>
      <c r="J40" t="s">
        <v>59</v>
      </c>
      <c r="K40" t="s">
        <v>18</v>
      </c>
      <c r="L40" t="str">
        <f>T("9791136916976")</f>
        <v>9791136916976</v>
      </c>
      <c r="M40" t="str">
        <f t="shared" si="0"/>
        <v/>
      </c>
      <c r="N40">
        <v>866098</v>
      </c>
    </row>
    <row r="41" spans="1:14" x14ac:dyDescent="0.3">
      <c r="A41" s="1">
        <v>46054.919942129629</v>
      </c>
      <c r="B41">
        <v>384178927</v>
      </c>
      <c r="C41" t="s">
        <v>63</v>
      </c>
      <c r="D41" t="s">
        <v>15</v>
      </c>
      <c r="E41" s="2">
        <v>21000</v>
      </c>
      <c r="F41" s="2">
        <v>21000</v>
      </c>
      <c r="G41" s="2">
        <v>14700</v>
      </c>
      <c r="I41" t="s">
        <v>22</v>
      </c>
      <c r="J41" t="s">
        <v>23</v>
      </c>
      <c r="K41" t="s">
        <v>18</v>
      </c>
      <c r="L41" t="str">
        <f>T("9791175309760")</f>
        <v>9791175309760</v>
      </c>
      <c r="M41" t="str">
        <f t="shared" si="0"/>
        <v/>
      </c>
    </row>
    <row r="42" spans="1:14" x14ac:dyDescent="0.3">
      <c r="A42" s="1">
        <v>46054.955682870372</v>
      </c>
      <c r="B42">
        <v>347054407</v>
      </c>
      <c r="C42" t="s">
        <v>64</v>
      </c>
      <c r="D42" t="s">
        <v>15</v>
      </c>
      <c r="E42">
        <v>0</v>
      </c>
      <c r="F42">
        <v>0</v>
      </c>
      <c r="G42">
        <v>0</v>
      </c>
      <c r="I42" t="s">
        <v>65</v>
      </c>
      <c r="J42" t="s">
        <v>59</v>
      </c>
      <c r="K42" t="s">
        <v>18</v>
      </c>
      <c r="L42" t="str">
        <f>T("9791172920258")</f>
        <v>9791172920258</v>
      </c>
      <c r="M42" t="str">
        <f t="shared" si="0"/>
        <v/>
      </c>
      <c r="N42">
        <v>930427</v>
      </c>
    </row>
    <row r="43" spans="1:14" x14ac:dyDescent="0.3">
      <c r="A43" s="1">
        <v>46054.966979166667</v>
      </c>
      <c r="B43">
        <v>369306709</v>
      </c>
      <c r="C43" t="s">
        <v>66</v>
      </c>
      <c r="D43" t="s">
        <v>15</v>
      </c>
      <c r="E43" s="2">
        <v>1600</v>
      </c>
      <c r="F43" s="2">
        <v>1600</v>
      </c>
      <c r="G43" s="2">
        <v>1120</v>
      </c>
      <c r="I43" t="s">
        <v>67</v>
      </c>
      <c r="J43" t="s">
        <v>23</v>
      </c>
      <c r="K43" t="s">
        <v>18</v>
      </c>
      <c r="L43" t="str">
        <f>T("9791173788444")</f>
        <v>9791173788444</v>
      </c>
      <c r="M43" t="str">
        <f t="shared" si="0"/>
        <v/>
      </c>
      <c r="N43">
        <v>951933</v>
      </c>
    </row>
    <row r="44" spans="1:14" x14ac:dyDescent="0.3">
      <c r="A44" s="1">
        <v>46054.973865740743</v>
      </c>
      <c r="B44">
        <v>384904132</v>
      </c>
      <c r="C44" t="s">
        <v>68</v>
      </c>
      <c r="D44" t="s">
        <v>15</v>
      </c>
      <c r="E44" s="2">
        <v>3300</v>
      </c>
      <c r="F44" s="2">
        <v>2970</v>
      </c>
      <c r="G44" s="2">
        <v>2079</v>
      </c>
      <c r="I44" t="s">
        <v>69</v>
      </c>
      <c r="J44" t="s">
        <v>70</v>
      </c>
      <c r="K44" t="s">
        <v>18</v>
      </c>
      <c r="L44" t="str">
        <f>T("9791175307001")</f>
        <v>9791175307001</v>
      </c>
      <c r="M44" t="str">
        <f t="shared" si="0"/>
        <v/>
      </c>
      <c r="N44">
        <v>956795</v>
      </c>
    </row>
    <row r="45" spans="1:14" x14ac:dyDescent="0.3">
      <c r="A45" s="1">
        <v>46055.152384259258</v>
      </c>
      <c r="B45">
        <v>367023536</v>
      </c>
      <c r="C45" t="s">
        <v>71</v>
      </c>
      <c r="D45" t="s">
        <v>15</v>
      </c>
      <c r="E45" s="2">
        <v>3600</v>
      </c>
      <c r="F45" s="2">
        <v>3600</v>
      </c>
      <c r="G45" s="2">
        <v>2520</v>
      </c>
      <c r="I45" t="s">
        <v>72</v>
      </c>
      <c r="J45" t="s">
        <v>73</v>
      </c>
      <c r="K45" t="s">
        <v>18</v>
      </c>
      <c r="L45" t="str">
        <f>T("9791173786389")</f>
        <v>9791173786389</v>
      </c>
      <c r="M45" t="str">
        <f t="shared" si="0"/>
        <v/>
      </c>
      <c r="N45">
        <v>950701</v>
      </c>
    </row>
    <row r="46" spans="1:14" x14ac:dyDescent="0.3">
      <c r="A46" s="1">
        <v>46055.227986111109</v>
      </c>
      <c r="B46">
        <v>385129801</v>
      </c>
      <c r="C46" t="s">
        <v>74</v>
      </c>
      <c r="D46" t="s">
        <v>15</v>
      </c>
      <c r="E46" s="2">
        <v>12000</v>
      </c>
      <c r="F46" s="2">
        <v>10800</v>
      </c>
      <c r="G46" s="2">
        <v>7560</v>
      </c>
      <c r="I46" t="s">
        <v>75</v>
      </c>
      <c r="J46" t="s">
        <v>20</v>
      </c>
      <c r="K46" t="s">
        <v>18</v>
      </c>
      <c r="L46" t="str">
        <f>T("9791175306875")</f>
        <v>9791175306875</v>
      </c>
      <c r="M46" t="str">
        <f t="shared" si="0"/>
        <v/>
      </c>
    </row>
    <row r="47" spans="1:14" x14ac:dyDescent="0.3">
      <c r="A47" s="1">
        <v>46055.360266203701</v>
      </c>
      <c r="B47">
        <v>348122311</v>
      </c>
      <c r="C47" t="s">
        <v>76</v>
      </c>
      <c r="D47" t="s">
        <v>15</v>
      </c>
      <c r="E47">
        <v>0</v>
      </c>
      <c r="F47">
        <v>0</v>
      </c>
      <c r="G47">
        <v>0</v>
      </c>
      <c r="I47" t="s">
        <v>77</v>
      </c>
      <c r="J47" t="s">
        <v>52</v>
      </c>
      <c r="K47" t="s">
        <v>18</v>
      </c>
      <c r="L47" t="str">
        <f>T("9791136965455")</f>
        <v>9791136965455</v>
      </c>
      <c r="M47" t="str">
        <f t="shared" si="0"/>
        <v/>
      </c>
      <c r="N47">
        <v>924250</v>
      </c>
    </row>
    <row r="48" spans="1:14" x14ac:dyDescent="0.3">
      <c r="A48" s="1">
        <v>46055.375601851854</v>
      </c>
      <c r="B48">
        <v>329693036</v>
      </c>
      <c r="C48" t="s">
        <v>78</v>
      </c>
      <c r="D48" t="s">
        <v>15</v>
      </c>
      <c r="E48">
        <v>0</v>
      </c>
      <c r="F48">
        <v>0</v>
      </c>
      <c r="G48">
        <v>0</v>
      </c>
      <c r="I48" t="s">
        <v>77</v>
      </c>
      <c r="J48" t="s">
        <v>79</v>
      </c>
      <c r="K48" t="s">
        <v>18</v>
      </c>
      <c r="L48" t="str">
        <f>T("9791136930286")</f>
        <v>9791136930286</v>
      </c>
      <c r="M48" t="str">
        <f t="shared" si="0"/>
        <v/>
      </c>
      <c r="N48">
        <v>894656</v>
      </c>
    </row>
    <row r="49" spans="1:14" x14ac:dyDescent="0.3">
      <c r="A49" s="1">
        <v>46055.387800925928</v>
      </c>
      <c r="B49">
        <v>358405248</v>
      </c>
      <c r="C49" t="s">
        <v>80</v>
      </c>
      <c r="D49" t="s">
        <v>15</v>
      </c>
      <c r="E49">
        <v>0</v>
      </c>
      <c r="F49">
        <v>0</v>
      </c>
      <c r="G49">
        <v>0</v>
      </c>
      <c r="I49" t="s">
        <v>77</v>
      </c>
      <c r="J49" t="s">
        <v>52</v>
      </c>
      <c r="K49" t="s">
        <v>18</v>
      </c>
      <c r="L49" t="str">
        <f>T("9791194664369")</f>
        <v>9791194664369</v>
      </c>
      <c r="M49" t="str">
        <f t="shared" si="0"/>
        <v/>
      </c>
      <c r="N49">
        <v>940116</v>
      </c>
    </row>
    <row r="50" spans="1:14" x14ac:dyDescent="0.3">
      <c r="A50" s="1">
        <v>46055.421423611115</v>
      </c>
      <c r="B50">
        <v>329693233</v>
      </c>
      <c r="C50" t="s">
        <v>81</v>
      </c>
      <c r="D50" t="s">
        <v>15</v>
      </c>
      <c r="E50" s="2">
        <v>3200</v>
      </c>
      <c r="F50" s="2">
        <v>3200</v>
      </c>
      <c r="G50" s="2">
        <v>2240</v>
      </c>
      <c r="I50" t="s">
        <v>77</v>
      </c>
      <c r="J50" t="s">
        <v>79</v>
      </c>
      <c r="K50" t="s">
        <v>18</v>
      </c>
      <c r="L50" t="str">
        <f>T("9791136932822")</f>
        <v>9791136932822</v>
      </c>
      <c r="M50" t="str">
        <f t="shared" si="0"/>
        <v/>
      </c>
      <c r="N50">
        <v>894656</v>
      </c>
    </row>
    <row r="51" spans="1:14" x14ac:dyDescent="0.3">
      <c r="A51" s="1">
        <v>46055.424363425926</v>
      </c>
      <c r="B51">
        <v>375929015</v>
      </c>
      <c r="C51" t="s">
        <v>82</v>
      </c>
      <c r="D51" t="s">
        <v>15</v>
      </c>
      <c r="E51">
        <v>0</v>
      </c>
      <c r="F51">
        <v>0</v>
      </c>
      <c r="G51">
        <v>0</v>
      </c>
      <c r="I51" t="s">
        <v>83</v>
      </c>
      <c r="J51" t="s">
        <v>59</v>
      </c>
      <c r="K51" t="s">
        <v>18</v>
      </c>
      <c r="L51" t="str">
        <f>T("9791173786884")</f>
        <v>9791173786884</v>
      </c>
      <c r="M51" t="str">
        <f t="shared" si="0"/>
        <v/>
      </c>
      <c r="N51">
        <v>950881</v>
      </c>
    </row>
    <row r="52" spans="1:14" x14ac:dyDescent="0.3">
      <c r="A52" s="1">
        <v>46055.424571759257</v>
      </c>
      <c r="B52">
        <v>385347620</v>
      </c>
      <c r="C52" t="s">
        <v>84</v>
      </c>
      <c r="D52" t="s">
        <v>15</v>
      </c>
      <c r="E52">
        <v>0</v>
      </c>
      <c r="F52">
        <v>0</v>
      </c>
      <c r="G52">
        <v>0</v>
      </c>
      <c r="I52" t="s">
        <v>85</v>
      </c>
      <c r="J52" t="s">
        <v>59</v>
      </c>
      <c r="K52" t="s">
        <v>18</v>
      </c>
      <c r="L52" t="str">
        <f>T("9791136943897")</f>
        <v>9791136943897</v>
      </c>
      <c r="M52" t="str">
        <f t="shared" si="0"/>
        <v/>
      </c>
      <c r="N52">
        <v>917706</v>
      </c>
    </row>
    <row r="53" spans="1:14" x14ac:dyDescent="0.3">
      <c r="A53" s="1">
        <v>46055.428726851853</v>
      </c>
      <c r="B53">
        <v>385347659</v>
      </c>
      <c r="C53" t="s">
        <v>86</v>
      </c>
      <c r="D53" t="s">
        <v>15</v>
      </c>
      <c r="E53" s="2">
        <v>1000</v>
      </c>
      <c r="F53">
        <v>900</v>
      </c>
      <c r="G53">
        <v>630</v>
      </c>
      <c r="I53" t="s">
        <v>87</v>
      </c>
      <c r="J53" t="s">
        <v>23</v>
      </c>
      <c r="K53" t="s">
        <v>18</v>
      </c>
      <c r="L53" t="str">
        <f>T("9791175308510")</f>
        <v>9791175308510</v>
      </c>
      <c r="M53" t="str">
        <f t="shared" si="0"/>
        <v/>
      </c>
      <c r="N53">
        <v>957881</v>
      </c>
    </row>
    <row r="54" spans="1:14" x14ac:dyDescent="0.3">
      <c r="A54" s="1">
        <v>46055.439571759256</v>
      </c>
      <c r="B54">
        <v>385348415</v>
      </c>
      <c r="C54" t="s">
        <v>88</v>
      </c>
      <c r="D54" t="s">
        <v>89</v>
      </c>
      <c r="E54" s="2">
        <v>8640</v>
      </c>
      <c r="F54" s="2">
        <v>8640</v>
      </c>
      <c r="G54" s="2">
        <v>6048</v>
      </c>
      <c r="I54" t="s">
        <v>90</v>
      </c>
      <c r="J54" t="s">
        <v>23</v>
      </c>
      <c r="K54" t="s">
        <v>18</v>
      </c>
      <c r="L54" t="str">
        <f>T("9791175308350")</f>
        <v>9791175308350</v>
      </c>
      <c r="M54" t="str">
        <f t="shared" si="0"/>
        <v/>
      </c>
    </row>
    <row r="55" spans="1:14" x14ac:dyDescent="0.3">
      <c r="A55" s="1">
        <v>46055.485648148147</v>
      </c>
      <c r="B55">
        <v>385348415</v>
      </c>
      <c r="C55" t="s">
        <v>88</v>
      </c>
      <c r="D55" t="s">
        <v>89</v>
      </c>
      <c r="E55" s="2">
        <v>8640</v>
      </c>
      <c r="F55" s="2">
        <v>8640</v>
      </c>
      <c r="G55" s="2">
        <v>6048</v>
      </c>
      <c r="I55" t="s">
        <v>90</v>
      </c>
      <c r="J55" t="s">
        <v>23</v>
      </c>
      <c r="K55" t="s">
        <v>18</v>
      </c>
      <c r="L55" t="str">
        <f>T("9791175308350")</f>
        <v>9791175308350</v>
      </c>
      <c r="M55" t="str">
        <f t="shared" si="0"/>
        <v/>
      </c>
    </row>
    <row r="56" spans="1:14" x14ac:dyDescent="0.3">
      <c r="A56" s="1">
        <v>46055.497708333336</v>
      </c>
      <c r="B56">
        <v>385348415</v>
      </c>
      <c r="C56" t="s">
        <v>88</v>
      </c>
      <c r="D56" t="s">
        <v>89</v>
      </c>
      <c r="E56" s="2">
        <v>8640</v>
      </c>
      <c r="F56" s="2">
        <v>8640</v>
      </c>
      <c r="G56" s="2">
        <v>6048</v>
      </c>
      <c r="I56" t="s">
        <v>90</v>
      </c>
      <c r="J56" t="s">
        <v>23</v>
      </c>
      <c r="K56" t="s">
        <v>18</v>
      </c>
      <c r="L56" t="str">
        <f>T("9791175308350")</f>
        <v>9791175308350</v>
      </c>
      <c r="M56" t="str">
        <f t="shared" si="0"/>
        <v/>
      </c>
    </row>
    <row r="57" spans="1:14" x14ac:dyDescent="0.3">
      <c r="A57" s="1">
        <v>46055.508298611108</v>
      </c>
      <c r="B57">
        <v>385347659</v>
      </c>
      <c r="C57" t="s">
        <v>86</v>
      </c>
      <c r="D57" t="s">
        <v>15</v>
      </c>
      <c r="E57" s="2">
        <v>1000</v>
      </c>
      <c r="F57">
        <v>900</v>
      </c>
      <c r="G57">
        <v>630</v>
      </c>
      <c r="I57" t="s">
        <v>87</v>
      </c>
      <c r="J57" t="s">
        <v>23</v>
      </c>
      <c r="K57" t="s">
        <v>18</v>
      </c>
      <c r="L57" t="str">
        <f>T("9791175308510")</f>
        <v>9791175308510</v>
      </c>
      <c r="M57" t="str">
        <f t="shared" si="0"/>
        <v/>
      </c>
      <c r="N57">
        <v>957881</v>
      </c>
    </row>
    <row r="58" spans="1:14" x14ac:dyDescent="0.3">
      <c r="A58" s="1">
        <v>46055.542164351849</v>
      </c>
      <c r="B58">
        <v>385347659</v>
      </c>
      <c r="C58" t="s">
        <v>86</v>
      </c>
      <c r="D58" t="s">
        <v>15</v>
      </c>
      <c r="E58" s="2">
        <v>1000</v>
      </c>
      <c r="F58">
        <v>900</v>
      </c>
      <c r="G58">
        <v>630</v>
      </c>
      <c r="I58" t="s">
        <v>87</v>
      </c>
      <c r="J58" t="s">
        <v>23</v>
      </c>
      <c r="K58" t="s">
        <v>18</v>
      </c>
      <c r="L58" t="str">
        <f>T("9791175308510")</f>
        <v>9791175308510</v>
      </c>
      <c r="M58" t="str">
        <f t="shared" si="0"/>
        <v/>
      </c>
      <c r="N58">
        <v>957881</v>
      </c>
    </row>
    <row r="59" spans="1:14" x14ac:dyDescent="0.3">
      <c r="A59" s="1">
        <v>46055.544629629629</v>
      </c>
      <c r="B59">
        <v>385348415</v>
      </c>
      <c r="C59" t="s">
        <v>88</v>
      </c>
      <c r="D59" t="s">
        <v>89</v>
      </c>
      <c r="E59" s="2">
        <v>8640</v>
      </c>
      <c r="F59" s="2">
        <v>8640</v>
      </c>
      <c r="G59" s="2">
        <v>6048</v>
      </c>
      <c r="I59" t="s">
        <v>90</v>
      </c>
      <c r="J59" t="s">
        <v>23</v>
      </c>
      <c r="K59" t="s">
        <v>18</v>
      </c>
      <c r="L59" t="str">
        <f>T("9791175308350")</f>
        <v>9791175308350</v>
      </c>
      <c r="M59" t="str">
        <f t="shared" si="0"/>
        <v/>
      </c>
    </row>
    <row r="60" spans="1:14" x14ac:dyDescent="0.3">
      <c r="A60" s="1">
        <v>46055.55909722222</v>
      </c>
      <c r="B60">
        <v>385348415</v>
      </c>
      <c r="C60" t="s">
        <v>88</v>
      </c>
      <c r="D60" t="s">
        <v>89</v>
      </c>
      <c r="E60" s="2">
        <v>-8640</v>
      </c>
      <c r="F60" s="2">
        <v>-8640</v>
      </c>
      <c r="G60" s="2">
        <v>-6048</v>
      </c>
      <c r="H60" s="1">
        <v>46055.558912037035</v>
      </c>
      <c r="I60" t="s">
        <v>90</v>
      </c>
      <c r="J60" t="s">
        <v>23</v>
      </c>
      <c r="K60" t="s">
        <v>18</v>
      </c>
      <c r="L60" t="str">
        <f>T("9791175308350")</f>
        <v>9791175308350</v>
      </c>
      <c r="M60" t="str">
        <f t="shared" si="0"/>
        <v/>
      </c>
    </row>
    <row r="61" spans="1:14" x14ac:dyDescent="0.3">
      <c r="A61" s="1">
        <v>46055.558912037035</v>
      </c>
      <c r="B61">
        <v>385348415</v>
      </c>
      <c r="C61" t="s">
        <v>88</v>
      </c>
      <c r="D61" t="s">
        <v>89</v>
      </c>
      <c r="E61" s="2">
        <v>8640</v>
      </c>
      <c r="F61" s="2">
        <v>8640</v>
      </c>
      <c r="G61" s="2">
        <v>6048</v>
      </c>
      <c r="I61" t="s">
        <v>90</v>
      </c>
      <c r="J61" t="s">
        <v>23</v>
      </c>
      <c r="K61" t="s">
        <v>18</v>
      </c>
      <c r="L61" t="str">
        <f>T("9791175308350")</f>
        <v>9791175308350</v>
      </c>
      <c r="M61" t="str">
        <f t="shared" si="0"/>
        <v/>
      </c>
    </row>
    <row r="62" spans="1:14" x14ac:dyDescent="0.3">
      <c r="A62" s="1">
        <v>46055.617372685185</v>
      </c>
      <c r="B62">
        <v>385348415</v>
      </c>
      <c r="C62" t="s">
        <v>88</v>
      </c>
      <c r="D62" t="s">
        <v>89</v>
      </c>
      <c r="E62" s="2">
        <v>-8640</v>
      </c>
      <c r="F62" s="2">
        <v>-8640</v>
      </c>
      <c r="G62" s="2">
        <v>-6048</v>
      </c>
      <c r="H62" s="1">
        <v>46055.559756944444</v>
      </c>
      <c r="I62" t="s">
        <v>90</v>
      </c>
      <c r="J62" t="s">
        <v>23</v>
      </c>
      <c r="K62" t="s">
        <v>18</v>
      </c>
      <c r="L62" t="str">
        <f>T("9791175308350")</f>
        <v>9791175308350</v>
      </c>
      <c r="M62" t="str">
        <f t="shared" si="0"/>
        <v/>
      </c>
    </row>
    <row r="63" spans="1:14" x14ac:dyDescent="0.3">
      <c r="A63" s="1">
        <v>46055.559756944444</v>
      </c>
      <c r="B63">
        <v>385348415</v>
      </c>
      <c r="C63" t="s">
        <v>88</v>
      </c>
      <c r="D63" t="s">
        <v>89</v>
      </c>
      <c r="E63" s="2">
        <v>8640</v>
      </c>
      <c r="F63" s="2">
        <v>8640</v>
      </c>
      <c r="G63" s="2">
        <v>6048</v>
      </c>
      <c r="I63" t="s">
        <v>90</v>
      </c>
      <c r="J63" t="s">
        <v>23</v>
      </c>
      <c r="K63" t="s">
        <v>18</v>
      </c>
      <c r="L63" t="str">
        <f>T("9791175308350")</f>
        <v>9791175308350</v>
      </c>
      <c r="M63" t="str">
        <f t="shared" si="0"/>
        <v/>
      </c>
    </row>
    <row r="64" spans="1:14" x14ac:dyDescent="0.3">
      <c r="A64" s="1">
        <v>46055.573888888888</v>
      </c>
      <c r="B64">
        <v>379189402</v>
      </c>
      <c r="C64" t="s">
        <v>91</v>
      </c>
      <c r="D64" t="s">
        <v>15</v>
      </c>
      <c r="E64" s="2">
        <v>1000</v>
      </c>
      <c r="F64" s="2">
        <v>1000</v>
      </c>
      <c r="G64">
        <v>700</v>
      </c>
      <c r="I64" t="s">
        <v>92</v>
      </c>
      <c r="J64" t="s">
        <v>23</v>
      </c>
      <c r="K64" t="s">
        <v>18</v>
      </c>
      <c r="L64" t="str">
        <f>T("9791175306707")</f>
        <v>9791175306707</v>
      </c>
      <c r="M64" t="str">
        <f t="shared" si="0"/>
        <v/>
      </c>
      <c r="N64">
        <v>956840</v>
      </c>
    </row>
    <row r="65" spans="1:14" x14ac:dyDescent="0.3">
      <c r="A65" s="1">
        <v>46055.579236111109</v>
      </c>
      <c r="B65">
        <v>385348415</v>
      </c>
      <c r="C65" t="s">
        <v>88</v>
      </c>
      <c r="D65" t="s">
        <v>89</v>
      </c>
      <c r="E65" s="2">
        <v>8640</v>
      </c>
      <c r="F65" s="2">
        <v>8640</v>
      </c>
      <c r="G65" s="2">
        <v>6048</v>
      </c>
      <c r="I65" t="s">
        <v>90</v>
      </c>
      <c r="J65" t="s">
        <v>23</v>
      </c>
      <c r="K65" t="s">
        <v>18</v>
      </c>
      <c r="L65" t="str">
        <f>T("9791175308350")</f>
        <v>9791175308350</v>
      </c>
      <c r="M65" t="str">
        <f t="shared" si="0"/>
        <v/>
      </c>
    </row>
    <row r="66" spans="1:14" x14ac:dyDescent="0.3">
      <c r="A66" s="1">
        <v>46055.602962962963</v>
      </c>
      <c r="B66">
        <v>379664433</v>
      </c>
      <c r="C66" t="s">
        <v>93</v>
      </c>
      <c r="D66" t="s">
        <v>15</v>
      </c>
      <c r="E66" s="2">
        <v>1100</v>
      </c>
      <c r="F66" s="2">
        <v>1100</v>
      </c>
      <c r="G66">
        <v>770</v>
      </c>
      <c r="I66" t="s">
        <v>94</v>
      </c>
      <c r="J66" t="s">
        <v>23</v>
      </c>
      <c r="K66" t="s">
        <v>18</v>
      </c>
      <c r="L66" t="str">
        <f>T("9791175306752")</f>
        <v>9791175306752</v>
      </c>
      <c r="M66" t="str">
        <f t="shared" ref="M66:M129" si="1">T("")</f>
        <v/>
      </c>
      <c r="N66">
        <v>957104</v>
      </c>
    </row>
    <row r="67" spans="1:14" x14ac:dyDescent="0.3">
      <c r="A67" s="1">
        <v>46055.623078703706</v>
      </c>
      <c r="B67">
        <v>385348415</v>
      </c>
      <c r="C67" t="s">
        <v>88</v>
      </c>
      <c r="D67" t="s">
        <v>89</v>
      </c>
      <c r="E67" s="2">
        <v>8640</v>
      </c>
      <c r="F67" s="2">
        <v>8640</v>
      </c>
      <c r="G67" s="2">
        <v>6048</v>
      </c>
      <c r="I67" t="s">
        <v>90</v>
      </c>
      <c r="J67" t="s">
        <v>23</v>
      </c>
      <c r="K67" t="s">
        <v>18</v>
      </c>
      <c r="L67" t="str">
        <f>T("9791175308350")</f>
        <v>9791175308350</v>
      </c>
      <c r="M67" t="str">
        <f t="shared" si="1"/>
        <v/>
      </c>
    </row>
    <row r="68" spans="1:14" x14ac:dyDescent="0.3">
      <c r="A68" s="1">
        <v>46055.627928240741</v>
      </c>
      <c r="B68">
        <v>385348415</v>
      </c>
      <c r="C68" t="s">
        <v>88</v>
      </c>
      <c r="D68" t="s">
        <v>89</v>
      </c>
      <c r="E68" s="2">
        <v>8640</v>
      </c>
      <c r="F68" s="2">
        <v>8640</v>
      </c>
      <c r="G68" s="2">
        <v>6048</v>
      </c>
      <c r="I68" t="s">
        <v>90</v>
      </c>
      <c r="J68" t="s">
        <v>23</v>
      </c>
      <c r="K68" t="s">
        <v>18</v>
      </c>
      <c r="L68" t="str">
        <f>T("9791175308350")</f>
        <v>9791175308350</v>
      </c>
      <c r="M68" t="str">
        <f t="shared" si="1"/>
        <v/>
      </c>
    </row>
    <row r="69" spans="1:14" x14ac:dyDescent="0.3">
      <c r="A69" s="1">
        <v>46055.64167824074</v>
      </c>
      <c r="B69">
        <v>385348415</v>
      </c>
      <c r="C69" t="s">
        <v>88</v>
      </c>
      <c r="D69" t="s">
        <v>89</v>
      </c>
      <c r="E69" s="2">
        <v>8640</v>
      </c>
      <c r="F69" s="2">
        <v>8640</v>
      </c>
      <c r="G69" s="2">
        <v>6048</v>
      </c>
      <c r="I69" t="s">
        <v>90</v>
      </c>
      <c r="J69" t="s">
        <v>23</v>
      </c>
      <c r="K69" t="s">
        <v>18</v>
      </c>
      <c r="L69" t="str">
        <f>T("9791175308350")</f>
        <v>9791175308350</v>
      </c>
      <c r="M69" t="str">
        <f t="shared" si="1"/>
        <v/>
      </c>
    </row>
    <row r="70" spans="1:14" x14ac:dyDescent="0.3">
      <c r="A70" s="1">
        <v>46055.64471064815</v>
      </c>
      <c r="B70">
        <v>384177441</v>
      </c>
      <c r="C70" t="s">
        <v>21</v>
      </c>
      <c r="D70" t="s">
        <v>15</v>
      </c>
      <c r="E70" s="2">
        <v>3500</v>
      </c>
      <c r="F70" s="2">
        <v>3500</v>
      </c>
      <c r="G70" s="2">
        <v>2450</v>
      </c>
      <c r="I70" t="s">
        <v>22</v>
      </c>
      <c r="J70" t="s">
        <v>23</v>
      </c>
      <c r="K70" t="s">
        <v>18</v>
      </c>
      <c r="L70" t="str">
        <f>T("9791175309821")</f>
        <v>9791175309821</v>
      </c>
      <c r="M70" t="str">
        <f t="shared" si="1"/>
        <v/>
      </c>
      <c r="N70">
        <v>958592</v>
      </c>
    </row>
    <row r="71" spans="1:14" x14ac:dyDescent="0.3">
      <c r="A71" s="1">
        <v>46055.65115740741</v>
      </c>
      <c r="B71">
        <v>357992755</v>
      </c>
      <c r="C71" t="s">
        <v>95</v>
      </c>
      <c r="D71" t="s">
        <v>15</v>
      </c>
      <c r="E71" s="2">
        <v>3300</v>
      </c>
      <c r="F71" s="2">
        <v>3300</v>
      </c>
      <c r="G71" s="2">
        <v>2310</v>
      </c>
      <c r="I71" t="s">
        <v>96</v>
      </c>
      <c r="J71" t="s">
        <v>23</v>
      </c>
      <c r="K71" t="s">
        <v>18</v>
      </c>
      <c r="L71" t="str">
        <f>T("9791172928025")</f>
        <v>9791172928025</v>
      </c>
      <c r="M71" t="str">
        <f t="shared" si="1"/>
        <v/>
      </c>
      <c r="N71">
        <v>938620</v>
      </c>
    </row>
    <row r="72" spans="1:14" x14ac:dyDescent="0.3">
      <c r="A72" s="1">
        <v>46055.65892361111</v>
      </c>
      <c r="B72">
        <v>385348415</v>
      </c>
      <c r="C72" t="s">
        <v>88</v>
      </c>
      <c r="D72" t="s">
        <v>89</v>
      </c>
      <c r="E72" s="2">
        <v>8640</v>
      </c>
      <c r="F72" s="2">
        <v>8640</v>
      </c>
      <c r="G72" s="2">
        <v>6048</v>
      </c>
      <c r="I72" t="s">
        <v>90</v>
      </c>
      <c r="J72" t="s">
        <v>23</v>
      </c>
      <c r="K72" t="s">
        <v>18</v>
      </c>
      <c r="L72" t="str">
        <f>T("9791175308350")</f>
        <v>9791175308350</v>
      </c>
      <c r="M72" t="str">
        <f t="shared" si="1"/>
        <v/>
      </c>
    </row>
    <row r="73" spans="1:14" x14ac:dyDescent="0.3">
      <c r="A73" s="1">
        <v>46055.662141203706</v>
      </c>
      <c r="B73">
        <v>385348415</v>
      </c>
      <c r="C73" t="s">
        <v>88</v>
      </c>
      <c r="D73" t="s">
        <v>89</v>
      </c>
      <c r="E73" s="2">
        <v>8640</v>
      </c>
      <c r="F73" s="2">
        <v>8640</v>
      </c>
      <c r="G73" s="2">
        <v>6048</v>
      </c>
      <c r="I73" t="s">
        <v>90</v>
      </c>
      <c r="J73" t="s">
        <v>23</v>
      </c>
      <c r="K73" t="s">
        <v>18</v>
      </c>
      <c r="L73" t="str">
        <f>T("9791175308350")</f>
        <v>9791175308350</v>
      </c>
      <c r="M73" t="str">
        <f t="shared" si="1"/>
        <v/>
      </c>
    </row>
    <row r="74" spans="1:14" x14ac:dyDescent="0.3">
      <c r="A74" s="1">
        <v>46055.663217592592</v>
      </c>
      <c r="B74">
        <v>385347754</v>
      </c>
      <c r="C74" t="s">
        <v>97</v>
      </c>
      <c r="D74" t="s">
        <v>15</v>
      </c>
      <c r="E74" s="2">
        <v>3200</v>
      </c>
      <c r="F74" s="2">
        <v>2880</v>
      </c>
      <c r="G74" s="2">
        <v>2016</v>
      </c>
      <c r="I74" t="s">
        <v>90</v>
      </c>
      <c r="J74" t="s">
        <v>23</v>
      </c>
      <c r="K74" t="s">
        <v>18</v>
      </c>
      <c r="L74" t="str">
        <f>T("9791175308282")</f>
        <v>9791175308282</v>
      </c>
      <c r="M74" t="str">
        <f t="shared" si="1"/>
        <v/>
      </c>
      <c r="N74">
        <v>957886</v>
      </c>
    </row>
    <row r="75" spans="1:14" x14ac:dyDescent="0.3">
      <c r="A75" s="1">
        <v>46055.669305555559</v>
      </c>
      <c r="B75">
        <v>385347754</v>
      </c>
      <c r="C75" t="s">
        <v>97</v>
      </c>
      <c r="D75" t="s">
        <v>15</v>
      </c>
      <c r="E75" s="2">
        <v>3200</v>
      </c>
      <c r="F75" s="2">
        <v>2880</v>
      </c>
      <c r="G75" s="2">
        <v>2016</v>
      </c>
      <c r="I75" t="s">
        <v>90</v>
      </c>
      <c r="J75" t="s">
        <v>23</v>
      </c>
      <c r="K75" t="s">
        <v>18</v>
      </c>
      <c r="L75" t="str">
        <f>T("9791175308282")</f>
        <v>9791175308282</v>
      </c>
      <c r="M75" t="str">
        <f t="shared" si="1"/>
        <v/>
      </c>
      <c r="N75">
        <v>957886</v>
      </c>
    </row>
    <row r="76" spans="1:14" x14ac:dyDescent="0.3">
      <c r="A76" s="1">
        <v>46055.67564814815</v>
      </c>
      <c r="B76">
        <v>385348415</v>
      </c>
      <c r="C76" t="s">
        <v>88</v>
      </c>
      <c r="D76" t="s">
        <v>89</v>
      </c>
      <c r="E76" s="2">
        <v>8640</v>
      </c>
      <c r="F76" s="2">
        <v>8640</v>
      </c>
      <c r="G76" s="2">
        <v>6048</v>
      </c>
      <c r="I76" t="s">
        <v>90</v>
      </c>
      <c r="J76" t="s">
        <v>23</v>
      </c>
      <c r="K76" t="s">
        <v>18</v>
      </c>
      <c r="L76" t="str">
        <f>T("9791175308350")</f>
        <v>9791175308350</v>
      </c>
      <c r="M76" t="str">
        <f t="shared" si="1"/>
        <v/>
      </c>
    </row>
    <row r="77" spans="1:14" x14ac:dyDescent="0.3">
      <c r="A77" s="1">
        <v>46055.677604166667</v>
      </c>
      <c r="B77">
        <v>385348415</v>
      </c>
      <c r="C77" t="s">
        <v>88</v>
      </c>
      <c r="D77" t="s">
        <v>89</v>
      </c>
      <c r="E77" s="2">
        <v>8640</v>
      </c>
      <c r="F77" s="2">
        <v>8640</v>
      </c>
      <c r="G77" s="2">
        <v>6048</v>
      </c>
      <c r="I77" t="s">
        <v>90</v>
      </c>
      <c r="J77" t="s">
        <v>23</v>
      </c>
      <c r="K77" t="s">
        <v>18</v>
      </c>
      <c r="L77" t="str">
        <f>T("9791175308350")</f>
        <v>9791175308350</v>
      </c>
      <c r="M77" t="str">
        <f t="shared" si="1"/>
        <v/>
      </c>
    </row>
    <row r="78" spans="1:14" x14ac:dyDescent="0.3">
      <c r="A78" s="1">
        <v>46055.688946759263</v>
      </c>
      <c r="B78">
        <v>359778130</v>
      </c>
      <c r="C78" t="s">
        <v>98</v>
      </c>
      <c r="D78" t="s">
        <v>15</v>
      </c>
      <c r="E78" s="2">
        <v>2000</v>
      </c>
      <c r="F78" s="2">
        <v>2000</v>
      </c>
      <c r="G78" s="2">
        <v>1400</v>
      </c>
      <c r="I78" t="s">
        <v>99</v>
      </c>
      <c r="J78" t="s">
        <v>23</v>
      </c>
      <c r="K78" t="s">
        <v>18</v>
      </c>
      <c r="L78" t="str">
        <f>T("9791194664222")</f>
        <v>9791194664222</v>
      </c>
      <c r="M78" t="str">
        <f t="shared" si="1"/>
        <v/>
      </c>
      <c r="N78">
        <v>940096</v>
      </c>
    </row>
    <row r="79" spans="1:14" x14ac:dyDescent="0.3">
      <c r="A79" s="1">
        <v>46055.700138888889</v>
      </c>
      <c r="B79">
        <v>385347754</v>
      </c>
      <c r="C79" t="s">
        <v>97</v>
      </c>
      <c r="D79" t="s">
        <v>15</v>
      </c>
      <c r="E79" s="2">
        <v>3200</v>
      </c>
      <c r="F79" s="2">
        <v>2880</v>
      </c>
      <c r="G79" s="2">
        <v>2016</v>
      </c>
      <c r="I79" t="s">
        <v>90</v>
      </c>
      <c r="J79" t="s">
        <v>23</v>
      </c>
      <c r="K79" t="s">
        <v>18</v>
      </c>
      <c r="L79" t="str">
        <f>T("9791175308282")</f>
        <v>9791175308282</v>
      </c>
      <c r="M79" t="str">
        <f t="shared" si="1"/>
        <v/>
      </c>
      <c r="N79">
        <v>957886</v>
      </c>
    </row>
    <row r="80" spans="1:14" x14ac:dyDescent="0.3">
      <c r="A80" s="1">
        <v>46055.700983796298</v>
      </c>
      <c r="B80">
        <v>385347754</v>
      </c>
      <c r="C80" t="s">
        <v>97</v>
      </c>
      <c r="D80" t="s">
        <v>15</v>
      </c>
      <c r="E80" s="2">
        <v>-3200</v>
      </c>
      <c r="F80" s="2">
        <v>-2880</v>
      </c>
      <c r="G80" s="2">
        <v>-2016</v>
      </c>
      <c r="H80" s="1">
        <v>46055.700138888889</v>
      </c>
      <c r="I80" t="s">
        <v>90</v>
      </c>
      <c r="J80" t="s">
        <v>23</v>
      </c>
      <c r="K80" t="s">
        <v>18</v>
      </c>
      <c r="L80" t="str">
        <f>T("9791175308282")</f>
        <v>9791175308282</v>
      </c>
      <c r="M80" t="str">
        <f t="shared" si="1"/>
        <v/>
      </c>
      <c r="N80">
        <v>957886</v>
      </c>
    </row>
    <row r="81" spans="1:14" x14ac:dyDescent="0.3">
      <c r="A81" s="1">
        <v>46055.702199074076</v>
      </c>
      <c r="B81">
        <v>385347754</v>
      </c>
      <c r="C81" t="s">
        <v>97</v>
      </c>
      <c r="D81" t="s">
        <v>15</v>
      </c>
      <c r="E81" s="2">
        <v>3200</v>
      </c>
      <c r="F81" s="2">
        <v>2880</v>
      </c>
      <c r="G81" s="2">
        <v>2016</v>
      </c>
      <c r="I81" t="s">
        <v>90</v>
      </c>
      <c r="J81" t="s">
        <v>23</v>
      </c>
      <c r="K81" t="s">
        <v>18</v>
      </c>
      <c r="L81" t="str">
        <f>T("9791175308282")</f>
        <v>9791175308282</v>
      </c>
      <c r="M81" t="str">
        <f t="shared" si="1"/>
        <v/>
      </c>
      <c r="N81">
        <v>957886</v>
      </c>
    </row>
    <row r="82" spans="1:14" x14ac:dyDescent="0.3">
      <c r="A82" s="1">
        <v>46055.705659722225</v>
      </c>
      <c r="B82">
        <v>385348415</v>
      </c>
      <c r="C82" t="s">
        <v>88</v>
      </c>
      <c r="D82" t="s">
        <v>89</v>
      </c>
      <c r="E82" s="2">
        <v>8640</v>
      </c>
      <c r="F82" s="2">
        <v>8640</v>
      </c>
      <c r="G82" s="2">
        <v>6048</v>
      </c>
      <c r="I82" t="s">
        <v>90</v>
      </c>
      <c r="J82" t="s">
        <v>23</v>
      </c>
      <c r="K82" t="s">
        <v>18</v>
      </c>
      <c r="L82" t="str">
        <f>T("9791175308350")</f>
        <v>9791175308350</v>
      </c>
      <c r="M82" t="str">
        <f t="shared" si="1"/>
        <v/>
      </c>
    </row>
    <row r="83" spans="1:14" x14ac:dyDescent="0.3">
      <c r="A83" s="1">
        <v>46055.709131944444</v>
      </c>
      <c r="B83">
        <v>385348415</v>
      </c>
      <c r="C83" t="s">
        <v>88</v>
      </c>
      <c r="D83" t="s">
        <v>89</v>
      </c>
      <c r="E83" s="2">
        <v>8640</v>
      </c>
      <c r="F83" s="2">
        <v>8640</v>
      </c>
      <c r="G83" s="2">
        <v>6048</v>
      </c>
      <c r="I83" t="s">
        <v>90</v>
      </c>
      <c r="J83" t="s">
        <v>23</v>
      </c>
      <c r="K83" t="s">
        <v>18</v>
      </c>
      <c r="L83" t="str">
        <f>T("9791175308350")</f>
        <v>9791175308350</v>
      </c>
      <c r="M83" t="str">
        <f t="shared" si="1"/>
        <v/>
      </c>
    </row>
    <row r="84" spans="1:14" x14ac:dyDescent="0.3">
      <c r="A84" s="1">
        <v>46055.709201388891</v>
      </c>
      <c r="B84">
        <v>385347659</v>
      </c>
      <c r="C84" t="s">
        <v>86</v>
      </c>
      <c r="D84" t="s">
        <v>15</v>
      </c>
      <c r="E84" s="2">
        <v>1000</v>
      </c>
      <c r="F84">
        <v>900</v>
      </c>
      <c r="G84">
        <v>630</v>
      </c>
      <c r="I84" t="s">
        <v>87</v>
      </c>
      <c r="J84" t="s">
        <v>23</v>
      </c>
      <c r="K84" t="s">
        <v>18</v>
      </c>
      <c r="L84" t="str">
        <f>T("9791175308510")</f>
        <v>9791175308510</v>
      </c>
      <c r="M84" t="str">
        <f t="shared" si="1"/>
        <v/>
      </c>
      <c r="N84">
        <v>957881</v>
      </c>
    </row>
    <row r="85" spans="1:14" x14ac:dyDescent="0.3">
      <c r="A85" s="1">
        <v>46055.73877314815</v>
      </c>
      <c r="B85">
        <v>384177441</v>
      </c>
      <c r="C85" t="s">
        <v>21</v>
      </c>
      <c r="D85" t="s">
        <v>15</v>
      </c>
      <c r="E85" s="2">
        <v>3500</v>
      </c>
      <c r="F85" s="2">
        <v>3500</v>
      </c>
      <c r="G85" s="2">
        <v>2450</v>
      </c>
      <c r="I85" t="s">
        <v>22</v>
      </c>
      <c r="J85" t="s">
        <v>23</v>
      </c>
      <c r="K85" t="s">
        <v>18</v>
      </c>
      <c r="L85" t="str">
        <f>T("9791175309821")</f>
        <v>9791175309821</v>
      </c>
      <c r="M85" t="str">
        <f t="shared" si="1"/>
        <v/>
      </c>
      <c r="N85">
        <v>958592</v>
      </c>
    </row>
    <row r="86" spans="1:14" x14ac:dyDescent="0.3">
      <c r="A86" s="1">
        <v>46055.743634259263</v>
      </c>
      <c r="B86">
        <v>385348415</v>
      </c>
      <c r="C86" t="s">
        <v>88</v>
      </c>
      <c r="D86" t="s">
        <v>89</v>
      </c>
      <c r="E86" s="2">
        <v>8640</v>
      </c>
      <c r="F86" s="2">
        <v>8640</v>
      </c>
      <c r="G86" s="2">
        <v>6048</v>
      </c>
      <c r="I86" t="s">
        <v>90</v>
      </c>
      <c r="J86" t="s">
        <v>23</v>
      </c>
      <c r="K86" t="s">
        <v>18</v>
      </c>
      <c r="L86" t="str">
        <f>T("9791175308350")</f>
        <v>9791175308350</v>
      </c>
      <c r="M86" t="str">
        <f t="shared" si="1"/>
        <v/>
      </c>
    </row>
    <row r="87" spans="1:14" x14ac:dyDescent="0.3">
      <c r="A87" s="1">
        <v>46055.750462962962</v>
      </c>
      <c r="B87">
        <v>385348415</v>
      </c>
      <c r="C87" t="s">
        <v>88</v>
      </c>
      <c r="D87" t="s">
        <v>89</v>
      </c>
      <c r="E87" s="2">
        <v>8640</v>
      </c>
      <c r="F87" s="2">
        <v>8640</v>
      </c>
      <c r="G87" s="2">
        <v>6048</v>
      </c>
      <c r="I87" t="s">
        <v>90</v>
      </c>
      <c r="J87" t="s">
        <v>23</v>
      </c>
      <c r="K87" t="s">
        <v>18</v>
      </c>
      <c r="L87" t="str">
        <f>T("9791175308350")</f>
        <v>9791175308350</v>
      </c>
      <c r="M87" t="str">
        <f t="shared" si="1"/>
        <v/>
      </c>
    </row>
    <row r="88" spans="1:14" x14ac:dyDescent="0.3">
      <c r="A88" s="1">
        <v>46055.751932870371</v>
      </c>
      <c r="B88">
        <v>34440529</v>
      </c>
      <c r="C88" t="s">
        <v>100</v>
      </c>
      <c r="D88" t="s">
        <v>15</v>
      </c>
      <c r="E88" s="2">
        <v>2500</v>
      </c>
      <c r="F88" s="2">
        <v>2500</v>
      </c>
      <c r="G88" s="2">
        <v>1750</v>
      </c>
      <c r="I88" t="s">
        <v>27</v>
      </c>
      <c r="J88" t="s">
        <v>79</v>
      </c>
      <c r="K88" t="s">
        <v>18</v>
      </c>
      <c r="L88" t="str">
        <f>T("9791133167234")</f>
        <v>9791133167234</v>
      </c>
      <c r="M88" t="str">
        <f t="shared" si="1"/>
        <v/>
      </c>
      <c r="N88">
        <v>151142</v>
      </c>
    </row>
    <row r="89" spans="1:14" x14ac:dyDescent="0.3">
      <c r="A89" s="1">
        <v>46055.767800925925</v>
      </c>
      <c r="B89">
        <v>385348415</v>
      </c>
      <c r="C89" t="s">
        <v>88</v>
      </c>
      <c r="D89" t="s">
        <v>89</v>
      </c>
      <c r="E89" s="2">
        <v>-8640</v>
      </c>
      <c r="F89" s="2">
        <v>-8640</v>
      </c>
      <c r="G89" s="2">
        <v>-6048</v>
      </c>
      <c r="H89" s="1">
        <v>46055.766388888886</v>
      </c>
      <c r="I89" t="s">
        <v>90</v>
      </c>
      <c r="J89" t="s">
        <v>23</v>
      </c>
      <c r="K89" t="s">
        <v>18</v>
      </c>
      <c r="L89" t="str">
        <f>T("9791175308350")</f>
        <v>9791175308350</v>
      </c>
      <c r="M89" t="str">
        <f t="shared" si="1"/>
        <v/>
      </c>
    </row>
    <row r="90" spans="1:14" x14ac:dyDescent="0.3">
      <c r="A90" s="1">
        <v>46055.766388888886</v>
      </c>
      <c r="B90">
        <v>385348415</v>
      </c>
      <c r="C90" t="s">
        <v>88</v>
      </c>
      <c r="D90" t="s">
        <v>89</v>
      </c>
      <c r="E90" s="2">
        <v>8640</v>
      </c>
      <c r="F90" s="2">
        <v>8640</v>
      </c>
      <c r="G90" s="2">
        <v>6048</v>
      </c>
      <c r="I90" t="s">
        <v>90</v>
      </c>
      <c r="J90" t="s">
        <v>23</v>
      </c>
      <c r="K90" t="s">
        <v>18</v>
      </c>
      <c r="L90" t="str">
        <f>T("9791175308350")</f>
        <v>9791175308350</v>
      </c>
      <c r="M90" t="str">
        <f t="shared" si="1"/>
        <v/>
      </c>
    </row>
    <row r="91" spans="1:14" x14ac:dyDescent="0.3">
      <c r="A91" s="1">
        <v>46055.769293981481</v>
      </c>
      <c r="B91">
        <v>385348415</v>
      </c>
      <c r="C91" t="s">
        <v>88</v>
      </c>
      <c r="D91" t="s">
        <v>89</v>
      </c>
      <c r="E91" s="2">
        <v>8640</v>
      </c>
      <c r="F91" s="2">
        <v>8640</v>
      </c>
      <c r="G91" s="2">
        <v>6048</v>
      </c>
      <c r="I91" t="s">
        <v>90</v>
      </c>
      <c r="J91" t="s">
        <v>23</v>
      </c>
      <c r="K91" t="s">
        <v>18</v>
      </c>
      <c r="L91" t="str">
        <f>T("9791175308350")</f>
        <v>9791175308350</v>
      </c>
      <c r="M91" t="str">
        <f t="shared" si="1"/>
        <v/>
      </c>
    </row>
    <row r="92" spans="1:14" x14ac:dyDescent="0.3">
      <c r="A92" s="1">
        <v>46055.76972222222</v>
      </c>
      <c r="B92">
        <v>385348415</v>
      </c>
      <c r="C92" t="s">
        <v>88</v>
      </c>
      <c r="D92" t="s">
        <v>89</v>
      </c>
      <c r="E92" s="2">
        <v>8640</v>
      </c>
      <c r="F92" s="2">
        <v>8640</v>
      </c>
      <c r="G92" s="2">
        <v>6048</v>
      </c>
      <c r="I92" t="s">
        <v>90</v>
      </c>
      <c r="J92" t="s">
        <v>23</v>
      </c>
      <c r="K92" t="s">
        <v>18</v>
      </c>
      <c r="L92" t="str">
        <f>T("9791175308350")</f>
        <v>9791175308350</v>
      </c>
      <c r="M92" t="str">
        <f t="shared" si="1"/>
        <v/>
      </c>
    </row>
    <row r="93" spans="1:14" x14ac:dyDescent="0.3">
      <c r="A93" s="1">
        <v>46055.770694444444</v>
      </c>
      <c r="B93">
        <v>379385369</v>
      </c>
      <c r="C93" t="s">
        <v>101</v>
      </c>
      <c r="D93" t="s">
        <v>15</v>
      </c>
      <c r="E93" s="2">
        <v>1500</v>
      </c>
      <c r="F93" s="2">
        <v>1500</v>
      </c>
      <c r="G93" s="2">
        <v>1050</v>
      </c>
      <c r="I93" t="s">
        <v>102</v>
      </c>
      <c r="J93" t="s">
        <v>23</v>
      </c>
      <c r="K93" t="s">
        <v>18</v>
      </c>
      <c r="L93" t="str">
        <f>T("9791175307254")</f>
        <v>9791175307254</v>
      </c>
      <c r="M93" t="str">
        <f t="shared" si="1"/>
        <v/>
      </c>
      <c r="N93">
        <v>957333</v>
      </c>
    </row>
    <row r="94" spans="1:14" x14ac:dyDescent="0.3">
      <c r="A94" s="1">
        <v>46055.774652777778</v>
      </c>
      <c r="B94">
        <v>385348415</v>
      </c>
      <c r="C94" t="s">
        <v>88</v>
      </c>
      <c r="D94" t="s">
        <v>89</v>
      </c>
      <c r="E94" s="2">
        <v>8640</v>
      </c>
      <c r="F94" s="2">
        <v>8640</v>
      </c>
      <c r="G94" s="2">
        <v>6048</v>
      </c>
      <c r="I94" t="s">
        <v>90</v>
      </c>
      <c r="J94" t="s">
        <v>23</v>
      </c>
      <c r="K94" t="s">
        <v>18</v>
      </c>
      <c r="L94" t="str">
        <f>T("9791175308350")</f>
        <v>9791175308350</v>
      </c>
      <c r="M94" t="str">
        <f t="shared" si="1"/>
        <v/>
      </c>
    </row>
    <row r="95" spans="1:14" x14ac:dyDescent="0.3">
      <c r="A95" s="1">
        <v>46055.777083333334</v>
      </c>
      <c r="B95">
        <v>385348415</v>
      </c>
      <c r="C95" t="s">
        <v>88</v>
      </c>
      <c r="D95" t="s">
        <v>89</v>
      </c>
      <c r="E95" s="2">
        <v>8640</v>
      </c>
      <c r="F95" s="2">
        <v>8640</v>
      </c>
      <c r="G95" s="2">
        <v>6048</v>
      </c>
      <c r="I95" t="s">
        <v>90</v>
      </c>
      <c r="J95" t="s">
        <v>23</v>
      </c>
      <c r="K95" t="s">
        <v>18</v>
      </c>
      <c r="L95" t="str">
        <f>T("9791175308350")</f>
        <v>9791175308350</v>
      </c>
      <c r="M95" t="str">
        <f t="shared" si="1"/>
        <v/>
      </c>
    </row>
    <row r="96" spans="1:14" x14ac:dyDescent="0.3">
      <c r="A96" s="1">
        <v>46055.779027777775</v>
      </c>
      <c r="B96">
        <v>385348415</v>
      </c>
      <c r="C96" t="s">
        <v>88</v>
      </c>
      <c r="D96" t="s">
        <v>89</v>
      </c>
      <c r="E96" s="2">
        <v>8640</v>
      </c>
      <c r="F96" s="2">
        <v>8640</v>
      </c>
      <c r="G96" s="2">
        <v>6048</v>
      </c>
      <c r="I96" t="s">
        <v>90</v>
      </c>
      <c r="J96" t="s">
        <v>23</v>
      </c>
      <c r="K96" t="s">
        <v>18</v>
      </c>
      <c r="L96" t="str">
        <f>T("9791175308350")</f>
        <v>9791175308350</v>
      </c>
      <c r="M96" t="str">
        <f t="shared" si="1"/>
        <v/>
      </c>
    </row>
    <row r="97" spans="1:14" x14ac:dyDescent="0.3">
      <c r="A97" s="1">
        <v>46055.779166666667</v>
      </c>
      <c r="B97">
        <v>385347662</v>
      </c>
      <c r="C97" t="s">
        <v>103</v>
      </c>
      <c r="D97" t="s">
        <v>15</v>
      </c>
      <c r="E97" s="2">
        <v>3200</v>
      </c>
      <c r="F97" s="2">
        <v>2880</v>
      </c>
      <c r="G97" s="2">
        <v>2016</v>
      </c>
      <c r="I97" t="s">
        <v>90</v>
      </c>
      <c r="J97" t="s">
        <v>23</v>
      </c>
      <c r="K97" t="s">
        <v>18</v>
      </c>
      <c r="L97" t="str">
        <f>T("9791175308343")</f>
        <v>9791175308343</v>
      </c>
      <c r="M97" t="str">
        <f t="shared" si="1"/>
        <v/>
      </c>
      <c r="N97">
        <v>957885</v>
      </c>
    </row>
    <row r="98" spans="1:14" x14ac:dyDescent="0.3">
      <c r="A98" s="1">
        <v>46055.783576388887</v>
      </c>
      <c r="B98">
        <v>385348415</v>
      </c>
      <c r="C98" t="s">
        <v>88</v>
      </c>
      <c r="D98" t="s">
        <v>89</v>
      </c>
      <c r="E98" s="2">
        <v>8640</v>
      </c>
      <c r="F98" s="2">
        <v>8640</v>
      </c>
      <c r="G98" s="2">
        <v>6048</v>
      </c>
      <c r="I98" t="s">
        <v>90</v>
      </c>
      <c r="J98" t="s">
        <v>23</v>
      </c>
      <c r="K98" t="s">
        <v>18</v>
      </c>
      <c r="L98" t="str">
        <f>T("9791175308350")</f>
        <v>9791175308350</v>
      </c>
      <c r="M98" t="str">
        <f t="shared" si="1"/>
        <v/>
      </c>
    </row>
    <row r="99" spans="1:14" x14ac:dyDescent="0.3">
      <c r="A99" s="1">
        <v>46055.784791666665</v>
      </c>
      <c r="B99">
        <v>385348415</v>
      </c>
      <c r="C99" t="s">
        <v>88</v>
      </c>
      <c r="D99" t="s">
        <v>89</v>
      </c>
      <c r="E99" s="2">
        <v>8640</v>
      </c>
      <c r="F99" s="2">
        <v>8640</v>
      </c>
      <c r="G99" s="2">
        <v>6048</v>
      </c>
      <c r="I99" t="s">
        <v>90</v>
      </c>
      <c r="J99" t="s">
        <v>23</v>
      </c>
      <c r="K99" t="s">
        <v>18</v>
      </c>
      <c r="L99" t="str">
        <f>T("9791175308350")</f>
        <v>9791175308350</v>
      </c>
      <c r="M99" t="str">
        <f t="shared" si="1"/>
        <v/>
      </c>
    </row>
    <row r="100" spans="1:14" x14ac:dyDescent="0.3">
      <c r="A100" s="1">
        <v>46055.797835648147</v>
      </c>
      <c r="B100">
        <v>385348415</v>
      </c>
      <c r="C100" t="s">
        <v>88</v>
      </c>
      <c r="D100" t="s">
        <v>89</v>
      </c>
      <c r="E100" s="2">
        <v>8640</v>
      </c>
      <c r="F100" s="2">
        <v>8640</v>
      </c>
      <c r="G100" s="2">
        <v>6048</v>
      </c>
      <c r="I100" t="s">
        <v>90</v>
      </c>
      <c r="J100" t="s">
        <v>23</v>
      </c>
      <c r="K100" t="s">
        <v>18</v>
      </c>
      <c r="L100" t="str">
        <f>T("9791175308350")</f>
        <v>9791175308350</v>
      </c>
      <c r="M100" t="str">
        <f t="shared" si="1"/>
        <v/>
      </c>
    </row>
    <row r="101" spans="1:14" x14ac:dyDescent="0.3">
      <c r="A101" s="1">
        <v>46055.798668981479</v>
      </c>
      <c r="B101">
        <v>385347620</v>
      </c>
      <c r="C101" t="s">
        <v>84</v>
      </c>
      <c r="D101" t="s">
        <v>15</v>
      </c>
      <c r="E101">
        <v>0</v>
      </c>
      <c r="F101">
        <v>0</v>
      </c>
      <c r="G101">
        <v>0</v>
      </c>
      <c r="I101" t="s">
        <v>85</v>
      </c>
      <c r="J101" t="s">
        <v>59</v>
      </c>
      <c r="K101" t="s">
        <v>18</v>
      </c>
      <c r="L101" t="str">
        <f>T("9791136943897")</f>
        <v>9791136943897</v>
      </c>
      <c r="M101" t="str">
        <f t="shared" si="1"/>
        <v/>
      </c>
      <c r="N101">
        <v>917706</v>
      </c>
    </row>
    <row r="102" spans="1:14" x14ac:dyDescent="0.3">
      <c r="A102" s="1">
        <v>46055.800451388888</v>
      </c>
      <c r="B102">
        <v>373442629</v>
      </c>
      <c r="C102" t="s">
        <v>104</v>
      </c>
      <c r="D102" t="s">
        <v>15</v>
      </c>
      <c r="E102">
        <v>0</v>
      </c>
      <c r="F102">
        <v>0</v>
      </c>
      <c r="G102">
        <v>0</v>
      </c>
      <c r="I102" t="s">
        <v>58</v>
      </c>
      <c r="J102" t="s">
        <v>59</v>
      </c>
      <c r="K102" t="s">
        <v>18</v>
      </c>
      <c r="L102" t="str">
        <f>T("9791173784316")</f>
        <v>9791173784316</v>
      </c>
      <c r="M102" t="str">
        <f t="shared" si="1"/>
        <v/>
      </c>
      <c r="N102">
        <v>948951</v>
      </c>
    </row>
    <row r="103" spans="1:14" x14ac:dyDescent="0.3">
      <c r="A103" s="1">
        <v>46055.807245370372</v>
      </c>
      <c r="B103">
        <v>385348415</v>
      </c>
      <c r="C103" t="s">
        <v>88</v>
      </c>
      <c r="D103" t="s">
        <v>89</v>
      </c>
      <c r="E103" s="2">
        <v>8640</v>
      </c>
      <c r="F103" s="2">
        <v>8640</v>
      </c>
      <c r="G103" s="2">
        <v>6048</v>
      </c>
      <c r="I103" t="s">
        <v>90</v>
      </c>
      <c r="J103" t="s">
        <v>23</v>
      </c>
      <c r="K103" t="s">
        <v>18</v>
      </c>
      <c r="L103" t="str">
        <f>T("9791175308350")</f>
        <v>9791175308350</v>
      </c>
      <c r="M103" t="str">
        <f t="shared" si="1"/>
        <v/>
      </c>
    </row>
    <row r="104" spans="1:14" x14ac:dyDescent="0.3">
      <c r="A104" s="1">
        <v>46055.818240740744</v>
      </c>
      <c r="B104">
        <v>385348415</v>
      </c>
      <c r="C104" t="s">
        <v>88</v>
      </c>
      <c r="D104" t="s">
        <v>89</v>
      </c>
      <c r="E104" s="2">
        <v>8640</v>
      </c>
      <c r="F104" s="2">
        <v>8640</v>
      </c>
      <c r="G104" s="2">
        <v>6048</v>
      </c>
      <c r="I104" t="s">
        <v>90</v>
      </c>
      <c r="J104" t="s">
        <v>23</v>
      </c>
      <c r="K104" t="s">
        <v>18</v>
      </c>
      <c r="L104" t="str">
        <f>T("9791175308350")</f>
        <v>9791175308350</v>
      </c>
      <c r="M104" t="str">
        <f t="shared" si="1"/>
        <v/>
      </c>
    </row>
    <row r="105" spans="1:14" x14ac:dyDescent="0.3">
      <c r="A105" s="1">
        <v>46055.8278587963</v>
      </c>
      <c r="B105">
        <v>385348415</v>
      </c>
      <c r="C105" t="s">
        <v>88</v>
      </c>
      <c r="D105" t="s">
        <v>89</v>
      </c>
      <c r="E105" s="2">
        <v>8640</v>
      </c>
      <c r="F105" s="2">
        <v>8640</v>
      </c>
      <c r="G105" s="2">
        <v>6048</v>
      </c>
      <c r="I105" t="s">
        <v>90</v>
      </c>
      <c r="J105" t="s">
        <v>23</v>
      </c>
      <c r="K105" t="s">
        <v>18</v>
      </c>
      <c r="L105" t="str">
        <f>T("9791175308350")</f>
        <v>9791175308350</v>
      </c>
      <c r="M105" t="str">
        <f t="shared" si="1"/>
        <v/>
      </c>
    </row>
    <row r="106" spans="1:14" x14ac:dyDescent="0.3">
      <c r="A106" s="1">
        <v>46055.83184027778</v>
      </c>
      <c r="B106">
        <v>385348415</v>
      </c>
      <c r="C106" t="s">
        <v>88</v>
      </c>
      <c r="D106" t="s">
        <v>89</v>
      </c>
      <c r="E106" s="2">
        <v>8640</v>
      </c>
      <c r="F106" s="2">
        <v>8640</v>
      </c>
      <c r="G106" s="2">
        <v>6048</v>
      </c>
      <c r="I106" t="s">
        <v>90</v>
      </c>
      <c r="J106" t="s">
        <v>23</v>
      </c>
      <c r="K106" t="s">
        <v>18</v>
      </c>
      <c r="L106" t="str">
        <f>T("9791175308350")</f>
        <v>9791175308350</v>
      </c>
      <c r="M106" t="str">
        <f t="shared" si="1"/>
        <v/>
      </c>
    </row>
    <row r="107" spans="1:14" x14ac:dyDescent="0.3">
      <c r="A107" s="1">
        <v>46055.843946759262</v>
      </c>
      <c r="B107">
        <v>330053100</v>
      </c>
      <c r="C107" t="s">
        <v>105</v>
      </c>
      <c r="D107" t="s">
        <v>15</v>
      </c>
      <c r="E107" s="2">
        <v>6500</v>
      </c>
      <c r="F107" s="2">
        <v>6500</v>
      </c>
      <c r="G107" s="2">
        <v>4550</v>
      </c>
      <c r="I107" t="s">
        <v>106</v>
      </c>
      <c r="J107" t="s">
        <v>49</v>
      </c>
      <c r="K107" t="s">
        <v>18</v>
      </c>
      <c r="L107" t="str">
        <f>T("9791136945075")</f>
        <v>9791136945075</v>
      </c>
      <c r="M107" t="str">
        <f t="shared" si="1"/>
        <v/>
      </c>
      <c r="N107">
        <v>919045</v>
      </c>
    </row>
    <row r="108" spans="1:14" x14ac:dyDescent="0.3">
      <c r="A108" s="1">
        <v>46055.844236111108</v>
      </c>
      <c r="B108">
        <v>330053100</v>
      </c>
      <c r="C108" t="s">
        <v>105</v>
      </c>
      <c r="D108" t="s">
        <v>15</v>
      </c>
      <c r="E108" s="2">
        <v>-6500</v>
      </c>
      <c r="F108" s="2">
        <v>-6500</v>
      </c>
      <c r="G108" s="2">
        <v>-4550</v>
      </c>
      <c r="H108" s="1">
        <v>46055.843946759262</v>
      </c>
      <c r="I108" t="s">
        <v>106</v>
      </c>
      <c r="J108" t="s">
        <v>49</v>
      </c>
      <c r="K108" t="s">
        <v>18</v>
      </c>
      <c r="L108" t="str">
        <f>T("9791136945075")</f>
        <v>9791136945075</v>
      </c>
      <c r="M108" t="str">
        <f t="shared" si="1"/>
        <v/>
      </c>
      <c r="N108">
        <v>919045</v>
      </c>
    </row>
    <row r="109" spans="1:14" x14ac:dyDescent="0.3">
      <c r="A109" s="1">
        <v>46055.845046296294</v>
      </c>
      <c r="B109">
        <v>330053100</v>
      </c>
      <c r="C109" t="s">
        <v>105</v>
      </c>
      <c r="D109" t="s">
        <v>15</v>
      </c>
      <c r="E109" s="2">
        <v>6500</v>
      </c>
      <c r="F109" s="2">
        <v>6500</v>
      </c>
      <c r="G109" s="2">
        <v>4550</v>
      </c>
      <c r="I109" t="s">
        <v>106</v>
      </c>
      <c r="J109" t="s">
        <v>49</v>
      </c>
      <c r="K109" t="s">
        <v>18</v>
      </c>
      <c r="L109" t="str">
        <f>T("9791136945075")</f>
        <v>9791136945075</v>
      </c>
      <c r="M109" t="str">
        <f t="shared" si="1"/>
        <v/>
      </c>
      <c r="N109">
        <v>919045</v>
      </c>
    </row>
    <row r="110" spans="1:14" x14ac:dyDescent="0.3">
      <c r="A110" s="1">
        <v>46055.848877314813</v>
      </c>
      <c r="B110">
        <v>385347796</v>
      </c>
      <c r="C110" t="s">
        <v>107</v>
      </c>
      <c r="D110" t="s">
        <v>15</v>
      </c>
      <c r="E110" s="2">
        <v>3200</v>
      </c>
      <c r="F110" s="2">
        <v>2880</v>
      </c>
      <c r="G110" s="2">
        <v>2016</v>
      </c>
      <c r="I110" t="s">
        <v>90</v>
      </c>
      <c r="J110" t="s">
        <v>23</v>
      </c>
      <c r="K110" t="s">
        <v>18</v>
      </c>
      <c r="L110" t="str">
        <f>T("9791175308312")</f>
        <v>9791175308312</v>
      </c>
      <c r="M110" t="str">
        <f t="shared" si="1"/>
        <v/>
      </c>
      <c r="N110">
        <v>957884</v>
      </c>
    </row>
    <row r="111" spans="1:14" x14ac:dyDescent="0.3">
      <c r="A111" s="1">
        <v>46055.849016203705</v>
      </c>
      <c r="B111">
        <v>385347659</v>
      </c>
      <c r="C111" t="s">
        <v>86</v>
      </c>
      <c r="D111" t="s">
        <v>15</v>
      </c>
      <c r="E111" s="2">
        <v>1000</v>
      </c>
      <c r="F111">
        <v>900</v>
      </c>
      <c r="G111">
        <v>630</v>
      </c>
      <c r="I111" t="s">
        <v>87</v>
      </c>
      <c r="J111" t="s">
        <v>23</v>
      </c>
      <c r="K111" t="s">
        <v>18</v>
      </c>
      <c r="L111" t="str">
        <f>T("9791175308510")</f>
        <v>9791175308510</v>
      </c>
      <c r="M111" t="str">
        <f t="shared" si="1"/>
        <v/>
      </c>
      <c r="N111">
        <v>957881</v>
      </c>
    </row>
    <row r="112" spans="1:14" x14ac:dyDescent="0.3">
      <c r="A112" s="1">
        <v>46055.849444444444</v>
      </c>
      <c r="B112">
        <v>385347659</v>
      </c>
      <c r="C112" t="s">
        <v>86</v>
      </c>
      <c r="D112" t="s">
        <v>15</v>
      </c>
      <c r="E112" s="2">
        <v>-1000</v>
      </c>
      <c r="F112">
        <v>-900</v>
      </c>
      <c r="G112">
        <v>-630</v>
      </c>
      <c r="H112" s="1">
        <v>46055.849016203705</v>
      </c>
      <c r="I112" t="s">
        <v>87</v>
      </c>
      <c r="J112" t="s">
        <v>23</v>
      </c>
      <c r="K112" t="s">
        <v>18</v>
      </c>
      <c r="L112" t="str">
        <f>T("9791175308510")</f>
        <v>9791175308510</v>
      </c>
      <c r="M112" t="str">
        <f t="shared" si="1"/>
        <v/>
      </c>
      <c r="N112">
        <v>957881</v>
      </c>
    </row>
    <row r="113" spans="1:14" x14ac:dyDescent="0.3">
      <c r="A113" s="1">
        <v>46055.849942129629</v>
      </c>
      <c r="B113">
        <v>384177441</v>
      </c>
      <c r="C113" t="s">
        <v>21</v>
      </c>
      <c r="D113" t="s">
        <v>15</v>
      </c>
      <c r="E113" s="2">
        <v>3500</v>
      </c>
      <c r="F113" s="2">
        <v>3500</v>
      </c>
      <c r="G113" s="2">
        <v>2450</v>
      </c>
      <c r="I113" t="s">
        <v>22</v>
      </c>
      <c r="J113" t="s">
        <v>23</v>
      </c>
      <c r="K113" t="s">
        <v>18</v>
      </c>
      <c r="L113" t="str">
        <f>T("9791175309821")</f>
        <v>9791175309821</v>
      </c>
      <c r="M113" t="str">
        <f t="shared" si="1"/>
        <v/>
      </c>
      <c r="N113">
        <v>958592</v>
      </c>
    </row>
    <row r="114" spans="1:14" x14ac:dyDescent="0.3">
      <c r="A114" s="1">
        <v>46055.849942129629</v>
      </c>
      <c r="B114">
        <v>384177498</v>
      </c>
      <c r="C114" t="s">
        <v>108</v>
      </c>
      <c r="D114" t="s">
        <v>15</v>
      </c>
      <c r="E114" s="2">
        <v>3500</v>
      </c>
      <c r="F114" s="2">
        <v>3500</v>
      </c>
      <c r="G114" s="2">
        <v>2450</v>
      </c>
      <c r="I114" t="s">
        <v>22</v>
      </c>
      <c r="J114" t="s">
        <v>23</v>
      </c>
      <c r="K114" t="s">
        <v>18</v>
      </c>
      <c r="L114" t="str">
        <f>T("9791175309791")</f>
        <v>9791175309791</v>
      </c>
      <c r="M114" t="str">
        <f t="shared" si="1"/>
        <v/>
      </c>
      <c r="N114">
        <v>958595</v>
      </c>
    </row>
    <row r="115" spans="1:14" x14ac:dyDescent="0.3">
      <c r="A115" s="1">
        <v>46055.849942129629</v>
      </c>
      <c r="B115">
        <v>384177514</v>
      </c>
      <c r="C115" t="s">
        <v>109</v>
      </c>
      <c r="D115" t="s">
        <v>15</v>
      </c>
      <c r="E115" s="2">
        <v>3500</v>
      </c>
      <c r="F115" s="2">
        <v>3500</v>
      </c>
      <c r="G115" s="2">
        <v>2450</v>
      </c>
      <c r="I115" t="s">
        <v>22</v>
      </c>
      <c r="J115" t="s">
        <v>23</v>
      </c>
      <c r="K115" t="s">
        <v>18</v>
      </c>
      <c r="L115" t="str">
        <f>T("9791175309807")</f>
        <v>9791175309807</v>
      </c>
      <c r="M115" t="str">
        <f t="shared" si="1"/>
        <v/>
      </c>
      <c r="N115">
        <v>958594</v>
      </c>
    </row>
    <row r="116" spans="1:14" x14ac:dyDescent="0.3">
      <c r="A116" s="1">
        <v>46055.853159722225</v>
      </c>
      <c r="B116">
        <v>385347620</v>
      </c>
      <c r="C116" t="s">
        <v>84</v>
      </c>
      <c r="D116" t="s">
        <v>15</v>
      </c>
      <c r="E116">
        <v>0</v>
      </c>
      <c r="F116">
        <v>0</v>
      </c>
      <c r="G116">
        <v>0</v>
      </c>
      <c r="I116" t="s">
        <v>85</v>
      </c>
      <c r="J116" t="s">
        <v>59</v>
      </c>
      <c r="K116" t="s">
        <v>18</v>
      </c>
      <c r="L116" t="str">
        <f>T("9791136943897")</f>
        <v>9791136943897</v>
      </c>
      <c r="M116" t="str">
        <f t="shared" si="1"/>
        <v/>
      </c>
      <c r="N116">
        <v>917706</v>
      </c>
    </row>
    <row r="117" spans="1:14" x14ac:dyDescent="0.3">
      <c r="A117" s="1">
        <v>46055.856273148151</v>
      </c>
      <c r="B117">
        <v>385348415</v>
      </c>
      <c r="C117" t="s">
        <v>88</v>
      </c>
      <c r="D117" t="s">
        <v>89</v>
      </c>
      <c r="E117" s="2">
        <v>-8640</v>
      </c>
      <c r="F117" s="2">
        <v>-8640</v>
      </c>
      <c r="G117" s="2">
        <v>-6048</v>
      </c>
      <c r="H117" s="1">
        <v>46055.85564814815</v>
      </c>
      <c r="I117" t="s">
        <v>90</v>
      </c>
      <c r="J117" t="s">
        <v>23</v>
      </c>
      <c r="K117" t="s">
        <v>18</v>
      </c>
      <c r="L117" t="str">
        <f>T("9791175308350")</f>
        <v>9791175308350</v>
      </c>
      <c r="M117" t="str">
        <f t="shared" si="1"/>
        <v/>
      </c>
    </row>
    <row r="118" spans="1:14" x14ac:dyDescent="0.3">
      <c r="A118" s="1">
        <v>46055.85564814815</v>
      </c>
      <c r="B118">
        <v>385348415</v>
      </c>
      <c r="C118" t="s">
        <v>88</v>
      </c>
      <c r="D118" t="s">
        <v>89</v>
      </c>
      <c r="E118" s="2">
        <v>8640</v>
      </c>
      <c r="F118" s="2">
        <v>8640</v>
      </c>
      <c r="G118" s="2">
        <v>6048</v>
      </c>
      <c r="I118" t="s">
        <v>90</v>
      </c>
      <c r="J118" t="s">
        <v>23</v>
      </c>
      <c r="K118" t="s">
        <v>18</v>
      </c>
      <c r="L118" t="str">
        <f>T("9791175308350")</f>
        <v>9791175308350</v>
      </c>
      <c r="M118" t="str">
        <f t="shared" si="1"/>
        <v/>
      </c>
    </row>
    <row r="119" spans="1:14" x14ac:dyDescent="0.3">
      <c r="A119" s="1">
        <v>46055.858553240738</v>
      </c>
      <c r="B119">
        <v>385348415</v>
      </c>
      <c r="C119" t="s">
        <v>88</v>
      </c>
      <c r="D119" t="s">
        <v>89</v>
      </c>
      <c r="E119" s="2">
        <v>8640</v>
      </c>
      <c r="F119" s="2">
        <v>8640</v>
      </c>
      <c r="G119" s="2">
        <v>6048</v>
      </c>
      <c r="I119" t="s">
        <v>90</v>
      </c>
      <c r="J119" t="s">
        <v>23</v>
      </c>
      <c r="K119" t="s">
        <v>18</v>
      </c>
      <c r="L119" t="str">
        <f>T("9791175308350")</f>
        <v>9791175308350</v>
      </c>
      <c r="M119" t="str">
        <f t="shared" si="1"/>
        <v/>
      </c>
    </row>
    <row r="120" spans="1:14" x14ac:dyDescent="0.3">
      <c r="A120" s="1">
        <v>46055.867685185185</v>
      </c>
      <c r="B120">
        <v>384904126</v>
      </c>
      <c r="C120" t="s">
        <v>110</v>
      </c>
      <c r="D120" t="s">
        <v>15</v>
      </c>
      <c r="E120" s="2">
        <v>3300</v>
      </c>
      <c r="F120" s="2">
        <v>2970</v>
      </c>
      <c r="G120" s="2">
        <v>2079</v>
      </c>
      <c r="I120" t="s">
        <v>69</v>
      </c>
      <c r="J120" t="s">
        <v>70</v>
      </c>
      <c r="K120" t="s">
        <v>18</v>
      </c>
      <c r="L120" t="str">
        <f>T("9791175307018")</f>
        <v>9791175307018</v>
      </c>
      <c r="M120" t="str">
        <f t="shared" si="1"/>
        <v/>
      </c>
      <c r="N120">
        <v>956796</v>
      </c>
    </row>
    <row r="121" spans="1:14" x14ac:dyDescent="0.3">
      <c r="A121" s="1">
        <v>46055.867685185185</v>
      </c>
      <c r="B121">
        <v>385348415</v>
      </c>
      <c r="C121" t="s">
        <v>88</v>
      </c>
      <c r="D121" t="s">
        <v>89</v>
      </c>
      <c r="E121" s="2">
        <v>8640</v>
      </c>
      <c r="F121" s="2">
        <v>8640</v>
      </c>
      <c r="G121" s="2">
        <v>6048</v>
      </c>
      <c r="I121" t="s">
        <v>90</v>
      </c>
      <c r="J121" t="s">
        <v>23</v>
      </c>
      <c r="K121" t="s">
        <v>18</v>
      </c>
      <c r="L121" t="str">
        <f t="shared" ref="L121:L126" si="2">T("9791175308350")</f>
        <v>9791175308350</v>
      </c>
      <c r="M121" t="str">
        <f t="shared" si="1"/>
        <v/>
      </c>
    </row>
    <row r="122" spans="1:14" x14ac:dyDescent="0.3">
      <c r="A122" s="1">
        <v>46055.868321759262</v>
      </c>
      <c r="B122">
        <v>385348415</v>
      </c>
      <c r="C122" t="s">
        <v>88</v>
      </c>
      <c r="D122" t="s">
        <v>89</v>
      </c>
      <c r="E122" s="2">
        <v>8640</v>
      </c>
      <c r="F122" s="2">
        <v>8640</v>
      </c>
      <c r="G122" s="2">
        <v>6048</v>
      </c>
      <c r="I122" t="s">
        <v>90</v>
      </c>
      <c r="J122" t="s">
        <v>23</v>
      </c>
      <c r="K122" t="s">
        <v>18</v>
      </c>
      <c r="L122" t="str">
        <f t="shared" si="2"/>
        <v>9791175308350</v>
      </c>
      <c r="M122" t="str">
        <f t="shared" si="1"/>
        <v/>
      </c>
    </row>
    <row r="123" spans="1:14" x14ac:dyDescent="0.3">
      <c r="A123" s="1">
        <v>46055.869444444441</v>
      </c>
      <c r="B123">
        <v>385348415</v>
      </c>
      <c r="C123" t="s">
        <v>88</v>
      </c>
      <c r="D123" t="s">
        <v>89</v>
      </c>
      <c r="E123" s="2">
        <v>8640</v>
      </c>
      <c r="F123" s="2">
        <v>8640</v>
      </c>
      <c r="G123" s="2">
        <v>6048</v>
      </c>
      <c r="I123" t="s">
        <v>90</v>
      </c>
      <c r="J123" t="s">
        <v>23</v>
      </c>
      <c r="K123" t="s">
        <v>18</v>
      </c>
      <c r="L123" t="str">
        <f t="shared" si="2"/>
        <v>9791175308350</v>
      </c>
      <c r="M123" t="str">
        <f t="shared" si="1"/>
        <v/>
      </c>
    </row>
    <row r="124" spans="1:14" x14ac:dyDescent="0.3">
      <c r="A124" s="1">
        <v>46055.87394675926</v>
      </c>
      <c r="B124">
        <v>385348415</v>
      </c>
      <c r="C124" t="s">
        <v>88</v>
      </c>
      <c r="D124" t="s">
        <v>89</v>
      </c>
      <c r="E124" s="2">
        <v>8640</v>
      </c>
      <c r="F124" s="2">
        <v>8640</v>
      </c>
      <c r="G124" s="2">
        <v>6048</v>
      </c>
      <c r="I124" t="s">
        <v>90</v>
      </c>
      <c r="J124" t="s">
        <v>23</v>
      </c>
      <c r="K124" t="s">
        <v>18</v>
      </c>
      <c r="L124" t="str">
        <f t="shared" si="2"/>
        <v>9791175308350</v>
      </c>
      <c r="M124" t="str">
        <f t="shared" si="1"/>
        <v/>
      </c>
    </row>
    <row r="125" spans="1:14" x14ac:dyDescent="0.3">
      <c r="A125" s="1">
        <v>46055.875150462962</v>
      </c>
      <c r="B125">
        <v>385348415</v>
      </c>
      <c r="C125" t="s">
        <v>88</v>
      </c>
      <c r="D125" t="s">
        <v>89</v>
      </c>
      <c r="E125" s="2">
        <v>8640</v>
      </c>
      <c r="F125" s="2">
        <v>8640</v>
      </c>
      <c r="G125" s="2">
        <v>6048</v>
      </c>
      <c r="I125" t="s">
        <v>90</v>
      </c>
      <c r="J125" t="s">
        <v>23</v>
      </c>
      <c r="K125" t="s">
        <v>18</v>
      </c>
      <c r="L125" t="str">
        <f t="shared" si="2"/>
        <v>9791175308350</v>
      </c>
      <c r="M125" t="str">
        <f t="shared" si="1"/>
        <v/>
      </c>
    </row>
    <row r="126" spans="1:14" x14ac:dyDescent="0.3">
      <c r="A126" s="1">
        <v>46055.876793981479</v>
      </c>
      <c r="B126">
        <v>385348415</v>
      </c>
      <c r="C126" t="s">
        <v>88</v>
      </c>
      <c r="D126" t="s">
        <v>89</v>
      </c>
      <c r="E126" s="2">
        <v>8640</v>
      </c>
      <c r="F126" s="2">
        <v>8640</v>
      </c>
      <c r="G126" s="2">
        <v>6048</v>
      </c>
      <c r="I126" t="s">
        <v>90</v>
      </c>
      <c r="J126" t="s">
        <v>23</v>
      </c>
      <c r="K126" t="s">
        <v>18</v>
      </c>
      <c r="L126" t="str">
        <f t="shared" si="2"/>
        <v>9791175308350</v>
      </c>
      <c r="M126" t="str">
        <f t="shared" si="1"/>
        <v/>
      </c>
    </row>
    <row r="127" spans="1:14" x14ac:dyDescent="0.3">
      <c r="A127" s="1">
        <v>46055.882071759261</v>
      </c>
      <c r="B127">
        <v>384177437</v>
      </c>
      <c r="C127" t="s">
        <v>111</v>
      </c>
      <c r="D127" t="s">
        <v>15</v>
      </c>
      <c r="E127" s="2">
        <v>3500</v>
      </c>
      <c r="F127" s="2">
        <v>3500</v>
      </c>
      <c r="G127" s="2">
        <v>2450</v>
      </c>
      <c r="I127" t="s">
        <v>22</v>
      </c>
      <c r="J127" t="s">
        <v>23</v>
      </c>
      <c r="K127" t="s">
        <v>18</v>
      </c>
      <c r="L127" t="str">
        <f>T("9791175309814")</f>
        <v>9791175309814</v>
      </c>
      <c r="M127" t="str">
        <f t="shared" si="1"/>
        <v/>
      </c>
      <c r="N127">
        <v>958593</v>
      </c>
    </row>
    <row r="128" spans="1:14" x14ac:dyDescent="0.3">
      <c r="A128" s="1">
        <v>46055.891562500001</v>
      </c>
      <c r="B128">
        <v>385348415</v>
      </c>
      <c r="C128" t="s">
        <v>88</v>
      </c>
      <c r="D128" t="s">
        <v>89</v>
      </c>
      <c r="E128" s="2">
        <v>8640</v>
      </c>
      <c r="F128" s="2">
        <v>8640</v>
      </c>
      <c r="G128" s="2">
        <v>6048</v>
      </c>
      <c r="I128" t="s">
        <v>90</v>
      </c>
      <c r="J128" t="s">
        <v>23</v>
      </c>
      <c r="K128" t="s">
        <v>18</v>
      </c>
      <c r="L128" t="str">
        <f>T("9791175308350")</f>
        <v>9791175308350</v>
      </c>
      <c r="M128" t="str">
        <f t="shared" si="1"/>
        <v/>
      </c>
    </row>
    <row r="129" spans="1:14" x14ac:dyDescent="0.3">
      <c r="A129" s="1">
        <v>46055.892430555556</v>
      </c>
      <c r="B129">
        <v>385348415</v>
      </c>
      <c r="C129" t="s">
        <v>88</v>
      </c>
      <c r="D129" t="s">
        <v>89</v>
      </c>
      <c r="E129" s="2">
        <v>8640</v>
      </c>
      <c r="F129" s="2">
        <v>8640</v>
      </c>
      <c r="G129" s="2">
        <v>6048</v>
      </c>
      <c r="I129" t="s">
        <v>90</v>
      </c>
      <c r="J129" t="s">
        <v>23</v>
      </c>
      <c r="K129" t="s">
        <v>18</v>
      </c>
      <c r="L129" t="str">
        <f>T("9791175308350")</f>
        <v>9791175308350</v>
      </c>
      <c r="M129" t="str">
        <f t="shared" si="1"/>
        <v/>
      </c>
    </row>
    <row r="130" spans="1:14" x14ac:dyDescent="0.3">
      <c r="A130" s="1">
        <v>46055.894189814811</v>
      </c>
      <c r="B130">
        <v>385348415</v>
      </c>
      <c r="C130" t="s">
        <v>88</v>
      </c>
      <c r="D130" t="s">
        <v>89</v>
      </c>
      <c r="E130" s="2">
        <v>8640</v>
      </c>
      <c r="F130" s="2">
        <v>8640</v>
      </c>
      <c r="G130" s="2">
        <v>6048</v>
      </c>
      <c r="I130" t="s">
        <v>90</v>
      </c>
      <c r="J130" t="s">
        <v>23</v>
      </c>
      <c r="K130" t="s">
        <v>18</v>
      </c>
      <c r="L130" t="str">
        <f>T("9791175308350")</f>
        <v>9791175308350</v>
      </c>
      <c r="M130" t="str">
        <f t="shared" ref="M130:M193" si="3">T("")</f>
        <v/>
      </c>
    </row>
    <row r="131" spans="1:14" x14ac:dyDescent="0.3">
      <c r="A131" s="1">
        <v>46055.896608796298</v>
      </c>
      <c r="B131">
        <v>385348415</v>
      </c>
      <c r="C131" t="s">
        <v>88</v>
      </c>
      <c r="D131" t="s">
        <v>89</v>
      </c>
      <c r="E131" s="2">
        <v>8640</v>
      </c>
      <c r="F131" s="2">
        <v>8640</v>
      </c>
      <c r="G131" s="2">
        <v>6048</v>
      </c>
      <c r="I131" t="s">
        <v>90</v>
      </c>
      <c r="J131" t="s">
        <v>23</v>
      </c>
      <c r="K131" t="s">
        <v>18</v>
      </c>
      <c r="L131" t="str">
        <f>T("9791175308350")</f>
        <v>9791175308350</v>
      </c>
      <c r="M131" t="str">
        <f t="shared" si="3"/>
        <v/>
      </c>
    </row>
    <row r="132" spans="1:14" x14ac:dyDescent="0.3">
      <c r="A132" s="1">
        <v>46055.903194444443</v>
      </c>
      <c r="B132">
        <v>385347659</v>
      </c>
      <c r="C132" t="s">
        <v>86</v>
      </c>
      <c r="D132" t="s">
        <v>15</v>
      </c>
      <c r="E132" s="2">
        <v>1000</v>
      </c>
      <c r="F132">
        <v>900</v>
      </c>
      <c r="G132">
        <v>630</v>
      </c>
      <c r="I132" t="s">
        <v>87</v>
      </c>
      <c r="J132" t="s">
        <v>23</v>
      </c>
      <c r="K132" t="s">
        <v>18</v>
      </c>
      <c r="L132" t="str">
        <f>T("9791175308510")</f>
        <v>9791175308510</v>
      </c>
      <c r="M132" t="str">
        <f t="shared" si="3"/>
        <v/>
      </c>
      <c r="N132">
        <v>957881</v>
      </c>
    </row>
    <row r="133" spans="1:14" x14ac:dyDescent="0.3">
      <c r="A133" s="1">
        <v>46055.904374999998</v>
      </c>
      <c r="B133">
        <v>385348415</v>
      </c>
      <c r="C133" t="s">
        <v>88</v>
      </c>
      <c r="D133" t="s">
        <v>89</v>
      </c>
      <c r="E133" s="2">
        <v>8640</v>
      </c>
      <c r="F133" s="2">
        <v>8640</v>
      </c>
      <c r="G133" s="2">
        <v>6048</v>
      </c>
      <c r="I133" t="s">
        <v>90</v>
      </c>
      <c r="J133" t="s">
        <v>23</v>
      </c>
      <c r="K133" t="s">
        <v>18</v>
      </c>
      <c r="L133" t="str">
        <f>T("9791175308350")</f>
        <v>9791175308350</v>
      </c>
      <c r="M133" t="str">
        <f t="shared" si="3"/>
        <v/>
      </c>
    </row>
    <row r="134" spans="1:14" x14ac:dyDescent="0.3">
      <c r="A134" s="1">
        <v>46055.90519675926</v>
      </c>
      <c r="B134">
        <v>384177437</v>
      </c>
      <c r="C134" t="s">
        <v>111</v>
      </c>
      <c r="D134" t="s">
        <v>15</v>
      </c>
      <c r="E134" s="2">
        <v>3500</v>
      </c>
      <c r="F134" s="2">
        <v>3500</v>
      </c>
      <c r="G134" s="2">
        <v>2450</v>
      </c>
      <c r="I134" t="s">
        <v>22</v>
      </c>
      <c r="J134" t="s">
        <v>23</v>
      </c>
      <c r="K134" t="s">
        <v>18</v>
      </c>
      <c r="L134" t="str">
        <f>T("9791175309814")</f>
        <v>9791175309814</v>
      </c>
      <c r="M134" t="str">
        <f t="shared" si="3"/>
        <v/>
      </c>
      <c r="N134">
        <v>958593</v>
      </c>
    </row>
    <row r="135" spans="1:14" x14ac:dyDescent="0.3">
      <c r="A135" s="1">
        <v>46055.905266203707</v>
      </c>
      <c r="B135">
        <v>93589065</v>
      </c>
      <c r="C135" t="s">
        <v>112</v>
      </c>
      <c r="D135" t="s">
        <v>15</v>
      </c>
      <c r="E135" s="2">
        <v>3500</v>
      </c>
      <c r="F135" s="2">
        <v>3500</v>
      </c>
      <c r="G135" s="2">
        <v>2450</v>
      </c>
      <c r="I135" t="s">
        <v>113</v>
      </c>
      <c r="J135" t="s">
        <v>20</v>
      </c>
      <c r="K135" t="s">
        <v>18</v>
      </c>
      <c r="L135" t="str">
        <f>T("9791133142163")</f>
        <v>9791133142163</v>
      </c>
      <c r="M135" t="str">
        <f t="shared" si="3"/>
        <v/>
      </c>
      <c r="N135">
        <v>375669</v>
      </c>
    </row>
    <row r="136" spans="1:14" x14ac:dyDescent="0.3">
      <c r="A136" s="1">
        <v>46055.916747685187</v>
      </c>
      <c r="B136">
        <v>385347754</v>
      </c>
      <c r="C136" t="s">
        <v>97</v>
      </c>
      <c r="D136" t="s">
        <v>15</v>
      </c>
      <c r="E136" s="2">
        <v>3200</v>
      </c>
      <c r="F136" s="2">
        <v>2880</v>
      </c>
      <c r="G136" s="2">
        <v>2016</v>
      </c>
      <c r="I136" t="s">
        <v>90</v>
      </c>
      <c r="J136" t="s">
        <v>23</v>
      </c>
      <c r="K136" t="s">
        <v>18</v>
      </c>
      <c r="L136" t="str">
        <f>T("9791175308282")</f>
        <v>9791175308282</v>
      </c>
      <c r="M136" t="str">
        <f t="shared" si="3"/>
        <v/>
      </c>
      <c r="N136">
        <v>957886</v>
      </c>
    </row>
    <row r="137" spans="1:14" x14ac:dyDescent="0.3">
      <c r="A137" s="1">
        <v>46055.917488425926</v>
      </c>
      <c r="B137">
        <v>385347662</v>
      </c>
      <c r="C137" t="s">
        <v>103</v>
      </c>
      <c r="D137" t="s">
        <v>15</v>
      </c>
      <c r="E137" s="2">
        <v>3200</v>
      </c>
      <c r="F137" s="2">
        <v>2880</v>
      </c>
      <c r="G137" s="2">
        <v>2016</v>
      </c>
      <c r="I137" t="s">
        <v>90</v>
      </c>
      <c r="J137" t="s">
        <v>23</v>
      </c>
      <c r="K137" t="s">
        <v>18</v>
      </c>
      <c r="L137" t="str">
        <f>T("9791175308343")</f>
        <v>9791175308343</v>
      </c>
      <c r="M137" t="str">
        <f t="shared" si="3"/>
        <v/>
      </c>
      <c r="N137">
        <v>957885</v>
      </c>
    </row>
    <row r="138" spans="1:14" x14ac:dyDescent="0.3">
      <c r="A138" s="1">
        <v>46055.918113425927</v>
      </c>
      <c r="B138">
        <v>385347754</v>
      </c>
      <c r="C138" t="s">
        <v>97</v>
      </c>
      <c r="D138" t="s">
        <v>15</v>
      </c>
      <c r="E138" s="2">
        <v>3200</v>
      </c>
      <c r="F138" s="2">
        <v>2880</v>
      </c>
      <c r="G138" s="2">
        <v>2016</v>
      </c>
      <c r="I138" t="s">
        <v>90</v>
      </c>
      <c r="J138" t="s">
        <v>23</v>
      </c>
      <c r="K138" t="s">
        <v>18</v>
      </c>
      <c r="L138" t="str">
        <f>T("9791175308282")</f>
        <v>9791175308282</v>
      </c>
      <c r="M138" t="str">
        <f t="shared" si="3"/>
        <v/>
      </c>
      <c r="N138">
        <v>957886</v>
      </c>
    </row>
    <row r="139" spans="1:14" x14ac:dyDescent="0.3">
      <c r="A139" s="1">
        <v>46055.918576388889</v>
      </c>
      <c r="B139">
        <v>385347796</v>
      </c>
      <c r="C139" t="s">
        <v>107</v>
      </c>
      <c r="D139" t="s">
        <v>15</v>
      </c>
      <c r="E139" s="2">
        <v>3200</v>
      </c>
      <c r="F139" s="2">
        <v>2880</v>
      </c>
      <c r="G139" s="2">
        <v>2016</v>
      </c>
      <c r="I139" t="s">
        <v>90</v>
      </c>
      <c r="J139" t="s">
        <v>23</v>
      </c>
      <c r="K139" t="s">
        <v>18</v>
      </c>
      <c r="L139" t="str">
        <f>T("9791175308312")</f>
        <v>9791175308312</v>
      </c>
      <c r="M139" t="str">
        <f t="shared" si="3"/>
        <v/>
      </c>
      <c r="N139">
        <v>957884</v>
      </c>
    </row>
    <row r="140" spans="1:14" x14ac:dyDescent="0.3">
      <c r="A140" s="1">
        <v>46055.924224537041</v>
      </c>
      <c r="B140">
        <v>385348415</v>
      </c>
      <c r="C140" t="s">
        <v>88</v>
      </c>
      <c r="D140" t="s">
        <v>89</v>
      </c>
      <c r="E140" s="2">
        <v>8640</v>
      </c>
      <c r="F140" s="2">
        <v>8640</v>
      </c>
      <c r="G140" s="2">
        <v>6048</v>
      </c>
      <c r="I140" t="s">
        <v>90</v>
      </c>
      <c r="J140" t="s">
        <v>23</v>
      </c>
      <c r="K140" t="s">
        <v>18</v>
      </c>
      <c r="L140" t="str">
        <f>T("9791175308350")</f>
        <v>9791175308350</v>
      </c>
      <c r="M140" t="str">
        <f t="shared" si="3"/>
        <v/>
      </c>
    </row>
    <row r="141" spans="1:14" x14ac:dyDescent="0.3">
      <c r="A141" s="1">
        <v>46055.928090277775</v>
      </c>
      <c r="B141">
        <v>385348415</v>
      </c>
      <c r="C141" t="s">
        <v>88</v>
      </c>
      <c r="D141" t="s">
        <v>89</v>
      </c>
      <c r="E141" s="2">
        <v>8640</v>
      </c>
      <c r="F141" s="2">
        <v>8640</v>
      </c>
      <c r="G141" s="2">
        <v>6048</v>
      </c>
      <c r="I141" t="s">
        <v>90</v>
      </c>
      <c r="J141" t="s">
        <v>23</v>
      </c>
      <c r="K141" t="s">
        <v>18</v>
      </c>
      <c r="L141" t="str">
        <f>T("9791175308350")</f>
        <v>9791175308350</v>
      </c>
      <c r="M141" t="str">
        <f t="shared" si="3"/>
        <v/>
      </c>
    </row>
    <row r="142" spans="1:14" x14ac:dyDescent="0.3">
      <c r="A142" s="1">
        <v>46055.928090277775</v>
      </c>
      <c r="B142">
        <v>385348415</v>
      </c>
      <c r="C142" t="s">
        <v>88</v>
      </c>
      <c r="D142" t="s">
        <v>89</v>
      </c>
      <c r="E142" s="2">
        <v>8640</v>
      </c>
      <c r="F142" s="2">
        <v>8640</v>
      </c>
      <c r="G142" s="2">
        <v>6048</v>
      </c>
      <c r="I142" t="s">
        <v>90</v>
      </c>
      <c r="J142" t="s">
        <v>23</v>
      </c>
      <c r="K142" t="s">
        <v>18</v>
      </c>
      <c r="L142" t="str">
        <f>T("9791175308350")</f>
        <v>9791175308350</v>
      </c>
      <c r="M142" t="str">
        <f t="shared" si="3"/>
        <v/>
      </c>
    </row>
    <row r="143" spans="1:14" x14ac:dyDescent="0.3">
      <c r="A143" s="1">
        <v>46055.928182870368</v>
      </c>
      <c r="B143">
        <v>385347620</v>
      </c>
      <c r="C143" t="s">
        <v>84</v>
      </c>
      <c r="D143" t="s">
        <v>15</v>
      </c>
      <c r="E143">
        <v>0</v>
      </c>
      <c r="F143">
        <v>0</v>
      </c>
      <c r="G143">
        <v>0</v>
      </c>
      <c r="I143" t="s">
        <v>85</v>
      </c>
      <c r="J143" t="s">
        <v>59</v>
      </c>
      <c r="K143" t="s">
        <v>18</v>
      </c>
      <c r="L143" t="str">
        <f>T("9791136943897")</f>
        <v>9791136943897</v>
      </c>
      <c r="M143" t="str">
        <f t="shared" si="3"/>
        <v/>
      </c>
      <c r="N143">
        <v>917706</v>
      </c>
    </row>
    <row r="144" spans="1:14" x14ac:dyDescent="0.3">
      <c r="A144" s="1">
        <v>46055.937962962962</v>
      </c>
      <c r="B144">
        <v>385348415</v>
      </c>
      <c r="C144" t="s">
        <v>88</v>
      </c>
      <c r="D144" t="s">
        <v>89</v>
      </c>
      <c r="E144" s="2">
        <v>8640</v>
      </c>
      <c r="F144" s="2">
        <v>8640</v>
      </c>
      <c r="G144" s="2">
        <v>6048</v>
      </c>
      <c r="I144" t="s">
        <v>90</v>
      </c>
      <c r="J144" t="s">
        <v>23</v>
      </c>
      <c r="K144" t="s">
        <v>18</v>
      </c>
      <c r="L144" t="str">
        <f t="shared" ref="L144:L154" si="4">T("9791175308350")</f>
        <v>9791175308350</v>
      </c>
      <c r="M144" t="str">
        <f t="shared" si="3"/>
        <v/>
      </c>
    </row>
    <row r="145" spans="1:14" x14ac:dyDescent="0.3">
      <c r="A145" s="1">
        <v>46055.939930555556</v>
      </c>
      <c r="B145">
        <v>385348415</v>
      </c>
      <c r="C145" t="s">
        <v>88</v>
      </c>
      <c r="D145" t="s">
        <v>89</v>
      </c>
      <c r="E145" s="2">
        <v>8640</v>
      </c>
      <c r="F145" s="2">
        <v>8640</v>
      </c>
      <c r="G145" s="2">
        <v>6048</v>
      </c>
      <c r="I145" t="s">
        <v>90</v>
      </c>
      <c r="J145" t="s">
        <v>23</v>
      </c>
      <c r="K145" t="s">
        <v>18</v>
      </c>
      <c r="L145" t="str">
        <f t="shared" si="4"/>
        <v>9791175308350</v>
      </c>
      <c r="M145" t="str">
        <f t="shared" si="3"/>
        <v/>
      </c>
    </row>
    <row r="146" spans="1:14" x14ac:dyDescent="0.3">
      <c r="A146" s="1">
        <v>46055.946157407408</v>
      </c>
      <c r="B146">
        <v>385348415</v>
      </c>
      <c r="C146" t="s">
        <v>88</v>
      </c>
      <c r="D146" t="s">
        <v>89</v>
      </c>
      <c r="E146" s="2">
        <v>8640</v>
      </c>
      <c r="F146" s="2">
        <v>8640</v>
      </c>
      <c r="G146" s="2">
        <v>6048</v>
      </c>
      <c r="I146" t="s">
        <v>90</v>
      </c>
      <c r="J146" t="s">
        <v>23</v>
      </c>
      <c r="K146" t="s">
        <v>18</v>
      </c>
      <c r="L146" t="str">
        <f t="shared" si="4"/>
        <v>9791175308350</v>
      </c>
      <c r="M146" t="str">
        <f t="shared" si="3"/>
        <v/>
      </c>
    </row>
    <row r="147" spans="1:14" x14ac:dyDescent="0.3">
      <c r="A147" s="1">
        <v>46055.947210648148</v>
      </c>
      <c r="B147">
        <v>385348415</v>
      </c>
      <c r="C147" t="s">
        <v>88</v>
      </c>
      <c r="D147" t="s">
        <v>89</v>
      </c>
      <c r="E147" s="2">
        <v>8640</v>
      </c>
      <c r="F147" s="2">
        <v>8640</v>
      </c>
      <c r="G147" s="2">
        <v>6048</v>
      </c>
      <c r="I147" t="s">
        <v>90</v>
      </c>
      <c r="J147" t="s">
        <v>23</v>
      </c>
      <c r="K147" t="s">
        <v>18</v>
      </c>
      <c r="L147" t="str">
        <f t="shared" si="4"/>
        <v>9791175308350</v>
      </c>
      <c r="M147" t="str">
        <f t="shared" si="3"/>
        <v/>
      </c>
    </row>
    <row r="148" spans="1:14" x14ac:dyDescent="0.3">
      <c r="A148" s="1">
        <v>46055.948344907411</v>
      </c>
      <c r="B148">
        <v>385348415</v>
      </c>
      <c r="C148" t="s">
        <v>88</v>
      </c>
      <c r="D148" t="s">
        <v>89</v>
      </c>
      <c r="E148" s="2">
        <v>8640</v>
      </c>
      <c r="F148" s="2">
        <v>8640</v>
      </c>
      <c r="G148" s="2">
        <v>6048</v>
      </c>
      <c r="I148" t="s">
        <v>90</v>
      </c>
      <c r="J148" t="s">
        <v>23</v>
      </c>
      <c r="K148" t="s">
        <v>18</v>
      </c>
      <c r="L148" t="str">
        <f t="shared" si="4"/>
        <v>9791175308350</v>
      </c>
      <c r="M148" t="str">
        <f t="shared" si="3"/>
        <v/>
      </c>
    </row>
    <row r="149" spans="1:14" x14ac:dyDescent="0.3">
      <c r="A149" s="1">
        <v>46055.952245370368</v>
      </c>
      <c r="B149">
        <v>385348415</v>
      </c>
      <c r="C149" t="s">
        <v>88</v>
      </c>
      <c r="D149" t="s">
        <v>89</v>
      </c>
      <c r="E149" s="2">
        <v>8640</v>
      </c>
      <c r="F149" s="2">
        <v>8640</v>
      </c>
      <c r="G149" s="2">
        <v>6048</v>
      </c>
      <c r="I149" t="s">
        <v>90</v>
      </c>
      <c r="J149" t="s">
        <v>23</v>
      </c>
      <c r="K149" t="s">
        <v>18</v>
      </c>
      <c r="L149" t="str">
        <f t="shared" si="4"/>
        <v>9791175308350</v>
      </c>
      <c r="M149" t="str">
        <f t="shared" si="3"/>
        <v/>
      </c>
    </row>
    <row r="150" spans="1:14" x14ac:dyDescent="0.3">
      <c r="A150" s="1">
        <v>46055.956180555557</v>
      </c>
      <c r="B150">
        <v>385348415</v>
      </c>
      <c r="C150" t="s">
        <v>88</v>
      </c>
      <c r="D150" t="s">
        <v>89</v>
      </c>
      <c r="E150" s="2">
        <v>-8640</v>
      </c>
      <c r="F150" s="2">
        <v>-8640</v>
      </c>
      <c r="G150" s="2">
        <v>-6048</v>
      </c>
      <c r="H150" s="1">
        <v>46055.954641203702</v>
      </c>
      <c r="I150" t="s">
        <v>90</v>
      </c>
      <c r="J150" t="s">
        <v>23</v>
      </c>
      <c r="K150" t="s">
        <v>18</v>
      </c>
      <c r="L150" t="str">
        <f t="shared" si="4"/>
        <v>9791175308350</v>
      </c>
      <c r="M150" t="str">
        <f t="shared" si="3"/>
        <v/>
      </c>
    </row>
    <row r="151" spans="1:14" x14ac:dyDescent="0.3">
      <c r="A151" s="1">
        <v>46055.954641203702</v>
      </c>
      <c r="B151">
        <v>385348415</v>
      </c>
      <c r="C151" t="s">
        <v>88</v>
      </c>
      <c r="D151" t="s">
        <v>89</v>
      </c>
      <c r="E151" s="2">
        <v>8640</v>
      </c>
      <c r="F151" s="2">
        <v>8640</v>
      </c>
      <c r="G151" s="2">
        <v>6048</v>
      </c>
      <c r="I151" t="s">
        <v>90</v>
      </c>
      <c r="J151" t="s">
        <v>23</v>
      </c>
      <c r="K151" t="s">
        <v>18</v>
      </c>
      <c r="L151" t="str">
        <f t="shared" si="4"/>
        <v>9791175308350</v>
      </c>
      <c r="M151" t="str">
        <f t="shared" si="3"/>
        <v/>
      </c>
    </row>
    <row r="152" spans="1:14" x14ac:dyDescent="0.3">
      <c r="A152" s="1">
        <v>46055.957511574074</v>
      </c>
      <c r="B152">
        <v>385348415</v>
      </c>
      <c r="C152" t="s">
        <v>88</v>
      </c>
      <c r="D152" t="s">
        <v>89</v>
      </c>
      <c r="E152" s="2">
        <v>8640</v>
      </c>
      <c r="F152" s="2">
        <v>8640</v>
      </c>
      <c r="G152" s="2">
        <v>6048</v>
      </c>
      <c r="I152" t="s">
        <v>90</v>
      </c>
      <c r="J152" t="s">
        <v>23</v>
      </c>
      <c r="K152" t="s">
        <v>18</v>
      </c>
      <c r="L152" t="str">
        <f t="shared" si="4"/>
        <v>9791175308350</v>
      </c>
      <c r="M152" t="str">
        <f t="shared" si="3"/>
        <v/>
      </c>
    </row>
    <row r="153" spans="1:14" x14ac:dyDescent="0.3">
      <c r="A153" s="1">
        <v>46055.961793981478</v>
      </c>
      <c r="B153">
        <v>385348415</v>
      </c>
      <c r="C153" t="s">
        <v>88</v>
      </c>
      <c r="D153" t="s">
        <v>89</v>
      </c>
      <c r="E153" s="2">
        <v>8640</v>
      </c>
      <c r="F153" s="2">
        <v>8640</v>
      </c>
      <c r="G153" s="2">
        <v>6048</v>
      </c>
      <c r="I153" t="s">
        <v>90</v>
      </c>
      <c r="J153" t="s">
        <v>23</v>
      </c>
      <c r="K153" t="s">
        <v>18</v>
      </c>
      <c r="L153" t="str">
        <f t="shared" si="4"/>
        <v>9791175308350</v>
      </c>
      <c r="M153" t="str">
        <f t="shared" si="3"/>
        <v/>
      </c>
    </row>
    <row r="154" spans="1:14" x14ac:dyDescent="0.3">
      <c r="A154" s="1">
        <v>46055.963217592594</v>
      </c>
      <c r="B154">
        <v>385348415</v>
      </c>
      <c r="C154" t="s">
        <v>88</v>
      </c>
      <c r="D154" t="s">
        <v>89</v>
      </c>
      <c r="E154" s="2">
        <v>8640</v>
      </c>
      <c r="F154" s="2">
        <v>8640</v>
      </c>
      <c r="G154" s="2">
        <v>6048</v>
      </c>
      <c r="I154" t="s">
        <v>90</v>
      </c>
      <c r="J154" t="s">
        <v>23</v>
      </c>
      <c r="K154" t="s">
        <v>18</v>
      </c>
      <c r="L154" t="str">
        <f t="shared" si="4"/>
        <v>9791175308350</v>
      </c>
      <c r="M154" t="str">
        <f t="shared" si="3"/>
        <v/>
      </c>
    </row>
    <row r="155" spans="1:14" x14ac:dyDescent="0.3">
      <c r="A155" s="1">
        <v>46055.964583333334</v>
      </c>
      <c r="B155">
        <v>385348414</v>
      </c>
      <c r="C155" t="s">
        <v>114</v>
      </c>
      <c r="D155" t="s">
        <v>89</v>
      </c>
      <c r="E155" s="2">
        <v>11700</v>
      </c>
      <c r="F155" s="2">
        <v>11700</v>
      </c>
      <c r="G155" s="2">
        <v>8190</v>
      </c>
      <c r="I155" t="s">
        <v>87</v>
      </c>
      <c r="J155" t="s">
        <v>23</v>
      </c>
      <c r="K155" t="s">
        <v>18</v>
      </c>
      <c r="L155" t="str">
        <f>T("9791175308503")</f>
        <v>9791175308503</v>
      </c>
      <c r="M155" t="str">
        <f t="shared" si="3"/>
        <v/>
      </c>
    </row>
    <row r="156" spans="1:14" x14ac:dyDescent="0.3">
      <c r="A156" s="1">
        <v>46055.96733796296</v>
      </c>
      <c r="B156">
        <v>385347620</v>
      </c>
      <c r="C156" t="s">
        <v>84</v>
      </c>
      <c r="D156" t="s">
        <v>15</v>
      </c>
      <c r="E156">
        <v>0</v>
      </c>
      <c r="F156">
        <v>0</v>
      </c>
      <c r="G156">
        <v>0</v>
      </c>
      <c r="I156" t="s">
        <v>85</v>
      </c>
      <c r="J156" t="s">
        <v>59</v>
      </c>
      <c r="K156" t="s">
        <v>18</v>
      </c>
      <c r="L156" t="str">
        <f>T("9791136943897")</f>
        <v>9791136943897</v>
      </c>
      <c r="M156" t="str">
        <f t="shared" si="3"/>
        <v/>
      </c>
      <c r="N156">
        <v>917706</v>
      </c>
    </row>
    <row r="157" spans="1:14" x14ac:dyDescent="0.3">
      <c r="A157" s="1">
        <v>46055.971493055556</v>
      </c>
      <c r="B157">
        <v>385348415</v>
      </c>
      <c r="C157" t="s">
        <v>88</v>
      </c>
      <c r="D157" t="s">
        <v>89</v>
      </c>
      <c r="E157" s="2">
        <v>8640</v>
      </c>
      <c r="F157" s="2">
        <v>8640</v>
      </c>
      <c r="G157" s="2">
        <v>6048</v>
      </c>
      <c r="I157" t="s">
        <v>90</v>
      </c>
      <c r="J157" t="s">
        <v>23</v>
      </c>
      <c r="K157" t="s">
        <v>18</v>
      </c>
      <c r="L157" t="str">
        <f>T("9791175308350")</f>
        <v>9791175308350</v>
      </c>
      <c r="M157" t="str">
        <f t="shared" si="3"/>
        <v/>
      </c>
    </row>
    <row r="158" spans="1:14" x14ac:dyDescent="0.3">
      <c r="A158" s="1">
        <v>46055.976226851853</v>
      </c>
      <c r="B158">
        <v>385347659</v>
      </c>
      <c r="C158" t="s">
        <v>86</v>
      </c>
      <c r="D158" t="s">
        <v>15</v>
      </c>
      <c r="E158" s="2">
        <v>1000</v>
      </c>
      <c r="F158">
        <v>900</v>
      </c>
      <c r="G158">
        <v>630</v>
      </c>
      <c r="I158" t="s">
        <v>87</v>
      </c>
      <c r="J158" t="s">
        <v>23</v>
      </c>
      <c r="K158" t="s">
        <v>18</v>
      </c>
      <c r="L158" t="str">
        <f>T("9791175308510")</f>
        <v>9791175308510</v>
      </c>
      <c r="M158" t="str">
        <f t="shared" si="3"/>
        <v/>
      </c>
      <c r="N158">
        <v>957881</v>
      </c>
    </row>
    <row r="159" spans="1:14" x14ac:dyDescent="0.3">
      <c r="A159" s="1">
        <v>46055.976724537039</v>
      </c>
      <c r="B159">
        <v>385348415</v>
      </c>
      <c r="C159" t="s">
        <v>88</v>
      </c>
      <c r="D159" t="s">
        <v>89</v>
      </c>
      <c r="E159" s="2">
        <v>8640</v>
      </c>
      <c r="F159" s="2">
        <v>8640</v>
      </c>
      <c r="G159" s="2">
        <v>6048</v>
      </c>
      <c r="I159" t="s">
        <v>90</v>
      </c>
      <c r="J159" t="s">
        <v>23</v>
      </c>
      <c r="K159" t="s">
        <v>18</v>
      </c>
      <c r="L159" t="str">
        <f>T("9791175308350")</f>
        <v>9791175308350</v>
      </c>
      <c r="M159" t="str">
        <f t="shared" si="3"/>
        <v/>
      </c>
    </row>
    <row r="160" spans="1:14" x14ac:dyDescent="0.3">
      <c r="A160" s="1">
        <v>46055.977372685185</v>
      </c>
      <c r="B160">
        <v>288284449</v>
      </c>
      <c r="C160" t="s">
        <v>115</v>
      </c>
      <c r="D160" t="s">
        <v>15</v>
      </c>
      <c r="E160" s="2">
        <v>2700</v>
      </c>
      <c r="F160" s="2">
        <v>2700</v>
      </c>
      <c r="G160" s="2">
        <v>1890</v>
      </c>
      <c r="I160" t="s">
        <v>116</v>
      </c>
      <c r="J160" t="s">
        <v>73</v>
      </c>
      <c r="K160" t="s">
        <v>18</v>
      </c>
      <c r="L160" t="str">
        <f>T("9791136922076")</f>
        <v>9791136922076</v>
      </c>
      <c r="M160" t="str">
        <f t="shared" si="3"/>
        <v/>
      </c>
      <c r="N160">
        <v>877626</v>
      </c>
    </row>
    <row r="161" spans="1:14" x14ac:dyDescent="0.3">
      <c r="A161" s="1">
        <v>46055.979155092595</v>
      </c>
      <c r="B161">
        <v>385348415</v>
      </c>
      <c r="C161" t="s">
        <v>88</v>
      </c>
      <c r="D161" t="s">
        <v>89</v>
      </c>
      <c r="E161" s="2">
        <v>8640</v>
      </c>
      <c r="F161" s="2">
        <v>8640</v>
      </c>
      <c r="G161" s="2">
        <v>6048</v>
      </c>
      <c r="I161" t="s">
        <v>90</v>
      </c>
      <c r="J161" t="s">
        <v>23</v>
      </c>
      <c r="K161" t="s">
        <v>18</v>
      </c>
      <c r="L161" t="str">
        <f>T("9791175308350")</f>
        <v>9791175308350</v>
      </c>
      <c r="M161" t="str">
        <f t="shared" si="3"/>
        <v/>
      </c>
    </row>
    <row r="162" spans="1:14" x14ac:dyDescent="0.3">
      <c r="A162" s="1">
        <v>46055.979305555556</v>
      </c>
      <c r="B162">
        <v>385348415</v>
      </c>
      <c r="C162" t="s">
        <v>88</v>
      </c>
      <c r="D162" t="s">
        <v>89</v>
      </c>
      <c r="E162" s="2">
        <v>8640</v>
      </c>
      <c r="F162" s="2">
        <v>8640</v>
      </c>
      <c r="G162" s="2">
        <v>6048</v>
      </c>
      <c r="I162" t="s">
        <v>90</v>
      </c>
      <c r="J162" t="s">
        <v>23</v>
      </c>
      <c r="K162" t="s">
        <v>18</v>
      </c>
      <c r="L162" t="str">
        <f>T("9791175308350")</f>
        <v>9791175308350</v>
      </c>
      <c r="M162" t="str">
        <f t="shared" si="3"/>
        <v/>
      </c>
    </row>
    <row r="163" spans="1:14" x14ac:dyDescent="0.3">
      <c r="A163" s="1">
        <v>46055.981539351851</v>
      </c>
      <c r="B163">
        <v>385348415</v>
      </c>
      <c r="C163" t="s">
        <v>88</v>
      </c>
      <c r="D163" t="s">
        <v>89</v>
      </c>
      <c r="E163" s="2">
        <v>8640</v>
      </c>
      <c r="F163" s="2">
        <v>8640</v>
      </c>
      <c r="G163" s="2">
        <v>6048</v>
      </c>
      <c r="I163" t="s">
        <v>90</v>
      </c>
      <c r="J163" t="s">
        <v>23</v>
      </c>
      <c r="K163" t="s">
        <v>18</v>
      </c>
      <c r="L163" t="str">
        <f>T("9791175308350")</f>
        <v>9791175308350</v>
      </c>
      <c r="M163" t="str">
        <f t="shared" si="3"/>
        <v/>
      </c>
    </row>
    <row r="164" spans="1:14" x14ac:dyDescent="0.3">
      <c r="A164" s="1">
        <v>46055.981770833336</v>
      </c>
      <c r="B164">
        <v>385348415</v>
      </c>
      <c r="C164" t="s">
        <v>88</v>
      </c>
      <c r="D164" t="s">
        <v>89</v>
      </c>
      <c r="E164" s="2">
        <v>8640</v>
      </c>
      <c r="F164" s="2">
        <v>8640</v>
      </c>
      <c r="G164" s="2">
        <v>6048</v>
      </c>
      <c r="I164" t="s">
        <v>90</v>
      </c>
      <c r="J164" t="s">
        <v>23</v>
      </c>
      <c r="K164" t="s">
        <v>18</v>
      </c>
      <c r="L164" t="str">
        <f>T("9791175308350")</f>
        <v>9791175308350</v>
      </c>
      <c r="M164" t="str">
        <f t="shared" si="3"/>
        <v/>
      </c>
    </row>
    <row r="165" spans="1:14" x14ac:dyDescent="0.3">
      <c r="A165" s="1">
        <v>46055.98196759259</v>
      </c>
      <c r="B165">
        <v>385348415</v>
      </c>
      <c r="C165" t="s">
        <v>88</v>
      </c>
      <c r="D165" t="s">
        <v>89</v>
      </c>
      <c r="E165" s="2">
        <v>8640</v>
      </c>
      <c r="F165" s="2">
        <v>8640</v>
      </c>
      <c r="G165" s="2">
        <v>6048</v>
      </c>
      <c r="I165" t="s">
        <v>90</v>
      </c>
      <c r="J165" t="s">
        <v>23</v>
      </c>
      <c r="K165" t="s">
        <v>18</v>
      </c>
      <c r="L165" t="str">
        <f>T("9791175308350")</f>
        <v>9791175308350</v>
      </c>
      <c r="M165" t="str">
        <f t="shared" si="3"/>
        <v/>
      </c>
    </row>
    <row r="166" spans="1:14" x14ac:dyDescent="0.3">
      <c r="A166" s="1">
        <v>46055.987905092596</v>
      </c>
      <c r="B166">
        <v>385348414</v>
      </c>
      <c r="C166" t="s">
        <v>114</v>
      </c>
      <c r="D166" t="s">
        <v>89</v>
      </c>
      <c r="E166" s="2">
        <v>11700</v>
      </c>
      <c r="F166" s="2">
        <v>11700</v>
      </c>
      <c r="G166" s="2">
        <v>8190</v>
      </c>
      <c r="I166" t="s">
        <v>87</v>
      </c>
      <c r="J166" t="s">
        <v>23</v>
      </c>
      <c r="K166" t="s">
        <v>18</v>
      </c>
      <c r="L166" t="str">
        <f>T("9791175308503")</f>
        <v>9791175308503</v>
      </c>
      <c r="M166" t="str">
        <f t="shared" si="3"/>
        <v/>
      </c>
    </row>
    <row r="167" spans="1:14" x14ac:dyDescent="0.3">
      <c r="A167" s="1">
        <v>46055.988749999997</v>
      </c>
      <c r="B167">
        <v>385348415</v>
      </c>
      <c r="C167" t="s">
        <v>88</v>
      </c>
      <c r="D167" t="s">
        <v>89</v>
      </c>
      <c r="E167" s="2">
        <v>8640</v>
      </c>
      <c r="F167" s="2">
        <v>8640</v>
      </c>
      <c r="G167" s="2">
        <v>6048</v>
      </c>
      <c r="I167" t="s">
        <v>90</v>
      </c>
      <c r="J167" t="s">
        <v>23</v>
      </c>
      <c r="K167" t="s">
        <v>18</v>
      </c>
      <c r="L167" t="str">
        <f>T("9791175308350")</f>
        <v>9791175308350</v>
      </c>
      <c r="M167" t="str">
        <f t="shared" si="3"/>
        <v/>
      </c>
    </row>
    <row r="168" spans="1:14" x14ac:dyDescent="0.3">
      <c r="A168" s="1">
        <v>46055.989189814813</v>
      </c>
      <c r="B168">
        <v>385348415</v>
      </c>
      <c r="C168" t="s">
        <v>88</v>
      </c>
      <c r="D168" t="s">
        <v>89</v>
      </c>
      <c r="E168" s="2">
        <v>8640</v>
      </c>
      <c r="F168" s="2">
        <v>8640</v>
      </c>
      <c r="G168" s="2">
        <v>6048</v>
      </c>
      <c r="I168" t="s">
        <v>90</v>
      </c>
      <c r="J168" t="s">
        <v>23</v>
      </c>
      <c r="K168" t="s">
        <v>18</v>
      </c>
      <c r="L168" t="str">
        <f>T("9791175308350")</f>
        <v>9791175308350</v>
      </c>
      <c r="M168" t="str">
        <f t="shared" si="3"/>
        <v/>
      </c>
    </row>
    <row r="169" spans="1:14" x14ac:dyDescent="0.3">
      <c r="A169" s="1">
        <v>46055.990034722221</v>
      </c>
      <c r="B169">
        <v>249191065</v>
      </c>
      <c r="C169" t="s">
        <v>117</v>
      </c>
      <c r="D169" t="s">
        <v>15</v>
      </c>
      <c r="E169">
        <v>600</v>
      </c>
      <c r="F169">
        <v>600</v>
      </c>
      <c r="G169">
        <v>420</v>
      </c>
      <c r="I169" t="s">
        <v>118</v>
      </c>
      <c r="J169" t="s">
        <v>20</v>
      </c>
      <c r="K169" t="s">
        <v>18</v>
      </c>
      <c r="L169" t="str">
        <f>T("9791136907943")</f>
        <v>9791136907943</v>
      </c>
      <c r="M169" t="str">
        <f t="shared" si="3"/>
        <v/>
      </c>
      <c r="N169">
        <v>812562</v>
      </c>
    </row>
    <row r="170" spans="1:14" x14ac:dyDescent="0.3">
      <c r="A170" s="1">
        <v>46055.991782407407</v>
      </c>
      <c r="B170">
        <v>300464758</v>
      </c>
      <c r="C170" t="s">
        <v>119</v>
      </c>
      <c r="D170" t="s">
        <v>15</v>
      </c>
      <c r="E170" s="2">
        <v>3200</v>
      </c>
      <c r="F170" s="2">
        <v>3200</v>
      </c>
      <c r="G170" s="2">
        <v>2240</v>
      </c>
      <c r="I170" t="s">
        <v>120</v>
      </c>
      <c r="J170" t="s">
        <v>49</v>
      </c>
      <c r="K170" t="s">
        <v>18</v>
      </c>
      <c r="L170" t="str">
        <f>T("9791136926241")</f>
        <v>9791136926241</v>
      </c>
      <c r="M170" t="str">
        <f t="shared" si="3"/>
        <v/>
      </c>
      <c r="N170">
        <v>885744</v>
      </c>
    </row>
    <row r="171" spans="1:14" x14ac:dyDescent="0.3">
      <c r="A171" s="1">
        <v>46055.991886574076</v>
      </c>
      <c r="B171">
        <v>348546568</v>
      </c>
      <c r="C171" t="s">
        <v>121</v>
      </c>
      <c r="D171" t="s">
        <v>15</v>
      </c>
      <c r="E171">
        <v>0</v>
      </c>
      <c r="F171">
        <v>0</v>
      </c>
      <c r="G171">
        <v>0</v>
      </c>
      <c r="I171" t="s">
        <v>122</v>
      </c>
      <c r="J171" t="s">
        <v>59</v>
      </c>
      <c r="K171" t="s">
        <v>18</v>
      </c>
      <c r="L171" t="str">
        <f>T("9791133196678")</f>
        <v>9791133196678</v>
      </c>
      <c r="M171" t="str">
        <f t="shared" si="3"/>
        <v/>
      </c>
      <c r="N171">
        <v>773178</v>
      </c>
    </row>
    <row r="172" spans="1:14" x14ac:dyDescent="0.3">
      <c r="A172" s="1">
        <v>46055.99324074074</v>
      </c>
      <c r="B172">
        <v>385348415</v>
      </c>
      <c r="C172" t="s">
        <v>88</v>
      </c>
      <c r="D172" t="s">
        <v>89</v>
      </c>
      <c r="E172" s="2">
        <v>8640</v>
      </c>
      <c r="F172" s="2">
        <v>8640</v>
      </c>
      <c r="G172" s="2">
        <v>6048</v>
      </c>
      <c r="I172" t="s">
        <v>90</v>
      </c>
      <c r="J172" t="s">
        <v>23</v>
      </c>
      <c r="K172" t="s">
        <v>18</v>
      </c>
      <c r="L172" t="str">
        <f>T("9791175308350")</f>
        <v>9791175308350</v>
      </c>
      <c r="M172" t="str">
        <f t="shared" si="3"/>
        <v/>
      </c>
    </row>
    <row r="173" spans="1:14" x14ac:dyDescent="0.3">
      <c r="A173" s="1">
        <v>46055.995104166665</v>
      </c>
      <c r="B173">
        <v>379189342</v>
      </c>
      <c r="C173" t="s">
        <v>123</v>
      </c>
      <c r="D173" t="s">
        <v>15</v>
      </c>
      <c r="E173" s="2">
        <v>1000</v>
      </c>
      <c r="F173" s="2">
        <v>1000</v>
      </c>
      <c r="G173">
        <v>700</v>
      </c>
      <c r="I173" t="s">
        <v>124</v>
      </c>
      <c r="J173" t="s">
        <v>23</v>
      </c>
      <c r="K173" t="s">
        <v>18</v>
      </c>
      <c r="L173" t="str">
        <f>T("9791175303560")</f>
        <v>9791175303560</v>
      </c>
      <c r="M173" t="str">
        <f t="shared" si="3"/>
        <v/>
      </c>
      <c r="N173">
        <v>956222</v>
      </c>
    </row>
    <row r="174" spans="1:14" x14ac:dyDescent="0.3">
      <c r="A174" s="1">
        <v>46055.996481481481</v>
      </c>
      <c r="B174">
        <v>385348415</v>
      </c>
      <c r="C174" t="s">
        <v>88</v>
      </c>
      <c r="D174" t="s">
        <v>89</v>
      </c>
      <c r="E174" s="2">
        <v>8640</v>
      </c>
      <c r="F174" s="2">
        <v>8640</v>
      </c>
      <c r="G174" s="2">
        <v>6048</v>
      </c>
      <c r="I174" t="s">
        <v>90</v>
      </c>
      <c r="J174" t="s">
        <v>23</v>
      </c>
      <c r="K174" t="s">
        <v>18</v>
      </c>
      <c r="L174" t="str">
        <f>T("9791175308350")</f>
        <v>9791175308350</v>
      </c>
      <c r="M174" t="str">
        <f t="shared" si="3"/>
        <v/>
      </c>
    </row>
    <row r="175" spans="1:14" x14ac:dyDescent="0.3">
      <c r="A175" s="1">
        <v>46055.997453703705</v>
      </c>
      <c r="B175">
        <v>385348414</v>
      </c>
      <c r="C175" t="s">
        <v>114</v>
      </c>
      <c r="D175" t="s">
        <v>89</v>
      </c>
      <c r="E175" s="2">
        <v>11700</v>
      </c>
      <c r="F175" s="2">
        <v>11700</v>
      </c>
      <c r="G175" s="2">
        <v>8190</v>
      </c>
      <c r="I175" t="s">
        <v>87</v>
      </c>
      <c r="J175" t="s">
        <v>23</v>
      </c>
      <c r="K175" t="s">
        <v>18</v>
      </c>
      <c r="L175" t="str">
        <f>T("9791175308503")</f>
        <v>9791175308503</v>
      </c>
      <c r="M175" t="str">
        <f t="shared" si="3"/>
        <v/>
      </c>
    </row>
    <row r="176" spans="1:14" x14ac:dyDescent="0.3">
      <c r="A176" s="1">
        <v>46055.997557870367</v>
      </c>
      <c r="B176">
        <v>385348415</v>
      </c>
      <c r="C176" t="s">
        <v>88</v>
      </c>
      <c r="D176" t="s">
        <v>89</v>
      </c>
      <c r="E176" s="2">
        <v>8640</v>
      </c>
      <c r="F176" s="2">
        <v>8640</v>
      </c>
      <c r="G176" s="2">
        <v>6048</v>
      </c>
      <c r="I176" t="s">
        <v>90</v>
      </c>
      <c r="J176" t="s">
        <v>23</v>
      </c>
      <c r="K176" t="s">
        <v>18</v>
      </c>
      <c r="L176" t="str">
        <f>T("9791175308350")</f>
        <v>9791175308350</v>
      </c>
      <c r="M176" t="str">
        <f t="shared" si="3"/>
        <v/>
      </c>
    </row>
    <row r="177" spans="1:14" x14ac:dyDescent="0.3">
      <c r="A177" s="1">
        <v>46055.998090277775</v>
      </c>
      <c r="B177">
        <v>385348415</v>
      </c>
      <c r="C177" t="s">
        <v>88</v>
      </c>
      <c r="D177" t="s">
        <v>89</v>
      </c>
      <c r="E177" s="2">
        <v>8640</v>
      </c>
      <c r="F177" s="2">
        <v>8640</v>
      </c>
      <c r="G177" s="2">
        <v>6048</v>
      </c>
      <c r="I177" t="s">
        <v>90</v>
      </c>
      <c r="J177" t="s">
        <v>23</v>
      </c>
      <c r="K177" t="s">
        <v>18</v>
      </c>
      <c r="L177" t="str">
        <f>T("9791175308350")</f>
        <v>9791175308350</v>
      </c>
      <c r="M177" t="str">
        <f t="shared" si="3"/>
        <v/>
      </c>
    </row>
    <row r="178" spans="1:14" x14ac:dyDescent="0.3">
      <c r="A178" s="1">
        <v>46055.998136574075</v>
      </c>
      <c r="B178">
        <v>385348415</v>
      </c>
      <c r="C178" t="s">
        <v>88</v>
      </c>
      <c r="D178" t="s">
        <v>89</v>
      </c>
      <c r="E178" s="2">
        <v>8640</v>
      </c>
      <c r="F178" s="2">
        <v>8640</v>
      </c>
      <c r="G178" s="2">
        <v>6048</v>
      </c>
      <c r="I178" t="s">
        <v>90</v>
      </c>
      <c r="J178" t="s">
        <v>23</v>
      </c>
      <c r="K178" t="s">
        <v>18</v>
      </c>
      <c r="L178" t="str">
        <f>T("9791175308350")</f>
        <v>9791175308350</v>
      </c>
      <c r="M178" t="str">
        <f t="shared" si="3"/>
        <v/>
      </c>
    </row>
    <row r="179" spans="1:14" x14ac:dyDescent="0.3">
      <c r="A179" s="1">
        <v>46055.998298611114</v>
      </c>
      <c r="B179">
        <v>335778578</v>
      </c>
      <c r="C179" t="s">
        <v>125</v>
      </c>
      <c r="D179" t="s">
        <v>15</v>
      </c>
      <c r="E179" s="2">
        <v>3400</v>
      </c>
      <c r="F179" s="2">
        <v>3400</v>
      </c>
      <c r="G179" s="2">
        <v>2380</v>
      </c>
      <c r="I179" t="s">
        <v>102</v>
      </c>
      <c r="J179" t="s">
        <v>23</v>
      </c>
      <c r="K179" t="s">
        <v>18</v>
      </c>
      <c r="L179" t="str">
        <f>T("9791136958198")</f>
        <v>9791136958198</v>
      </c>
      <c r="M179" t="str">
        <f t="shared" si="3"/>
        <v/>
      </c>
      <c r="N179">
        <v>921583</v>
      </c>
    </row>
    <row r="180" spans="1:14" x14ac:dyDescent="0.3">
      <c r="A180" s="1">
        <v>46055.999120370368</v>
      </c>
      <c r="B180">
        <v>385347659</v>
      </c>
      <c r="C180" t="s">
        <v>86</v>
      </c>
      <c r="D180" t="s">
        <v>15</v>
      </c>
      <c r="E180" s="2">
        <v>1000</v>
      </c>
      <c r="F180">
        <v>900</v>
      </c>
      <c r="G180">
        <v>630</v>
      </c>
      <c r="I180" t="s">
        <v>87</v>
      </c>
      <c r="J180" t="s">
        <v>23</v>
      </c>
      <c r="K180" t="s">
        <v>18</v>
      </c>
      <c r="L180" t="str">
        <f>T("9791175308510")</f>
        <v>9791175308510</v>
      </c>
      <c r="M180" t="str">
        <f t="shared" si="3"/>
        <v/>
      </c>
      <c r="N180">
        <v>957881</v>
      </c>
    </row>
    <row r="181" spans="1:14" x14ac:dyDescent="0.3">
      <c r="A181" s="1">
        <v>46055.999351851853</v>
      </c>
      <c r="B181">
        <v>379664433</v>
      </c>
      <c r="C181" t="s">
        <v>93</v>
      </c>
      <c r="D181" t="s">
        <v>15</v>
      </c>
      <c r="E181" s="2">
        <v>1100</v>
      </c>
      <c r="F181" s="2">
        <v>1100</v>
      </c>
      <c r="G181">
        <v>770</v>
      </c>
      <c r="I181" t="s">
        <v>94</v>
      </c>
      <c r="J181" t="s">
        <v>23</v>
      </c>
      <c r="K181" t="s">
        <v>18</v>
      </c>
      <c r="L181" t="str">
        <f>T("9791175306752")</f>
        <v>9791175306752</v>
      </c>
      <c r="M181" t="str">
        <f t="shared" si="3"/>
        <v/>
      </c>
      <c r="N181">
        <v>957104</v>
      </c>
    </row>
    <row r="182" spans="1:14" x14ac:dyDescent="0.3">
      <c r="A182" s="1">
        <v>46056.006527777776</v>
      </c>
      <c r="B182">
        <v>384177441</v>
      </c>
      <c r="C182" t="s">
        <v>21</v>
      </c>
      <c r="D182" t="s">
        <v>15</v>
      </c>
      <c r="E182" s="2">
        <v>3500</v>
      </c>
      <c r="F182" s="2">
        <v>3500</v>
      </c>
      <c r="G182" s="2">
        <v>2450</v>
      </c>
      <c r="I182" t="s">
        <v>22</v>
      </c>
      <c r="J182" t="s">
        <v>23</v>
      </c>
      <c r="K182" t="s">
        <v>18</v>
      </c>
      <c r="L182" t="str">
        <f>T("9791175309821")</f>
        <v>9791175309821</v>
      </c>
      <c r="M182" t="str">
        <f t="shared" si="3"/>
        <v/>
      </c>
      <c r="N182">
        <v>958592</v>
      </c>
    </row>
    <row r="183" spans="1:14" x14ac:dyDescent="0.3">
      <c r="A183" s="1">
        <v>46056.016296296293</v>
      </c>
      <c r="B183">
        <v>363736963</v>
      </c>
      <c r="C183" t="s">
        <v>126</v>
      </c>
      <c r="D183" t="s">
        <v>15</v>
      </c>
      <c r="E183" s="2">
        <v>3600</v>
      </c>
      <c r="F183" s="2">
        <v>3600</v>
      </c>
      <c r="G183" s="2">
        <v>2520</v>
      </c>
      <c r="I183" t="s">
        <v>25</v>
      </c>
      <c r="J183" t="s">
        <v>23</v>
      </c>
      <c r="K183" t="s">
        <v>18</v>
      </c>
      <c r="L183" t="str">
        <f>T("9791173783739")</f>
        <v>9791173783739</v>
      </c>
      <c r="M183" t="str">
        <f t="shared" si="3"/>
        <v/>
      </c>
      <c r="N183">
        <v>948529</v>
      </c>
    </row>
    <row r="184" spans="1:14" x14ac:dyDescent="0.3">
      <c r="A184" s="1">
        <v>46056.020335648151</v>
      </c>
      <c r="B184">
        <v>340337241</v>
      </c>
      <c r="C184" t="s">
        <v>127</v>
      </c>
      <c r="D184" t="s">
        <v>15</v>
      </c>
      <c r="E184" s="2">
        <v>3800</v>
      </c>
      <c r="F184" s="2">
        <v>3800</v>
      </c>
      <c r="G184" s="2">
        <v>2660</v>
      </c>
      <c r="I184" t="s">
        <v>128</v>
      </c>
      <c r="J184" t="s">
        <v>23</v>
      </c>
      <c r="K184" t="s">
        <v>18</v>
      </c>
      <c r="L184" t="str">
        <f>T("9791136963253")</f>
        <v>9791136963253</v>
      </c>
      <c r="M184" t="str">
        <f t="shared" si="3"/>
        <v/>
      </c>
      <c r="N184">
        <v>924135</v>
      </c>
    </row>
    <row r="185" spans="1:14" x14ac:dyDescent="0.3">
      <c r="A185" s="1">
        <v>46056.068449074075</v>
      </c>
      <c r="B185">
        <v>311320990</v>
      </c>
      <c r="C185" t="s">
        <v>129</v>
      </c>
      <c r="D185" t="s">
        <v>15</v>
      </c>
      <c r="E185">
        <v>0</v>
      </c>
      <c r="F185">
        <v>0</v>
      </c>
      <c r="G185">
        <v>0</v>
      </c>
      <c r="I185" t="s">
        <v>130</v>
      </c>
      <c r="J185" t="s">
        <v>59</v>
      </c>
      <c r="K185" t="s">
        <v>18</v>
      </c>
      <c r="L185" t="str">
        <f>T("9791136927880")</f>
        <v>9791136927880</v>
      </c>
      <c r="M185" t="str">
        <f t="shared" si="3"/>
        <v/>
      </c>
      <c r="N185">
        <v>889268</v>
      </c>
    </row>
    <row r="186" spans="1:14" x14ac:dyDescent="0.3">
      <c r="A186" s="1">
        <v>46056.068449074075</v>
      </c>
      <c r="B186">
        <v>268443462</v>
      </c>
      <c r="C186" t="s">
        <v>131</v>
      </c>
      <c r="D186" t="s">
        <v>15</v>
      </c>
      <c r="E186">
        <v>0</v>
      </c>
      <c r="F186">
        <v>0</v>
      </c>
      <c r="G186">
        <v>0</v>
      </c>
      <c r="I186" t="s">
        <v>132</v>
      </c>
      <c r="J186" t="s">
        <v>59</v>
      </c>
      <c r="K186" t="s">
        <v>18</v>
      </c>
      <c r="L186" t="str">
        <f>T("9791136906571")</f>
        <v>9791136906571</v>
      </c>
      <c r="M186" t="str">
        <f t="shared" si="3"/>
        <v/>
      </c>
      <c r="N186">
        <v>805959</v>
      </c>
    </row>
    <row r="187" spans="1:14" x14ac:dyDescent="0.3">
      <c r="A187" s="1">
        <v>46056.068449074075</v>
      </c>
      <c r="B187">
        <v>385347620</v>
      </c>
      <c r="C187" t="s">
        <v>84</v>
      </c>
      <c r="D187" t="s">
        <v>15</v>
      </c>
      <c r="E187">
        <v>0</v>
      </c>
      <c r="F187">
        <v>0</v>
      </c>
      <c r="G187">
        <v>0</v>
      </c>
      <c r="I187" t="s">
        <v>85</v>
      </c>
      <c r="J187" t="s">
        <v>59</v>
      </c>
      <c r="K187" t="s">
        <v>18</v>
      </c>
      <c r="L187" t="str">
        <f>T("9791136943897")</f>
        <v>9791136943897</v>
      </c>
      <c r="M187" t="str">
        <f t="shared" si="3"/>
        <v/>
      </c>
      <c r="N187">
        <v>917706</v>
      </c>
    </row>
    <row r="188" spans="1:14" x14ac:dyDescent="0.3">
      <c r="A188" s="1">
        <v>46056.072002314817</v>
      </c>
      <c r="B188">
        <v>340337249</v>
      </c>
      <c r="C188" t="s">
        <v>133</v>
      </c>
      <c r="D188" t="s">
        <v>15</v>
      </c>
      <c r="E188" s="2">
        <v>3800</v>
      </c>
      <c r="F188" s="2">
        <v>3800</v>
      </c>
      <c r="G188" s="2">
        <v>2660</v>
      </c>
      <c r="I188" t="s">
        <v>128</v>
      </c>
      <c r="J188" t="s">
        <v>23</v>
      </c>
      <c r="K188" t="s">
        <v>18</v>
      </c>
      <c r="L188" t="str">
        <f>T("9791136963284")</f>
        <v>9791136963284</v>
      </c>
      <c r="M188" t="str">
        <f t="shared" si="3"/>
        <v/>
      </c>
      <c r="N188">
        <v>924134</v>
      </c>
    </row>
    <row r="189" spans="1:14" x14ac:dyDescent="0.3">
      <c r="A189" s="1">
        <v>46056.12703703704</v>
      </c>
      <c r="B189">
        <v>372250433</v>
      </c>
      <c r="C189" t="s">
        <v>134</v>
      </c>
      <c r="D189" t="s">
        <v>15</v>
      </c>
      <c r="E189" s="2">
        <v>3400</v>
      </c>
      <c r="F189" s="2">
        <v>3400</v>
      </c>
      <c r="G189" s="2">
        <v>2380</v>
      </c>
      <c r="I189" t="s">
        <v>135</v>
      </c>
      <c r="J189" t="s">
        <v>23</v>
      </c>
      <c r="K189" t="s">
        <v>18</v>
      </c>
      <c r="L189" t="str">
        <f>T("9791175300446")</f>
        <v>9791175300446</v>
      </c>
      <c r="M189" t="str">
        <f t="shared" si="3"/>
        <v/>
      </c>
      <c r="N189">
        <v>952052</v>
      </c>
    </row>
    <row r="190" spans="1:14" x14ac:dyDescent="0.3">
      <c r="A190" s="1">
        <v>46056.136157407411</v>
      </c>
      <c r="B190">
        <v>385129799</v>
      </c>
      <c r="C190" t="s">
        <v>136</v>
      </c>
      <c r="D190" t="s">
        <v>15</v>
      </c>
      <c r="E190" s="2">
        <v>12800</v>
      </c>
      <c r="F190" s="2">
        <v>12800</v>
      </c>
      <c r="G190" s="2">
        <v>8960</v>
      </c>
      <c r="I190" t="s">
        <v>48</v>
      </c>
      <c r="J190" t="s">
        <v>49</v>
      </c>
      <c r="K190" t="s">
        <v>18</v>
      </c>
      <c r="L190" t="str">
        <f>T("9791175305144")</f>
        <v>9791175305144</v>
      </c>
      <c r="M190" t="str">
        <f t="shared" si="3"/>
        <v/>
      </c>
    </row>
    <row r="191" spans="1:14" x14ac:dyDescent="0.3">
      <c r="A191" s="1">
        <v>46056.190162037034</v>
      </c>
      <c r="B191">
        <v>372250365</v>
      </c>
      <c r="C191" t="s">
        <v>137</v>
      </c>
      <c r="D191" t="s">
        <v>15</v>
      </c>
      <c r="E191" s="2">
        <v>2200</v>
      </c>
      <c r="F191" s="2">
        <v>2200</v>
      </c>
      <c r="G191" s="2">
        <v>1540</v>
      </c>
      <c r="I191" t="s">
        <v>135</v>
      </c>
      <c r="J191" t="s">
        <v>23</v>
      </c>
      <c r="K191" t="s">
        <v>18</v>
      </c>
      <c r="L191" t="str">
        <f>T("9791175300453")</f>
        <v>9791175300453</v>
      </c>
      <c r="M191" t="str">
        <f t="shared" si="3"/>
        <v/>
      </c>
      <c r="N191">
        <v>952051</v>
      </c>
    </row>
    <row r="192" spans="1:14" x14ac:dyDescent="0.3">
      <c r="A192" s="1">
        <v>46056.265520833331</v>
      </c>
      <c r="B192">
        <v>385347659</v>
      </c>
      <c r="C192" t="s">
        <v>86</v>
      </c>
      <c r="D192" t="s">
        <v>15</v>
      </c>
      <c r="E192" s="2">
        <v>1000</v>
      </c>
      <c r="F192">
        <v>900</v>
      </c>
      <c r="G192">
        <v>630</v>
      </c>
      <c r="I192" t="s">
        <v>87</v>
      </c>
      <c r="J192" t="s">
        <v>23</v>
      </c>
      <c r="K192" t="s">
        <v>18</v>
      </c>
      <c r="L192" t="str">
        <f>T("9791175308510")</f>
        <v>9791175308510</v>
      </c>
      <c r="M192" t="str">
        <f t="shared" si="3"/>
        <v/>
      </c>
      <c r="N192">
        <v>957881</v>
      </c>
    </row>
    <row r="193" spans="1:14" x14ac:dyDescent="0.3">
      <c r="A193" s="1">
        <v>46056.299328703702</v>
      </c>
      <c r="B193">
        <v>385347620</v>
      </c>
      <c r="C193" t="s">
        <v>84</v>
      </c>
      <c r="D193" t="s">
        <v>15</v>
      </c>
      <c r="E193">
        <v>0</v>
      </c>
      <c r="F193">
        <v>0</v>
      </c>
      <c r="G193">
        <v>0</v>
      </c>
      <c r="I193" t="s">
        <v>85</v>
      </c>
      <c r="J193" t="s">
        <v>59</v>
      </c>
      <c r="K193" t="s">
        <v>18</v>
      </c>
      <c r="L193" t="str">
        <f>T("9791136943897")</f>
        <v>9791136943897</v>
      </c>
      <c r="M193" t="str">
        <f t="shared" si="3"/>
        <v/>
      </c>
      <c r="N193">
        <v>917706</v>
      </c>
    </row>
    <row r="194" spans="1:14" x14ac:dyDescent="0.3">
      <c r="A194" s="1">
        <v>46056.308449074073</v>
      </c>
      <c r="B194">
        <v>385347620</v>
      </c>
      <c r="C194" t="s">
        <v>84</v>
      </c>
      <c r="D194" t="s">
        <v>15</v>
      </c>
      <c r="E194">
        <v>0</v>
      </c>
      <c r="F194">
        <v>0</v>
      </c>
      <c r="G194">
        <v>0</v>
      </c>
      <c r="I194" t="s">
        <v>85</v>
      </c>
      <c r="J194" t="s">
        <v>59</v>
      </c>
      <c r="K194" t="s">
        <v>18</v>
      </c>
      <c r="L194" t="str">
        <f>T("9791136943897")</f>
        <v>9791136943897</v>
      </c>
      <c r="M194" t="str">
        <f t="shared" ref="M194:M257" si="5">T("")</f>
        <v/>
      </c>
      <c r="N194">
        <v>917706</v>
      </c>
    </row>
    <row r="195" spans="1:14" x14ac:dyDescent="0.3">
      <c r="A195" s="1">
        <v>46056.317407407405</v>
      </c>
      <c r="B195">
        <v>385347620</v>
      </c>
      <c r="C195" t="s">
        <v>84</v>
      </c>
      <c r="D195" t="s">
        <v>15</v>
      </c>
      <c r="E195">
        <v>0</v>
      </c>
      <c r="F195">
        <v>0</v>
      </c>
      <c r="G195">
        <v>0</v>
      </c>
      <c r="I195" t="s">
        <v>85</v>
      </c>
      <c r="J195" t="s">
        <v>59</v>
      </c>
      <c r="K195" t="s">
        <v>18</v>
      </c>
      <c r="L195" t="str">
        <f>T("9791136943897")</f>
        <v>9791136943897</v>
      </c>
      <c r="M195" t="str">
        <f t="shared" si="5"/>
        <v/>
      </c>
      <c r="N195">
        <v>917706</v>
      </c>
    </row>
    <row r="196" spans="1:14" x14ac:dyDescent="0.3">
      <c r="A196" s="1">
        <v>46056.317407407405</v>
      </c>
      <c r="B196">
        <v>385347641</v>
      </c>
      <c r="C196" t="s">
        <v>138</v>
      </c>
      <c r="D196" t="s">
        <v>15</v>
      </c>
      <c r="E196" s="2">
        <v>3200</v>
      </c>
      <c r="F196" s="2">
        <v>2880</v>
      </c>
      <c r="G196" s="2">
        <v>2016</v>
      </c>
      <c r="I196" t="s">
        <v>85</v>
      </c>
      <c r="J196" t="s">
        <v>59</v>
      </c>
      <c r="K196" t="s">
        <v>18</v>
      </c>
      <c r="L196" t="str">
        <f>T("9791136943965")</f>
        <v>9791136943965</v>
      </c>
      <c r="M196" t="str">
        <f t="shared" si="5"/>
        <v/>
      </c>
      <c r="N196">
        <v>917699</v>
      </c>
    </row>
    <row r="197" spans="1:14" x14ac:dyDescent="0.3">
      <c r="A197" s="1">
        <v>46056.317407407405</v>
      </c>
      <c r="B197">
        <v>385347625</v>
      </c>
      <c r="C197" t="s">
        <v>139</v>
      </c>
      <c r="D197" t="s">
        <v>15</v>
      </c>
      <c r="E197" s="2">
        <v>3200</v>
      </c>
      <c r="F197" s="2">
        <v>2880</v>
      </c>
      <c r="G197" s="2">
        <v>2016</v>
      </c>
      <c r="I197" t="s">
        <v>85</v>
      </c>
      <c r="J197" t="s">
        <v>59</v>
      </c>
      <c r="K197" t="s">
        <v>18</v>
      </c>
      <c r="L197" t="str">
        <f>T("9791136943941")</f>
        <v>9791136943941</v>
      </c>
      <c r="M197" t="str">
        <f t="shared" si="5"/>
        <v/>
      </c>
      <c r="N197">
        <v>917701</v>
      </c>
    </row>
    <row r="198" spans="1:14" x14ac:dyDescent="0.3">
      <c r="A198" s="1">
        <v>46056.317407407405</v>
      </c>
      <c r="B198">
        <v>385347634</v>
      </c>
      <c r="C198" t="s">
        <v>140</v>
      </c>
      <c r="D198" t="s">
        <v>15</v>
      </c>
      <c r="E198" s="2">
        <v>3200</v>
      </c>
      <c r="F198" s="2">
        <v>2880</v>
      </c>
      <c r="G198" s="2">
        <v>2016</v>
      </c>
      <c r="I198" t="s">
        <v>85</v>
      </c>
      <c r="J198" t="s">
        <v>59</v>
      </c>
      <c r="K198" t="s">
        <v>18</v>
      </c>
      <c r="L198" t="str">
        <f>T("9791136943910")</f>
        <v>9791136943910</v>
      </c>
      <c r="M198" t="str">
        <f t="shared" si="5"/>
        <v/>
      </c>
      <c r="N198">
        <v>917704</v>
      </c>
    </row>
    <row r="199" spans="1:14" x14ac:dyDescent="0.3">
      <c r="A199" s="1">
        <v>46056.317407407405</v>
      </c>
      <c r="B199">
        <v>385347672</v>
      </c>
      <c r="C199" t="s">
        <v>141</v>
      </c>
      <c r="D199" t="s">
        <v>15</v>
      </c>
      <c r="E199" s="2">
        <v>3200</v>
      </c>
      <c r="F199" s="2">
        <v>2880</v>
      </c>
      <c r="G199" s="2">
        <v>2016</v>
      </c>
      <c r="I199" t="s">
        <v>85</v>
      </c>
      <c r="J199" t="s">
        <v>59</v>
      </c>
      <c r="K199" t="s">
        <v>18</v>
      </c>
      <c r="L199" t="str">
        <f>T("9791136943934")</f>
        <v>9791136943934</v>
      </c>
      <c r="M199" t="str">
        <f t="shared" si="5"/>
        <v/>
      </c>
      <c r="N199">
        <v>917702</v>
      </c>
    </row>
    <row r="200" spans="1:14" x14ac:dyDescent="0.3">
      <c r="A200" s="1">
        <v>46056.317407407405</v>
      </c>
      <c r="B200">
        <v>385347811</v>
      </c>
      <c r="C200" t="s">
        <v>142</v>
      </c>
      <c r="D200" t="s">
        <v>15</v>
      </c>
      <c r="E200" s="2">
        <v>3200</v>
      </c>
      <c r="F200" s="2">
        <v>2880</v>
      </c>
      <c r="G200" s="2">
        <v>2016</v>
      </c>
      <c r="I200" t="s">
        <v>85</v>
      </c>
      <c r="J200" t="s">
        <v>59</v>
      </c>
      <c r="K200" t="s">
        <v>18</v>
      </c>
      <c r="L200" t="str">
        <f>T("9791136943903")</f>
        <v>9791136943903</v>
      </c>
      <c r="M200" t="str">
        <f t="shared" si="5"/>
        <v/>
      </c>
      <c r="N200">
        <v>917705</v>
      </c>
    </row>
    <row r="201" spans="1:14" x14ac:dyDescent="0.3">
      <c r="A201" s="1">
        <v>46056.317407407405</v>
      </c>
      <c r="B201">
        <v>385347770</v>
      </c>
      <c r="C201" t="s">
        <v>143</v>
      </c>
      <c r="D201" t="s">
        <v>15</v>
      </c>
      <c r="E201" s="2">
        <v>3200</v>
      </c>
      <c r="F201" s="2">
        <v>2880</v>
      </c>
      <c r="G201" s="2">
        <v>2016</v>
      </c>
      <c r="I201" t="s">
        <v>85</v>
      </c>
      <c r="J201" t="s">
        <v>59</v>
      </c>
      <c r="K201" t="s">
        <v>18</v>
      </c>
      <c r="L201" t="str">
        <f>T("9791136943927")</f>
        <v>9791136943927</v>
      </c>
      <c r="M201" t="str">
        <f t="shared" si="5"/>
        <v/>
      </c>
      <c r="N201">
        <v>917703</v>
      </c>
    </row>
    <row r="202" spans="1:14" x14ac:dyDescent="0.3">
      <c r="A202" s="1">
        <v>46056.317407407405</v>
      </c>
      <c r="B202">
        <v>385347816</v>
      </c>
      <c r="C202" t="s">
        <v>144</v>
      </c>
      <c r="D202" t="s">
        <v>15</v>
      </c>
      <c r="E202" s="2">
        <v>3200</v>
      </c>
      <c r="F202" s="2">
        <v>2880</v>
      </c>
      <c r="G202" s="2">
        <v>2016</v>
      </c>
      <c r="I202" t="s">
        <v>85</v>
      </c>
      <c r="J202" t="s">
        <v>59</v>
      </c>
      <c r="K202" t="s">
        <v>18</v>
      </c>
      <c r="L202" t="str">
        <f>T("9791136943958")</f>
        <v>9791136943958</v>
      </c>
      <c r="M202" t="str">
        <f t="shared" si="5"/>
        <v/>
      </c>
      <c r="N202">
        <v>917700</v>
      </c>
    </row>
    <row r="203" spans="1:14" x14ac:dyDescent="0.3">
      <c r="A203" s="1">
        <v>46056.34002314815</v>
      </c>
      <c r="B203">
        <v>369429462</v>
      </c>
      <c r="C203" t="s">
        <v>145</v>
      </c>
      <c r="D203" t="s">
        <v>15</v>
      </c>
      <c r="E203" s="2">
        <v>3200</v>
      </c>
      <c r="F203" s="2">
        <v>3200</v>
      </c>
      <c r="G203" s="2">
        <v>2240</v>
      </c>
      <c r="I203" t="s">
        <v>146</v>
      </c>
      <c r="J203" t="s">
        <v>23</v>
      </c>
      <c r="K203" t="s">
        <v>18</v>
      </c>
      <c r="L203" t="str">
        <f>T("9791173788543")</f>
        <v>9791173788543</v>
      </c>
      <c r="M203" t="str">
        <f t="shared" si="5"/>
        <v/>
      </c>
      <c r="N203">
        <v>952025</v>
      </c>
    </row>
    <row r="204" spans="1:14" x14ac:dyDescent="0.3">
      <c r="A204" s="1">
        <v>46056.34002314815</v>
      </c>
      <c r="B204">
        <v>364154630</v>
      </c>
      <c r="C204" t="s">
        <v>147</v>
      </c>
      <c r="D204" t="s">
        <v>15</v>
      </c>
      <c r="E204" s="2">
        <v>3200</v>
      </c>
      <c r="F204" s="2">
        <v>3200</v>
      </c>
      <c r="G204" s="2">
        <v>2240</v>
      </c>
      <c r="I204" t="s">
        <v>148</v>
      </c>
      <c r="J204" t="s">
        <v>23</v>
      </c>
      <c r="K204" t="s">
        <v>18</v>
      </c>
      <c r="L204" t="str">
        <f>T("9791173783586")</f>
        <v>9791173783586</v>
      </c>
      <c r="M204" t="str">
        <f t="shared" si="5"/>
        <v/>
      </c>
      <c r="N204">
        <v>948809</v>
      </c>
    </row>
    <row r="205" spans="1:14" x14ac:dyDescent="0.3">
      <c r="A205" s="1">
        <v>46059.320231481484</v>
      </c>
      <c r="B205">
        <v>385348415</v>
      </c>
      <c r="C205" t="s">
        <v>88</v>
      </c>
      <c r="D205" t="s">
        <v>89</v>
      </c>
      <c r="E205" s="2">
        <v>-8640</v>
      </c>
      <c r="F205" s="2">
        <v>-8640</v>
      </c>
      <c r="G205" s="2">
        <v>-6048</v>
      </c>
      <c r="H205" s="1">
        <v>46056.398229166669</v>
      </c>
      <c r="I205" t="s">
        <v>90</v>
      </c>
      <c r="J205" t="s">
        <v>23</v>
      </c>
      <c r="K205" t="s">
        <v>18</v>
      </c>
      <c r="L205" t="str">
        <f>T("9791175308350")</f>
        <v>9791175308350</v>
      </c>
      <c r="M205" t="str">
        <f t="shared" si="5"/>
        <v/>
      </c>
    </row>
    <row r="206" spans="1:14" x14ac:dyDescent="0.3">
      <c r="A206" s="1">
        <v>46056.398229166669</v>
      </c>
      <c r="B206">
        <v>385348415</v>
      </c>
      <c r="C206" t="s">
        <v>88</v>
      </c>
      <c r="D206" t="s">
        <v>89</v>
      </c>
      <c r="E206" s="2">
        <v>8640</v>
      </c>
      <c r="F206" s="2">
        <v>8640</v>
      </c>
      <c r="G206" s="2">
        <v>6048</v>
      </c>
      <c r="I206" t="s">
        <v>90</v>
      </c>
      <c r="J206" t="s">
        <v>23</v>
      </c>
      <c r="K206" t="s">
        <v>18</v>
      </c>
      <c r="L206" t="str">
        <f>T("9791175308350")</f>
        <v>9791175308350</v>
      </c>
      <c r="M206" t="str">
        <f t="shared" si="5"/>
        <v/>
      </c>
    </row>
    <row r="207" spans="1:14" x14ac:dyDescent="0.3">
      <c r="A207" s="1">
        <v>46056.431076388886</v>
      </c>
      <c r="B207">
        <v>385348415</v>
      </c>
      <c r="C207" t="s">
        <v>88</v>
      </c>
      <c r="D207" t="s">
        <v>89</v>
      </c>
      <c r="E207" s="2">
        <v>-8640</v>
      </c>
      <c r="F207" s="2">
        <v>-8640</v>
      </c>
      <c r="G207" s="2">
        <v>-6048</v>
      </c>
      <c r="H207" s="1">
        <v>46056.430462962962</v>
      </c>
      <c r="I207" t="s">
        <v>90</v>
      </c>
      <c r="J207" t="s">
        <v>23</v>
      </c>
      <c r="K207" t="s">
        <v>18</v>
      </c>
      <c r="L207" t="str">
        <f>T("9791175308350")</f>
        <v>9791175308350</v>
      </c>
      <c r="M207" t="str">
        <f t="shared" si="5"/>
        <v/>
      </c>
    </row>
    <row r="208" spans="1:14" x14ac:dyDescent="0.3">
      <c r="A208" s="1">
        <v>46056.430462962962</v>
      </c>
      <c r="B208">
        <v>385348415</v>
      </c>
      <c r="C208" t="s">
        <v>88</v>
      </c>
      <c r="D208" t="s">
        <v>89</v>
      </c>
      <c r="E208" s="2">
        <v>8640</v>
      </c>
      <c r="F208" s="2">
        <v>8640</v>
      </c>
      <c r="G208" s="2">
        <v>6048</v>
      </c>
      <c r="I208" t="s">
        <v>90</v>
      </c>
      <c r="J208" t="s">
        <v>23</v>
      </c>
      <c r="K208" t="s">
        <v>18</v>
      </c>
      <c r="L208" t="str">
        <f>T("9791175308350")</f>
        <v>9791175308350</v>
      </c>
      <c r="M208" t="str">
        <f t="shared" si="5"/>
        <v/>
      </c>
    </row>
    <row r="209" spans="1:14" x14ac:dyDescent="0.3">
      <c r="A209" s="1">
        <v>46056.431898148148</v>
      </c>
      <c r="B209">
        <v>385348415</v>
      </c>
      <c r="C209" t="s">
        <v>88</v>
      </c>
      <c r="D209" t="s">
        <v>89</v>
      </c>
      <c r="E209" s="2">
        <v>8640</v>
      </c>
      <c r="F209" s="2">
        <v>8640</v>
      </c>
      <c r="G209" s="2">
        <v>6048</v>
      </c>
      <c r="I209" t="s">
        <v>90</v>
      </c>
      <c r="J209" t="s">
        <v>23</v>
      </c>
      <c r="K209" t="s">
        <v>18</v>
      </c>
      <c r="L209" t="str">
        <f>T("9791175308350")</f>
        <v>9791175308350</v>
      </c>
      <c r="M209" t="str">
        <f t="shared" si="5"/>
        <v/>
      </c>
    </row>
    <row r="210" spans="1:14" x14ac:dyDescent="0.3">
      <c r="A210" s="1">
        <v>46056.434606481482</v>
      </c>
      <c r="B210">
        <v>375931202</v>
      </c>
      <c r="C210" t="s">
        <v>149</v>
      </c>
      <c r="D210" t="s">
        <v>15</v>
      </c>
      <c r="E210" s="2">
        <v>38400</v>
      </c>
      <c r="F210" s="2">
        <v>38400</v>
      </c>
      <c r="G210" s="2">
        <v>26880</v>
      </c>
      <c r="I210" t="s">
        <v>83</v>
      </c>
      <c r="J210" t="s">
        <v>59</v>
      </c>
      <c r="K210" t="s">
        <v>18</v>
      </c>
      <c r="L210" t="str">
        <f>T("9791173786860")</f>
        <v>9791173786860</v>
      </c>
      <c r="M210" t="str">
        <f t="shared" si="5"/>
        <v/>
      </c>
    </row>
    <row r="211" spans="1:14" x14ac:dyDescent="0.3">
      <c r="A211" s="1">
        <v>46056.435995370368</v>
      </c>
      <c r="B211">
        <v>385348415</v>
      </c>
      <c r="C211" t="s">
        <v>88</v>
      </c>
      <c r="D211" t="s">
        <v>89</v>
      </c>
      <c r="E211" s="2">
        <v>8640</v>
      </c>
      <c r="F211" s="2">
        <v>8640</v>
      </c>
      <c r="G211" s="2">
        <v>6048</v>
      </c>
      <c r="I211" t="s">
        <v>90</v>
      </c>
      <c r="J211" t="s">
        <v>23</v>
      </c>
      <c r="K211" t="s">
        <v>18</v>
      </c>
      <c r="L211" t="str">
        <f>T("9791175308350")</f>
        <v>9791175308350</v>
      </c>
      <c r="M211" t="str">
        <f t="shared" si="5"/>
        <v/>
      </c>
    </row>
    <row r="212" spans="1:14" x14ac:dyDescent="0.3">
      <c r="A212" s="1">
        <v>46056.436076388891</v>
      </c>
      <c r="B212">
        <v>385348415</v>
      </c>
      <c r="C212" t="s">
        <v>88</v>
      </c>
      <c r="D212" t="s">
        <v>89</v>
      </c>
      <c r="E212" s="2">
        <v>8640</v>
      </c>
      <c r="F212" s="2">
        <v>8640</v>
      </c>
      <c r="G212" s="2">
        <v>6048</v>
      </c>
      <c r="I212" t="s">
        <v>90</v>
      </c>
      <c r="J212" t="s">
        <v>23</v>
      </c>
      <c r="K212" t="s">
        <v>18</v>
      </c>
      <c r="L212" t="str">
        <f>T("9791175308350")</f>
        <v>9791175308350</v>
      </c>
      <c r="M212" t="str">
        <f t="shared" si="5"/>
        <v/>
      </c>
    </row>
    <row r="213" spans="1:14" x14ac:dyDescent="0.3">
      <c r="A213" s="1">
        <v>46056.442615740743</v>
      </c>
      <c r="B213">
        <v>385348415</v>
      </c>
      <c r="C213" t="s">
        <v>88</v>
      </c>
      <c r="D213" t="s">
        <v>89</v>
      </c>
      <c r="E213" s="2">
        <v>8640</v>
      </c>
      <c r="F213" s="2">
        <v>8640</v>
      </c>
      <c r="G213" s="2">
        <v>6048</v>
      </c>
      <c r="I213" t="s">
        <v>90</v>
      </c>
      <c r="J213" t="s">
        <v>23</v>
      </c>
      <c r="K213" t="s">
        <v>18</v>
      </c>
      <c r="L213" t="str">
        <f>T("9791175308350")</f>
        <v>9791175308350</v>
      </c>
      <c r="M213" t="str">
        <f t="shared" si="5"/>
        <v/>
      </c>
    </row>
    <row r="214" spans="1:14" x14ac:dyDescent="0.3">
      <c r="A214" s="1">
        <v>46056.47451388889</v>
      </c>
      <c r="B214">
        <v>311321013</v>
      </c>
      <c r="C214" t="s">
        <v>150</v>
      </c>
      <c r="D214" t="s">
        <v>89</v>
      </c>
      <c r="E214">
        <v>810</v>
      </c>
      <c r="F214">
        <v>810</v>
      </c>
      <c r="G214">
        <v>567</v>
      </c>
      <c r="I214" t="s">
        <v>130</v>
      </c>
      <c r="J214" t="s">
        <v>59</v>
      </c>
      <c r="K214" t="s">
        <v>18</v>
      </c>
      <c r="L214" t="str">
        <f>T("9791136927927")</f>
        <v>9791136927927</v>
      </c>
      <c r="M214" t="str">
        <f t="shared" si="5"/>
        <v/>
      </c>
      <c r="N214">
        <v>889263</v>
      </c>
    </row>
    <row r="215" spans="1:14" x14ac:dyDescent="0.3">
      <c r="A215" s="1">
        <v>46056.475752314815</v>
      </c>
      <c r="B215">
        <v>311321029</v>
      </c>
      <c r="C215" t="s">
        <v>151</v>
      </c>
      <c r="D215" t="s">
        <v>89</v>
      </c>
      <c r="E215">
        <v>810</v>
      </c>
      <c r="F215">
        <v>810</v>
      </c>
      <c r="G215">
        <v>567</v>
      </c>
      <c r="I215" t="s">
        <v>130</v>
      </c>
      <c r="J215" t="s">
        <v>59</v>
      </c>
      <c r="K215" t="s">
        <v>18</v>
      </c>
      <c r="L215" t="str">
        <f>T("9791136927910")</f>
        <v>9791136927910</v>
      </c>
      <c r="M215" t="str">
        <f t="shared" si="5"/>
        <v/>
      </c>
      <c r="N215">
        <v>889264</v>
      </c>
    </row>
    <row r="216" spans="1:14" x14ac:dyDescent="0.3">
      <c r="A216" s="1">
        <v>46056.47797453704</v>
      </c>
      <c r="B216">
        <v>382678586</v>
      </c>
      <c r="C216" t="s">
        <v>152</v>
      </c>
      <c r="D216" t="s">
        <v>15</v>
      </c>
      <c r="E216" s="2">
        <v>3400</v>
      </c>
      <c r="F216" s="2">
        <v>3400</v>
      </c>
      <c r="G216" s="2">
        <v>2380</v>
      </c>
      <c r="I216" t="s">
        <v>153</v>
      </c>
      <c r="J216" t="s">
        <v>23</v>
      </c>
      <c r="K216" t="s">
        <v>18</v>
      </c>
      <c r="L216" t="str">
        <f>T("9791175307278")</f>
        <v>9791175307278</v>
      </c>
      <c r="M216" t="str">
        <f t="shared" si="5"/>
        <v/>
      </c>
      <c r="N216">
        <v>957877</v>
      </c>
    </row>
    <row r="217" spans="1:14" x14ac:dyDescent="0.3">
      <c r="A217" s="1">
        <v>46056.507465277777</v>
      </c>
      <c r="B217">
        <v>382678590</v>
      </c>
      <c r="C217" t="s">
        <v>154</v>
      </c>
      <c r="D217" t="s">
        <v>15</v>
      </c>
      <c r="E217" s="2">
        <v>3700</v>
      </c>
      <c r="F217" s="2">
        <v>3700</v>
      </c>
      <c r="G217" s="2">
        <v>2590</v>
      </c>
      <c r="I217" t="s">
        <v>153</v>
      </c>
      <c r="J217" t="s">
        <v>23</v>
      </c>
      <c r="K217" t="s">
        <v>18</v>
      </c>
      <c r="L217" t="str">
        <f>T("9791175307285")</f>
        <v>9791175307285</v>
      </c>
      <c r="M217" t="str">
        <f t="shared" si="5"/>
        <v/>
      </c>
      <c r="N217">
        <v>957876</v>
      </c>
    </row>
    <row r="218" spans="1:14" x14ac:dyDescent="0.3">
      <c r="A218" s="1">
        <v>46056.58320601852</v>
      </c>
      <c r="B218">
        <v>341681879</v>
      </c>
      <c r="C218" t="s">
        <v>155</v>
      </c>
      <c r="D218" t="s">
        <v>15</v>
      </c>
      <c r="E218" s="2">
        <v>3200</v>
      </c>
      <c r="F218" s="2">
        <v>3200</v>
      </c>
      <c r="G218" s="2">
        <v>2240</v>
      </c>
      <c r="I218" t="s">
        <v>61</v>
      </c>
      <c r="J218" t="s">
        <v>59</v>
      </c>
      <c r="K218" t="s">
        <v>18</v>
      </c>
      <c r="L218" t="str">
        <f>T("9791136916983")</f>
        <v>9791136916983</v>
      </c>
      <c r="M218" t="str">
        <f t="shared" si="5"/>
        <v/>
      </c>
      <c r="N218">
        <v>866097</v>
      </c>
    </row>
    <row r="219" spans="1:14" x14ac:dyDescent="0.3">
      <c r="A219" s="1">
        <v>46056.58320601852</v>
      </c>
      <c r="B219">
        <v>341681880</v>
      </c>
      <c r="C219" t="s">
        <v>156</v>
      </c>
      <c r="D219" t="s">
        <v>15</v>
      </c>
      <c r="E219" s="2">
        <v>3200</v>
      </c>
      <c r="F219" s="2">
        <v>3200</v>
      </c>
      <c r="G219" s="2">
        <v>2240</v>
      </c>
      <c r="I219" t="s">
        <v>61</v>
      </c>
      <c r="J219" t="s">
        <v>59</v>
      </c>
      <c r="K219" t="s">
        <v>18</v>
      </c>
      <c r="L219" t="str">
        <f>T("9791136917041")</f>
        <v>9791136917041</v>
      </c>
      <c r="M219" t="str">
        <f t="shared" si="5"/>
        <v/>
      </c>
      <c r="N219">
        <v>866115</v>
      </c>
    </row>
    <row r="220" spans="1:14" x14ac:dyDescent="0.3">
      <c r="A220" s="1">
        <v>46056.58320601852</v>
      </c>
      <c r="B220">
        <v>341681882</v>
      </c>
      <c r="C220" t="s">
        <v>157</v>
      </c>
      <c r="D220" t="s">
        <v>15</v>
      </c>
      <c r="E220" s="2">
        <v>3200</v>
      </c>
      <c r="F220" s="2">
        <v>3200</v>
      </c>
      <c r="G220" s="2">
        <v>2240</v>
      </c>
      <c r="I220" t="s">
        <v>61</v>
      </c>
      <c r="J220" t="s">
        <v>59</v>
      </c>
      <c r="K220" t="s">
        <v>18</v>
      </c>
      <c r="L220" t="str">
        <f>T("9791136917027")</f>
        <v>9791136917027</v>
      </c>
      <c r="M220" t="str">
        <f t="shared" si="5"/>
        <v/>
      </c>
      <c r="N220">
        <v>866117</v>
      </c>
    </row>
    <row r="221" spans="1:14" x14ac:dyDescent="0.3">
      <c r="A221" s="1">
        <v>46056.58320601852</v>
      </c>
      <c r="B221">
        <v>341681883</v>
      </c>
      <c r="C221" t="s">
        <v>158</v>
      </c>
      <c r="D221" t="s">
        <v>15</v>
      </c>
      <c r="E221" s="2">
        <v>3200</v>
      </c>
      <c r="F221" s="2">
        <v>3200</v>
      </c>
      <c r="G221" s="2">
        <v>2240</v>
      </c>
      <c r="I221" t="s">
        <v>61</v>
      </c>
      <c r="J221" t="s">
        <v>59</v>
      </c>
      <c r="K221" t="s">
        <v>18</v>
      </c>
      <c r="L221" t="str">
        <f>T("9791136917058")</f>
        <v>9791136917058</v>
      </c>
      <c r="M221" t="str">
        <f t="shared" si="5"/>
        <v/>
      </c>
      <c r="N221">
        <v>866114</v>
      </c>
    </row>
    <row r="222" spans="1:14" x14ac:dyDescent="0.3">
      <c r="A222" s="1">
        <v>46056.58320601852</v>
      </c>
      <c r="B222">
        <v>341681884</v>
      </c>
      <c r="C222" t="s">
        <v>159</v>
      </c>
      <c r="D222" t="s">
        <v>15</v>
      </c>
      <c r="E222" s="2">
        <v>3200</v>
      </c>
      <c r="F222" s="2">
        <v>3200</v>
      </c>
      <c r="G222" s="2">
        <v>2240</v>
      </c>
      <c r="I222" t="s">
        <v>61</v>
      </c>
      <c r="J222" t="s">
        <v>59</v>
      </c>
      <c r="K222" t="s">
        <v>18</v>
      </c>
      <c r="L222" t="str">
        <f>T("9791136917010")</f>
        <v>9791136917010</v>
      </c>
      <c r="M222" t="str">
        <f t="shared" si="5"/>
        <v/>
      </c>
      <c r="N222">
        <v>866118</v>
      </c>
    </row>
    <row r="223" spans="1:14" x14ac:dyDescent="0.3">
      <c r="A223" s="1">
        <v>46056.58320601852</v>
      </c>
      <c r="B223">
        <v>341681886</v>
      </c>
      <c r="C223" t="s">
        <v>160</v>
      </c>
      <c r="D223" t="s">
        <v>15</v>
      </c>
      <c r="E223" s="2">
        <v>3200</v>
      </c>
      <c r="F223" s="2">
        <v>3200</v>
      </c>
      <c r="G223" s="2">
        <v>2240</v>
      </c>
      <c r="I223" t="s">
        <v>61</v>
      </c>
      <c r="J223" t="s">
        <v>59</v>
      </c>
      <c r="K223" t="s">
        <v>18</v>
      </c>
      <c r="L223" t="str">
        <f>T("9791136917034")</f>
        <v>9791136917034</v>
      </c>
      <c r="M223" t="str">
        <f t="shared" si="5"/>
        <v/>
      </c>
      <c r="N223">
        <v>866116</v>
      </c>
    </row>
    <row r="224" spans="1:14" x14ac:dyDescent="0.3">
      <c r="A224" s="1">
        <v>46056.58320601852</v>
      </c>
      <c r="B224">
        <v>341681876</v>
      </c>
      <c r="C224" t="s">
        <v>161</v>
      </c>
      <c r="D224" t="s">
        <v>15</v>
      </c>
      <c r="E224" s="2">
        <v>3200</v>
      </c>
      <c r="F224" s="2">
        <v>3200</v>
      </c>
      <c r="G224" s="2">
        <v>2240</v>
      </c>
      <c r="I224" t="s">
        <v>61</v>
      </c>
      <c r="J224" t="s">
        <v>59</v>
      </c>
      <c r="K224" t="s">
        <v>18</v>
      </c>
      <c r="L224" t="str">
        <f>T("9791136917003")</f>
        <v>9791136917003</v>
      </c>
      <c r="M224" t="str">
        <f t="shared" si="5"/>
        <v/>
      </c>
      <c r="N224">
        <v>866119</v>
      </c>
    </row>
    <row r="225" spans="1:14" x14ac:dyDescent="0.3">
      <c r="A225" s="1">
        <v>46056.58320601852</v>
      </c>
      <c r="B225">
        <v>341681874</v>
      </c>
      <c r="C225" t="s">
        <v>162</v>
      </c>
      <c r="D225" t="s">
        <v>15</v>
      </c>
      <c r="E225" s="2">
        <v>3200</v>
      </c>
      <c r="F225" s="2">
        <v>3200</v>
      </c>
      <c r="G225" s="2">
        <v>2240</v>
      </c>
      <c r="I225" t="s">
        <v>61</v>
      </c>
      <c r="J225" t="s">
        <v>59</v>
      </c>
      <c r="K225" t="s">
        <v>18</v>
      </c>
      <c r="L225" t="str">
        <f>T("9791136916990")</f>
        <v>9791136916990</v>
      </c>
      <c r="M225" t="str">
        <f t="shared" si="5"/>
        <v/>
      </c>
      <c r="N225">
        <v>866120</v>
      </c>
    </row>
    <row r="226" spans="1:14" x14ac:dyDescent="0.3">
      <c r="A226" s="1">
        <v>46056.645833333336</v>
      </c>
      <c r="B226">
        <v>382678580</v>
      </c>
      <c r="C226" t="s">
        <v>163</v>
      </c>
      <c r="D226" t="s">
        <v>15</v>
      </c>
      <c r="E226" s="2">
        <v>3400</v>
      </c>
      <c r="F226" s="2">
        <v>3400</v>
      </c>
      <c r="G226" s="2">
        <v>2380</v>
      </c>
      <c r="I226" t="s">
        <v>153</v>
      </c>
      <c r="J226" t="s">
        <v>23</v>
      </c>
      <c r="K226" t="s">
        <v>18</v>
      </c>
      <c r="L226" t="str">
        <f>T("9791175307292")</f>
        <v>9791175307292</v>
      </c>
      <c r="M226" t="str">
        <f t="shared" si="5"/>
        <v/>
      </c>
      <c r="N226">
        <v>957875</v>
      </c>
    </row>
    <row r="227" spans="1:14" x14ac:dyDescent="0.3">
      <c r="A227" s="1">
        <v>46056.683252314811</v>
      </c>
      <c r="B227">
        <v>385348415</v>
      </c>
      <c r="C227" t="s">
        <v>88</v>
      </c>
      <c r="D227" t="s">
        <v>89</v>
      </c>
      <c r="E227" s="2">
        <v>8640</v>
      </c>
      <c r="F227" s="2">
        <v>8640</v>
      </c>
      <c r="G227" s="2">
        <v>6048</v>
      </c>
      <c r="I227" t="s">
        <v>90</v>
      </c>
      <c r="J227" t="s">
        <v>23</v>
      </c>
      <c r="K227" t="s">
        <v>18</v>
      </c>
      <c r="L227" t="str">
        <f>T("9791175308350")</f>
        <v>9791175308350</v>
      </c>
      <c r="M227" t="str">
        <f t="shared" si="5"/>
        <v/>
      </c>
    </row>
    <row r="228" spans="1:14" x14ac:dyDescent="0.3">
      <c r="A228" s="1">
        <v>46056.688113425924</v>
      </c>
      <c r="B228">
        <v>385348414</v>
      </c>
      <c r="C228" t="s">
        <v>114</v>
      </c>
      <c r="D228" t="s">
        <v>89</v>
      </c>
      <c r="E228" s="2">
        <v>11700</v>
      </c>
      <c r="F228" s="2">
        <v>11700</v>
      </c>
      <c r="G228" s="2">
        <v>8190</v>
      </c>
      <c r="I228" t="s">
        <v>87</v>
      </c>
      <c r="J228" t="s">
        <v>23</v>
      </c>
      <c r="K228" t="s">
        <v>18</v>
      </c>
      <c r="L228" t="str">
        <f>T("9791175308503")</f>
        <v>9791175308503</v>
      </c>
      <c r="M228" t="str">
        <f t="shared" si="5"/>
        <v/>
      </c>
    </row>
    <row r="229" spans="1:14" x14ac:dyDescent="0.3">
      <c r="A229" s="1">
        <v>46056.698680555557</v>
      </c>
      <c r="B229">
        <v>385347754</v>
      </c>
      <c r="C229" t="s">
        <v>97</v>
      </c>
      <c r="D229" t="s">
        <v>15</v>
      </c>
      <c r="E229" s="2">
        <v>3200</v>
      </c>
      <c r="F229" s="2">
        <v>2880</v>
      </c>
      <c r="G229" s="2">
        <v>2016</v>
      </c>
      <c r="I229" t="s">
        <v>90</v>
      </c>
      <c r="J229" t="s">
        <v>23</v>
      </c>
      <c r="K229" t="s">
        <v>18</v>
      </c>
      <c r="L229" t="str">
        <f>T("9791175308282")</f>
        <v>9791175308282</v>
      </c>
      <c r="M229" t="str">
        <f t="shared" si="5"/>
        <v/>
      </c>
      <c r="N229">
        <v>957886</v>
      </c>
    </row>
    <row r="230" spans="1:14" x14ac:dyDescent="0.3">
      <c r="A230" s="1">
        <v>46056.704201388886</v>
      </c>
      <c r="B230">
        <v>335778649</v>
      </c>
      <c r="C230" t="s">
        <v>164</v>
      </c>
      <c r="D230" t="s">
        <v>15</v>
      </c>
      <c r="E230" s="2">
        <v>3200</v>
      </c>
      <c r="F230" s="2">
        <v>3200</v>
      </c>
      <c r="G230" s="2">
        <v>2240</v>
      </c>
      <c r="I230" t="s">
        <v>102</v>
      </c>
      <c r="J230" t="s">
        <v>23</v>
      </c>
      <c r="K230" t="s">
        <v>18</v>
      </c>
      <c r="L230" t="str">
        <f>T("9791136958181")</f>
        <v>9791136958181</v>
      </c>
      <c r="M230" t="str">
        <f t="shared" si="5"/>
        <v/>
      </c>
      <c r="N230">
        <v>921584</v>
      </c>
    </row>
    <row r="231" spans="1:14" x14ac:dyDescent="0.3">
      <c r="A231" s="1">
        <v>46056.746249999997</v>
      </c>
      <c r="B231">
        <v>385348415</v>
      </c>
      <c r="C231" t="s">
        <v>88</v>
      </c>
      <c r="D231" t="s">
        <v>89</v>
      </c>
      <c r="E231" s="2">
        <v>8640</v>
      </c>
      <c r="F231" s="2">
        <v>8640</v>
      </c>
      <c r="G231" s="2">
        <v>6048</v>
      </c>
      <c r="I231" t="s">
        <v>90</v>
      </c>
      <c r="J231" t="s">
        <v>23</v>
      </c>
      <c r="K231" t="s">
        <v>18</v>
      </c>
      <c r="L231" t="str">
        <f>T("9791175308350")</f>
        <v>9791175308350</v>
      </c>
      <c r="M231" t="str">
        <f t="shared" si="5"/>
        <v/>
      </c>
    </row>
    <row r="232" spans="1:14" x14ac:dyDescent="0.3">
      <c r="A232" s="1">
        <v>46056.787766203706</v>
      </c>
      <c r="B232">
        <v>385347659</v>
      </c>
      <c r="C232" t="s">
        <v>86</v>
      </c>
      <c r="D232" t="s">
        <v>15</v>
      </c>
      <c r="E232" s="2">
        <v>1000</v>
      </c>
      <c r="F232">
        <v>900</v>
      </c>
      <c r="G232">
        <v>630</v>
      </c>
      <c r="I232" t="s">
        <v>87</v>
      </c>
      <c r="J232" t="s">
        <v>23</v>
      </c>
      <c r="K232" t="s">
        <v>18</v>
      </c>
      <c r="L232" t="str">
        <f>T("9791175308510")</f>
        <v>9791175308510</v>
      </c>
      <c r="M232" t="str">
        <f t="shared" si="5"/>
        <v/>
      </c>
      <c r="N232">
        <v>957881</v>
      </c>
    </row>
    <row r="233" spans="1:14" x14ac:dyDescent="0.3">
      <c r="A233" s="1">
        <v>46056.817777777775</v>
      </c>
      <c r="B233">
        <v>385348414</v>
      </c>
      <c r="C233" t="s">
        <v>114</v>
      </c>
      <c r="D233" t="s">
        <v>89</v>
      </c>
      <c r="E233" s="2">
        <v>11700</v>
      </c>
      <c r="F233" s="2">
        <v>11700</v>
      </c>
      <c r="G233" s="2">
        <v>8190</v>
      </c>
      <c r="I233" t="s">
        <v>87</v>
      </c>
      <c r="J233" t="s">
        <v>23</v>
      </c>
      <c r="K233" t="s">
        <v>18</v>
      </c>
      <c r="L233" t="str">
        <f>T("9791175308503")</f>
        <v>9791175308503</v>
      </c>
      <c r="M233" t="str">
        <f t="shared" si="5"/>
        <v/>
      </c>
    </row>
    <row r="234" spans="1:14" x14ac:dyDescent="0.3">
      <c r="A234" s="1">
        <v>46056.821435185186</v>
      </c>
      <c r="B234">
        <v>373442831</v>
      </c>
      <c r="C234" t="s">
        <v>165</v>
      </c>
      <c r="D234" t="s">
        <v>89</v>
      </c>
      <c r="E234">
        <v>810</v>
      </c>
      <c r="F234">
        <v>810</v>
      </c>
      <c r="G234">
        <v>567</v>
      </c>
      <c r="I234" t="s">
        <v>58</v>
      </c>
      <c r="J234" t="s">
        <v>59</v>
      </c>
      <c r="K234" t="s">
        <v>18</v>
      </c>
      <c r="L234" t="str">
        <f>T("9791173784330")</f>
        <v>9791173784330</v>
      </c>
      <c r="M234" t="str">
        <f t="shared" si="5"/>
        <v/>
      </c>
      <c r="N234">
        <v>948949</v>
      </c>
    </row>
    <row r="235" spans="1:14" x14ac:dyDescent="0.3">
      <c r="A235" s="1">
        <v>46056.821435185186</v>
      </c>
      <c r="B235">
        <v>373442873</v>
      </c>
      <c r="C235" t="s">
        <v>166</v>
      </c>
      <c r="D235" t="s">
        <v>89</v>
      </c>
      <c r="E235">
        <v>810</v>
      </c>
      <c r="F235">
        <v>810</v>
      </c>
      <c r="G235">
        <v>567</v>
      </c>
      <c r="I235" t="s">
        <v>58</v>
      </c>
      <c r="J235" t="s">
        <v>59</v>
      </c>
      <c r="K235" t="s">
        <v>18</v>
      </c>
      <c r="L235" t="str">
        <f>T("9791173784323")</f>
        <v>9791173784323</v>
      </c>
      <c r="M235" t="str">
        <f t="shared" si="5"/>
        <v/>
      </c>
      <c r="N235">
        <v>948950</v>
      </c>
    </row>
    <row r="236" spans="1:14" x14ac:dyDescent="0.3">
      <c r="A236" s="1">
        <v>46056.834293981483</v>
      </c>
      <c r="B236">
        <v>34440528</v>
      </c>
      <c r="C236" t="s">
        <v>167</v>
      </c>
      <c r="D236" t="s">
        <v>15</v>
      </c>
      <c r="E236" s="2">
        <v>2500</v>
      </c>
      <c r="F236" s="2">
        <v>2500</v>
      </c>
      <c r="G236" s="2">
        <v>1750</v>
      </c>
      <c r="I236" t="s">
        <v>27</v>
      </c>
      <c r="J236" t="s">
        <v>79</v>
      </c>
      <c r="K236" t="s">
        <v>18</v>
      </c>
      <c r="L236" t="str">
        <f>T("9791133167241")</f>
        <v>9791133167241</v>
      </c>
      <c r="M236" t="str">
        <f t="shared" si="5"/>
        <v/>
      </c>
      <c r="N236">
        <v>151143</v>
      </c>
    </row>
    <row r="237" spans="1:14" x14ac:dyDescent="0.3">
      <c r="A237" s="1">
        <v>46056.836886574078</v>
      </c>
      <c r="B237">
        <v>385347659</v>
      </c>
      <c r="C237" t="s">
        <v>86</v>
      </c>
      <c r="D237" t="s">
        <v>15</v>
      </c>
      <c r="E237" s="2">
        <v>1000</v>
      </c>
      <c r="F237">
        <v>900</v>
      </c>
      <c r="G237">
        <v>630</v>
      </c>
      <c r="I237" t="s">
        <v>87</v>
      </c>
      <c r="J237" t="s">
        <v>23</v>
      </c>
      <c r="K237" t="s">
        <v>18</v>
      </c>
      <c r="L237" t="str">
        <f>T("9791175308510")</f>
        <v>9791175308510</v>
      </c>
      <c r="M237" t="str">
        <f t="shared" si="5"/>
        <v/>
      </c>
      <c r="N237">
        <v>957881</v>
      </c>
    </row>
    <row r="238" spans="1:14" x14ac:dyDescent="0.3">
      <c r="A238" s="1">
        <v>46056.876099537039</v>
      </c>
      <c r="B238">
        <v>268443464</v>
      </c>
      <c r="C238" t="s">
        <v>168</v>
      </c>
      <c r="D238" t="s">
        <v>15</v>
      </c>
      <c r="E238" s="2">
        <v>2500</v>
      </c>
      <c r="F238" s="2">
        <v>2250</v>
      </c>
      <c r="G238" s="2">
        <v>1575</v>
      </c>
      <c r="I238" t="s">
        <v>132</v>
      </c>
      <c r="J238" t="s">
        <v>59</v>
      </c>
      <c r="K238" t="s">
        <v>18</v>
      </c>
      <c r="L238" t="str">
        <f>T("9791136906632")</f>
        <v>9791136906632</v>
      </c>
      <c r="M238" t="str">
        <f t="shared" si="5"/>
        <v/>
      </c>
      <c r="N238">
        <v>805959</v>
      </c>
    </row>
    <row r="239" spans="1:14" x14ac:dyDescent="0.3">
      <c r="A239" s="1">
        <v>46056.876099537039</v>
      </c>
      <c r="B239">
        <v>268443473</v>
      </c>
      <c r="C239" t="s">
        <v>169</v>
      </c>
      <c r="D239" t="s">
        <v>15</v>
      </c>
      <c r="E239" s="2">
        <v>2500</v>
      </c>
      <c r="F239" s="2">
        <v>2250</v>
      </c>
      <c r="G239" s="2">
        <v>1575</v>
      </c>
      <c r="I239" t="s">
        <v>132</v>
      </c>
      <c r="J239" t="s">
        <v>59</v>
      </c>
      <c r="K239" t="s">
        <v>18</v>
      </c>
      <c r="L239" t="str">
        <f>T("9791136906595")</f>
        <v>9791136906595</v>
      </c>
      <c r="M239" t="str">
        <f t="shared" si="5"/>
        <v/>
      </c>
      <c r="N239">
        <v>805959</v>
      </c>
    </row>
    <row r="240" spans="1:14" x14ac:dyDescent="0.3">
      <c r="A240" s="1">
        <v>46056.876099537039</v>
      </c>
      <c r="B240">
        <v>268443476</v>
      </c>
      <c r="C240" t="s">
        <v>170</v>
      </c>
      <c r="D240" t="s">
        <v>15</v>
      </c>
      <c r="E240" s="2">
        <v>2500</v>
      </c>
      <c r="F240" s="2">
        <v>2250</v>
      </c>
      <c r="G240" s="2">
        <v>1575</v>
      </c>
      <c r="I240" t="s">
        <v>132</v>
      </c>
      <c r="J240" t="s">
        <v>59</v>
      </c>
      <c r="K240" t="s">
        <v>18</v>
      </c>
      <c r="L240" t="str">
        <f>T("9791136906649")</f>
        <v>9791136906649</v>
      </c>
      <c r="M240" t="str">
        <f t="shared" si="5"/>
        <v/>
      </c>
      <c r="N240">
        <v>805959</v>
      </c>
    </row>
    <row r="241" spans="1:14" x14ac:dyDescent="0.3">
      <c r="A241" s="1">
        <v>46056.876099537039</v>
      </c>
      <c r="B241">
        <v>268443523</v>
      </c>
      <c r="C241" t="s">
        <v>171</v>
      </c>
      <c r="D241" t="s">
        <v>15</v>
      </c>
      <c r="E241" s="2">
        <v>2500</v>
      </c>
      <c r="F241" s="2">
        <v>2250</v>
      </c>
      <c r="G241" s="2">
        <v>1575</v>
      </c>
      <c r="I241" t="s">
        <v>132</v>
      </c>
      <c r="J241" t="s">
        <v>59</v>
      </c>
      <c r="K241" t="s">
        <v>18</v>
      </c>
      <c r="L241" t="str">
        <f>T("9791136906601")</f>
        <v>9791136906601</v>
      </c>
      <c r="M241" t="str">
        <f t="shared" si="5"/>
        <v/>
      </c>
      <c r="N241">
        <v>805959</v>
      </c>
    </row>
    <row r="242" spans="1:14" x14ac:dyDescent="0.3">
      <c r="A242" s="1">
        <v>46056.876099537039</v>
      </c>
      <c r="B242">
        <v>268443588</v>
      </c>
      <c r="C242" t="s">
        <v>172</v>
      </c>
      <c r="D242" t="s">
        <v>15</v>
      </c>
      <c r="E242" s="2">
        <v>2500</v>
      </c>
      <c r="F242" s="2">
        <v>2250</v>
      </c>
      <c r="G242" s="2">
        <v>1575</v>
      </c>
      <c r="I242" t="s">
        <v>132</v>
      </c>
      <c r="J242" t="s">
        <v>59</v>
      </c>
      <c r="K242" t="s">
        <v>18</v>
      </c>
      <c r="L242" t="str">
        <f>T("9791136906618")</f>
        <v>9791136906618</v>
      </c>
      <c r="M242" t="str">
        <f t="shared" si="5"/>
        <v/>
      </c>
      <c r="N242">
        <v>805959</v>
      </c>
    </row>
    <row r="243" spans="1:14" x14ac:dyDescent="0.3">
      <c r="A243" s="1">
        <v>46056.876099537039</v>
      </c>
      <c r="B243">
        <v>268443589</v>
      </c>
      <c r="C243" t="s">
        <v>173</v>
      </c>
      <c r="D243" t="s">
        <v>15</v>
      </c>
      <c r="E243" s="2">
        <v>2500</v>
      </c>
      <c r="F243" s="2">
        <v>2250</v>
      </c>
      <c r="G243" s="2">
        <v>1575</v>
      </c>
      <c r="I243" t="s">
        <v>132</v>
      </c>
      <c r="J243" t="s">
        <v>59</v>
      </c>
      <c r="K243" t="s">
        <v>18</v>
      </c>
      <c r="L243" t="str">
        <f>T("9791136906625")</f>
        <v>9791136906625</v>
      </c>
      <c r="M243" t="str">
        <f t="shared" si="5"/>
        <v/>
      </c>
      <c r="N243">
        <v>805959</v>
      </c>
    </row>
    <row r="244" spans="1:14" x14ac:dyDescent="0.3">
      <c r="A244" s="1">
        <v>46056.877453703702</v>
      </c>
      <c r="B244">
        <v>385347659</v>
      </c>
      <c r="C244" t="s">
        <v>86</v>
      </c>
      <c r="D244" t="s">
        <v>15</v>
      </c>
      <c r="E244" s="2">
        <v>1000</v>
      </c>
      <c r="F244">
        <v>900</v>
      </c>
      <c r="G244">
        <v>630</v>
      </c>
      <c r="I244" t="s">
        <v>87</v>
      </c>
      <c r="J244" t="s">
        <v>23</v>
      </c>
      <c r="K244" t="s">
        <v>18</v>
      </c>
      <c r="L244" t="str">
        <f>T("9791175308510")</f>
        <v>9791175308510</v>
      </c>
      <c r="M244" t="str">
        <f t="shared" si="5"/>
        <v/>
      </c>
      <c r="N244">
        <v>957881</v>
      </c>
    </row>
    <row r="245" spans="1:14" x14ac:dyDescent="0.3">
      <c r="A245" s="1">
        <v>46056.907743055555</v>
      </c>
      <c r="B245">
        <v>385347754</v>
      </c>
      <c r="C245" t="s">
        <v>97</v>
      </c>
      <c r="D245" t="s">
        <v>15</v>
      </c>
      <c r="E245" s="2">
        <v>3200</v>
      </c>
      <c r="F245" s="2">
        <v>2880</v>
      </c>
      <c r="G245" s="2">
        <v>2016</v>
      </c>
      <c r="I245" t="s">
        <v>90</v>
      </c>
      <c r="J245" t="s">
        <v>23</v>
      </c>
      <c r="K245" t="s">
        <v>18</v>
      </c>
      <c r="L245" t="str">
        <f>T("9791175308282")</f>
        <v>9791175308282</v>
      </c>
      <c r="M245" t="str">
        <f t="shared" si="5"/>
        <v/>
      </c>
      <c r="N245">
        <v>957886</v>
      </c>
    </row>
    <row r="246" spans="1:14" x14ac:dyDescent="0.3">
      <c r="A246" s="1">
        <v>46056.920254629629</v>
      </c>
      <c r="B246">
        <v>385348415</v>
      </c>
      <c r="C246" t="s">
        <v>88</v>
      </c>
      <c r="D246" t="s">
        <v>89</v>
      </c>
      <c r="E246" s="2">
        <v>8640</v>
      </c>
      <c r="F246" s="2">
        <v>8640</v>
      </c>
      <c r="G246" s="2">
        <v>6048</v>
      </c>
      <c r="I246" t="s">
        <v>90</v>
      </c>
      <c r="J246" t="s">
        <v>23</v>
      </c>
      <c r="K246" t="s">
        <v>18</v>
      </c>
      <c r="L246" t="str">
        <f>T("9791175308350")</f>
        <v>9791175308350</v>
      </c>
      <c r="M246" t="str">
        <f t="shared" si="5"/>
        <v/>
      </c>
    </row>
    <row r="247" spans="1:14" x14ac:dyDescent="0.3">
      <c r="A247" s="1">
        <v>46056.934583333335</v>
      </c>
      <c r="B247">
        <v>306631761</v>
      </c>
      <c r="C247" t="s">
        <v>174</v>
      </c>
      <c r="D247" t="s">
        <v>15</v>
      </c>
      <c r="E247" s="2">
        <v>3000</v>
      </c>
      <c r="F247" s="2">
        <v>3000</v>
      </c>
      <c r="G247" s="2">
        <v>2100</v>
      </c>
      <c r="I247" t="s">
        <v>175</v>
      </c>
      <c r="J247" t="s">
        <v>176</v>
      </c>
      <c r="K247" t="s">
        <v>18</v>
      </c>
      <c r="L247" t="str">
        <f>T("9791136932730")</f>
        <v>9791136932730</v>
      </c>
      <c r="M247" t="str">
        <f t="shared" si="5"/>
        <v/>
      </c>
      <c r="N247">
        <v>896413</v>
      </c>
    </row>
    <row r="248" spans="1:14" x14ac:dyDescent="0.3">
      <c r="A248" s="1">
        <v>46056.937245370369</v>
      </c>
      <c r="B248">
        <v>361759402</v>
      </c>
      <c r="C248" t="s">
        <v>50</v>
      </c>
      <c r="D248" t="s">
        <v>15</v>
      </c>
      <c r="E248">
        <v>0</v>
      </c>
      <c r="F248">
        <v>0</v>
      </c>
      <c r="G248">
        <v>0</v>
      </c>
      <c r="I248" t="s">
        <v>51</v>
      </c>
      <c r="J248" t="s">
        <v>52</v>
      </c>
      <c r="K248" t="s">
        <v>18</v>
      </c>
      <c r="L248" t="str">
        <f>T("9791173782381")</f>
        <v>9791173782381</v>
      </c>
      <c r="M248" t="str">
        <f t="shared" si="5"/>
        <v/>
      </c>
      <c r="N248">
        <v>946964</v>
      </c>
    </row>
    <row r="249" spans="1:14" x14ac:dyDescent="0.3">
      <c r="A249" s="1">
        <v>46056.970555555556</v>
      </c>
      <c r="B249">
        <v>385348415</v>
      </c>
      <c r="C249" t="s">
        <v>88</v>
      </c>
      <c r="D249" t="s">
        <v>15</v>
      </c>
      <c r="E249" s="2">
        <v>9600</v>
      </c>
      <c r="F249" s="2">
        <v>8640</v>
      </c>
      <c r="G249" s="2">
        <v>6048</v>
      </c>
      <c r="I249" t="s">
        <v>90</v>
      </c>
      <c r="J249" t="s">
        <v>23</v>
      </c>
      <c r="K249" t="s">
        <v>18</v>
      </c>
      <c r="L249" t="str">
        <f>T("9791175308350")</f>
        <v>9791175308350</v>
      </c>
      <c r="M249" t="str">
        <f t="shared" si="5"/>
        <v/>
      </c>
    </row>
    <row r="250" spans="1:14" x14ac:dyDescent="0.3">
      <c r="A250" s="1">
        <v>46056.971909722219</v>
      </c>
      <c r="B250">
        <v>385348415</v>
      </c>
      <c r="C250" t="s">
        <v>88</v>
      </c>
      <c r="D250" t="s">
        <v>89</v>
      </c>
      <c r="E250" s="2">
        <v>8640</v>
      </c>
      <c r="F250" s="2">
        <v>8640</v>
      </c>
      <c r="G250" s="2">
        <v>6048</v>
      </c>
      <c r="I250" t="s">
        <v>90</v>
      </c>
      <c r="J250" t="s">
        <v>23</v>
      </c>
      <c r="K250" t="s">
        <v>18</v>
      </c>
      <c r="L250" t="str">
        <f>T("9791175308350")</f>
        <v>9791175308350</v>
      </c>
      <c r="M250" t="str">
        <f t="shared" si="5"/>
        <v/>
      </c>
    </row>
    <row r="251" spans="1:14" x14ac:dyDescent="0.3">
      <c r="A251" s="1">
        <v>46056.982187499998</v>
      </c>
      <c r="B251">
        <v>385347659</v>
      </c>
      <c r="C251" t="s">
        <v>86</v>
      </c>
      <c r="D251" t="s">
        <v>15</v>
      </c>
      <c r="E251" s="2">
        <v>1000</v>
      </c>
      <c r="F251">
        <v>900</v>
      </c>
      <c r="G251">
        <v>630</v>
      </c>
      <c r="I251" t="s">
        <v>87</v>
      </c>
      <c r="J251" t="s">
        <v>23</v>
      </c>
      <c r="K251" t="s">
        <v>18</v>
      </c>
      <c r="L251" t="str">
        <f>T("9791175308510")</f>
        <v>9791175308510</v>
      </c>
      <c r="M251" t="str">
        <f t="shared" si="5"/>
        <v/>
      </c>
      <c r="N251">
        <v>957881</v>
      </c>
    </row>
    <row r="252" spans="1:14" x14ac:dyDescent="0.3">
      <c r="A252" s="1">
        <v>46056.982187499998</v>
      </c>
      <c r="B252">
        <v>378759383</v>
      </c>
      <c r="C252" t="s">
        <v>177</v>
      </c>
      <c r="D252" t="s">
        <v>15</v>
      </c>
      <c r="E252" s="2">
        <v>3000</v>
      </c>
      <c r="F252" s="2">
        <v>2700</v>
      </c>
      <c r="G252" s="2">
        <v>1890</v>
      </c>
      <c r="I252" t="s">
        <v>87</v>
      </c>
      <c r="J252" t="s">
        <v>23</v>
      </c>
      <c r="K252" t="s">
        <v>18</v>
      </c>
      <c r="L252" t="str">
        <f>T("9791175302853")</f>
        <v>9791175302853</v>
      </c>
      <c r="M252" t="str">
        <f t="shared" si="5"/>
        <v/>
      </c>
      <c r="N252">
        <v>954950</v>
      </c>
    </row>
    <row r="253" spans="1:14" x14ac:dyDescent="0.3">
      <c r="A253" s="1">
        <v>46056.982187499998</v>
      </c>
      <c r="B253">
        <v>378759411</v>
      </c>
      <c r="C253" t="s">
        <v>178</v>
      </c>
      <c r="D253" t="s">
        <v>15</v>
      </c>
      <c r="E253" s="2">
        <v>3000</v>
      </c>
      <c r="F253" s="2">
        <v>2700</v>
      </c>
      <c r="G253" s="2">
        <v>1890</v>
      </c>
      <c r="I253" t="s">
        <v>87</v>
      </c>
      <c r="J253" t="s">
        <v>23</v>
      </c>
      <c r="K253" t="s">
        <v>18</v>
      </c>
      <c r="L253" t="str">
        <f>T("9791175302846")</f>
        <v>9791175302846</v>
      </c>
      <c r="M253" t="str">
        <f t="shared" si="5"/>
        <v/>
      </c>
      <c r="N253">
        <v>954951</v>
      </c>
    </row>
    <row r="254" spans="1:14" x14ac:dyDescent="0.3">
      <c r="A254" s="1">
        <v>46056.982187499998</v>
      </c>
      <c r="B254">
        <v>378759363</v>
      </c>
      <c r="C254" t="s">
        <v>179</v>
      </c>
      <c r="D254" t="s">
        <v>15</v>
      </c>
      <c r="E254" s="2">
        <v>3000</v>
      </c>
      <c r="F254" s="2">
        <v>2700</v>
      </c>
      <c r="G254" s="2">
        <v>1890</v>
      </c>
      <c r="I254" t="s">
        <v>87</v>
      </c>
      <c r="J254" t="s">
        <v>23</v>
      </c>
      <c r="K254" t="s">
        <v>18</v>
      </c>
      <c r="L254" t="str">
        <f>T("9791175302778")</f>
        <v>9791175302778</v>
      </c>
      <c r="M254" t="str">
        <f t="shared" si="5"/>
        <v/>
      </c>
      <c r="N254">
        <v>954952</v>
      </c>
    </row>
    <row r="255" spans="1:14" x14ac:dyDescent="0.3">
      <c r="A255" s="1">
        <v>46056.982187499998</v>
      </c>
      <c r="B255">
        <v>378759372</v>
      </c>
      <c r="C255" t="s">
        <v>180</v>
      </c>
      <c r="D255" t="s">
        <v>15</v>
      </c>
      <c r="E255" s="2">
        <v>3000</v>
      </c>
      <c r="F255" s="2">
        <v>2700</v>
      </c>
      <c r="G255" s="2">
        <v>1890</v>
      </c>
      <c r="I255" t="s">
        <v>87</v>
      </c>
      <c r="J255" t="s">
        <v>23</v>
      </c>
      <c r="K255" t="s">
        <v>18</v>
      </c>
      <c r="L255" t="str">
        <f>T("9791175302860")</f>
        <v>9791175302860</v>
      </c>
      <c r="M255" t="str">
        <f t="shared" si="5"/>
        <v/>
      </c>
      <c r="N255">
        <v>954949</v>
      </c>
    </row>
    <row r="256" spans="1:14" x14ac:dyDescent="0.3">
      <c r="A256" s="1">
        <v>46056.985439814816</v>
      </c>
      <c r="B256">
        <v>379385369</v>
      </c>
      <c r="C256" t="s">
        <v>101</v>
      </c>
      <c r="D256" t="s">
        <v>15</v>
      </c>
      <c r="E256" s="2">
        <v>1500</v>
      </c>
      <c r="F256" s="2">
        <v>1500</v>
      </c>
      <c r="G256" s="2">
        <v>1050</v>
      </c>
      <c r="I256" t="s">
        <v>102</v>
      </c>
      <c r="J256" t="s">
        <v>23</v>
      </c>
      <c r="K256" t="s">
        <v>18</v>
      </c>
      <c r="L256" t="str">
        <f>T("9791175307254")</f>
        <v>9791175307254</v>
      </c>
      <c r="M256" t="str">
        <f t="shared" si="5"/>
        <v/>
      </c>
      <c r="N256">
        <v>957333</v>
      </c>
    </row>
    <row r="257" spans="1:14" x14ac:dyDescent="0.3">
      <c r="A257" s="1">
        <v>46056.985439814816</v>
      </c>
      <c r="B257">
        <v>342333105</v>
      </c>
      <c r="C257" t="s">
        <v>181</v>
      </c>
      <c r="D257" t="s">
        <v>15</v>
      </c>
      <c r="E257" s="2">
        <v>1500</v>
      </c>
      <c r="F257" s="2">
        <v>1500</v>
      </c>
      <c r="G257" s="2">
        <v>1050</v>
      </c>
      <c r="I257" t="s">
        <v>102</v>
      </c>
      <c r="J257" t="s">
        <v>23</v>
      </c>
      <c r="K257" t="s">
        <v>18</v>
      </c>
      <c r="L257" t="str">
        <f>T("9791136979780")</f>
        <v>9791136979780</v>
      </c>
      <c r="M257" t="str">
        <f t="shared" si="5"/>
        <v/>
      </c>
      <c r="N257">
        <v>926740</v>
      </c>
    </row>
    <row r="258" spans="1:14" x14ac:dyDescent="0.3">
      <c r="A258" s="1">
        <v>46056.985439814816</v>
      </c>
      <c r="B258">
        <v>342333155</v>
      </c>
      <c r="C258" t="s">
        <v>182</v>
      </c>
      <c r="D258" t="s">
        <v>15</v>
      </c>
      <c r="E258" s="2">
        <v>1500</v>
      </c>
      <c r="F258" s="2">
        <v>1500</v>
      </c>
      <c r="G258" s="2">
        <v>1050</v>
      </c>
      <c r="I258" t="s">
        <v>102</v>
      </c>
      <c r="J258" t="s">
        <v>23</v>
      </c>
      <c r="K258" t="s">
        <v>18</v>
      </c>
      <c r="L258" t="str">
        <f>T("9791136979773")</f>
        <v>9791136979773</v>
      </c>
      <c r="M258" t="str">
        <f t="shared" ref="M258:M321" si="6">T("")</f>
        <v/>
      </c>
      <c r="N258">
        <v>926741</v>
      </c>
    </row>
    <row r="259" spans="1:14" x14ac:dyDescent="0.3">
      <c r="A259" s="1">
        <v>46056.985439814816</v>
      </c>
      <c r="B259">
        <v>335778607</v>
      </c>
      <c r="C259" t="s">
        <v>183</v>
      </c>
      <c r="D259" t="s">
        <v>15</v>
      </c>
      <c r="E259" s="2">
        <v>3000</v>
      </c>
      <c r="F259" s="2">
        <v>3000</v>
      </c>
      <c r="G259" s="2">
        <v>2100</v>
      </c>
      <c r="I259" t="s">
        <v>102</v>
      </c>
      <c r="J259" t="s">
        <v>23</v>
      </c>
      <c r="K259" t="s">
        <v>18</v>
      </c>
      <c r="L259" t="str">
        <f>T("9791136958204")</f>
        <v>9791136958204</v>
      </c>
      <c r="M259" t="str">
        <f t="shared" si="6"/>
        <v/>
      </c>
      <c r="N259">
        <v>921582</v>
      </c>
    </row>
    <row r="260" spans="1:14" x14ac:dyDescent="0.3">
      <c r="A260" s="1">
        <v>46056.985439814816</v>
      </c>
      <c r="B260">
        <v>335778578</v>
      </c>
      <c r="C260" t="s">
        <v>125</v>
      </c>
      <c r="D260" t="s">
        <v>15</v>
      </c>
      <c r="E260" s="2">
        <v>3400</v>
      </c>
      <c r="F260" s="2">
        <v>3400</v>
      </c>
      <c r="G260" s="2">
        <v>2380</v>
      </c>
      <c r="I260" t="s">
        <v>102</v>
      </c>
      <c r="J260" t="s">
        <v>23</v>
      </c>
      <c r="K260" t="s">
        <v>18</v>
      </c>
      <c r="L260" t="str">
        <f>T("9791136958198")</f>
        <v>9791136958198</v>
      </c>
      <c r="M260" t="str">
        <f t="shared" si="6"/>
        <v/>
      </c>
      <c r="N260">
        <v>921583</v>
      </c>
    </row>
    <row r="261" spans="1:14" x14ac:dyDescent="0.3">
      <c r="A261" s="1">
        <v>46057.036435185182</v>
      </c>
      <c r="B261">
        <v>385348415</v>
      </c>
      <c r="C261" t="s">
        <v>88</v>
      </c>
      <c r="D261" t="s">
        <v>89</v>
      </c>
      <c r="E261" s="2">
        <v>8640</v>
      </c>
      <c r="F261" s="2">
        <v>8640</v>
      </c>
      <c r="G261" s="2">
        <v>6048</v>
      </c>
      <c r="I261" t="s">
        <v>90</v>
      </c>
      <c r="J261" t="s">
        <v>23</v>
      </c>
      <c r="K261" t="s">
        <v>18</v>
      </c>
      <c r="L261" t="str">
        <f>T("9791175308350")</f>
        <v>9791175308350</v>
      </c>
      <c r="M261" t="str">
        <f t="shared" si="6"/>
        <v/>
      </c>
    </row>
    <row r="262" spans="1:14" x14ac:dyDescent="0.3">
      <c r="A262" s="1">
        <v>46057.100347222222</v>
      </c>
      <c r="B262">
        <v>375928791</v>
      </c>
      <c r="C262" t="s">
        <v>184</v>
      </c>
      <c r="D262" t="s">
        <v>15</v>
      </c>
      <c r="E262" s="2">
        <v>3200</v>
      </c>
      <c r="F262" s="2">
        <v>3200</v>
      </c>
      <c r="G262" s="2">
        <v>2240</v>
      </c>
      <c r="I262" t="s">
        <v>83</v>
      </c>
      <c r="J262" t="s">
        <v>59</v>
      </c>
      <c r="K262" t="s">
        <v>18</v>
      </c>
      <c r="L262" t="str">
        <f>T("9791175300620")</f>
        <v>9791175300620</v>
      </c>
      <c r="M262" t="str">
        <f t="shared" si="6"/>
        <v/>
      </c>
      <c r="N262">
        <v>952161</v>
      </c>
    </row>
    <row r="263" spans="1:14" x14ac:dyDescent="0.3">
      <c r="A263" s="1">
        <v>46057.100347222222</v>
      </c>
      <c r="B263">
        <v>375929009</v>
      </c>
      <c r="C263" t="s">
        <v>185</v>
      </c>
      <c r="D263" t="s">
        <v>15</v>
      </c>
      <c r="E263" s="2">
        <v>3200</v>
      </c>
      <c r="F263" s="2">
        <v>3200</v>
      </c>
      <c r="G263" s="2">
        <v>2240</v>
      </c>
      <c r="I263" t="s">
        <v>83</v>
      </c>
      <c r="J263" t="s">
        <v>59</v>
      </c>
      <c r="K263" t="s">
        <v>18</v>
      </c>
      <c r="L263" t="str">
        <f>T("9791175300750")</f>
        <v>9791175300750</v>
      </c>
      <c r="M263" t="str">
        <f t="shared" si="6"/>
        <v/>
      </c>
      <c r="N263">
        <v>952160</v>
      </c>
    </row>
    <row r="264" spans="1:14" x14ac:dyDescent="0.3">
      <c r="A264" s="1">
        <v>46057.100347222222</v>
      </c>
      <c r="B264">
        <v>375929013</v>
      </c>
      <c r="C264" t="s">
        <v>186</v>
      </c>
      <c r="D264" t="s">
        <v>15</v>
      </c>
      <c r="E264" s="2">
        <v>3200</v>
      </c>
      <c r="F264" s="2">
        <v>3200</v>
      </c>
      <c r="G264" s="2">
        <v>2240</v>
      </c>
      <c r="I264" t="s">
        <v>83</v>
      </c>
      <c r="J264" t="s">
        <v>59</v>
      </c>
      <c r="K264" t="s">
        <v>18</v>
      </c>
      <c r="L264" t="str">
        <f>T("9791175300590")</f>
        <v>9791175300590</v>
      </c>
      <c r="M264" t="str">
        <f t="shared" si="6"/>
        <v/>
      </c>
      <c r="N264">
        <v>952163</v>
      </c>
    </row>
    <row r="265" spans="1:14" x14ac:dyDescent="0.3">
      <c r="A265" s="1">
        <v>46057.100347222222</v>
      </c>
      <c r="B265">
        <v>375928978</v>
      </c>
      <c r="C265" t="s">
        <v>187</v>
      </c>
      <c r="D265" t="s">
        <v>15</v>
      </c>
      <c r="E265" s="2">
        <v>3200</v>
      </c>
      <c r="F265" s="2">
        <v>3200</v>
      </c>
      <c r="G265" s="2">
        <v>2240</v>
      </c>
      <c r="I265" t="s">
        <v>83</v>
      </c>
      <c r="J265" t="s">
        <v>59</v>
      </c>
      <c r="K265" t="s">
        <v>18</v>
      </c>
      <c r="L265" t="str">
        <f>T("9791175300606")</f>
        <v>9791175300606</v>
      </c>
      <c r="M265" t="str">
        <f t="shared" si="6"/>
        <v/>
      </c>
      <c r="N265">
        <v>952162</v>
      </c>
    </row>
    <row r="266" spans="1:14" x14ac:dyDescent="0.3">
      <c r="A266" s="1">
        <v>46057.147511574076</v>
      </c>
      <c r="B266">
        <v>384177437</v>
      </c>
      <c r="C266" t="s">
        <v>111</v>
      </c>
      <c r="D266" t="s">
        <v>15</v>
      </c>
      <c r="E266" s="2">
        <v>3500</v>
      </c>
      <c r="F266" s="2">
        <v>3500</v>
      </c>
      <c r="G266" s="2">
        <v>2450</v>
      </c>
      <c r="I266" t="s">
        <v>22</v>
      </c>
      <c r="J266" t="s">
        <v>23</v>
      </c>
      <c r="K266" t="s">
        <v>18</v>
      </c>
      <c r="L266" t="str">
        <f>T("9791175309814")</f>
        <v>9791175309814</v>
      </c>
      <c r="M266" t="str">
        <f t="shared" si="6"/>
        <v/>
      </c>
      <c r="N266">
        <v>958593</v>
      </c>
    </row>
    <row r="267" spans="1:14" x14ac:dyDescent="0.3">
      <c r="A267" s="1">
        <v>46057.147511574076</v>
      </c>
      <c r="B267">
        <v>384177441</v>
      </c>
      <c r="C267" t="s">
        <v>21</v>
      </c>
      <c r="D267" t="s">
        <v>15</v>
      </c>
      <c r="E267" s="2">
        <v>3500</v>
      </c>
      <c r="F267" s="2">
        <v>3500</v>
      </c>
      <c r="G267" s="2">
        <v>2450</v>
      </c>
      <c r="I267" t="s">
        <v>22</v>
      </c>
      <c r="J267" t="s">
        <v>23</v>
      </c>
      <c r="K267" t="s">
        <v>18</v>
      </c>
      <c r="L267" t="str">
        <f>T("9791175309821")</f>
        <v>9791175309821</v>
      </c>
      <c r="M267" t="str">
        <f t="shared" si="6"/>
        <v/>
      </c>
      <c r="N267">
        <v>958592</v>
      </c>
    </row>
    <row r="268" spans="1:14" x14ac:dyDescent="0.3">
      <c r="A268" s="1">
        <v>46057.147511574076</v>
      </c>
      <c r="B268">
        <v>384177498</v>
      </c>
      <c r="C268" t="s">
        <v>108</v>
      </c>
      <c r="D268" t="s">
        <v>15</v>
      </c>
      <c r="E268" s="2">
        <v>3500</v>
      </c>
      <c r="F268" s="2">
        <v>3500</v>
      </c>
      <c r="G268" s="2">
        <v>2450</v>
      </c>
      <c r="I268" t="s">
        <v>22</v>
      </c>
      <c r="J268" t="s">
        <v>23</v>
      </c>
      <c r="K268" t="s">
        <v>18</v>
      </c>
      <c r="L268" t="str">
        <f>T("9791175309791")</f>
        <v>9791175309791</v>
      </c>
      <c r="M268" t="str">
        <f t="shared" si="6"/>
        <v/>
      </c>
      <c r="N268">
        <v>958595</v>
      </c>
    </row>
    <row r="269" spans="1:14" x14ac:dyDescent="0.3">
      <c r="A269" s="1">
        <v>46057.147511574076</v>
      </c>
      <c r="B269">
        <v>384177514</v>
      </c>
      <c r="C269" t="s">
        <v>109</v>
      </c>
      <c r="D269" t="s">
        <v>15</v>
      </c>
      <c r="E269" s="2">
        <v>3500</v>
      </c>
      <c r="F269" s="2">
        <v>3500</v>
      </c>
      <c r="G269" s="2">
        <v>2450</v>
      </c>
      <c r="I269" t="s">
        <v>22</v>
      </c>
      <c r="J269" t="s">
        <v>23</v>
      </c>
      <c r="K269" t="s">
        <v>18</v>
      </c>
      <c r="L269" t="str">
        <f>T("9791175309807")</f>
        <v>9791175309807</v>
      </c>
      <c r="M269" t="str">
        <f t="shared" si="6"/>
        <v/>
      </c>
      <c r="N269">
        <v>958594</v>
      </c>
    </row>
    <row r="270" spans="1:14" x14ac:dyDescent="0.3">
      <c r="A270" s="1">
        <v>46057.26902777778</v>
      </c>
      <c r="B270">
        <v>385347754</v>
      </c>
      <c r="C270" t="s">
        <v>97</v>
      </c>
      <c r="D270" t="s">
        <v>15</v>
      </c>
      <c r="E270" s="2">
        <v>3200</v>
      </c>
      <c r="F270" s="2">
        <v>2880</v>
      </c>
      <c r="G270" s="2">
        <v>2016</v>
      </c>
      <c r="I270" t="s">
        <v>90</v>
      </c>
      <c r="J270" t="s">
        <v>23</v>
      </c>
      <c r="K270" t="s">
        <v>18</v>
      </c>
      <c r="L270" t="str">
        <f>T("9791175308282")</f>
        <v>9791175308282</v>
      </c>
      <c r="M270" t="str">
        <f t="shared" si="6"/>
        <v/>
      </c>
      <c r="N270">
        <v>957886</v>
      </c>
    </row>
    <row r="271" spans="1:14" x14ac:dyDescent="0.3">
      <c r="A271" s="1">
        <v>46057.290555555555</v>
      </c>
      <c r="B271">
        <v>381924147</v>
      </c>
      <c r="C271" t="s">
        <v>188</v>
      </c>
      <c r="D271" t="s">
        <v>15</v>
      </c>
      <c r="E271" s="2">
        <v>3400</v>
      </c>
      <c r="F271" s="2">
        <v>3400</v>
      </c>
      <c r="G271" s="2">
        <v>2380</v>
      </c>
      <c r="I271" t="s">
        <v>189</v>
      </c>
      <c r="J271" t="s">
        <v>70</v>
      </c>
      <c r="K271" t="s">
        <v>18</v>
      </c>
      <c r="L271" t="str">
        <f>T("9791175307629")</f>
        <v>9791175307629</v>
      </c>
      <c r="M271" t="str">
        <f t="shared" si="6"/>
        <v/>
      </c>
      <c r="N271">
        <v>957340</v>
      </c>
    </row>
    <row r="272" spans="1:14" x14ac:dyDescent="0.3">
      <c r="A272" s="1">
        <v>46057.356006944443</v>
      </c>
      <c r="B272">
        <v>385347659</v>
      </c>
      <c r="C272" t="s">
        <v>86</v>
      </c>
      <c r="D272" t="s">
        <v>15</v>
      </c>
      <c r="E272" s="2">
        <v>1000</v>
      </c>
      <c r="F272">
        <v>900</v>
      </c>
      <c r="G272">
        <v>630</v>
      </c>
      <c r="I272" t="s">
        <v>87</v>
      </c>
      <c r="J272" t="s">
        <v>23</v>
      </c>
      <c r="K272" t="s">
        <v>18</v>
      </c>
      <c r="L272" t="str">
        <f>T("9791175308510")</f>
        <v>9791175308510</v>
      </c>
      <c r="M272" t="str">
        <f t="shared" si="6"/>
        <v/>
      </c>
      <c r="N272">
        <v>957881</v>
      </c>
    </row>
    <row r="273" spans="1:14" x14ac:dyDescent="0.3">
      <c r="A273" s="1">
        <v>46057.407187500001</v>
      </c>
      <c r="B273">
        <v>366386880</v>
      </c>
      <c r="C273" t="s">
        <v>190</v>
      </c>
      <c r="D273" t="s">
        <v>15</v>
      </c>
      <c r="E273" s="2">
        <v>1800</v>
      </c>
      <c r="F273" s="2">
        <v>1800</v>
      </c>
      <c r="G273" s="2">
        <v>1260</v>
      </c>
      <c r="I273" t="s">
        <v>32</v>
      </c>
      <c r="J273" t="s">
        <v>23</v>
      </c>
      <c r="K273" t="s">
        <v>18</v>
      </c>
      <c r="L273" t="str">
        <f>T("9791173786648")</f>
        <v>9791173786648</v>
      </c>
      <c r="M273" t="str">
        <f t="shared" si="6"/>
        <v/>
      </c>
      <c r="N273">
        <v>950837</v>
      </c>
    </row>
    <row r="274" spans="1:14" x14ac:dyDescent="0.3">
      <c r="A274" s="1">
        <v>46057.434513888889</v>
      </c>
      <c r="B274">
        <v>384177514</v>
      </c>
      <c r="C274" t="s">
        <v>109</v>
      </c>
      <c r="D274" t="s">
        <v>15</v>
      </c>
      <c r="E274" s="2">
        <v>3500</v>
      </c>
      <c r="F274" s="2">
        <v>3500</v>
      </c>
      <c r="G274" s="2">
        <v>2450</v>
      </c>
      <c r="I274" t="s">
        <v>22</v>
      </c>
      <c r="J274" t="s">
        <v>23</v>
      </c>
      <c r="K274" t="s">
        <v>18</v>
      </c>
      <c r="L274" t="str">
        <f>T("9791175309807")</f>
        <v>9791175309807</v>
      </c>
      <c r="M274" t="str">
        <f t="shared" si="6"/>
        <v/>
      </c>
      <c r="N274">
        <v>958594</v>
      </c>
    </row>
    <row r="275" spans="1:14" x14ac:dyDescent="0.3">
      <c r="A275" s="1">
        <v>46057.514305555553</v>
      </c>
      <c r="B275">
        <v>366386880</v>
      </c>
      <c r="C275" t="s">
        <v>190</v>
      </c>
      <c r="D275" t="s">
        <v>15</v>
      </c>
      <c r="E275" s="2">
        <v>1800</v>
      </c>
      <c r="F275" s="2">
        <v>1800</v>
      </c>
      <c r="G275" s="2">
        <v>1260</v>
      </c>
      <c r="I275" t="s">
        <v>32</v>
      </c>
      <c r="J275" t="s">
        <v>23</v>
      </c>
      <c r="K275" t="s">
        <v>18</v>
      </c>
      <c r="L275" t="str">
        <f>T("9791173786648")</f>
        <v>9791173786648</v>
      </c>
      <c r="M275" t="str">
        <f t="shared" si="6"/>
        <v/>
      </c>
      <c r="N275">
        <v>950837</v>
      </c>
    </row>
    <row r="276" spans="1:14" x14ac:dyDescent="0.3">
      <c r="A276" s="1">
        <v>46057.514305555553</v>
      </c>
      <c r="B276">
        <v>346154245</v>
      </c>
      <c r="C276" t="s">
        <v>45</v>
      </c>
      <c r="D276" t="s">
        <v>15</v>
      </c>
      <c r="E276" s="2">
        <v>3300</v>
      </c>
      <c r="F276" s="2">
        <v>3300</v>
      </c>
      <c r="G276" s="2">
        <v>2310</v>
      </c>
      <c r="I276" t="s">
        <v>32</v>
      </c>
      <c r="J276" t="s">
        <v>23</v>
      </c>
      <c r="K276" t="s">
        <v>18</v>
      </c>
      <c r="L276" t="str">
        <f>T("9791136940728")</f>
        <v>9791136940728</v>
      </c>
      <c r="M276" t="str">
        <f t="shared" si="6"/>
        <v/>
      </c>
      <c r="N276">
        <v>928441</v>
      </c>
    </row>
    <row r="277" spans="1:14" x14ac:dyDescent="0.3">
      <c r="A277" s="1">
        <v>46057.514305555553</v>
      </c>
      <c r="B277">
        <v>346154276</v>
      </c>
      <c r="C277" t="s">
        <v>46</v>
      </c>
      <c r="D277" t="s">
        <v>15</v>
      </c>
      <c r="E277" s="2">
        <v>3300</v>
      </c>
      <c r="F277" s="2">
        <v>3300</v>
      </c>
      <c r="G277" s="2">
        <v>2310</v>
      </c>
      <c r="I277" t="s">
        <v>32</v>
      </c>
      <c r="J277" t="s">
        <v>23</v>
      </c>
      <c r="K277" t="s">
        <v>18</v>
      </c>
      <c r="L277" t="str">
        <f>T("9791136940704")</f>
        <v>9791136940704</v>
      </c>
      <c r="M277" t="str">
        <f t="shared" si="6"/>
        <v/>
      </c>
      <c r="N277">
        <v>928442</v>
      </c>
    </row>
    <row r="278" spans="1:14" x14ac:dyDescent="0.3">
      <c r="A278" s="1">
        <v>46057.514305555553</v>
      </c>
      <c r="B278">
        <v>346154285</v>
      </c>
      <c r="C278" t="s">
        <v>191</v>
      </c>
      <c r="D278" t="s">
        <v>15</v>
      </c>
      <c r="E278" s="2">
        <v>3300</v>
      </c>
      <c r="F278" s="2">
        <v>3300</v>
      </c>
      <c r="G278" s="2">
        <v>2310</v>
      </c>
      <c r="I278" t="s">
        <v>32</v>
      </c>
      <c r="J278" t="s">
        <v>23</v>
      </c>
      <c r="K278" t="s">
        <v>18</v>
      </c>
      <c r="L278" t="str">
        <f>T("9791136927248")</f>
        <v>9791136927248</v>
      </c>
      <c r="M278" t="str">
        <f t="shared" si="6"/>
        <v/>
      </c>
      <c r="N278">
        <v>928445</v>
      </c>
    </row>
    <row r="279" spans="1:14" x14ac:dyDescent="0.3">
      <c r="A279" s="1">
        <v>46057.514305555553</v>
      </c>
      <c r="B279">
        <v>346154719</v>
      </c>
      <c r="C279" t="s">
        <v>44</v>
      </c>
      <c r="D279" t="s">
        <v>15</v>
      </c>
      <c r="E279" s="2">
        <v>3300</v>
      </c>
      <c r="F279" s="2">
        <v>3300</v>
      </c>
      <c r="G279" s="2">
        <v>2310</v>
      </c>
      <c r="I279" t="s">
        <v>32</v>
      </c>
      <c r="J279" t="s">
        <v>23</v>
      </c>
      <c r="K279" t="s">
        <v>18</v>
      </c>
      <c r="L279" t="str">
        <f>T("9791136927675")</f>
        <v>9791136927675</v>
      </c>
      <c r="M279" t="str">
        <f t="shared" si="6"/>
        <v/>
      </c>
      <c r="N279">
        <v>928443</v>
      </c>
    </row>
    <row r="280" spans="1:14" x14ac:dyDescent="0.3">
      <c r="A280" s="1">
        <v>46057.514305555553</v>
      </c>
      <c r="B280">
        <v>346154638</v>
      </c>
      <c r="C280" t="s">
        <v>43</v>
      </c>
      <c r="D280" t="s">
        <v>15</v>
      </c>
      <c r="E280" s="2">
        <v>3300</v>
      </c>
      <c r="F280" s="2">
        <v>3300</v>
      </c>
      <c r="G280" s="2">
        <v>2310</v>
      </c>
      <c r="I280" t="s">
        <v>32</v>
      </c>
      <c r="J280" t="s">
        <v>23</v>
      </c>
      <c r="K280" t="s">
        <v>18</v>
      </c>
      <c r="L280" t="str">
        <f>T("9791136927255")</f>
        <v>9791136927255</v>
      </c>
      <c r="M280" t="str">
        <f t="shared" si="6"/>
        <v/>
      </c>
      <c r="N280">
        <v>928444</v>
      </c>
    </row>
    <row r="281" spans="1:14" x14ac:dyDescent="0.3">
      <c r="A281" s="1">
        <v>46057.52039351852</v>
      </c>
      <c r="B281">
        <v>381539747</v>
      </c>
      <c r="C281" t="s">
        <v>192</v>
      </c>
      <c r="D281" t="s">
        <v>15</v>
      </c>
      <c r="E281">
        <v>0</v>
      </c>
      <c r="F281">
        <v>0</v>
      </c>
      <c r="G281">
        <v>0</v>
      </c>
      <c r="I281" t="s">
        <v>193</v>
      </c>
      <c r="J281" t="s">
        <v>59</v>
      </c>
      <c r="K281" t="s">
        <v>18</v>
      </c>
      <c r="L281" t="str">
        <f>T("9791172921613")</f>
        <v>9791172921613</v>
      </c>
      <c r="M281" t="str">
        <f t="shared" si="6"/>
        <v/>
      </c>
      <c r="N281">
        <v>929943</v>
      </c>
    </row>
    <row r="282" spans="1:14" x14ac:dyDescent="0.3">
      <c r="A282" s="1">
        <v>46057.562662037039</v>
      </c>
      <c r="B282">
        <v>385348415</v>
      </c>
      <c r="C282" t="s">
        <v>88</v>
      </c>
      <c r="D282" t="s">
        <v>89</v>
      </c>
      <c r="E282" s="2">
        <v>8640</v>
      </c>
      <c r="F282" s="2">
        <v>8640</v>
      </c>
      <c r="G282" s="2">
        <v>6048</v>
      </c>
      <c r="I282" t="s">
        <v>90</v>
      </c>
      <c r="J282" t="s">
        <v>23</v>
      </c>
      <c r="K282" t="s">
        <v>18</v>
      </c>
      <c r="L282" t="str">
        <f>T("9791175308350")</f>
        <v>9791175308350</v>
      </c>
      <c r="M282" t="str">
        <f t="shared" si="6"/>
        <v/>
      </c>
    </row>
    <row r="283" spans="1:14" x14ac:dyDescent="0.3">
      <c r="A283" s="1">
        <v>46057.647187499999</v>
      </c>
      <c r="B283">
        <v>361759209</v>
      </c>
      <c r="C283" t="s">
        <v>194</v>
      </c>
      <c r="D283" t="s">
        <v>15</v>
      </c>
      <c r="E283" s="2">
        <v>3200</v>
      </c>
      <c r="F283" s="2">
        <v>3200</v>
      </c>
      <c r="G283" s="2">
        <v>2240</v>
      </c>
      <c r="I283" t="s">
        <v>51</v>
      </c>
      <c r="J283" t="s">
        <v>52</v>
      </c>
      <c r="K283" t="s">
        <v>18</v>
      </c>
      <c r="L283" t="str">
        <f>T("9791173782954")</f>
        <v>9791173782954</v>
      </c>
      <c r="M283" t="str">
        <f t="shared" si="6"/>
        <v/>
      </c>
      <c r="N283">
        <v>946964</v>
      </c>
    </row>
    <row r="284" spans="1:14" x14ac:dyDescent="0.3">
      <c r="A284" s="1">
        <v>46057.69358796296</v>
      </c>
      <c r="B284">
        <v>385348415</v>
      </c>
      <c r="C284" t="s">
        <v>88</v>
      </c>
      <c r="D284" t="s">
        <v>89</v>
      </c>
      <c r="E284" s="2">
        <v>8640</v>
      </c>
      <c r="F284" s="2">
        <v>8640</v>
      </c>
      <c r="G284" s="2">
        <v>6048</v>
      </c>
      <c r="I284" t="s">
        <v>90</v>
      </c>
      <c r="J284" t="s">
        <v>23</v>
      </c>
      <c r="K284" t="s">
        <v>18</v>
      </c>
      <c r="L284" t="str">
        <f>T("9791175308350")</f>
        <v>9791175308350</v>
      </c>
      <c r="M284" t="str">
        <f t="shared" si="6"/>
        <v/>
      </c>
    </row>
    <row r="285" spans="1:14" x14ac:dyDescent="0.3">
      <c r="A285" s="1">
        <v>46057.702164351853</v>
      </c>
      <c r="B285">
        <v>384177498</v>
      </c>
      <c r="C285" t="s">
        <v>108</v>
      </c>
      <c r="D285" t="s">
        <v>15</v>
      </c>
      <c r="E285" s="2">
        <v>3500</v>
      </c>
      <c r="F285" s="2">
        <v>3500</v>
      </c>
      <c r="G285" s="2">
        <v>2450</v>
      </c>
      <c r="I285" t="s">
        <v>22</v>
      </c>
      <c r="J285" t="s">
        <v>23</v>
      </c>
      <c r="K285" t="s">
        <v>18</v>
      </c>
      <c r="L285" t="str">
        <f>T("9791175309791")</f>
        <v>9791175309791</v>
      </c>
      <c r="M285" t="str">
        <f t="shared" si="6"/>
        <v/>
      </c>
      <c r="N285">
        <v>958595</v>
      </c>
    </row>
    <row r="286" spans="1:14" x14ac:dyDescent="0.3">
      <c r="A286" s="1">
        <v>46057.718946759262</v>
      </c>
      <c r="B286">
        <v>385348415</v>
      </c>
      <c r="C286" t="s">
        <v>88</v>
      </c>
      <c r="D286" t="s">
        <v>89</v>
      </c>
      <c r="E286" s="2">
        <v>8640</v>
      </c>
      <c r="F286" s="2">
        <v>8640</v>
      </c>
      <c r="G286" s="2">
        <v>6048</v>
      </c>
      <c r="I286" t="s">
        <v>90</v>
      </c>
      <c r="J286" t="s">
        <v>23</v>
      </c>
      <c r="K286" t="s">
        <v>18</v>
      </c>
      <c r="L286" t="str">
        <f>T("9791175308350")</f>
        <v>9791175308350</v>
      </c>
      <c r="M286" t="str">
        <f t="shared" si="6"/>
        <v/>
      </c>
    </row>
    <row r="287" spans="1:14" x14ac:dyDescent="0.3">
      <c r="A287" s="1">
        <v>46057.725717592592</v>
      </c>
      <c r="B287">
        <v>385348415</v>
      </c>
      <c r="C287" t="s">
        <v>88</v>
      </c>
      <c r="D287" t="s">
        <v>89</v>
      </c>
      <c r="E287" s="2">
        <v>8640</v>
      </c>
      <c r="F287" s="2">
        <v>8640</v>
      </c>
      <c r="G287" s="2">
        <v>6048</v>
      </c>
      <c r="I287" t="s">
        <v>90</v>
      </c>
      <c r="J287" t="s">
        <v>23</v>
      </c>
      <c r="K287" t="s">
        <v>18</v>
      </c>
      <c r="L287" t="str">
        <f>T("9791175308350")</f>
        <v>9791175308350</v>
      </c>
      <c r="M287" t="str">
        <f t="shared" si="6"/>
        <v/>
      </c>
    </row>
    <row r="288" spans="1:14" x14ac:dyDescent="0.3">
      <c r="A288" s="1">
        <v>46057.799710648149</v>
      </c>
      <c r="B288">
        <v>385347659</v>
      </c>
      <c r="C288" t="s">
        <v>86</v>
      </c>
      <c r="D288" t="s">
        <v>15</v>
      </c>
      <c r="E288" s="2">
        <v>1000</v>
      </c>
      <c r="F288">
        <v>900</v>
      </c>
      <c r="G288">
        <v>630</v>
      </c>
      <c r="I288" t="s">
        <v>87</v>
      </c>
      <c r="J288" t="s">
        <v>23</v>
      </c>
      <c r="K288" t="s">
        <v>18</v>
      </c>
      <c r="L288" t="str">
        <f>T("9791175308510")</f>
        <v>9791175308510</v>
      </c>
      <c r="M288" t="str">
        <f t="shared" si="6"/>
        <v/>
      </c>
      <c r="N288">
        <v>957881</v>
      </c>
    </row>
    <row r="289" spans="1:14" x14ac:dyDescent="0.3">
      <c r="A289" s="1">
        <v>46057.816481481481</v>
      </c>
      <c r="B289">
        <v>380073167</v>
      </c>
      <c r="C289" t="s">
        <v>195</v>
      </c>
      <c r="D289" t="s">
        <v>15</v>
      </c>
      <c r="E289" s="2">
        <v>1000</v>
      </c>
      <c r="F289" s="2">
        <v>1000</v>
      </c>
      <c r="G289">
        <v>700</v>
      </c>
      <c r="I289" t="s">
        <v>196</v>
      </c>
      <c r="J289" t="s">
        <v>70</v>
      </c>
      <c r="K289" t="s">
        <v>18</v>
      </c>
      <c r="L289" t="str">
        <f>T("9791175306981")</f>
        <v>9791175306981</v>
      </c>
      <c r="M289" t="str">
        <f t="shared" si="6"/>
        <v/>
      </c>
      <c r="N289">
        <v>956800</v>
      </c>
    </row>
    <row r="290" spans="1:14" x14ac:dyDescent="0.3">
      <c r="A290" s="1">
        <v>46057.826770833337</v>
      </c>
      <c r="B290">
        <v>277935152</v>
      </c>
      <c r="C290" t="s">
        <v>197</v>
      </c>
      <c r="D290" t="s">
        <v>15</v>
      </c>
      <c r="E290" s="2">
        <v>4100</v>
      </c>
      <c r="F290" s="2">
        <v>4100</v>
      </c>
      <c r="G290" s="2">
        <v>2870</v>
      </c>
      <c r="I290" t="s">
        <v>198</v>
      </c>
      <c r="J290" t="s">
        <v>49</v>
      </c>
      <c r="K290" t="s">
        <v>18</v>
      </c>
      <c r="L290" t="str">
        <f>T("9791136917881")</f>
        <v>9791136917881</v>
      </c>
      <c r="M290" t="str">
        <f t="shared" si="6"/>
        <v/>
      </c>
      <c r="N290">
        <v>856972</v>
      </c>
    </row>
    <row r="291" spans="1:14" x14ac:dyDescent="0.3">
      <c r="A291" s="1">
        <v>46057.830636574072</v>
      </c>
      <c r="B291">
        <v>385347659</v>
      </c>
      <c r="C291" t="s">
        <v>86</v>
      </c>
      <c r="D291" t="s">
        <v>15</v>
      </c>
      <c r="E291" s="2">
        <v>1000</v>
      </c>
      <c r="F291">
        <v>900</v>
      </c>
      <c r="G291">
        <v>630</v>
      </c>
      <c r="I291" t="s">
        <v>87</v>
      </c>
      <c r="J291" t="s">
        <v>23</v>
      </c>
      <c r="K291" t="s">
        <v>18</v>
      </c>
      <c r="L291" t="str">
        <f>T("9791175308510")</f>
        <v>9791175308510</v>
      </c>
      <c r="M291" t="str">
        <f t="shared" si="6"/>
        <v/>
      </c>
      <c r="N291">
        <v>957881</v>
      </c>
    </row>
    <row r="292" spans="1:14" x14ac:dyDescent="0.3">
      <c r="A292" s="1">
        <v>46057.839247685188</v>
      </c>
      <c r="B292">
        <v>385347659</v>
      </c>
      <c r="C292" t="s">
        <v>86</v>
      </c>
      <c r="D292" t="s">
        <v>15</v>
      </c>
      <c r="E292" s="2">
        <v>1000</v>
      </c>
      <c r="F292">
        <v>900</v>
      </c>
      <c r="G292">
        <v>630</v>
      </c>
      <c r="I292" t="s">
        <v>87</v>
      </c>
      <c r="J292" t="s">
        <v>23</v>
      </c>
      <c r="K292" t="s">
        <v>18</v>
      </c>
      <c r="L292" t="str">
        <f>T("9791175308510")</f>
        <v>9791175308510</v>
      </c>
      <c r="M292" t="str">
        <f t="shared" si="6"/>
        <v/>
      </c>
      <c r="N292">
        <v>957881</v>
      </c>
    </row>
    <row r="293" spans="1:14" x14ac:dyDescent="0.3">
      <c r="A293" s="1">
        <v>46057.850659722222</v>
      </c>
      <c r="B293">
        <v>385348415</v>
      </c>
      <c r="C293" t="s">
        <v>88</v>
      </c>
      <c r="D293" t="s">
        <v>89</v>
      </c>
      <c r="E293" s="2">
        <v>8640</v>
      </c>
      <c r="F293" s="2">
        <v>8640</v>
      </c>
      <c r="G293" s="2">
        <v>6048</v>
      </c>
      <c r="I293" t="s">
        <v>90</v>
      </c>
      <c r="J293" t="s">
        <v>23</v>
      </c>
      <c r="K293" t="s">
        <v>18</v>
      </c>
      <c r="L293" t="str">
        <f>T("9791175308350")</f>
        <v>9791175308350</v>
      </c>
      <c r="M293" t="str">
        <f t="shared" si="6"/>
        <v/>
      </c>
    </row>
    <row r="294" spans="1:14" x14ac:dyDescent="0.3">
      <c r="A294" s="1">
        <v>46057.862060185187</v>
      </c>
      <c r="B294">
        <v>384177437</v>
      </c>
      <c r="C294" t="s">
        <v>111</v>
      </c>
      <c r="D294" t="s">
        <v>15</v>
      </c>
      <c r="E294" s="2">
        <v>3500</v>
      </c>
      <c r="F294" s="2">
        <v>3500</v>
      </c>
      <c r="G294" s="2">
        <v>2450</v>
      </c>
      <c r="I294" t="s">
        <v>22</v>
      </c>
      <c r="J294" t="s">
        <v>23</v>
      </c>
      <c r="K294" t="s">
        <v>18</v>
      </c>
      <c r="L294" t="str">
        <f>T("9791175309814")</f>
        <v>9791175309814</v>
      </c>
      <c r="M294" t="str">
        <f t="shared" si="6"/>
        <v/>
      </c>
      <c r="N294">
        <v>958593</v>
      </c>
    </row>
    <row r="295" spans="1:14" x14ac:dyDescent="0.3">
      <c r="A295" s="1">
        <v>46057.864953703705</v>
      </c>
      <c r="B295">
        <v>342333155</v>
      </c>
      <c r="C295" t="s">
        <v>182</v>
      </c>
      <c r="D295" t="s">
        <v>15</v>
      </c>
      <c r="E295" s="2">
        <v>1500</v>
      </c>
      <c r="F295" s="2">
        <v>1500</v>
      </c>
      <c r="G295" s="2">
        <v>1050</v>
      </c>
      <c r="I295" t="s">
        <v>102</v>
      </c>
      <c r="J295" t="s">
        <v>23</v>
      </c>
      <c r="K295" t="s">
        <v>18</v>
      </c>
      <c r="L295" t="str">
        <f>T("9791136979773")</f>
        <v>9791136979773</v>
      </c>
      <c r="M295" t="str">
        <f t="shared" si="6"/>
        <v/>
      </c>
      <c r="N295">
        <v>926741</v>
      </c>
    </row>
    <row r="296" spans="1:14" x14ac:dyDescent="0.3">
      <c r="A296" s="1">
        <v>46057.866620370369</v>
      </c>
      <c r="B296">
        <v>384177514</v>
      </c>
      <c r="C296" t="s">
        <v>109</v>
      </c>
      <c r="D296" t="s">
        <v>15</v>
      </c>
      <c r="E296" s="2">
        <v>3500</v>
      </c>
      <c r="F296" s="2">
        <v>3500</v>
      </c>
      <c r="G296" s="2">
        <v>2450</v>
      </c>
      <c r="I296" t="s">
        <v>22</v>
      </c>
      <c r="J296" t="s">
        <v>23</v>
      </c>
      <c r="K296" t="s">
        <v>18</v>
      </c>
      <c r="L296" t="str">
        <f>T("9791175309807")</f>
        <v>9791175309807</v>
      </c>
      <c r="M296" t="str">
        <f t="shared" si="6"/>
        <v/>
      </c>
      <c r="N296">
        <v>958594</v>
      </c>
    </row>
    <row r="297" spans="1:14" x14ac:dyDescent="0.3">
      <c r="A297" s="1">
        <v>46057.87127314815</v>
      </c>
      <c r="B297">
        <v>385348415</v>
      </c>
      <c r="C297" t="s">
        <v>88</v>
      </c>
      <c r="D297" t="s">
        <v>89</v>
      </c>
      <c r="E297" s="2">
        <v>8640</v>
      </c>
      <c r="F297" s="2">
        <v>8640</v>
      </c>
      <c r="G297" s="2">
        <v>6048</v>
      </c>
      <c r="I297" t="s">
        <v>90</v>
      </c>
      <c r="J297" t="s">
        <v>23</v>
      </c>
      <c r="K297" t="s">
        <v>18</v>
      </c>
      <c r="L297" t="str">
        <f>T("9791175308350")</f>
        <v>9791175308350</v>
      </c>
      <c r="M297" t="str">
        <f t="shared" si="6"/>
        <v/>
      </c>
    </row>
    <row r="298" spans="1:14" x14ac:dyDescent="0.3">
      <c r="A298" s="1">
        <v>46057.88212962963</v>
      </c>
      <c r="B298">
        <v>385348415</v>
      </c>
      <c r="C298" t="s">
        <v>88</v>
      </c>
      <c r="D298" t="s">
        <v>89</v>
      </c>
      <c r="E298" s="2">
        <v>8640</v>
      </c>
      <c r="F298" s="2">
        <v>8640</v>
      </c>
      <c r="G298" s="2">
        <v>6048</v>
      </c>
      <c r="I298" t="s">
        <v>90</v>
      </c>
      <c r="J298" t="s">
        <v>23</v>
      </c>
      <c r="K298" t="s">
        <v>18</v>
      </c>
      <c r="L298" t="str">
        <f>T("9791175308350")</f>
        <v>9791175308350</v>
      </c>
      <c r="M298" t="str">
        <f t="shared" si="6"/>
        <v/>
      </c>
    </row>
    <row r="299" spans="1:14" x14ac:dyDescent="0.3">
      <c r="A299" s="1">
        <v>46057.885208333333</v>
      </c>
      <c r="B299">
        <v>385348415</v>
      </c>
      <c r="C299" t="s">
        <v>88</v>
      </c>
      <c r="D299" t="s">
        <v>89</v>
      </c>
      <c r="E299" s="2">
        <v>8640</v>
      </c>
      <c r="F299" s="2">
        <v>8640</v>
      </c>
      <c r="G299" s="2">
        <v>6048</v>
      </c>
      <c r="I299" t="s">
        <v>90</v>
      </c>
      <c r="J299" t="s">
        <v>23</v>
      </c>
      <c r="K299" t="s">
        <v>18</v>
      </c>
      <c r="L299" t="str">
        <f>T("9791175308350")</f>
        <v>9791175308350</v>
      </c>
      <c r="M299" t="str">
        <f t="shared" si="6"/>
        <v/>
      </c>
    </row>
    <row r="300" spans="1:14" x14ac:dyDescent="0.3">
      <c r="A300" s="1">
        <v>46057.887812499997</v>
      </c>
      <c r="B300">
        <v>385348414</v>
      </c>
      <c r="C300" t="s">
        <v>114</v>
      </c>
      <c r="D300" t="s">
        <v>15</v>
      </c>
      <c r="E300" s="2">
        <v>13000</v>
      </c>
      <c r="F300" s="2">
        <v>11700</v>
      </c>
      <c r="G300" s="2">
        <v>8190</v>
      </c>
      <c r="I300" t="s">
        <v>87</v>
      </c>
      <c r="J300" t="s">
        <v>23</v>
      </c>
      <c r="K300" t="s">
        <v>18</v>
      </c>
      <c r="L300" t="str">
        <f>T("9791175308503")</f>
        <v>9791175308503</v>
      </c>
      <c r="M300" t="str">
        <f t="shared" si="6"/>
        <v/>
      </c>
    </row>
    <row r="301" spans="1:14" x14ac:dyDescent="0.3">
      <c r="A301" s="1">
        <v>46057.909768518519</v>
      </c>
      <c r="B301">
        <v>383254275</v>
      </c>
      <c r="C301" t="s">
        <v>199</v>
      </c>
      <c r="D301" t="s">
        <v>15</v>
      </c>
      <c r="E301" s="2">
        <v>3300</v>
      </c>
      <c r="F301" s="2">
        <v>3300</v>
      </c>
      <c r="G301" s="2">
        <v>2310</v>
      </c>
      <c r="I301" t="s">
        <v>200</v>
      </c>
      <c r="J301" t="s">
        <v>49</v>
      </c>
      <c r="K301" t="s">
        <v>18</v>
      </c>
      <c r="L301" t="str">
        <f>T("9791175306653")</f>
        <v>9791175306653</v>
      </c>
      <c r="M301" t="str">
        <f t="shared" si="6"/>
        <v/>
      </c>
      <c r="N301">
        <v>957107</v>
      </c>
    </row>
    <row r="302" spans="1:14" x14ac:dyDescent="0.3">
      <c r="A302" s="1">
        <v>46057.921655092592</v>
      </c>
      <c r="B302">
        <v>366170260</v>
      </c>
      <c r="C302" t="s">
        <v>201</v>
      </c>
      <c r="D302" t="s">
        <v>15</v>
      </c>
      <c r="E302" s="2">
        <v>13200</v>
      </c>
      <c r="F302" s="2">
        <v>13200</v>
      </c>
      <c r="G302" s="2">
        <v>9240</v>
      </c>
      <c r="I302" t="s">
        <v>34</v>
      </c>
      <c r="J302" t="s">
        <v>23</v>
      </c>
      <c r="K302" t="s">
        <v>18</v>
      </c>
      <c r="L302" t="str">
        <f>T("9791173784552")</f>
        <v>9791173784552</v>
      </c>
      <c r="M302" t="str">
        <f t="shared" si="6"/>
        <v/>
      </c>
    </row>
    <row r="303" spans="1:14" x14ac:dyDescent="0.3">
      <c r="A303" s="1">
        <v>46057.921655092592</v>
      </c>
      <c r="B303">
        <v>378219287</v>
      </c>
      <c r="C303" t="s">
        <v>202</v>
      </c>
      <c r="D303" t="s">
        <v>15</v>
      </c>
      <c r="E303" s="2">
        <v>10500</v>
      </c>
      <c r="F303" s="2">
        <v>10500</v>
      </c>
      <c r="G303" s="2">
        <v>7350</v>
      </c>
      <c r="I303" t="s">
        <v>203</v>
      </c>
      <c r="J303" t="s">
        <v>23</v>
      </c>
      <c r="K303" t="s">
        <v>18</v>
      </c>
      <c r="L303" t="str">
        <f>T("9791175302747")</f>
        <v>9791175302747</v>
      </c>
      <c r="M303" t="str">
        <f t="shared" si="6"/>
        <v/>
      </c>
    </row>
    <row r="304" spans="1:14" x14ac:dyDescent="0.3">
      <c r="A304" s="1">
        <v>46057.936469907407</v>
      </c>
      <c r="B304">
        <v>385348415</v>
      </c>
      <c r="C304" t="s">
        <v>88</v>
      </c>
      <c r="D304" t="s">
        <v>89</v>
      </c>
      <c r="E304" s="2">
        <v>8640</v>
      </c>
      <c r="F304" s="2">
        <v>8640</v>
      </c>
      <c r="G304" s="2">
        <v>6048</v>
      </c>
      <c r="I304" t="s">
        <v>90</v>
      </c>
      <c r="J304" t="s">
        <v>23</v>
      </c>
      <c r="K304" t="s">
        <v>18</v>
      </c>
      <c r="L304" t="str">
        <f>T("9791175308350")</f>
        <v>9791175308350</v>
      </c>
      <c r="M304" t="str">
        <f t="shared" si="6"/>
        <v/>
      </c>
    </row>
    <row r="305" spans="1:14" x14ac:dyDescent="0.3">
      <c r="A305" s="1">
        <v>46057.948472222219</v>
      </c>
      <c r="B305">
        <v>311320991</v>
      </c>
      <c r="C305" t="s">
        <v>204</v>
      </c>
      <c r="D305" t="s">
        <v>89</v>
      </c>
      <c r="E305">
        <v>810</v>
      </c>
      <c r="F305">
        <v>810</v>
      </c>
      <c r="G305">
        <v>567</v>
      </c>
      <c r="I305" t="s">
        <v>130</v>
      </c>
      <c r="J305" t="s">
        <v>59</v>
      </c>
      <c r="K305" t="s">
        <v>18</v>
      </c>
      <c r="L305" t="str">
        <f>T("9791136927934")</f>
        <v>9791136927934</v>
      </c>
      <c r="M305" t="str">
        <f t="shared" si="6"/>
        <v/>
      </c>
      <c r="N305">
        <v>889262</v>
      </c>
    </row>
    <row r="306" spans="1:14" x14ac:dyDescent="0.3">
      <c r="A306" s="1">
        <v>46057.953842592593</v>
      </c>
      <c r="B306">
        <v>361759197</v>
      </c>
      <c r="C306" t="s">
        <v>205</v>
      </c>
      <c r="D306" t="s">
        <v>15</v>
      </c>
      <c r="E306" s="2">
        <v>5000</v>
      </c>
      <c r="F306" s="2">
        <v>5000</v>
      </c>
      <c r="G306" s="2">
        <v>3500</v>
      </c>
      <c r="I306" t="s">
        <v>198</v>
      </c>
      <c r="J306" t="s">
        <v>49</v>
      </c>
      <c r="K306" t="s">
        <v>18</v>
      </c>
      <c r="L306" t="str">
        <f>T("9791173783234")</f>
        <v>9791173783234</v>
      </c>
      <c r="M306" t="str">
        <f t="shared" si="6"/>
        <v/>
      </c>
      <c r="N306">
        <v>947667</v>
      </c>
    </row>
    <row r="307" spans="1:14" x14ac:dyDescent="0.3">
      <c r="A307" s="1">
        <v>46057.960138888891</v>
      </c>
      <c r="B307">
        <v>385348415</v>
      </c>
      <c r="C307" t="s">
        <v>88</v>
      </c>
      <c r="D307" t="s">
        <v>89</v>
      </c>
      <c r="E307" s="2">
        <v>8640</v>
      </c>
      <c r="F307" s="2">
        <v>8640</v>
      </c>
      <c r="G307" s="2">
        <v>6048</v>
      </c>
      <c r="I307" t="s">
        <v>90</v>
      </c>
      <c r="J307" t="s">
        <v>23</v>
      </c>
      <c r="K307" t="s">
        <v>18</v>
      </c>
      <c r="L307" t="str">
        <f>T("9791175308350")</f>
        <v>9791175308350</v>
      </c>
      <c r="M307" t="str">
        <f t="shared" si="6"/>
        <v/>
      </c>
    </row>
    <row r="308" spans="1:14" x14ac:dyDescent="0.3">
      <c r="A308" s="1">
        <v>46057.964432870373</v>
      </c>
      <c r="B308">
        <v>385347754</v>
      </c>
      <c r="C308" t="s">
        <v>97</v>
      </c>
      <c r="D308" t="s">
        <v>15</v>
      </c>
      <c r="E308" s="2">
        <v>3200</v>
      </c>
      <c r="F308" s="2">
        <v>2880</v>
      </c>
      <c r="G308" s="2">
        <v>2016</v>
      </c>
      <c r="I308" t="s">
        <v>90</v>
      </c>
      <c r="J308" t="s">
        <v>23</v>
      </c>
      <c r="K308" t="s">
        <v>18</v>
      </c>
      <c r="L308" t="str">
        <f>T("9791175308282")</f>
        <v>9791175308282</v>
      </c>
      <c r="M308" t="str">
        <f t="shared" si="6"/>
        <v/>
      </c>
      <c r="N308">
        <v>957886</v>
      </c>
    </row>
    <row r="309" spans="1:14" x14ac:dyDescent="0.3">
      <c r="A309" s="1">
        <v>46057.96502314815</v>
      </c>
      <c r="B309">
        <v>385347659</v>
      </c>
      <c r="C309" t="s">
        <v>86</v>
      </c>
      <c r="D309" t="s">
        <v>15</v>
      </c>
      <c r="E309" s="2">
        <v>1000</v>
      </c>
      <c r="F309">
        <v>900</v>
      </c>
      <c r="G309">
        <v>630</v>
      </c>
      <c r="I309" t="s">
        <v>87</v>
      </c>
      <c r="J309" t="s">
        <v>23</v>
      </c>
      <c r="K309" t="s">
        <v>18</v>
      </c>
      <c r="L309" t="str">
        <f>T("9791175308510")</f>
        <v>9791175308510</v>
      </c>
      <c r="M309" t="str">
        <f t="shared" si="6"/>
        <v/>
      </c>
      <c r="N309">
        <v>957881</v>
      </c>
    </row>
    <row r="310" spans="1:14" x14ac:dyDescent="0.3">
      <c r="A310" s="1">
        <v>46057.96665509259</v>
      </c>
      <c r="B310">
        <v>385348415</v>
      </c>
      <c r="C310" t="s">
        <v>88</v>
      </c>
      <c r="D310" t="s">
        <v>89</v>
      </c>
      <c r="E310" s="2">
        <v>8640</v>
      </c>
      <c r="F310" s="2">
        <v>8640</v>
      </c>
      <c r="G310" s="2">
        <v>6048</v>
      </c>
      <c r="I310" t="s">
        <v>90</v>
      </c>
      <c r="J310" t="s">
        <v>23</v>
      </c>
      <c r="K310" t="s">
        <v>18</v>
      </c>
      <c r="L310" t="str">
        <f>T("9791175308350")</f>
        <v>9791175308350</v>
      </c>
      <c r="M310" t="str">
        <f t="shared" si="6"/>
        <v/>
      </c>
    </row>
    <row r="311" spans="1:14" x14ac:dyDescent="0.3">
      <c r="A311" s="1">
        <v>46057.967314814814</v>
      </c>
      <c r="B311">
        <v>385348415</v>
      </c>
      <c r="C311" t="s">
        <v>88</v>
      </c>
      <c r="D311" t="s">
        <v>89</v>
      </c>
      <c r="E311" s="2">
        <v>8640</v>
      </c>
      <c r="F311" s="2">
        <v>8640</v>
      </c>
      <c r="G311" s="2">
        <v>6048</v>
      </c>
      <c r="I311" t="s">
        <v>90</v>
      </c>
      <c r="J311" t="s">
        <v>23</v>
      </c>
      <c r="K311" t="s">
        <v>18</v>
      </c>
      <c r="L311" t="str">
        <f>T("9791175308350")</f>
        <v>9791175308350</v>
      </c>
      <c r="M311" t="str">
        <f t="shared" si="6"/>
        <v/>
      </c>
    </row>
    <row r="312" spans="1:14" x14ac:dyDescent="0.3">
      <c r="A312" s="1">
        <v>46057.974629629629</v>
      </c>
      <c r="B312">
        <v>385348415</v>
      </c>
      <c r="C312" t="s">
        <v>88</v>
      </c>
      <c r="D312" t="s">
        <v>89</v>
      </c>
      <c r="E312" s="2">
        <v>8640</v>
      </c>
      <c r="F312" s="2">
        <v>8640</v>
      </c>
      <c r="G312" s="2">
        <v>6048</v>
      </c>
      <c r="I312" t="s">
        <v>90</v>
      </c>
      <c r="J312" t="s">
        <v>23</v>
      </c>
      <c r="K312" t="s">
        <v>18</v>
      </c>
      <c r="L312" t="str">
        <f>T("9791175308350")</f>
        <v>9791175308350</v>
      </c>
      <c r="M312" t="str">
        <f t="shared" si="6"/>
        <v/>
      </c>
    </row>
    <row r="313" spans="1:14" x14ac:dyDescent="0.3">
      <c r="A313" s="1">
        <v>46057.984837962962</v>
      </c>
      <c r="B313">
        <v>385347659</v>
      </c>
      <c r="C313" t="s">
        <v>86</v>
      </c>
      <c r="D313" t="s">
        <v>15</v>
      </c>
      <c r="E313" s="2">
        <v>1000</v>
      </c>
      <c r="F313">
        <v>900</v>
      </c>
      <c r="G313">
        <v>630</v>
      </c>
      <c r="I313" t="s">
        <v>87</v>
      </c>
      <c r="J313" t="s">
        <v>23</v>
      </c>
      <c r="K313" t="s">
        <v>18</v>
      </c>
      <c r="L313" t="str">
        <f>T("9791175308510")</f>
        <v>9791175308510</v>
      </c>
      <c r="M313" t="str">
        <f t="shared" si="6"/>
        <v/>
      </c>
      <c r="N313">
        <v>957881</v>
      </c>
    </row>
    <row r="314" spans="1:14" x14ac:dyDescent="0.3">
      <c r="A314" s="1">
        <v>46057.988657407404</v>
      </c>
      <c r="B314">
        <v>385348415</v>
      </c>
      <c r="C314" t="s">
        <v>88</v>
      </c>
      <c r="D314" t="s">
        <v>89</v>
      </c>
      <c r="E314" s="2">
        <v>8640</v>
      </c>
      <c r="F314" s="2">
        <v>8640</v>
      </c>
      <c r="G314" s="2">
        <v>6048</v>
      </c>
      <c r="I314" t="s">
        <v>90</v>
      </c>
      <c r="J314" t="s">
        <v>23</v>
      </c>
      <c r="K314" t="s">
        <v>18</v>
      </c>
      <c r="L314" t="str">
        <f>T("9791175308350")</f>
        <v>9791175308350</v>
      </c>
      <c r="M314" t="str">
        <f t="shared" si="6"/>
        <v/>
      </c>
    </row>
    <row r="315" spans="1:14" x14ac:dyDescent="0.3">
      <c r="A315" s="1">
        <v>46057.989537037036</v>
      </c>
      <c r="B315">
        <v>385347754</v>
      </c>
      <c r="C315" t="s">
        <v>97</v>
      </c>
      <c r="D315" t="s">
        <v>15</v>
      </c>
      <c r="E315" s="2">
        <v>3200</v>
      </c>
      <c r="F315" s="2">
        <v>2880</v>
      </c>
      <c r="G315" s="2">
        <v>2016</v>
      </c>
      <c r="I315" t="s">
        <v>90</v>
      </c>
      <c r="J315" t="s">
        <v>23</v>
      </c>
      <c r="K315" t="s">
        <v>18</v>
      </c>
      <c r="L315" t="str">
        <f>T("9791175308282")</f>
        <v>9791175308282</v>
      </c>
      <c r="M315" t="str">
        <f t="shared" si="6"/>
        <v/>
      </c>
      <c r="N315">
        <v>957886</v>
      </c>
    </row>
    <row r="316" spans="1:14" x14ac:dyDescent="0.3">
      <c r="A316" s="1">
        <v>46057.989687499998</v>
      </c>
      <c r="B316">
        <v>385348415</v>
      </c>
      <c r="C316" t="s">
        <v>88</v>
      </c>
      <c r="D316" t="s">
        <v>89</v>
      </c>
      <c r="E316" s="2">
        <v>8640</v>
      </c>
      <c r="F316" s="2">
        <v>8640</v>
      </c>
      <c r="G316" s="2">
        <v>6048</v>
      </c>
      <c r="I316" t="s">
        <v>90</v>
      </c>
      <c r="J316" t="s">
        <v>23</v>
      </c>
      <c r="K316" t="s">
        <v>18</v>
      </c>
      <c r="L316" t="str">
        <f t="shared" ref="L316:L321" si="7">T("9791175308350")</f>
        <v>9791175308350</v>
      </c>
      <c r="M316" t="str">
        <f t="shared" si="6"/>
        <v/>
      </c>
    </row>
    <row r="317" spans="1:14" x14ac:dyDescent="0.3">
      <c r="A317" s="1">
        <v>46057.991481481484</v>
      </c>
      <c r="B317">
        <v>385348415</v>
      </c>
      <c r="C317" t="s">
        <v>88</v>
      </c>
      <c r="D317" t="s">
        <v>89</v>
      </c>
      <c r="E317" s="2">
        <v>8640</v>
      </c>
      <c r="F317" s="2">
        <v>8640</v>
      </c>
      <c r="G317" s="2">
        <v>6048</v>
      </c>
      <c r="I317" t="s">
        <v>90</v>
      </c>
      <c r="J317" t="s">
        <v>23</v>
      </c>
      <c r="K317" t="s">
        <v>18</v>
      </c>
      <c r="L317" t="str">
        <f t="shared" si="7"/>
        <v>9791175308350</v>
      </c>
      <c r="M317" t="str">
        <f t="shared" si="6"/>
        <v/>
      </c>
    </row>
    <row r="318" spans="1:14" x14ac:dyDescent="0.3">
      <c r="A318" s="1">
        <v>46057.994155092594</v>
      </c>
      <c r="B318">
        <v>385348415</v>
      </c>
      <c r="C318" t="s">
        <v>88</v>
      </c>
      <c r="D318" t="s">
        <v>89</v>
      </c>
      <c r="E318" s="2">
        <v>8640</v>
      </c>
      <c r="F318" s="2">
        <v>8640</v>
      </c>
      <c r="G318" s="2">
        <v>6048</v>
      </c>
      <c r="I318" t="s">
        <v>90</v>
      </c>
      <c r="J318" t="s">
        <v>23</v>
      </c>
      <c r="K318" t="s">
        <v>18</v>
      </c>
      <c r="L318" t="str">
        <f t="shared" si="7"/>
        <v>9791175308350</v>
      </c>
      <c r="M318" t="str">
        <f t="shared" si="6"/>
        <v/>
      </c>
    </row>
    <row r="319" spans="1:14" x14ac:dyDescent="0.3">
      <c r="A319" s="1">
        <v>46057.99763888889</v>
      </c>
      <c r="B319">
        <v>385348415</v>
      </c>
      <c r="C319" t="s">
        <v>88</v>
      </c>
      <c r="D319" t="s">
        <v>89</v>
      </c>
      <c r="E319" s="2">
        <v>8640</v>
      </c>
      <c r="F319" s="2">
        <v>8640</v>
      </c>
      <c r="G319" s="2">
        <v>6048</v>
      </c>
      <c r="I319" t="s">
        <v>90</v>
      </c>
      <c r="J319" t="s">
        <v>23</v>
      </c>
      <c r="K319" t="s">
        <v>18</v>
      </c>
      <c r="L319" t="str">
        <f t="shared" si="7"/>
        <v>9791175308350</v>
      </c>
      <c r="M319" t="str">
        <f t="shared" si="6"/>
        <v/>
      </c>
    </row>
    <row r="320" spans="1:14" x14ac:dyDescent="0.3">
      <c r="A320" s="1">
        <v>46057.997916666667</v>
      </c>
      <c r="B320">
        <v>385348415</v>
      </c>
      <c r="C320" t="s">
        <v>88</v>
      </c>
      <c r="D320" t="s">
        <v>89</v>
      </c>
      <c r="E320" s="2">
        <v>8640</v>
      </c>
      <c r="F320" s="2">
        <v>8640</v>
      </c>
      <c r="G320" s="2">
        <v>6048</v>
      </c>
      <c r="I320" t="s">
        <v>90</v>
      </c>
      <c r="J320" t="s">
        <v>23</v>
      </c>
      <c r="K320" t="s">
        <v>18</v>
      </c>
      <c r="L320" t="str">
        <f t="shared" si="7"/>
        <v>9791175308350</v>
      </c>
      <c r="M320" t="str">
        <f t="shared" si="6"/>
        <v/>
      </c>
    </row>
    <row r="321" spans="1:14" x14ac:dyDescent="0.3">
      <c r="A321" s="1">
        <v>46057.999189814815</v>
      </c>
      <c r="B321">
        <v>385348415</v>
      </c>
      <c r="C321" t="s">
        <v>88</v>
      </c>
      <c r="D321" t="s">
        <v>89</v>
      </c>
      <c r="E321" s="2">
        <v>8640</v>
      </c>
      <c r="F321" s="2">
        <v>8640</v>
      </c>
      <c r="G321" s="2">
        <v>6048</v>
      </c>
      <c r="I321" t="s">
        <v>90</v>
      </c>
      <c r="J321" t="s">
        <v>23</v>
      </c>
      <c r="K321" t="s">
        <v>18</v>
      </c>
      <c r="L321" t="str">
        <f t="shared" si="7"/>
        <v>9791175308350</v>
      </c>
      <c r="M321" t="str">
        <f t="shared" si="6"/>
        <v/>
      </c>
    </row>
    <row r="322" spans="1:14" x14ac:dyDescent="0.3">
      <c r="A322" s="1">
        <v>46058.07099537037</v>
      </c>
      <c r="B322">
        <v>385348414</v>
      </c>
      <c r="C322" t="s">
        <v>114</v>
      </c>
      <c r="D322" t="s">
        <v>89</v>
      </c>
      <c r="E322" s="2">
        <v>11700</v>
      </c>
      <c r="F322" s="2">
        <v>11700</v>
      </c>
      <c r="G322" s="2">
        <v>8190</v>
      </c>
      <c r="I322" t="s">
        <v>87</v>
      </c>
      <c r="J322" t="s">
        <v>23</v>
      </c>
      <c r="K322" t="s">
        <v>18</v>
      </c>
      <c r="L322" t="str">
        <f>T("9791175308503")</f>
        <v>9791175308503</v>
      </c>
      <c r="M322" t="str">
        <f t="shared" ref="M322:M385" si="8">T("")</f>
        <v/>
      </c>
    </row>
    <row r="323" spans="1:14" x14ac:dyDescent="0.3">
      <c r="A323" s="1">
        <v>46058.289733796293</v>
      </c>
      <c r="B323">
        <v>14308591</v>
      </c>
      <c r="C323" t="s">
        <v>30</v>
      </c>
      <c r="D323" t="s">
        <v>15</v>
      </c>
      <c r="E323" s="2">
        <v>3000</v>
      </c>
      <c r="F323" s="2">
        <v>3000</v>
      </c>
      <c r="G323" s="2">
        <v>2100</v>
      </c>
      <c r="I323" t="s">
        <v>27</v>
      </c>
      <c r="J323" t="s">
        <v>28</v>
      </c>
      <c r="K323" t="s">
        <v>18</v>
      </c>
      <c r="L323" t="str">
        <f>T("")</f>
        <v/>
      </c>
      <c r="M323" t="str">
        <f t="shared" si="8"/>
        <v/>
      </c>
    </row>
    <row r="324" spans="1:14" x14ac:dyDescent="0.3">
      <c r="A324" s="1">
        <v>46058.289733796293</v>
      </c>
      <c r="B324">
        <v>14308592</v>
      </c>
      <c r="C324" t="s">
        <v>26</v>
      </c>
      <c r="D324" t="s">
        <v>15</v>
      </c>
      <c r="E324" s="2">
        <v>3000</v>
      </c>
      <c r="F324" s="2">
        <v>3000</v>
      </c>
      <c r="G324" s="2">
        <v>2100</v>
      </c>
      <c r="I324" t="s">
        <v>27</v>
      </c>
      <c r="J324" t="s">
        <v>28</v>
      </c>
      <c r="K324" t="s">
        <v>18</v>
      </c>
      <c r="L324" t="str">
        <f>T("")</f>
        <v/>
      </c>
      <c r="M324" t="str">
        <f t="shared" si="8"/>
        <v/>
      </c>
    </row>
    <row r="325" spans="1:14" x14ac:dyDescent="0.3">
      <c r="A325" s="1">
        <v>46058.289733796293</v>
      </c>
      <c r="B325">
        <v>14308593</v>
      </c>
      <c r="C325" t="s">
        <v>29</v>
      </c>
      <c r="D325" t="s">
        <v>15</v>
      </c>
      <c r="E325" s="2">
        <v>3000</v>
      </c>
      <c r="F325" s="2">
        <v>3000</v>
      </c>
      <c r="G325" s="2">
        <v>2100</v>
      </c>
      <c r="I325" t="s">
        <v>27</v>
      </c>
      <c r="J325" t="s">
        <v>28</v>
      </c>
      <c r="K325" t="s">
        <v>18</v>
      </c>
      <c r="L325" t="str">
        <f>T("")</f>
        <v/>
      </c>
      <c r="M325" t="str">
        <f t="shared" si="8"/>
        <v/>
      </c>
    </row>
    <row r="326" spans="1:14" x14ac:dyDescent="0.3">
      <c r="A326" s="1">
        <v>46058.318136574075</v>
      </c>
      <c r="B326">
        <v>378219281</v>
      </c>
      <c r="C326" t="s">
        <v>206</v>
      </c>
      <c r="D326" t="s">
        <v>15</v>
      </c>
      <c r="E326" s="2">
        <v>3300</v>
      </c>
      <c r="F326" s="2">
        <v>3300</v>
      </c>
      <c r="G326" s="2">
        <v>2310</v>
      </c>
      <c r="I326" t="s">
        <v>203</v>
      </c>
      <c r="J326" t="s">
        <v>23</v>
      </c>
      <c r="K326" t="s">
        <v>18</v>
      </c>
      <c r="L326" t="str">
        <f>T("9791175302716")</f>
        <v>9791175302716</v>
      </c>
      <c r="M326" t="str">
        <f t="shared" si="8"/>
        <v/>
      </c>
      <c r="N326">
        <v>954945</v>
      </c>
    </row>
    <row r="327" spans="1:14" x14ac:dyDescent="0.3">
      <c r="A327" s="1">
        <v>46058.342719907407</v>
      </c>
      <c r="B327">
        <v>375929015</v>
      </c>
      <c r="C327" t="s">
        <v>82</v>
      </c>
      <c r="D327" t="s">
        <v>15</v>
      </c>
      <c r="E327">
        <v>0</v>
      </c>
      <c r="F327">
        <v>0</v>
      </c>
      <c r="G327">
        <v>0</v>
      </c>
      <c r="I327" t="s">
        <v>83</v>
      </c>
      <c r="J327" t="s">
        <v>59</v>
      </c>
      <c r="K327" t="s">
        <v>18</v>
      </c>
      <c r="L327" t="str">
        <f>T("9791173786884")</f>
        <v>9791173786884</v>
      </c>
      <c r="M327" t="str">
        <f t="shared" si="8"/>
        <v/>
      </c>
      <c r="N327">
        <v>950881</v>
      </c>
    </row>
    <row r="328" spans="1:14" x14ac:dyDescent="0.3">
      <c r="A328" s="1">
        <v>46058.351435185185</v>
      </c>
      <c r="B328">
        <v>385348414</v>
      </c>
      <c r="C328" t="s">
        <v>114</v>
      </c>
      <c r="D328" t="s">
        <v>89</v>
      </c>
      <c r="E328" s="2">
        <v>11700</v>
      </c>
      <c r="F328" s="2">
        <v>11700</v>
      </c>
      <c r="G328" s="2">
        <v>8190</v>
      </c>
      <c r="I328" t="s">
        <v>87</v>
      </c>
      <c r="J328" t="s">
        <v>23</v>
      </c>
      <c r="K328" t="s">
        <v>18</v>
      </c>
      <c r="L328" t="str">
        <f>T("9791175308503")</f>
        <v>9791175308503</v>
      </c>
      <c r="M328" t="str">
        <f t="shared" si="8"/>
        <v/>
      </c>
    </row>
    <row r="329" spans="1:14" x14ac:dyDescent="0.3">
      <c r="A329" s="1">
        <v>46058.42696759259</v>
      </c>
      <c r="B329">
        <v>193590489</v>
      </c>
      <c r="C329" t="s">
        <v>207</v>
      </c>
      <c r="D329" t="s">
        <v>15</v>
      </c>
      <c r="E329" s="2">
        <v>4000</v>
      </c>
      <c r="F329" s="2">
        <v>4000</v>
      </c>
      <c r="G329" s="2">
        <v>2800</v>
      </c>
      <c r="I329" t="s">
        <v>208</v>
      </c>
      <c r="J329" t="s">
        <v>20</v>
      </c>
      <c r="K329" t="s">
        <v>18</v>
      </c>
      <c r="L329" t="str">
        <f>T("9791133190959")</f>
        <v>9791133190959</v>
      </c>
      <c r="M329" t="str">
        <f t="shared" si="8"/>
        <v/>
      </c>
      <c r="N329">
        <v>756318</v>
      </c>
    </row>
    <row r="330" spans="1:14" x14ac:dyDescent="0.3">
      <c r="A330" s="1">
        <v>46058.427129629628</v>
      </c>
      <c r="B330">
        <v>363863439</v>
      </c>
      <c r="C330" t="s">
        <v>209</v>
      </c>
      <c r="D330" t="s">
        <v>15</v>
      </c>
      <c r="E330" s="2">
        <v>3300</v>
      </c>
      <c r="F330" s="2">
        <v>3300</v>
      </c>
      <c r="G330" s="2">
        <v>2310</v>
      </c>
      <c r="I330" t="s">
        <v>210</v>
      </c>
      <c r="J330" t="s">
        <v>23</v>
      </c>
      <c r="K330" t="s">
        <v>18</v>
      </c>
      <c r="L330" t="str">
        <f>T("9791173783494")</f>
        <v>9791173783494</v>
      </c>
      <c r="M330" t="str">
        <f t="shared" si="8"/>
        <v/>
      </c>
      <c r="N330">
        <v>948508</v>
      </c>
    </row>
    <row r="331" spans="1:14" x14ac:dyDescent="0.3">
      <c r="A331" s="1">
        <v>46058.427129629628</v>
      </c>
      <c r="B331">
        <v>363863084</v>
      </c>
      <c r="C331" t="s">
        <v>211</v>
      </c>
      <c r="D331" t="s">
        <v>15</v>
      </c>
      <c r="E331" s="2">
        <v>3600</v>
      </c>
      <c r="F331" s="2">
        <v>3600</v>
      </c>
      <c r="G331" s="2">
        <v>2520</v>
      </c>
      <c r="I331" t="s">
        <v>210</v>
      </c>
      <c r="J331" t="s">
        <v>23</v>
      </c>
      <c r="K331" t="s">
        <v>18</v>
      </c>
      <c r="L331" t="str">
        <f>T("9791173783487")</f>
        <v>9791173783487</v>
      </c>
      <c r="M331" t="str">
        <f t="shared" si="8"/>
        <v/>
      </c>
      <c r="N331">
        <v>948509</v>
      </c>
    </row>
    <row r="332" spans="1:14" x14ac:dyDescent="0.3">
      <c r="A332" s="1">
        <v>46058.427129629628</v>
      </c>
      <c r="B332">
        <v>363863135</v>
      </c>
      <c r="C332" t="s">
        <v>212</v>
      </c>
      <c r="D332" t="s">
        <v>15</v>
      </c>
      <c r="E332" s="2">
        <v>3900</v>
      </c>
      <c r="F332" s="2">
        <v>3900</v>
      </c>
      <c r="G332" s="2">
        <v>2730</v>
      </c>
      <c r="I332" t="s">
        <v>210</v>
      </c>
      <c r="J332" t="s">
        <v>23</v>
      </c>
      <c r="K332" t="s">
        <v>18</v>
      </c>
      <c r="L332" t="str">
        <f>T("9791173783500")</f>
        <v>9791173783500</v>
      </c>
      <c r="M332" t="str">
        <f t="shared" si="8"/>
        <v/>
      </c>
      <c r="N332">
        <v>948507</v>
      </c>
    </row>
    <row r="333" spans="1:14" x14ac:dyDescent="0.3">
      <c r="A333" s="1">
        <v>46058.44730324074</v>
      </c>
      <c r="B333">
        <v>375929022</v>
      </c>
      <c r="C333" t="s">
        <v>213</v>
      </c>
      <c r="D333" t="s">
        <v>15</v>
      </c>
      <c r="E333" s="2">
        <v>3200</v>
      </c>
      <c r="F333" s="2">
        <v>3200</v>
      </c>
      <c r="G333" s="2">
        <v>2240</v>
      </c>
      <c r="I333" t="s">
        <v>83</v>
      </c>
      <c r="J333" t="s">
        <v>59</v>
      </c>
      <c r="K333" t="s">
        <v>18</v>
      </c>
      <c r="L333" t="str">
        <f>T("9791173786938")</f>
        <v>9791173786938</v>
      </c>
      <c r="M333" t="str">
        <f t="shared" si="8"/>
        <v/>
      </c>
      <c r="N333">
        <v>950876</v>
      </c>
    </row>
    <row r="334" spans="1:14" x14ac:dyDescent="0.3">
      <c r="A334" s="1">
        <v>46058.44730324074</v>
      </c>
      <c r="B334">
        <v>375929030</v>
      </c>
      <c r="C334" t="s">
        <v>214</v>
      </c>
      <c r="D334" t="s">
        <v>15</v>
      </c>
      <c r="E334" s="2">
        <v>3200</v>
      </c>
      <c r="F334" s="2">
        <v>3200</v>
      </c>
      <c r="G334" s="2">
        <v>2240</v>
      </c>
      <c r="I334" t="s">
        <v>83</v>
      </c>
      <c r="J334" t="s">
        <v>59</v>
      </c>
      <c r="K334" t="s">
        <v>18</v>
      </c>
      <c r="L334" t="str">
        <f>T("9791173786983")</f>
        <v>9791173786983</v>
      </c>
      <c r="M334" t="str">
        <f t="shared" si="8"/>
        <v/>
      </c>
      <c r="N334">
        <v>950871</v>
      </c>
    </row>
    <row r="335" spans="1:14" x14ac:dyDescent="0.3">
      <c r="A335" s="1">
        <v>46058.44730324074</v>
      </c>
      <c r="B335">
        <v>375928982</v>
      </c>
      <c r="C335" t="s">
        <v>215</v>
      </c>
      <c r="D335" t="s">
        <v>15</v>
      </c>
      <c r="E335" s="2">
        <v>3200</v>
      </c>
      <c r="F335" s="2">
        <v>3200</v>
      </c>
      <c r="G335" s="2">
        <v>2240</v>
      </c>
      <c r="I335" t="s">
        <v>83</v>
      </c>
      <c r="J335" t="s">
        <v>59</v>
      </c>
      <c r="K335" t="s">
        <v>18</v>
      </c>
      <c r="L335" t="str">
        <f>T("9791173786990")</f>
        <v>9791173786990</v>
      </c>
      <c r="M335" t="str">
        <f t="shared" si="8"/>
        <v/>
      </c>
      <c r="N335">
        <v>950870</v>
      </c>
    </row>
    <row r="336" spans="1:14" x14ac:dyDescent="0.3">
      <c r="A336" s="1">
        <v>46058.44730324074</v>
      </c>
      <c r="B336">
        <v>375928745</v>
      </c>
      <c r="C336" t="s">
        <v>216</v>
      </c>
      <c r="D336" t="s">
        <v>15</v>
      </c>
      <c r="E336" s="2">
        <v>3200</v>
      </c>
      <c r="F336" s="2">
        <v>3200</v>
      </c>
      <c r="G336" s="2">
        <v>2240</v>
      </c>
      <c r="I336" t="s">
        <v>83</v>
      </c>
      <c r="J336" t="s">
        <v>59</v>
      </c>
      <c r="K336" t="s">
        <v>18</v>
      </c>
      <c r="L336" t="str">
        <f>T("9791173786914")</f>
        <v>9791173786914</v>
      </c>
      <c r="M336" t="str">
        <f t="shared" si="8"/>
        <v/>
      </c>
      <c r="N336">
        <v>950878</v>
      </c>
    </row>
    <row r="337" spans="1:14" x14ac:dyDescent="0.3">
      <c r="A337" s="1">
        <v>46058.44730324074</v>
      </c>
      <c r="B337">
        <v>375928759</v>
      </c>
      <c r="C337" t="s">
        <v>217</v>
      </c>
      <c r="D337" t="s">
        <v>15</v>
      </c>
      <c r="E337" s="2">
        <v>3200</v>
      </c>
      <c r="F337" s="2">
        <v>3200</v>
      </c>
      <c r="G337" s="2">
        <v>2240</v>
      </c>
      <c r="I337" t="s">
        <v>83</v>
      </c>
      <c r="J337" t="s">
        <v>59</v>
      </c>
      <c r="K337" t="s">
        <v>18</v>
      </c>
      <c r="L337" t="str">
        <f>T("9791173786969")</f>
        <v>9791173786969</v>
      </c>
      <c r="M337" t="str">
        <f t="shared" si="8"/>
        <v/>
      </c>
      <c r="N337">
        <v>950873</v>
      </c>
    </row>
    <row r="338" spans="1:14" x14ac:dyDescent="0.3">
      <c r="A338" s="1">
        <v>46058.44730324074</v>
      </c>
      <c r="B338">
        <v>375928933</v>
      </c>
      <c r="C338" t="s">
        <v>218</v>
      </c>
      <c r="D338" t="s">
        <v>15</v>
      </c>
      <c r="E338" s="2">
        <v>3200</v>
      </c>
      <c r="F338" s="2">
        <v>3200</v>
      </c>
      <c r="G338" s="2">
        <v>2240</v>
      </c>
      <c r="I338" t="s">
        <v>83</v>
      </c>
      <c r="J338" t="s">
        <v>59</v>
      </c>
      <c r="K338" t="s">
        <v>18</v>
      </c>
      <c r="L338" t="str">
        <f>T("9791173786907")</f>
        <v>9791173786907</v>
      </c>
      <c r="M338" t="str">
        <f t="shared" si="8"/>
        <v/>
      </c>
      <c r="N338">
        <v>950879</v>
      </c>
    </row>
    <row r="339" spans="1:14" x14ac:dyDescent="0.3">
      <c r="A339" s="1">
        <v>46058.44730324074</v>
      </c>
      <c r="B339">
        <v>375928942</v>
      </c>
      <c r="C339" t="s">
        <v>219</v>
      </c>
      <c r="D339" t="s">
        <v>15</v>
      </c>
      <c r="E339" s="2">
        <v>3200</v>
      </c>
      <c r="F339" s="2">
        <v>3200</v>
      </c>
      <c r="G339" s="2">
        <v>2240</v>
      </c>
      <c r="I339" t="s">
        <v>83</v>
      </c>
      <c r="J339" t="s">
        <v>59</v>
      </c>
      <c r="K339" t="s">
        <v>18</v>
      </c>
      <c r="L339" t="str">
        <f>T("9791173786952")</f>
        <v>9791173786952</v>
      </c>
      <c r="M339" t="str">
        <f t="shared" si="8"/>
        <v/>
      </c>
      <c r="N339">
        <v>950874</v>
      </c>
    </row>
    <row r="340" spans="1:14" x14ac:dyDescent="0.3">
      <c r="A340" s="1">
        <v>46058.44730324074</v>
      </c>
      <c r="B340">
        <v>375928950</v>
      </c>
      <c r="C340" t="s">
        <v>220</v>
      </c>
      <c r="D340" t="s">
        <v>15</v>
      </c>
      <c r="E340" s="2">
        <v>3200</v>
      </c>
      <c r="F340" s="2">
        <v>3200</v>
      </c>
      <c r="G340" s="2">
        <v>2240</v>
      </c>
      <c r="I340" t="s">
        <v>83</v>
      </c>
      <c r="J340" t="s">
        <v>59</v>
      </c>
      <c r="K340" t="s">
        <v>18</v>
      </c>
      <c r="L340" t="str">
        <f>T("9791173787003")</f>
        <v>9791173787003</v>
      </c>
      <c r="M340" t="str">
        <f t="shared" si="8"/>
        <v/>
      </c>
      <c r="N340">
        <v>950869</v>
      </c>
    </row>
    <row r="341" spans="1:14" x14ac:dyDescent="0.3">
      <c r="A341" s="1">
        <v>46058.44730324074</v>
      </c>
      <c r="B341">
        <v>375928961</v>
      </c>
      <c r="C341" t="s">
        <v>221</v>
      </c>
      <c r="D341" t="s">
        <v>15</v>
      </c>
      <c r="E341" s="2">
        <v>3200</v>
      </c>
      <c r="F341" s="2">
        <v>3200</v>
      </c>
      <c r="G341" s="2">
        <v>2240</v>
      </c>
      <c r="I341" t="s">
        <v>83</v>
      </c>
      <c r="J341" t="s">
        <v>59</v>
      </c>
      <c r="K341" t="s">
        <v>18</v>
      </c>
      <c r="L341" t="str">
        <f>T("9791173786921")</f>
        <v>9791173786921</v>
      </c>
      <c r="M341" t="str">
        <f t="shared" si="8"/>
        <v/>
      </c>
      <c r="N341">
        <v>950877</v>
      </c>
    </row>
    <row r="342" spans="1:14" x14ac:dyDescent="0.3">
      <c r="A342" s="1">
        <v>46058.44730324074</v>
      </c>
      <c r="B342">
        <v>375928968</v>
      </c>
      <c r="C342" t="s">
        <v>222</v>
      </c>
      <c r="D342" t="s">
        <v>15</v>
      </c>
      <c r="E342" s="2">
        <v>3200</v>
      </c>
      <c r="F342" s="2">
        <v>3200</v>
      </c>
      <c r="G342" s="2">
        <v>2240</v>
      </c>
      <c r="I342" t="s">
        <v>83</v>
      </c>
      <c r="J342" t="s">
        <v>59</v>
      </c>
      <c r="K342" t="s">
        <v>18</v>
      </c>
      <c r="L342" t="str">
        <f>T("9791173786891")</f>
        <v>9791173786891</v>
      </c>
      <c r="M342" t="str">
        <f t="shared" si="8"/>
        <v/>
      </c>
      <c r="N342">
        <v>950880</v>
      </c>
    </row>
    <row r="343" spans="1:14" x14ac:dyDescent="0.3">
      <c r="A343" s="1">
        <v>46058.44730324074</v>
      </c>
      <c r="B343">
        <v>375928969</v>
      </c>
      <c r="C343" t="s">
        <v>223</v>
      </c>
      <c r="D343" t="s">
        <v>15</v>
      </c>
      <c r="E343" s="2">
        <v>3200</v>
      </c>
      <c r="F343" s="2">
        <v>3200</v>
      </c>
      <c r="G343" s="2">
        <v>2240</v>
      </c>
      <c r="I343" t="s">
        <v>83</v>
      </c>
      <c r="J343" t="s">
        <v>59</v>
      </c>
      <c r="K343" t="s">
        <v>18</v>
      </c>
      <c r="L343" t="str">
        <f>T("9791173786976")</f>
        <v>9791173786976</v>
      </c>
      <c r="M343" t="str">
        <f t="shared" si="8"/>
        <v/>
      </c>
      <c r="N343">
        <v>950872</v>
      </c>
    </row>
    <row r="344" spans="1:14" x14ac:dyDescent="0.3">
      <c r="A344" s="1">
        <v>46058.44730324074</v>
      </c>
      <c r="B344">
        <v>375928977</v>
      </c>
      <c r="C344" t="s">
        <v>224</v>
      </c>
      <c r="D344" t="s">
        <v>15</v>
      </c>
      <c r="E344" s="2">
        <v>3200</v>
      </c>
      <c r="F344" s="2">
        <v>3200</v>
      </c>
      <c r="G344" s="2">
        <v>2240</v>
      </c>
      <c r="I344" t="s">
        <v>83</v>
      </c>
      <c r="J344" t="s">
        <v>59</v>
      </c>
      <c r="K344" t="s">
        <v>18</v>
      </c>
      <c r="L344" t="str">
        <f>T("9791173786945")</f>
        <v>9791173786945</v>
      </c>
      <c r="M344" t="str">
        <f t="shared" si="8"/>
        <v/>
      </c>
      <c r="N344">
        <v>950875</v>
      </c>
    </row>
    <row r="345" spans="1:14" x14ac:dyDescent="0.3">
      <c r="A345" s="1">
        <v>46058.54074074074</v>
      </c>
      <c r="B345">
        <v>375929015</v>
      </c>
      <c r="C345" t="s">
        <v>82</v>
      </c>
      <c r="D345" t="s">
        <v>15</v>
      </c>
      <c r="E345">
        <v>0</v>
      </c>
      <c r="F345">
        <v>0</v>
      </c>
      <c r="G345">
        <v>0</v>
      </c>
      <c r="I345" t="s">
        <v>83</v>
      </c>
      <c r="J345" t="s">
        <v>59</v>
      </c>
      <c r="K345" t="s">
        <v>18</v>
      </c>
      <c r="L345" t="str">
        <f>T("9791173786884")</f>
        <v>9791173786884</v>
      </c>
      <c r="M345" t="str">
        <f t="shared" si="8"/>
        <v/>
      </c>
      <c r="N345">
        <v>950881</v>
      </c>
    </row>
    <row r="346" spans="1:14" x14ac:dyDescent="0.3">
      <c r="A346" s="1">
        <v>46058.549791666665</v>
      </c>
      <c r="B346">
        <v>359777763</v>
      </c>
      <c r="C346" t="s">
        <v>225</v>
      </c>
      <c r="D346" t="s">
        <v>15</v>
      </c>
      <c r="E346" s="2">
        <v>3500</v>
      </c>
      <c r="F346" s="2">
        <v>3500</v>
      </c>
      <c r="G346" s="2">
        <v>2450</v>
      </c>
      <c r="I346" t="s">
        <v>226</v>
      </c>
      <c r="J346" t="s">
        <v>23</v>
      </c>
      <c r="K346" t="s">
        <v>18</v>
      </c>
      <c r="L346" t="str">
        <f>T("9791194664048")</f>
        <v>9791194664048</v>
      </c>
      <c r="M346" t="str">
        <f t="shared" si="8"/>
        <v/>
      </c>
      <c r="N346">
        <v>939991</v>
      </c>
    </row>
    <row r="347" spans="1:14" x14ac:dyDescent="0.3">
      <c r="A347" s="1">
        <v>46058.549791666665</v>
      </c>
      <c r="B347">
        <v>359777893</v>
      </c>
      <c r="C347" t="s">
        <v>227</v>
      </c>
      <c r="D347" t="s">
        <v>15</v>
      </c>
      <c r="E347" s="2">
        <v>3500</v>
      </c>
      <c r="F347" s="2">
        <v>3500</v>
      </c>
      <c r="G347" s="2">
        <v>2450</v>
      </c>
      <c r="I347" t="s">
        <v>226</v>
      </c>
      <c r="J347" t="s">
        <v>23</v>
      </c>
      <c r="K347" t="s">
        <v>18</v>
      </c>
      <c r="L347" t="str">
        <f>T("9791194664055")</f>
        <v>9791194664055</v>
      </c>
      <c r="M347" t="str">
        <f t="shared" si="8"/>
        <v/>
      </c>
      <c r="N347">
        <v>939990</v>
      </c>
    </row>
    <row r="348" spans="1:14" x14ac:dyDescent="0.3">
      <c r="A348" s="1">
        <v>46058.549791666665</v>
      </c>
      <c r="B348">
        <v>359777957</v>
      </c>
      <c r="C348" t="s">
        <v>228</v>
      </c>
      <c r="D348" t="s">
        <v>15</v>
      </c>
      <c r="E348" s="2">
        <v>3500</v>
      </c>
      <c r="F348" s="2">
        <v>3500</v>
      </c>
      <c r="G348" s="2">
        <v>2450</v>
      </c>
      <c r="I348" t="s">
        <v>226</v>
      </c>
      <c r="J348" t="s">
        <v>23</v>
      </c>
      <c r="K348" t="s">
        <v>18</v>
      </c>
      <c r="L348" t="str">
        <f>T("9791194664024")</f>
        <v>9791194664024</v>
      </c>
      <c r="M348" t="str">
        <f t="shared" si="8"/>
        <v/>
      </c>
      <c r="N348">
        <v>939992</v>
      </c>
    </row>
    <row r="349" spans="1:14" x14ac:dyDescent="0.3">
      <c r="A349" s="1">
        <v>46058.549791666665</v>
      </c>
      <c r="B349">
        <v>359777995</v>
      </c>
      <c r="C349" t="s">
        <v>229</v>
      </c>
      <c r="D349" t="s">
        <v>15</v>
      </c>
      <c r="E349" s="2">
        <v>3500</v>
      </c>
      <c r="F349" s="2">
        <v>3500</v>
      </c>
      <c r="G349" s="2">
        <v>2450</v>
      </c>
      <c r="I349" t="s">
        <v>226</v>
      </c>
      <c r="J349" t="s">
        <v>23</v>
      </c>
      <c r="K349" t="s">
        <v>18</v>
      </c>
      <c r="L349" t="str">
        <f>T("9791194664031")</f>
        <v>9791194664031</v>
      </c>
      <c r="M349" t="str">
        <f t="shared" si="8"/>
        <v/>
      </c>
      <c r="N349">
        <v>939993</v>
      </c>
    </row>
    <row r="350" spans="1:14" x14ac:dyDescent="0.3">
      <c r="A350" s="1">
        <v>46058.549791666665</v>
      </c>
      <c r="B350">
        <v>371528681</v>
      </c>
      <c r="C350" t="s">
        <v>230</v>
      </c>
      <c r="D350" t="s">
        <v>15</v>
      </c>
      <c r="E350" s="2">
        <v>3000</v>
      </c>
      <c r="F350" s="2">
        <v>3000</v>
      </c>
      <c r="G350" s="2">
        <v>2100</v>
      </c>
      <c r="I350" t="s">
        <v>226</v>
      </c>
      <c r="J350" t="s">
        <v>23</v>
      </c>
      <c r="K350" t="s">
        <v>18</v>
      </c>
      <c r="L350" t="str">
        <f>T("9791175304352")</f>
        <v>9791175304352</v>
      </c>
      <c r="M350" t="str">
        <f t="shared" si="8"/>
        <v/>
      </c>
      <c r="N350">
        <v>952536</v>
      </c>
    </row>
    <row r="351" spans="1:14" x14ac:dyDescent="0.3">
      <c r="A351" s="1">
        <v>46058.562673611108</v>
      </c>
      <c r="B351">
        <v>385347620</v>
      </c>
      <c r="C351" t="s">
        <v>84</v>
      </c>
      <c r="D351" t="s">
        <v>15</v>
      </c>
      <c r="E351">
        <v>0</v>
      </c>
      <c r="F351">
        <v>0</v>
      </c>
      <c r="G351">
        <v>0</v>
      </c>
      <c r="I351" t="s">
        <v>85</v>
      </c>
      <c r="J351" t="s">
        <v>59</v>
      </c>
      <c r="K351" t="s">
        <v>18</v>
      </c>
      <c r="L351" t="str">
        <f>T("9791136943897")</f>
        <v>9791136943897</v>
      </c>
      <c r="M351" t="str">
        <f t="shared" si="8"/>
        <v/>
      </c>
      <c r="N351">
        <v>917706</v>
      </c>
    </row>
    <row r="352" spans="1:14" x14ac:dyDescent="0.3">
      <c r="A352" s="1">
        <v>46058.573865740742</v>
      </c>
      <c r="B352">
        <v>348546568</v>
      </c>
      <c r="C352" t="s">
        <v>121</v>
      </c>
      <c r="D352" t="s">
        <v>15</v>
      </c>
      <c r="E352">
        <v>0</v>
      </c>
      <c r="F352">
        <v>0</v>
      </c>
      <c r="G352">
        <v>0</v>
      </c>
      <c r="I352" t="s">
        <v>122</v>
      </c>
      <c r="J352" t="s">
        <v>59</v>
      </c>
      <c r="K352" t="s">
        <v>18</v>
      </c>
      <c r="L352" t="str">
        <f>T("9791133196678")</f>
        <v>9791133196678</v>
      </c>
      <c r="M352" t="str">
        <f t="shared" si="8"/>
        <v/>
      </c>
      <c r="N352">
        <v>773178</v>
      </c>
    </row>
    <row r="353" spans="1:14" x14ac:dyDescent="0.3">
      <c r="A353" s="1">
        <v>46058.618969907409</v>
      </c>
      <c r="B353">
        <v>385348415</v>
      </c>
      <c r="C353" t="s">
        <v>88</v>
      </c>
      <c r="D353" t="s">
        <v>89</v>
      </c>
      <c r="E353" s="2">
        <v>8640</v>
      </c>
      <c r="F353" s="2">
        <v>8640</v>
      </c>
      <c r="G353" s="2">
        <v>6048</v>
      </c>
      <c r="I353" t="s">
        <v>90</v>
      </c>
      <c r="J353" t="s">
        <v>23</v>
      </c>
      <c r="K353" t="s">
        <v>18</v>
      </c>
      <c r="L353" t="str">
        <f>T("9791175308350")</f>
        <v>9791175308350</v>
      </c>
      <c r="M353" t="str">
        <f t="shared" si="8"/>
        <v/>
      </c>
    </row>
    <row r="354" spans="1:14" x14ac:dyDescent="0.3">
      <c r="A354" s="1">
        <v>46058.637245370373</v>
      </c>
      <c r="B354">
        <v>385348415</v>
      </c>
      <c r="C354" t="s">
        <v>88</v>
      </c>
      <c r="D354" t="s">
        <v>89</v>
      </c>
      <c r="E354" s="2">
        <v>8640</v>
      </c>
      <c r="F354" s="2">
        <v>8640</v>
      </c>
      <c r="G354" s="2">
        <v>6048</v>
      </c>
      <c r="I354" t="s">
        <v>90</v>
      </c>
      <c r="J354" t="s">
        <v>23</v>
      </c>
      <c r="K354" t="s">
        <v>18</v>
      </c>
      <c r="L354" t="str">
        <f>T("9791175308350")</f>
        <v>9791175308350</v>
      </c>
      <c r="M354" t="str">
        <f t="shared" si="8"/>
        <v/>
      </c>
    </row>
    <row r="355" spans="1:14" x14ac:dyDescent="0.3">
      <c r="A355" s="1">
        <v>46058.651099537034</v>
      </c>
      <c r="B355">
        <v>385348415</v>
      </c>
      <c r="C355" t="s">
        <v>88</v>
      </c>
      <c r="D355" t="s">
        <v>89</v>
      </c>
      <c r="E355" s="2">
        <v>8640</v>
      </c>
      <c r="F355" s="2">
        <v>8640</v>
      </c>
      <c r="G355" s="2">
        <v>6048</v>
      </c>
      <c r="I355" t="s">
        <v>90</v>
      </c>
      <c r="J355" t="s">
        <v>23</v>
      </c>
      <c r="K355" t="s">
        <v>18</v>
      </c>
      <c r="L355" t="str">
        <f>T("9791175308350")</f>
        <v>9791175308350</v>
      </c>
      <c r="M355" t="str">
        <f t="shared" si="8"/>
        <v/>
      </c>
    </row>
    <row r="356" spans="1:14" x14ac:dyDescent="0.3">
      <c r="A356" s="1">
        <v>46058.673495370371</v>
      </c>
      <c r="B356">
        <v>346154245</v>
      </c>
      <c r="C356" t="s">
        <v>45</v>
      </c>
      <c r="D356" t="s">
        <v>15</v>
      </c>
      <c r="E356" s="2">
        <v>3300</v>
      </c>
      <c r="F356" s="2">
        <v>3300</v>
      </c>
      <c r="G356" s="2">
        <v>2310</v>
      </c>
      <c r="I356" t="s">
        <v>32</v>
      </c>
      <c r="J356" t="s">
        <v>23</v>
      </c>
      <c r="K356" t="s">
        <v>18</v>
      </c>
      <c r="L356" t="str">
        <f>T("9791136940728")</f>
        <v>9791136940728</v>
      </c>
      <c r="M356" t="str">
        <f t="shared" si="8"/>
        <v/>
      </c>
      <c r="N356">
        <v>928441</v>
      </c>
    </row>
    <row r="357" spans="1:14" x14ac:dyDescent="0.3">
      <c r="A357" s="1">
        <v>46058.695370370369</v>
      </c>
      <c r="B357">
        <v>384178927</v>
      </c>
      <c r="C357" t="s">
        <v>63</v>
      </c>
      <c r="D357" t="s">
        <v>15</v>
      </c>
      <c r="E357" s="2">
        <v>21000</v>
      </c>
      <c r="F357" s="2">
        <v>21000</v>
      </c>
      <c r="G357" s="2">
        <v>14700</v>
      </c>
      <c r="I357" t="s">
        <v>22</v>
      </c>
      <c r="J357" t="s">
        <v>23</v>
      </c>
      <c r="K357" t="s">
        <v>18</v>
      </c>
      <c r="L357" t="str">
        <f>T("9791175309760")</f>
        <v>9791175309760</v>
      </c>
      <c r="M357" t="str">
        <f t="shared" si="8"/>
        <v/>
      </c>
    </row>
    <row r="358" spans="1:14" x14ac:dyDescent="0.3">
      <c r="A358" s="1">
        <v>46058.704062500001</v>
      </c>
      <c r="B358">
        <v>385348415</v>
      </c>
      <c r="C358" t="s">
        <v>88</v>
      </c>
      <c r="D358" t="s">
        <v>89</v>
      </c>
      <c r="E358" s="2">
        <v>8640</v>
      </c>
      <c r="F358" s="2">
        <v>8640</v>
      </c>
      <c r="G358" s="2">
        <v>6048</v>
      </c>
      <c r="I358" t="s">
        <v>90</v>
      </c>
      <c r="J358" t="s">
        <v>23</v>
      </c>
      <c r="K358" t="s">
        <v>18</v>
      </c>
      <c r="L358" t="str">
        <f>T("9791175308350")</f>
        <v>9791175308350</v>
      </c>
      <c r="M358" t="str">
        <f t="shared" si="8"/>
        <v/>
      </c>
    </row>
    <row r="359" spans="1:14" x14ac:dyDescent="0.3">
      <c r="A359" s="1">
        <v>46058.782233796293</v>
      </c>
      <c r="B359">
        <v>385348414</v>
      </c>
      <c r="C359" t="s">
        <v>114</v>
      </c>
      <c r="D359" t="s">
        <v>89</v>
      </c>
      <c r="E359" s="2">
        <v>11700</v>
      </c>
      <c r="F359" s="2">
        <v>11700</v>
      </c>
      <c r="G359" s="2">
        <v>8190</v>
      </c>
      <c r="I359" t="s">
        <v>87</v>
      </c>
      <c r="J359" t="s">
        <v>23</v>
      </c>
      <c r="K359" t="s">
        <v>18</v>
      </c>
      <c r="L359" t="str">
        <f>T("9791175308503")</f>
        <v>9791175308503</v>
      </c>
      <c r="M359" t="str">
        <f t="shared" si="8"/>
        <v/>
      </c>
    </row>
    <row r="360" spans="1:14" x14ac:dyDescent="0.3">
      <c r="A360" s="1">
        <v>46058.834699074076</v>
      </c>
      <c r="B360">
        <v>385348415</v>
      </c>
      <c r="C360" t="s">
        <v>88</v>
      </c>
      <c r="D360" t="s">
        <v>89</v>
      </c>
      <c r="E360" s="2">
        <v>8640</v>
      </c>
      <c r="F360" s="2">
        <v>8640</v>
      </c>
      <c r="G360" s="2">
        <v>6048</v>
      </c>
      <c r="I360" t="s">
        <v>90</v>
      </c>
      <c r="J360" t="s">
        <v>23</v>
      </c>
      <c r="K360" t="s">
        <v>18</v>
      </c>
      <c r="L360" t="str">
        <f>T("9791175308350")</f>
        <v>9791175308350</v>
      </c>
      <c r="M360" t="str">
        <f t="shared" si="8"/>
        <v/>
      </c>
    </row>
    <row r="361" spans="1:14" x14ac:dyDescent="0.3">
      <c r="A361" s="1">
        <v>46058.875300925924</v>
      </c>
      <c r="B361">
        <v>34440523</v>
      </c>
      <c r="C361" t="s">
        <v>231</v>
      </c>
      <c r="D361" t="s">
        <v>15</v>
      </c>
      <c r="E361" s="2">
        <v>2500</v>
      </c>
      <c r="F361" s="2">
        <v>2500</v>
      </c>
      <c r="G361" s="2">
        <v>1750</v>
      </c>
      <c r="I361" t="s">
        <v>27</v>
      </c>
      <c r="J361" t="s">
        <v>79</v>
      </c>
      <c r="K361" t="s">
        <v>18</v>
      </c>
      <c r="L361" t="str">
        <f>T("9791133167296")</f>
        <v>9791133167296</v>
      </c>
      <c r="M361" t="str">
        <f t="shared" si="8"/>
        <v/>
      </c>
      <c r="N361">
        <v>151148</v>
      </c>
    </row>
    <row r="362" spans="1:14" x14ac:dyDescent="0.3">
      <c r="A362" s="1">
        <v>46058.90587962963</v>
      </c>
      <c r="B362">
        <v>385348414</v>
      </c>
      <c r="C362" t="s">
        <v>114</v>
      </c>
      <c r="D362" t="s">
        <v>89</v>
      </c>
      <c r="E362" s="2">
        <v>11700</v>
      </c>
      <c r="F362" s="2">
        <v>11700</v>
      </c>
      <c r="G362" s="2">
        <v>8190</v>
      </c>
      <c r="I362" t="s">
        <v>87</v>
      </c>
      <c r="J362" t="s">
        <v>23</v>
      </c>
      <c r="K362" t="s">
        <v>18</v>
      </c>
      <c r="L362" t="str">
        <f>T("9791175308503")</f>
        <v>9791175308503</v>
      </c>
      <c r="M362" t="str">
        <f t="shared" si="8"/>
        <v/>
      </c>
    </row>
    <row r="363" spans="1:14" x14ac:dyDescent="0.3">
      <c r="A363" s="1">
        <v>46058.908506944441</v>
      </c>
      <c r="B363">
        <v>385347659</v>
      </c>
      <c r="C363" t="s">
        <v>86</v>
      </c>
      <c r="D363" t="s">
        <v>15</v>
      </c>
      <c r="E363" s="2">
        <v>1000</v>
      </c>
      <c r="F363">
        <v>900</v>
      </c>
      <c r="G363">
        <v>630</v>
      </c>
      <c r="I363" t="s">
        <v>87</v>
      </c>
      <c r="J363" t="s">
        <v>23</v>
      </c>
      <c r="K363" t="s">
        <v>18</v>
      </c>
      <c r="L363" t="str">
        <f>T("9791175308510")</f>
        <v>9791175308510</v>
      </c>
      <c r="M363" t="str">
        <f t="shared" si="8"/>
        <v/>
      </c>
      <c r="N363">
        <v>957881</v>
      </c>
    </row>
    <row r="364" spans="1:14" x14ac:dyDescent="0.3">
      <c r="A364" s="1">
        <v>46058.919733796298</v>
      </c>
      <c r="B364">
        <v>385348415</v>
      </c>
      <c r="C364" t="s">
        <v>88</v>
      </c>
      <c r="D364" t="s">
        <v>89</v>
      </c>
      <c r="E364" s="2">
        <v>8640</v>
      </c>
      <c r="F364" s="2">
        <v>8640</v>
      </c>
      <c r="G364" s="2">
        <v>6048</v>
      </c>
      <c r="I364" t="s">
        <v>90</v>
      </c>
      <c r="J364" t="s">
        <v>23</v>
      </c>
      <c r="K364" t="s">
        <v>18</v>
      </c>
      <c r="L364" t="str">
        <f>T("9791175308350")</f>
        <v>9791175308350</v>
      </c>
      <c r="M364" t="str">
        <f t="shared" si="8"/>
        <v/>
      </c>
    </row>
    <row r="365" spans="1:14" x14ac:dyDescent="0.3">
      <c r="A365" s="1">
        <v>46058.921712962961</v>
      </c>
      <c r="B365">
        <v>361759465</v>
      </c>
      <c r="C365" t="s">
        <v>232</v>
      </c>
      <c r="D365" t="s">
        <v>15</v>
      </c>
      <c r="E365" s="2">
        <v>5000</v>
      </c>
      <c r="F365" s="2">
        <v>5000</v>
      </c>
      <c r="G365" s="2">
        <v>3500</v>
      </c>
      <c r="I365" t="s">
        <v>198</v>
      </c>
      <c r="J365" t="s">
        <v>49</v>
      </c>
      <c r="K365" t="s">
        <v>18</v>
      </c>
      <c r="L365" t="str">
        <f>T("9791173783241")</f>
        <v>9791173783241</v>
      </c>
      <c r="M365" t="str">
        <f t="shared" si="8"/>
        <v/>
      </c>
      <c r="N365">
        <v>947666</v>
      </c>
    </row>
    <row r="366" spans="1:14" x14ac:dyDescent="0.3">
      <c r="A366" s="1">
        <v>46058.925682870373</v>
      </c>
      <c r="B366">
        <v>371101310</v>
      </c>
      <c r="C366" t="s">
        <v>233</v>
      </c>
      <c r="D366" t="s">
        <v>15</v>
      </c>
      <c r="E366" s="2">
        <v>3300</v>
      </c>
      <c r="F366" s="2">
        <v>3300</v>
      </c>
      <c r="G366" s="2">
        <v>2310</v>
      </c>
      <c r="I366" t="s">
        <v>234</v>
      </c>
      <c r="J366" t="s">
        <v>23</v>
      </c>
      <c r="K366" t="s">
        <v>18</v>
      </c>
      <c r="L366" t="str">
        <f>T("9791175300514")</f>
        <v>9791175300514</v>
      </c>
      <c r="M366" t="str">
        <f t="shared" si="8"/>
        <v/>
      </c>
      <c r="N366">
        <v>952373</v>
      </c>
    </row>
    <row r="367" spans="1:14" x14ac:dyDescent="0.3">
      <c r="A367" s="1">
        <v>46059.393483796295</v>
      </c>
      <c r="B367">
        <v>371101310</v>
      </c>
      <c r="C367" t="s">
        <v>233</v>
      </c>
      <c r="D367" t="s">
        <v>15</v>
      </c>
      <c r="E367" s="2">
        <v>-3300</v>
      </c>
      <c r="F367" s="2">
        <v>-3300</v>
      </c>
      <c r="G367" s="2">
        <v>-2310</v>
      </c>
      <c r="H367" s="1">
        <v>46058.925682870373</v>
      </c>
      <c r="I367" t="s">
        <v>234</v>
      </c>
      <c r="J367" t="s">
        <v>23</v>
      </c>
      <c r="K367" t="s">
        <v>18</v>
      </c>
      <c r="L367" t="str">
        <f>T("9791175300514")</f>
        <v>9791175300514</v>
      </c>
      <c r="M367" t="str">
        <f t="shared" si="8"/>
        <v/>
      </c>
      <c r="N367">
        <v>952373</v>
      </c>
    </row>
    <row r="368" spans="1:14" x14ac:dyDescent="0.3">
      <c r="A368" s="1">
        <v>46058.943344907406</v>
      </c>
      <c r="B368">
        <v>385347659</v>
      </c>
      <c r="C368" t="s">
        <v>86</v>
      </c>
      <c r="D368" t="s">
        <v>15</v>
      </c>
      <c r="E368" s="2">
        <v>1000</v>
      </c>
      <c r="F368">
        <v>900</v>
      </c>
      <c r="G368">
        <v>630</v>
      </c>
      <c r="I368" t="s">
        <v>87</v>
      </c>
      <c r="J368" t="s">
        <v>23</v>
      </c>
      <c r="K368" t="s">
        <v>18</v>
      </c>
      <c r="L368" t="str">
        <f>T("9791175308510")</f>
        <v>9791175308510</v>
      </c>
      <c r="M368" t="str">
        <f t="shared" si="8"/>
        <v/>
      </c>
      <c r="N368">
        <v>957881</v>
      </c>
    </row>
    <row r="369" spans="1:14" x14ac:dyDescent="0.3">
      <c r="A369" s="1">
        <v>46058.943344907406</v>
      </c>
      <c r="B369">
        <v>378759363</v>
      </c>
      <c r="C369" t="s">
        <v>179</v>
      </c>
      <c r="D369" t="s">
        <v>15</v>
      </c>
      <c r="E369" s="2">
        <v>3000</v>
      </c>
      <c r="F369" s="2">
        <v>2700</v>
      </c>
      <c r="G369" s="2">
        <v>1890</v>
      </c>
      <c r="I369" t="s">
        <v>87</v>
      </c>
      <c r="J369" t="s">
        <v>23</v>
      </c>
      <c r="K369" t="s">
        <v>18</v>
      </c>
      <c r="L369" t="str">
        <f>T("9791175302778")</f>
        <v>9791175302778</v>
      </c>
      <c r="M369" t="str">
        <f t="shared" si="8"/>
        <v/>
      </c>
      <c r="N369">
        <v>954952</v>
      </c>
    </row>
    <row r="370" spans="1:14" x14ac:dyDescent="0.3">
      <c r="A370" s="1">
        <v>46058.943344907406</v>
      </c>
      <c r="B370">
        <v>378759372</v>
      </c>
      <c r="C370" t="s">
        <v>180</v>
      </c>
      <c r="D370" t="s">
        <v>15</v>
      </c>
      <c r="E370" s="2">
        <v>3000</v>
      </c>
      <c r="F370" s="2">
        <v>2700</v>
      </c>
      <c r="G370" s="2">
        <v>1890</v>
      </c>
      <c r="I370" t="s">
        <v>87</v>
      </c>
      <c r="J370" t="s">
        <v>23</v>
      </c>
      <c r="K370" t="s">
        <v>18</v>
      </c>
      <c r="L370" t="str">
        <f>T("9791175302860")</f>
        <v>9791175302860</v>
      </c>
      <c r="M370" t="str">
        <f t="shared" si="8"/>
        <v/>
      </c>
      <c r="N370">
        <v>954949</v>
      </c>
    </row>
    <row r="371" spans="1:14" x14ac:dyDescent="0.3">
      <c r="A371" s="1">
        <v>46058.943344907406</v>
      </c>
      <c r="B371">
        <v>378759383</v>
      </c>
      <c r="C371" t="s">
        <v>177</v>
      </c>
      <c r="D371" t="s">
        <v>15</v>
      </c>
      <c r="E371" s="2">
        <v>3000</v>
      </c>
      <c r="F371" s="2">
        <v>2700</v>
      </c>
      <c r="G371" s="2">
        <v>1890</v>
      </c>
      <c r="I371" t="s">
        <v>87</v>
      </c>
      <c r="J371" t="s">
        <v>23</v>
      </c>
      <c r="K371" t="s">
        <v>18</v>
      </c>
      <c r="L371" t="str">
        <f>T("9791175302853")</f>
        <v>9791175302853</v>
      </c>
      <c r="M371" t="str">
        <f t="shared" si="8"/>
        <v/>
      </c>
      <c r="N371">
        <v>954950</v>
      </c>
    </row>
    <row r="372" spans="1:14" x14ac:dyDescent="0.3">
      <c r="A372" s="1">
        <v>46058.943344907406</v>
      </c>
      <c r="B372">
        <v>378759411</v>
      </c>
      <c r="C372" t="s">
        <v>178</v>
      </c>
      <c r="D372" t="s">
        <v>15</v>
      </c>
      <c r="E372" s="2">
        <v>3000</v>
      </c>
      <c r="F372" s="2">
        <v>2700</v>
      </c>
      <c r="G372" s="2">
        <v>1890</v>
      </c>
      <c r="I372" t="s">
        <v>87</v>
      </c>
      <c r="J372" t="s">
        <v>23</v>
      </c>
      <c r="K372" t="s">
        <v>18</v>
      </c>
      <c r="L372" t="str">
        <f>T("9791175302846")</f>
        <v>9791175302846</v>
      </c>
      <c r="M372" t="str">
        <f t="shared" si="8"/>
        <v/>
      </c>
      <c r="N372">
        <v>954951</v>
      </c>
    </row>
    <row r="373" spans="1:14" x14ac:dyDescent="0.3">
      <c r="A373" s="1">
        <v>46058.944120370368</v>
      </c>
      <c r="B373">
        <v>385347620</v>
      </c>
      <c r="C373" t="s">
        <v>84</v>
      </c>
      <c r="D373" t="s">
        <v>15</v>
      </c>
      <c r="E373">
        <v>0</v>
      </c>
      <c r="F373">
        <v>0</v>
      </c>
      <c r="G373">
        <v>0</v>
      </c>
      <c r="I373" t="s">
        <v>85</v>
      </c>
      <c r="J373" t="s">
        <v>59</v>
      </c>
      <c r="K373" t="s">
        <v>18</v>
      </c>
      <c r="L373" t="str">
        <f>T("9791136943897")</f>
        <v>9791136943897</v>
      </c>
      <c r="M373" t="str">
        <f t="shared" si="8"/>
        <v/>
      </c>
      <c r="N373">
        <v>917706</v>
      </c>
    </row>
    <row r="374" spans="1:14" x14ac:dyDescent="0.3">
      <c r="A374" s="1">
        <v>46058.947453703702</v>
      </c>
      <c r="B374">
        <v>341136032</v>
      </c>
      <c r="C374" t="s">
        <v>235</v>
      </c>
      <c r="D374" t="s">
        <v>15</v>
      </c>
      <c r="E374" s="2">
        <v>3500</v>
      </c>
      <c r="F374" s="2">
        <v>3500</v>
      </c>
      <c r="G374" s="2">
        <v>2450</v>
      </c>
      <c r="I374" t="s">
        <v>236</v>
      </c>
      <c r="J374" t="s">
        <v>70</v>
      </c>
      <c r="K374" t="s">
        <v>18</v>
      </c>
      <c r="L374" t="str">
        <f>T("9791136976703")</f>
        <v>9791136976703</v>
      </c>
      <c r="M374" t="str">
        <f t="shared" si="8"/>
        <v/>
      </c>
      <c r="N374">
        <v>924398</v>
      </c>
    </row>
    <row r="375" spans="1:14" x14ac:dyDescent="0.3">
      <c r="A375" s="1">
        <v>46058.947766203702</v>
      </c>
      <c r="B375">
        <v>341136032</v>
      </c>
      <c r="C375" t="s">
        <v>235</v>
      </c>
      <c r="D375" t="s">
        <v>15</v>
      </c>
      <c r="E375" s="2">
        <v>-3500</v>
      </c>
      <c r="F375" s="2">
        <v>-3500</v>
      </c>
      <c r="G375" s="2">
        <v>-2450</v>
      </c>
      <c r="H375" s="1">
        <v>46058.947453703702</v>
      </c>
      <c r="I375" t="s">
        <v>236</v>
      </c>
      <c r="J375" t="s">
        <v>70</v>
      </c>
      <c r="K375" t="s">
        <v>18</v>
      </c>
      <c r="L375" t="str">
        <f>T("9791136976703")</f>
        <v>9791136976703</v>
      </c>
      <c r="M375" t="str">
        <f t="shared" si="8"/>
        <v/>
      </c>
      <c r="N375">
        <v>924398</v>
      </c>
    </row>
    <row r="376" spans="1:14" x14ac:dyDescent="0.3">
      <c r="A376" s="1">
        <v>46058.948101851849</v>
      </c>
      <c r="B376">
        <v>341136032</v>
      </c>
      <c r="C376" t="s">
        <v>235</v>
      </c>
      <c r="D376" t="s">
        <v>15</v>
      </c>
      <c r="E376" s="2">
        <v>3500</v>
      </c>
      <c r="F376" s="2">
        <v>3500</v>
      </c>
      <c r="G376" s="2">
        <v>2450</v>
      </c>
      <c r="I376" t="s">
        <v>236</v>
      </c>
      <c r="J376" t="s">
        <v>70</v>
      </c>
      <c r="K376" t="s">
        <v>18</v>
      </c>
      <c r="L376" t="str">
        <f>T("9791136976703")</f>
        <v>9791136976703</v>
      </c>
      <c r="M376" t="str">
        <f t="shared" si="8"/>
        <v/>
      </c>
      <c r="N376">
        <v>924398</v>
      </c>
    </row>
    <row r="377" spans="1:14" x14ac:dyDescent="0.3">
      <c r="A377" s="1">
        <v>46059.488923611112</v>
      </c>
      <c r="B377">
        <v>385348415</v>
      </c>
      <c r="C377" t="s">
        <v>88</v>
      </c>
      <c r="D377" t="s">
        <v>89</v>
      </c>
      <c r="E377" s="2">
        <v>-8640</v>
      </c>
      <c r="F377" s="2">
        <v>-8640</v>
      </c>
      <c r="G377" s="2">
        <v>-6048</v>
      </c>
      <c r="H377" s="1">
        <v>46058.956111111111</v>
      </c>
      <c r="I377" t="s">
        <v>90</v>
      </c>
      <c r="J377" t="s">
        <v>23</v>
      </c>
      <c r="K377" t="s">
        <v>18</v>
      </c>
      <c r="L377" t="str">
        <f>T("9791175308350")</f>
        <v>9791175308350</v>
      </c>
      <c r="M377" t="str">
        <f t="shared" si="8"/>
        <v/>
      </c>
    </row>
    <row r="378" spans="1:14" x14ac:dyDescent="0.3">
      <c r="A378" s="1">
        <v>46058.956111111111</v>
      </c>
      <c r="B378">
        <v>385348415</v>
      </c>
      <c r="C378" t="s">
        <v>88</v>
      </c>
      <c r="D378" t="s">
        <v>89</v>
      </c>
      <c r="E378" s="2">
        <v>8640</v>
      </c>
      <c r="F378" s="2">
        <v>8640</v>
      </c>
      <c r="G378" s="2">
        <v>6048</v>
      </c>
      <c r="I378" t="s">
        <v>90</v>
      </c>
      <c r="J378" t="s">
        <v>23</v>
      </c>
      <c r="K378" t="s">
        <v>18</v>
      </c>
      <c r="L378" t="str">
        <f>T("9791175308350")</f>
        <v>9791175308350</v>
      </c>
      <c r="M378" t="str">
        <f t="shared" si="8"/>
        <v/>
      </c>
    </row>
    <row r="379" spans="1:14" x14ac:dyDescent="0.3">
      <c r="A379" s="1">
        <v>46058.959398148145</v>
      </c>
      <c r="B379">
        <v>306631818</v>
      </c>
      <c r="C379" t="s">
        <v>237</v>
      </c>
      <c r="D379" t="s">
        <v>15</v>
      </c>
      <c r="E379" s="2">
        <v>3000</v>
      </c>
      <c r="F379" s="2">
        <v>3000</v>
      </c>
      <c r="G379" s="2">
        <v>2100</v>
      </c>
      <c r="I379" t="s">
        <v>175</v>
      </c>
      <c r="J379" t="s">
        <v>176</v>
      </c>
      <c r="K379" t="s">
        <v>18</v>
      </c>
      <c r="L379" t="str">
        <f>T("9791136932754")</f>
        <v>9791136932754</v>
      </c>
      <c r="M379" t="str">
        <f t="shared" si="8"/>
        <v/>
      </c>
      <c r="N379">
        <v>896411</v>
      </c>
    </row>
    <row r="380" spans="1:14" x14ac:dyDescent="0.3">
      <c r="A380" s="1">
        <v>46058.959398148145</v>
      </c>
      <c r="B380">
        <v>306631671</v>
      </c>
      <c r="C380" t="s">
        <v>238</v>
      </c>
      <c r="D380" t="s">
        <v>15</v>
      </c>
      <c r="E380" s="2">
        <v>3000</v>
      </c>
      <c r="F380" s="2">
        <v>3000</v>
      </c>
      <c r="G380" s="2">
        <v>2100</v>
      </c>
      <c r="I380" t="s">
        <v>175</v>
      </c>
      <c r="J380" t="s">
        <v>176</v>
      </c>
      <c r="K380" t="s">
        <v>18</v>
      </c>
      <c r="L380" t="str">
        <f>T("9791136932747")</f>
        <v>9791136932747</v>
      </c>
      <c r="M380" t="str">
        <f t="shared" si="8"/>
        <v/>
      </c>
      <c r="N380">
        <v>896412</v>
      </c>
    </row>
    <row r="381" spans="1:14" x14ac:dyDescent="0.3">
      <c r="A381" s="1">
        <v>46058.966608796298</v>
      </c>
      <c r="B381">
        <v>373442629</v>
      </c>
      <c r="C381" t="s">
        <v>104</v>
      </c>
      <c r="D381" t="s">
        <v>15</v>
      </c>
      <c r="E381">
        <v>0</v>
      </c>
      <c r="F381">
        <v>0</v>
      </c>
      <c r="G381">
        <v>0</v>
      </c>
      <c r="I381" t="s">
        <v>58</v>
      </c>
      <c r="J381" t="s">
        <v>59</v>
      </c>
      <c r="K381" t="s">
        <v>18</v>
      </c>
      <c r="L381" t="str">
        <f>T("9791173784316")</f>
        <v>9791173784316</v>
      </c>
      <c r="M381" t="str">
        <f t="shared" si="8"/>
        <v/>
      </c>
      <c r="N381">
        <v>948951</v>
      </c>
    </row>
    <row r="382" spans="1:14" x14ac:dyDescent="0.3">
      <c r="A382" s="1">
        <v>46058.979953703703</v>
      </c>
      <c r="B382">
        <v>385348415</v>
      </c>
      <c r="C382" t="s">
        <v>88</v>
      </c>
      <c r="D382" t="s">
        <v>89</v>
      </c>
      <c r="E382" s="2">
        <v>8640</v>
      </c>
      <c r="F382" s="2">
        <v>8640</v>
      </c>
      <c r="G382" s="2">
        <v>6048</v>
      </c>
      <c r="I382" t="s">
        <v>90</v>
      </c>
      <c r="J382" t="s">
        <v>23</v>
      </c>
      <c r="K382" t="s">
        <v>18</v>
      </c>
      <c r="L382" t="str">
        <f>T("9791175308350")</f>
        <v>9791175308350</v>
      </c>
      <c r="M382" t="str">
        <f t="shared" si="8"/>
        <v/>
      </c>
    </row>
    <row r="383" spans="1:14" x14ac:dyDescent="0.3">
      <c r="A383" s="1">
        <v>46058.980694444443</v>
      </c>
      <c r="B383">
        <v>385348415</v>
      </c>
      <c r="C383" t="s">
        <v>88</v>
      </c>
      <c r="D383" t="s">
        <v>89</v>
      </c>
      <c r="E383" s="2">
        <v>8640</v>
      </c>
      <c r="F383" s="2">
        <v>8640</v>
      </c>
      <c r="G383" s="2">
        <v>6048</v>
      </c>
      <c r="I383" t="s">
        <v>90</v>
      </c>
      <c r="J383" t="s">
        <v>23</v>
      </c>
      <c r="K383" t="s">
        <v>18</v>
      </c>
      <c r="L383" t="str">
        <f>T("9791175308350")</f>
        <v>9791175308350</v>
      </c>
      <c r="M383" t="str">
        <f t="shared" si="8"/>
        <v/>
      </c>
    </row>
    <row r="384" spans="1:14" x14ac:dyDescent="0.3">
      <c r="A384" s="1">
        <v>46058.999189814815</v>
      </c>
      <c r="B384">
        <v>361759197</v>
      </c>
      <c r="C384" t="s">
        <v>205</v>
      </c>
      <c r="D384" t="s">
        <v>15</v>
      </c>
      <c r="E384" s="2">
        <v>5000</v>
      </c>
      <c r="F384" s="2">
        <v>5000</v>
      </c>
      <c r="G384" s="2">
        <v>3500</v>
      </c>
      <c r="I384" t="s">
        <v>198</v>
      </c>
      <c r="J384" t="s">
        <v>49</v>
      </c>
      <c r="K384" t="s">
        <v>18</v>
      </c>
      <c r="L384" t="str">
        <f>T("9791173783234")</f>
        <v>9791173783234</v>
      </c>
      <c r="M384" t="str">
        <f t="shared" si="8"/>
        <v/>
      </c>
      <c r="N384">
        <v>947667</v>
      </c>
    </row>
    <row r="385" spans="1:14" x14ac:dyDescent="0.3">
      <c r="A385" s="1">
        <v>46059.010462962964</v>
      </c>
      <c r="B385">
        <v>384178927</v>
      </c>
      <c r="C385" t="s">
        <v>63</v>
      </c>
      <c r="D385" t="s">
        <v>15</v>
      </c>
      <c r="E385" s="2">
        <v>21000</v>
      </c>
      <c r="F385" s="2">
        <v>21000</v>
      </c>
      <c r="G385" s="2">
        <v>14700</v>
      </c>
      <c r="I385" t="s">
        <v>22</v>
      </c>
      <c r="J385" t="s">
        <v>23</v>
      </c>
      <c r="K385" t="s">
        <v>18</v>
      </c>
      <c r="L385" t="str">
        <f>T("9791175309760")</f>
        <v>9791175309760</v>
      </c>
      <c r="M385" t="str">
        <f t="shared" si="8"/>
        <v/>
      </c>
    </row>
    <row r="386" spans="1:14" x14ac:dyDescent="0.3">
      <c r="A386" s="1">
        <v>46059.038761574076</v>
      </c>
      <c r="B386">
        <v>385348414</v>
      </c>
      <c r="C386" t="s">
        <v>114</v>
      </c>
      <c r="D386" t="s">
        <v>15</v>
      </c>
      <c r="E386" s="2">
        <v>13000</v>
      </c>
      <c r="F386" s="2">
        <v>11700</v>
      </c>
      <c r="G386" s="2">
        <v>8190</v>
      </c>
      <c r="I386" t="s">
        <v>87</v>
      </c>
      <c r="J386" t="s">
        <v>23</v>
      </c>
      <c r="K386" t="s">
        <v>18</v>
      </c>
      <c r="L386" t="str">
        <f>T("9791175308503")</f>
        <v>9791175308503</v>
      </c>
      <c r="M386" t="str">
        <f t="shared" ref="M386:M449" si="9">T("")</f>
        <v/>
      </c>
    </row>
    <row r="387" spans="1:14" x14ac:dyDescent="0.3">
      <c r="A387" s="1">
        <v>46059.084143518521</v>
      </c>
      <c r="B387">
        <v>385348415</v>
      </c>
      <c r="C387" t="s">
        <v>88</v>
      </c>
      <c r="D387" t="s">
        <v>89</v>
      </c>
      <c r="E387" s="2">
        <v>8640</v>
      </c>
      <c r="F387" s="2">
        <v>8640</v>
      </c>
      <c r="G387" s="2">
        <v>6048</v>
      </c>
      <c r="I387" t="s">
        <v>90</v>
      </c>
      <c r="J387" t="s">
        <v>23</v>
      </c>
      <c r="K387" t="s">
        <v>18</v>
      </c>
      <c r="L387" t="str">
        <f>T("9791175308350")</f>
        <v>9791175308350</v>
      </c>
      <c r="M387" t="str">
        <f t="shared" si="9"/>
        <v/>
      </c>
    </row>
    <row r="388" spans="1:14" x14ac:dyDescent="0.3">
      <c r="A388" s="1">
        <v>46059.100821759261</v>
      </c>
      <c r="B388">
        <v>378759383</v>
      </c>
      <c r="C388" t="s">
        <v>177</v>
      </c>
      <c r="D388" t="s">
        <v>15</v>
      </c>
      <c r="E388" s="2">
        <v>3000</v>
      </c>
      <c r="F388" s="2">
        <v>2700</v>
      </c>
      <c r="G388" s="2">
        <v>1890</v>
      </c>
      <c r="I388" t="s">
        <v>87</v>
      </c>
      <c r="J388" t="s">
        <v>23</v>
      </c>
      <c r="K388" t="s">
        <v>18</v>
      </c>
      <c r="L388" t="str">
        <f>T("9791175302853")</f>
        <v>9791175302853</v>
      </c>
      <c r="M388" t="str">
        <f t="shared" si="9"/>
        <v/>
      </c>
      <c r="N388">
        <v>954950</v>
      </c>
    </row>
    <row r="389" spans="1:14" x14ac:dyDescent="0.3">
      <c r="A389" s="1">
        <v>46059.117083333331</v>
      </c>
      <c r="B389">
        <v>366387869</v>
      </c>
      <c r="C389" t="s">
        <v>31</v>
      </c>
      <c r="D389" t="s">
        <v>15</v>
      </c>
      <c r="E389" s="2">
        <v>18300</v>
      </c>
      <c r="F389" s="2">
        <v>18300</v>
      </c>
      <c r="G389" s="2">
        <v>12810</v>
      </c>
      <c r="I389" t="s">
        <v>32</v>
      </c>
      <c r="J389" t="s">
        <v>23</v>
      </c>
      <c r="K389" t="s">
        <v>18</v>
      </c>
      <c r="L389" t="str">
        <f>T("9791173786648")</f>
        <v>9791173786648</v>
      </c>
      <c r="M389" t="str">
        <f t="shared" si="9"/>
        <v/>
      </c>
    </row>
    <row r="390" spans="1:14" x14ac:dyDescent="0.3">
      <c r="A390" s="1">
        <v>46059.161041666666</v>
      </c>
      <c r="B390">
        <v>381539747</v>
      </c>
      <c r="C390" t="s">
        <v>192</v>
      </c>
      <c r="D390" t="s">
        <v>15</v>
      </c>
      <c r="E390">
        <v>0</v>
      </c>
      <c r="F390">
        <v>0</v>
      </c>
      <c r="G390">
        <v>0</v>
      </c>
      <c r="I390" t="s">
        <v>193</v>
      </c>
      <c r="J390" t="s">
        <v>59</v>
      </c>
      <c r="K390" t="s">
        <v>18</v>
      </c>
      <c r="L390" t="str">
        <f>T("9791172921613")</f>
        <v>9791172921613</v>
      </c>
      <c r="M390" t="str">
        <f t="shared" si="9"/>
        <v/>
      </c>
      <c r="N390">
        <v>929943</v>
      </c>
    </row>
    <row r="391" spans="1:14" x14ac:dyDescent="0.3">
      <c r="A391" s="1">
        <v>46059.217662037037</v>
      </c>
      <c r="B391">
        <v>365656697</v>
      </c>
      <c r="C391" t="s">
        <v>239</v>
      </c>
      <c r="D391" t="s">
        <v>15</v>
      </c>
      <c r="E391" s="2">
        <v>7200</v>
      </c>
      <c r="F391" s="2">
        <v>7200</v>
      </c>
      <c r="G391" s="2">
        <v>5040</v>
      </c>
      <c r="I391" t="s">
        <v>240</v>
      </c>
      <c r="J391" t="s">
        <v>49</v>
      </c>
      <c r="K391" t="s">
        <v>18</v>
      </c>
      <c r="L391" t="str">
        <f>T("9791173783630")</f>
        <v>9791173783630</v>
      </c>
      <c r="M391" t="str">
        <f t="shared" si="9"/>
        <v/>
      </c>
    </row>
    <row r="392" spans="1:14" x14ac:dyDescent="0.3">
      <c r="A392" s="1">
        <v>46059.243402777778</v>
      </c>
      <c r="B392">
        <v>378759383</v>
      </c>
      <c r="C392" t="s">
        <v>177</v>
      </c>
      <c r="D392" t="s">
        <v>15</v>
      </c>
      <c r="E392" s="2">
        <v>3000</v>
      </c>
      <c r="F392" s="2">
        <v>2700</v>
      </c>
      <c r="G392" s="2">
        <v>1890</v>
      </c>
      <c r="I392" t="s">
        <v>87</v>
      </c>
      <c r="J392" t="s">
        <v>23</v>
      </c>
      <c r="K392" t="s">
        <v>18</v>
      </c>
      <c r="L392" t="str">
        <f>T("9791175302853")</f>
        <v>9791175302853</v>
      </c>
      <c r="M392" t="str">
        <f t="shared" si="9"/>
        <v/>
      </c>
      <c r="N392">
        <v>954950</v>
      </c>
    </row>
    <row r="393" spans="1:14" x14ac:dyDescent="0.3">
      <c r="A393" s="1">
        <v>46059.243402777778</v>
      </c>
      <c r="B393">
        <v>378759372</v>
      </c>
      <c r="C393" t="s">
        <v>180</v>
      </c>
      <c r="D393" t="s">
        <v>15</v>
      </c>
      <c r="E393" s="2">
        <v>3000</v>
      </c>
      <c r="F393" s="2">
        <v>2700</v>
      </c>
      <c r="G393" s="2">
        <v>1890</v>
      </c>
      <c r="I393" t="s">
        <v>87</v>
      </c>
      <c r="J393" t="s">
        <v>23</v>
      </c>
      <c r="K393" t="s">
        <v>18</v>
      </c>
      <c r="L393" t="str">
        <f>T("9791175302860")</f>
        <v>9791175302860</v>
      </c>
      <c r="M393" t="str">
        <f t="shared" si="9"/>
        <v/>
      </c>
      <c r="N393">
        <v>954949</v>
      </c>
    </row>
    <row r="394" spans="1:14" x14ac:dyDescent="0.3">
      <c r="A394" s="1">
        <v>46059.243402777778</v>
      </c>
      <c r="B394">
        <v>378759363</v>
      </c>
      <c r="C394" t="s">
        <v>179</v>
      </c>
      <c r="D394" t="s">
        <v>15</v>
      </c>
      <c r="E394" s="2">
        <v>3000</v>
      </c>
      <c r="F394" s="2">
        <v>2700</v>
      </c>
      <c r="G394" s="2">
        <v>1890</v>
      </c>
      <c r="I394" t="s">
        <v>87</v>
      </c>
      <c r="J394" t="s">
        <v>23</v>
      </c>
      <c r="K394" t="s">
        <v>18</v>
      </c>
      <c r="L394" t="str">
        <f>T("9791175302778")</f>
        <v>9791175302778</v>
      </c>
      <c r="M394" t="str">
        <f t="shared" si="9"/>
        <v/>
      </c>
      <c r="N394">
        <v>954952</v>
      </c>
    </row>
    <row r="395" spans="1:14" x14ac:dyDescent="0.3">
      <c r="A395" s="1">
        <v>46059.243402777778</v>
      </c>
      <c r="B395">
        <v>378759411</v>
      </c>
      <c r="C395" t="s">
        <v>178</v>
      </c>
      <c r="D395" t="s">
        <v>15</v>
      </c>
      <c r="E395" s="2">
        <v>3000</v>
      </c>
      <c r="F395" s="2">
        <v>2700</v>
      </c>
      <c r="G395" s="2">
        <v>1890</v>
      </c>
      <c r="I395" t="s">
        <v>87</v>
      </c>
      <c r="J395" t="s">
        <v>23</v>
      </c>
      <c r="K395" t="s">
        <v>18</v>
      </c>
      <c r="L395" t="str">
        <f>T("9791175302846")</f>
        <v>9791175302846</v>
      </c>
      <c r="M395" t="str">
        <f t="shared" si="9"/>
        <v/>
      </c>
      <c r="N395">
        <v>954951</v>
      </c>
    </row>
    <row r="396" spans="1:14" x14ac:dyDescent="0.3">
      <c r="A396" s="1">
        <v>46059.243402777778</v>
      </c>
      <c r="B396">
        <v>385347659</v>
      </c>
      <c r="C396" t="s">
        <v>86</v>
      </c>
      <c r="D396" t="s">
        <v>15</v>
      </c>
      <c r="E396" s="2">
        <v>1000</v>
      </c>
      <c r="F396">
        <v>900</v>
      </c>
      <c r="G396">
        <v>630</v>
      </c>
      <c r="I396" t="s">
        <v>87</v>
      </c>
      <c r="J396" t="s">
        <v>23</v>
      </c>
      <c r="K396" t="s">
        <v>18</v>
      </c>
      <c r="L396" t="str">
        <f>T("9791175308510")</f>
        <v>9791175308510</v>
      </c>
      <c r="M396" t="str">
        <f t="shared" si="9"/>
        <v/>
      </c>
      <c r="N396">
        <v>957881</v>
      </c>
    </row>
    <row r="397" spans="1:14" x14ac:dyDescent="0.3">
      <c r="A397" s="1">
        <v>46059.320185185185</v>
      </c>
      <c r="B397">
        <v>327906652</v>
      </c>
      <c r="C397" t="s">
        <v>241</v>
      </c>
      <c r="D397" t="s">
        <v>15</v>
      </c>
      <c r="E397" s="2">
        <v>124800</v>
      </c>
      <c r="F397" s="2">
        <v>124800</v>
      </c>
      <c r="G397" s="2">
        <v>87360</v>
      </c>
      <c r="I397" t="s">
        <v>193</v>
      </c>
      <c r="J397" t="s">
        <v>59</v>
      </c>
      <c r="K397" t="s">
        <v>18</v>
      </c>
      <c r="L397" t="str">
        <f>T("9791136934451")</f>
        <v>9791136934451</v>
      </c>
      <c r="M397" t="str">
        <f t="shared" si="9"/>
        <v/>
      </c>
    </row>
    <row r="398" spans="1:14" x14ac:dyDescent="0.3">
      <c r="A398" s="1">
        <v>46059.349340277775</v>
      </c>
      <c r="B398">
        <v>385348415</v>
      </c>
      <c r="C398" t="s">
        <v>88</v>
      </c>
      <c r="D398" t="s">
        <v>15</v>
      </c>
      <c r="E398" s="2">
        <v>9600</v>
      </c>
      <c r="F398" s="2">
        <v>8640</v>
      </c>
      <c r="G398" s="2">
        <v>6048</v>
      </c>
      <c r="I398" t="s">
        <v>90</v>
      </c>
      <c r="J398" t="s">
        <v>23</v>
      </c>
      <c r="K398" t="s">
        <v>18</v>
      </c>
      <c r="L398" t="str">
        <f>T("9791175308350")</f>
        <v>9791175308350</v>
      </c>
      <c r="M398" t="str">
        <f t="shared" si="9"/>
        <v/>
      </c>
    </row>
    <row r="399" spans="1:14" x14ac:dyDescent="0.3">
      <c r="A399" s="1">
        <v>46059.387812499997</v>
      </c>
      <c r="B399">
        <v>385348415</v>
      </c>
      <c r="C399" t="s">
        <v>88</v>
      </c>
      <c r="D399" t="s">
        <v>89</v>
      </c>
      <c r="E399" s="2">
        <v>-8640</v>
      </c>
      <c r="F399" s="2">
        <v>-8640</v>
      </c>
      <c r="G399" s="2">
        <v>-6048</v>
      </c>
      <c r="H399" s="1">
        <v>46059.381608796299</v>
      </c>
      <c r="I399" t="s">
        <v>90</v>
      </c>
      <c r="J399" t="s">
        <v>23</v>
      </c>
      <c r="K399" t="s">
        <v>18</v>
      </c>
      <c r="L399" t="str">
        <f>T("9791175308350")</f>
        <v>9791175308350</v>
      </c>
      <c r="M399" t="str">
        <f t="shared" si="9"/>
        <v/>
      </c>
    </row>
    <row r="400" spans="1:14" x14ac:dyDescent="0.3">
      <c r="A400" s="1">
        <v>46059.381608796299</v>
      </c>
      <c r="B400">
        <v>385348415</v>
      </c>
      <c r="C400" t="s">
        <v>88</v>
      </c>
      <c r="D400" t="s">
        <v>89</v>
      </c>
      <c r="E400" s="2">
        <v>8640</v>
      </c>
      <c r="F400" s="2">
        <v>8640</v>
      </c>
      <c r="G400" s="2">
        <v>6048</v>
      </c>
      <c r="I400" t="s">
        <v>90</v>
      </c>
      <c r="J400" t="s">
        <v>23</v>
      </c>
      <c r="K400" t="s">
        <v>18</v>
      </c>
      <c r="L400" t="str">
        <f>T("9791175308350")</f>
        <v>9791175308350</v>
      </c>
      <c r="M400" t="str">
        <f t="shared" si="9"/>
        <v/>
      </c>
    </row>
    <row r="401" spans="1:14" x14ac:dyDescent="0.3">
      <c r="A401" s="1">
        <v>46059.398657407408</v>
      </c>
      <c r="B401">
        <v>385347620</v>
      </c>
      <c r="C401" t="s">
        <v>84</v>
      </c>
      <c r="D401" t="s">
        <v>15</v>
      </c>
      <c r="E401">
        <v>0</v>
      </c>
      <c r="F401">
        <v>0</v>
      </c>
      <c r="G401">
        <v>0</v>
      </c>
      <c r="I401" t="s">
        <v>85</v>
      </c>
      <c r="J401" t="s">
        <v>59</v>
      </c>
      <c r="K401" t="s">
        <v>18</v>
      </c>
      <c r="L401" t="str">
        <f>T("9791136943897")</f>
        <v>9791136943897</v>
      </c>
      <c r="M401" t="str">
        <f t="shared" si="9"/>
        <v/>
      </c>
      <c r="N401">
        <v>917706</v>
      </c>
    </row>
    <row r="402" spans="1:14" x14ac:dyDescent="0.3">
      <c r="A402" s="1">
        <v>46059.406342592592</v>
      </c>
      <c r="B402">
        <v>385348415</v>
      </c>
      <c r="C402" t="s">
        <v>88</v>
      </c>
      <c r="D402" t="s">
        <v>89</v>
      </c>
      <c r="E402" s="2">
        <v>8640</v>
      </c>
      <c r="F402" s="2">
        <v>8640</v>
      </c>
      <c r="G402" s="2">
        <v>6048</v>
      </c>
      <c r="I402" t="s">
        <v>90</v>
      </c>
      <c r="J402" t="s">
        <v>23</v>
      </c>
      <c r="K402" t="s">
        <v>18</v>
      </c>
      <c r="L402" t="str">
        <f>T("9791175308350")</f>
        <v>9791175308350</v>
      </c>
      <c r="M402" t="str">
        <f t="shared" si="9"/>
        <v/>
      </c>
    </row>
    <row r="403" spans="1:14" x14ac:dyDescent="0.3">
      <c r="A403" s="1">
        <v>46059.428865740738</v>
      </c>
      <c r="B403">
        <v>100621862</v>
      </c>
      <c r="C403" t="s">
        <v>242</v>
      </c>
      <c r="D403" t="s">
        <v>15</v>
      </c>
      <c r="E403" s="2">
        <v>8000</v>
      </c>
      <c r="F403" s="2">
        <v>7200</v>
      </c>
      <c r="G403" s="2">
        <v>5040</v>
      </c>
      <c r="I403" t="s">
        <v>243</v>
      </c>
      <c r="J403" t="s">
        <v>20</v>
      </c>
      <c r="K403" t="s">
        <v>18</v>
      </c>
      <c r="L403" t="str">
        <f>T("9791133145324")</f>
        <v>9791133145324</v>
      </c>
      <c r="M403" t="str">
        <f t="shared" si="9"/>
        <v/>
      </c>
      <c r="N403">
        <v>407876</v>
      </c>
    </row>
    <row r="404" spans="1:14" x14ac:dyDescent="0.3">
      <c r="A404" s="1">
        <v>46059.428865740738</v>
      </c>
      <c r="B404">
        <v>98588392</v>
      </c>
      <c r="C404" t="s">
        <v>244</v>
      </c>
      <c r="D404" t="s">
        <v>15</v>
      </c>
      <c r="E404" s="2">
        <v>8000</v>
      </c>
      <c r="F404" s="2">
        <v>7200</v>
      </c>
      <c r="G404" s="2">
        <v>5040</v>
      </c>
      <c r="I404" t="s">
        <v>243</v>
      </c>
      <c r="J404" t="s">
        <v>20</v>
      </c>
      <c r="K404" t="s">
        <v>18</v>
      </c>
      <c r="L404" t="str">
        <f>T("9791133145096")</f>
        <v>9791133145096</v>
      </c>
      <c r="M404" t="str">
        <f t="shared" si="9"/>
        <v/>
      </c>
      <c r="N404">
        <v>400395</v>
      </c>
    </row>
    <row r="405" spans="1:14" x14ac:dyDescent="0.3">
      <c r="A405" s="1">
        <v>46059.433032407411</v>
      </c>
      <c r="B405">
        <v>385636847</v>
      </c>
      <c r="C405" t="s">
        <v>245</v>
      </c>
      <c r="D405" t="s">
        <v>15</v>
      </c>
      <c r="E405" s="2">
        <v>10500</v>
      </c>
      <c r="F405" s="2">
        <v>9450</v>
      </c>
      <c r="G405" s="2">
        <v>6615</v>
      </c>
      <c r="I405" t="s">
        <v>246</v>
      </c>
      <c r="J405" t="s">
        <v>23</v>
      </c>
      <c r="K405" t="s">
        <v>18</v>
      </c>
      <c r="L405" t="str">
        <f>T("9791175309517")</f>
        <v>9791175309517</v>
      </c>
      <c r="M405" t="str">
        <f t="shared" si="9"/>
        <v/>
      </c>
    </row>
    <row r="406" spans="1:14" x14ac:dyDescent="0.3">
      <c r="A406" s="1">
        <v>46059.440972222219</v>
      </c>
      <c r="B406">
        <v>385636847</v>
      </c>
      <c r="C406" t="s">
        <v>245</v>
      </c>
      <c r="D406" t="s">
        <v>89</v>
      </c>
      <c r="E406" s="2">
        <v>9450</v>
      </c>
      <c r="F406" s="2">
        <v>9450</v>
      </c>
      <c r="G406" s="2">
        <v>6615</v>
      </c>
      <c r="I406" t="s">
        <v>246</v>
      </c>
      <c r="J406" t="s">
        <v>23</v>
      </c>
      <c r="K406" t="s">
        <v>18</v>
      </c>
      <c r="L406" t="str">
        <f>T("9791175309517")</f>
        <v>9791175309517</v>
      </c>
      <c r="M406" t="str">
        <f t="shared" si="9"/>
        <v/>
      </c>
    </row>
    <row r="407" spans="1:14" x14ac:dyDescent="0.3">
      <c r="A407" s="1">
        <v>46059.458680555559</v>
      </c>
      <c r="B407">
        <v>385348414</v>
      </c>
      <c r="C407" t="s">
        <v>114</v>
      </c>
      <c r="D407" t="s">
        <v>89</v>
      </c>
      <c r="E407" s="2">
        <v>11700</v>
      </c>
      <c r="F407" s="2">
        <v>11700</v>
      </c>
      <c r="G407" s="2">
        <v>8190</v>
      </c>
      <c r="I407" t="s">
        <v>87</v>
      </c>
      <c r="J407" t="s">
        <v>23</v>
      </c>
      <c r="K407" t="s">
        <v>18</v>
      </c>
      <c r="L407" t="str">
        <f>T("9791175308503")</f>
        <v>9791175308503</v>
      </c>
      <c r="M407" t="str">
        <f t="shared" si="9"/>
        <v/>
      </c>
    </row>
    <row r="408" spans="1:14" x14ac:dyDescent="0.3">
      <c r="A408" s="1">
        <v>46059.462256944447</v>
      </c>
      <c r="B408">
        <v>384177413</v>
      </c>
      <c r="C408" t="s">
        <v>247</v>
      </c>
      <c r="D408" t="s">
        <v>15</v>
      </c>
      <c r="E408" s="2">
        <v>3500</v>
      </c>
      <c r="F408" s="2">
        <v>3500</v>
      </c>
      <c r="G408" s="2">
        <v>2450</v>
      </c>
      <c r="I408" t="s">
        <v>22</v>
      </c>
      <c r="J408" t="s">
        <v>23</v>
      </c>
      <c r="K408" t="s">
        <v>18</v>
      </c>
      <c r="L408" t="str">
        <f>T("9791175309777")</f>
        <v>9791175309777</v>
      </c>
      <c r="M408" t="str">
        <f t="shared" si="9"/>
        <v/>
      </c>
      <c r="N408">
        <v>958597</v>
      </c>
    </row>
    <row r="409" spans="1:14" x14ac:dyDescent="0.3">
      <c r="A409" s="1">
        <v>46059.484097222223</v>
      </c>
      <c r="B409">
        <v>314773148</v>
      </c>
      <c r="C409" t="s">
        <v>248</v>
      </c>
      <c r="D409" t="s">
        <v>15</v>
      </c>
      <c r="E409">
        <v>0</v>
      </c>
      <c r="F409">
        <v>0</v>
      </c>
      <c r="G409">
        <v>0</v>
      </c>
      <c r="I409" t="s">
        <v>85</v>
      </c>
      <c r="J409" t="s">
        <v>59</v>
      </c>
      <c r="K409" t="s">
        <v>18</v>
      </c>
      <c r="L409" t="str">
        <f>T("9791136933065")</f>
        <v>9791136933065</v>
      </c>
      <c r="M409" t="str">
        <f t="shared" si="9"/>
        <v/>
      </c>
      <c r="N409">
        <v>896436</v>
      </c>
    </row>
    <row r="410" spans="1:14" x14ac:dyDescent="0.3">
      <c r="A410" s="1">
        <v>46059.485902777778</v>
      </c>
      <c r="B410">
        <v>385348415</v>
      </c>
      <c r="C410" t="s">
        <v>88</v>
      </c>
      <c r="D410" t="s">
        <v>89</v>
      </c>
      <c r="E410" s="2">
        <v>8640</v>
      </c>
      <c r="F410" s="2">
        <v>8640</v>
      </c>
      <c r="G410" s="2">
        <v>6048</v>
      </c>
      <c r="I410" t="s">
        <v>90</v>
      </c>
      <c r="J410" t="s">
        <v>23</v>
      </c>
      <c r="K410" t="s">
        <v>18</v>
      </c>
      <c r="L410" t="str">
        <f>T("9791175308350")</f>
        <v>9791175308350</v>
      </c>
      <c r="M410" t="str">
        <f t="shared" si="9"/>
        <v/>
      </c>
    </row>
    <row r="411" spans="1:14" x14ac:dyDescent="0.3">
      <c r="A411" s="1">
        <v>46059.489675925928</v>
      </c>
      <c r="B411">
        <v>385348415</v>
      </c>
      <c r="C411" t="s">
        <v>88</v>
      </c>
      <c r="D411" t="s">
        <v>89</v>
      </c>
      <c r="E411" s="2">
        <v>8640</v>
      </c>
      <c r="F411" s="2">
        <v>8640</v>
      </c>
      <c r="G411" s="2">
        <v>6048</v>
      </c>
      <c r="I411" t="s">
        <v>90</v>
      </c>
      <c r="J411" t="s">
        <v>23</v>
      </c>
      <c r="K411" t="s">
        <v>18</v>
      </c>
      <c r="L411" t="str">
        <f>T("9791175308350")</f>
        <v>9791175308350</v>
      </c>
      <c r="M411" t="str">
        <f t="shared" si="9"/>
        <v/>
      </c>
    </row>
    <row r="412" spans="1:14" x14ac:dyDescent="0.3">
      <c r="A412" s="1">
        <v>46059.493460648147</v>
      </c>
      <c r="B412">
        <v>384177545</v>
      </c>
      <c r="C412" t="s">
        <v>249</v>
      </c>
      <c r="D412" t="s">
        <v>15</v>
      </c>
      <c r="E412" s="2">
        <v>3500</v>
      </c>
      <c r="F412" s="2">
        <v>3500</v>
      </c>
      <c r="G412" s="2">
        <v>2450</v>
      </c>
      <c r="I412" t="s">
        <v>22</v>
      </c>
      <c r="J412" t="s">
        <v>23</v>
      </c>
      <c r="K412" t="s">
        <v>18</v>
      </c>
      <c r="L412" t="str">
        <f>T("9791175309784")</f>
        <v>9791175309784</v>
      </c>
      <c r="M412" t="str">
        <f t="shared" si="9"/>
        <v/>
      </c>
      <c r="N412">
        <v>958596</v>
      </c>
    </row>
    <row r="413" spans="1:14" x14ac:dyDescent="0.3">
      <c r="A413" s="1">
        <v>46059.500173611108</v>
      </c>
      <c r="B413">
        <v>385636847</v>
      </c>
      <c r="C413" t="s">
        <v>245</v>
      </c>
      <c r="D413" t="s">
        <v>89</v>
      </c>
      <c r="E413" s="2">
        <v>9450</v>
      </c>
      <c r="F413" s="2">
        <v>9450</v>
      </c>
      <c r="G413" s="2">
        <v>6615</v>
      </c>
      <c r="I413" t="s">
        <v>246</v>
      </c>
      <c r="J413" t="s">
        <v>23</v>
      </c>
      <c r="K413" t="s">
        <v>18</v>
      </c>
      <c r="L413" t="str">
        <f>T("9791175309517")</f>
        <v>9791175309517</v>
      </c>
      <c r="M413" t="str">
        <f t="shared" si="9"/>
        <v/>
      </c>
    </row>
    <row r="414" spans="1:14" x14ac:dyDescent="0.3">
      <c r="A414" s="1">
        <v>46059.519155092596</v>
      </c>
      <c r="B414">
        <v>384177498</v>
      </c>
      <c r="C414" t="s">
        <v>108</v>
      </c>
      <c r="D414" t="s">
        <v>15</v>
      </c>
      <c r="E414" s="2">
        <v>3500</v>
      </c>
      <c r="F414" s="2">
        <v>3500</v>
      </c>
      <c r="G414" s="2">
        <v>2450</v>
      </c>
      <c r="I414" t="s">
        <v>22</v>
      </c>
      <c r="J414" t="s">
        <v>23</v>
      </c>
      <c r="K414" t="s">
        <v>18</v>
      </c>
      <c r="L414" t="str">
        <f>T("9791175309791")</f>
        <v>9791175309791</v>
      </c>
      <c r="M414" t="str">
        <f t="shared" si="9"/>
        <v/>
      </c>
      <c r="N414">
        <v>958595</v>
      </c>
    </row>
    <row r="415" spans="1:14" x14ac:dyDescent="0.3">
      <c r="A415" s="1">
        <v>46059.541643518518</v>
      </c>
      <c r="B415">
        <v>384177514</v>
      </c>
      <c r="C415" t="s">
        <v>109</v>
      </c>
      <c r="D415" t="s">
        <v>15</v>
      </c>
      <c r="E415" s="2">
        <v>3500</v>
      </c>
      <c r="F415" s="2">
        <v>3500</v>
      </c>
      <c r="G415" s="2">
        <v>2450</v>
      </c>
      <c r="I415" t="s">
        <v>22</v>
      </c>
      <c r="J415" t="s">
        <v>23</v>
      </c>
      <c r="K415" t="s">
        <v>18</v>
      </c>
      <c r="L415" t="str">
        <f>T("9791175309807")</f>
        <v>9791175309807</v>
      </c>
      <c r="M415" t="str">
        <f t="shared" si="9"/>
        <v/>
      </c>
      <c r="N415">
        <v>958594</v>
      </c>
    </row>
    <row r="416" spans="1:14" x14ac:dyDescent="0.3">
      <c r="A416" s="1">
        <v>46059.562164351853</v>
      </c>
      <c r="B416">
        <v>373442873</v>
      </c>
      <c r="C416" t="s">
        <v>166</v>
      </c>
      <c r="D416" t="s">
        <v>89</v>
      </c>
      <c r="E416">
        <v>810</v>
      </c>
      <c r="F416">
        <v>810</v>
      </c>
      <c r="G416">
        <v>567</v>
      </c>
      <c r="I416" t="s">
        <v>58</v>
      </c>
      <c r="J416" t="s">
        <v>59</v>
      </c>
      <c r="K416" t="s">
        <v>18</v>
      </c>
      <c r="L416" t="str">
        <f>T("9791173784323")</f>
        <v>9791173784323</v>
      </c>
      <c r="M416" t="str">
        <f t="shared" si="9"/>
        <v/>
      </c>
      <c r="N416">
        <v>948950</v>
      </c>
    </row>
    <row r="417" spans="1:14" x14ac:dyDescent="0.3">
      <c r="A417" s="1">
        <v>46059.566631944443</v>
      </c>
      <c r="B417">
        <v>374949012</v>
      </c>
      <c r="C417" t="s">
        <v>250</v>
      </c>
      <c r="D417" t="s">
        <v>15</v>
      </c>
      <c r="E417" s="2">
        <v>2500</v>
      </c>
      <c r="F417" s="2">
        <v>2500</v>
      </c>
      <c r="G417" s="2">
        <v>1750</v>
      </c>
      <c r="I417" t="s">
        <v>251</v>
      </c>
      <c r="J417" t="s">
        <v>23</v>
      </c>
      <c r="K417" t="s">
        <v>18</v>
      </c>
      <c r="L417" t="str">
        <f>T("9791175305045")</f>
        <v>9791175305045</v>
      </c>
      <c r="M417" t="str">
        <f t="shared" si="9"/>
        <v/>
      </c>
      <c r="N417">
        <v>952375</v>
      </c>
    </row>
    <row r="418" spans="1:14" x14ac:dyDescent="0.3">
      <c r="A418" s="1">
        <v>46059.567060185182</v>
      </c>
      <c r="B418">
        <v>384177437</v>
      </c>
      <c r="C418" t="s">
        <v>111</v>
      </c>
      <c r="D418" t="s">
        <v>15</v>
      </c>
      <c r="E418" s="2">
        <v>3500</v>
      </c>
      <c r="F418" s="2">
        <v>3500</v>
      </c>
      <c r="G418" s="2">
        <v>2450</v>
      </c>
      <c r="I418" t="s">
        <v>22</v>
      </c>
      <c r="J418" t="s">
        <v>23</v>
      </c>
      <c r="K418" t="s">
        <v>18</v>
      </c>
      <c r="L418" t="str">
        <f>T("9791175309814")</f>
        <v>9791175309814</v>
      </c>
      <c r="M418" t="str">
        <f t="shared" si="9"/>
        <v/>
      </c>
      <c r="N418">
        <v>958593</v>
      </c>
    </row>
    <row r="419" spans="1:14" x14ac:dyDescent="0.3">
      <c r="A419" s="1">
        <v>46059.656307870369</v>
      </c>
      <c r="B419">
        <v>385348415</v>
      </c>
      <c r="C419" t="s">
        <v>88</v>
      </c>
      <c r="D419" t="s">
        <v>89</v>
      </c>
      <c r="E419" s="2">
        <v>8640</v>
      </c>
      <c r="F419" s="2">
        <v>8640</v>
      </c>
      <c r="G419" s="2">
        <v>6048</v>
      </c>
      <c r="I419" t="s">
        <v>90</v>
      </c>
      <c r="J419" t="s">
        <v>23</v>
      </c>
      <c r="K419" t="s">
        <v>18</v>
      </c>
      <c r="L419" t="str">
        <f>T("9791175308350")</f>
        <v>9791175308350</v>
      </c>
      <c r="M419" t="str">
        <f t="shared" si="9"/>
        <v/>
      </c>
    </row>
    <row r="420" spans="1:14" x14ac:dyDescent="0.3">
      <c r="A420" s="1">
        <v>46059.662673611114</v>
      </c>
      <c r="B420">
        <v>385636847</v>
      </c>
      <c r="C420" t="s">
        <v>245</v>
      </c>
      <c r="D420" t="s">
        <v>89</v>
      </c>
      <c r="E420" s="2">
        <v>9450</v>
      </c>
      <c r="F420" s="2">
        <v>9450</v>
      </c>
      <c r="G420" s="2">
        <v>6615</v>
      </c>
      <c r="I420" t="s">
        <v>246</v>
      </c>
      <c r="J420" t="s">
        <v>23</v>
      </c>
      <c r="K420" t="s">
        <v>18</v>
      </c>
      <c r="L420" t="str">
        <f>T("9791175309517")</f>
        <v>9791175309517</v>
      </c>
      <c r="M420" t="str">
        <f t="shared" si="9"/>
        <v/>
      </c>
    </row>
    <row r="421" spans="1:14" x14ac:dyDescent="0.3">
      <c r="A421" s="1">
        <v>46059.69127314815</v>
      </c>
      <c r="B421">
        <v>385636847</v>
      </c>
      <c r="C421" t="s">
        <v>245</v>
      </c>
      <c r="D421" t="s">
        <v>89</v>
      </c>
      <c r="E421" s="2">
        <v>9450</v>
      </c>
      <c r="F421" s="2">
        <v>9450</v>
      </c>
      <c r="G421" s="2">
        <v>6615</v>
      </c>
      <c r="I421" t="s">
        <v>246</v>
      </c>
      <c r="J421" t="s">
        <v>23</v>
      </c>
      <c r="K421" t="s">
        <v>18</v>
      </c>
      <c r="L421" t="str">
        <f>T("9791175309517")</f>
        <v>9791175309517</v>
      </c>
      <c r="M421" t="str">
        <f t="shared" si="9"/>
        <v/>
      </c>
    </row>
    <row r="422" spans="1:14" x14ac:dyDescent="0.3">
      <c r="A422" s="1">
        <v>46059.704618055555</v>
      </c>
      <c r="B422">
        <v>385347620</v>
      </c>
      <c r="C422" t="s">
        <v>84</v>
      </c>
      <c r="D422" t="s">
        <v>15</v>
      </c>
      <c r="E422">
        <v>0</v>
      </c>
      <c r="F422">
        <v>0</v>
      </c>
      <c r="G422">
        <v>0</v>
      </c>
      <c r="I422" t="s">
        <v>85</v>
      </c>
      <c r="J422" t="s">
        <v>59</v>
      </c>
      <c r="K422" t="s">
        <v>18</v>
      </c>
      <c r="L422" t="str">
        <f>T("9791136943897")</f>
        <v>9791136943897</v>
      </c>
      <c r="M422" t="str">
        <f t="shared" si="9"/>
        <v/>
      </c>
      <c r="N422">
        <v>917706</v>
      </c>
    </row>
    <row r="423" spans="1:14" x14ac:dyDescent="0.3">
      <c r="A423" s="1">
        <v>46059.728506944448</v>
      </c>
      <c r="B423">
        <v>363863658</v>
      </c>
      <c r="C423" t="s">
        <v>252</v>
      </c>
      <c r="D423" t="s">
        <v>15</v>
      </c>
      <c r="E423" s="2">
        <v>10800</v>
      </c>
      <c r="F423" s="2">
        <v>10800</v>
      </c>
      <c r="G423" s="2">
        <v>7560</v>
      </c>
      <c r="I423" t="s">
        <v>210</v>
      </c>
      <c r="J423" t="s">
        <v>23</v>
      </c>
      <c r="K423" t="s">
        <v>18</v>
      </c>
      <c r="L423" t="str">
        <f>T("9791173783470")</f>
        <v>9791173783470</v>
      </c>
      <c r="M423" t="str">
        <f t="shared" si="9"/>
        <v/>
      </c>
    </row>
    <row r="424" spans="1:14" x14ac:dyDescent="0.3">
      <c r="A424" s="1">
        <v>46059.74728009259</v>
      </c>
      <c r="B424">
        <v>385348415</v>
      </c>
      <c r="C424" t="s">
        <v>88</v>
      </c>
      <c r="D424" t="s">
        <v>89</v>
      </c>
      <c r="E424" s="2">
        <v>8640</v>
      </c>
      <c r="F424" s="2">
        <v>8640</v>
      </c>
      <c r="G424" s="2">
        <v>6048</v>
      </c>
      <c r="I424" t="s">
        <v>90</v>
      </c>
      <c r="J424" t="s">
        <v>23</v>
      </c>
      <c r="K424" t="s">
        <v>18</v>
      </c>
      <c r="L424" t="str">
        <f>T("9791175308350")</f>
        <v>9791175308350</v>
      </c>
      <c r="M424" t="str">
        <f t="shared" si="9"/>
        <v/>
      </c>
    </row>
    <row r="425" spans="1:14" x14ac:dyDescent="0.3">
      <c r="A425" s="1">
        <v>46059.762025462966</v>
      </c>
      <c r="B425">
        <v>385636847</v>
      </c>
      <c r="C425" t="s">
        <v>245</v>
      </c>
      <c r="D425" t="s">
        <v>89</v>
      </c>
      <c r="E425" s="2">
        <v>9450</v>
      </c>
      <c r="F425" s="2">
        <v>9450</v>
      </c>
      <c r="G425" s="2">
        <v>6615</v>
      </c>
      <c r="I425" t="s">
        <v>246</v>
      </c>
      <c r="J425" t="s">
        <v>23</v>
      </c>
      <c r="K425" t="s">
        <v>18</v>
      </c>
      <c r="L425" t="str">
        <f>T("9791175309517")</f>
        <v>9791175309517</v>
      </c>
      <c r="M425" t="str">
        <f t="shared" si="9"/>
        <v/>
      </c>
    </row>
    <row r="426" spans="1:14" x14ac:dyDescent="0.3">
      <c r="A426" s="1">
        <v>46059.764768518522</v>
      </c>
      <c r="B426">
        <v>60556547</v>
      </c>
      <c r="C426" t="s">
        <v>253</v>
      </c>
      <c r="D426" t="s">
        <v>15</v>
      </c>
      <c r="E426" s="2">
        <v>3000</v>
      </c>
      <c r="F426" s="2">
        <v>3000</v>
      </c>
      <c r="G426" s="2">
        <v>2100</v>
      </c>
      <c r="I426" t="s">
        <v>27</v>
      </c>
      <c r="J426" t="s">
        <v>79</v>
      </c>
      <c r="K426" t="s">
        <v>18</v>
      </c>
      <c r="L426" t="str">
        <f>T("9791133101566")</f>
        <v>9791133101566</v>
      </c>
      <c r="M426" t="str">
        <f t="shared" si="9"/>
        <v/>
      </c>
      <c r="N426">
        <v>294787</v>
      </c>
    </row>
    <row r="427" spans="1:14" x14ac:dyDescent="0.3">
      <c r="A427" s="1">
        <v>46059.764768518522</v>
      </c>
      <c r="B427">
        <v>60556548</v>
      </c>
      <c r="C427" t="s">
        <v>254</v>
      </c>
      <c r="D427" t="s">
        <v>15</v>
      </c>
      <c r="E427" s="2">
        <v>3000</v>
      </c>
      <c r="F427" s="2">
        <v>3000</v>
      </c>
      <c r="G427" s="2">
        <v>2100</v>
      </c>
      <c r="I427" t="s">
        <v>27</v>
      </c>
      <c r="J427" t="s">
        <v>79</v>
      </c>
      <c r="K427" t="s">
        <v>18</v>
      </c>
      <c r="L427" t="str">
        <f>T("9791133101573")</f>
        <v>9791133101573</v>
      </c>
      <c r="M427" t="str">
        <f t="shared" si="9"/>
        <v/>
      </c>
      <c r="N427">
        <v>294788</v>
      </c>
    </row>
    <row r="428" spans="1:14" x14ac:dyDescent="0.3">
      <c r="A428" s="1">
        <v>46059.764768518522</v>
      </c>
      <c r="B428">
        <v>60556545</v>
      </c>
      <c r="C428" t="s">
        <v>255</v>
      </c>
      <c r="D428" t="s">
        <v>15</v>
      </c>
      <c r="E428">
        <v>0</v>
      </c>
      <c r="F428">
        <v>0</v>
      </c>
      <c r="G428">
        <v>0</v>
      </c>
      <c r="I428" t="s">
        <v>27</v>
      </c>
      <c r="J428" t="s">
        <v>79</v>
      </c>
      <c r="K428" t="s">
        <v>18</v>
      </c>
      <c r="L428" t="str">
        <f>T("9791133101795")</f>
        <v>9791133101795</v>
      </c>
      <c r="M428" t="str">
        <f t="shared" si="9"/>
        <v/>
      </c>
      <c r="N428">
        <v>294785</v>
      </c>
    </row>
    <row r="429" spans="1:14" x14ac:dyDescent="0.3">
      <c r="A429" s="1">
        <v>46059.764768518522</v>
      </c>
      <c r="B429">
        <v>60556546</v>
      </c>
      <c r="C429" t="s">
        <v>256</v>
      </c>
      <c r="D429" t="s">
        <v>15</v>
      </c>
      <c r="E429" s="2">
        <v>3000</v>
      </c>
      <c r="F429" s="2">
        <v>3000</v>
      </c>
      <c r="G429" s="2">
        <v>2100</v>
      </c>
      <c r="I429" t="s">
        <v>27</v>
      </c>
      <c r="J429" t="s">
        <v>79</v>
      </c>
      <c r="K429" t="s">
        <v>18</v>
      </c>
      <c r="L429" t="str">
        <f>T("9791133101559")</f>
        <v>9791133101559</v>
      </c>
      <c r="M429" t="str">
        <f t="shared" si="9"/>
        <v/>
      </c>
      <c r="N429">
        <v>294786</v>
      </c>
    </row>
    <row r="430" spans="1:14" x14ac:dyDescent="0.3">
      <c r="A430" s="1">
        <v>46059.777777777781</v>
      </c>
      <c r="B430">
        <v>385636847</v>
      </c>
      <c r="C430" t="s">
        <v>245</v>
      </c>
      <c r="D430" t="s">
        <v>89</v>
      </c>
      <c r="E430" s="2">
        <v>9450</v>
      </c>
      <c r="F430" s="2">
        <v>9450</v>
      </c>
      <c r="G430" s="2">
        <v>6615</v>
      </c>
      <c r="I430" t="s">
        <v>246</v>
      </c>
      <c r="J430" t="s">
        <v>23</v>
      </c>
      <c r="K430" t="s">
        <v>18</v>
      </c>
      <c r="L430" t="str">
        <f>T("9791175309517")</f>
        <v>9791175309517</v>
      </c>
      <c r="M430" t="str">
        <f t="shared" si="9"/>
        <v/>
      </c>
    </row>
    <row r="431" spans="1:14" x14ac:dyDescent="0.3">
      <c r="A431" s="1">
        <v>46059.78601851852</v>
      </c>
      <c r="B431">
        <v>324473532</v>
      </c>
      <c r="C431" t="s">
        <v>257</v>
      </c>
      <c r="D431" t="s">
        <v>15</v>
      </c>
      <c r="E431">
        <v>0</v>
      </c>
      <c r="F431">
        <v>0</v>
      </c>
      <c r="G431">
        <v>0</v>
      </c>
      <c r="I431" t="s">
        <v>258</v>
      </c>
      <c r="J431" t="s">
        <v>79</v>
      </c>
      <c r="K431" t="s">
        <v>18</v>
      </c>
      <c r="L431" t="str">
        <f>T("9791136931382")</f>
        <v>9791136931382</v>
      </c>
      <c r="M431" t="str">
        <f t="shared" si="9"/>
        <v/>
      </c>
      <c r="N431">
        <v>903206</v>
      </c>
    </row>
    <row r="432" spans="1:14" x14ac:dyDescent="0.3">
      <c r="A432" s="1">
        <v>46059.792280092595</v>
      </c>
      <c r="B432">
        <v>373442831</v>
      </c>
      <c r="C432" t="s">
        <v>165</v>
      </c>
      <c r="D432" t="s">
        <v>89</v>
      </c>
      <c r="E432">
        <v>810</v>
      </c>
      <c r="F432">
        <v>810</v>
      </c>
      <c r="G432">
        <v>567</v>
      </c>
      <c r="I432" t="s">
        <v>58</v>
      </c>
      <c r="J432" t="s">
        <v>59</v>
      </c>
      <c r="K432" t="s">
        <v>18</v>
      </c>
      <c r="L432" t="str">
        <f>T("9791173784330")</f>
        <v>9791173784330</v>
      </c>
      <c r="M432" t="str">
        <f t="shared" si="9"/>
        <v/>
      </c>
      <c r="N432">
        <v>948949</v>
      </c>
    </row>
    <row r="433" spans="1:14" x14ac:dyDescent="0.3">
      <c r="A433" s="1">
        <v>46059.810486111113</v>
      </c>
      <c r="B433">
        <v>384177441</v>
      </c>
      <c r="C433" t="s">
        <v>21</v>
      </c>
      <c r="D433" t="s">
        <v>15</v>
      </c>
      <c r="E433" s="2">
        <v>3500</v>
      </c>
      <c r="F433" s="2">
        <v>3500</v>
      </c>
      <c r="G433" s="2">
        <v>2450</v>
      </c>
      <c r="I433" t="s">
        <v>22</v>
      </c>
      <c r="J433" t="s">
        <v>23</v>
      </c>
      <c r="K433" t="s">
        <v>18</v>
      </c>
      <c r="L433" t="str">
        <f>T("9791175309821")</f>
        <v>9791175309821</v>
      </c>
      <c r="M433" t="str">
        <f t="shared" si="9"/>
        <v/>
      </c>
      <c r="N433">
        <v>958592</v>
      </c>
    </row>
    <row r="434" spans="1:14" x14ac:dyDescent="0.3">
      <c r="A434" s="1">
        <v>46059.82534722222</v>
      </c>
      <c r="B434">
        <v>268443462</v>
      </c>
      <c r="C434" t="s">
        <v>131</v>
      </c>
      <c r="D434" t="s">
        <v>15</v>
      </c>
      <c r="E434">
        <v>0</v>
      </c>
      <c r="F434">
        <v>0</v>
      </c>
      <c r="G434">
        <v>0</v>
      </c>
      <c r="I434" t="s">
        <v>132</v>
      </c>
      <c r="J434" t="s">
        <v>59</v>
      </c>
      <c r="K434" t="s">
        <v>18</v>
      </c>
      <c r="L434" t="str">
        <f>T("9791136906571")</f>
        <v>9791136906571</v>
      </c>
      <c r="M434" t="str">
        <f t="shared" si="9"/>
        <v/>
      </c>
      <c r="N434">
        <v>805959</v>
      </c>
    </row>
    <row r="435" spans="1:14" x14ac:dyDescent="0.3">
      <c r="A435" s="1">
        <v>46059.840138888889</v>
      </c>
      <c r="B435">
        <v>385636847</v>
      </c>
      <c r="C435" t="s">
        <v>245</v>
      </c>
      <c r="D435" t="s">
        <v>89</v>
      </c>
      <c r="E435" s="2">
        <v>9450</v>
      </c>
      <c r="F435" s="2">
        <v>9450</v>
      </c>
      <c r="G435" s="2">
        <v>6615</v>
      </c>
      <c r="I435" t="s">
        <v>246</v>
      </c>
      <c r="J435" t="s">
        <v>23</v>
      </c>
      <c r="K435" t="s">
        <v>18</v>
      </c>
      <c r="L435" t="str">
        <f>T("9791175309517")</f>
        <v>9791175309517</v>
      </c>
      <c r="M435" t="str">
        <f t="shared" si="9"/>
        <v/>
      </c>
    </row>
    <row r="436" spans="1:14" x14ac:dyDescent="0.3">
      <c r="A436" s="1">
        <v>46059.844456018516</v>
      </c>
      <c r="B436">
        <v>385348415</v>
      </c>
      <c r="C436" t="s">
        <v>88</v>
      </c>
      <c r="D436" t="s">
        <v>89</v>
      </c>
      <c r="E436" s="2">
        <v>8640</v>
      </c>
      <c r="F436" s="2">
        <v>8640</v>
      </c>
      <c r="G436" s="2">
        <v>6048</v>
      </c>
      <c r="I436" t="s">
        <v>90</v>
      </c>
      <c r="J436" t="s">
        <v>23</v>
      </c>
      <c r="K436" t="s">
        <v>18</v>
      </c>
      <c r="L436" t="str">
        <f>T("9791175308350")</f>
        <v>9791175308350</v>
      </c>
      <c r="M436" t="str">
        <f t="shared" si="9"/>
        <v/>
      </c>
    </row>
    <row r="437" spans="1:14" x14ac:dyDescent="0.3">
      <c r="A437" s="1">
        <v>46059.848726851851</v>
      </c>
      <c r="B437">
        <v>325296599</v>
      </c>
      <c r="C437" t="s">
        <v>259</v>
      </c>
      <c r="D437" t="s">
        <v>15</v>
      </c>
      <c r="E437" s="2">
        <v>17800</v>
      </c>
      <c r="F437" s="2">
        <v>17800</v>
      </c>
      <c r="G437" s="2">
        <v>12460</v>
      </c>
      <c r="I437" t="s">
        <v>260</v>
      </c>
      <c r="J437" t="s">
        <v>23</v>
      </c>
      <c r="K437" t="s">
        <v>18</v>
      </c>
      <c r="L437" t="str">
        <f>T("9791136942494")</f>
        <v>9791136942494</v>
      </c>
      <c r="M437" t="str">
        <f t="shared" si="9"/>
        <v/>
      </c>
    </row>
    <row r="438" spans="1:14" x14ac:dyDescent="0.3">
      <c r="A438" s="1">
        <v>46059.848854166667</v>
      </c>
      <c r="B438">
        <v>385348415</v>
      </c>
      <c r="C438" t="s">
        <v>88</v>
      </c>
      <c r="D438" t="s">
        <v>89</v>
      </c>
      <c r="E438" s="2">
        <v>8640</v>
      </c>
      <c r="F438" s="2">
        <v>8640</v>
      </c>
      <c r="G438" s="2">
        <v>6048</v>
      </c>
      <c r="I438" t="s">
        <v>90</v>
      </c>
      <c r="J438" t="s">
        <v>23</v>
      </c>
      <c r="K438" t="s">
        <v>18</v>
      </c>
      <c r="L438" t="str">
        <f>T("9791175308350")</f>
        <v>9791175308350</v>
      </c>
      <c r="M438" t="str">
        <f t="shared" si="9"/>
        <v/>
      </c>
    </row>
    <row r="439" spans="1:14" x14ac:dyDescent="0.3">
      <c r="A439" s="1">
        <v>46059.864699074074</v>
      </c>
      <c r="B439">
        <v>385348414</v>
      </c>
      <c r="C439" t="s">
        <v>114</v>
      </c>
      <c r="D439" t="s">
        <v>89</v>
      </c>
      <c r="E439" s="2">
        <v>11700</v>
      </c>
      <c r="F439" s="2">
        <v>11700</v>
      </c>
      <c r="G439" s="2">
        <v>8190</v>
      </c>
      <c r="I439" t="s">
        <v>87</v>
      </c>
      <c r="J439" t="s">
        <v>23</v>
      </c>
      <c r="K439" t="s">
        <v>18</v>
      </c>
      <c r="L439" t="str">
        <f>T("9791175308503")</f>
        <v>9791175308503</v>
      </c>
      <c r="M439" t="str">
        <f t="shared" si="9"/>
        <v/>
      </c>
    </row>
    <row r="440" spans="1:14" x14ac:dyDescent="0.3">
      <c r="A440" s="1">
        <v>46059.88013888889</v>
      </c>
      <c r="B440">
        <v>385348415</v>
      </c>
      <c r="C440" t="s">
        <v>88</v>
      </c>
      <c r="D440" t="s">
        <v>89</v>
      </c>
      <c r="E440" s="2">
        <v>8640</v>
      </c>
      <c r="F440" s="2">
        <v>8640</v>
      </c>
      <c r="G440" s="2">
        <v>6048</v>
      </c>
      <c r="I440" t="s">
        <v>90</v>
      </c>
      <c r="J440" t="s">
        <v>23</v>
      </c>
      <c r="K440" t="s">
        <v>18</v>
      </c>
      <c r="L440" t="str">
        <f>T("9791175308350")</f>
        <v>9791175308350</v>
      </c>
      <c r="M440" t="str">
        <f t="shared" si="9"/>
        <v/>
      </c>
    </row>
    <row r="441" spans="1:14" x14ac:dyDescent="0.3">
      <c r="A441" s="1">
        <v>46059.902268518519</v>
      </c>
      <c r="B441">
        <v>385348415</v>
      </c>
      <c r="C441" t="s">
        <v>88</v>
      </c>
      <c r="D441" t="s">
        <v>89</v>
      </c>
      <c r="E441" s="2">
        <v>8640</v>
      </c>
      <c r="F441" s="2">
        <v>8640</v>
      </c>
      <c r="G441" s="2">
        <v>6048</v>
      </c>
      <c r="I441" t="s">
        <v>90</v>
      </c>
      <c r="J441" t="s">
        <v>23</v>
      </c>
      <c r="K441" t="s">
        <v>18</v>
      </c>
      <c r="L441" t="str">
        <f>T("9791175308350")</f>
        <v>9791175308350</v>
      </c>
      <c r="M441" t="str">
        <f t="shared" si="9"/>
        <v/>
      </c>
    </row>
    <row r="442" spans="1:14" x14ac:dyDescent="0.3">
      <c r="A442" s="1">
        <v>46059.909953703704</v>
      </c>
      <c r="B442">
        <v>385348414</v>
      </c>
      <c r="C442" t="s">
        <v>114</v>
      </c>
      <c r="D442" t="s">
        <v>15</v>
      </c>
      <c r="E442" s="2">
        <v>13000</v>
      </c>
      <c r="F442" s="2">
        <v>11700</v>
      </c>
      <c r="G442" s="2">
        <v>8190</v>
      </c>
      <c r="I442" t="s">
        <v>87</v>
      </c>
      <c r="J442" t="s">
        <v>23</v>
      </c>
      <c r="K442" t="s">
        <v>18</v>
      </c>
      <c r="L442" t="str">
        <f>T("9791175308503")</f>
        <v>9791175308503</v>
      </c>
      <c r="M442" t="str">
        <f t="shared" si="9"/>
        <v/>
      </c>
    </row>
    <row r="443" spans="1:14" x14ac:dyDescent="0.3">
      <c r="A443" s="1">
        <v>46059.914675925924</v>
      </c>
      <c r="B443">
        <v>373442639</v>
      </c>
      <c r="C443" t="s">
        <v>261</v>
      </c>
      <c r="D443" t="s">
        <v>89</v>
      </c>
      <c r="E443">
        <v>810</v>
      </c>
      <c r="F443">
        <v>810</v>
      </c>
      <c r="G443">
        <v>567</v>
      </c>
      <c r="I443" t="s">
        <v>58</v>
      </c>
      <c r="J443" t="s">
        <v>59</v>
      </c>
      <c r="K443" t="s">
        <v>18</v>
      </c>
      <c r="L443" t="str">
        <f>T("9791173784415")</f>
        <v>9791173784415</v>
      </c>
      <c r="M443" t="str">
        <f t="shared" si="9"/>
        <v/>
      </c>
      <c r="N443">
        <v>948941</v>
      </c>
    </row>
    <row r="444" spans="1:14" x14ac:dyDescent="0.3">
      <c r="A444" s="1">
        <v>46059.914675925924</v>
      </c>
      <c r="B444">
        <v>373442849</v>
      </c>
      <c r="C444" t="s">
        <v>262</v>
      </c>
      <c r="D444" t="s">
        <v>89</v>
      </c>
      <c r="E444">
        <v>810</v>
      </c>
      <c r="F444">
        <v>810</v>
      </c>
      <c r="G444">
        <v>567</v>
      </c>
      <c r="I444" t="s">
        <v>58</v>
      </c>
      <c r="J444" t="s">
        <v>59</v>
      </c>
      <c r="K444" t="s">
        <v>18</v>
      </c>
      <c r="L444" t="str">
        <f>T("9791173784354")</f>
        <v>9791173784354</v>
      </c>
      <c r="M444" t="str">
        <f t="shared" si="9"/>
        <v/>
      </c>
      <c r="N444">
        <v>948947</v>
      </c>
    </row>
    <row r="445" spans="1:14" x14ac:dyDescent="0.3">
      <c r="A445" s="1">
        <v>46059.914675925924</v>
      </c>
      <c r="B445">
        <v>373442856</v>
      </c>
      <c r="C445" t="s">
        <v>263</v>
      </c>
      <c r="D445" t="s">
        <v>89</v>
      </c>
      <c r="E445">
        <v>810</v>
      </c>
      <c r="F445">
        <v>810</v>
      </c>
      <c r="G445">
        <v>567</v>
      </c>
      <c r="I445" t="s">
        <v>58</v>
      </c>
      <c r="J445" t="s">
        <v>59</v>
      </c>
      <c r="K445" t="s">
        <v>18</v>
      </c>
      <c r="L445" t="str">
        <f>T("9791173784446")</f>
        <v>9791173784446</v>
      </c>
      <c r="M445" t="str">
        <f t="shared" si="9"/>
        <v/>
      </c>
      <c r="N445">
        <v>948938</v>
      </c>
    </row>
    <row r="446" spans="1:14" x14ac:dyDescent="0.3">
      <c r="A446" s="1">
        <v>46059.914675925924</v>
      </c>
      <c r="B446">
        <v>373442837</v>
      </c>
      <c r="C446" t="s">
        <v>264</v>
      </c>
      <c r="D446" t="s">
        <v>89</v>
      </c>
      <c r="E446">
        <v>810</v>
      </c>
      <c r="F446">
        <v>810</v>
      </c>
      <c r="G446">
        <v>567</v>
      </c>
      <c r="I446" t="s">
        <v>58</v>
      </c>
      <c r="J446" t="s">
        <v>59</v>
      </c>
      <c r="K446" t="s">
        <v>18</v>
      </c>
      <c r="L446" t="str">
        <f>T("9791173784385")</f>
        <v>9791173784385</v>
      </c>
      <c r="M446" t="str">
        <f t="shared" si="9"/>
        <v/>
      </c>
      <c r="N446">
        <v>948944</v>
      </c>
    </row>
    <row r="447" spans="1:14" x14ac:dyDescent="0.3">
      <c r="A447" s="1">
        <v>46059.914675925924</v>
      </c>
      <c r="B447">
        <v>373442843</v>
      </c>
      <c r="C447" t="s">
        <v>265</v>
      </c>
      <c r="D447" t="s">
        <v>89</v>
      </c>
      <c r="E447">
        <v>810</v>
      </c>
      <c r="F447">
        <v>810</v>
      </c>
      <c r="G447">
        <v>567</v>
      </c>
      <c r="I447" t="s">
        <v>58</v>
      </c>
      <c r="J447" t="s">
        <v>59</v>
      </c>
      <c r="K447" t="s">
        <v>18</v>
      </c>
      <c r="L447" t="str">
        <f>T("9791173784347")</f>
        <v>9791173784347</v>
      </c>
      <c r="M447" t="str">
        <f t="shared" si="9"/>
        <v/>
      </c>
      <c r="N447">
        <v>948948</v>
      </c>
    </row>
    <row r="448" spans="1:14" x14ac:dyDescent="0.3">
      <c r="A448" s="1">
        <v>46059.914675925924</v>
      </c>
      <c r="B448">
        <v>373442846</v>
      </c>
      <c r="C448" t="s">
        <v>266</v>
      </c>
      <c r="D448" t="s">
        <v>89</v>
      </c>
      <c r="E448">
        <v>810</v>
      </c>
      <c r="F448">
        <v>810</v>
      </c>
      <c r="G448">
        <v>567</v>
      </c>
      <c r="I448" t="s">
        <v>58</v>
      </c>
      <c r="J448" t="s">
        <v>59</v>
      </c>
      <c r="K448" t="s">
        <v>18</v>
      </c>
      <c r="L448" t="str">
        <f>T("9791173784439")</f>
        <v>9791173784439</v>
      </c>
      <c r="M448" t="str">
        <f t="shared" si="9"/>
        <v/>
      </c>
      <c r="N448">
        <v>948939</v>
      </c>
    </row>
    <row r="449" spans="1:14" x14ac:dyDescent="0.3">
      <c r="A449" s="1">
        <v>46059.914675925924</v>
      </c>
      <c r="B449">
        <v>373442848</v>
      </c>
      <c r="C449" t="s">
        <v>267</v>
      </c>
      <c r="D449" t="s">
        <v>89</v>
      </c>
      <c r="E449">
        <v>810</v>
      </c>
      <c r="F449">
        <v>810</v>
      </c>
      <c r="G449">
        <v>567</v>
      </c>
      <c r="I449" t="s">
        <v>58</v>
      </c>
      <c r="J449" t="s">
        <v>59</v>
      </c>
      <c r="K449" t="s">
        <v>18</v>
      </c>
      <c r="L449" t="str">
        <f>T("9791173784392")</f>
        <v>9791173784392</v>
      </c>
      <c r="M449" t="str">
        <f t="shared" si="9"/>
        <v/>
      </c>
      <c r="N449">
        <v>948943</v>
      </c>
    </row>
    <row r="450" spans="1:14" x14ac:dyDescent="0.3">
      <c r="A450" s="1">
        <v>46059.914675925924</v>
      </c>
      <c r="B450">
        <v>373442634</v>
      </c>
      <c r="C450" t="s">
        <v>268</v>
      </c>
      <c r="D450" t="s">
        <v>89</v>
      </c>
      <c r="E450">
        <v>810</v>
      </c>
      <c r="F450">
        <v>810</v>
      </c>
      <c r="G450">
        <v>567</v>
      </c>
      <c r="I450" t="s">
        <v>58</v>
      </c>
      <c r="J450" t="s">
        <v>59</v>
      </c>
      <c r="K450" t="s">
        <v>18</v>
      </c>
      <c r="L450" t="str">
        <f>T("9791173784361")</f>
        <v>9791173784361</v>
      </c>
      <c r="M450" t="str">
        <f t="shared" ref="M450:M513" si="10">T("")</f>
        <v/>
      </c>
      <c r="N450">
        <v>948946</v>
      </c>
    </row>
    <row r="451" spans="1:14" x14ac:dyDescent="0.3">
      <c r="A451" s="1">
        <v>46059.914675925924</v>
      </c>
      <c r="B451">
        <v>373442879</v>
      </c>
      <c r="C451" t="s">
        <v>269</v>
      </c>
      <c r="D451" t="s">
        <v>89</v>
      </c>
      <c r="E451">
        <v>810</v>
      </c>
      <c r="F451">
        <v>810</v>
      </c>
      <c r="G451">
        <v>567</v>
      </c>
      <c r="I451" t="s">
        <v>58</v>
      </c>
      <c r="J451" t="s">
        <v>59</v>
      </c>
      <c r="K451" t="s">
        <v>18</v>
      </c>
      <c r="L451" t="str">
        <f>T("9791173784378")</f>
        <v>9791173784378</v>
      </c>
      <c r="M451" t="str">
        <f t="shared" si="10"/>
        <v/>
      </c>
      <c r="N451">
        <v>948945</v>
      </c>
    </row>
    <row r="452" spans="1:14" x14ac:dyDescent="0.3">
      <c r="A452" s="1">
        <v>46059.914675925924</v>
      </c>
      <c r="B452">
        <v>373442884</v>
      </c>
      <c r="C452" t="s">
        <v>270</v>
      </c>
      <c r="D452" t="s">
        <v>89</v>
      </c>
      <c r="E452">
        <v>810</v>
      </c>
      <c r="F452">
        <v>810</v>
      </c>
      <c r="G452">
        <v>567</v>
      </c>
      <c r="I452" t="s">
        <v>58</v>
      </c>
      <c r="J452" t="s">
        <v>59</v>
      </c>
      <c r="K452" t="s">
        <v>18</v>
      </c>
      <c r="L452" t="str">
        <f>T("9791173784422")</f>
        <v>9791173784422</v>
      </c>
      <c r="M452" t="str">
        <f t="shared" si="10"/>
        <v/>
      </c>
      <c r="N452">
        <v>948940</v>
      </c>
    </row>
    <row r="453" spans="1:14" x14ac:dyDescent="0.3">
      <c r="A453" s="1">
        <v>46059.914675925924</v>
      </c>
      <c r="B453">
        <v>373442857</v>
      </c>
      <c r="C453" t="s">
        <v>271</v>
      </c>
      <c r="D453" t="s">
        <v>89</v>
      </c>
      <c r="E453">
        <v>810</v>
      </c>
      <c r="F453">
        <v>810</v>
      </c>
      <c r="G453">
        <v>567</v>
      </c>
      <c r="I453" t="s">
        <v>58</v>
      </c>
      <c r="J453" t="s">
        <v>59</v>
      </c>
      <c r="K453" t="s">
        <v>18</v>
      </c>
      <c r="L453" t="str">
        <f>T("9791173784408")</f>
        <v>9791173784408</v>
      </c>
      <c r="M453" t="str">
        <f t="shared" si="10"/>
        <v/>
      </c>
      <c r="N453">
        <v>948942</v>
      </c>
    </row>
    <row r="454" spans="1:14" x14ac:dyDescent="0.3">
      <c r="A454" s="1">
        <v>46059.914675925924</v>
      </c>
      <c r="B454">
        <v>373442864</v>
      </c>
      <c r="C454" t="s">
        <v>272</v>
      </c>
      <c r="D454" t="s">
        <v>89</v>
      </c>
      <c r="E454">
        <v>810</v>
      </c>
      <c r="F454">
        <v>810</v>
      </c>
      <c r="G454">
        <v>567</v>
      </c>
      <c r="I454" t="s">
        <v>58</v>
      </c>
      <c r="J454" t="s">
        <v>59</v>
      </c>
      <c r="K454" t="s">
        <v>18</v>
      </c>
      <c r="L454" t="str">
        <f>T("9791173784453")</f>
        <v>9791173784453</v>
      </c>
      <c r="M454" t="str">
        <f t="shared" si="10"/>
        <v/>
      </c>
      <c r="N454">
        <v>948937</v>
      </c>
    </row>
    <row r="455" spans="1:14" x14ac:dyDescent="0.3">
      <c r="A455" s="1">
        <v>46059.916284722225</v>
      </c>
      <c r="B455">
        <v>385636847</v>
      </c>
      <c r="C455" t="s">
        <v>245</v>
      </c>
      <c r="D455" t="s">
        <v>89</v>
      </c>
      <c r="E455" s="2">
        <v>9450</v>
      </c>
      <c r="F455" s="2">
        <v>9450</v>
      </c>
      <c r="G455" s="2">
        <v>6615</v>
      </c>
      <c r="I455" t="s">
        <v>246</v>
      </c>
      <c r="J455" t="s">
        <v>23</v>
      </c>
      <c r="K455" t="s">
        <v>18</v>
      </c>
      <c r="L455" t="str">
        <f>T("9791175309517")</f>
        <v>9791175309517</v>
      </c>
      <c r="M455" t="str">
        <f t="shared" si="10"/>
        <v/>
      </c>
    </row>
    <row r="456" spans="1:14" x14ac:dyDescent="0.3">
      <c r="A456" s="1">
        <v>46059.916481481479</v>
      </c>
      <c r="B456">
        <v>385348415</v>
      </c>
      <c r="C456" t="s">
        <v>88</v>
      </c>
      <c r="D456" t="s">
        <v>89</v>
      </c>
      <c r="E456" s="2">
        <v>8640</v>
      </c>
      <c r="F456" s="2">
        <v>8640</v>
      </c>
      <c r="G456" s="2">
        <v>6048</v>
      </c>
      <c r="I456" t="s">
        <v>90</v>
      </c>
      <c r="J456" t="s">
        <v>23</v>
      </c>
      <c r="K456" t="s">
        <v>18</v>
      </c>
      <c r="L456" t="str">
        <f>T("9791175308350")</f>
        <v>9791175308350</v>
      </c>
      <c r="M456" t="str">
        <f t="shared" si="10"/>
        <v/>
      </c>
    </row>
    <row r="457" spans="1:14" x14ac:dyDescent="0.3">
      <c r="A457" s="1">
        <v>46059.921122685184</v>
      </c>
      <c r="B457">
        <v>385347659</v>
      </c>
      <c r="C457" t="s">
        <v>86</v>
      </c>
      <c r="D457" t="s">
        <v>15</v>
      </c>
      <c r="E457" s="2">
        <v>1000</v>
      </c>
      <c r="F457">
        <v>900</v>
      </c>
      <c r="G457">
        <v>630</v>
      </c>
      <c r="I457" t="s">
        <v>87</v>
      </c>
      <c r="J457" t="s">
        <v>23</v>
      </c>
      <c r="K457" t="s">
        <v>18</v>
      </c>
      <c r="L457" t="str">
        <f>T("9791175308510")</f>
        <v>9791175308510</v>
      </c>
      <c r="M457" t="str">
        <f t="shared" si="10"/>
        <v/>
      </c>
      <c r="N457">
        <v>957881</v>
      </c>
    </row>
    <row r="458" spans="1:14" x14ac:dyDescent="0.3">
      <c r="A458" s="1">
        <v>46059.93041666667</v>
      </c>
      <c r="B458">
        <v>385636847</v>
      </c>
      <c r="C458" t="s">
        <v>245</v>
      </c>
      <c r="D458" t="s">
        <v>89</v>
      </c>
      <c r="E458" s="2">
        <v>9450</v>
      </c>
      <c r="F458" s="2">
        <v>9450</v>
      </c>
      <c r="G458" s="2">
        <v>6615</v>
      </c>
      <c r="I458" t="s">
        <v>246</v>
      </c>
      <c r="J458" t="s">
        <v>23</v>
      </c>
      <c r="K458" t="s">
        <v>18</v>
      </c>
      <c r="L458" t="str">
        <f>T("9791175309517")</f>
        <v>9791175309517</v>
      </c>
      <c r="M458" t="str">
        <f t="shared" si="10"/>
        <v/>
      </c>
    </row>
    <row r="459" spans="1:14" x14ac:dyDescent="0.3">
      <c r="A459" s="1">
        <v>46059.941006944442</v>
      </c>
      <c r="B459">
        <v>385348415</v>
      </c>
      <c r="C459" t="s">
        <v>88</v>
      </c>
      <c r="D459" t="s">
        <v>15</v>
      </c>
      <c r="E459" s="2">
        <v>9600</v>
      </c>
      <c r="F459" s="2">
        <v>8640</v>
      </c>
      <c r="G459" s="2">
        <v>6048</v>
      </c>
      <c r="I459" t="s">
        <v>90</v>
      </c>
      <c r="J459" t="s">
        <v>23</v>
      </c>
      <c r="K459" t="s">
        <v>18</v>
      </c>
      <c r="L459" t="str">
        <f>T("9791175308350")</f>
        <v>9791175308350</v>
      </c>
      <c r="M459" t="str">
        <f t="shared" si="10"/>
        <v/>
      </c>
    </row>
    <row r="460" spans="1:14" x14ac:dyDescent="0.3">
      <c r="A460" s="1">
        <v>46059.942847222221</v>
      </c>
      <c r="B460">
        <v>385347620</v>
      </c>
      <c r="C460" t="s">
        <v>84</v>
      </c>
      <c r="D460" t="s">
        <v>15</v>
      </c>
      <c r="E460">
        <v>0</v>
      </c>
      <c r="F460">
        <v>0</v>
      </c>
      <c r="G460">
        <v>0</v>
      </c>
      <c r="I460" t="s">
        <v>85</v>
      </c>
      <c r="J460" t="s">
        <v>59</v>
      </c>
      <c r="K460" t="s">
        <v>18</v>
      </c>
      <c r="L460" t="str">
        <f>T("9791136943897")</f>
        <v>9791136943897</v>
      </c>
      <c r="M460" t="str">
        <f t="shared" si="10"/>
        <v/>
      </c>
      <c r="N460">
        <v>917706</v>
      </c>
    </row>
    <row r="461" spans="1:14" x14ac:dyDescent="0.3">
      <c r="A461" s="1">
        <v>46059.974409722221</v>
      </c>
      <c r="B461">
        <v>341681887</v>
      </c>
      <c r="C461" t="s">
        <v>273</v>
      </c>
      <c r="D461" t="s">
        <v>15</v>
      </c>
      <c r="E461" s="2">
        <v>3200</v>
      </c>
      <c r="F461" s="2">
        <v>3200</v>
      </c>
      <c r="G461" s="2">
        <v>2240</v>
      </c>
      <c r="I461" t="s">
        <v>61</v>
      </c>
      <c r="J461" t="s">
        <v>59</v>
      </c>
      <c r="K461" t="s">
        <v>18</v>
      </c>
      <c r="L461" t="str">
        <f>T("9791136917072")</f>
        <v>9791136917072</v>
      </c>
      <c r="M461" t="str">
        <f t="shared" si="10"/>
        <v/>
      </c>
      <c r="N461">
        <v>866112</v>
      </c>
    </row>
    <row r="462" spans="1:14" x14ac:dyDescent="0.3">
      <c r="A462" s="1">
        <v>46059.974409722221</v>
      </c>
      <c r="B462">
        <v>341681888</v>
      </c>
      <c r="C462" t="s">
        <v>274</v>
      </c>
      <c r="D462" t="s">
        <v>15</v>
      </c>
      <c r="E462" s="2">
        <v>3200</v>
      </c>
      <c r="F462" s="2">
        <v>3200</v>
      </c>
      <c r="G462" s="2">
        <v>2240</v>
      </c>
      <c r="I462" t="s">
        <v>61</v>
      </c>
      <c r="J462" t="s">
        <v>59</v>
      </c>
      <c r="K462" t="s">
        <v>18</v>
      </c>
      <c r="L462" t="str">
        <f>T("9791136917102")</f>
        <v>9791136917102</v>
      </c>
      <c r="M462" t="str">
        <f t="shared" si="10"/>
        <v/>
      </c>
      <c r="N462">
        <v>866109</v>
      </c>
    </row>
    <row r="463" spans="1:14" x14ac:dyDescent="0.3">
      <c r="A463" s="1">
        <v>46059.974409722221</v>
      </c>
      <c r="B463">
        <v>341681890</v>
      </c>
      <c r="C463" t="s">
        <v>275</v>
      </c>
      <c r="D463" t="s">
        <v>15</v>
      </c>
      <c r="E463" s="2">
        <v>3200</v>
      </c>
      <c r="F463" s="2">
        <v>3200</v>
      </c>
      <c r="G463" s="2">
        <v>2240</v>
      </c>
      <c r="I463" t="s">
        <v>61</v>
      </c>
      <c r="J463" t="s">
        <v>59</v>
      </c>
      <c r="K463" t="s">
        <v>18</v>
      </c>
      <c r="L463" t="str">
        <f>T("9791136917065")</f>
        <v>9791136917065</v>
      </c>
      <c r="M463" t="str">
        <f t="shared" si="10"/>
        <v/>
      </c>
      <c r="N463">
        <v>866113</v>
      </c>
    </row>
    <row r="464" spans="1:14" x14ac:dyDescent="0.3">
      <c r="A464" s="1">
        <v>46059.974409722221</v>
      </c>
      <c r="B464">
        <v>341681891</v>
      </c>
      <c r="C464" t="s">
        <v>276</v>
      </c>
      <c r="D464" t="s">
        <v>15</v>
      </c>
      <c r="E464" s="2">
        <v>3200</v>
      </c>
      <c r="F464" s="2">
        <v>3200</v>
      </c>
      <c r="G464" s="2">
        <v>2240</v>
      </c>
      <c r="I464" t="s">
        <v>61</v>
      </c>
      <c r="J464" t="s">
        <v>59</v>
      </c>
      <c r="K464" t="s">
        <v>18</v>
      </c>
      <c r="L464" t="str">
        <f>T("9791136917089")</f>
        <v>9791136917089</v>
      </c>
      <c r="M464" t="str">
        <f t="shared" si="10"/>
        <v/>
      </c>
      <c r="N464">
        <v>866111</v>
      </c>
    </row>
    <row r="465" spans="1:14" x14ac:dyDescent="0.3">
      <c r="A465" s="1">
        <v>46059.974409722221</v>
      </c>
      <c r="B465">
        <v>341681892</v>
      </c>
      <c r="C465" t="s">
        <v>277</v>
      </c>
      <c r="D465" t="s">
        <v>15</v>
      </c>
      <c r="E465" s="2">
        <v>3200</v>
      </c>
      <c r="F465" s="2">
        <v>3200</v>
      </c>
      <c r="G465" s="2">
        <v>2240</v>
      </c>
      <c r="I465" t="s">
        <v>61</v>
      </c>
      <c r="J465" t="s">
        <v>59</v>
      </c>
      <c r="K465" t="s">
        <v>18</v>
      </c>
      <c r="L465" t="str">
        <f>T("9791136917126")</f>
        <v>9791136917126</v>
      </c>
      <c r="M465" t="str">
        <f t="shared" si="10"/>
        <v/>
      </c>
      <c r="N465">
        <v>866107</v>
      </c>
    </row>
    <row r="466" spans="1:14" x14ac:dyDescent="0.3">
      <c r="A466" s="1">
        <v>46059.974409722221</v>
      </c>
      <c r="B466">
        <v>341681894</v>
      </c>
      <c r="C466" t="s">
        <v>278</v>
      </c>
      <c r="D466" t="s">
        <v>15</v>
      </c>
      <c r="E466" s="2">
        <v>3200</v>
      </c>
      <c r="F466" s="2">
        <v>3200</v>
      </c>
      <c r="G466" s="2">
        <v>2240</v>
      </c>
      <c r="I466" t="s">
        <v>61</v>
      </c>
      <c r="J466" t="s">
        <v>59</v>
      </c>
      <c r="K466" t="s">
        <v>18</v>
      </c>
      <c r="L466" t="str">
        <f>T("9791136917096")</f>
        <v>9791136917096</v>
      </c>
      <c r="M466" t="str">
        <f t="shared" si="10"/>
        <v/>
      </c>
      <c r="N466">
        <v>866110</v>
      </c>
    </row>
    <row r="467" spans="1:14" x14ac:dyDescent="0.3">
      <c r="A467" s="1">
        <v>46059.974409722221</v>
      </c>
      <c r="B467">
        <v>341681895</v>
      </c>
      <c r="C467" t="s">
        <v>279</v>
      </c>
      <c r="D467" t="s">
        <v>15</v>
      </c>
      <c r="E467" s="2">
        <v>3200</v>
      </c>
      <c r="F467" s="2">
        <v>3200</v>
      </c>
      <c r="G467" s="2">
        <v>2240</v>
      </c>
      <c r="I467" t="s">
        <v>61</v>
      </c>
      <c r="J467" t="s">
        <v>59</v>
      </c>
      <c r="K467" t="s">
        <v>18</v>
      </c>
      <c r="L467" t="str">
        <f>T("9791136917119")</f>
        <v>9791136917119</v>
      </c>
      <c r="M467" t="str">
        <f t="shared" si="10"/>
        <v/>
      </c>
      <c r="N467">
        <v>866108</v>
      </c>
    </row>
    <row r="468" spans="1:14" x14ac:dyDescent="0.3">
      <c r="A468" s="1">
        <v>46059.974409722221</v>
      </c>
      <c r="B468">
        <v>341681896</v>
      </c>
      <c r="C468" t="s">
        <v>280</v>
      </c>
      <c r="D468" t="s">
        <v>15</v>
      </c>
      <c r="E468" s="2">
        <v>3200</v>
      </c>
      <c r="F468" s="2">
        <v>3200</v>
      </c>
      <c r="G468" s="2">
        <v>2240</v>
      </c>
      <c r="I468" t="s">
        <v>61</v>
      </c>
      <c r="J468" t="s">
        <v>59</v>
      </c>
      <c r="K468" t="s">
        <v>18</v>
      </c>
      <c r="L468" t="str">
        <f>T("9791136917164")</f>
        <v>9791136917164</v>
      </c>
      <c r="M468" t="str">
        <f t="shared" si="10"/>
        <v/>
      </c>
      <c r="N468">
        <v>866103</v>
      </c>
    </row>
    <row r="469" spans="1:14" x14ac:dyDescent="0.3">
      <c r="A469" s="1">
        <v>46059.974409722221</v>
      </c>
      <c r="B469">
        <v>341681897</v>
      </c>
      <c r="C469" t="s">
        <v>281</v>
      </c>
      <c r="D469" t="s">
        <v>15</v>
      </c>
      <c r="E469" s="2">
        <v>3200</v>
      </c>
      <c r="F469" s="2">
        <v>3200</v>
      </c>
      <c r="G469" s="2">
        <v>2240</v>
      </c>
      <c r="I469" t="s">
        <v>61</v>
      </c>
      <c r="J469" t="s">
        <v>59</v>
      </c>
      <c r="K469" t="s">
        <v>18</v>
      </c>
      <c r="L469" t="str">
        <f>T("9791136917140")</f>
        <v>9791136917140</v>
      </c>
      <c r="M469" t="str">
        <f t="shared" si="10"/>
        <v/>
      </c>
      <c r="N469">
        <v>866105</v>
      </c>
    </row>
    <row r="470" spans="1:14" x14ac:dyDescent="0.3">
      <c r="A470" s="1">
        <v>46059.974409722221</v>
      </c>
      <c r="B470">
        <v>341681898</v>
      </c>
      <c r="C470" t="s">
        <v>282</v>
      </c>
      <c r="D470" t="s">
        <v>15</v>
      </c>
      <c r="E470" s="2">
        <v>3200</v>
      </c>
      <c r="F470" s="2">
        <v>3200</v>
      </c>
      <c r="G470" s="2">
        <v>2240</v>
      </c>
      <c r="I470" t="s">
        <v>61</v>
      </c>
      <c r="J470" t="s">
        <v>59</v>
      </c>
      <c r="K470" t="s">
        <v>18</v>
      </c>
      <c r="L470" t="str">
        <f>T("9791136917133")</f>
        <v>9791136917133</v>
      </c>
      <c r="M470" t="str">
        <f t="shared" si="10"/>
        <v/>
      </c>
      <c r="N470">
        <v>866106</v>
      </c>
    </row>
    <row r="471" spans="1:14" x14ac:dyDescent="0.3">
      <c r="A471" s="1">
        <v>46059.974409722221</v>
      </c>
      <c r="B471">
        <v>341681899</v>
      </c>
      <c r="C471" t="s">
        <v>283</v>
      </c>
      <c r="D471" t="s">
        <v>15</v>
      </c>
      <c r="E471" s="2">
        <v>3200</v>
      </c>
      <c r="F471" s="2">
        <v>3200</v>
      </c>
      <c r="G471" s="2">
        <v>2240</v>
      </c>
      <c r="I471" t="s">
        <v>61</v>
      </c>
      <c r="J471" t="s">
        <v>59</v>
      </c>
      <c r="K471" t="s">
        <v>18</v>
      </c>
      <c r="L471" t="str">
        <f>T("9791136917157")</f>
        <v>9791136917157</v>
      </c>
      <c r="M471" t="str">
        <f t="shared" si="10"/>
        <v/>
      </c>
      <c r="N471">
        <v>866104</v>
      </c>
    </row>
    <row r="472" spans="1:14" x14ac:dyDescent="0.3">
      <c r="A472" s="1">
        <v>46059.974409722221</v>
      </c>
      <c r="B472">
        <v>341681902</v>
      </c>
      <c r="C472" t="s">
        <v>284</v>
      </c>
      <c r="D472" t="s">
        <v>15</v>
      </c>
      <c r="E472" s="2">
        <v>3200</v>
      </c>
      <c r="F472" s="2">
        <v>3200</v>
      </c>
      <c r="G472" s="2">
        <v>2240</v>
      </c>
      <c r="I472" t="s">
        <v>61</v>
      </c>
      <c r="J472" t="s">
        <v>59</v>
      </c>
      <c r="K472" t="s">
        <v>18</v>
      </c>
      <c r="L472" t="str">
        <f>T("9791136917188")</f>
        <v>9791136917188</v>
      </c>
      <c r="M472" t="str">
        <f t="shared" si="10"/>
        <v/>
      </c>
      <c r="N472">
        <v>866101</v>
      </c>
    </row>
    <row r="473" spans="1:14" x14ac:dyDescent="0.3">
      <c r="A473" s="1">
        <v>46059.974409722221</v>
      </c>
      <c r="B473">
        <v>341681904</v>
      </c>
      <c r="C473" t="s">
        <v>285</v>
      </c>
      <c r="D473" t="s">
        <v>15</v>
      </c>
      <c r="E473" s="2">
        <v>3200</v>
      </c>
      <c r="F473" s="2">
        <v>3200</v>
      </c>
      <c r="G473" s="2">
        <v>2240</v>
      </c>
      <c r="I473" t="s">
        <v>61</v>
      </c>
      <c r="J473" t="s">
        <v>59</v>
      </c>
      <c r="K473" t="s">
        <v>18</v>
      </c>
      <c r="L473" t="str">
        <f>T("9791136917171")</f>
        <v>9791136917171</v>
      </c>
      <c r="M473" t="str">
        <f t="shared" si="10"/>
        <v/>
      </c>
      <c r="N473">
        <v>866102</v>
      </c>
    </row>
    <row r="474" spans="1:14" x14ac:dyDescent="0.3">
      <c r="A474" s="1">
        <v>46059.977673611109</v>
      </c>
      <c r="B474">
        <v>385347754</v>
      </c>
      <c r="C474" t="s">
        <v>97</v>
      </c>
      <c r="D474" t="s">
        <v>15</v>
      </c>
      <c r="E474" s="2">
        <v>3200</v>
      </c>
      <c r="F474" s="2">
        <v>2880</v>
      </c>
      <c r="G474" s="2">
        <v>2016</v>
      </c>
      <c r="I474" t="s">
        <v>90</v>
      </c>
      <c r="J474" t="s">
        <v>23</v>
      </c>
      <c r="K474" t="s">
        <v>18</v>
      </c>
      <c r="L474" t="str">
        <f>T("9791175308282")</f>
        <v>9791175308282</v>
      </c>
      <c r="M474" t="str">
        <f t="shared" si="10"/>
        <v/>
      </c>
      <c r="N474">
        <v>957886</v>
      </c>
    </row>
    <row r="475" spans="1:14" x14ac:dyDescent="0.3">
      <c r="A475" s="1">
        <v>46059.980636574073</v>
      </c>
      <c r="B475">
        <v>385636847</v>
      </c>
      <c r="C475" t="s">
        <v>245</v>
      </c>
      <c r="D475" t="s">
        <v>89</v>
      </c>
      <c r="E475" s="2">
        <v>9450</v>
      </c>
      <c r="F475" s="2">
        <v>9450</v>
      </c>
      <c r="G475" s="2">
        <v>6615</v>
      </c>
      <c r="I475" t="s">
        <v>246</v>
      </c>
      <c r="J475" t="s">
        <v>23</v>
      </c>
      <c r="K475" t="s">
        <v>18</v>
      </c>
      <c r="L475" t="str">
        <f>T("9791175309517")</f>
        <v>9791175309517</v>
      </c>
      <c r="M475" t="str">
        <f t="shared" si="10"/>
        <v/>
      </c>
    </row>
    <row r="476" spans="1:14" x14ac:dyDescent="0.3">
      <c r="A476" s="1">
        <v>46059.984664351854</v>
      </c>
      <c r="B476">
        <v>385636847</v>
      </c>
      <c r="C476" t="s">
        <v>245</v>
      </c>
      <c r="D476" t="s">
        <v>89</v>
      </c>
      <c r="E476" s="2">
        <v>9450</v>
      </c>
      <c r="F476" s="2">
        <v>9450</v>
      </c>
      <c r="G476" s="2">
        <v>6615</v>
      </c>
      <c r="I476" t="s">
        <v>246</v>
      </c>
      <c r="J476" t="s">
        <v>23</v>
      </c>
      <c r="K476" t="s">
        <v>18</v>
      </c>
      <c r="L476" t="str">
        <f>T("9791175309517")</f>
        <v>9791175309517</v>
      </c>
      <c r="M476" t="str">
        <f t="shared" si="10"/>
        <v/>
      </c>
    </row>
    <row r="477" spans="1:14" x14ac:dyDescent="0.3">
      <c r="A477" s="1">
        <v>46059.98673611111</v>
      </c>
      <c r="B477">
        <v>374949012</v>
      </c>
      <c r="C477" t="s">
        <v>250</v>
      </c>
      <c r="D477" t="s">
        <v>15</v>
      </c>
      <c r="E477" s="2">
        <v>2500</v>
      </c>
      <c r="F477" s="2">
        <v>2500</v>
      </c>
      <c r="G477" s="2">
        <v>1750</v>
      </c>
      <c r="I477" t="s">
        <v>251</v>
      </c>
      <c r="J477" t="s">
        <v>23</v>
      </c>
      <c r="K477" t="s">
        <v>18</v>
      </c>
      <c r="L477" t="str">
        <f>T("9791175305045")</f>
        <v>9791175305045</v>
      </c>
      <c r="M477" t="str">
        <f t="shared" si="10"/>
        <v/>
      </c>
      <c r="N477">
        <v>952375</v>
      </c>
    </row>
    <row r="478" spans="1:14" x14ac:dyDescent="0.3">
      <c r="A478" s="1">
        <v>46059.988854166666</v>
      </c>
      <c r="B478">
        <v>385636847</v>
      </c>
      <c r="C478" t="s">
        <v>245</v>
      </c>
      <c r="D478" t="s">
        <v>89</v>
      </c>
      <c r="E478" s="2">
        <v>9450</v>
      </c>
      <c r="F478" s="2">
        <v>9450</v>
      </c>
      <c r="G478" s="2">
        <v>6615</v>
      </c>
      <c r="I478" t="s">
        <v>246</v>
      </c>
      <c r="J478" t="s">
        <v>23</v>
      </c>
      <c r="K478" t="s">
        <v>18</v>
      </c>
      <c r="L478" t="str">
        <f>T("9791175309517")</f>
        <v>9791175309517</v>
      </c>
      <c r="M478" t="str">
        <f t="shared" si="10"/>
        <v/>
      </c>
    </row>
    <row r="479" spans="1:14" x14ac:dyDescent="0.3">
      <c r="A479" s="1">
        <v>46059.992291666669</v>
      </c>
      <c r="B479">
        <v>385636847</v>
      </c>
      <c r="C479" t="s">
        <v>245</v>
      </c>
      <c r="D479" t="s">
        <v>89</v>
      </c>
      <c r="E479" s="2">
        <v>9450</v>
      </c>
      <c r="F479" s="2">
        <v>9450</v>
      </c>
      <c r="G479" s="2">
        <v>6615</v>
      </c>
      <c r="I479" t="s">
        <v>246</v>
      </c>
      <c r="J479" t="s">
        <v>23</v>
      </c>
      <c r="K479" t="s">
        <v>18</v>
      </c>
      <c r="L479" t="str">
        <f>T("9791175309517")</f>
        <v>9791175309517</v>
      </c>
      <c r="M479" t="str">
        <f t="shared" si="10"/>
        <v/>
      </c>
    </row>
    <row r="480" spans="1:14" x14ac:dyDescent="0.3">
      <c r="A480" s="1">
        <v>46059.996053240742</v>
      </c>
      <c r="B480">
        <v>385636847</v>
      </c>
      <c r="C480" t="s">
        <v>245</v>
      </c>
      <c r="D480" t="s">
        <v>89</v>
      </c>
      <c r="E480" s="2">
        <v>9450</v>
      </c>
      <c r="F480" s="2">
        <v>9450</v>
      </c>
      <c r="G480" s="2">
        <v>6615</v>
      </c>
      <c r="I480" t="s">
        <v>246</v>
      </c>
      <c r="J480" t="s">
        <v>23</v>
      </c>
      <c r="K480" t="s">
        <v>18</v>
      </c>
      <c r="L480" t="str">
        <f>T("9791175309517")</f>
        <v>9791175309517</v>
      </c>
      <c r="M480" t="str">
        <f t="shared" si="10"/>
        <v/>
      </c>
    </row>
    <row r="481" spans="1:14" x14ac:dyDescent="0.3">
      <c r="A481" s="1">
        <v>46059.996365740742</v>
      </c>
      <c r="B481">
        <v>385348415</v>
      </c>
      <c r="C481" t="s">
        <v>88</v>
      </c>
      <c r="D481" t="s">
        <v>89</v>
      </c>
      <c r="E481" s="2">
        <v>8640</v>
      </c>
      <c r="F481" s="2">
        <v>8640</v>
      </c>
      <c r="G481" s="2">
        <v>6048</v>
      </c>
      <c r="I481" t="s">
        <v>90</v>
      </c>
      <c r="J481" t="s">
        <v>23</v>
      </c>
      <c r="K481" t="s">
        <v>18</v>
      </c>
      <c r="L481" t="str">
        <f>T("9791175308350")</f>
        <v>9791175308350</v>
      </c>
      <c r="M481" t="str">
        <f t="shared" si="10"/>
        <v/>
      </c>
    </row>
    <row r="482" spans="1:14" x14ac:dyDescent="0.3">
      <c r="A482" s="1">
        <v>46059.997893518521</v>
      </c>
      <c r="B482">
        <v>385347659</v>
      </c>
      <c r="C482" t="s">
        <v>86</v>
      </c>
      <c r="D482" t="s">
        <v>15</v>
      </c>
      <c r="E482" s="2">
        <v>1000</v>
      </c>
      <c r="F482">
        <v>900</v>
      </c>
      <c r="G482">
        <v>630</v>
      </c>
      <c r="I482" t="s">
        <v>87</v>
      </c>
      <c r="J482" t="s">
        <v>23</v>
      </c>
      <c r="K482" t="s">
        <v>18</v>
      </c>
      <c r="L482" t="str">
        <f>T("9791175308510")</f>
        <v>9791175308510</v>
      </c>
      <c r="M482" t="str">
        <f t="shared" si="10"/>
        <v/>
      </c>
      <c r="N482">
        <v>957881</v>
      </c>
    </row>
    <row r="483" spans="1:14" x14ac:dyDescent="0.3">
      <c r="A483" s="1">
        <v>46059.999074074076</v>
      </c>
      <c r="B483">
        <v>342333155</v>
      </c>
      <c r="C483" t="s">
        <v>182</v>
      </c>
      <c r="D483" t="s">
        <v>15</v>
      </c>
      <c r="E483" s="2">
        <v>1500</v>
      </c>
      <c r="F483" s="2">
        <v>1500</v>
      </c>
      <c r="G483" s="2">
        <v>1050</v>
      </c>
      <c r="I483" t="s">
        <v>102</v>
      </c>
      <c r="J483" t="s">
        <v>23</v>
      </c>
      <c r="K483" t="s">
        <v>18</v>
      </c>
      <c r="L483" t="str">
        <f>T("9791136979773")</f>
        <v>9791136979773</v>
      </c>
      <c r="M483" t="str">
        <f t="shared" si="10"/>
        <v/>
      </c>
      <c r="N483">
        <v>926741</v>
      </c>
    </row>
    <row r="484" spans="1:14" x14ac:dyDescent="0.3">
      <c r="A484" s="1">
        <v>46061.358229166668</v>
      </c>
      <c r="B484">
        <v>342333155</v>
      </c>
      <c r="C484" t="s">
        <v>182</v>
      </c>
      <c r="D484" t="s">
        <v>15</v>
      </c>
      <c r="E484" s="2">
        <v>-1500</v>
      </c>
      <c r="F484" s="2">
        <v>-1500</v>
      </c>
      <c r="G484" s="2">
        <v>-1050</v>
      </c>
      <c r="H484" s="1">
        <v>46059.999074074076</v>
      </c>
      <c r="I484" t="s">
        <v>102</v>
      </c>
      <c r="J484" t="s">
        <v>23</v>
      </c>
      <c r="K484" t="s">
        <v>18</v>
      </c>
      <c r="L484" t="str">
        <f>T("9791136979773")</f>
        <v>9791136979773</v>
      </c>
      <c r="M484" t="str">
        <f t="shared" si="10"/>
        <v/>
      </c>
      <c r="N484">
        <v>926741</v>
      </c>
    </row>
    <row r="485" spans="1:14" x14ac:dyDescent="0.3">
      <c r="A485" s="1">
        <v>46060.002812500003</v>
      </c>
      <c r="B485">
        <v>358358244</v>
      </c>
      <c r="C485" t="s">
        <v>286</v>
      </c>
      <c r="D485" t="s">
        <v>15</v>
      </c>
      <c r="E485">
        <v>0</v>
      </c>
      <c r="F485">
        <v>0</v>
      </c>
      <c r="G485">
        <v>0</v>
      </c>
      <c r="I485" t="s">
        <v>287</v>
      </c>
      <c r="J485" t="s">
        <v>52</v>
      </c>
      <c r="K485" t="s">
        <v>18</v>
      </c>
      <c r="L485" t="str">
        <f>T("9791172927844")</f>
        <v>9791172927844</v>
      </c>
      <c r="M485" t="str">
        <f t="shared" si="10"/>
        <v/>
      </c>
      <c r="N485">
        <v>939360</v>
      </c>
    </row>
    <row r="486" spans="1:14" x14ac:dyDescent="0.3">
      <c r="A486" s="1">
        <v>46060.11681712963</v>
      </c>
      <c r="B486">
        <v>385347662</v>
      </c>
      <c r="C486" t="s">
        <v>103</v>
      </c>
      <c r="D486" t="s">
        <v>15</v>
      </c>
      <c r="E486" s="2">
        <v>3200</v>
      </c>
      <c r="F486" s="2">
        <v>2880</v>
      </c>
      <c r="G486" s="2">
        <v>2016</v>
      </c>
      <c r="I486" t="s">
        <v>90</v>
      </c>
      <c r="J486" t="s">
        <v>23</v>
      </c>
      <c r="K486" t="s">
        <v>18</v>
      </c>
      <c r="L486" t="str">
        <f>T("9791175308343")</f>
        <v>9791175308343</v>
      </c>
      <c r="M486" t="str">
        <f t="shared" si="10"/>
        <v/>
      </c>
      <c r="N486">
        <v>957885</v>
      </c>
    </row>
    <row r="487" spans="1:14" x14ac:dyDescent="0.3">
      <c r="A487" s="1">
        <v>46060.12060185185</v>
      </c>
      <c r="B487">
        <v>385129183</v>
      </c>
      <c r="C487" t="s">
        <v>47</v>
      </c>
      <c r="D487" t="s">
        <v>15</v>
      </c>
      <c r="E487" s="2">
        <v>3200</v>
      </c>
      <c r="F487" s="2">
        <v>3200</v>
      </c>
      <c r="G487" s="2">
        <v>2240</v>
      </c>
      <c r="I487" t="s">
        <v>48</v>
      </c>
      <c r="J487" t="s">
        <v>49</v>
      </c>
      <c r="K487" t="s">
        <v>18</v>
      </c>
      <c r="L487" t="str">
        <f>T("9791175305151")</f>
        <v>9791175305151</v>
      </c>
      <c r="M487" t="str">
        <f t="shared" si="10"/>
        <v/>
      </c>
      <c r="N487">
        <v>954900</v>
      </c>
    </row>
    <row r="488" spans="1:14" x14ac:dyDescent="0.3">
      <c r="A488" s="1">
        <v>46060.12060185185</v>
      </c>
      <c r="B488">
        <v>385129138</v>
      </c>
      <c r="C488" t="s">
        <v>288</v>
      </c>
      <c r="D488" t="s">
        <v>15</v>
      </c>
      <c r="E488" s="2">
        <v>3000</v>
      </c>
      <c r="F488" s="2">
        <v>2700</v>
      </c>
      <c r="G488" s="2">
        <v>1890</v>
      </c>
      <c r="I488" t="s">
        <v>75</v>
      </c>
      <c r="J488" t="s">
        <v>20</v>
      </c>
      <c r="K488" t="s">
        <v>18</v>
      </c>
      <c r="L488" t="str">
        <f>T("9791175306882")</f>
        <v>9791175306882</v>
      </c>
      <c r="M488" t="str">
        <f t="shared" si="10"/>
        <v/>
      </c>
      <c r="N488">
        <v>956788</v>
      </c>
    </row>
    <row r="489" spans="1:14" x14ac:dyDescent="0.3">
      <c r="A489" s="1">
        <v>46060.12060185185</v>
      </c>
      <c r="B489">
        <v>378759363</v>
      </c>
      <c r="C489" t="s">
        <v>179</v>
      </c>
      <c r="D489" t="s">
        <v>15</v>
      </c>
      <c r="E489" s="2">
        <v>3000</v>
      </c>
      <c r="F489" s="2">
        <v>2700</v>
      </c>
      <c r="G489" s="2">
        <v>1890</v>
      </c>
      <c r="I489" t="s">
        <v>87</v>
      </c>
      <c r="J489" t="s">
        <v>23</v>
      </c>
      <c r="K489" t="s">
        <v>18</v>
      </c>
      <c r="L489" t="str">
        <f>T("9791175302778")</f>
        <v>9791175302778</v>
      </c>
      <c r="M489" t="str">
        <f t="shared" si="10"/>
        <v/>
      </c>
      <c r="N489">
        <v>954952</v>
      </c>
    </row>
    <row r="490" spans="1:14" x14ac:dyDescent="0.3">
      <c r="A490" s="1">
        <v>46060.12060185185</v>
      </c>
      <c r="B490">
        <v>385347754</v>
      </c>
      <c r="C490" t="s">
        <v>97</v>
      </c>
      <c r="D490" t="s">
        <v>15</v>
      </c>
      <c r="E490" s="2">
        <v>3200</v>
      </c>
      <c r="F490" s="2">
        <v>2880</v>
      </c>
      <c r="G490" s="2">
        <v>2016</v>
      </c>
      <c r="I490" t="s">
        <v>90</v>
      </c>
      <c r="J490" t="s">
        <v>23</v>
      </c>
      <c r="K490" t="s">
        <v>18</v>
      </c>
      <c r="L490" t="str">
        <f>T("9791175308282")</f>
        <v>9791175308282</v>
      </c>
      <c r="M490" t="str">
        <f t="shared" si="10"/>
        <v/>
      </c>
      <c r="N490">
        <v>957886</v>
      </c>
    </row>
    <row r="491" spans="1:14" x14ac:dyDescent="0.3">
      <c r="A491" s="1">
        <v>46060.12767361111</v>
      </c>
      <c r="B491">
        <v>385636847</v>
      </c>
      <c r="C491" t="s">
        <v>245</v>
      </c>
      <c r="D491" t="s">
        <v>89</v>
      </c>
      <c r="E491" s="2">
        <v>9450</v>
      </c>
      <c r="F491" s="2">
        <v>9450</v>
      </c>
      <c r="G491" s="2">
        <v>6615</v>
      </c>
      <c r="I491" t="s">
        <v>246</v>
      </c>
      <c r="J491" t="s">
        <v>23</v>
      </c>
      <c r="K491" t="s">
        <v>18</v>
      </c>
      <c r="L491" t="str">
        <f>T("9791175309517")</f>
        <v>9791175309517</v>
      </c>
      <c r="M491" t="str">
        <f t="shared" si="10"/>
        <v/>
      </c>
    </row>
    <row r="492" spans="1:14" x14ac:dyDescent="0.3">
      <c r="A492" s="1">
        <v>46060.160138888888</v>
      </c>
      <c r="B492">
        <v>385347796</v>
      </c>
      <c r="C492" t="s">
        <v>107</v>
      </c>
      <c r="D492" t="s">
        <v>15</v>
      </c>
      <c r="E492" s="2">
        <v>3200</v>
      </c>
      <c r="F492" s="2">
        <v>2880</v>
      </c>
      <c r="G492" s="2">
        <v>2016</v>
      </c>
      <c r="I492" t="s">
        <v>90</v>
      </c>
      <c r="J492" t="s">
        <v>23</v>
      </c>
      <c r="K492" t="s">
        <v>18</v>
      </c>
      <c r="L492" t="str">
        <f>T("9791175308312")</f>
        <v>9791175308312</v>
      </c>
      <c r="M492" t="str">
        <f t="shared" si="10"/>
        <v/>
      </c>
      <c r="N492">
        <v>957884</v>
      </c>
    </row>
    <row r="493" spans="1:14" x14ac:dyDescent="0.3">
      <c r="A493" s="1">
        <v>46060.211296296293</v>
      </c>
      <c r="B493">
        <v>385636847</v>
      </c>
      <c r="C493" t="s">
        <v>245</v>
      </c>
      <c r="D493" t="s">
        <v>89</v>
      </c>
      <c r="E493" s="2">
        <v>9450</v>
      </c>
      <c r="F493" s="2">
        <v>9450</v>
      </c>
      <c r="G493" s="2">
        <v>6615</v>
      </c>
      <c r="I493" t="s">
        <v>246</v>
      </c>
      <c r="J493" t="s">
        <v>23</v>
      </c>
      <c r="K493" t="s">
        <v>18</v>
      </c>
      <c r="L493" t="str">
        <f>T("9791175309517")</f>
        <v>9791175309517</v>
      </c>
      <c r="M493" t="str">
        <f t="shared" si="10"/>
        <v/>
      </c>
    </row>
    <row r="494" spans="1:14" x14ac:dyDescent="0.3">
      <c r="A494" s="1">
        <v>46060.233796296299</v>
      </c>
      <c r="B494">
        <v>60556546</v>
      </c>
      <c r="C494" t="s">
        <v>256</v>
      </c>
      <c r="D494" t="s">
        <v>15</v>
      </c>
      <c r="E494" s="2">
        <v>3000</v>
      </c>
      <c r="F494" s="2">
        <v>3000</v>
      </c>
      <c r="G494" s="2">
        <v>2100</v>
      </c>
      <c r="I494" t="s">
        <v>27</v>
      </c>
      <c r="J494" t="s">
        <v>79</v>
      </c>
      <c r="K494" t="s">
        <v>18</v>
      </c>
      <c r="L494" t="str">
        <f>T("9791133101559")</f>
        <v>9791133101559</v>
      </c>
      <c r="M494" t="str">
        <f t="shared" si="10"/>
        <v/>
      </c>
      <c r="N494">
        <v>294786</v>
      </c>
    </row>
    <row r="495" spans="1:14" x14ac:dyDescent="0.3">
      <c r="A495" s="1">
        <v>46060.23537037037</v>
      </c>
      <c r="B495">
        <v>366386880</v>
      </c>
      <c r="C495" t="s">
        <v>190</v>
      </c>
      <c r="D495" t="s">
        <v>15</v>
      </c>
      <c r="E495" s="2">
        <v>1800</v>
      </c>
      <c r="F495" s="2">
        <v>1800</v>
      </c>
      <c r="G495" s="2">
        <v>1260</v>
      </c>
      <c r="I495" t="s">
        <v>32</v>
      </c>
      <c r="J495" t="s">
        <v>23</v>
      </c>
      <c r="K495" t="s">
        <v>18</v>
      </c>
      <c r="L495" t="str">
        <f>T("9791173786648")</f>
        <v>9791173786648</v>
      </c>
      <c r="M495" t="str">
        <f t="shared" si="10"/>
        <v/>
      </c>
      <c r="N495">
        <v>950837</v>
      </c>
    </row>
    <row r="496" spans="1:14" x14ac:dyDescent="0.3">
      <c r="A496" s="1">
        <v>46060.334293981483</v>
      </c>
      <c r="B496">
        <v>385347620</v>
      </c>
      <c r="C496" t="s">
        <v>84</v>
      </c>
      <c r="D496" t="s">
        <v>15</v>
      </c>
      <c r="E496">
        <v>0</v>
      </c>
      <c r="F496">
        <v>0</v>
      </c>
      <c r="G496">
        <v>0</v>
      </c>
      <c r="I496" t="s">
        <v>85</v>
      </c>
      <c r="J496" t="s">
        <v>59</v>
      </c>
      <c r="K496" t="s">
        <v>18</v>
      </c>
      <c r="L496" t="str">
        <f>T("9791136943897")</f>
        <v>9791136943897</v>
      </c>
      <c r="M496" t="str">
        <f t="shared" si="10"/>
        <v/>
      </c>
      <c r="N496">
        <v>917706</v>
      </c>
    </row>
    <row r="497" spans="1:14" x14ac:dyDescent="0.3">
      <c r="A497" s="1">
        <v>46060.368692129632</v>
      </c>
      <c r="B497">
        <v>385636071</v>
      </c>
      <c r="C497" t="s">
        <v>289</v>
      </c>
      <c r="D497" t="s">
        <v>15</v>
      </c>
      <c r="E497" s="2">
        <v>3500</v>
      </c>
      <c r="F497" s="2">
        <v>3150</v>
      </c>
      <c r="G497" s="2">
        <v>2205</v>
      </c>
      <c r="I497" t="s">
        <v>246</v>
      </c>
      <c r="J497" t="s">
        <v>23</v>
      </c>
      <c r="K497" t="s">
        <v>18</v>
      </c>
      <c r="L497" t="str">
        <f>T("9791175309524")</f>
        <v>9791175309524</v>
      </c>
      <c r="M497" t="str">
        <f t="shared" si="10"/>
        <v/>
      </c>
      <c r="N497">
        <v>958042</v>
      </c>
    </row>
    <row r="498" spans="1:14" x14ac:dyDescent="0.3">
      <c r="A498" s="1">
        <v>46060.369444444441</v>
      </c>
      <c r="B498">
        <v>385636071</v>
      </c>
      <c r="C498" t="s">
        <v>289</v>
      </c>
      <c r="D498" t="s">
        <v>15</v>
      </c>
      <c r="E498" s="2">
        <v>-3500</v>
      </c>
      <c r="F498" s="2">
        <v>-3150</v>
      </c>
      <c r="G498" s="2">
        <v>-2205</v>
      </c>
      <c r="H498" s="1">
        <v>46060.368692129632</v>
      </c>
      <c r="I498" t="s">
        <v>246</v>
      </c>
      <c r="J498" t="s">
        <v>23</v>
      </c>
      <c r="K498" t="s">
        <v>18</v>
      </c>
      <c r="L498" t="str">
        <f>T("9791175309524")</f>
        <v>9791175309524</v>
      </c>
      <c r="M498" t="str">
        <f t="shared" si="10"/>
        <v/>
      </c>
      <c r="N498">
        <v>958042</v>
      </c>
    </row>
    <row r="499" spans="1:14" x14ac:dyDescent="0.3">
      <c r="A499" s="1">
        <v>46060.390717592592</v>
      </c>
      <c r="B499">
        <v>385636847</v>
      </c>
      <c r="C499" t="s">
        <v>245</v>
      </c>
      <c r="D499" t="s">
        <v>89</v>
      </c>
      <c r="E499" s="2">
        <v>9450</v>
      </c>
      <c r="F499" s="2">
        <v>9450</v>
      </c>
      <c r="G499" s="2">
        <v>6615</v>
      </c>
      <c r="I499" t="s">
        <v>246</v>
      </c>
      <c r="J499" t="s">
        <v>23</v>
      </c>
      <c r="K499" t="s">
        <v>18</v>
      </c>
      <c r="L499" t="str">
        <f>T("9791175309517")</f>
        <v>9791175309517</v>
      </c>
      <c r="M499" t="str">
        <f t="shared" si="10"/>
        <v/>
      </c>
    </row>
    <row r="500" spans="1:14" x14ac:dyDescent="0.3">
      <c r="A500" s="1">
        <v>46060.415000000001</v>
      </c>
      <c r="B500">
        <v>307255510</v>
      </c>
      <c r="C500" t="s">
        <v>290</v>
      </c>
      <c r="D500" t="s">
        <v>15</v>
      </c>
      <c r="E500" s="2">
        <v>24600</v>
      </c>
      <c r="F500" s="2">
        <v>24600</v>
      </c>
      <c r="G500" s="2">
        <v>17220</v>
      </c>
      <c r="I500" t="s">
        <v>291</v>
      </c>
      <c r="J500" t="s">
        <v>23</v>
      </c>
      <c r="K500" t="s">
        <v>18</v>
      </c>
      <c r="L500" t="str">
        <f>T("9791136926418")</f>
        <v>9791136926418</v>
      </c>
      <c r="M500" t="str">
        <f t="shared" si="10"/>
        <v/>
      </c>
    </row>
    <row r="501" spans="1:14" x14ac:dyDescent="0.3">
      <c r="A501" s="1">
        <v>46060.427048611113</v>
      </c>
      <c r="B501">
        <v>385348414</v>
      </c>
      <c r="C501" t="s">
        <v>114</v>
      </c>
      <c r="D501" t="s">
        <v>89</v>
      </c>
      <c r="E501" s="2">
        <v>11700</v>
      </c>
      <c r="F501" s="2">
        <v>11700</v>
      </c>
      <c r="G501" s="2">
        <v>8190</v>
      </c>
      <c r="I501" t="s">
        <v>87</v>
      </c>
      <c r="J501" t="s">
        <v>23</v>
      </c>
      <c r="K501" t="s">
        <v>18</v>
      </c>
      <c r="L501" t="str">
        <f>T("9791175308503")</f>
        <v>9791175308503</v>
      </c>
      <c r="M501" t="str">
        <f t="shared" si="10"/>
        <v/>
      </c>
    </row>
    <row r="502" spans="1:14" x14ac:dyDescent="0.3">
      <c r="A502" s="1">
        <v>46060.429259259261</v>
      </c>
      <c r="B502">
        <v>270736290</v>
      </c>
      <c r="C502" t="s">
        <v>292</v>
      </c>
      <c r="D502" t="s">
        <v>15</v>
      </c>
      <c r="E502" s="2">
        <v>2000</v>
      </c>
      <c r="F502" s="2">
        <v>2000</v>
      </c>
      <c r="G502" s="2">
        <v>1400</v>
      </c>
      <c r="I502" t="s">
        <v>116</v>
      </c>
      <c r="J502" t="s">
        <v>73</v>
      </c>
      <c r="K502" t="s">
        <v>18</v>
      </c>
      <c r="L502" t="str">
        <f>T("9791136913708")</f>
        <v>9791136913708</v>
      </c>
      <c r="M502" t="str">
        <f t="shared" si="10"/>
        <v/>
      </c>
      <c r="N502">
        <v>841619</v>
      </c>
    </row>
    <row r="503" spans="1:14" x14ac:dyDescent="0.3">
      <c r="A503" s="1">
        <v>46060.446817129632</v>
      </c>
      <c r="B503">
        <v>385348414</v>
      </c>
      <c r="C503" t="s">
        <v>114</v>
      </c>
      <c r="D503" t="s">
        <v>89</v>
      </c>
      <c r="E503" s="2">
        <v>11700</v>
      </c>
      <c r="F503" s="2">
        <v>11700</v>
      </c>
      <c r="G503" s="2">
        <v>8190</v>
      </c>
      <c r="I503" t="s">
        <v>87</v>
      </c>
      <c r="J503" t="s">
        <v>23</v>
      </c>
      <c r="K503" t="s">
        <v>18</v>
      </c>
      <c r="L503" t="str">
        <f>T("9791175308503")</f>
        <v>9791175308503</v>
      </c>
      <c r="M503" t="str">
        <f t="shared" si="10"/>
        <v/>
      </c>
    </row>
    <row r="504" spans="1:14" x14ac:dyDescent="0.3">
      <c r="A504" s="1">
        <v>46060.450578703705</v>
      </c>
      <c r="B504">
        <v>384177437</v>
      </c>
      <c r="C504" t="s">
        <v>111</v>
      </c>
      <c r="D504" t="s">
        <v>15</v>
      </c>
      <c r="E504" s="2">
        <v>3500</v>
      </c>
      <c r="F504" s="2">
        <v>3500</v>
      </c>
      <c r="G504" s="2">
        <v>2450</v>
      </c>
      <c r="I504" t="s">
        <v>22</v>
      </c>
      <c r="J504" t="s">
        <v>23</v>
      </c>
      <c r="K504" t="s">
        <v>18</v>
      </c>
      <c r="L504" t="str">
        <f>T("9791175309814")</f>
        <v>9791175309814</v>
      </c>
      <c r="M504" t="str">
        <f t="shared" si="10"/>
        <v/>
      </c>
      <c r="N504">
        <v>958593</v>
      </c>
    </row>
    <row r="505" spans="1:14" x14ac:dyDescent="0.3">
      <c r="A505" s="1">
        <v>46060.45140046296</v>
      </c>
      <c r="B505">
        <v>385636847</v>
      </c>
      <c r="C505" t="s">
        <v>245</v>
      </c>
      <c r="D505" t="s">
        <v>89</v>
      </c>
      <c r="E505" s="2">
        <v>9450</v>
      </c>
      <c r="F505" s="2">
        <v>9450</v>
      </c>
      <c r="G505" s="2">
        <v>6615</v>
      </c>
      <c r="I505" t="s">
        <v>246</v>
      </c>
      <c r="J505" t="s">
        <v>23</v>
      </c>
      <c r="K505" t="s">
        <v>18</v>
      </c>
      <c r="L505" t="str">
        <f>T("9791175309517")</f>
        <v>9791175309517</v>
      </c>
      <c r="M505" t="str">
        <f t="shared" si="10"/>
        <v/>
      </c>
    </row>
    <row r="506" spans="1:14" x14ac:dyDescent="0.3">
      <c r="A506" s="1">
        <v>46060.47693287037</v>
      </c>
      <c r="B506">
        <v>385348415</v>
      </c>
      <c r="C506" t="s">
        <v>88</v>
      </c>
      <c r="D506" t="s">
        <v>15</v>
      </c>
      <c r="E506" s="2">
        <v>9600</v>
      </c>
      <c r="F506" s="2">
        <v>8640</v>
      </c>
      <c r="G506" s="2">
        <v>6048</v>
      </c>
      <c r="I506" t="s">
        <v>90</v>
      </c>
      <c r="J506" t="s">
        <v>23</v>
      </c>
      <c r="K506" t="s">
        <v>18</v>
      </c>
      <c r="L506" t="str">
        <f>T("9791175308350")</f>
        <v>9791175308350</v>
      </c>
      <c r="M506" t="str">
        <f t="shared" si="10"/>
        <v/>
      </c>
    </row>
    <row r="507" spans="1:14" x14ac:dyDescent="0.3">
      <c r="A507" s="1">
        <v>46060.496087962965</v>
      </c>
      <c r="B507">
        <v>385636847</v>
      </c>
      <c r="C507" t="s">
        <v>245</v>
      </c>
      <c r="D507" t="s">
        <v>89</v>
      </c>
      <c r="E507" s="2">
        <v>9450</v>
      </c>
      <c r="F507" s="2">
        <v>9450</v>
      </c>
      <c r="G507" s="2">
        <v>6615</v>
      </c>
      <c r="I507" t="s">
        <v>246</v>
      </c>
      <c r="J507" t="s">
        <v>23</v>
      </c>
      <c r="K507" t="s">
        <v>18</v>
      </c>
      <c r="L507" t="str">
        <f>T("9791175309517")</f>
        <v>9791175309517</v>
      </c>
      <c r="M507" t="str">
        <f t="shared" si="10"/>
        <v/>
      </c>
    </row>
    <row r="508" spans="1:14" x14ac:dyDescent="0.3">
      <c r="A508" s="1">
        <v>46060.500752314816</v>
      </c>
      <c r="B508">
        <v>366387869</v>
      </c>
      <c r="C508" t="s">
        <v>31</v>
      </c>
      <c r="D508" t="s">
        <v>15</v>
      </c>
      <c r="E508" s="2">
        <v>18300</v>
      </c>
      <c r="F508" s="2">
        <v>18300</v>
      </c>
      <c r="G508" s="2">
        <v>12810</v>
      </c>
      <c r="I508" t="s">
        <v>32</v>
      </c>
      <c r="J508" t="s">
        <v>23</v>
      </c>
      <c r="K508" t="s">
        <v>18</v>
      </c>
      <c r="L508" t="str">
        <f>T("9791173786648")</f>
        <v>9791173786648</v>
      </c>
      <c r="M508" t="str">
        <f t="shared" si="10"/>
        <v/>
      </c>
    </row>
    <row r="509" spans="1:14" x14ac:dyDescent="0.3">
      <c r="A509" s="1">
        <v>46060.502187500002</v>
      </c>
      <c r="B509">
        <v>373442629</v>
      </c>
      <c r="C509" t="s">
        <v>104</v>
      </c>
      <c r="D509" t="s">
        <v>15</v>
      </c>
      <c r="E509">
        <v>0</v>
      </c>
      <c r="F509">
        <v>0</v>
      </c>
      <c r="G509">
        <v>0</v>
      </c>
      <c r="I509" t="s">
        <v>58</v>
      </c>
      <c r="J509" t="s">
        <v>59</v>
      </c>
      <c r="K509" t="s">
        <v>18</v>
      </c>
      <c r="L509" t="str">
        <f>T("9791173784316")</f>
        <v>9791173784316</v>
      </c>
      <c r="M509" t="str">
        <f t="shared" si="10"/>
        <v/>
      </c>
      <c r="N509">
        <v>948951</v>
      </c>
    </row>
    <row r="510" spans="1:14" x14ac:dyDescent="0.3">
      <c r="A510" s="1">
        <v>46060.516631944447</v>
      </c>
      <c r="B510">
        <v>287086243</v>
      </c>
      <c r="C510" t="s">
        <v>293</v>
      </c>
      <c r="D510" t="s">
        <v>15</v>
      </c>
      <c r="E510" s="2">
        <v>3000</v>
      </c>
      <c r="F510" s="2">
        <v>3000</v>
      </c>
      <c r="G510" s="2">
        <v>2100</v>
      </c>
      <c r="I510" t="s">
        <v>294</v>
      </c>
      <c r="J510" t="s">
        <v>23</v>
      </c>
      <c r="K510" t="s">
        <v>18</v>
      </c>
      <c r="L510" t="str">
        <f>T("9791136920201")</f>
        <v>9791136920201</v>
      </c>
      <c r="M510" t="str">
        <f t="shared" si="10"/>
        <v/>
      </c>
      <c r="N510">
        <v>871320</v>
      </c>
    </row>
    <row r="511" spans="1:14" x14ac:dyDescent="0.3">
      <c r="A511" s="1">
        <v>46060.519444444442</v>
      </c>
      <c r="B511">
        <v>385636847</v>
      </c>
      <c r="C511" t="s">
        <v>245</v>
      </c>
      <c r="D511" t="s">
        <v>89</v>
      </c>
      <c r="E511" s="2">
        <v>9450</v>
      </c>
      <c r="F511" s="2">
        <v>9450</v>
      </c>
      <c r="G511" s="2">
        <v>6615</v>
      </c>
      <c r="I511" t="s">
        <v>246</v>
      </c>
      <c r="J511" t="s">
        <v>23</v>
      </c>
      <c r="K511" t="s">
        <v>18</v>
      </c>
      <c r="L511" t="str">
        <f>T("9791175309517")</f>
        <v>9791175309517</v>
      </c>
      <c r="M511" t="str">
        <f t="shared" si="10"/>
        <v/>
      </c>
    </row>
    <row r="512" spans="1:14" x14ac:dyDescent="0.3">
      <c r="A512" s="1">
        <v>46060.534907407404</v>
      </c>
      <c r="B512">
        <v>370422597</v>
      </c>
      <c r="C512" t="s">
        <v>295</v>
      </c>
      <c r="D512" t="s">
        <v>15</v>
      </c>
      <c r="E512" s="2">
        <v>3200</v>
      </c>
      <c r="F512" s="2">
        <v>3200</v>
      </c>
      <c r="G512" s="2">
        <v>2240</v>
      </c>
      <c r="I512" t="s">
        <v>56</v>
      </c>
      <c r="J512" t="s">
        <v>52</v>
      </c>
      <c r="K512" t="s">
        <v>18</v>
      </c>
      <c r="L512" t="str">
        <f>T("9791175301405")</f>
        <v>9791175301405</v>
      </c>
      <c r="M512" t="str">
        <f t="shared" si="10"/>
        <v/>
      </c>
      <c r="N512">
        <v>952865</v>
      </c>
    </row>
    <row r="513" spans="1:14" x14ac:dyDescent="0.3">
      <c r="A513" s="1">
        <v>46060.534907407404</v>
      </c>
      <c r="B513">
        <v>370422657</v>
      </c>
      <c r="C513" t="s">
        <v>296</v>
      </c>
      <c r="D513" t="s">
        <v>15</v>
      </c>
      <c r="E513" s="2">
        <v>3200</v>
      </c>
      <c r="F513" s="2">
        <v>3200</v>
      </c>
      <c r="G513" s="2">
        <v>2240</v>
      </c>
      <c r="I513" t="s">
        <v>56</v>
      </c>
      <c r="J513" t="s">
        <v>52</v>
      </c>
      <c r="K513" t="s">
        <v>18</v>
      </c>
      <c r="L513" t="str">
        <f>T("9791175301399")</f>
        <v>9791175301399</v>
      </c>
      <c r="M513" t="str">
        <f t="shared" si="10"/>
        <v/>
      </c>
      <c r="N513">
        <v>952865</v>
      </c>
    </row>
    <row r="514" spans="1:14" x14ac:dyDescent="0.3">
      <c r="A514" s="1">
        <v>46060.577291666668</v>
      </c>
      <c r="B514">
        <v>366386880</v>
      </c>
      <c r="C514" t="s">
        <v>190</v>
      </c>
      <c r="D514" t="s">
        <v>15</v>
      </c>
      <c r="E514" s="2">
        <v>1800</v>
      </c>
      <c r="F514" s="2">
        <v>1800</v>
      </c>
      <c r="G514" s="2">
        <v>1260</v>
      </c>
      <c r="I514" t="s">
        <v>32</v>
      </c>
      <c r="J514" t="s">
        <v>23</v>
      </c>
      <c r="K514" t="s">
        <v>18</v>
      </c>
      <c r="L514" t="str">
        <f>T("9791173786648")</f>
        <v>9791173786648</v>
      </c>
      <c r="M514" t="str">
        <f t="shared" ref="M514:M577" si="11">T("")</f>
        <v/>
      </c>
      <c r="N514">
        <v>950837</v>
      </c>
    </row>
    <row r="515" spans="1:14" x14ac:dyDescent="0.3">
      <c r="A515" s="1">
        <v>46060.577291666668</v>
      </c>
      <c r="B515">
        <v>346154719</v>
      </c>
      <c r="C515" t="s">
        <v>44</v>
      </c>
      <c r="D515" t="s">
        <v>15</v>
      </c>
      <c r="E515" s="2">
        <v>3300</v>
      </c>
      <c r="F515" s="2">
        <v>3300</v>
      </c>
      <c r="G515" s="2">
        <v>2310</v>
      </c>
      <c r="I515" t="s">
        <v>32</v>
      </c>
      <c r="J515" t="s">
        <v>23</v>
      </c>
      <c r="K515" t="s">
        <v>18</v>
      </c>
      <c r="L515" t="str">
        <f>T("9791136927675")</f>
        <v>9791136927675</v>
      </c>
      <c r="M515" t="str">
        <f t="shared" si="11"/>
        <v/>
      </c>
      <c r="N515">
        <v>928443</v>
      </c>
    </row>
    <row r="516" spans="1:14" x14ac:dyDescent="0.3">
      <c r="A516" s="1">
        <v>46060.577291666668</v>
      </c>
      <c r="B516">
        <v>346154276</v>
      </c>
      <c r="C516" t="s">
        <v>46</v>
      </c>
      <c r="D516" t="s">
        <v>15</v>
      </c>
      <c r="E516" s="2">
        <v>3300</v>
      </c>
      <c r="F516" s="2">
        <v>3300</v>
      </c>
      <c r="G516" s="2">
        <v>2310</v>
      </c>
      <c r="I516" t="s">
        <v>32</v>
      </c>
      <c r="J516" t="s">
        <v>23</v>
      </c>
      <c r="K516" t="s">
        <v>18</v>
      </c>
      <c r="L516" t="str">
        <f>T("9791136940704")</f>
        <v>9791136940704</v>
      </c>
      <c r="M516" t="str">
        <f t="shared" si="11"/>
        <v/>
      </c>
      <c r="N516">
        <v>928442</v>
      </c>
    </row>
    <row r="517" spans="1:14" x14ac:dyDescent="0.3">
      <c r="A517" s="1">
        <v>46060.577291666668</v>
      </c>
      <c r="B517">
        <v>346154245</v>
      </c>
      <c r="C517" t="s">
        <v>45</v>
      </c>
      <c r="D517" t="s">
        <v>15</v>
      </c>
      <c r="E517" s="2">
        <v>3300</v>
      </c>
      <c r="F517" s="2">
        <v>3300</v>
      </c>
      <c r="G517" s="2">
        <v>2310</v>
      </c>
      <c r="I517" t="s">
        <v>32</v>
      </c>
      <c r="J517" t="s">
        <v>23</v>
      </c>
      <c r="K517" t="s">
        <v>18</v>
      </c>
      <c r="L517" t="str">
        <f>T("9791136940728")</f>
        <v>9791136940728</v>
      </c>
      <c r="M517" t="str">
        <f t="shared" si="11"/>
        <v/>
      </c>
      <c r="N517">
        <v>928441</v>
      </c>
    </row>
    <row r="518" spans="1:14" x14ac:dyDescent="0.3">
      <c r="A518" s="1">
        <v>46060.591620370367</v>
      </c>
      <c r="B518">
        <v>385348414</v>
      </c>
      <c r="C518" t="s">
        <v>114</v>
      </c>
      <c r="D518" t="s">
        <v>89</v>
      </c>
      <c r="E518" s="2">
        <v>11700</v>
      </c>
      <c r="F518" s="2">
        <v>11700</v>
      </c>
      <c r="G518" s="2">
        <v>8190</v>
      </c>
      <c r="I518" t="s">
        <v>87</v>
      </c>
      <c r="J518" t="s">
        <v>23</v>
      </c>
      <c r="K518" t="s">
        <v>18</v>
      </c>
      <c r="L518" t="str">
        <f>T("9791175308503")</f>
        <v>9791175308503</v>
      </c>
      <c r="M518" t="str">
        <f t="shared" si="11"/>
        <v/>
      </c>
    </row>
    <row r="519" spans="1:14" x14ac:dyDescent="0.3">
      <c r="A519" s="1">
        <v>46060.607662037037</v>
      </c>
      <c r="B519">
        <v>366170260</v>
      </c>
      <c r="C519" t="s">
        <v>201</v>
      </c>
      <c r="D519" t="s">
        <v>15</v>
      </c>
      <c r="E519" s="2">
        <v>13200</v>
      </c>
      <c r="F519" s="2">
        <v>13200</v>
      </c>
      <c r="G519" s="2">
        <v>9240</v>
      </c>
      <c r="I519" t="s">
        <v>34</v>
      </c>
      <c r="J519" t="s">
        <v>23</v>
      </c>
      <c r="K519" t="s">
        <v>18</v>
      </c>
      <c r="L519" t="str">
        <f>T("9791173784552")</f>
        <v>9791173784552</v>
      </c>
      <c r="M519" t="str">
        <f t="shared" si="11"/>
        <v/>
      </c>
    </row>
    <row r="520" spans="1:14" x14ac:dyDescent="0.3">
      <c r="A520" s="1">
        <v>46060.64949074074</v>
      </c>
      <c r="B520">
        <v>385347659</v>
      </c>
      <c r="C520" t="s">
        <v>86</v>
      </c>
      <c r="D520" t="s">
        <v>15</v>
      </c>
      <c r="E520" s="2">
        <v>1000</v>
      </c>
      <c r="F520">
        <v>900</v>
      </c>
      <c r="G520">
        <v>630</v>
      </c>
      <c r="I520" t="s">
        <v>87</v>
      </c>
      <c r="J520" t="s">
        <v>23</v>
      </c>
      <c r="K520" t="s">
        <v>18</v>
      </c>
      <c r="L520" t="str">
        <f>T("9791175308510")</f>
        <v>9791175308510</v>
      </c>
      <c r="M520" t="str">
        <f t="shared" si="11"/>
        <v/>
      </c>
      <c r="N520">
        <v>957881</v>
      </c>
    </row>
    <row r="521" spans="1:14" x14ac:dyDescent="0.3">
      <c r="A521" s="1">
        <v>46060.663587962961</v>
      </c>
      <c r="B521">
        <v>385348415</v>
      </c>
      <c r="C521" t="s">
        <v>88</v>
      </c>
      <c r="D521" t="s">
        <v>89</v>
      </c>
      <c r="E521" s="2">
        <v>8640</v>
      </c>
      <c r="F521" s="2">
        <v>8640</v>
      </c>
      <c r="G521" s="2">
        <v>6048</v>
      </c>
      <c r="I521" t="s">
        <v>90</v>
      </c>
      <c r="J521" t="s">
        <v>23</v>
      </c>
      <c r="K521" t="s">
        <v>18</v>
      </c>
      <c r="L521" t="str">
        <f>T("9791175308350")</f>
        <v>9791175308350</v>
      </c>
      <c r="M521" t="str">
        <f t="shared" si="11"/>
        <v/>
      </c>
    </row>
    <row r="522" spans="1:14" x14ac:dyDescent="0.3">
      <c r="A522" s="1">
        <v>46060.689236111109</v>
      </c>
      <c r="B522">
        <v>314431707</v>
      </c>
      <c r="C522" t="s">
        <v>297</v>
      </c>
      <c r="D522" t="s">
        <v>15</v>
      </c>
      <c r="E522" s="2">
        <v>9900</v>
      </c>
      <c r="F522" s="2">
        <v>9900</v>
      </c>
      <c r="G522" s="2">
        <v>6930</v>
      </c>
      <c r="I522" t="s">
        <v>298</v>
      </c>
      <c r="J522" t="s">
        <v>70</v>
      </c>
      <c r="K522" t="s">
        <v>18</v>
      </c>
      <c r="L522" t="str">
        <f>T("9791136935656")</f>
        <v>9791136935656</v>
      </c>
      <c r="M522" t="str">
        <f t="shared" si="11"/>
        <v/>
      </c>
    </row>
    <row r="523" spans="1:14" x14ac:dyDescent="0.3">
      <c r="A523" s="1">
        <v>46060.722256944442</v>
      </c>
      <c r="B523">
        <v>306632327</v>
      </c>
      <c r="C523" t="s">
        <v>299</v>
      </c>
      <c r="D523" t="s">
        <v>15</v>
      </c>
      <c r="E523" s="2">
        <v>9000</v>
      </c>
      <c r="F523" s="2">
        <v>9000</v>
      </c>
      <c r="G523" s="2">
        <v>6300</v>
      </c>
      <c r="I523" t="s">
        <v>175</v>
      </c>
      <c r="J523" t="s">
        <v>176</v>
      </c>
      <c r="K523" t="s">
        <v>18</v>
      </c>
      <c r="L523" t="str">
        <f>T("9791172924805")</f>
        <v>9791172924805</v>
      </c>
      <c r="M523" t="str">
        <f t="shared" si="11"/>
        <v/>
      </c>
    </row>
    <row r="524" spans="1:14" x14ac:dyDescent="0.3">
      <c r="A524" s="1">
        <v>46060.74119212963</v>
      </c>
      <c r="B524">
        <v>385348415</v>
      </c>
      <c r="C524" t="s">
        <v>88</v>
      </c>
      <c r="D524" t="s">
        <v>89</v>
      </c>
      <c r="E524" s="2">
        <v>8640</v>
      </c>
      <c r="F524" s="2">
        <v>8640</v>
      </c>
      <c r="G524" s="2">
        <v>6048</v>
      </c>
      <c r="I524" t="s">
        <v>90</v>
      </c>
      <c r="J524" t="s">
        <v>23</v>
      </c>
      <c r="K524" t="s">
        <v>18</v>
      </c>
      <c r="L524" t="str">
        <f>T("9791175308350")</f>
        <v>9791175308350</v>
      </c>
      <c r="M524" t="str">
        <f t="shared" si="11"/>
        <v/>
      </c>
    </row>
    <row r="525" spans="1:14" x14ac:dyDescent="0.3">
      <c r="A525" s="1">
        <v>46060.74527777778</v>
      </c>
      <c r="B525">
        <v>385348415</v>
      </c>
      <c r="C525" t="s">
        <v>88</v>
      </c>
      <c r="D525" t="s">
        <v>15</v>
      </c>
      <c r="E525" s="2">
        <v>9600</v>
      </c>
      <c r="F525" s="2">
        <v>8640</v>
      </c>
      <c r="G525" s="2">
        <v>6048</v>
      </c>
      <c r="I525" t="s">
        <v>90</v>
      </c>
      <c r="J525" t="s">
        <v>23</v>
      </c>
      <c r="K525" t="s">
        <v>18</v>
      </c>
      <c r="L525" t="str">
        <f>T("9791175308350")</f>
        <v>9791175308350</v>
      </c>
      <c r="M525" t="str">
        <f t="shared" si="11"/>
        <v/>
      </c>
    </row>
    <row r="526" spans="1:14" x14ac:dyDescent="0.3">
      <c r="A526" s="1">
        <v>46060.760462962964</v>
      </c>
      <c r="B526">
        <v>385348415</v>
      </c>
      <c r="C526" t="s">
        <v>88</v>
      </c>
      <c r="D526" t="s">
        <v>15</v>
      </c>
      <c r="E526" s="2">
        <v>9600</v>
      </c>
      <c r="F526" s="2">
        <v>8640</v>
      </c>
      <c r="G526" s="2">
        <v>6048</v>
      </c>
      <c r="I526" t="s">
        <v>90</v>
      </c>
      <c r="J526" t="s">
        <v>23</v>
      </c>
      <c r="K526" t="s">
        <v>18</v>
      </c>
      <c r="L526" t="str">
        <f>T("9791175308350")</f>
        <v>9791175308350</v>
      </c>
      <c r="M526" t="str">
        <f t="shared" si="11"/>
        <v/>
      </c>
    </row>
    <row r="527" spans="1:14" x14ac:dyDescent="0.3">
      <c r="A527" s="1">
        <v>46060.785185185188</v>
      </c>
      <c r="B527">
        <v>385636847</v>
      </c>
      <c r="C527" t="s">
        <v>245</v>
      </c>
      <c r="D527" t="s">
        <v>89</v>
      </c>
      <c r="E527" s="2">
        <v>9450</v>
      </c>
      <c r="F527" s="2">
        <v>9450</v>
      </c>
      <c r="G527" s="2">
        <v>6615</v>
      </c>
      <c r="I527" t="s">
        <v>246</v>
      </c>
      <c r="J527" t="s">
        <v>23</v>
      </c>
      <c r="K527" t="s">
        <v>18</v>
      </c>
      <c r="L527" t="str">
        <f>T("9791175309517")</f>
        <v>9791175309517</v>
      </c>
      <c r="M527" t="str">
        <f t="shared" si="11"/>
        <v/>
      </c>
    </row>
    <row r="528" spans="1:14" x14ac:dyDescent="0.3">
      <c r="A528" s="1">
        <v>46060.795532407406</v>
      </c>
      <c r="B528">
        <v>360254030</v>
      </c>
      <c r="C528" t="s">
        <v>300</v>
      </c>
      <c r="D528" t="s">
        <v>15</v>
      </c>
      <c r="E528" s="2">
        <v>12700</v>
      </c>
      <c r="F528" s="2">
        <v>12700</v>
      </c>
      <c r="G528" s="2">
        <v>8890</v>
      </c>
      <c r="I528" t="s">
        <v>301</v>
      </c>
      <c r="J528" t="s">
        <v>49</v>
      </c>
      <c r="K528" t="s">
        <v>18</v>
      </c>
      <c r="L528" t="str">
        <f>T("9791172921415")</f>
        <v>9791172921415</v>
      </c>
      <c r="M528" t="str">
        <f t="shared" si="11"/>
        <v/>
      </c>
    </row>
    <row r="529" spans="1:14" x14ac:dyDescent="0.3">
      <c r="A529" s="1">
        <v>46060.798321759263</v>
      </c>
      <c r="B529">
        <v>342333155</v>
      </c>
      <c r="C529" t="s">
        <v>182</v>
      </c>
      <c r="D529" t="s">
        <v>15</v>
      </c>
      <c r="E529" s="2">
        <v>1500</v>
      </c>
      <c r="F529" s="2">
        <v>1500</v>
      </c>
      <c r="G529" s="2">
        <v>1050</v>
      </c>
      <c r="I529" t="s">
        <v>102</v>
      </c>
      <c r="J529" t="s">
        <v>23</v>
      </c>
      <c r="K529" t="s">
        <v>18</v>
      </c>
      <c r="L529" t="str">
        <f>T("9791136979773")</f>
        <v>9791136979773</v>
      </c>
      <c r="M529" t="str">
        <f t="shared" si="11"/>
        <v/>
      </c>
      <c r="N529">
        <v>926741</v>
      </c>
    </row>
    <row r="530" spans="1:14" x14ac:dyDescent="0.3">
      <c r="A530" s="1">
        <v>46060.813310185185</v>
      </c>
      <c r="B530">
        <v>385347754</v>
      </c>
      <c r="C530" t="s">
        <v>97</v>
      </c>
      <c r="D530" t="s">
        <v>15</v>
      </c>
      <c r="E530" s="2">
        <v>3200</v>
      </c>
      <c r="F530" s="2">
        <v>2880</v>
      </c>
      <c r="G530" s="2">
        <v>2016</v>
      </c>
      <c r="I530" t="s">
        <v>90</v>
      </c>
      <c r="J530" t="s">
        <v>23</v>
      </c>
      <c r="K530" t="s">
        <v>18</v>
      </c>
      <c r="L530" t="str">
        <f>T("9791175308282")</f>
        <v>9791175308282</v>
      </c>
      <c r="M530" t="str">
        <f t="shared" si="11"/>
        <v/>
      </c>
      <c r="N530">
        <v>957886</v>
      </c>
    </row>
    <row r="531" spans="1:14" x14ac:dyDescent="0.3">
      <c r="A531" s="1">
        <v>46060.827118055553</v>
      </c>
      <c r="B531">
        <v>381924691</v>
      </c>
      <c r="C531" t="s">
        <v>302</v>
      </c>
      <c r="D531" t="s">
        <v>15</v>
      </c>
      <c r="E531" s="2">
        <v>10200</v>
      </c>
      <c r="F531" s="2">
        <v>10200</v>
      </c>
      <c r="G531" s="2">
        <v>7140</v>
      </c>
      <c r="I531" t="s">
        <v>189</v>
      </c>
      <c r="J531" t="s">
        <v>70</v>
      </c>
      <c r="K531" t="s">
        <v>18</v>
      </c>
      <c r="L531" t="str">
        <f>T("9791175307605")</f>
        <v>9791175307605</v>
      </c>
      <c r="M531" t="str">
        <f t="shared" si="11"/>
        <v/>
      </c>
    </row>
    <row r="532" spans="1:14" x14ac:dyDescent="0.3">
      <c r="A532" s="1">
        <v>46060.931608796294</v>
      </c>
      <c r="B532">
        <v>385636847</v>
      </c>
      <c r="C532" t="s">
        <v>245</v>
      </c>
      <c r="D532" t="s">
        <v>89</v>
      </c>
      <c r="E532" s="2">
        <v>9450</v>
      </c>
      <c r="F532" s="2">
        <v>9450</v>
      </c>
      <c r="G532" s="2">
        <v>6615</v>
      </c>
      <c r="I532" t="s">
        <v>246</v>
      </c>
      <c r="J532" t="s">
        <v>23</v>
      </c>
      <c r="K532" t="s">
        <v>18</v>
      </c>
      <c r="L532" t="str">
        <f>T("9791175309517")</f>
        <v>9791175309517</v>
      </c>
      <c r="M532" t="str">
        <f t="shared" si="11"/>
        <v/>
      </c>
    </row>
    <row r="533" spans="1:14" x14ac:dyDescent="0.3">
      <c r="A533" s="1">
        <v>46060.959907407407</v>
      </c>
      <c r="B533">
        <v>385348415</v>
      </c>
      <c r="C533" t="s">
        <v>88</v>
      </c>
      <c r="D533" t="s">
        <v>89</v>
      </c>
      <c r="E533" s="2">
        <v>8640</v>
      </c>
      <c r="F533" s="2">
        <v>8640</v>
      </c>
      <c r="G533" s="2">
        <v>6048</v>
      </c>
      <c r="I533" t="s">
        <v>90</v>
      </c>
      <c r="J533" t="s">
        <v>23</v>
      </c>
      <c r="K533" t="s">
        <v>18</v>
      </c>
      <c r="L533" t="str">
        <f>T("9791175308350")</f>
        <v>9791175308350</v>
      </c>
      <c r="M533" t="str">
        <f t="shared" si="11"/>
        <v/>
      </c>
    </row>
    <row r="534" spans="1:14" x14ac:dyDescent="0.3">
      <c r="A534" s="1">
        <v>46060.974675925929</v>
      </c>
      <c r="B534">
        <v>385348415</v>
      </c>
      <c r="C534" t="s">
        <v>88</v>
      </c>
      <c r="D534" t="s">
        <v>89</v>
      </c>
      <c r="E534" s="2">
        <v>8640</v>
      </c>
      <c r="F534" s="2">
        <v>8640</v>
      </c>
      <c r="G534" s="2">
        <v>6048</v>
      </c>
      <c r="I534" t="s">
        <v>90</v>
      </c>
      <c r="J534" t="s">
        <v>23</v>
      </c>
      <c r="K534" t="s">
        <v>18</v>
      </c>
      <c r="L534" t="str">
        <f>T("9791175308350")</f>
        <v>9791175308350</v>
      </c>
      <c r="M534" t="str">
        <f t="shared" si="11"/>
        <v/>
      </c>
    </row>
    <row r="535" spans="1:14" x14ac:dyDescent="0.3">
      <c r="A535" s="1">
        <v>46060.982546296298</v>
      </c>
      <c r="B535">
        <v>335163682</v>
      </c>
      <c r="C535" t="s">
        <v>303</v>
      </c>
      <c r="D535" t="s">
        <v>15</v>
      </c>
      <c r="E535" s="2">
        <v>3000</v>
      </c>
      <c r="F535" s="2">
        <v>3000</v>
      </c>
      <c r="G535" s="2">
        <v>2100</v>
      </c>
      <c r="I535" t="s">
        <v>153</v>
      </c>
      <c r="J535" t="s">
        <v>23</v>
      </c>
      <c r="K535" t="s">
        <v>18</v>
      </c>
      <c r="L535" t="str">
        <f>T("9791136955203")</f>
        <v>9791136955203</v>
      </c>
      <c r="M535" t="str">
        <f t="shared" si="11"/>
        <v/>
      </c>
      <c r="N535">
        <v>920746</v>
      </c>
    </row>
    <row r="536" spans="1:14" x14ac:dyDescent="0.3">
      <c r="A536" s="1">
        <v>46060.999861111108</v>
      </c>
      <c r="B536">
        <v>385636071</v>
      </c>
      <c r="C536" t="s">
        <v>289</v>
      </c>
      <c r="D536" t="s">
        <v>15</v>
      </c>
      <c r="E536" s="2">
        <v>3500</v>
      </c>
      <c r="F536" s="2">
        <v>3150</v>
      </c>
      <c r="G536" s="2">
        <v>2205</v>
      </c>
      <c r="I536" t="s">
        <v>246</v>
      </c>
      <c r="J536" t="s">
        <v>23</v>
      </c>
      <c r="K536" t="s">
        <v>18</v>
      </c>
      <c r="L536" t="str">
        <f>T("9791175309524")</f>
        <v>9791175309524</v>
      </c>
      <c r="M536" t="str">
        <f t="shared" si="11"/>
        <v/>
      </c>
      <c r="N536">
        <v>958042</v>
      </c>
    </row>
    <row r="537" spans="1:14" x14ac:dyDescent="0.3">
      <c r="A537" s="1">
        <v>46064.985520833332</v>
      </c>
      <c r="B537">
        <v>385636071</v>
      </c>
      <c r="C537" t="s">
        <v>289</v>
      </c>
      <c r="D537" t="s">
        <v>15</v>
      </c>
      <c r="E537" s="2">
        <v>-3500</v>
      </c>
      <c r="F537" s="2">
        <v>-3150</v>
      </c>
      <c r="G537" s="2">
        <v>-2205</v>
      </c>
      <c r="H537" s="1">
        <v>46060.999861111108</v>
      </c>
      <c r="I537" t="s">
        <v>246</v>
      </c>
      <c r="J537" t="s">
        <v>23</v>
      </c>
      <c r="K537" t="s">
        <v>18</v>
      </c>
      <c r="L537" t="str">
        <f>T("9791175309524")</f>
        <v>9791175309524</v>
      </c>
      <c r="M537" t="str">
        <f t="shared" si="11"/>
        <v/>
      </c>
      <c r="N537">
        <v>958042</v>
      </c>
    </row>
    <row r="538" spans="1:14" x14ac:dyDescent="0.3">
      <c r="A538" s="1">
        <v>46061.069780092592</v>
      </c>
      <c r="B538">
        <v>376836889</v>
      </c>
      <c r="C538" t="s">
        <v>304</v>
      </c>
      <c r="D538" t="s">
        <v>15</v>
      </c>
      <c r="E538" s="2">
        <v>12800</v>
      </c>
      <c r="F538" s="2">
        <v>12800</v>
      </c>
      <c r="G538" s="2">
        <v>8960</v>
      </c>
      <c r="I538" t="s">
        <v>305</v>
      </c>
      <c r="J538" t="s">
        <v>49</v>
      </c>
      <c r="K538" t="s">
        <v>18</v>
      </c>
      <c r="L538" t="str">
        <f>T("9791175304987")</f>
        <v>9791175304987</v>
      </c>
      <c r="M538" t="str">
        <f t="shared" si="11"/>
        <v/>
      </c>
    </row>
    <row r="539" spans="1:14" x14ac:dyDescent="0.3">
      <c r="A539" s="1">
        <v>46061.088437500002</v>
      </c>
      <c r="B539">
        <v>341681878</v>
      </c>
      <c r="C539" t="s">
        <v>60</v>
      </c>
      <c r="D539" t="s">
        <v>15</v>
      </c>
      <c r="E539">
        <v>0</v>
      </c>
      <c r="F539">
        <v>0</v>
      </c>
      <c r="G539">
        <v>0</v>
      </c>
      <c r="I539" t="s">
        <v>61</v>
      </c>
      <c r="J539" t="s">
        <v>59</v>
      </c>
      <c r="K539" t="s">
        <v>18</v>
      </c>
      <c r="L539" t="str">
        <f>T("9791136916969")</f>
        <v>9791136916969</v>
      </c>
      <c r="M539" t="str">
        <f t="shared" si="11"/>
        <v/>
      </c>
      <c r="N539">
        <v>866099</v>
      </c>
    </row>
    <row r="540" spans="1:14" x14ac:dyDescent="0.3">
      <c r="A540" s="1">
        <v>46061.110486111109</v>
      </c>
      <c r="B540">
        <v>385636847</v>
      </c>
      <c r="C540" t="s">
        <v>245</v>
      </c>
      <c r="D540" t="s">
        <v>89</v>
      </c>
      <c r="E540" s="2">
        <v>9450</v>
      </c>
      <c r="F540" s="2">
        <v>9450</v>
      </c>
      <c r="G540" s="2">
        <v>6615</v>
      </c>
      <c r="I540" t="s">
        <v>246</v>
      </c>
      <c r="J540" t="s">
        <v>23</v>
      </c>
      <c r="K540" t="s">
        <v>18</v>
      </c>
      <c r="L540" t="str">
        <f>T("9791175309517")</f>
        <v>9791175309517</v>
      </c>
      <c r="M540" t="str">
        <f t="shared" si="11"/>
        <v/>
      </c>
    </row>
    <row r="541" spans="1:14" x14ac:dyDescent="0.3">
      <c r="A541" s="1">
        <v>46061.138124999998</v>
      </c>
      <c r="B541">
        <v>385636071</v>
      </c>
      <c r="C541" t="s">
        <v>289</v>
      </c>
      <c r="D541" t="s">
        <v>15</v>
      </c>
      <c r="E541" s="2">
        <v>3500</v>
      </c>
      <c r="F541" s="2">
        <v>3150</v>
      </c>
      <c r="G541" s="2">
        <v>2205</v>
      </c>
      <c r="I541" t="s">
        <v>246</v>
      </c>
      <c r="J541" t="s">
        <v>23</v>
      </c>
      <c r="K541" t="s">
        <v>18</v>
      </c>
      <c r="L541" t="str">
        <f>T("9791175309524")</f>
        <v>9791175309524</v>
      </c>
      <c r="M541" t="str">
        <f t="shared" si="11"/>
        <v/>
      </c>
      <c r="N541">
        <v>958042</v>
      </c>
    </row>
    <row r="542" spans="1:14" x14ac:dyDescent="0.3">
      <c r="A542" s="1">
        <v>46061.1405787037</v>
      </c>
      <c r="B542">
        <v>385636847</v>
      </c>
      <c r="C542" t="s">
        <v>245</v>
      </c>
      <c r="D542" t="s">
        <v>89</v>
      </c>
      <c r="E542" s="2">
        <v>9450</v>
      </c>
      <c r="F542" s="2">
        <v>9450</v>
      </c>
      <c r="G542" s="2">
        <v>6615</v>
      </c>
      <c r="I542" t="s">
        <v>246</v>
      </c>
      <c r="J542" t="s">
        <v>23</v>
      </c>
      <c r="K542" t="s">
        <v>18</v>
      </c>
      <c r="L542" t="str">
        <f>T("9791175309517")</f>
        <v>9791175309517</v>
      </c>
      <c r="M542" t="str">
        <f t="shared" si="11"/>
        <v/>
      </c>
    </row>
    <row r="543" spans="1:14" x14ac:dyDescent="0.3">
      <c r="A543" s="1">
        <v>46061.155428240738</v>
      </c>
      <c r="B543">
        <v>348546568</v>
      </c>
      <c r="C543" t="s">
        <v>121</v>
      </c>
      <c r="D543" t="s">
        <v>15</v>
      </c>
      <c r="E543">
        <v>0</v>
      </c>
      <c r="F543">
        <v>0</v>
      </c>
      <c r="G543">
        <v>0</v>
      </c>
      <c r="I543" t="s">
        <v>122</v>
      </c>
      <c r="J543" t="s">
        <v>59</v>
      </c>
      <c r="K543" t="s">
        <v>18</v>
      </c>
      <c r="L543" t="str">
        <f>T("9791133196678")</f>
        <v>9791133196678</v>
      </c>
      <c r="M543" t="str">
        <f t="shared" si="11"/>
        <v/>
      </c>
      <c r="N543">
        <v>773178</v>
      </c>
    </row>
    <row r="544" spans="1:14" x14ac:dyDescent="0.3">
      <c r="A544" s="1">
        <v>46061.155428240738</v>
      </c>
      <c r="B544">
        <v>385347620</v>
      </c>
      <c r="C544" t="s">
        <v>84</v>
      </c>
      <c r="D544" t="s">
        <v>15</v>
      </c>
      <c r="E544">
        <v>0</v>
      </c>
      <c r="F544">
        <v>0</v>
      </c>
      <c r="G544">
        <v>0</v>
      </c>
      <c r="I544" t="s">
        <v>85</v>
      </c>
      <c r="J544" t="s">
        <v>59</v>
      </c>
      <c r="K544" t="s">
        <v>18</v>
      </c>
      <c r="L544" t="str">
        <f>T("9791136943897")</f>
        <v>9791136943897</v>
      </c>
      <c r="M544" t="str">
        <f t="shared" si="11"/>
        <v/>
      </c>
      <c r="N544">
        <v>917706</v>
      </c>
    </row>
    <row r="545" spans="1:14" x14ac:dyDescent="0.3">
      <c r="A545" s="1">
        <v>46061.275462962964</v>
      </c>
      <c r="B545">
        <v>348546807</v>
      </c>
      <c r="C545" t="s">
        <v>306</v>
      </c>
      <c r="D545" t="s">
        <v>89</v>
      </c>
      <c r="E545">
        <v>810</v>
      </c>
      <c r="F545">
        <v>810</v>
      </c>
      <c r="G545">
        <v>567</v>
      </c>
      <c r="I545" t="s">
        <v>122</v>
      </c>
      <c r="J545" t="s">
        <v>59</v>
      </c>
      <c r="K545" t="s">
        <v>18</v>
      </c>
      <c r="L545" t="str">
        <f>T("9791133196685")</f>
        <v>9791133196685</v>
      </c>
      <c r="M545" t="str">
        <f t="shared" si="11"/>
        <v/>
      </c>
      <c r="N545">
        <v>773178</v>
      </c>
    </row>
    <row r="546" spans="1:14" x14ac:dyDescent="0.3">
      <c r="A546" s="1">
        <v>46061.363993055558</v>
      </c>
      <c r="B546">
        <v>385636847</v>
      </c>
      <c r="C546" t="s">
        <v>245</v>
      </c>
      <c r="D546" t="s">
        <v>89</v>
      </c>
      <c r="E546" s="2">
        <v>9450</v>
      </c>
      <c r="F546" s="2">
        <v>9450</v>
      </c>
      <c r="G546" s="2">
        <v>6615</v>
      </c>
      <c r="I546" t="s">
        <v>246</v>
      </c>
      <c r="J546" t="s">
        <v>23</v>
      </c>
      <c r="K546" t="s">
        <v>18</v>
      </c>
      <c r="L546" t="str">
        <f>T("9791175309517")</f>
        <v>9791175309517</v>
      </c>
      <c r="M546" t="str">
        <f t="shared" si="11"/>
        <v/>
      </c>
    </row>
    <row r="547" spans="1:14" x14ac:dyDescent="0.3">
      <c r="A547" s="1">
        <v>46061.369259259256</v>
      </c>
      <c r="B547">
        <v>384177514</v>
      </c>
      <c r="C547" t="s">
        <v>109</v>
      </c>
      <c r="D547" t="s">
        <v>15</v>
      </c>
      <c r="E547" s="2">
        <v>3500</v>
      </c>
      <c r="F547" s="2">
        <v>3500</v>
      </c>
      <c r="G547" s="2">
        <v>2450</v>
      </c>
      <c r="I547" t="s">
        <v>22</v>
      </c>
      <c r="J547" t="s">
        <v>23</v>
      </c>
      <c r="K547" t="s">
        <v>18</v>
      </c>
      <c r="L547" t="str">
        <f>T("9791175309807")</f>
        <v>9791175309807</v>
      </c>
      <c r="M547" t="str">
        <f t="shared" si="11"/>
        <v/>
      </c>
      <c r="N547">
        <v>958594</v>
      </c>
    </row>
    <row r="548" spans="1:14" x14ac:dyDescent="0.3">
      <c r="A548" s="1">
        <v>46061.530439814815</v>
      </c>
      <c r="B548">
        <v>376836889</v>
      </c>
      <c r="C548" t="s">
        <v>304</v>
      </c>
      <c r="D548" t="s">
        <v>15</v>
      </c>
      <c r="E548" s="2">
        <v>12800</v>
      </c>
      <c r="F548" s="2">
        <v>12800</v>
      </c>
      <c r="G548" s="2">
        <v>8960</v>
      </c>
      <c r="I548" t="s">
        <v>305</v>
      </c>
      <c r="J548" t="s">
        <v>49</v>
      </c>
      <c r="K548" t="s">
        <v>18</v>
      </c>
      <c r="L548" t="str">
        <f>T("9791175304987")</f>
        <v>9791175304987</v>
      </c>
      <c r="M548" t="str">
        <f t="shared" si="11"/>
        <v/>
      </c>
    </row>
    <row r="549" spans="1:14" x14ac:dyDescent="0.3">
      <c r="A549" s="1">
        <v>46061.543391203704</v>
      </c>
      <c r="B549">
        <v>385348415</v>
      </c>
      <c r="C549" t="s">
        <v>88</v>
      </c>
      <c r="D549" t="s">
        <v>89</v>
      </c>
      <c r="E549" s="2">
        <v>8640</v>
      </c>
      <c r="F549" s="2">
        <v>8640</v>
      </c>
      <c r="G549" s="2">
        <v>6048</v>
      </c>
      <c r="I549" t="s">
        <v>90</v>
      </c>
      <c r="J549" t="s">
        <v>23</v>
      </c>
      <c r="K549" t="s">
        <v>18</v>
      </c>
      <c r="L549" t="str">
        <f>T("9791175308350")</f>
        <v>9791175308350</v>
      </c>
      <c r="M549" t="str">
        <f t="shared" si="11"/>
        <v/>
      </c>
    </row>
    <row r="550" spans="1:14" x14ac:dyDescent="0.3">
      <c r="A550" s="1">
        <v>46061.591145833336</v>
      </c>
      <c r="B550">
        <v>379385369</v>
      </c>
      <c r="C550" t="s">
        <v>101</v>
      </c>
      <c r="D550" t="s">
        <v>15</v>
      </c>
      <c r="E550" s="2">
        <v>1500</v>
      </c>
      <c r="F550" s="2">
        <v>1500</v>
      </c>
      <c r="G550" s="2">
        <v>1050</v>
      </c>
      <c r="I550" t="s">
        <v>102</v>
      </c>
      <c r="J550" t="s">
        <v>23</v>
      </c>
      <c r="K550" t="s">
        <v>18</v>
      </c>
      <c r="L550" t="str">
        <f>T("9791175307254")</f>
        <v>9791175307254</v>
      </c>
      <c r="M550" t="str">
        <f t="shared" si="11"/>
        <v/>
      </c>
      <c r="N550">
        <v>957333</v>
      </c>
    </row>
    <row r="551" spans="1:14" x14ac:dyDescent="0.3">
      <c r="A551" s="1">
        <v>46061.634699074071</v>
      </c>
      <c r="B551">
        <v>385347620</v>
      </c>
      <c r="C551" t="s">
        <v>84</v>
      </c>
      <c r="D551" t="s">
        <v>15</v>
      </c>
      <c r="E551">
        <v>0</v>
      </c>
      <c r="F551">
        <v>0</v>
      </c>
      <c r="G551">
        <v>0</v>
      </c>
      <c r="I551" t="s">
        <v>85</v>
      </c>
      <c r="J551" t="s">
        <v>59</v>
      </c>
      <c r="K551" t="s">
        <v>18</v>
      </c>
      <c r="L551" t="str">
        <f>T("9791136943897")</f>
        <v>9791136943897</v>
      </c>
      <c r="M551" t="str">
        <f t="shared" si="11"/>
        <v/>
      </c>
      <c r="N551">
        <v>917706</v>
      </c>
    </row>
    <row r="552" spans="1:14" x14ac:dyDescent="0.3">
      <c r="A552" s="1">
        <v>46061.641875000001</v>
      </c>
      <c r="B552">
        <v>385636847</v>
      </c>
      <c r="C552" t="s">
        <v>245</v>
      </c>
      <c r="D552" t="s">
        <v>89</v>
      </c>
      <c r="E552" s="2">
        <v>9450</v>
      </c>
      <c r="F552" s="2">
        <v>9450</v>
      </c>
      <c r="G552" s="2">
        <v>6615</v>
      </c>
      <c r="I552" t="s">
        <v>246</v>
      </c>
      <c r="J552" t="s">
        <v>23</v>
      </c>
      <c r="K552" t="s">
        <v>18</v>
      </c>
      <c r="L552" t="str">
        <f>T("9791175309517")</f>
        <v>9791175309517</v>
      </c>
      <c r="M552" t="str">
        <f t="shared" si="11"/>
        <v/>
      </c>
    </row>
    <row r="553" spans="1:14" x14ac:dyDescent="0.3">
      <c r="A553" s="1">
        <v>46061.648379629631</v>
      </c>
      <c r="B553">
        <v>287086225</v>
      </c>
      <c r="C553" t="s">
        <v>307</v>
      </c>
      <c r="D553" t="s">
        <v>15</v>
      </c>
      <c r="E553" s="2">
        <v>3000</v>
      </c>
      <c r="F553" s="2">
        <v>3000</v>
      </c>
      <c r="G553" s="2">
        <v>2100</v>
      </c>
      <c r="I553" t="s">
        <v>294</v>
      </c>
      <c r="J553" t="s">
        <v>23</v>
      </c>
      <c r="K553" t="s">
        <v>18</v>
      </c>
      <c r="L553" t="str">
        <f>T("9791136920218")</f>
        <v>9791136920218</v>
      </c>
      <c r="M553" t="str">
        <f t="shared" si="11"/>
        <v/>
      </c>
      <c r="N553">
        <v>871319</v>
      </c>
    </row>
    <row r="554" spans="1:14" x14ac:dyDescent="0.3">
      <c r="A554" s="1">
        <v>46061.668240740742</v>
      </c>
      <c r="B554">
        <v>384178927</v>
      </c>
      <c r="C554" t="s">
        <v>63</v>
      </c>
      <c r="D554" t="s">
        <v>15</v>
      </c>
      <c r="E554" s="2">
        <v>21000</v>
      </c>
      <c r="F554" s="2">
        <v>21000</v>
      </c>
      <c r="G554" s="2">
        <v>14700</v>
      </c>
      <c r="I554" t="s">
        <v>22</v>
      </c>
      <c r="J554" t="s">
        <v>23</v>
      </c>
      <c r="K554" t="s">
        <v>18</v>
      </c>
      <c r="L554" t="str">
        <f>T("9791175309760")</f>
        <v>9791175309760</v>
      </c>
      <c r="M554" t="str">
        <f t="shared" si="11"/>
        <v/>
      </c>
    </row>
    <row r="555" spans="1:14" x14ac:dyDescent="0.3">
      <c r="A555" s="1">
        <v>46061.674907407411</v>
      </c>
      <c r="B555">
        <v>343292507</v>
      </c>
      <c r="C555" t="s">
        <v>308</v>
      </c>
      <c r="D555" t="s">
        <v>15</v>
      </c>
      <c r="E555" s="2">
        <v>3400</v>
      </c>
      <c r="F555" s="2">
        <v>3400</v>
      </c>
      <c r="G555" s="2">
        <v>2380</v>
      </c>
      <c r="I555" t="s">
        <v>116</v>
      </c>
      <c r="J555" t="s">
        <v>73</v>
      </c>
      <c r="K555" t="s">
        <v>18</v>
      </c>
      <c r="L555" t="str">
        <f>T("9791136986948")</f>
        <v>9791136986948</v>
      </c>
      <c r="M555" t="str">
        <f t="shared" si="11"/>
        <v/>
      </c>
      <c r="N555">
        <v>926737</v>
      </c>
    </row>
    <row r="556" spans="1:14" x14ac:dyDescent="0.3">
      <c r="A556" s="1">
        <v>46061.710694444446</v>
      </c>
      <c r="B556">
        <v>385348415</v>
      </c>
      <c r="C556" t="s">
        <v>88</v>
      </c>
      <c r="D556" t="s">
        <v>89</v>
      </c>
      <c r="E556" s="2">
        <v>8640</v>
      </c>
      <c r="F556" s="2">
        <v>8640</v>
      </c>
      <c r="G556" s="2">
        <v>6048</v>
      </c>
      <c r="I556" t="s">
        <v>90</v>
      </c>
      <c r="J556" t="s">
        <v>23</v>
      </c>
      <c r="K556" t="s">
        <v>18</v>
      </c>
      <c r="L556" t="str">
        <f>T("9791175308350")</f>
        <v>9791175308350</v>
      </c>
      <c r="M556" t="str">
        <f t="shared" si="11"/>
        <v/>
      </c>
    </row>
    <row r="557" spans="1:14" x14ac:dyDescent="0.3">
      <c r="A557" s="1">
        <v>46061.764965277776</v>
      </c>
      <c r="B557">
        <v>385348415</v>
      </c>
      <c r="C557" t="s">
        <v>88</v>
      </c>
      <c r="D557" t="s">
        <v>89</v>
      </c>
      <c r="E557" s="2">
        <v>8640</v>
      </c>
      <c r="F557" s="2">
        <v>8640</v>
      </c>
      <c r="G557" s="2">
        <v>6048</v>
      </c>
      <c r="I557" t="s">
        <v>90</v>
      </c>
      <c r="J557" t="s">
        <v>23</v>
      </c>
      <c r="K557" t="s">
        <v>18</v>
      </c>
      <c r="L557" t="str">
        <f>T("9791175308350")</f>
        <v>9791175308350</v>
      </c>
      <c r="M557" t="str">
        <f t="shared" si="11"/>
        <v/>
      </c>
    </row>
    <row r="558" spans="1:14" x14ac:dyDescent="0.3">
      <c r="A558" s="1">
        <v>46061.770810185182</v>
      </c>
      <c r="B558">
        <v>329693222</v>
      </c>
      <c r="C558" t="s">
        <v>309</v>
      </c>
      <c r="D558" t="s">
        <v>15</v>
      </c>
      <c r="E558">
        <v>0</v>
      </c>
      <c r="F558">
        <v>0</v>
      </c>
      <c r="G558">
        <v>0</v>
      </c>
      <c r="I558" t="s">
        <v>310</v>
      </c>
      <c r="J558" t="s">
        <v>79</v>
      </c>
      <c r="K558" t="s">
        <v>18</v>
      </c>
      <c r="L558" t="str">
        <f>T("9791136937209")</f>
        <v>9791136937209</v>
      </c>
      <c r="M558" t="str">
        <f t="shared" si="11"/>
        <v/>
      </c>
      <c r="N558">
        <v>917267</v>
      </c>
    </row>
    <row r="559" spans="1:14" x14ac:dyDescent="0.3">
      <c r="A559" s="1">
        <v>46061.785891203705</v>
      </c>
      <c r="B559">
        <v>385347659</v>
      </c>
      <c r="C559" t="s">
        <v>86</v>
      </c>
      <c r="D559" t="s">
        <v>15</v>
      </c>
      <c r="E559" s="2">
        <v>1000</v>
      </c>
      <c r="F559">
        <v>900</v>
      </c>
      <c r="G559">
        <v>630</v>
      </c>
      <c r="I559" t="s">
        <v>87</v>
      </c>
      <c r="J559" t="s">
        <v>23</v>
      </c>
      <c r="K559" t="s">
        <v>18</v>
      </c>
      <c r="L559" t="str">
        <f>T("9791175308510")</f>
        <v>9791175308510</v>
      </c>
      <c r="M559" t="str">
        <f t="shared" si="11"/>
        <v/>
      </c>
      <c r="N559">
        <v>957881</v>
      </c>
    </row>
    <row r="560" spans="1:14" x14ac:dyDescent="0.3">
      <c r="A560" s="1">
        <v>46061.814560185187</v>
      </c>
      <c r="B560">
        <v>385348415</v>
      </c>
      <c r="C560" t="s">
        <v>88</v>
      </c>
      <c r="D560" t="s">
        <v>89</v>
      </c>
      <c r="E560" s="2">
        <v>8640</v>
      </c>
      <c r="F560" s="2">
        <v>8640</v>
      </c>
      <c r="G560" s="2">
        <v>6048</v>
      </c>
      <c r="I560" t="s">
        <v>90</v>
      </c>
      <c r="J560" t="s">
        <v>23</v>
      </c>
      <c r="K560" t="s">
        <v>18</v>
      </c>
      <c r="L560" t="str">
        <f>T("9791175308350")</f>
        <v>9791175308350</v>
      </c>
      <c r="M560" t="str">
        <f t="shared" si="11"/>
        <v/>
      </c>
    </row>
    <row r="561" spans="1:14" x14ac:dyDescent="0.3">
      <c r="A561" s="1">
        <v>46061.848090277781</v>
      </c>
      <c r="B561">
        <v>385636847</v>
      </c>
      <c r="C561" t="s">
        <v>245</v>
      </c>
      <c r="D561" t="s">
        <v>89</v>
      </c>
      <c r="E561" s="2">
        <v>9450</v>
      </c>
      <c r="F561" s="2">
        <v>9450</v>
      </c>
      <c r="G561" s="2">
        <v>6615</v>
      </c>
      <c r="I561" t="s">
        <v>246</v>
      </c>
      <c r="J561" t="s">
        <v>23</v>
      </c>
      <c r="K561" t="s">
        <v>18</v>
      </c>
      <c r="L561" t="str">
        <f>T("9791175309517")</f>
        <v>9791175309517</v>
      </c>
      <c r="M561" t="str">
        <f t="shared" si="11"/>
        <v/>
      </c>
    </row>
    <row r="562" spans="1:14" x14ac:dyDescent="0.3">
      <c r="A562" s="1">
        <v>46061.85732638889</v>
      </c>
      <c r="B562">
        <v>385636847</v>
      </c>
      <c r="C562" t="s">
        <v>245</v>
      </c>
      <c r="D562" t="s">
        <v>89</v>
      </c>
      <c r="E562" s="2">
        <v>9450</v>
      </c>
      <c r="F562" s="2">
        <v>9450</v>
      </c>
      <c r="G562" s="2">
        <v>6615</v>
      </c>
      <c r="I562" t="s">
        <v>246</v>
      </c>
      <c r="J562" t="s">
        <v>23</v>
      </c>
      <c r="K562" t="s">
        <v>18</v>
      </c>
      <c r="L562" t="str">
        <f>T("9791175309517")</f>
        <v>9791175309517</v>
      </c>
      <c r="M562" t="str">
        <f t="shared" si="11"/>
        <v/>
      </c>
    </row>
    <row r="563" spans="1:14" x14ac:dyDescent="0.3">
      <c r="A563" s="1">
        <v>46061.857407407406</v>
      </c>
      <c r="B563">
        <v>385347659</v>
      </c>
      <c r="C563" t="s">
        <v>86</v>
      </c>
      <c r="D563" t="s">
        <v>15</v>
      </c>
      <c r="E563" s="2">
        <v>1000</v>
      </c>
      <c r="F563">
        <v>900</v>
      </c>
      <c r="G563">
        <v>630</v>
      </c>
      <c r="I563" t="s">
        <v>87</v>
      </c>
      <c r="J563" t="s">
        <v>23</v>
      </c>
      <c r="K563" t="s">
        <v>18</v>
      </c>
      <c r="L563" t="str">
        <f>T("9791175308510")</f>
        <v>9791175308510</v>
      </c>
      <c r="M563" t="str">
        <f t="shared" si="11"/>
        <v/>
      </c>
      <c r="N563">
        <v>957881</v>
      </c>
    </row>
    <row r="564" spans="1:14" x14ac:dyDescent="0.3">
      <c r="A564" s="1">
        <v>46061.875173611108</v>
      </c>
      <c r="B564">
        <v>385348415</v>
      </c>
      <c r="C564" t="s">
        <v>88</v>
      </c>
      <c r="D564" t="s">
        <v>89</v>
      </c>
      <c r="E564" s="2">
        <v>8640</v>
      </c>
      <c r="F564" s="2">
        <v>8640</v>
      </c>
      <c r="G564" s="2">
        <v>6048</v>
      </c>
      <c r="I564" t="s">
        <v>90</v>
      </c>
      <c r="J564" t="s">
        <v>23</v>
      </c>
      <c r="K564" t="s">
        <v>18</v>
      </c>
      <c r="L564" t="str">
        <f>T("9791175308350")</f>
        <v>9791175308350</v>
      </c>
      <c r="M564" t="str">
        <f t="shared" si="11"/>
        <v/>
      </c>
    </row>
    <row r="565" spans="1:14" x14ac:dyDescent="0.3">
      <c r="A565" s="1">
        <v>46061.878854166665</v>
      </c>
      <c r="B565">
        <v>373442629</v>
      </c>
      <c r="C565" t="s">
        <v>104</v>
      </c>
      <c r="D565" t="s">
        <v>15</v>
      </c>
      <c r="E565">
        <v>0</v>
      </c>
      <c r="F565">
        <v>0</v>
      </c>
      <c r="G565">
        <v>0</v>
      </c>
      <c r="I565" t="s">
        <v>58</v>
      </c>
      <c r="J565" t="s">
        <v>59</v>
      </c>
      <c r="K565" t="s">
        <v>18</v>
      </c>
      <c r="L565" t="str">
        <f>T("9791173784316")</f>
        <v>9791173784316</v>
      </c>
      <c r="M565" t="str">
        <f t="shared" si="11"/>
        <v/>
      </c>
      <c r="N565">
        <v>948951</v>
      </c>
    </row>
    <row r="566" spans="1:14" x14ac:dyDescent="0.3">
      <c r="A566" s="1">
        <v>46061.902326388888</v>
      </c>
      <c r="B566">
        <v>385347659</v>
      </c>
      <c r="C566" t="s">
        <v>86</v>
      </c>
      <c r="D566" t="s">
        <v>15</v>
      </c>
      <c r="E566" s="2">
        <v>1000</v>
      </c>
      <c r="F566">
        <v>900</v>
      </c>
      <c r="G566">
        <v>630</v>
      </c>
      <c r="I566" t="s">
        <v>87</v>
      </c>
      <c r="J566" t="s">
        <v>23</v>
      </c>
      <c r="K566" t="s">
        <v>18</v>
      </c>
      <c r="L566" t="str">
        <f>T("9791175308510")</f>
        <v>9791175308510</v>
      </c>
      <c r="M566" t="str">
        <f t="shared" si="11"/>
        <v/>
      </c>
      <c r="N566">
        <v>957881</v>
      </c>
    </row>
    <row r="567" spans="1:14" x14ac:dyDescent="0.3">
      <c r="A567" s="1">
        <v>46061.906724537039</v>
      </c>
      <c r="B567">
        <v>335778607</v>
      </c>
      <c r="C567" t="s">
        <v>183</v>
      </c>
      <c r="D567" t="s">
        <v>15</v>
      </c>
      <c r="E567" s="2">
        <v>3000</v>
      </c>
      <c r="F567" s="2">
        <v>3000</v>
      </c>
      <c r="G567" s="2">
        <v>2100</v>
      </c>
      <c r="I567" t="s">
        <v>102</v>
      </c>
      <c r="J567" t="s">
        <v>23</v>
      </c>
      <c r="K567" t="s">
        <v>18</v>
      </c>
      <c r="L567" t="str">
        <f>T("9791136958204")</f>
        <v>9791136958204</v>
      </c>
      <c r="M567" t="str">
        <f t="shared" si="11"/>
        <v/>
      </c>
      <c r="N567">
        <v>921582</v>
      </c>
    </row>
    <row r="568" spans="1:14" x14ac:dyDescent="0.3">
      <c r="A568" s="1">
        <v>46061.916307870371</v>
      </c>
      <c r="B568">
        <v>312386841</v>
      </c>
      <c r="C568" t="s">
        <v>311</v>
      </c>
      <c r="D568" t="s">
        <v>15</v>
      </c>
      <c r="E568" s="2">
        <v>3400</v>
      </c>
      <c r="F568" s="2">
        <v>3400</v>
      </c>
      <c r="G568" s="2">
        <v>2380</v>
      </c>
      <c r="I568" t="s">
        <v>312</v>
      </c>
      <c r="J568" t="s">
        <v>23</v>
      </c>
      <c r="K568" t="s">
        <v>18</v>
      </c>
      <c r="L568" t="str">
        <f>T("9791136933546")</f>
        <v>9791136933546</v>
      </c>
      <c r="M568" t="str">
        <f t="shared" si="11"/>
        <v/>
      </c>
      <c r="N568">
        <v>897696</v>
      </c>
    </row>
    <row r="569" spans="1:14" x14ac:dyDescent="0.3">
      <c r="A569" s="1">
        <v>46062.461134259262</v>
      </c>
      <c r="B569">
        <v>312386841</v>
      </c>
      <c r="C569" t="s">
        <v>311</v>
      </c>
      <c r="D569" t="s">
        <v>15</v>
      </c>
      <c r="E569" s="2">
        <v>-3400</v>
      </c>
      <c r="F569" s="2">
        <v>-3400</v>
      </c>
      <c r="G569" s="2">
        <v>-2380</v>
      </c>
      <c r="H569" s="1">
        <v>46061.916307870371</v>
      </c>
      <c r="I569" t="s">
        <v>312</v>
      </c>
      <c r="J569" t="s">
        <v>23</v>
      </c>
      <c r="K569" t="s">
        <v>18</v>
      </c>
      <c r="L569" t="str">
        <f>T("9791136933546")</f>
        <v>9791136933546</v>
      </c>
      <c r="M569" t="str">
        <f t="shared" si="11"/>
        <v/>
      </c>
      <c r="N569">
        <v>897696</v>
      </c>
    </row>
    <row r="570" spans="1:14" x14ac:dyDescent="0.3">
      <c r="A570" s="1">
        <v>46061.91914351852</v>
      </c>
      <c r="B570">
        <v>320488276</v>
      </c>
      <c r="C570" t="s">
        <v>313</v>
      </c>
      <c r="D570" t="s">
        <v>15</v>
      </c>
      <c r="E570" s="2">
        <v>3200</v>
      </c>
      <c r="F570" s="2">
        <v>3200</v>
      </c>
      <c r="G570" s="2">
        <v>2240</v>
      </c>
      <c r="I570" t="s">
        <v>260</v>
      </c>
      <c r="J570" t="s">
        <v>23</v>
      </c>
      <c r="K570" t="s">
        <v>18</v>
      </c>
      <c r="L570" t="str">
        <f>T("9791136938176")</f>
        <v>9791136938176</v>
      </c>
      <c r="M570" t="str">
        <f t="shared" si="11"/>
        <v/>
      </c>
      <c r="N570">
        <v>911122</v>
      </c>
    </row>
    <row r="571" spans="1:14" x14ac:dyDescent="0.3">
      <c r="A571" s="1">
        <v>46061.932824074072</v>
      </c>
      <c r="B571">
        <v>385636847</v>
      </c>
      <c r="C571" t="s">
        <v>245</v>
      </c>
      <c r="D571" t="s">
        <v>89</v>
      </c>
      <c r="E571" s="2">
        <v>9450</v>
      </c>
      <c r="F571" s="2">
        <v>9450</v>
      </c>
      <c r="G571" s="2">
        <v>6615</v>
      </c>
      <c r="I571" t="s">
        <v>246</v>
      </c>
      <c r="J571" t="s">
        <v>23</v>
      </c>
      <c r="K571" t="s">
        <v>18</v>
      </c>
      <c r="L571" t="str">
        <f>T("9791175309517")</f>
        <v>9791175309517</v>
      </c>
      <c r="M571" t="str">
        <f t="shared" si="11"/>
        <v/>
      </c>
    </row>
    <row r="572" spans="1:14" x14ac:dyDescent="0.3">
      <c r="A572" s="1">
        <v>46061.946770833332</v>
      </c>
      <c r="B572">
        <v>335778578</v>
      </c>
      <c r="C572" t="s">
        <v>125</v>
      </c>
      <c r="D572" t="s">
        <v>15</v>
      </c>
      <c r="E572" s="2">
        <v>3400</v>
      </c>
      <c r="F572" s="2">
        <v>3400</v>
      </c>
      <c r="G572" s="2">
        <v>2380</v>
      </c>
      <c r="I572" t="s">
        <v>102</v>
      </c>
      <c r="J572" t="s">
        <v>23</v>
      </c>
      <c r="K572" t="s">
        <v>18</v>
      </c>
      <c r="L572" t="str">
        <f>T("9791136958198")</f>
        <v>9791136958198</v>
      </c>
      <c r="M572" t="str">
        <f t="shared" si="11"/>
        <v/>
      </c>
      <c r="N572">
        <v>921583</v>
      </c>
    </row>
    <row r="573" spans="1:14" x14ac:dyDescent="0.3">
      <c r="A573" s="1">
        <v>46061.955428240741</v>
      </c>
      <c r="B573">
        <v>385348415</v>
      </c>
      <c r="C573" t="s">
        <v>88</v>
      </c>
      <c r="D573" t="s">
        <v>89</v>
      </c>
      <c r="E573" s="2">
        <v>8640</v>
      </c>
      <c r="F573" s="2">
        <v>8640</v>
      </c>
      <c r="G573" s="2">
        <v>6048</v>
      </c>
      <c r="I573" t="s">
        <v>90</v>
      </c>
      <c r="J573" t="s">
        <v>23</v>
      </c>
      <c r="K573" t="s">
        <v>18</v>
      </c>
      <c r="L573" t="str">
        <f>T("9791175308350")</f>
        <v>9791175308350</v>
      </c>
      <c r="M573" t="str">
        <f t="shared" si="11"/>
        <v/>
      </c>
    </row>
    <row r="574" spans="1:14" x14ac:dyDescent="0.3">
      <c r="A574" s="1">
        <v>46061.957743055558</v>
      </c>
      <c r="B574">
        <v>385636071</v>
      </c>
      <c r="C574" t="s">
        <v>289</v>
      </c>
      <c r="D574" t="s">
        <v>15</v>
      </c>
      <c r="E574" s="2">
        <v>3500</v>
      </c>
      <c r="F574" s="2">
        <v>3150</v>
      </c>
      <c r="G574" s="2">
        <v>2205</v>
      </c>
      <c r="I574" t="s">
        <v>246</v>
      </c>
      <c r="J574" t="s">
        <v>23</v>
      </c>
      <c r="K574" t="s">
        <v>18</v>
      </c>
      <c r="L574" t="str">
        <f>T("9791175309524")</f>
        <v>9791175309524</v>
      </c>
      <c r="M574" t="str">
        <f t="shared" si="11"/>
        <v/>
      </c>
      <c r="N574">
        <v>958042</v>
      </c>
    </row>
    <row r="575" spans="1:14" x14ac:dyDescent="0.3">
      <c r="A575" s="1">
        <v>46061.964942129627</v>
      </c>
      <c r="B575">
        <v>385636847</v>
      </c>
      <c r="C575" t="s">
        <v>245</v>
      </c>
      <c r="D575" t="s">
        <v>89</v>
      </c>
      <c r="E575" s="2">
        <v>9450</v>
      </c>
      <c r="F575" s="2">
        <v>9450</v>
      </c>
      <c r="G575" s="2">
        <v>6615</v>
      </c>
      <c r="I575" t="s">
        <v>246</v>
      </c>
      <c r="J575" t="s">
        <v>23</v>
      </c>
      <c r="K575" t="s">
        <v>18</v>
      </c>
      <c r="L575" t="str">
        <f>T("9791175309517")</f>
        <v>9791175309517</v>
      </c>
      <c r="M575" t="str">
        <f t="shared" si="11"/>
        <v/>
      </c>
    </row>
    <row r="576" spans="1:14" x14ac:dyDescent="0.3">
      <c r="A576" s="1">
        <v>46061.966921296298</v>
      </c>
      <c r="B576">
        <v>384177514</v>
      </c>
      <c r="C576" t="s">
        <v>109</v>
      </c>
      <c r="D576" t="s">
        <v>15</v>
      </c>
      <c r="E576" s="2">
        <v>3500</v>
      </c>
      <c r="F576" s="2">
        <v>3500</v>
      </c>
      <c r="G576" s="2">
        <v>2450</v>
      </c>
      <c r="I576" t="s">
        <v>22</v>
      </c>
      <c r="J576" t="s">
        <v>23</v>
      </c>
      <c r="K576" t="s">
        <v>18</v>
      </c>
      <c r="L576" t="str">
        <f>T("9791175309807")</f>
        <v>9791175309807</v>
      </c>
      <c r="M576" t="str">
        <f t="shared" si="11"/>
        <v/>
      </c>
      <c r="N576">
        <v>958594</v>
      </c>
    </row>
    <row r="577" spans="1:14" x14ac:dyDescent="0.3">
      <c r="A577" s="1">
        <v>46061.969259259262</v>
      </c>
      <c r="B577">
        <v>343292477</v>
      </c>
      <c r="C577" t="s">
        <v>314</v>
      </c>
      <c r="D577" t="s">
        <v>15</v>
      </c>
      <c r="E577" s="2">
        <v>3400</v>
      </c>
      <c r="F577" s="2">
        <v>3400</v>
      </c>
      <c r="G577" s="2">
        <v>2380</v>
      </c>
      <c r="I577" t="s">
        <v>116</v>
      </c>
      <c r="J577" t="s">
        <v>73</v>
      </c>
      <c r="K577" t="s">
        <v>18</v>
      </c>
      <c r="L577" t="str">
        <f>T("9791136986931")</f>
        <v>9791136986931</v>
      </c>
      <c r="M577" t="str">
        <f t="shared" si="11"/>
        <v/>
      </c>
      <c r="N577">
        <v>926736</v>
      </c>
    </row>
    <row r="578" spans="1:14" x14ac:dyDescent="0.3">
      <c r="A578" s="1">
        <v>46061.969259259262</v>
      </c>
      <c r="B578">
        <v>343292488</v>
      </c>
      <c r="C578" t="s">
        <v>315</v>
      </c>
      <c r="D578" t="s">
        <v>15</v>
      </c>
      <c r="E578" s="2">
        <v>3400</v>
      </c>
      <c r="F578" s="2">
        <v>3400</v>
      </c>
      <c r="G578" s="2">
        <v>2380</v>
      </c>
      <c r="I578" t="s">
        <v>116</v>
      </c>
      <c r="J578" t="s">
        <v>73</v>
      </c>
      <c r="K578" t="s">
        <v>18</v>
      </c>
      <c r="L578" t="str">
        <f>T("9791136987013")</f>
        <v>9791136987013</v>
      </c>
      <c r="M578" t="str">
        <f t="shared" ref="M578:M630" si="12">T("")</f>
        <v/>
      </c>
      <c r="N578">
        <v>926735</v>
      </c>
    </row>
    <row r="579" spans="1:14" x14ac:dyDescent="0.3">
      <c r="A579" s="1">
        <v>46061.972662037035</v>
      </c>
      <c r="B579">
        <v>385348415</v>
      </c>
      <c r="C579" t="s">
        <v>88</v>
      </c>
      <c r="D579" t="s">
        <v>89</v>
      </c>
      <c r="E579" s="2">
        <v>8640</v>
      </c>
      <c r="F579" s="2">
        <v>8640</v>
      </c>
      <c r="G579" s="2">
        <v>6048</v>
      </c>
      <c r="I579" t="s">
        <v>90</v>
      </c>
      <c r="J579" t="s">
        <v>23</v>
      </c>
      <c r="K579" t="s">
        <v>18</v>
      </c>
      <c r="L579" t="str">
        <f>T("9791175308350")</f>
        <v>9791175308350</v>
      </c>
      <c r="M579" t="str">
        <f t="shared" si="12"/>
        <v/>
      </c>
    </row>
    <row r="580" spans="1:14" x14ac:dyDescent="0.3">
      <c r="A580" s="1">
        <v>46061.973020833335</v>
      </c>
      <c r="B580">
        <v>385348415</v>
      </c>
      <c r="C580" t="s">
        <v>88</v>
      </c>
      <c r="D580" t="s">
        <v>89</v>
      </c>
      <c r="E580" s="2">
        <v>8640</v>
      </c>
      <c r="F580" s="2">
        <v>8640</v>
      </c>
      <c r="G580" s="2">
        <v>6048</v>
      </c>
      <c r="I580" t="s">
        <v>90</v>
      </c>
      <c r="J580" t="s">
        <v>23</v>
      </c>
      <c r="K580" t="s">
        <v>18</v>
      </c>
      <c r="L580" t="str">
        <f>T("9791175308350")</f>
        <v>9791175308350</v>
      </c>
      <c r="M580" t="str">
        <f t="shared" si="12"/>
        <v/>
      </c>
    </row>
    <row r="581" spans="1:14" x14ac:dyDescent="0.3">
      <c r="A581" s="1">
        <v>46061.976527777777</v>
      </c>
      <c r="B581">
        <v>385636847</v>
      </c>
      <c r="C581" t="s">
        <v>245</v>
      </c>
      <c r="D581" t="s">
        <v>89</v>
      </c>
      <c r="E581" s="2">
        <v>9450</v>
      </c>
      <c r="F581" s="2">
        <v>9450</v>
      </c>
      <c r="G581" s="2">
        <v>6615</v>
      </c>
      <c r="I581" t="s">
        <v>246</v>
      </c>
      <c r="J581" t="s">
        <v>23</v>
      </c>
      <c r="K581" t="s">
        <v>18</v>
      </c>
      <c r="L581" t="str">
        <f>T("9791175309517")</f>
        <v>9791175309517</v>
      </c>
      <c r="M581" t="str">
        <f t="shared" si="12"/>
        <v/>
      </c>
    </row>
    <row r="582" spans="1:14" x14ac:dyDescent="0.3">
      <c r="A582" s="1">
        <v>46061.978854166664</v>
      </c>
      <c r="B582">
        <v>385347659</v>
      </c>
      <c r="C582" t="s">
        <v>86</v>
      </c>
      <c r="D582" t="s">
        <v>15</v>
      </c>
      <c r="E582" s="2">
        <v>1000</v>
      </c>
      <c r="F582">
        <v>900</v>
      </c>
      <c r="G582">
        <v>630</v>
      </c>
      <c r="I582" t="s">
        <v>87</v>
      </c>
      <c r="J582" t="s">
        <v>23</v>
      </c>
      <c r="K582" t="s">
        <v>18</v>
      </c>
      <c r="L582" t="str">
        <f>T("9791175308510")</f>
        <v>9791175308510</v>
      </c>
      <c r="M582" t="str">
        <f t="shared" si="12"/>
        <v/>
      </c>
      <c r="N582">
        <v>957881</v>
      </c>
    </row>
    <row r="583" spans="1:14" x14ac:dyDescent="0.3">
      <c r="A583" s="1">
        <v>46061.981736111113</v>
      </c>
      <c r="B583">
        <v>369306612</v>
      </c>
      <c r="C583" t="s">
        <v>316</v>
      </c>
      <c r="D583" t="s">
        <v>15</v>
      </c>
      <c r="E583" s="2">
        <v>3300</v>
      </c>
      <c r="F583" s="2">
        <v>3300</v>
      </c>
      <c r="G583" s="2">
        <v>2310</v>
      </c>
      <c r="I583" t="s">
        <v>67</v>
      </c>
      <c r="J583" t="s">
        <v>23</v>
      </c>
      <c r="K583" t="s">
        <v>18</v>
      </c>
      <c r="L583" t="str">
        <f>T("9791173788451")</f>
        <v>9791173788451</v>
      </c>
      <c r="M583" t="str">
        <f t="shared" si="12"/>
        <v/>
      </c>
      <c r="N583">
        <v>951934</v>
      </c>
    </row>
    <row r="584" spans="1:14" x14ac:dyDescent="0.3">
      <c r="A584" s="1">
        <v>46061.985925925925</v>
      </c>
      <c r="B584">
        <v>385348415</v>
      </c>
      <c r="C584" t="s">
        <v>88</v>
      </c>
      <c r="D584" t="s">
        <v>89</v>
      </c>
      <c r="E584" s="2">
        <v>8640</v>
      </c>
      <c r="F584" s="2">
        <v>8640</v>
      </c>
      <c r="G584" s="2">
        <v>6048</v>
      </c>
      <c r="I584" t="s">
        <v>90</v>
      </c>
      <c r="J584" t="s">
        <v>23</v>
      </c>
      <c r="K584" t="s">
        <v>18</v>
      </c>
      <c r="L584" t="str">
        <f>T("9791175308350")</f>
        <v>9791175308350</v>
      </c>
      <c r="M584" t="str">
        <f t="shared" si="12"/>
        <v/>
      </c>
    </row>
    <row r="585" spans="1:14" x14ac:dyDescent="0.3">
      <c r="A585" s="1">
        <v>46061.986250000002</v>
      </c>
      <c r="B585">
        <v>385348415</v>
      </c>
      <c r="C585" t="s">
        <v>88</v>
      </c>
      <c r="D585" t="s">
        <v>89</v>
      </c>
      <c r="E585" s="2">
        <v>8640</v>
      </c>
      <c r="F585" s="2">
        <v>8640</v>
      </c>
      <c r="G585" s="2">
        <v>6048</v>
      </c>
      <c r="I585" t="s">
        <v>90</v>
      </c>
      <c r="J585" t="s">
        <v>23</v>
      </c>
      <c r="K585" t="s">
        <v>18</v>
      </c>
      <c r="L585" t="str">
        <f>T("9791175308350")</f>
        <v>9791175308350</v>
      </c>
      <c r="M585" t="str">
        <f t="shared" si="12"/>
        <v/>
      </c>
    </row>
    <row r="586" spans="1:14" x14ac:dyDescent="0.3">
      <c r="A586" s="1">
        <v>46061.990416666667</v>
      </c>
      <c r="B586">
        <v>385636847</v>
      </c>
      <c r="C586" t="s">
        <v>245</v>
      </c>
      <c r="D586" t="s">
        <v>89</v>
      </c>
      <c r="E586" s="2">
        <v>9450</v>
      </c>
      <c r="F586" s="2">
        <v>9450</v>
      </c>
      <c r="G586" s="2">
        <v>6615</v>
      </c>
      <c r="I586" t="s">
        <v>246</v>
      </c>
      <c r="J586" t="s">
        <v>23</v>
      </c>
      <c r="K586" t="s">
        <v>18</v>
      </c>
      <c r="L586" t="str">
        <f>T("9791175309517")</f>
        <v>9791175309517</v>
      </c>
      <c r="M586" t="str">
        <f t="shared" si="12"/>
        <v/>
      </c>
    </row>
    <row r="587" spans="1:14" x14ac:dyDescent="0.3">
      <c r="A587" s="1">
        <v>46061.990706018521</v>
      </c>
      <c r="B587">
        <v>385348415</v>
      </c>
      <c r="C587" t="s">
        <v>88</v>
      </c>
      <c r="D587" t="s">
        <v>89</v>
      </c>
      <c r="E587" s="2">
        <v>8640</v>
      </c>
      <c r="F587" s="2">
        <v>8640</v>
      </c>
      <c r="G587" s="2">
        <v>6048</v>
      </c>
      <c r="I587" t="s">
        <v>90</v>
      </c>
      <c r="J587" t="s">
        <v>23</v>
      </c>
      <c r="K587" t="s">
        <v>18</v>
      </c>
      <c r="L587" t="str">
        <f>T("9791175308350")</f>
        <v>9791175308350</v>
      </c>
      <c r="M587" t="str">
        <f t="shared" si="12"/>
        <v/>
      </c>
    </row>
    <row r="588" spans="1:14" x14ac:dyDescent="0.3">
      <c r="A588" s="1">
        <v>46061.991006944445</v>
      </c>
      <c r="B588">
        <v>385348415</v>
      </c>
      <c r="C588" t="s">
        <v>88</v>
      </c>
      <c r="D588" t="s">
        <v>89</v>
      </c>
      <c r="E588" s="2">
        <v>8640</v>
      </c>
      <c r="F588" s="2">
        <v>8640</v>
      </c>
      <c r="G588" s="2">
        <v>6048</v>
      </c>
      <c r="I588" t="s">
        <v>90</v>
      </c>
      <c r="J588" t="s">
        <v>23</v>
      </c>
      <c r="K588" t="s">
        <v>18</v>
      </c>
      <c r="L588" t="str">
        <f>T("9791175308350")</f>
        <v>9791175308350</v>
      </c>
      <c r="M588" t="str">
        <f t="shared" si="12"/>
        <v/>
      </c>
    </row>
    <row r="589" spans="1:14" x14ac:dyDescent="0.3">
      <c r="A589" s="1">
        <v>46061.99459490741</v>
      </c>
      <c r="B589">
        <v>385348414</v>
      </c>
      <c r="C589" t="s">
        <v>114</v>
      </c>
      <c r="D589" t="s">
        <v>89</v>
      </c>
      <c r="E589" s="2">
        <v>11700</v>
      </c>
      <c r="F589" s="2">
        <v>11700</v>
      </c>
      <c r="G589" s="2">
        <v>8190</v>
      </c>
      <c r="I589" t="s">
        <v>87</v>
      </c>
      <c r="J589" t="s">
        <v>23</v>
      </c>
      <c r="K589" t="s">
        <v>18</v>
      </c>
      <c r="L589" t="str">
        <f>T("9791175308503")</f>
        <v>9791175308503</v>
      </c>
      <c r="M589" t="str">
        <f t="shared" si="12"/>
        <v/>
      </c>
    </row>
    <row r="590" spans="1:14" x14ac:dyDescent="0.3">
      <c r="A590" s="1">
        <v>46061.997476851851</v>
      </c>
      <c r="B590">
        <v>385348415</v>
      </c>
      <c r="C590" t="s">
        <v>88</v>
      </c>
      <c r="D590" t="s">
        <v>89</v>
      </c>
      <c r="E590" s="2">
        <v>8640</v>
      </c>
      <c r="F590" s="2">
        <v>8640</v>
      </c>
      <c r="G590" s="2">
        <v>6048</v>
      </c>
      <c r="I590" t="s">
        <v>90</v>
      </c>
      <c r="J590" t="s">
        <v>23</v>
      </c>
      <c r="K590" t="s">
        <v>18</v>
      </c>
      <c r="L590" t="str">
        <f>T("9791175308350")</f>
        <v>9791175308350</v>
      </c>
      <c r="M590" t="str">
        <f t="shared" si="12"/>
        <v/>
      </c>
    </row>
    <row r="591" spans="1:14" x14ac:dyDescent="0.3">
      <c r="A591" s="1">
        <v>46062.039988425924</v>
      </c>
      <c r="B591">
        <v>385348415</v>
      </c>
      <c r="C591" t="s">
        <v>88</v>
      </c>
      <c r="D591" t="s">
        <v>15</v>
      </c>
      <c r="E591" s="2">
        <v>9600</v>
      </c>
      <c r="F591" s="2">
        <v>8640</v>
      </c>
      <c r="G591" s="2">
        <v>6048</v>
      </c>
      <c r="I591" t="s">
        <v>90</v>
      </c>
      <c r="J591" t="s">
        <v>23</v>
      </c>
      <c r="K591" t="s">
        <v>18</v>
      </c>
      <c r="L591" t="str">
        <f>T("9791175308350")</f>
        <v>9791175308350</v>
      </c>
      <c r="M591" t="str">
        <f t="shared" si="12"/>
        <v/>
      </c>
    </row>
    <row r="592" spans="1:14" x14ac:dyDescent="0.3">
      <c r="A592" s="1">
        <v>46062.046898148146</v>
      </c>
      <c r="B592">
        <v>376753821</v>
      </c>
      <c r="C592" t="s">
        <v>317</v>
      </c>
      <c r="D592" t="s">
        <v>15</v>
      </c>
      <c r="E592" s="2">
        <v>9900</v>
      </c>
      <c r="F592" s="2">
        <v>9900</v>
      </c>
      <c r="G592" s="2">
        <v>6930</v>
      </c>
      <c r="I592" t="s">
        <v>318</v>
      </c>
      <c r="J592" t="s">
        <v>23</v>
      </c>
      <c r="K592" t="s">
        <v>18</v>
      </c>
      <c r="L592" t="str">
        <f>T("9791175302815")</f>
        <v>9791175302815</v>
      </c>
      <c r="M592" t="str">
        <f t="shared" si="12"/>
        <v/>
      </c>
    </row>
    <row r="593" spans="1:14" x14ac:dyDescent="0.3">
      <c r="A593" s="1">
        <v>46062.050335648149</v>
      </c>
      <c r="B593">
        <v>321812002</v>
      </c>
      <c r="C593" t="s">
        <v>41</v>
      </c>
      <c r="D593" t="s">
        <v>15</v>
      </c>
      <c r="E593" s="2">
        <v>3700</v>
      </c>
      <c r="F593" s="2">
        <v>3700</v>
      </c>
      <c r="G593" s="2">
        <v>2590</v>
      </c>
      <c r="I593" t="s">
        <v>36</v>
      </c>
      <c r="J593" t="s">
        <v>37</v>
      </c>
      <c r="K593" t="s">
        <v>18</v>
      </c>
      <c r="L593" t="str">
        <f>T("9791136938091")</f>
        <v>9791136938091</v>
      </c>
      <c r="M593" t="str">
        <f t="shared" si="12"/>
        <v/>
      </c>
      <c r="N593">
        <v>911114</v>
      </c>
    </row>
    <row r="594" spans="1:14" x14ac:dyDescent="0.3">
      <c r="A594" s="1">
        <v>46062.067453703705</v>
      </c>
      <c r="B594">
        <v>385347620</v>
      </c>
      <c r="C594" t="s">
        <v>84</v>
      </c>
      <c r="D594" t="s">
        <v>15</v>
      </c>
      <c r="E594">
        <v>0</v>
      </c>
      <c r="F594">
        <v>0</v>
      </c>
      <c r="G594">
        <v>0</v>
      </c>
      <c r="I594" t="s">
        <v>85</v>
      </c>
      <c r="J594" t="s">
        <v>59</v>
      </c>
      <c r="K594" t="s">
        <v>18</v>
      </c>
      <c r="L594" t="str">
        <f>T("9791136943897")</f>
        <v>9791136943897</v>
      </c>
      <c r="M594" t="str">
        <f t="shared" si="12"/>
        <v/>
      </c>
      <c r="N594">
        <v>917706</v>
      </c>
    </row>
    <row r="595" spans="1:14" x14ac:dyDescent="0.3">
      <c r="A595" s="1">
        <v>46062.070532407408</v>
      </c>
      <c r="B595">
        <v>321811986</v>
      </c>
      <c r="C595" t="s">
        <v>40</v>
      </c>
      <c r="D595" t="s">
        <v>15</v>
      </c>
      <c r="E595" s="2">
        <v>3700</v>
      </c>
      <c r="F595" s="2">
        <v>3700</v>
      </c>
      <c r="G595" s="2">
        <v>2590</v>
      </c>
      <c r="I595" t="s">
        <v>36</v>
      </c>
      <c r="J595" t="s">
        <v>37</v>
      </c>
      <c r="K595" t="s">
        <v>18</v>
      </c>
      <c r="L595" t="str">
        <f>T("9791136938107")</f>
        <v>9791136938107</v>
      </c>
      <c r="M595" t="str">
        <f t="shared" si="12"/>
        <v/>
      </c>
      <c r="N595">
        <v>911113</v>
      </c>
    </row>
    <row r="596" spans="1:14" x14ac:dyDescent="0.3">
      <c r="A596" s="1">
        <v>46062.162187499998</v>
      </c>
      <c r="B596">
        <v>14308597</v>
      </c>
      <c r="C596" t="s">
        <v>319</v>
      </c>
      <c r="D596" t="s">
        <v>15</v>
      </c>
      <c r="E596" s="2">
        <v>3000</v>
      </c>
      <c r="F596" s="2">
        <v>3000</v>
      </c>
      <c r="G596" s="2">
        <v>2100</v>
      </c>
      <c r="I596" t="s">
        <v>27</v>
      </c>
      <c r="J596" t="s">
        <v>28</v>
      </c>
      <c r="K596" t="s">
        <v>18</v>
      </c>
      <c r="L596" t="str">
        <f>T("")</f>
        <v/>
      </c>
      <c r="M596" t="str">
        <f t="shared" si="12"/>
        <v/>
      </c>
    </row>
    <row r="597" spans="1:14" x14ac:dyDescent="0.3">
      <c r="A597" s="1">
        <v>46062.162187499998</v>
      </c>
      <c r="B597">
        <v>14308598</v>
      </c>
      <c r="C597" t="s">
        <v>320</v>
      </c>
      <c r="D597" t="s">
        <v>15</v>
      </c>
      <c r="E597" s="2">
        <v>3000</v>
      </c>
      <c r="F597" s="2">
        <v>3000</v>
      </c>
      <c r="G597" s="2">
        <v>2100</v>
      </c>
      <c r="I597" t="s">
        <v>27</v>
      </c>
      <c r="J597" t="s">
        <v>28</v>
      </c>
      <c r="K597" t="s">
        <v>18</v>
      </c>
      <c r="L597" t="str">
        <f>T("")</f>
        <v/>
      </c>
      <c r="M597" t="str">
        <f t="shared" si="12"/>
        <v/>
      </c>
    </row>
    <row r="598" spans="1:14" x14ac:dyDescent="0.3">
      <c r="A598" s="1">
        <v>46062.162187499998</v>
      </c>
      <c r="B598">
        <v>14308599</v>
      </c>
      <c r="C598" t="s">
        <v>321</v>
      </c>
      <c r="D598" t="s">
        <v>15</v>
      </c>
      <c r="E598" s="2">
        <v>3000</v>
      </c>
      <c r="F598" s="2">
        <v>3000</v>
      </c>
      <c r="G598" s="2">
        <v>2100</v>
      </c>
      <c r="I598" t="s">
        <v>27</v>
      </c>
      <c r="J598" t="s">
        <v>28</v>
      </c>
      <c r="K598" t="s">
        <v>18</v>
      </c>
      <c r="L598" t="str">
        <f>T("")</f>
        <v/>
      </c>
      <c r="M598" t="str">
        <f t="shared" si="12"/>
        <v/>
      </c>
    </row>
    <row r="599" spans="1:14" x14ac:dyDescent="0.3">
      <c r="A599" s="1">
        <v>46062.162187499998</v>
      </c>
      <c r="B599">
        <v>61173221</v>
      </c>
      <c r="C599" t="s">
        <v>322</v>
      </c>
      <c r="D599" t="s">
        <v>15</v>
      </c>
      <c r="E599" s="2">
        <v>12000</v>
      </c>
      <c r="F599" s="2">
        <v>10800</v>
      </c>
      <c r="G599" s="2">
        <v>7560</v>
      </c>
      <c r="I599" t="s">
        <v>27</v>
      </c>
      <c r="J599" t="s">
        <v>79</v>
      </c>
      <c r="K599" t="s">
        <v>18</v>
      </c>
      <c r="L599" t="str">
        <f>T("9791133101856")</f>
        <v>9791133101856</v>
      </c>
      <c r="M599" t="str">
        <f t="shared" si="12"/>
        <v/>
      </c>
      <c r="N599">
        <v>295509</v>
      </c>
    </row>
    <row r="600" spans="1:14" x14ac:dyDescent="0.3">
      <c r="A600" s="1">
        <v>46062.162187499998</v>
      </c>
      <c r="B600">
        <v>61173228</v>
      </c>
      <c r="C600" t="s">
        <v>323</v>
      </c>
      <c r="D600" t="s">
        <v>15</v>
      </c>
      <c r="E600" s="2">
        <v>12000</v>
      </c>
      <c r="F600" s="2">
        <v>10800</v>
      </c>
      <c r="G600" s="2">
        <v>7560</v>
      </c>
      <c r="I600" t="s">
        <v>27</v>
      </c>
      <c r="J600" t="s">
        <v>79</v>
      </c>
      <c r="K600" t="s">
        <v>18</v>
      </c>
      <c r="L600" t="str">
        <f>T("9791133101917")</f>
        <v>9791133101917</v>
      </c>
      <c r="M600" t="str">
        <f t="shared" si="12"/>
        <v/>
      </c>
      <c r="N600">
        <v>295516</v>
      </c>
    </row>
    <row r="601" spans="1:14" x14ac:dyDescent="0.3">
      <c r="A601" s="1">
        <v>46062.162187499998</v>
      </c>
      <c r="B601">
        <v>66615574</v>
      </c>
      <c r="C601" t="s">
        <v>324</v>
      </c>
      <c r="D601" t="s">
        <v>15</v>
      </c>
      <c r="E601" s="2">
        <v>9000</v>
      </c>
      <c r="F601" s="2">
        <v>9000</v>
      </c>
      <c r="G601" s="2">
        <v>6300</v>
      </c>
      <c r="I601" t="s">
        <v>27</v>
      </c>
      <c r="J601" t="s">
        <v>79</v>
      </c>
      <c r="K601" t="s">
        <v>18</v>
      </c>
      <c r="L601" t="str">
        <f>T("9791133103331")</f>
        <v>9791133103331</v>
      </c>
      <c r="M601" t="str">
        <f t="shared" si="12"/>
        <v/>
      </c>
      <c r="N601">
        <v>301974</v>
      </c>
    </row>
    <row r="602" spans="1:14" x14ac:dyDescent="0.3">
      <c r="A602" s="1">
        <v>46062.44158564815</v>
      </c>
      <c r="B602">
        <v>373442831</v>
      </c>
      <c r="C602" t="s">
        <v>165</v>
      </c>
      <c r="D602" t="s">
        <v>89</v>
      </c>
      <c r="E602">
        <v>810</v>
      </c>
      <c r="F602">
        <v>810</v>
      </c>
      <c r="G602">
        <v>567</v>
      </c>
      <c r="I602" t="s">
        <v>58</v>
      </c>
      <c r="J602" t="s">
        <v>59</v>
      </c>
      <c r="K602" t="s">
        <v>18</v>
      </c>
      <c r="L602" t="str">
        <f>T("9791173784330")</f>
        <v>9791173784330</v>
      </c>
      <c r="M602" t="str">
        <f t="shared" si="12"/>
        <v/>
      </c>
      <c r="N602">
        <v>948949</v>
      </c>
    </row>
    <row r="603" spans="1:14" x14ac:dyDescent="0.3">
      <c r="A603" s="1">
        <v>46062.44158564815</v>
      </c>
      <c r="B603">
        <v>373442843</v>
      </c>
      <c r="C603" t="s">
        <v>265</v>
      </c>
      <c r="D603" t="s">
        <v>89</v>
      </c>
      <c r="E603">
        <v>810</v>
      </c>
      <c r="F603">
        <v>810</v>
      </c>
      <c r="G603">
        <v>567</v>
      </c>
      <c r="I603" t="s">
        <v>58</v>
      </c>
      <c r="J603" t="s">
        <v>59</v>
      </c>
      <c r="K603" t="s">
        <v>18</v>
      </c>
      <c r="L603" t="str">
        <f>T("9791173784347")</f>
        <v>9791173784347</v>
      </c>
      <c r="M603" t="str">
        <f t="shared" si="12"/>
        <v/>
      </c>
      <c r="N603">
        <v>948948</v>
      </c>
    </row>
    <row r="604" spans="1:14" x14ac:dyDescent="0.3">
      <c r="A604" s="1">
        <v>46062.44158564815</v>
      </c>
      <c r="B604">
        <v>373442873</v>
      </c>
      <c r="C604" t="s">
        <v>166</v>
      </c>
      <c r="D604" t="s">
        <v>89</v>
      </c>
      <c r="E604">
        <v>810</v>
      </c>
      <c r="F604">
        <v>810</v>
      </c>
      <c r="G604">
        <v>567</v>
      </c>
      <c r="I604" t="s">
        <v>58</v>
      </c>
      <c r="J604" t="s">
        <v>59</v>
      </c>
      <c r="K604" t="s">
        <v>18</v>
      </c>
      <c r="L604" t="str">
        <f>T("9791173784323")</f>
        <v>9791173784323</v>
      </c>
      <c r="M604" t="str">
        <f t="shared" si="12"/>
        <v/>
      </c>
      <c r="N604">
        <v>948950</v>
      </c>
    </row>
    <row r="605" spans="1:14" x14ac:dyDescent="0.3">
      <c r="A605" s="1">
        <v>46062.538680555554</v>
      </c>
      <c r="B605">
        <v>385348415</v>
      </c>
      <c r="C605" t="s">
        <v>88</v>
      </c>
      <c r="D605" t="s">
        <v>15</v>
      </c>
      <c r="E605" s="2">
        <v>9600</v>
      </c>
      <c r="F605" s="2">
        <v>8640</v>
      </c>
      <c r="G605" s="2">
        <v>6048</v>
      </c>
      <c r="I605" t="s">
        <v>90</v>
      </c>
      <c r="J605" t="s">
        <v>23</v>
      </c>
      <c r="K605" t="s">
        <v>18</v>
      </c>
      <c r="L605" t="str">
        <f>T("9791175308350")</f>
        <v>9791175308350</v>
      </c>
      <c r="M605" t="str">
        <f t="shared" si="12"/>
        <v/>
      </c>
    </row>
    <row r="606" spans="1:14" x14ac:dyDescent="0.3">
      <c r="A606" s="1">
        <v>46062.54078703704</v>
      </c>
      <c r="B606">
        <v>319807480</v>
      </c>
      <c r="C606" t="s">
        <v>325</v>
      </c>
      <c r="D606" t="s">
        <v>15</v>
      </c>
      <c r="E606">
        <v>0</v>
      </c>
      <c r="F606">
        <v>0</v>
      </c>
      <c r="G606">
        <v>0</v>
      </c>
      <c r="I606" t="s">
        <v>326</v>
      </c>
      <c r="J606" t="s">
        <v>59</v>
      </c>
      <c r="K606" t="s">
        <v>18</v>
      </c>
      <c r="L606" t="str">
        <f>T("9791136935823")</f>
        <v>9791136935823</v>
      </c>
      <c r="M606" t="str">
        <f t="shared" si="12"/>
        <v/>
      </c>
      <c r="N606">
        <v>903862</v>
      </c>
    </row>
    <row r="607" spans="1:14" x14ac:dyDescent="0.3">
      <c r="A607" s="1">
        <v>46062.587094907409</v>
      </c>
      <c r="B607">
        <v>385347634</v>
      </c>
      <c r="C607" t="s">
        <v>140</v>
      </c>
      <c r="D607" t="s">
        <v>89</v>
      </c>
      <c r="E607">
        <v>810</v>
      </c>
      <c r="F607">
        <v>810</v>
      </c>
      <c r="G607">
        <v>567</v>
      </c>
      <c r="I607" t="s">
        <v>85</v>
      </c>
      <c r="J607" t="s">
        <v>59</v>
      </c>
      <c r="K607" t="s">
        <v>18</v>
      </c>
      <c r="L607" t="str">
        <f>T("9791136943910")</f>
        <v>9791136943910</v>
      </c>
      <c r="M607" t="str">
        <f t="shared" si="12"/>
        <v/>
      </c>
      <c r="N607">
        <v>917704</v>
      </c>
    </row>
    <row r="608" spans="1:14" x14ac:dyDescent="0.3">
      <c r="A608" s="1">
        <v>46062.587094907409</v>
      </c>
      <c r="B608">
        <v>385347641</v>
      </c>
      <c r="C608" t="s">
        <v>138</v>
      </c>
      <c r="D608" t="s">
        <v>89</v>
      </c>
      <c r="E608">
        <v>810</v>
      </c>
      <c r="F608">
        <v>810</v>
      </c>
      <c r="G608">
        <v>567</v>
      </c>
      <c r="I608" t="s">
        <v>85</v>
      </c>
      <c r="J608" t="s">
        <v>59</v>
      </c>
      <c r="K608" t="s">
        <v>18</v>
      </c>
      <c r="L608" t="str">
        <f>T("9791136943965")</f>
        <v>9791136943965</v>
      </c>
      <c r="M608" t="str">
        <f t="shared" si="12"/>
        <v/>
      </c>
      <c r="N608">
        <v>917699</v>
      </c>
    </row>
    <row r="609" spans="1:14" x14ac:dyDescent="0.3">
      <c r="A609" s="1">
        <v>46062.587094907409</v>
      </c>
      <c r="B609">
        <v>385347625</v>
      </c>
      <c r="C609" t="s">
        <v>139</v>
      </c>
      <c r="D609" t="s">
        <v>89</v>
      </c>
      <c r="E609">
        <v>810</v>
      </c>
      <c r="F609">
        <v>810</v>
      </c>
      <c r="G609">
        <v>567</v>
      </c>
      <c r="I609" t="s">
        <v>85</v>
      </c>
      <c r="J609" t="s">
        <v>59</v>
      </c>
      <c r="K609" t="s">
        <v>18</v>
      </c>
      <c r="L609" t="str">
        <f>T("9791136943941")</f>
        <v>9791136943941</v>
      </c>
      <c r="M609" t="str">
        <f t="shared" si="12"/>
        <v/>
      </c>
      <c r="N609">
        <v>917701</v>
      </c>
    </row>
    <row r="610" spans="1:14" x14ac:dyDescent="0.3">
      <c r="A610" s="1">
        <v>46062.587094907409</v>
      </c>
      <c r="B610">
        <v>385347672</v>
      </c>
      <c r="C610" t="s">
        <v>141</v>
      </c>
      <c r="D610" t="s">
        <v>89</v>
      </c>
      <c r="E610">
        <v>810</v>
      </c>
      <c r="F610">
        <v>810</v>
      </c>
      <c r="G610">
        <v>567</v>
      </c>
      <c r="I610" t="s">
        <v>85</v>
      </c>
      <c r="J610" t="s">
        <v>59</v>
      </c>
      <c r="K610" t="s">
        <v>18</v>
      </c>
      <c r="L610" t="str">
        <f>T("9791136943934")</f>
        <v>9791136943934</v>
      </c>
      <c r="M610" t="str">
        <f t="shared" si="12"/>
        <v/>
      </c>
      <c r="N610">
        <v>917702</v>
      </c>
    </row>
    <row r="611" spans="1:14" x14ac:dyDescent="0.3">
      <c r="A611" s="1">
        <v>46062.587094907409</v>
      </c>
      <c r="B611">
        <v>385347816</v>
      </c>
      <c r="C611" t="s">
        <v>144</v>
      </c>
      <c r="D611" t="s">
        <v>89</v>
      </c>
      <c r="E611">
        <v>810</v>
      </c>
      <c r="F611">
        <v>810</v>
      </c>
      <c r="G611">
        <v>567</v>
      </c>
      <c r="I611" t="s">
        <v>85</v>
      </c>
      <c r="J611" t="s">
        <v>59</v>
      </c>
      <c r="K611" t="s">
        <v>18</v>
      </c>
      <c r="L611" t="str">
        <f>T("9791136943958")</f>
        <v>9791136943958</v>
      </c>
      <c r="M611" t="str">
        <f t="shared" si="12"/>
        <v/>
      </c>
      <c r="N611">
        <v>917700</v>
      </c>
    </row>
    <row r="612" spans="1:14" x14ac:dyDescent="0.3">
      <c r="A612" s="1">
        <v>46062.587094907409</v>
      </c>
      <c r="B612">
        <v>385347811</v>
      </c>
      <c r="C612" t="s">
        <v>142</v>
      </c>
      <c r="D612" t="s">
        <v>89</v>
      </c>
      <c r="E612">
        <v>810</v>
      </c>
      <c r="F612">
        <v>810</v>
      </c>
      <c r="G612">
        <v>567</v>
      </c>
      <c r="I612" t="s">
        <v>85</v>
      </c>
      <c r="J612" t="s">
        <v>59</v>
      </c>
      <c r="K612" t="s">
        <v>18</v>
      </c>
      <c r="L612" t="str">
        <f>T("9791136943903")</f>
        <v>9791136943903</v>
      </c>
      <c r="M612" t="str">
        <f t="shared" si="12"/>
        <v/>
      </c>
      <c r="N612">
        <v>917705</v>
      </c>
    </row>
    <row r="613" spans="1:14" x14ac:dyDescent="0.3">
      <c r="A613" s="1">
        <v>46062.587094907409</v>
      </c>
      <c r="B613">
        <v>385347770</v>
      </c>
      <c r="C613" t="s">
        <v>143</v>
      </c>
      <c r="D613" t="s">
        <v>89</v>
      </c>
      <c r="E613">
        <v>810</v>
      </c>
      <c r="F613">
        <v>810</v>
      </c>
      <c r="G613">
        <v>567</v>
      </c>
      <c r="I613" t="s">
        <v>85</v>
      </c>
      <c r="J613" t="s">
        <v>59</v>
      </c>
      <c r="K613" t="s">
        <v>18</v>
      </c>
      <c r="L613" t="str">
        <f>T("9791136943927")</f>
        <v>9791136943927</v>
      </c>
      <c r="M613" t="str">
        <f t="shared" si="12"/>
        <v/>
      </c>
      <c r="N613">
        <v>917703</v>
      </c>
    </row>
    <row r="614" spans="1:14" x14ac:dyDescent="0.3">
      <c r="A614" s="1">
        <v>46062.59138888889</v>
      </c>
      <c r="B614">
        <v>311320990</v>
      </c>
      <c r="C614" t="s">
        <v>129</v>
      </c>
      <c r="D614" t="s">
        <v>15</v>
      </c>
      <c r="E614">
        <v>0</v>
      </c>
      <c r="F614">
        <v>0</v>
      </c>
      <c r="G614">
        <v>0</v>
      </c>
      <c r="I614" t="s">
        <v>130</v>
      </c>
      <c r="J614" t="s">
        <v>59</v>
      </c>
      <c r="K614" t="s">
        <v>18</v>
      </c>
      <c r="L614" t="str">
        <f>T("9791136927880")</f>
        <v>9791136927880</v>
      </c>
      <c r="M614" t="str">
        <f t="shared" si="12"/>
        <v/>
      </c>
      <c r="N614">
        <v>889268</v>
      </c>
    </row>
    <row r="615" spans="1:14" x14ac:dyDescent="0.3">
      <c r="A615" s="1">
        <v>46062.61986111111</v>
      </c>
      <c r="B615">
        <v>373442848</v>
      </c>
      <c r="C615" t="s">
        <v>267</v>
      </c>
      <c r="D615" t="s">
        <v>89</v>
      </c>
      <c r="E615">
        <v>810</v>
      </c>
      <c r="F615">
        <v>810</v>
      </c>
      <c r="G615">
        <v>567</v>
      </c>
      <c r="I615" t="s">
        <v>58</v>
      </c>
      <c r="J615" t="s">
        <v>59</v>
      </c>
      <c r="K615" t="s">
        <v>18</v>
      </c>
      <c r="L615" t="str">
        <f>T("9791173784392")</f>
        <v>9791173784392</v>
      </c>
      <c r="M615" t="str">
        <f t="shared" si="12"/>
        <v/>
      </c>
      <c r="N615">
        <v>948943</v>
      </c>
    </row>
    <row r="616" spans="1:14" x14ac:dyDescent="0.3">
      <c r="A616" s="1">
        <v>46062.61986111111</v>
      </c>
      <c r="B616">
        <v>373442837</v>
      </c>
      <c r="C616" t="s">
        <v>264</v>
      </c>
      <c r="D616" t="s">
        <v>89</v>
      </c>
      <c r="E616">
        <v>810</v>
      </c>
      <c r="F616">
        <v>810</v>
      </c>
      <c r="G616">
        <v>567</v>
      </c>
      <c r="I616" t="s">
        <v>58</v>
      </c>
      <c r="J616" t="s">
        <v>59</v>
      </c>
      <c r="K616" t="s">
        <v>18</v>
      </c>
      <c r="L616" t="str">
        <f>T("9791173784385")</f>
        <v>9791173784385</v>
      </c>
      <c r="M616" t="str">
        <f t="shared" si="12"/>
        <v/>
      </c>
      <c r="N616">
        <v>948944</v>
      </c>
    </row>
    <row r="617" spans="1:14" x14ac:dyDescent="0.3">
      <c r="A617" s="1">
        <v>46062.61986111111</v>
      </c>
      <c r="B617">
        <v>373442849</v>
      </c>
      <c r="C617" t="s">
        <v>262</v>
      </c>
      <c r="D617" t="s">
        <v>89</v>
      </c>
      <c r="E617">
        <v>810</v>
      </c>
      <c r="F617">
        <v>810</v>
      </c>
      <c r="G617">
        <v>567</v>
      </c>
      <c r="I617" t="s">
        <v>58</v>
      </c>
      <c r="J617" t="s">
        <v>59</v>
      </c>
      <c r="K617" t="s">
        <v>18</v>
      </c>
      <c r="L617" t="str">
        <f>T("9791173784354")</f>
        <v>9791173784354</v>
      </c>
      <c r="M617" t="str">
        <f t="shared" si="12"/>
        <v/>
      </c>
      <c r="N617">
        <v>948947</v>
      </c>
    </row>
    <row r="618" spans="1:14" x14ac:dyDescent="0.3">
      <c r="A618" s="1">
        <v>46062.61986111111</v>
      </c>
      <c r="B618">
        <v>373442639</v>
      </c>
      <c r="C618" t="s">
        <v>261</v>
      </c>
      <c r="D618" t="s">
        <v>89</v>
      </c>
      <c r="E618">
        <v>810</v>
      </c>
      <c r="F618">
        <v>810</v>
      </c>
      <c r="G618">
        <v>567</v>
      </c>
      <c r="I618" t="s">
        <v>58</v>
      </c>
      <c r="J618" t="s">
        <v>59</v>
      </c>
      <c r="K618" t="s">
        <v>18</v>
      </c>
      <c r="L618" t="str">
        <f>T("9791173784415")</f>
        <v>9791173784415</v>
      </c>
      <c r="M618" t="str">
        <f t="shared" si="12"/>
        <v/>
      </c>
      <c r="N618">
        <v>948941</v>
      </c>
    </row>
    <row r="619" spans="1:14" x14ac:dyDescent="0.3">
      <c r="A619" s="1">
        <v>46062.61986111111</v>
      </c>
      <c r="B619">
        <v>373442634</v>
      </c>
      <c r="C619" t="s">
        <v>268</v>
      </c>
      <c r="D619" t="s">
        <v>89</v>
      </c>
      <c r="E619">
        <v>810</v>
      </c>
      <c r="F619">
        <v>810</v>
      </c>
      <c r="G619">
        <v>567</v>
      </c>
      <c r="I619" t="s">
        <v>58</v>
      </c>
      <c r="J619" t="s">
        <v>59</v>
      </c>
      <c r="K619" t="s">
        <v>18</v>
      </c>
      <c r="L619" t="str">
        <f>T("9791173784361")</f>
        <v>9791173784361</v>
      </c>
      <c r="M619" t="str">
        <f t="shared" si="12"/>
        <v/>
      </c>
      <c r="N619">
        <v>948946</v>
      </c>
    </row>
    <row r="620" spans="1:14" x14ac:dyDescent="0.3">
      <c r="A620" s="1">
        <v>46062.61986111111</v>
      </c>
      <c r="B620">
        <v>373442857</v>
      </c>
      <c r="C620" t="s">
        <v>271</v>
      </c>
      <c r="D620" t="s">
        <v>89</v>
      </c>
      <c r="E620">
        <v>810</v>
      </c>
      <c r="F620">
        <v>810</v>
      </c>
      <c r="G620">
        <v>567</v>
      </c>
      <c r="I620" t="s">
        <v>58</v>
      </c>
      <c r="J620" t="s">
        <v>59</v>
      </c>
      <c r="K620" t="s">
        <v>18</v>
      </c>
      <c r="L620" t="str">
        <f>T("9791173784408")</f>
        <v>9791173784408</v>
      </c>
      <c r="M620" t="str">
        <f t="shared" si="12"/>
        <v/>
      </c>
      <c r="N620">
        <v>948942</v>
      </c>
    </row>
    <row r="621" spans="1:14" x14ac:dyDescent="0.3">
      <c r="A621" s="1">
        <v>46062.61986111111</v>
      </c>
      <c r="B621">
        <v>373442879</v>
      </c>
      <c r="C621" t="s">
        <v>269</v>
      </c>
      <c r="D621" t="s">
        <v>89</v>
      </c>
      <c r="E621">
        <v>810</v>
      </c>
      <c r="F621">
        <v>810</v>
      </c>
      <c r="G621">
        <v>567</v>
      </c>
      <c r="I621" t="s">
        <v>58</v>
      </c>
      <c r="J621" t="s">
        <v>59</v>
      </c>
      <c r="K621" t="s">
        <v>18</v>
      </c>
      <c r="L621" t="str">
        <f>T("9791173784378")</f>
        <v>9791173784378</v>
      </c>
      <c r="M621" t="str">
        <f t="shared" si="12"/>
        <v/>
      </c>
      <c r="N621">
        <v>948945</v>
      </c>
    </row>
    <row r="622" spans="1:14" x14ac:dyDescent="0.3">
      <c r="A622" s="1">
        <v>46062.633969907409</v>
      </c>
      <c r="B622">
        <v>385636847</v>
      </c>
      <c r="C622" t="s">
        <v>245</v>
      </c>
      <c r="D622" t="s">
        <v>89</v>
      </c>
      <c r="E622" s="2">
        <v>9450</v>
      </c>
      <c r="F622" s="2">
        <v>9450</v>
      </c>
      <c r="G622" s="2">
        <v>6615</v>
      </c>
      <c r="I622" t="s">
        <v>246</v>
      </c>
      <c r="J622" t="s">
        <v>23</v>
      </c>
      <c r="K622" t="s">
        <v>18</v>
      </c>
      <c r="L622" t="str">
        <f>T("9791175309517")</f>
        <v>9791175309517</v>
      </c>
      <c r="M622" t="str">
        <f t="shared" si="12"/>
        <v/>
      </c>
    </row>
    <row r="623" spans="1:14" x14ac:dyDescent="0.3">
      <c r="A623" s="1">
        <v>46062.645624999997</v>
      </c>
      <c r="B623">
        <v>385636847</v>
      </c>
      <c r="C623" t="s">
        <v>245</v>
      </c>
      <c r="D623" t="s">
        <v>89</v>
      </c>
      <c r="E623" s="2">
        <v>9450</v>
      </c>
      <c r="F623" s="2">
        <v>9450</v>
      </c>
      <c r="G623" s="2">
        <v>6615</v>
      </c>
      <c r="I623" t="s">
        <v>246</v>
      </c>
      <c r="J623" t="s">
        <v>23</v>
      </c>
      <c r="K623" t="s">
        <v>18</v>
      </c>
      <c r="L623" t="str">
        <f>T("9791175309517")</f>
        <v>9791175309517</v>
      </c>
      <c r="M623" t="str">
        <f t="shared" si="12"/>
        <v/>
      </c>
    </row>
    <row r="624" spans="1:14" x14ac:dyDescent="0.3">
      <c r="A624" s="1">
        <v>46062.675034722219</v>
      </c>
      <c r="B624">
        <v>385804041</v>
      </c>
      <c r="C624" t="s">
        <v>327</v>
      </c>
      <c r="D624" t="s">
        <v>15</v>
      </c>
      <c r="E624">
        <v>0</v>
      </c>
      <c r="F624">
        <v>0</v>
      </c>
      <c r="G624">
        <v>0</v>
      </c>
      <c r="I624" t="s">
        <v>328</v>
      </c>
      <c r="J624" t="s">
        <v>59</v>
      </c>
      <c r="K624" t="s">
        <v>18</v>
      </c>
      <c r="L624" t="str">
        <f>T("9791175303478")</f>
        <v>9791175303478</v>
      </c>
      <c r="M624" t="str">
        <f t="shared" si="12"/>
        <v/>
      </c>
      <c r="N624">
        <v>956209</v>
      </c>
    </row>
    <row r="625" spans="1:14" x14ac:dyDescent="0.3">
      <c r="A625" s="1">
        <v>46062.676793981482</v>
      </c>
      <c r="B625">
        <v>385348415</v>
      </c>
      <c r="C625" t="s">
        <v>88</v>
      </c>
      <c r="D625" t="s">
        <v>89</v>
      </c>
      <c r="E625" s="2">
        <v>8640</v>
      </c>
      <c r="F625" s="2">
        <v>8640</v>
      </c>
      <c r="G625" s="2">
        <v>6048</v>
      </c>
      <c r="I625" t="s">
        <v>90</v>
      </c>
      <c r="J625" t="s">
        <v>23</v>
      </c>
      <c r="K625" t="s">
        <v>18</v>
      </c>
      <c r="L625" t="str">
        <f>T("9791175308350")</f>
        <v>9791175308350</v>
      </c>
      <c r="M625" t="str">
        <f t="shared" si="12"/>
        <v/>
      </c>
    </row>
    <row r="626" spans="1:14" x14ac:dyDescent="0.3">
      <c r="A626" s="1">
        <v>46062.728888888887</v>
      </c>
      <c r="B626">
        <v>385804041</v>
      </c>
      <c r="C626" t="s">
        <v>327</v>
      </c>
      <c r="D626" t="s">
        <v>15</v>
      </c>
      <c r="E626">
        <v>0</v>
      </c>
      <c r="F626">
        <v>0</v>
      </c>
      <c r="G626">
        <v>0</v>
      </c>
      <c r="I626" t="s">
        <v>328</v>
      </c>
      <c r="J626" t="s">
        <v>59</v>
      </c>
      <c r="K626" t="s">
        <v>18</v>
      </c>
      <c r="L626" t="str">
        <f>T("9791175303478")</f>
        <v>9791175303478</v>
      </c>
      <c r="M626" t="str">
        <f t="shared" si="12"/>
        <v/>
      </c>
      <c r="N626">
        <v>956209</v>
      </c>
    </row>
    <row r="627" spans="1:14" x14ac:dyDescent="0.3">
      <c r="A627" s="1">
        <v>46062.776354166665</v>
      </c>
      <c r="B627">
        <v>385804041</v>
      </c>
      <c r="C627" t="s">
        <v>327</v>
      </c>
      <c r="D627" t="s">
        <v>15</v>
      </c>
      <c r="E627">
        <v>0</v>
      </c>
      <c r="F627">
        <v>0</v>
      </c>
      <c r="G627">
        <v>0</v>
      </c>
      <c r="I627" t="s">
        <v>328</v>
      </c>
      <c r="J627" t="s">
        <v>59</v>
      </c>
      <c r="K627" t="s">
        <v>18</v>
      </c>
      <c r="L627" t="str">
        <f>T("9791175303478")</f>
        <v>9791175303478</v>
      </c>
      <c r="M627" t="str">
        <f t="shared" si="12"/>
        <v/>
      </c>
      <c r="N627">
        <v>956209</v>
      </c>
    </row>
    <row r="628" spans="1:14" x14ac:dyDescent="0.3">
      <c r="A628" s="1">
        <v>46062.780648148146</v>
      </c>
      <c r="B628">
        <v>385348414</v>
      </c>
      <c r="C628" t="s">
        <v>114</v>
      </c>
      <c r="D628" t="s">
        <v>15</v>
      </c>
      <c r="E628" s="2">
        <v>13000</v>
      </c>
      <c r="F628" s="2">
        <v>11700</v>
      </c>
      <c r="G628" s="2">
        <v>8190</v>
      </c>
      <c r="I628" t="s">
        <v>87</v>
      </c>
      <c r="J628" t="s">
        <v>23</v>
      </c>
      <c r="K628" t="s">
        <v>18</v>
      </c>
      <c r="L628" t="str">
        <f>T("9791175308503")</f>
        <v>9791175308503</v>
      </c>
      <c r="M628" t="str">
        <f t="shared" si="12"/>
        <v/>
      </c>
    </row>
    <row r="629" spans="1:14" x14ac:dyDescent="0.3">
      <c r="A629" s="1">
        <v>46062.787824074076</v>
      </c>
      <c r="B629">
        <v>320488291</v>
      </c>
      <c r="C629" t="s">
        <v>329</v>
      </c>
      <c r="D629" t="s">
        <v>15</v>
      </c>
      <c r="E629" s="2">
        <v>3200</v>
      </c>
      <c r="F629" s="2">
        <v>3200</v>
      </c>
      <c r="G629" s="2">
        <v>2240</v>
      </c>
      <c r="I629" t="s">
        <v>260</v>
      </c>
      <c r="J629" t="s">
        <v>23</v>
      </c>
      <c r="K629" t="s">
        <v>18</v>
      </c>
      <c r="L629" t="str">
        <f>T("9791136938183")</f>
        <v>9791136938183</v>
      </c>
      <c r="M629" t="str">
        <f t="shared" si="12"/>
        <v/>
      </c>
      <c r="N629">
        <v>911121</v>
      </c>
    </row>
    <row r="630" spans="1:14" x14ac:dyDescent="0.3">
      <c r="A630" s="1">
        <v>46062.839629629627</v>
      </c>
      <c r="B630">
        <v>385348415</v>
      </c>
      <c r="C630" t="s">
        <v>88</v>
      </c>
      <c r="D630" t="s">
        <v>89</v>
      </c>
      <c r="E630" s="2">
        <v>8640</v>
      </c>
      <c r="F630" s="2">
        <v>8640</v>
      </c>
      <c r="G630" s="2">
        <v>6048</v>
      </c>
      <c r="I630" t="s">
        <v>90</v>
      </c>
      <c r="J630" t="s">
        <v>23</v>
      </c>
      <c r="K630" t="s">
        <v>18</v>
      </c>
      <c r="L630" t="str">
        <f>T("9791175308350")</f>
        <v>9791175308350</v>
      </c>
      <c r="M630" t="str">
        <f t="shared" si="12"/>
        <v/>
      </c>
    </row>
    <row r="631" spans="1:14" x14ac:dyDescent="0.3">
      <c r="A631" s="1">
        <v>46062.847199074073</v>
      </c>
      <c r="B631">
        <v>385804034</v>
      </c>
      <c r="C631" t="s">
        <v>330</v>
      </c>
      <c r="D631" t="s">
        <v>15</v>
      </c>
      <c r="E631">
        <v>0</v>
      </c>
      <c r="F631">
        <v>0</v>
      </c>
      <c r="G631">
        <v>0</v>
      </c>
      <c r="I631" t="s">
        <v>331</v>
      </c>
      <c r="J631" t="s">
        <v>52</v>
      </c>
      <c r="K631" t="s">
        <v>18</v>
      </c>
      <c r="L631" t="str">
        <f>T("")</f>
        <v/>
      </c>
      <c r="M631" t="str">
        <f>T("G720:N+A101-20260128080.M001")</f>
        <v>G720:N+A101-20260128080.M001</v>
      </c>
      <c r="N631">
        <v>959682</v>
      </c>
    </row>
    <row r="632" spans="1:14" x14ac:dyDescent="0.3">
      <c r="A632" s="1">
        <v>46062.849259259259</v>
      </c>
      <c r="B632">
        <v>385348415</v>
      </c>
      <c r="C632" t="s">
        <v>88</v>
      </c>
      <c r="D632" t="s">
        <v>89</v>
      </c>
      <c r="E632" s="2">
        <v>8640</v>
      </c>
      <c r="F632" s="2">
        <v>8640</v>
      </c>
      <c r="G632" s="2">
        <v>6048</v>
      </c>
      <c r="I632" t="s">
        <v>90</v>
      </c>
      <c r="J632" t="s">
        <v>23</v>
      </c>
      <c r="K632" t="s">
        <v>18</v>
      </c>
      <c r="L632" t="str">
        <f>T("9791175308350")</f>
        <v>9791175308350</v>
      </c>
      <c r="M632" t="str">
        <f t="shared" ref="M632:M637" si="13">T("")</f>
        <v/>
      </c>
    </row>
    <row r="633" spans="1:14" x14ac:dyDescent="0.3">
      <c r="A633" s="1">
        <v>46062.879837962966</v>
      </c>
      <c r="B633">
        <v>385636847</v>
      </c>
      <c r="C633" t="s">
        <v>245</v>
      </c>
      <c r="D633" t="s">
        <v>89</v>
      </c>
      <c r="E633" s="2">
        <v>9450</v>
      </c>
      <c r="F633" s="2">
        <v>9450</v>
      </c>
      <c r="G633" s="2">
        <v>6615</v>
      </c>
      <c r="I633" t="s">
        <v>246</v>
      </c>
      <c r="J633" t="s">
        <v>23</v>
      </c>
      <c r="K633" t="s">
        <v>18</v>
      </c>
      <c r="L633" t="str">
        <f>T("9791175309517")</f>
        <v>9791175309517</v>
      </c>
      <c r="M633" t="str">
        <f t="shared" si="13"/>
        <v/>
      </c>
    </row>
    <row r="634" spans="1:14" x14ac:dyDescent="0.3">
      <c r="A634" s="1">
        <v>46062.901956018519</v>
      </c>
      <c r="B634">
        <v>385636847</v>
      </c>
      <c r="C634" t="s">
        <v>245</v>
      </c>
      <c r="D634" t="s">
        <v>89</v>
      </c>
      <c r="E634" s="2">
        <v>9450</v>
      </c>
      <c r="F634" s="2">
        <v>9450</v>
      </c>
      <c r="G634" s="2">
        <v>6615</v>
      </c>
      <c r="I634" t="s">
        <v>246</v>
      </c>
      <c r="J634" t="s">
        <v>23</v>
      </c>
      <c r="K634" t="s">
        <v>18</v>
      </c>
      <c r="L634" t="str">
        <f>T("9791175309517")</f>
        <v>9791175309517</v>
      </c>
      <c r="M634" t="str">
        <f t="shared" si="13"/>
        <v/>
      </c>
    </row>
    <row r="635" spans="1:14" x14ac:dyDescent="0.3">
      <c r="A635" s="1">
        <v>46062.906689814816</v>
      </c>
      <c r="B635">
        <v>385804041</v>
      </c>
      <c r="C635" t="s">
        <v>327</v>
      </c>
      <c r="D635" t="s">
        <v>15</v>
      </c>
      <c r="E635">
        <v>0</v>
      </c>
      <c r="F635">
        <v>0</v>
      </c>
      <c r="G635">
        <v>0</v>
      </c>
      <c r="I635" t="s">
        <v>328</v>
      </c>
      <c r="J635" t="s">
        <v>59</v>
      </c>
      <c r="K635" t="s">
        <v>18</v>
      </c>
      <c r="L635" t="str">
        <f>T("9791175303478")</f>
        <v>9791175303478</v>
      </c>
      <c r="M635" t="str">
        <f t="shared" si="13"/>
        <v/>
      </c>
      <c r="N635">
        <v>956209</v>
      </c>
    </row>
    <row r="636" spans="1:14" x14ac:dyDescent="0.3">
      <c r="A636" s="1">
        <v>46062.921284722222</v>
      </c>
      <c r="B636">
        <v>385636847</v>
      </c>
      <c r="C636" t="s">
        <v>245</v>
      </c>
      <c r="D636" t="s">
        <v>89</v>
      </c>
      <c r="E636" s="2">
        <v>9450</v>
      </c>
      <c r="F636" s="2">
        <v>9450</v>
      </c>
      <c r="G636" s="2">
        <v>6615</v>
      </c>
      <c r="I636" t="s">
        <v>246</v>
      </c>
      <c r="J636" t="s">
        <v>23</v>
      </c>
      <c r="K636" t="s">
        <v>18</v>
      </c>
      <c r="L636" t="str">
        <f>T("9791175309517")</f>
        <v>9791175309517</v>
      </c>
      <c r="M636" t="str">
        <f t="shared" si="13"/>
        <v/>
      </c>
    </row>
    <row r="637" spans="1:14" x14ac:dyDescent="0.3">
      <c r="A637" s="1">
        <v>46062.926747685182</v>
      </c>
      <c r="B637">
        <v>329693228</v>
      </c>
      <c r="C637" t="s">
        <v>332</v>
      </c>
      <c r="D637" t="s">
        <v>15</v>
      </c>
      <c r="E637">
        <v>0</v>
      </c>
      <c r="F637">
        <v>0</v>
      </c>
      <c r="G637">
        <v>0</v>
      </c>
      <c r="I637" t="s">
        <v>333</v>
      </c>
      <c r="J637" t="s">
        <v>79</v>
      </c>
      <c r="K637" t="s">
        <v>18</v>
      </c>
      <c r="L637" t="str">
        <f>T("9791136935175")</f>
        <v>9791136935175</v>
      </c>
      <c r="M637" t="str">
        <f t="shared" si="13"/>
        <v/>
      </c>
      <c r="N637">
        <v>903201</v>
      </c>
    </row>
    <row r="638" spans="1:14" x14ac:dyDescent="0.3">
      <c r="A638" s="1">
        <v>46062.948391203703</v>
      </c>
      <c r="B638">
        <v>385804034</v>
      </c>
      <c r="C638" t="s">
        <v>330</v>
      </c>
      <c r="D638" t="s">
        <v>15</v>
      </c>
      <c r="E638">
        <v>0</v>
      </c>
      <c r="F638">
        <v>0</v>
      </c>
      <c r="G638">
        <v>0</v>
      </c>
      <c r="I638" t="s">
        <v>331</v>
      </c>
      <c r="J638" t="s">
        <v>52</v>
      </c>
      <c r="K638" t="s">
        <v>18</v>
      </c>
      <c r="L638" t="str">
        <f>T("")</f>
        <v/>
      </c>
      <c r="M638" t="str">
        <f>T("G720:N+A101-20260128080.M001")</f>
        <v>G720:N+A101-20260128080.M001</v>
      </c>
      <c r="N638">
        <v>959682</v>
      </c>
    </row>
    <row r="639" spans="1:14" x14ac:dyDescent="0.3">
      <c r="A639" s="1">
        <v>46062.949953703705</v>
      </c>
      <c r="B639">
        <v>379385369</v>
      </c>
      <c r="C639" t="s">
        <v>101</v>
      </c>
      <c r="D639" t="s">
        <v>15</v>
      </c>
      <c r="E639" s="2">
        <v>1500</v>
      </c>
      <c r="F639" s="2">
        <v>1500</v>
      </c>
      <c r="G639" s="2">
        <v>1050</v>
      </c>
      <c r="I639" t="s">
        <v>102</v>
      </c>
      <c r="J639" t="s">
        <v>23</v>
      </c>
      <c r="K639" t="s">
        <v>18</v>
      </c>
      <c r="L639" t="str">
        <f>T("9791175307254")</f>
        <v>9791175307254</v>
      </c>
      <c r="M639" t="str">
        <f t="shared" ref="M639:M646" si="14">T("")</f>
        <v/>
      </c>
      <c r="N639">
        <v>957333</v>
      </c>
    </row>
    <row r="640" spans="1:14" x14ac:dyDescent="0.3">
      <c r="A640" s="1">
        <v>46062.969155092593</v>
      </c>
      <c r="B640">
        <v>385636847</v>
      </c>
      <c r="C640" t="s">
        <v>245</v>
      </c>
      <c r="D640" t="s">
        <v>89</v>
      </c>
      <c r="E640" s="2">
        <v>9450</v>
      </c>
      <c r="F640" s="2">
        <v>9450</v>
      </c>
      <c r="G640" s="2">
        <v>6615</v>
      </c>
      <c r="I640" t="s">
        <v>246</v>
      </c>
      <c r="J640" t="s">
        <v>23</v>
      </c>
      <c r="K640" t="s">
        <v>18</v>
      </c>
      <c r="L640" t="str">
        <f>T("9791175309517")</f>
        <v>9791175309517</v>
      </c>
      <c r="M640" t="str">
        <f t="shared" si="14"/>
        <v/>
      </c>
    </row>
    <row r="641" spans="1:14" x14ac:dyDescent="0.3">
      <c r="A641" s="1">
        <v>46062.98232638889</v>
      </c>
      <c r="B641">
        <v>385348415</v>
      </c>
      <c r="C641" t="s">
        <v>88</v>
      </c>
      <c r="D641" t="s">
        <v>89</v>
      </c>
      <c r="E641" s="2">
        <v>8640</v>
      </c>
      <c r="F641" s="2">
        <v>8640</v>
      </c>
      <c r="G641" s="2">
        <v>6048</v>
      </c>
      <c r="I641" t="s">
        <v>90</v>
      </c>
      <c r="J641" t="s">
        <v>23</v>
      </c>
      <c r="K641" t="s">
        <v>18</v>
      </c>
      <c r="L641" t="str">
        <f>T("9791175308350")</f>
        <v>9791175308350</v>
      </c>
      <c r="M641" t="str">
        <f t="shared" si="14"/>
        <v/>
      </c>
    </row>
    <row r="642" spans="1:14" x14ac:dyDescent="0.3">
      <c r="A642" s="1">
        <v>46062.982453703706</v>
      </c>
      <c r="B642">
        <v>385347659</v>
      </c>
      <c r="C642" t="s">
        <v>86</v>
      </c>
      <c r="D642" t="s">
        <v>15</v>
      </c>
      <c r="E642" s="2">
        <v>1000</v>
      </c>
      <c r="F642">
        <v>900</v>
      </c>
      <c r="G642">
        <v>630</v>
      </c>
      <c r="I642" t="s">
        <v>87</v>
      </c>
      <c r="J642" t="s">
        <v>23</v>
      </c>
      <c r="K642" t="s">
        <v>18</v>
      </c>
      <c r="L642" t="str">
        <f>T("9791175308510")</f>
        <v>9791175308510</v>
      </c>
      <c r="M642" t="str">
        <f t="shared" si="14"/>
        <v/>
      </c>
      <c r="N642">
        <v>957881</v>
      </c>
    </row>
    <row r="643" spans="1:14" x14ac:dyDescent="0.3">
      <c r="A643" s="1">
        <v>46062.985127314816</v>
      </c>
      <c r="B643">
        <v>307494544</v>
      </c>
      <c r="C643" t="s">
        <v>334</v>
      </c>
      <c r="D643" t="s">
        <v>15</v>
      </c>
      <c r="E643">
        <v>0</v>
      </c>
      <c r="F643">
        <v>0</v>
      </c>
      <c r="G643">
        <v>0</v>
      </c>
      <c r="I643" t="s">
        <v>85</v>
      </c>
      <c r="J643" t="s">
        <v>59</v>
      </c>
      <c r="K643" t="s">
        <v>18</v>
      </c>
      <c r="L643" t="str">
        <f>T("9791136929372")</f>
        <v>9791136929372</v>
      </c>
      <c r="M643" t="str">
        <f t="shared" si="14"/>
        <v/>
      </c>
      <c r="N643">
        <v>893581</v>
      </c>
    </row>
    <row r="644" spans="1:14" x14ac:dyDescent="0.3">
      <c r="A644" s="1">
        <v>46062.996469907404</v>
      </c>
      <c r="B644">
        <v>384177413</v>
      </c>
      <c r="C644" t="s">
        <v>247</v>
      </c>
      <c r="D644" t="s">
        <v>15</v>
      </c>
      <c r="E644" s="2">
        <v>3500</v>
      </c>
      <c r="F644" s="2">
        <v>3500</v>
      </c>
      <c r="G644" s="2">
        <v>2450</v>
      </c>
      <c r="I644" t="s">
        <v>22</v>
      </c>
      <c r="J644" t="s">
        <v>23</v>
      </c>
      <c r="K644" t="s">
        <v>18</v>
      </c>
      <c r="L644" t="str">
        <f>T("9791175309777")</f>
        <v>9791175309777</v>
      </c>
      <c r="M644" t="str">
        <f t="shared" si="14"/>
        <v/>
      </c>
      <c r="N644">
        <v>958597</v>
      </c>
    </row>
    <row r="645" spans="1:14" x14ac:dyDescent="0.3">
      <c r="A645" s="1">
        <v>46062.997777777775</v>
      </c>
      <c r="B645">
        <v>384177413</v>
      </c>
      <c r="C645" t="s">
        <v>247</v>
      </c>
      <c r="D645" t="s">
        <v>15</v>
      </c>
      <c r="E645" s="2">
        <v>-3500</v>
      </c>
      <c r="F645" s="2">
        <v>-3500</v>
      </c>
      <c r="G645" s="2">
        <v>-2450</v>
      </c>
      <c r="H645" s="1">
        <v>46062.996469907404</v>
      </c>
      <c r="I645" t="s">
        <v>22</v>
      </c>
      <c r="J645" t="s">
        <v>23</v>
      </c>
      <c r="K645" t="s">
        <v>18</v>
      </c>
      <c r="L645" t="str">
        <f>T("9791175309777")</f>
        <v>9791175309777</v>
      </c>
      <c r="M645" t="str">
        <f t="shared" si="14"/>
        <v/>
      </c>
      <c r="N645">
        <v>958597</v>
      </c>
    </row>
    <row r="646" spans="1:14" x14ac:dyDescent="0.3">
      <c r="A646" s="1">
        <v>46062.998148148145</v>
      </c>
      <c r="B646">
        <v>384177413</v>
      </c>
      <c r="C646" t="s">
        <v>247</v>
      </c>
      <c r="D646" t="s">
        <v>15</v>
      </c>
      <c r="E646" s="2">
        <v>3500</v>
      </c>
      <c r="F646" s="2">
        <v>3500</v>
      </c>
      <c r="G646" s="2">
        <v>2450</v>
      </c>
      <c r="I646" t="s">
        <v>22</v>
      </c>
      <c r="J646" t="s">
        <v>23</v>
      </c>
      <c r="K646" t="s">
        <v>18</v>
      </c>
      <c r="L646" t="str">
        <f>T("9791175309777")</f>
        <v>9791175309777</v>
      </c>
      <c r="M646" t="str">
        <f t="shared" si="14"/>
        <v/>
      </c>
      <c r="N646">
        <v>958597</v>
      </c>
    </row>
    <row r="647" spans="1:14" x14ac:dyDescent="0.3">
      <c r="A647" s="1">
        <v>46063.013182870367</v>
      </c>
      <c r="B647">
        <v>385804034</v>
      </c>
      <c r="C647" t="s">
        <v>330</v>
      </c>
      <c r="D647" t="s">
        <v>15</v>
      </c>
      <c r="E647">
        <v>0</v>
      </c>
      <c r="F647">
        <v>0</v>
      </c>
      <c r="G647">
        <v>0</v>
      </c>
      <c r="I647" t="s">
        <v>331</v>
      </c>
      <c r="J647" t="s">
        <v>52</v>
      </c>
      <c r="K647" t="s">
        <v>18</v>
      </c>
      <c r="L647" t="str">
        <f>T("")</f>
        <v/>
      </c>
      <c r="M647" t="str">
        <f>T("G720:N+A101-20260128080.M001")</f>
        <v>G720:N+A101-20260128080.M001</v>
      </c>
      <c r="N647">
        <v>959682</v>
      </c>
    </row>
    <row r="648" spans="1:14" x14ac:dyDescent="0.3">
      <c r="A648" s="1">
        <v>46063.015821759262</v>
      </c>
      <c r="B648">
        <v>385804032</v>
      </c>
      <c r="C648" t="s">
        <v>335</v>
      </c>
      <c r="D648" t="s">
        <v>15</v>
      </c>
      <c r="E648" s="2">
        <v>3200</v>
      </c>
      <c r="F648" s="2">
        <v>3200</v>
      </c>
      <c r="G648" s="2">
        <v>2240</v>
      </c>
      <c r="I648" t="s">
        <v>331</v>
      </c>
      <c r="J648" t="s">
        <v>52</v>
      </c>
      <c r="K648" t="s">
        <v>18</v>
      </c>
      <c r="L648" t="str">
        <f>T("")</f>
        <v/>
      </c>
      <c r="M648" t="str">
        <f>T("G720:N+A101-20260128080.M002")</f>
        <v>G720:N+A101-20260128080.M002</v>
      </c>
      <c r="N648">
        <v>959681</v>
      </c>
    </row>
    <row r="649" spans="1:14" x14ac:dyDescent="0.3">
      <c r="A649" s="1">
        <v>46063.169224537036</v>
      </c>
      <c r="B649">
        <v>327906087</v>
      </c>
      <c r="C649" t="s">
        <v>336</v>
      </c>
      <c r="D649" t="s">
        <v>15</v>
      </c>
      <c r="E649">
        <v>0</v>
      </c>
      <c r="F649">
        <v>0</v>
      </c>
      <c r="G649">
        <v>0</v>
      </c>
      <c r="I649" t="s">
        <v>193</v>
      </c>
      <c r="J649" t="s">
        <v>59</v>
      </c>
      <c r="K649" t="s">
        <v>18</v>
      </c>
      <c r="L649" t="str">
        <f>T("9791136934468")</f>
        <v>9791136934468</v>
      </c>
      <c r="M649" t="str">
        <f>T("")</f>
        <v/>
      </c>
      <c r="N649">
        <v>903263</v>
      </c>
    </row>
    <row r="650" spans="1:14" x14ac:dyDescent="0.3">
      <c r="A650" s="1">
        <v>46063.169224537036</v>
      </c>
      <c r="B650">
        <v>373442629</v>
      </c>
      <c r="C650" t="s">
        <v>104</v>
      </c>
      <c r="D650" t="s">
        <v>15</v>
      </c>
      <c r="E650">
        <v>0</v>
      </c>
      <c r="F650">
        <v>0</v>
      </c>
      <c r="G650">
        <v>0</v>
      </c>
      <c r="I650" t="s">
        <v>58</v>
      </c>
      <c r="J650" t="s">
        <v>59</v>
      </c>
      <c r="K650" t="s">
        <v>18</v>
      </c>
      <c r="L650" t="str">
        <f>T("9791173784316")</f>
        <v>9791173784316</v>
      </c>
      <c r="M650" t="str">
        <f>T("")</f>
        <v/>
      </c>
      <c r="N650">
        <v>948951</v>
      </c>
    </row>
    <row r="651" spans="1:14" x14ac:dyDescent="0.3">
      <c r="A651" s="1">
        <v>46063.286759259259</v>
      </c>
      <c r="B651">
        <v>385804034</v>
      </c>
      <c r="C651" t="s">
        <v>330</v>
      </c>
      <c r="D651" t="s">
        <v>15</v>
      </c>
      <c r="E651">
        <v>0</v>
      </c>
      <c r="F651">
        <v>0</v>
      </c>
      <c r="G651">
        <v>0</v>
      </c>
      <c r="I651" t="s">
        <v>331</v>
      </c>
      <c r="J651" t="s">
        <v>52</v>
      </c>
      <c r="K651" t="s">
        <v>18</v>
      </c>
      <c r="L651" t="str">
        <f t="shared" ref="L651:L657" si="15">T("")</f>
        <v/>
      </c>
      <c r="M651" t="str">
        <f>T("G720:N+A101-20260128080.M001")</f>
        <v>G720:N+A101-20260128080.M001</v>
      </c>
      <c r="N651">
        <v>959682</v>
      </c>
    </row>
    <row r="652" spans="1:14" x14ac:dyDescent="0.3">
      <c r="A652" s="1">
        <v>46063.301990740743</v>
      </c>
      <c r="B652">
        <v>385804032</v>
      </c>
      <c r="C652" t="s">
        <v>335</v>
      </c>
      <c r="D652" t="s">
        <v>15</v>
      </c>
      <c r="E652" s="2">
        <v>3200</v>
      </c>
      <c r="F652" s="2">
        <v>3200</v>
      </c>
      <c r="G652" s="2">
        <v>2240</v>
      </c>
      <c r="I652" t="s">
        <v>331</v>
      </c>
      <c r="J652" t="s">
        <v>52</v>
      </c>
      <c r="K652" t="s">
        <v>18</v>
      </c>
      <c r="L652" t="str">
        <f t="shared" si="15"/>
        <v/>
      </c>
      <c r="M652" t="str">
        <f>T("G720:N+A101-20260128080.M002")</f>
        <v>G720:N+A101-20260128080.M002</v>
      </c>
      <c r="N652">
        <v>959681</v>
      </c>
    </row>
    <row r="653" spans="1:14" x14ac:dyDescent="0.3">
      <c r="A653" s="1">
        <v>46063.329664351855</v>
      </c>
      <c r="B653">
        <v>385804030</v>
      </c>
      <c r="C653" t="s">
        <v>337</v>
      </c>
      <c r="D653" t="s">
        <v>15</v>
      </c>
      <c r="E653" s="2">
        <v>3200</v>
      </c>
      <c r="F653" s="2">
        <v>3200</v>
      </c>
      <c r="G653" s="2">
        <v>2240</v>
      </c>
      <c r="I653" t="s">
        <v>331</v>
      </c>
      <c r="J653" t="s">
        <v>52</v>
      </c>
      <c r="K653" t="s">
        <v>18</v>
      </c>
      <c r="L653" t="str">
        <f t="shared" si="15"/>
        <v/>
      </c>
      <c r="M653" t="str">
        <f>T("G720:N+A101-20260128080.M003")</f>
        <v>G720:N+A101-20260128080.M003</v>
      </c>
      <c r="N653">
        <v>959680</v>
      </c>
    </row>
    <row r="654" spans="1:14" x14ac:dyDescent="0.3">
      <c r="A654" s="1">
        <v>46063.329664351855</v>
      </c>
      <c r="B654">
        <v>385804031</v>
      </c>
      <c r="C654" t="s">
        <v>338</v>
      </c>
      <c r="D654" t="s">
        <v>15</v>
      </c>
      <c r="E654" s="2">
        <v>3200</v>
      </c>
      <c r="F654" s="2">
        <v>3200</v>
      </c>
      <c r="G654" s="2">
        <v>2240</v>
      </c>
      <c r="I654" t="s">
        <v>331</v>
      </c>
      <c r="J654" t="s">
        <v>52</v>
      </c>
      <c r="K654" t="s">
        <v>18</v>
      </c>
      <c r="L654" t="str">
        <f t="shared" si="15"/>
        <v/>
      </c>
      <c r="M654" t="str">
        <f>T("G720:N+A101-20260128080.M005")</f>
        <v>G720:N+A101-20260128080.M005</v>
      </c>
      <c r="N654">
        <v>959678</v>
      </c>
    </row>
    <row r="655" spans="1:14" x14ac:dyDescent="0.3">
      <c r="A655" s="1">
        <v>46063.329664351855</v>
      </c>
      <c r="B655">
        <v>385804036</v>
      </c>
      <c r="C655" t="s">
        <v>339</v>
      </c>
      <c r="D655" t="s">
        <v>15</v>
      </c>
      <c r="E655" s="2">
        <v>3200</v>
      </c>
      <c r="F655" s="2">
        <v>3200</v>
      </c>
      <c r="G655" s="2">
        <v>2240</v>
      </c>
      <c r="I655" t="s">
        <v>331</v>
      </c>
      <c r="J655" t="s">
        <v>52</v>
      </c>
      <c r="K655" t="s">
        <v>18</v>
      </c>
      <c r="L655" t="str">
        <f t="shared" si="15"/>
        <v/>
      </c>
      <c r="M655" t="str">
        <f>T("G720:N+A101-20260128080.M004")</f>
        <v>G720:N+A101-20260128080.M004</v>
      </c>
      <c r="N655">
        <v>959679</v>
      </c>
    </row>
    <row r="656" spans="1:14" x14ac:dyDescent="0.3">
      <c r="A656" s="1">
        <v>46063.329664351855</v>
      </c>
      <c r="B656">
        <v>385804038</v>
      </c>
      <c r="C656" t="s">
        <v>340</v>
      </c>
      <c r="D656" t="s">
        <v>15</v>
      </c>
      <c r="E656" s="2">
        <v>3200</v>
      </c>
      <c r="F656" s="2">
        <v>3200</v>
      </c>
      <c r="G656" s="2">
        <v>2240</v>
      </c>
      <c r="I656" t="s">
        <v>331</v>
      </c>
      <c r="J656" t="s">
        <v>52</v>
      </c>
      <c r="K656" t="s">
        <v>18</v>
      </c>
      <c r="L656" t="str">
        <f t="shared" si="15"/>
        <v/>
      </c>
      <c r="M656" t="str">
        <f>T("G720:N+A101-20260128080.M007")</f>
        <v>G720:N+A101-20260128080.M007</v>
      </c>
      <c r="N656">
        <v>959676</v>
      </c>
    </row>
    <row r="657" spans="1:14" x14ac:dyDescent="0.3">
      <c r="A657" s="1">
        <v>46063.329664351855</v>
      </c>
      <c r="B657">
        <v>385804042</v>
      </c>
      <c r="C657" t="s">
        <v>341</v>
      </c>
      <c r="D657" t="s">
        <v>15</v>
      </c>
      <c r="E657" s="2">
        <v>3200</v>
      </c>
      <c r="F657" s="2">
        <v>3200</v>
      </c>
      <c r="G657" s="2">
        <v>2240</v>
      </c>
      <c r="I657" t="s">
        <v>331</v>
      </c>
      <c r="J657" t="s">
        <v>52</v>
      </c>
      <c r="K657" t="s">
        <v>18</v>
      </c>
      <c r="L657" t="str">
        <f t="shared" si="15"/>
        <v/>
      </c>
      <c r="M657" t="str">
        <f>T("G720:N+A101-20260128080.M006")</f>
        <v>G720:N+A101-20260128080.M006</v>
      </c>
      <c r="N657">
        <v>959677</v>
      </c>
    </row>
    <row r="658" spans="1:14" x14ac:dyDescent="0.3">
      <c r="A658" s="1">
        <v>46063.389456018522</v>
      </c>
      <c r="B658">
        <v>367023539</v>
      </c>
      <c r="C658" t="s">
        <v>342</v>
      </c>
      <c r="D658" t="s">
        <v>15</v>
      </c>
      <c r="E658" s="2">
        <v>1300</v>
      </c>
      <c r="F658" s="2">
        <v>1300</v>
      </c>
      <c r="G658">
        <v>910</v>
      </c>
      <c r="I658" t="s">
        <v>294</v>
      </c>
      <c r="J658" t="s">
        <v>23</v>
      </c>
      <c r="K658" t="s">
        <v>18</v>
      </c>
      <c r="L658" t="str">
        <f>T("9791173785634")</f>
        <v>9791173785634</v>
      </c>
      <c r="M658" t="str">
        <f t="shared" ref="M658:M689" si="16">T("")</f>
        <v/>
      </c>
      <c r="N658">
        <v>950711</v>
      </c>
    </row>
    <row r="659" spans="1:14" x14ac:dyDescent="0.3">
      <c r="A659" s="1">
        <v>46063.389456018522</v>
      </c>
      <c r="B659">
        <v>287086225</v>
      </c>
      <c r="C659" t="s">
        <v>307</v>
      </c>
      <c r="D659" t="s">
        <v>15</v>
      </c>
      <c r="E659" s="2">
        <v>3000</v>
      </c>
      <c r="F659" s="2">
        <v>3000</v>
      </c>
      <c r="G659" s="2">
        <v>2100</v>
      </c>
      <c r="I659" t="s">
        <v>294</v>
      </c>
      <c r="J659" t="s">
        <v>23</v>
      </c>
      <c r="K659" t="s">
        <v>18</v>
      </c>
      <c r="L659" t="str">
        <f>T("9791136920218")</f>
        <v>9791136920218</v>
      </c>
      <c r="M659" t="str">
        <f t="shared" si="16"/>
        <v/>
      </c>
      <c r="N659">
        <v>871319</v>
      </c>
    </row>
    <row r="660" spans="1:14" x14ac:dyDescent="0.3">
      <c r="A660" s="1">
        <v>46063.389456018522</v>
      </c>
      <c r="B660">
        <v>287086243</v>
      </c>
      <c r="C660" t="s">
        <v>293</v>
      </c>
      <c r="D660" t="s">
        <v>15</v>
      </c>
      <c r="E660" s="2">
        <v>3000</v>
      </c>
      <c r="F660" s="2">
        <v>3000</v>
      </c>
      <c r="G660" s="2">
        <v>2100</v>
      </c>
      <c r="I660" t="s">
        <v>294</v>
      </c>
      <c r="J660" t="s">
        <v>23</v>
      </c>
      <c r="K660" t="s">
        <v>18</v>
      </c>
      <c r="L660" t="str">
        <f>T("9791136920201")</f>
        <v>9791136920201</v>
      </c>
      <c r="M660" t="str">
        <f t="shared" si="16"/>
        <v/>
      </c>
      <c r="N660">
        <v>871320</v>
      </c>
    </row>
    <row r="661" spans="1:14" x14ac:dyDescent="0.3">
      <c r="A661" s="1">
        <v>46063.418854166666</v>
      </c>
      <c r="B661">
        <v>385831063</v>
      </c>
      <c r="C661" t="s">
        <v>343</v>
      </c>
      <c r="D661" t="s">
        <v>89</v>
      </c>
      <c r="E661" s="2">
        <v>10800</v>
      </c>
      <c r="F661" s="2">
        <v>10800</v>
      </c>
      <c r="G661" s="2">
        <v>7560</v>
      </c>
      <c r="I661" t="s">
        <v>344</v>
      </c>
      <c r="J661" t="s">
        <v>23</v>
      </c>
      <c r="K661" t="s">
        <v>18</v>
      </c>
      <c r="L661" t="str">
        <f>T("9791175309456")</f>
        <v>9791175309456</v>
      </c>
      <c r="M661" t="str">
        <f t="shared" si="16"/>
        <v/>
      </c>
    </row>
    <row r="662" spans="1:14" x14ac:dyDescent="0.3">
      <c r="A662" s="1">
        <v>46063.435231481482</v>
      </c>
      <c r="B662">
        <v>385347620</v>
      </c>
      <c r="C662" t="s">
        <v>84</v>
      </c>
      <c r="D662" t="s">
        <v>15</v>
      </c>
      <c r="E662">
        <v>0</v>
      </c>
      <c r="F662">
        <v>0</v>
      </c>
      <c r="G662">
        <v>0</v>
      </c>
      <c r="I662" t="s">
        <v>85</v>
      </c>
      <c r="J662" t="s">
        <v>59</v>
      </c>
      <c r="K662" t="s">
        <v>18</v>
      </c>
      <c r="L662" t="str">
        <f>T("9791136943897")</f>
        <v>9791136943897</v>
      </c>
      <c r="M662" t="str">
        <f t="shared" si="16"/>
        <v/>
      </c>
      <c r="N662">
        <v>917706</v>
      </c>
    </row>
    <row r="663" spans="1:14" x14ac:dyDescent="0.3">
      <c r="A663" s="1">
        <v>46063.493263888886</v>
      </c>
      <c r="B663">
        <v>385831063</v>
      </c>
      <c r="C663" t="s">
        <v>343</v>
      </c>
      <c r="D663" t="s">
        <v>89</v>
      </c>
      <c r="E663" s="2">
        <v>10800</v>
      </c>
      <c r="F663" s="2">
        <v>10800</v>
      </c>
      <c r="G663" s="2">
        <v>7560</v>
      </c>
      <c r="I663" t="s">
        <v>344</v>
      </c>
      <c r="J663" t="s">
        <v>23</v>
      </c>
      <c r="K663" t="s">
        <v>18</v>
      </c>
      <c r="L663" t="str">
        <f>T("9791175309456")</f>
        <v>9791175309456</v>
      </c>
      <c r="M663" t="str">
        <f t="shared" si="16"/>
        <v/>
      </c>
    </row>
    <row r="664" spans="1:14" x14ac:dyDescent="0.3">
      <c r="A664" s="1">
        <v>46063.58797453704</v>
      </c>
      <c r="B664">
        <v>385347659</v>
      </c>
      <c r="C664" t="s">
        <v>86</v>
      </c>
      <c r="D664" t="s">
        <v>15</v>
      </c>
      <c r="E664" s="2">
        <v>1000</v>
      </c>
      <c r="F664">
        <v>900</v>
      </c>
      <c r="G664">
        <v>630</v>
      </c>
      <c r="I664" t="s">
        <v>87</v>
      </c>
      <c r="J664" t="s">
        <v>23</v>
      </c>
      <c r="K664" t="s">
        <v>18</v>
      </c>
      <c r="L664" t="str">
        <f>T("9791175308510")</f>
        <v>9791175308510</v>
      </c>
      <c r="M664" t="str">
        <f t="shared" si="16"/>
        <v/>
      </c>
      <c r="N664">
        <v>957881</v>
      </c>
    </row>
    <row r="665" spans="1:14" x14ac:dyDescent="0.3">
      <c r="A665" s="1">
        <v>46063.589548611111</v>
      </c>
      <c r="B665">
        <v>382390919</v>
      </c>
      <c r="C665" t="s">
        <v>345</v>
      </c>
      <c r="D665" t="s">
        <v>15</v>
      </c>
      <c r="E665" s="2">
        <v>3200</v>
      </c>
      <c r="F665" s="2">
        <v>3200</v>
      </c>
      <c r="G665" s="2">
        <v>2240</v>
      </c>
      <c r="I665" t="s">
        <v>346</v>
      </c>
      <c r="J665" t="s">
        <v>23</v>
      </c>
      <c r="K665" t="s">
        <v>18</v>
      </c>
      <c r="L665" t="str">
        <f>T("9791175307179")</f>
        <v>9791175307179</v>
      </c>
      <c r="M665" t="str">
        <f t="shared" si="16"/>
        <v/>
      </c>
      <c r="N665">
        <v>956848</v>
      </c>
    </row>
    <row r="666" spans="1:14" x14ac:dyDescent="0.3">
      <c r="A666" s="1">
        <v>46063.589548611111</v>
      </c>
      <c r="B666">
        <v>382391005</v>
      </c>
      <c r="C666" t="s">
        <v>347</v>
      </c>
      <c r="D666" t="s">
        <v>15</v>
      </c>
      <c r="E666" s="2">
        <v>3200</v>
      </c>
      <c r="F666" s="2">
        <v>3200</v>
      </c>
      <c r="G666" s="2">
        <v>2240</v>
      </c>
      <c r="I666" t="s">
        <v>346</v>
      </c>
      <c r="J666" t="s">
        <v>23</v>
      </c>
      <c r="K666" t="s">
        <v>18</v>
      </c>
      <c r="L666" t="str">
        <f>T("9791175307186")</f>
        <v>9791175307186</v>
      </c>
      <c r="M666" t="str">
        <f t="shared" si="16"/>
        <v/>
      </c>
      <c r="N666">
        <v>956847</v>
      </c>
    </row>
    <row r="667" spans="1:14" x14ac:dyDescent="0.3">
      <c r="A667" s="1">
        <v>46063.589548611111</v>
      </c>
      <c r="B667">
        <v>385636071</v>
      </c>
      <c r="C667" t="s">
        <v>289</v>
      </c>
      <c r="D667" t="s">
        <v>15</v>
      </c>
      <c r="E667" s="2">
        <v>3500</v>
      </c>
      <c r="F667" s="2">
        <v>3150</v>
      </c>
      <c r="G667" s="2">
        <v>2205</v>
      </c>
      <c r="I667" t="s">
        <v>246</v>
      </c>
      <c r="J667" t="s">
        <v>23</v>
      </c>
      <c r="K667" t="s">
        <v>18</v>
      </c>
      <c r="L667" t="str">
        <f>T("9791175309524")</f>
        <v>9791175309524</v>
      </c>
      <c r="M667" t="str">
        <f t="shared" si="16"/>
        <v/>
      </c>
      <c r="N667">
        <v>958042</v>
      </c>
    </row>
    <row r="668" spans="1:14" x14ac:dyDescent="0.3">
      <c r="A668" s="1">
        <v>46063.591666666667</v>
      </c>
      <c r="B668">
        <v>385348414</v>
      </c>
      <c r="C668" t="s">
        <v>114</v>
      </c>
      <c r="D668" t="s">
        <v>89</v>
      </c>
      <c r="E668" s="2">
        <v>11700</v>
      </c>
      <c r="F668" s="2">
        <v>11700</v>
      </c>
      <c r="G668" s="2">
        <v>8190</v>
      </c>
      <c r="I668" t="s">
        <v>87</v>
      </c>
      <c r="J668" t="s">
        <v>23</v>
      </c>
      <c r="K668" t="s">
        <v>18</v>
      </c>
      <c r="L668" t="str">
        <f>T("9791175308503")</f>
        <v>9791175308503</v>
      </c>
      <c r="M668" t="str">
        <f t="shared" si="16"/>
        <v/>
      </c>
    </row>
    <row r="669" spans="1:14" x14ac:dyDescent="0.3">
      <c r="A669" s="1">
        <v>46063.595729166664</v>
      </c>
      <c r="B669">
        <v>385348420</v>
      </c>
      <c r="C669" t="s">
        <v>348</v>
      </c>
      <c r="D669" t="s">
        <v>89</v>
      </c>
      <c r="E669" s="2">
        <v>5670</v>
      </c>
      <c r="F669" s="2">
        <v>5670</v>
      </c>
      <c r="G669" s="2">
        <v>3969</v>
      </c>
      <c r="I669" t="s">
        <v>85</v>
      </c>
      <c r="J669" t="s">
        <v>59</v>
      </c>
      <c r="K669" t="s">
        <v>18</v>
      </c>
      <c r="L669" t="str">
        <f>T("9791136943880")</f>
        <v>9791136943880</v>
      </c>
      <c r="M669" t="str">
        <f t="shared" si="16"/>
        <v/>
      </c>
    </row>
    <row r="670" spans="1:14" x14ac:dyDescent="0.3">
      <c r="A670" s="1">
        <v>46063.659444444442</v>
      </c>
      <c r="B670">
        <v>385636847</v>
      </c>
      <c r="C670" t="s">
        <v>245</v>
      </c>
      <c r="D670" t="s">
        <v>89</v>
      </c>
      <c r="E670" s="2">
        <v>9450</v>
      </c>
      <c r="F670" s="2">
        <v>9450</v>
      </c>
      <c r="G670" s="2">
        <v>6615</v>
      </c>
      <c r="I670" t="s">
        <v>246</v>
      </c>
      <c r="J670" t="s">
        <v>23</v>
      </c>
      <c r="K670" t="s">
        <v>18</v>
      </c>
      <c r="L670" t="str">
        <f>T("9791175309517")</f>
        <v>9791175309517</v>
      </c>
      <c r="M670" t="str">
        <f t="shared" si="16"/>
        <v/>
      </c>
    </row>
    <row r="671" spans="1:14" x14ac:dyDescent="0.3">
      <c r="A671" s="1">
        <v>46063.66578703704</v>
      </c>
      <c r="B671">
        <v>180917346</v>
      </c>
      <c r="C671" t="s">
        <v>349</v>
      </c>
      <c r="D671" t="s">
        <v>15</v>
      </c>
      <c r="E671" s="2">
        <v>1500</v>
      </c>
      <c r="F671" s="2">
        <v>1500</v>
      </c>
      <c r="G671" s="2">
        <v>1050</v>
      </c>
      <c r="I671" t="s">
        <v>350</v>
      </c>
      <c r="J671" t="s">
        <v>17</v>
      </c>
      <c r="K671" t="s">
        <v>18</v>
      </c>
      <c r="L671" t="str">
        <f>T("9791133186990")</f>
        <v>9791133186990</v>
      </c>
      <c r="M671" t="str">
        <f t="shared" si="16"/>
        <v/>
      </c>
      <c r="N671">
        <v>722497</v>
      </c>
    </row>
    <row r="672" spans="1:14" x14ac:dyDescent="0.3">
      <c r="A672" s="1">
        <v>46063.673807870371</v>
      </c>
      <c r="B672">
        <v>385831063</v>
      </c>
      <c r="C672" t="s">
        <v>343</v>
      </c>
      <c r="D672" t="s">
        <v>89</v>
      </c>
      <c r="E672" s="2">
        <v>10800</v>
      </c>
      <c r="F672" s="2">
        <v>10800</v>
      </c>
      <c r="G672" s="2">
        <v>7560</v>
      </c>
      <c r="I672" t="s">
        <v>344</v>
      </c>
      <c r="J672" t="s">
        <v>23</v>
      </c>
      <c r="K672" t="s">
        <v>18</v>
      </c>
      <c r="L672" t="str">
        <f>T("9791175309456")</f>
        <v>9791175309456</v>
      </c>
      <c r="M672" t="str">
        <f t="shared" si="16"/>
        <v/>
      </c>
    </row>
    <row r="673" spans="1:14" x14ac:dyDescent="0.3">
      <c r="A673" s="1">
        <v>46063.69226851852</v>
      </c>
      <c r="B673">
        <v>85536594</v>
      </c>
      <c r="C673" t="s">
        <v>351</v>
      </c>
      <c r="D673" t="s">
        <v>15</v>
      </c>
      <c r="E673" s="2">
        <v>4000</v>
      </c>
      <c r="F673" s="2">
        <v>4000</v>
      </c>
      <c r="G673" s="2">
        <v>2800</v>
      </c>
      <c r="I673" t="s">
        <v>352</v>
      </c>
      <c r="J673" t="s">
        <v>20</v>
      </c>
      <c r="K673" t="s">
        <v>18</v>
      </c>
      <c r="L673" t="str">
        <f>T("9791133138913")</f>
        <v>9791133138913</v>
      </c>
      <c r="M673" t="str">
        <f t="shared" si="16"/>
        <v/>
      </c>
      <c r="N673">
        <v>521108</v>
      </c>
    </row>
    <row r="674" spans="1:14" x14ac:dyDescent="0.3">
      <c r="A674" s="1">
        <v>46063.69226851852</v>
      </c>
      <c r="B674">
        <v>85536595</v>
      </c>
      <c r="C674" t="s">
        <v>353</v>
      </c>
      <c r="D674" t="s">
        <v>15</v>
      </c>
      <c r="E674" s="2">
        <v>4000</v>
      </c>
      <c r="F674" s="2">
        <v>4000</v>
      </c>
      <c r="G674" s="2">
        <v>2800</v>
      </c>
      <c r="I674" t="s">
        <v>352</v>
      </c>
      <c r="J674" t="s">
        <v>20</v>
      </c>
      <c r="K674" t="s">
        <v>18</v>
      </c>
      <c r="L674" t="str">
        <f>T("9791133138920")</f>
        <v>9791133138920</v>
      </c>
      <c r="M674" t="str">
        <f t="shared" si="16"/>
        <v/>
      </c>
      <c r="N674">
        <v>521109</v>
      </c>
    </row>
    <row r="675" spans="1:14" x14ac:dyDescent="0.3">
      <c r="A675" s="1">
        <v>46063.69226851852</v>
      </c>
      <c r="B675">
        <v>333396763</v>
      </c>
      <c r="C675" t="s">
        <v>354</v>
      </c>
      <c r="D675" t="s">
        <v>15</v>
      </c>
      <c r="E675">
        <v>0</v>
      </c>
      <c r="F675">
        <v>0</v>
      </c>
      <c r="G675">
        <v>0</v>
      </c>
      <c r="I675" t="s">
        <v>352</v>
      </c>
      <c r="J675" t="s">
        <v>20</v>
      </c>
      <c r="K675" t="s">
        <v>18</v>
      </c>
      <c r="L675" t="str">
        <f>T("9791133153251")</f>
        <v>9791133153251</v>
      </c>
      <c r="M675" t="str">
        <f t="shared" si="16"/>
        <v/>
      </c>
      <c r="N675">
        <v>521094</v>
      </c>
    </row>
    <row r="676" spans="1:14" x14ac:dyDescent="0.3">
      <c r="A676" s="1">
        <v>46063.771412037036</v>
      </c>
      <c r="B676">
        <v>385347659</v>
      </c>
      <c r="C676" t="s">
        <v>86</v>
      </c>
      <c r="D676" t="s">
        <v>15</v>
      </c>
      <c r="E676" s="2">
        <v>1000</v>
      </c>
      <c r="F676">
        <v>900</v>
      </c>
      <c r="G676">
        <v>630</v>
      </c>
      <c r="I676" t="s">
        <v>87</v>
      </c>
      <c r="J676" t="s">
        <v>23</v>
      </c>
      <c r="K676" t="s">
        <v>18</v>
      </c>
      <c r="L676" t="str">
        <f>T("9791175308510")</f>
        <v>9791175308510</v>
      </c>
      <c r="M676" t="str">
        <f t="shared" si="16"/>
        <v/>
      </c>
      <c r="N676">
        <v>957881</v>
      </c>
    </row>
    <row r="677" spans="1:14" x14ac:dyDescent="0.3">
      <c r="A677" s="1">
        <v>46063.837418981479</v>
      </c>
      <c r="B677">
        <v>385636847</v>
      </c>
      <c r="C677" t="s">
        <v>245</v>
      </c>
      <c r="D677" t="s">
        <v>89</v>
      </c>
      <c r="E677" s="2">
        <v>9450</v>
      </c>
      <c r="F677" s="2">
        <v>9450</v>
      </c>
      <c r="G677" s="2">
        <v>6615</v>
      </c>
      <c r="I677" t="s">
        <v>246</v>
      </c>
      <c r="J677" t="s">
        <v>23</v>
      </c>
      <c r="K677" t="s">
        <v>18</v>
      </c>
      <c r="L677" t="str">
        <f>T("9791175309517")</f>
        <v>9791175309517</v>
      </c>
      <c r="M677" t="str">
        <f t="shared" si="16"/>
        <v/>
      </c>
    </row>
    <row r="678" spans="1:14" x14ac:dyDescent="0.3">
      <c r="A678" s="1">
        <v>46063.854421296295</v>
      </c>
      <c r="B678">
        <v>385831063</v>
      </c>
      <c r="C678" t="s">
        <v>343</v>
      </c>
      <c r="D678" t="s">
        <v>89</v>
      </c>
      <c r="E678" s="2">
        <v>10800</v>
      </c>
      <c r="F678" s="2">
        <v>10800</v>
      </c>
      <c r="G678" s="2">
        <v>7560</v>
      </c>
      <c r="I678" t="s">
        <v>344</v>
      </c>
      <c r="J678" t="s">
        <v>23</v>
      </c>
      <c r="K678" t="s">
        <v>18</v>
      </c>
      <c r="L678" t="str">
        <f>T("9791175309456")</f>
        <v>9791175309456</v>
      </c>
      <c r="M678" t="str">
        <f t="shared" si="16"/>
        <v/>
      </c>
    </row>
    <row r="679" spans="1:14" x14ac:dyDescent="0.3">
      <c r="A679" s="1">
        <v>46063.878009259257</v>
      </c>
      <c r="B679">
        <v>385636847</v>
      </c>
      <c r="C679" t="s">
        <v>245</v>
      </c>
      <c r="D679" t="s">
        <v>89</v>
      </c>
      <c r="E679" s="2">
        <v>9450</v>
      </c>
      <c r="F679" s="2">
        <v>9450</v>
      </c>
      <c r="G679" s="2">
        <v>6615</v>
      </c>
      <c r="I679" t="s">
        <v>246</v>
      </c>
      <c r="J679" t="s">
        <v>23</v>
      </c>
      <c r="K679" t="s">
        <v>18</v>
      </c>
      <c r="L679" t="str">
        <f>T("9791175309517")</f>
        <v>9791175309517</v>
      </c>
      <c r="M679" t="str">
        <f t="shared" si="16"/>
        <v/>
      </c>
    </row>
    <row r="680" spans="1:14" x14ac:dyDescent="0.3">
      <c r="A680" s="1">
        <v>46063.892141203702</v>
      </c>
      <c r="B680">
        <v>385347754</v>
      </c>
      <c r="C680" t="s">
        <v>97</v>
      </c>
      <c r="D680" t="s">
        <v>15</v>
      </c>
      <c r="E680" s="2">
        <v>3200</v>
      </c>
      <c r="F680" s="2">
        <v>2880</v>
      </c>
      <c r="G680" s="2">
        <v>2016</v>
      </c>
      <c r="I680" t="s">
        <v>90</v>
      </c>
      <c r="J680" t="s">
        <v>23</v>
      </c>
      <c r="K680" t="s">
        <v>18</v>
      </c>
      <c r="L680" t="str">
        <f>T("9791175308282")</f>
        <v>9791175308282</v>
      </c>
      <c r="M680" t="str">
        <f t="shared" si="16"/>
        <v/>
      </c>
      <c r="N680">
        <v>957886</v>
      </c>
    </row>
    <row r="681" spans="1:14" x14ac:dyDescent="0.3">
      <c r="A681" s="1">
        <v>46063.896747685183</v>
      </c>
      <c r="B681">
        <v>356258678</v>
      </c>
      <c r="C681" t="s">
        <v>355</v>
      </c>
      <c r="D681" t="s">
        <v>15</v>
      </c>
      <c r="E681" s="2">
        <v>3000</v>
      </c>
      <c r="F681" s="2">
        <v>3000</v>
      </c>
      <c r="G681" s="2">
        <v>2100</v>
      </c>
      <c r="I681" t="s">
        <v>356</v>
      </c>
      <c r="J681" t="s">
        <v>20</v>
      </c>
      <c r="K681" t="s">
        <v>18</v>
      </c>
      <c r="L681" t="str">
        <f>T("9791172924362")</f>
        <v>9791172924362</v>
      </c>
      <c r="M681" t="str">
        <f t="shared" si="16"/>
        <v/>
      </c>
      <c r="N681">
        <v>935197</v>
      </c>
    </row>
    <row r="682" spans="1:14" x14ac:dyDescent="0.3">
      <c r="A682" s="1">
        <v>46063.896747685183</v>
      </c>
      <c r="B682">
        <v>356258719</v>
      </c>
      <c r="C682" t="s">
        <v>357</v>
      </c>
      <c r="D682" t="s">
        <v>15</v>
      </c>
      <c r="E682" s="2">
        <v>3000</v>
      </c>
      <c r="F682" s="2">
        <v>3000</v>
      </c>
      <c r="G682" s="2">
        <v>2100</v>
      </c>
      <c r="I682" t="s">
        <v>356</v>
      </c>
      <c r="J682" t="s">
        <v>20</v>
      </c>
      <c r="K682" t="s">
        <v>18</v>
      </c>
      <c r="L682" t="str">
        <f>T("9791172924348")</f>
        <v>9791172924348</v>
      </c>
      <c r="M682" t="str">
        <f t="shared" si="16"/>
        <v/>
      </c>
      <c r="N682">
        <v>935198</v>
      </c>
    </row>
    <row r="683" spans="1:14" x14ac:dyDescent="0.3">
      <c r="A683" s="1">
        <v>46063.918692129628</v>
      </c>
      <c r="B683">
        <v>341136053</v>
      </c>
      <c r="C683" t="s">
        <v>358</v>
      </c>
      <c r="D683" t="s">
        <v>15</v>
      </c>
      <c r="E683" s="2">
        <v>3500</v>
      </c>
      <c r="F683" s="2">
        <v>3500</v>
      </c>
      <c r="G683" s="2">
        <v>2450</v>
      </c>
      <c r="I683" t="s">
        <v>236</v>
      </c>
      <c r="J683" t="s">
        <v>70</v>
      </c>
      <c r="K683" t="s">
        <v>18</v>
      </c>
      <c r="L683" t="str">
        <f>T("9791136976734")</f>
        <v>9791136976734</v>
      </c>
      <c r="M683" t="str">
        <f t="shared" si="16"/>
        <v/>
      </c>
      <c r="N683">
        <v>924397</v>
      </c>
    </row>
    <row r="684" spans="1:14" x14ac:dyDescent="0.3">
      <c r="A684" s="1">
        <v>46063.944872685184</v>
      </c>
      <c r="B684">
        <v>371917418</v>
      </c>
      <c r="C684" t="s">
        <v>359</v>
      </c>
      <c r="D684" t="s">
        <v>15</v>
      </c>
      <c r="E684" s="2">
        <v>3300</v>
      </c>
      <c r="F684" s="2">
        <v>3300</v>
      </c>
      <c r="G684" s="2">
        <v>2310</v>
      </c>
      <c r="I684" t="s">
        <v>251</v>
      </c>
      <c r="J684" t="s">
        <v>23</v>
      </c>
      <c r="K684" t="s">
        <v>18</v>
      </c>
      <c r="L684" t="str">
        <f>T("9791175304383")</f>
        <v>9791175304383</v>
      </c>
      <c r="M684" t="str">
        <f t="shared" si="16"/>
        <v/>
      </c>
      <c r="N684">
        <v>954296</v>
      </c>
    </row>
    <row r="685" spans="1:14" x14ac:dyDescent="0.3">
      <c r="A685" s="1">
        <v>46063.946099537039</v>
      </c>
      <c r="B685">
        <v>385831063</v>
      </c>
      <c r="C685" t="s">
        <v>343</v>
      </c>
      <c r="D685" t="s">
        <v>89</v>
      </c>
      <c r="E685" s="2">
        <v>10800</v>
      </c>
      <c r="F685" s="2">
        <v>10800</v>
      </c>
      <c r="G685" s="2">
        <v>7560</v>
      </c>
      <c r="I685" t="s">
        <v>344</v>
      </c>
      <c r="J685" t="s">
        <v>23</v>
      </c>
      <c r="K685" t="s">
        <v>18</v>
      </c>
      <c r="L685" t="str">
        <f>T("9791175309456")</f>
        <v>9791175309456</v>
      </c>
      <c r="M685" t="str">
        <f t="shared" si="16"/>
        <v/>
      </c>
    </row>
    <row r="686" spans="1:14" x14ac:dyDescent="0.3">
      <c r="A686" s="1">
        <v>46063.950752314813</v>
      </c>
      <c r="B686">
        <v>287086243</v>
      </c>
      <c r="C686" t="s">
        <v>293</v>
      </c>
      <c r="D686" t="s">
        <v>15</v>
      </c>
      <c r="E686" s="2">
        <v>3000</v>
      </c>
      <c r="F686" s="2">
        <v>3000</v>
      </c>
      <c r="G686" s="2">
        <v>2100</v>
      </c>
      <c r="I686" t="s">
        <v>294</v>
      </c>
      <c r="J686" t="s">
        <v>23</v>
      </c>
      <c r="K686" t="s">
        <v>18</v>
      </c>
      <c r="L686" t="str">
        <f>T("9791136920201")</f>
        <v>9791136920201</v>
      </c>
      <c r="M686" t="str">
        <f t="shared" si="16"/>
        <v/>
      </c>
      <c r="N686">
        <v>871320</v>
      </c>
    </row>
    <row r="687" spans="1:14" x14ac:dyDescent="0.3">
      <c r="A687" s="1">
        <v>46063.955081018517</v>
      </c>
      <c r="B687">
        <v>385636847</v>
      </c>
      <c r="C687" t="s">
        <v>245</v>
      </c>
      <c r="D687" t="s">
        <v>89</v>
      </c>
      <c r="E687" s="2">
        <v>9450</v>
      </c>
      <c r="F687" s="2">
        <v>9450</v>
      </c>
      <c r="G687" s="2">
        <v>6615</v>
      </c>
      <c r="I687" t="s">
        <v>246</v>
      </c>
      <c r="J687" t="s">
        <v>23</v>
      </c>
      <c r="K687" t="s">
        <v>18</v>
      </c>
      <c r="L687" t="str">
        <f>T("9791175309517")</f>
        <v>9791175309517</v>
      </c>
      <c r="M687" t="str">
        <f t="shared" si="16"/>
        <v/>
      </c>
    </row>
    <row r="688" spans="1:14" x14ac:dyDescent="0.3">
      <c r="A688" s="1">
        <v>46063.966064814813</v>
      </c>
      <c r="B688">
        <v>335163687</v>
      </c>
      <c r="C688" t="s">
        <v>360</v>
      </c>
      <c r="D688" t="s">
        <v>15</v>
      </c>
      <c r="E688" s="2">
        <v>3200</v>
      </c>
      <c r="F688" s="2">
        <v>3200</v>
      </c>
      <c r="G688" s="2">
        <v>2240</v>
      </c>
      <c r="I688" t="s">
        <v>153</v>
      </c>
      <c r="J688" t="s">
        <v>23</v>
      </c>
      <c r="K688" t="s">
        <v>18</v>
      </c>
      <c r="L688" t="str">
        <f>T("9791136953520")</f>
        <v>9791136953520</v>
      </c>
      <c r="M688" t="str">
        <f t="shared" si="16"/>
        <v/>
      </c>
      <c r="N688">
        <v>920747</v>
      </c>
    </row>
    <row r="689" spans="1:14" x14ac:dyDescent="0.3">
      <c r="A689" s="1">
        <v>46063.971701388888</v>
      </c>
      <c r="B689">
        <v>385347659</v>
      </c>
      <c r="C689" t="s">
        <v>86</v>
      </c>
      <c r="D689" t="s">
        <v>15</v>
      </c>
      <c r="E689" s="2">
        <v>1000</v>
      </c>
      <c r="F689">
        <v>900</v>
      </c>
      <c r="G689">
        <v>630</v>
      </c>
      <c r="I689" t="s">
        <v>87</v>
      </c>
      <c r="J689" t="s">
        <v>23</v>
      </c>
      <c r="K689" t="s">
        <v>18</v>
      </c>
      <c r="L689" t="str">
        <f>T("9791175308510")</f>
        <v>9791175308510</v>
      </c>
      <c r="M689" t="str">
        <f t="shared" si="16"/>
        <v/>
      </c>
      <c r="N689">
        <v>957881</v>
      </c>
    </row>
    <row r="690" spans="1:14" x14ac:dyDescent="0.3">
      <c r="A690" s="1">
        <v>46063.983032407406</v>
      </c>
      <c r="B690">
        <v>287086225</v>
      </c>
      <c r="C690" t="s">
        <v>307</v>
      </c>
      <c r="D690" t="s">
        <v>15</v>
      </c>
      <c r="E690" s="2">
        <v>3000</v>
      </c>
      <c r="F690" s="2">
        <v>3000</v>
      </c>
      <c r="G690" s="2">
        <v>2100</v>
      </c>
      <c r="I690" t="s">
        <v>294</v>
      </c>
      <c r="J690" t="s">
        <v>23</v>
      </c>
      <c r="K690" t="s">
        <v>18</v>
      </c>
      <c r="L690" t="str">
        <f>T("9791136920218")</f>
        <v>9791136920218</v>
      </c>
      <c r="M690" t="str">
        <f t="shared" ref="M690:M726" si="17">T("")</f>
        <v/>
      </c>
      <c r="N690">
        <v>871319</v>
      </c>
    </row>
    <row r="691" spans="1:14" x14ac:dyDescent="0.3">
      <c r="A691" s="1">
        <v>46063.984201388892</v>
      </c>
      <c r="B691">
        <v>330053059</v>
      </c>
      <c r="C691" t="s">
        <v>361</v>
      </c>
      <c r="D691" t="s">
        <v>15</v>
      </c>
      <c r="E691" s="2">
        <v>6500</v>
      </c>
      <c r="F691" s="2">
        <v>6500</v>
      </c>
      <c r="G691" s="2">
        <v>4550</v>
      </c>
      <c r="I691" t="s">
        <v>106</v>
      </c>
      <c r="J691" t="s">
        <v>49</v>
      </c>
      <c r="K691" t="s">
        <v>18</v>
      </c>
      <c r="L691" t="str">
        <f>T("9791136945082")</f>
        <v>9791136945082</v>
      </c>
      <c r="M691" t="str">
        <f t="shared" si="17"/>
        <v/>
      </c>
      <c r="N691">
        <v>919044</v>
      </c>
    </row>
    <row r="692" spans="1:14" x14ac:dyDescent="0.3">
      <c r="A692" s="1">
        <v>46063.99486111111</v>
      </c>
      <c r="B692">
        <v>385636847</v>
      </c>
      <c r="C692" t="s">
        <v>245</v>
      </c>
      <c r="D692" t="s">
        <v>89</v>
      </c>
      <c r="E692" s="2">
        <v>9450</v>
      </c>
      <c r="F692" s="2">
        <v>9450</v>
      </c>
      <c r="G692" s="2">
        <v>6615</v>
      </c>
      <c r="I692" t="s">
        <v>246</v>
      </c>
      <c r="J692" t="s">
        <v>23</v>
      </c>
      <c r="K692" t="s">
        <v>18</v>
      </c>
      <c r="L692" t="str">
        <f>T("9791175309517")</f>
        <v>9791175309517</v>
      </c>
      <c r="M692" t="str">
        <f t="shared" si="17"/>
        <v/>
      </c>
    </row>
    <row r="693" spans="1:14" x14ac:dyDescent="0.3">
      <c r="A693" s="1">
        <v>46064.007638888892</v>
      </c>
      <c r="B693">
        <v>385348415</v>
      </c>
      <c r="C693" t="s">
        <v>88</v>
      </c>
      <c r="D693" t="s">
        <v>89</v>
      </c>
      <c r="E693" s="2">
        <v>8640</v>
      </c>
      <c r="F693" s="2">
        <v>8640</v>
      </c>
      <c r="G693" s="2">
        <v>6048</v>
      </c>
      <c r="I693" t="s">
        <v>90</v>
      </c>
      <c r="J693" t="s">
        <v>23</v>
      </c>
      <c r="K693" t="s">
        <v>18</v>
      </c>
      <c r="L693" t="str">
        <f>T("9791175308350")</f>
        <v>9791175308350</v>
      </c>
      <c r="M693" t="str">
        <f t="shared" si="17"/>
        <v/>
      </c>
    </row>
    <row r="694" spans="1:14" x14ac:dyDescent="0.3">
      <c r="A694" s="1">
        <v>46064.008969907409</v>
      </c>
      <c r="B694">
        <v>385831063</v>
      </c>
      <c r="C694" t="s">
        <v>343</v>
      </c>
      <c r="D694" t="s">
        <v>89</v>
      </c>
      <c r="E694" s="2">
        <v>10800</v>
      </c>
      <c r="F694" s="2">
        <v>10800</v>
      </c>
      <c r="G694" s="2">
        <v>7560</v>
      </c>
      <c r="I694" t="s">
        <v>344</v>
      </c>
      <c r="J694" t="s">
        <v>23</v>
      </c>
      <c r="K694" t="s">
        <v>18</v>
      </c>
      <c r="L694" t="str">
        <f>T("9791175309456")</f>
        <v>9791175309456</v>
      </c>
      <c r="M694" t="str">
        <f t="shared" si="17"/>
        <v/>
      </c>
    </row>
    <row r="695" spans="1:14" x14ac:dyDescent="0.3">
      <c r="A695" s="1">
        <v>46064.009976851848</v>
      </c>
      <c r="B695">
        <v>366387869</v>
      </c>
      <c r="C695" t="s">
        <v>31</v>
      </c>
      <c r="D695" t="s">
        <v>15</v>
      </c>
      <c r="E695" s="2">
        <v>18300</v>
      </c>
      <c r="F695" s="2">
        <v>18300</v>
      </c>
      <c r="G695" s="2">
        <v>12810</v>
      </c>
      <c r="I695" t="s">
        <v>32</v>
      </c>
      <c r="J695" t="s">
        <v>23</v>
      </c>
      <c r="K695" t="s">
        <v>18</v>
      </c>
      <c r="L695" t="str">
        <f>T("9791173786648")</f>
        <v>9791173786648</v>
      </c>
      <c r="M695" t="str">
        <f t="shared" si="17"/>
        <v/>
      </c>
    </row>
    <row r="696" spans="1:14" x14ac:dyDescent="0.3">
      <c r="A696" s="1">
        <v>46064.015347222223</v>
      </c>
      <c r="B696">
        <v>366386880</v>
      </c>
      <c r="C696" t="s">
        <v>190</v>
      </c>
      <c r="D696" t="s">
        <v>15</v>
      </c>
      <c r="E696" s="2">
        <v>1800</v>
      </c>
      <c r="F696" s="2">
        <v>1800</v>
      </c>
      <c r="G696" s="2">
        <v>1260</v>
      </c>
      <c r="I696" t="s">
        <v>32</v>
      </c>
      <c r="J696" t="s">
        <v>23</v>
      </c>
      <c r="K696" t="s">
        <v>18</v>
      </c>
      <c r="L696" t="str">
        <f>T("9791173786648")</f>
        <v>9791173786648</v>
      </c>
      <c r="M696" t="str">
        <f t="shared" si="17"/>
        <v/>
      </c>
      <c r="N696">
        <v>950837</v>
      </c>
    </row>
    <row r="697" spans="1:14" x14ac:dyDescent="0.3">
      <c r="A697" s="1">
        <v>46064.101157407407</v>
      </c>
      <c r="B697">
        <v>385636847</v>
      </c>
      <c r="C697" t="s">
        <v>245</v>
      </c>
      <c r="D697" t="s">
        <v>15</v>
      </c>
      <c r="E697" s="2">
        <v>10500</v>
      </c>
      <c r="F697" s="2">
        <v>9450</v>
      </c>
      <c r="G697" s="2">
        <v>6615</v>
      </c>
      <c r="I697" t="s">
        <v>246</v>
      </c>
      <c r="J697" t="s">
        <v>23</v>
      </c>
      <c r="K697" t="s">
        <v>18</v>
      </c>
      <c r="L697" t="str">
        <f>T("9791175309517")</f>
        <v>9791175309517</v>
      </c>
      <c r="M697" t="str">
        <f t="shared" si="17"/>
        <v/>
      </c>
    </row>
    <row r="698" spans="1:14" x14ac:dyDescent="0.3">
      <c r="A698" s="1">
        <v>46064.143067129633</v>
      </c>
      <c r="B698">
        <v>385348415</v>
      </c>
      <c r="C698" t="s">
        <v>88</v>
      </c>
      <c r="D698" t="s">
        <v>89</v>
      </c>
      <c r="E698" s="2">
        <v>8640</v>
      </c>
      <c r="F698" s="2">
        <v>8640</v>
      </c>
      <c r="G698" s="2">
        <v>6048</v>
      </c>
      <c r="I698" t="s">
        <v>90</v>
      </c>
      <c r="J698" t="s">
        <v>23</v>
      </c>
      <c r="K698" t="s">
        <v>18</v>
      </c>
      <c r="L698" t="str">
        <f>T("9791175308350")</f>
        <v>9791175308350</v>
      </c>
      <c r="M698" t="str">
        <f t="shared" si="17"/>
        <v/>
      </c>
    </row>
    <row r="699" spans="1:14" x14ac:dyDescent="0.3">
      <c r="A699" s="1">
        <v>46064.147199074076</v>
      </c>
      <c r="B699">
        <v>385347811</v>
      </c>
      <c r="C699" t="s">
        <v>142</v>
      </c>
      <c r="D699" t="s">
        <v>89</v>
      </c>
      <c r="E699">
        <v>810</v>
      </c>
      <c r="F699">
        <v>810</v>
      </c>
      <c r="G699">
        <v>567</v>
      </c>
      <c r="I699" t="s">
        <v>85</v>
      </c>
      <c r="J699" t="s">
        <v>59</v>
      </c>
      <c r="K699" t="s">
        <v>18</v>
      </c>
      <c r="L699" t="str">
        <f>T("9791136943903")</f>
        <v>9791136943903</v>
      </c>
      <c r="M699" t="str">
        <f t="shared" si="17"/>
        <v/>
      </c>
      <c r="N699">
        <v>917705</v>
      </c>
    </row>
    <row r="700" spans="1:14" x14ac:dyDescent="0.3">
      <c r="A700" s="1">
        <v>46064.150613425925</v>
      </c>
      <c r="B700">
        <v>381924691</v>
      </c>
      <c r="C700" t="s">
        <v>302</v>
      </c>
      <c r="D700" t="s">
        <v>15</v>
      </c>
      <c r="E700" s="2">
        <v>10200</v>
      </c>
      <c r="F700" s="2">
        <v>10200</v>
      </c>
      <c r="G700" s="2">
        <v>7140</v>
      </c>
      <c r="I700" t="s">
        <v>189</v>
      </c>
      <c r="J700" t="s">
        <v>70</v>
      </c>
      <c r="K700" t="s">
        <v>18</v>
      </c>
      <c r="L700" t="str">
        <f>T("9791175307605")</f>
        <v>9791175307605</v>
      </c>
      <c r="M700" t="str">
        <f t="shared" si="17"/>
        <v/>
      </c>
    </row>
    <row r="701" spans="1:14" x14ac:dyDescent="0.3">
      <c r="A701" s="1">
        <v>46064.330625000002</v>
      </c>
      <c r="B701">
        <v>287086215</v>
      </c>
      <c r="C701" t="s">
        <v>362</v>
      </c>
      <c r="D701" t="s">
        <v>15</v>
      </c>
      <c r="E701" s="2">
        <v>3000</v>
      </c>
      <c r="F701" s="2">
        <v>3000</v>
      </c>
      <c r="G701" s="2">
        <v>2100</v>
      </c>
      <c r="I701" t="s">
        <v>294</v>
      </c>
      <c r="J701" t="s">
        <v>23</v>
      </c>
      <c r="K701" t="s">
        <v>18</v>
      </c>
      <c r="L701" t="str">
        <f>T("9791136920195")</f>
        <v>9791136920195</v>
      </c>
      <c r="M701" t="str">
        <f t="shared" si="17"/>
        <v/>
      </c>
      <c r="N701">
        <v>871321</v>
      </c>
    </row>
    <row r="702" spans="1:14" x14ac:dyDescent="0.3">
      <c r="A702" s="1">
        <v>46064.359837962962</v>
      </c>
      <c r="B702">
        <v>385636847</v>
      </c>
      <c r="C702" t="s">
        <v>245</v>
      </c>
      <c r="D702" t="s">
        <v>89</v>
      </c>
      <c r="E702" s="2">
        <v>9450</v>
      </c>
      <c r="F702" s="2">
        <v>9450</v>
      </c>
      <c r="G702" s="2">
        <v>6615</v>
      </c>
      <c r="I702" t="s">
        <v>246</v>
      </c>
      <c r="J702" t="s">
        <v>23</v>
      </c>
      <c r="K702" t="s">
        <v>18</v>
      </c>
      <c r="L702" t="str">
        <f>T("9791175309517")</f>
        <v>9791175309517</v>
      </c>
      <c r="M702" t="str">
        <f t="shared" si="17"/>
        <v/>
      </c>
    </row>
    <row r="703" spans="1:14" x14ac:dyDescent="0.3">
      <c r="A703" s="1">
        <v>46064.508263888885</v>
      </c>
      <c r="B703">
        <v>385831063</v>
      </c>
      <c r="C703" t="s">
        <v>343</v>
      </c>
      <c r="D703" t="s">
        <v>15</v>
      </c>
      <c r="E703" s="2">
        <v>12000</v>
      </c>
      <c r="F703" s="2">
        <v>10800</v>
      </c>
      <c r="G703" s="2">
        <v>7560</v>
      </c>
      <c r="I703" t="s">
        <v>344</v>
      </c>
      <c r="J703" t="s">
        <v>23</v>
      </c>
      <c r="K703" t="s">
        <v>18</v>
      </c>
      <c r="L703" t="str">
        <f>T("9791175309456")</f>
        <v>9791175309456</v>
      </c>
      <c r="M703" t="str">
        <f t="shared" si="17"/>
        <v/>
      </c>
    </row>
    <row r="704" spans="1:14" x14ac:dyDescent="0.3">
      <c r="A704" s="1">
        <v>46064.531828703701</v>
      </c>
      <c r="B704">
        <v>298426982</v>
      </c>
      <c r="C704" t="s">
        <v>363</v>
      </c>
      <c r="D704" t="s">
        <v>15</v>
      </c>
      <c r="E704" s="2">
        <v>13500</v>
      </c>
      <c r="F704" s="2">
        <v>13500</v>
      </c>
      <c r="G704" s="2">
        <v>9450</v>
      </c>
      <c r="I704" t="s">
        <v>116</v>
      </c>
      <c r="J704" t="s">
        <v>73</v>
      </c>
      <c r="K704" t="s">
        <v>18</v>
      </c>
      <c r="L704" t="str">
        <f>T("9791136919588")</f>
        <v>9791136919588</v>
      </c>
      <c r="M704" t="str">
        <f t="shared" si="17"/>
        <v/>
      </c>
    </row>
    <row r="705" spans="1:14" x14ac:dyDescent="0.3">
      <c r="A705" s="1">
        <v>46064.547349537039</v>
      </c>
      <c r="B705">
        <v>385804041</v>
      </c>
      <c r="C705" t="s">
        <v>327</v>
      </c>
      <c r="D705" t="s">
        <v>15</v>
      </c>
      <c r="E705">
        <v>0</v>
      </c>
      <c r="F705">
        <v>0</v>
      </c>
      <c r="G705">
        <v>0</v>
      </c>
      <c r="I705" t="s">
        <v>328</v>
      </c>
      <c r="J705" t="s">
        <v>59</v>
      </c>
      <c r="K705" t="s">
        <v>18</v>
      </c>
      <c r="L705" t="str">
        <f>T("9791175303478")</f>
        <v>9791175303478</v>
      </c>
      <c r="M705" t="str">
        <f t="shared" si="17"/>
        <v/>
      </c>
      <c r="N705">
        <v>956209</v>
      </c>
    </row>
    <row r="706" spans="1:14" x14ac:dyDescent="0.3">
      <c r="A706" s="1">
        <v>46064.587094907409</v>
      </c>
      <c r="B706">
        <v>385831063</v>
      </c>
      <c r="C706" t="s">
        <v>343</v>
      </c>
      <c r="D706" t="s">
        <v>89</v>
      </c>
      <c r="E706" s="2">
        <v>10800</v>
      </c>
      <c r="F706" s="2">
        <v>10800</v>
      </c>
      <c r="G706" s="2">
        <v>7560</v>
      </c>
      <c r="I706" t="s">
        <v>344</v>
      </c>
      <c r="J706" t="s">
        <v>23</v>
      </c>
      <c r="K706" t="s">
        <v>18</v>
      </c>
      <c r="L706" t="str">
        <f>T("9791175309456")</f>
        <v>9791175309456</v>
      </c>
      <c r="M706" t="str">
        <f t="shared" si="17"/>
        <v/>
      </c>
    </row>
    <row r="707" spans="1:14" x14ac:dyDescent="0.3">
      <c r="A707" s="1">
        <v>46064.62699074074</v>
      </c>
      <c r="B707">
        <v>384177441</v>
      </c>
      <c r="C707" t="s">
        <v>21</v>
      </c>
      <c r="D707" t="s">
        <v>15</v>
      </c>
      <c r="E707" s="2">
        <v>3500</v>
      </c>
      <c r="F707" s="2">
        <v>3500</v>
      </c>
      <c r="G707" s="2">
        <v>2450</v>
      </c>
      <c r="I707" t="s">
        <v>22</v>
      </c>
      <c r="J707" t="s">
        <v>23</v>
      </c>
      <c r="K707" t="s">
        <v>18</v>
      </c>
      <c r="L707" t="str">
        <f>T("9791175309821")</f>
        <v>9791175309821</v>
      </c>
      <c r="M707" t="str">
        <f t="shared" si="17"/>
        <v/>
      </c>
      <c r="N707">
        <v>958592</v>
      </c>
    </row>
    <row r="708" spans="1:14" x14ac:dyDescent="0.3">
      <c r="A708" s="1">
        <v>46064.634722222225</v>
      </c>
      <c r="B708">
        <v>383003466</v>
      </c>
      <c r="C708" t="s">
        <v>364</v>
      </c>
      <c r="D708" t="s">
        <v>15</v>
      </c>
      <c r="E708">
        <v>0</v>
      </c>
      <c r="F708">
        <v>0</v>
      </c>
      <c r="G708">
        <v>0</v>
      </c>
      <c r="I708" t="s">
        <v>365</v>
      </c>
      <c r="J708" t="s">
        <v>59</v>
      </c>
      <c r="K708" t="s">
        <v>18</v>
      </c>
      <c r="L708" t="str">
        <f>T("9791173788970")</f>
        <v>9791173788970</v>
      </c>
      <c r="M708" t="str">
        <f t="shared" si="17"/>
        <v/>
      </c>
      <c r="N708">
        <v>951999</v>
      </c>
    </row>
    <row r="709" spans="1:14" x14ac:dyDescent="0.3">
      <c r="A709" s="1">
        <v>46064.668391203704</v>
      </c>
      <c r="B709">
        <v>385348415</v>
      </c>
      <c r="C709" t="s">
        <v>88</v>
      </c>
      <c r="D709" t="s">
        <v>89</v>
      </c>
      <c r="E709" s="2">
        <v>8640</v>
      </c>
      <c r="F709" s="2">
        <v>8640</v>
      </c>
      <c r="G709" s="2">
        <v>6048</v>
      </c>
      <c r="I709" t="s">
        <v>90</v>
      </c>
      <c r="J709" t="s">
        <v>23</v>
      </c>
      <c r="K709" t="s">
        <v>18</v>
      </c>
      <c r="L709" t="str">
        <f>T("9791175308350")</f>
        <v>9791175308350</v>
      </c>
      <c r="M709" t="str">
        <f t="shared" si="17"/>
        <v/>
      </c>
    </row>
    <row r="710" spans="1:14" x14ac:dyDescent="0.3">
      <c r="A710" s="1">
        <v>46064.735347222224</v>
      </c>
      <c r="B710">
        <v>385348420</v>
      </c>
      <c r="C710" t="s">
        <v>348</v>
      </c>
      <c r="D710" t="s">
        <v>89</v>
      </c>
      <c r="E710" s="2">
        <v>5670</v>
      </c>
      <c r="F710" s="2">
        <v>5670</v>
      </c>
      <c r="G710" s="2">
        <v>3969</v>
      </c>
      <c r="I710" t="s">
        <v>85</v>
      </c>
      <c r="J710" t="s">
        <v>59</v>
      </c>
      <c r="K710" t="s">
        <v>18</v>
      </c>
      <c r="L710" t="str">
        <f>T("9791136943880")</f>
        <v>9791136943880</v>
      </c>
      <c r="M710" t="str">
        <f t="shared" si="17"/>
        <v/>
      </c>
    </row>
    <row r="711" spans="1:14" x14ac:dyDescent="0.3">
      <c r="A711" s="1">
        <v>46064.753819444442</v>
      </c>
      <c r="B711">
        <v>385636847</v>
      </c>
      <c r="C711" t="s">
        <v>245</v>
      </c>
      <c r="D711" t="s">
        <v>89</v>
      </c>
      <c r="E711" s="2">
        <v>9450</v>
      </c>
      <c r="F711" s="2">
        <v>9450</v>
      </c>
      <c r="G711" s="2">
        <v>6615</v>
      </c>
      <c r="I711" t="s">
        <v>246</v>
      </c>
      <c r="J711" t="s">
        <v>23</v>
      </c>
      <c r="K711" t="s">
        <v>18</v>
      </c>
      <c r="L711" t="str">
        <f>T("9791175309517")</f>
        <v>9791175309517</v>
      </c>
      <c r="M711" t="str">
        <f t="shared" si="17"/>
        <v/>
      </c>
    </row>
    <row r="712" spans="1:14" x14ac:dyDescent="0.3">
      <c r="A712" s="1">
        <v>46064.754201388889</v>
      </c>
      <c r="B712">
        <v>385804041</v>
      </c>
      <c r="C712" t="s">
        <v>327</v>
      </c>
      <c r="D712" t="s">
        <v>15</v>
      </c>
      <c r="E712">
        <v>0</v>
      </c>
      <c r="F712">
        <v>0</v>
      </c>
      <c r="G712">
        <v>0</v>
      </c>
      <c r="I712" t="s">
        <v>328</v>
      </c>
      <c r="J712" t="s">
        <v>59</v>
      </c>
      <c r="K712" t="s">
        <v>18</v>
      </c>
      <c r="L712" t="str">
        <f>T("9791175303478")</f>
        <v>9791175303478</v>
      </c>
      <c r="M712" t="str">
        <f t="shared" si="17"/>
        <v/>
      </c>
      <c r="N712">
        <v>956209</v>
      </c>
    </row>
    <row r="713" spans="1:14" x14ac:dyDescent="0.3">
      <c r="A713" s="1">
        <v>46064.754212962966</v>
      </c>
      <c r="B713">
        <v>385636847</v>
      </c>
      <c r="C713" t="s">
        <v>245</v>
      </c>
      <c r="D713" t="s">
        <v>89</v>
      </c>
      <c r="E713" s="2">
        <v>9450</v>
      </c>
      <c r="F713" s="2">
        <v>9450</v>
      </c>
      <c r="G713" s="2">
        <v>6615</v>
      </c>
      <c r="I713" t="s">
        <v>246</v>
      </c>
      <c r="J713" t="s">
        <v>23</v>
      </c>
      <c r="K713" t="s">
        <v>18</v>
      </c>
      <c r="L713" t="str">
        <f>T("9791175309517")</f>
        <v>9791175309517</v>
      </c>
      <c r="M713" t="str">
        <f t="shared" si="17"/>
        <v/>
      </c>
    </row>
    <row r="714" spans="1:14" x14ac:dyDescent="0.3">
      <c r="A714" s="1">
        <v>46064.75439814815</v>
      </c>
      <c r="B714">
        <v>385348415</v>
      </c>
      <c r="C714" t="s">
        <v>88</v>
      </c>
      <c r="D714" t="s">
        <v>89</v>
      </c>
      <c r="E714" s="2">
        <v>8640</v>
      </c>
      <c r="F714" s="2">
        <v>8640</v>
      </c>
      <c r="G714" s="2">
        <v>6048</v>
      </c>
      <c r="I714" t="s">
        <v>90</v>
      </c>
      <c r="J714" t="s">
        <v>23</v>
      </c>
      <c r="K714" t="s">
        <v>18</v>
      </c>
      <c r="L714" t="str">
        <f>T("9791175308350")</f>
        <v>9791175308350</v>
      </c>
      <c r="M714" t="str">
        <f t="shared" si="17"/>
        <v/>
      </c>
    </row>
    <row r="715" spans="1:14" x14ac:dyDescent="0.3">
      <c r="A715" s="1">
        <v>46064.781400462962</v>
      </c>
      <c r="B715">
        <v>385636847</v>
      </c>
      <c r="C715" t="s">
        <v>245</v>
      </c>
      <c r="D715" t="s">
        <v>89</v>
      </c>
      <c r="E715" s="2">
        <v>-9450</v>
      </c>
      <c r="F715" s="2">
        <v>-9450</v>
      </c>
      <c r="G715" s="2">
        <v>-6615</v>
      </c>
      <c r="H715" s="1">
        <v>46064.781145833331</v>
      </c>
      <c r="I715" t="s">
        <v>246</v>
      </c>
      <c r="J715" t="s">
        <v>23</v>
      </c>
      <c r="K715" t="s">
        <v>18</v>
      </c>
      <c r="L715" t="str">
        <f>T("9791175309517")</f>
        <v>9791175309517</v>
      </c>
      <c r="M715" t="str">
        <f t="shared" si="17"/>
        <v/>
      </c>
    </row>
    <row r="716" spans="1:14" x14ac:dyDescent="0.3">
      <c r="A716" s="1">
        <v>46064.781145833331</v>
      </c>
      <c r="B716">
        <v>385636847</v>
      </c>
      <c r="C716" t="s">
        <v>245</v>
      </c>
      <c r="D716" t="s">
        <v>89</v>
      </c>
      <c r="E716" s="2">
        <v>9450</v>
      </c>
      <c r="F716" s="2">
        <v>9450</v>
      </c>
      <c r="G716" s="2">
        <v>6615</v>
      </c>
      <c r="I716" t="s">
        <v>246</v>
      </c>
      <c r="J716" t="s">
        <v>23</v>
      </c>
      <c r="K716" t="s">
        <v>18</v>
      </c>
      <c r="L716" t="str">
        <f>T("9791175309517")</f>
        <v>9791175309517</v>
      </c>
      <c r="M716" t="str">
        <f t="shared" si="17"/>
        <v/>
      </c>
    </row>
    <row r="717" spans="1:14" x14ac:dyDescent="0.3">
      <c r="A717" s="1">
        <v>46064.78361111111</v>
      </c>
      <c r="B717">
        <v>385347754</v>
      </c>
      <c r="C717" t="s">
        <v>97</v>
      </c>
      <c r="D717" t="s">
        <v>15</v>
      </c>
      <c r="E717" s="2">
        <v>3200</v>
      </c>
      <c r="F717" s="2">
        <v>2880</v>
      </c>
      <c r="G717" s="2">
        <v>2016</v>
      </c>
      <c r="I717" t="s">
        <v>90</v>
      </c>
      <c r="J717" t="s">
        <v>23</v>
      </c>
      <c r="K717" t="s">
        <v>18</v>
      </c>
      <c r="L717" t="str">
        <f>T("9791175308282")</f>
        <v>9791175308282</v>
      </c>
      <c r="M717" t="str">
        <f t="shared" si="17"/>
        <v/>
      </c>
      <c r="N717">
        <v>957886</v>
      </c>
    </row>
    <row r="718" spans="1:14" x14ac:dyDescent="0.3">
      <c r="A718" s="1">
        <v>46064.793726851851</v>
      </c>
      <c r="B718">
        <v>385348415</v>
      </c>
      <c r="C718" t="s">
        <v>88</v>
      </c>
      <c r="D718" t="s">
        <v>89</v>
      </c>
      <c r="E718" s="2">
        <v>8640</v>
      </c>
      <c r="F718" s="2">
        <v>8640</v>
      </c>
      <c r="G718" s="2">
        <v>6048</v>
      </c>
      <c r="I718" t="s">
        <v>90</v>
      </c>
      <c r="J718" t="s">
        <v>23</v>
      </c>
      <c r="K718" t="s">
        <v>18</v>
      </c>
      <c r="L718" t="str">
        <f>T("9791175308350")</f>
        <v>9791175308350</v>
      </c>
      <c r="M718" t="str">
        <f t="shared" si="17"/>
        <v/>
      </c>
    </row>
    <row r="719" spans="1:14" x14ac:dyDescent="0.3">
      <c r="A719" s="1">
        <v>46064.806886574072</v>
      </c>
      <c r="B719">
        <v>384177498</v>
      </c>
      <c r="C719" t="s">
        <v>108</v>
      </c>
      <c r="D719" t="s">
        <v>15</v>
      </c>
      <c r="E719" s="2">
        <v>3500</v>
      </c>
      <c r="F719" s="2">
        <v>3500</v>
      </c>
      <c r="G719" s="2">
        <v>2450</v>
      </c>
      <c r="I719" t="s">
        <v>22</v>
      </c>
      <c r="J719" t="s">
        <v>23</v>
      </c>
      <c r="K719" t="s">
        <v>18</v>
      </c>
      <c r="L719" t="str">
        <f>T("9791175309791")</f>
        <v>9791175309791</v>
      </c>
      <c r="M719" t="str">
        <f t="shared" si="17"/>
        <v/>
      </c>
      <c r="N719">
        <v>958595</v>
      </c>
    </row>
    <row r="720" spans="1:14" x14ac:dyDescent="0.3">
      <c r="A720" s="1">
        <v>46064.810324074075</v>
      </c>
      <c r="B720">
        <v>385348415</v>
      </c>
      <c r="C720" t="s">
        <v>88</v>
      </c>
      <c r="D720" t="s">
        <v>89</v>
      </c>
      <c r="E720" s="2">
        <v>8640</v>
      </c>
      <c r="F720" s="2">
        <v>8640</v>
      </c>
      <c r="G720" s="2">
        <v>6048</v>
      </c>
      <c r="I720" t="s">
        <v>90</v>
      </c>
      <c r="J720" t="s">
        <v>23</v>
      </c>
      <c r="K720" t="s">
        <v>18</v>
      </c>
      <c r="L720" t="str">
        <f>T("9791175308350")</f>
        <v>9791175308350</v>
      </c>
      <c r="M720" t="str">
        <f t="shared" si="17"/>
        <v/>
      </c>
    </row>
    <row r="721" spans="1:14" x14ac:dyDescent="0.3">
      <c r="A721" s="1">
        <v>46064.812754629631</v>
      </c>
      <c r="B721">
        <v>380073167</v>
      </c>
      <c r="C721" t="s">
        <v>195</v>
      </c>
      <c r="D721" t="s">
        <v>15</v>
      </c>
      <c r="E721" s="2">
        <v>1000</v>
      </c>
      <c r="F721" s="2">
        <v>1000</v>
      </c>
      <c r="G721">
        <v>700</v>
      </c>
      <c r="I721" t="s">
        <v>196</v>
      </c>
      <c r="J721" t="s">
        <v>70</v>
      </c>
      <c r="K721" t="s">
        <v>18</v>
      </c>
      <c r="L721" t="str">
        <f>T("9791175306981")</f>
        <v>9791175306981</v>
      </c>
      <c r="M721" t="str">
        <f t="shared" si="17"/>
        <v/>
      </c>
      <c r="N721">
        <v>956800</v>
      </c>
    </row>
    <row r="722" spans="1:14" x14ac:dyDescent="0.3">
      <c r="A722" s="1">
        <v>46064.828182870369</v>
      </c>
      <c r="B722">
        <v>385348415</v>
      </c>
      <c r="C722" t="s">
        <v>88</v>
      </c>
      <c r="D722" t="s">
        <v>89</v>
      </c>
      <c r="E722" s="2">
        <v>8640</v>
      </c>
      <c r="F722" s="2">
        <v>8640</v>
      </c>
      <c r="G722" s="2">
        <v>6048</v>
      </c>
      <c r="I722" t="s">
        <v>90</v>
      </c>
      <c r="J722" t="s">
        <v>23</v>
      </c>
      <c r="K722" t="s">
        <v>18</v>
      </c>
      <c r="L722" t="str">
        <f>T("9791175308350")</f>
        <v>9791175308350</v>
      </c>
      <c r="M722" t="str">
        <f t="shared" si="17"/>
        <v/>
      </c>
    </row>
    <row r="723" spans="1:14" x14ac:dyDescent="0.3">
      <c r="A723" s="1">
        <v>46064.864212962966</v>
      </c>
      <c r="B723">
        <v>325295965</v>
      </c>
      <c r="C723" t="s">
        <v>366</v>
      </c>
      <c r="D723" t="s">
        <v>15</v>
      </c>
      <c r="E723" s="2">
        <v>1800</v>
      </c>
      <c r="F723" s="2">
        <v>1800</v>
      </c>
      <c r="G723" s="2">
        <v>1260</v>
      </c>
      <c r="I723" t="s">
        <v>260</v>
      </c>
      <c r="J723" t="s">
        <v>23</v>
      </c>
      <c r="K723" t="s">
        <v>18</v>
      </c>
      <c r="L723" t="str">
        <f>T("9791136942296")</f>
        <v>9791136942296</v>
      </c>
      <c r="M723" t="str">
        <f t="shared" si="17"/>
        <v/>
      </c>
      <c r="N723">
        <v>915465</v>
      </c>
    </row>
    <row r="724" spans="1:14" x14ac:dyDescent="0.3">
      <c r="A724" s="1">
        <v>46064.868541666663</v>
      </c>
      <c r="B724">
        <v>385348415</v>
      </c>
      <c r="C724" t="s">
        <v>88</v>
      </c>
      <c r="D724" t="s">
        <v>89</v>
      </c>
      <c r="E724" s="2">
        <v>8640</v>
      </c>
      <c r="F724" s="2">
        <v>8640</v>
      </c>
      <c r="G724" s="2">
        <v>6048</v>
      </c>
      <c r="I724" t="s">
        <v>90</v>
      </c>
      <c r="J724" t="s">
        <v>23</v>
      </c>
      <c r="K724" t="s">
        <v>18</v>
      </c>
      <c r="L724" t="str">
        <f>T("9791175308350")</f>
        <v>9791175308350</v>
      </c>
      <c r="M724" t="str">
        <f t="shared" si="17"/>
        <v/>
      </c>
    </row>
    <row r="725" spans="1:14" x14ac:dyDescent="0.3">
      <c r="A725" s="1">
        <v>46064.871215277781</v>
      </c>
      <c r="B725">
        <v>385347659</v>
      </c>
      <c r="C725" t="s">
        <v>86</v>
      </c>
      <c r="D725" t="s">
        <v>15</v>
      </c>
      <c r="E725" s="2">
        <v>1000</v>
      </c>
      <c r="F725">
        <v>900</v>
      </c>
      <c r="G725">
        <v>630</v>
      </c>
      <c r="I725" t="s">
        <v>87</v>
      </c>
      <c r="J725" t="s">
        <v>23</v>
      </c>
      <c r="K725" t="s">
        <v>18</v>
      </c>
      <c r="L725" t="str">
        <f>T("9791175308510")</f>
        <v>9791175308510</v>
      </c>
      <c r="M725" t="str">
        <f t="shared" si="17"/>
        <v/>
      </c>
      <c r="N725">
        <v>957881</v>
      </c>
    </row>
    <row r="726" spans="1:14" x14ac:dyDescent="0.3">
      <c r="A726" s="1">
        <v>46064.872928240744</v>
      </c>
      <c r="B726">
        <v>385804041</v>
      </c>
      <c r="C726" t="s">
        <v>327</v>
      </c>
      <c r="D726" t="s">
        <v>15</v>
      </c>
      <c r="E726">
        <v>0</v>
      </c>
      <c r="F726">
        <v>0</v>
      </c>
      <c r="G726">
        <v>0</v>
      </c>
      <c r="I726" t="s">
        <v>328</v>
      </c>
      <c r="J726" t="s">
        <v>59</v>
      </c>
      <c r="K726" t="s">
        <v>18</v>
      </c>
      <c r="L726" t="str">
        <f>T("9791175303478")</f>
        <v>9791175303478</v>
      </c>
      <c r="M726" t="str">
        <f t="shared" si="17"/>
        <v/>
      </c>
      <c r="N726">
        <v>956209</v>
      </c>
    </row>
    <row r="727" spans="1:14" x14ac:dyDescent="0.3">
      <c r="A727" s="1">
        <v>46064.872928240744</v>
      </c>
      <c r="B727">
        <v>385804034</v>
      </c>
      <c r="C727" t="s">
        <v>330</v>
      </c>
      <c r="D727" t="s">
        <v>15</v>
      </c>
      <c r="E727">
        <v>0</v>
      </c>
      <c r="F727">
        <v>0</v>
      </c>
      <c r="G727">
        <v>0</v>
      </c>
      <c r="I727" t="s">
        <v>331</v>
      </c>
      <c r="J727" t="s">
        <v>52</v>
      </c>
      <c r="K727" t="s">
        <v>18</v>
      </c>
      <c r="L727" t="str">
        <f>T("")</f>
        <v/>
      </c>
      <c r="M727" t="str">
        <f>T("G720:N+A101-20260128080.M001")</f>
        <v>G720:N+A101-20260128080.M001</v>
      </c>
      <c r="N727">
        <v>959682</v>
      </c>
    </row>
    <row r="728" spans="1:14" x14ac:dyDescent="0.3">
      <c r="A728" s="1">
        <v>46064.877476851849</v>
      </c>
      <c r="B728">
        <v>385347659</v>
      </c>
      <c r="C728" t="s">
        <v>86</v>
      </c>
      <c r="D728" t="s">
        <v>15</v>
      </c>
      <c r="E728" s="2">
        <v>1000</v>
      </c>
      <c r="F728">
        <v>900</v>
      </c>
      <c r="G728">
        <v>630</v>
      </c>
      <c r="I728" t="s">
        <v>87</v>
      </c>
      <c r="J728" t="s">
        <v>23</v>
      </c>
      <c r="K728" t="s">
        <v>18</v>
      </c>
      <c r="L728" t="str">
        <f>T("9791175308510")</f>
        <v>9791175308510</v>
      </c>
      <c r="M728" t="str">
        <f t="shared" ref="M728:M791" si="18">T("")</f>
        <v/>
      </c>
      <c r="N728">
        <v>957881</v>
      </c>
    </row>
    <row r="729" spans="1:14" x14ac:dyDescent="0.3">
      <c r="A729" s="1">
        <v>46064.891053240739</v>
      </c>
      <c r="B729">
        <v>384177498</v>
      </c>
      <c r="C729" t="s">
        <v>108</v>
      </c>
      <c r="D729" t="s">
        <v>15</v>
      </c>
      <c r="E729" s="2">
        <v>3500</v>
      </c>
      <c r="F729" s="2">
        <v>3500</v>
      </c>
      <c r="G729" s="2">
        <v>2450</v>
      </c>
      <c r="I729" t="s">
        <v>22</v>
      </c>
      <c r="J729" t="s">
        <v>23</v>
      </c>
      <c r="K729" t="s">
        <v>18</v>
      </c>
      <c r="L729" t="str">
        <f>T("9791175309791")</f>
        <v>9791175309791</v>
      </c>
      <c r="M729" t="str">
        <f t="shared" si="18"/>
        <v/>
      </c>
      <c r="N729">
        <v>958595</v>
      </c>
    </row>
    <row r="730" spans="1:14" x14ac:dyDescent="0.3">
      <c r="A730" s="1">
        <v>46064.893275462964</v>
      </c>
      <c r="B730">
        <v>385636847</v>
      </c>
      <c r="C730" t="s">
        <v>245</v>
      </c>
      <c r="D730" t="s">
        <v>89</v>
      </c>
      <c r="E730" s="2">
        <v>9450</v>
      </c>
      <c r="F730" s="2">
        <v>9450</v>
      </c>
      <c r="G730" s="2">
        <v>6615</v>
      </c>
      <c r="I730" t="s">
        <v>246</v>
      </c>
      <c r="J730" t="s">
        <v>23</v>
      </c>
      <c r="K730" t="s">
        <v>18</v>
      </c>
      <c r="L730" t="str">
        <f>T("9791175309517")</f>
        <v>9791175309517</v>
      </c>
      <c r="M730" t="str">
        <f t="shared" si="18"/>
        <v/>
      </c>
    </row>
    <row r="731" spans="1:14" x14ac:dyDescent="0.3">
      <c r="A731" s="1">
        <v>46064.928981481484</v>
      </c>
      <c r="B731">
        <v>385636847</v>
      </c>
      <c r="C731" t="s">
        <v>245</v>
      </c>
      <c r="D731" t="s">
        <v>89</v>
      </c>
      <c r="E731" s="2">
        <v>9450</v>
      </c>
      <c r="F731" s="2">
        <v>9450</v>
      </c>
      <c r="G731" s="2">
        <v>6615</v>
      </c>
      <c r="I731" t="s">
        <v>246</v>
      </c>
      <c r="J731" t="s">
        <v>23</v>
      </c>
      <c r="K731" t="s">
        <v>18</v>
      </c>
      <c r="L731" t="str">
        <f>T("9791175309517")</f>
        <v>9791175309517</v>
      </c>
      <c r="M731" t="str">
        <f t="shared" si="18"/>
        <v/>
      </c>
    </row>
    <row r="732" spans="1:14" x14ac:dyDescent="0.3">
      <c r="A732" s="1">
        <v>46064.930266203701</v>
      </c>
      <c r="B732">
        <v>385636847</v>
      </c>
      <c r="C732" t="s">
        <v>245</v>
      </c>
      <c r="D732" t="s">
        <v>89</v>
      </c>
      <c r="E732" s="2">
        <v>9450</v>
      </c>
      <c r="F732" s="2">
        <v>9450</v>
      </c>
      <c r="G732" s="2">
        <v>6615</v>
      </c>
      <c r="I732" t="s">
        <v>246</v>
      </c>
      <c r="J732" t="s">
        <v>23</v>
      </c>
      <c r="K732" t="s">
        <v>18</v>
      </c>
      <c r="L732" t="str">
        <f>T("9791175309517")</f>
        <v>9791175309517</v>
      </c>
      <c r="M732" t="str">
        <f t="shared" si="18"/>
        <v/>
      </c>
    </row>
    <row r="733" spans="1:14" x14ac:dyDescent="0.3">
      <c r="A733" s="1">
        <v>46064.936759259261</v>
      </c>
      <c r="B733">
        <v>384177437</v>
      </c>
      <c r="C733" t="s">
        <v>111</v>
      </c>
      <c r="D733" t="s">
        <v>15</v>
      </c>
      <c r="E733" s="2">
        <v>3500</v>
      </c>
      <c r="F733" s="2">
        <v>3500</v>
      </c>
      <c r="G733" s="2">
        <v>2450</v>
      </c>
      <c r="I733" t="s">
        <v>22</v>
      </c>
      <c r="J733" t="s">
        <v>23</v>
      </c>
      <c r="K733" t="s">
        <v>18</v>
      </c>
      <c r="L733" t="str">
        <f>T("9791175309814")</f>
        <v>9791175309814</v>
      </c>
      <c r="M733" t="str">
        <f t="shared" si="18"/>
        <v/>
      </c>
      <c r="N733">
        <v>958593</v>
      </c>
    </row>
    <row r="734" spans="1:14" x14ac:dyDescent="0.3">
      <c r="A734" s="1">
        <v>46064.93959490741</v>
      </c>
      <c r="B734">
        <v>266451553</v>
      </c>
      <c r="C734" t="s">
        <v>367</v>
      </c>
      <c r="D734" t="s">
        <v>15</v>
      </c>
      <c r="E734" s="2">
        <v>3400</v>
      </c>
      <c r="F734" s="2">
        <v>3400</v>
      </c>
      <c r="G734" s="2">
        <v>2380</v>
      </c>
      <c r="I734" t="s">
        <v>368</v>
      </c>
      <c r="J734" t="s">
        <v>70</v>
      </c>
      <c r="K734" t="s">
        <v>18</v>
      </c>
      <c r="L734" t="str">
        <f>T("9791136911704")</f>
        <v>9791136911704</v>
      </c>
      <c r="M734" t="str">
        <f t="shared" si="18"/>
        <v/>
      </c>
      <c r="N734">
        <v>832178</v>
      </c>
    </row>
    <row r="735" spans="1:14" x14ac:dyDescent="0.3">
      <c r="A735" s="1">
        <v>46064.943495370368</v>
      </c>
      <c r="B735">
        <v>385636847</v>
      </c>
      <c r="C735" t="s">
        <v>245</v>
      </c>
      <c r="D735" t="s">
        <v>89</v>
      </c>
      <c r="E735" s="2">
        <v>9450</v>
      </c>
      <c r="F735" s="2">
        <v>9450</v>
      </c>
      <c r="G735" s="2">
        <v>6615</v>
      </c>
      <c r="I735" t="s">
        <v>246</v>
      </c>
      <c r="J735" t="s">
        <v>23</v>
      </c>
      <c r="K735" t="s">
        <v>18</v>
      </c>
      <c r="L735" t="str">
        <f>T("9791175309517")</f>
        <v>9791175309517</v>
      </c>
      <c r="M735" t="str">
        <f t="shared" si="18"/>
        <v/>
      </c>
    </row>
    <row r="736" spans="1:14" x14ac:dyDescent="0.3">
      <c r="A736" s="1">
        <v>46064.952557870369</v>
      </c>
      <c r="B736">
        <v>385636847</v>
      </c>
      <c r="C736" t="s">
        <v>245</v>
      </c>
      <c r="D736" t="s">
        <v>89</v>
      </c>
      <c r="E736" s="2">
        <v>9450</v>
      </c>
      <c r="F736" s="2">
        <v>9450</v>
      </c>
      <c r="G736" s="2">
        <v>6615</v>
      </c>
      <c r="I736" t="s">
        <v>246</v>
      </c>
      <c r="J736" t="s">
        <v>23</v>
      </c>
      <c r="K736" t="s">
        <v>18</v>
      </c>
      <c r="L736" t="str">
        <f>T("9791175309517")</f>
        <v>9791175309517</v>
      </c>
      <c r="M736" t="str">
        <f t="shared" si="18"/>
        <v/>
      </c>
    </row>
    <row r="737" spans="1:14" x14ac:dyDescent="0.3">
      <c r="A737" s="1">
        <v>46064.95417824074</v>
      </c>
      <c r="B737">
        <v>385636847</v>
      </c>
      <c r="C737" t="s">
        <v>245</v>
      </c>
      <c r="D737" t="s">
        <v>89</v>
      </c>
      <c r="E737" s="2">
        <v>9450</v>
      </c>
      <c r="F737" s="2">
        <v>9450</v>
      </c>
      <c r="G737" s="2">
        <v>6615</v>
      </c>
      <c r="I737" t="s">
        <v>246</v>
      </c>
      <c r="J737" t="s">
        <v>23</v>
      </c>
      <c r="K737" t="s">
        <v>18</v>
      </c>
      <c r="L737" t="str">
        <f>T("9791175309517")</f>
        <v>9791175309517</v>
      </c>
      <c r="M737" t="str">
        <f t="shared" si="18"/>
        <v/>
      </c>
    </row>
    <row r="738" spans="1:14" x14ac:dyDescent="0.3">
      <c r="A738" s="1">
        <v>46064.95689814815</v>
      </c>
      <c r="B738">
        <v>385347754</v>
      </c>
      <c r="C738" t="s">
        <v>97</v>
      </c>
      <c r="D738" t="s">
        <v>15</v>
      </c>
      <c r="E738" s="2">
        <v>3200</v>
      </c>
      <c r="F738" s="2">
        <v>2880</v>
      </c>
      <c r="G738" s="2">
        <v>2016</v>
      </c>
      <c r="I738" t="s">
        <v>90</v>
      </c>
      <c r="J738" t="s">
        <v>23</v>
      </c>
      <c r="K738" t="s">
        <v>18</v>
      </c>
      <c r="L738" t="str">
        <f>T("9791175308282")</f>
        <v>9791175308282</v>
      </c>
      <c r="M738" t="str">
        <f t="shared" si="18"/>
        <v/>
      </c>
      <c r="N738">
        <v>957886</v>
      </c>
    </row>
    <row r="739" spans="1:14" x14ac:dyDescent="0.3">
      <c r="A739" s="1">
        <v>46064.958634259259</v>
      </c>
      <c r="B739">
        <v>384177437</v>
      </c>
      <c r="C739" t="s">
        <v>111</v>
      </c>
      <c r="D739" t="s">
        <v>15</v>
      </c>
      <c r="E739" s="2">
        <v>3500</v>
      </c>
      <c r="F739" s="2">
        <v>3500</v>
      </c>
      <c r="G739" s="2">
        <v>2450</v>
      </c>
      <c r="I739" t="s">
        <v>22</v>
      </c>
      <c r="J739" t="s">
        <v>23</v>
      </c>
      <c r="K739" t="s">
        <v>18</v>
      </c>
      <c r="L739" t="str">
        <f>T("9791175309814")</f>
        <v>9791175309814</v>
      </c>
      <c r="M739" t="str">
        <f t="shared" si="18"/>
        <v/>
      </c>
      <c r="N739">
        <v>958593</v>
      </c>
    </row>
    <row r="740" spans="1:14" x14ac:dyDescent="0.3">
      <c r="A740" s="1">
        <v>46064.967581018522</v>
      </c>
      <c r="B740">
        <v>385347659</v>
      </c>
      <c r="C740" t="s">
        <v>86</v>
      </c>
      <c r="D740" t="s">
        <v>15</v>
      </c>
      <c r="E740" s="2">
        <v>1000</v>
      </c>
      <c r="F740">
        <v>900</v>
      </c>
      <c r="G740">
        <v>630</v>
      </c>
      <c r="I740" t="s">
        <v>87</v>
      </c>
      <c r="J740" t="s">
        <v>23</v>
      </c>
      <c r="K740" t="s">
        <v>18</v>
      </c>
      <c r="L740" t="str">
        <f>T("9791175308510")</f>
        <v>9791175308510</v>
      </c>
      <c r="M740" t="str">
        <f t="shared" si="18"/>
        <v/>
      </c>
      <c r="N740">
        <v>957881</v>
      </c>
    </row>
    <row r="741" spans="1:14" x14ac:dyDescent="0.3">
      <c r="A741" s="1">
        <v>46064.968194444446</v>
      </c>
      <c r="B741">
        <v>385831063</v>
      </c>
      <c r="C741" t="s">
        <v>343</v>
      </c>
      <c r="D741" t="s">
        <v>89</v>
      </c>
      <c r="E741" s="2">
        <v>10800</v>
      </c>
      <c r="F741" s="2">
        <v>10800</v>
      </c>
      <c r="G741" s="2">
        <v>7560</v>
      </c>
      <c r="I741" t="s">
        <v>344</v>
      </c>
      <c r="J741" t="s">
        <v>23</v>
      </c>
      <c r="K741" t="s">
        <v>18</v>
      </c>
      <c r="L741" t="str">
        <f>T("9791175309456")</f>
        <v>9791175309456</v>
      </c>
      <c r="M741" t="str">
        <f t="shared" si="18"/>
        <v/>
      </c>
    </row>
    <row r="742" spans="1:14" x14ac:dyDescent="0.3">
      <c r="A742" s="1">
        <v>46064.96974537037</v>
      </c>
      <c r="B742">
        <v>385636847</v>
      </c>
      <c r="C742" t="s">
        <v>245</v>
      </c>
      <c r="D742" t="s">
        <v>89</v>
      </c>
      <c r="E742" s="2">
        <v>9450</v>
      </c>
      <c r="F742" s="2">
        <v>9450</v>
      </c>
      <c r="G742" s="2">
        <v>6615</v>
      </c>
      <c r="I742" t="s">
        <v>246</v>
      </c>
      <c r="J742" t="s">
        <v>23</v>
      </c>
      <c r="K742" t="s">
        <v>18</v>
      </c>
      <c r="L742" t="str">
        <f>T("9791175309517")</f>
        <v>9791175309517</v>
      </c>
      <c r="M742" t="str">
        <f t="shared" si="18"/>
        <v/>
      </c>
    </row>
    <row r="743" spans="1:14" x14ac:dyDescent="0.3">
      <c r="A743" s="1">
        <v>46064.970393518517</v>
      </c>
      <c r="B743">
        <v>385831063</v>
      </c>
      <c r="C743" t="s">
        <v>343</v>
      </c>
      <c r="D743" t="s">
        <v>89</v>
      </c>
      <c r="E743" s="2">
        <v>10800</v>
      </c>
      <c r="F743" s="2">
        <v>10800</v>
      </c>
      <c r="G743" s="2">
        <v>7560</v>
      </c>
      <c r="I743" t="s">
        <v>344</v>
      </c>
      <c r="J743" t="s">
        <v>23</v>
      </c>
      <c r="K743" t="s">
        <v>18</v>
      </c>
      <c r="L743" t="str">
        <f>T("9791175309456")</f>
        <v>9791175309456</v>
      </c>
      <c r="M743" t="str">
        <f t="shared" si="18"/>
        <v/>
      </c>
    </row>
    <row r="744" spans="1:14" x14ac:dyDescent="0.3">
      <c r="A744" s="1">
        <v>46064.983761574076</v>
      </c>
      <c r="B744">
        <v>385636847</v>
      </c>
      <c r="C744" t="s">
        <v>245</v>
      </c>
      <c r="D744" t="s">
        <v>89</v>
      </c>
      <c r="E744" s="2">
        <v>9450</v>
      </c>
      <c r="F744" s="2">
        <v>9450</v>
      </c>
      <c r="G744" s="2">
        <v>6615</v>
      </c>
      <c r="I744" t="s">
        <v>246</v>
      </c>
      <c r="J744" t="s">
        <v>23</v>
      </c>
      <c r="K744" t="s">
        <v>18</v>
      </c>
      <c r="L744" t="str">
        <f>T("9791175309517")</f>
        <v>9791175309517</v>
      </c>
      <c r="M744" t="str">
        <f t="shared" si="18"/>
        <v/>
      </c>
    </row>
    <row r="745" spans="1:14" x14ac:dyDescent="0.3">
      <c r="A745" s="1">
        <v>46064.984548611108</v>
      </c>
      <c r="B745">
        <v>385831063</v>
      </c>
      <c r="C745" t="s">
        <v>343</v>
      </c>
      <c r="D745" t="s">
        <v>89</v>
      </c>
      <c r="E745" s="2">
        <v>10800</v>
      </c>
      <c r="F745" s="2">
        <v>10800</v>
      </c>
      <c r="G745" s="2">
        <v>7560</v>
      </c>
      <c r="I745" t="s">
        <v>344</v>
      </c>
      <c r="J745" t="s">
        <v>23</v>
      </c>
      <c r="K745" t="s">
        <v>18</v>
      </c>
      <c r="L745" t="str">
        <f>T("9791175309456")</f>
        <v>9791175309456</v>
      </c>
      <c r="M745" t="str">
        <f t="shared" si="18"/>
        <v/>
      </c>
    </row>
    <row r="746" spans="1:14" x14ac:dyDescent="0.3">
      <c r="A746" s="1">
        <v>46064.98715277778</v>
      </c>
      <c r="B746">
        <v>385636847</v>
      </c>
      <c r="C746" t="s">
        <v>245</v>
      </c>
      <c r="D746" t="s">
        <v>89</v>
      </c>
      <c r="E746" s="2">
        <v>9450</v>
      </c>
      <c r="F746" s="2">
        <v>9450</v>
      </c>
      <c r="G746" s="2">
        <v>6615</v>
      </c>
      <c r="I746" t="s">
        <v>246</v>
      </c>
      <c r="J746" t="s">
        <v>23</v>
      </c>
      <c r="K746" t="s">
        <v>18</v>
      </c>
      <c r="L746" t="str">
        <f>T("9791175309517")</f>
        <v>9791175309517</v>
      </c>
      <c r="M746" t="str">
        <f t="shared" si="18"/>
        <v/>
      </c>
    </row>
    <row r="747" spans="1:14" x14ac:dyDescent="0.3">
      <c r="A747" s="1">
        <v>46064.995219907411</v>
      </c>
      <c r="B747">
        <v>385636847</v>
      </c>
      <c r="C747" t="s">
        <v>245</v>
      </c>
      <c r="D747" t="s">
        <v>89</v>
      </c>
      <c r="E747" s="2">
        <v>9450</v>
      </c>
      <c r="F747" s="2">
        <v>9450</v>
      </c>
      <c r="G747" s="2">
        <v>6615</v>
      </c>
      <c r="I747" t="s">
        <v>246</v>
      </c>
      <c r="J747" t="s">
        <v>23</v>
      </c>
      <c r="K747" t="s">
        <v>18</v>
      </c>
      <c r="L747" t="str">
        <f>T("9791175309517")</f>
        <v>9791175309517</v>
      </c>
      <c r="M747" t="str">
        <f t="shared" si="18"/>
        <v/>
      </c>
    </row>
    <row r="748" spans="1:14" x14ac:dyDescent="0.3">
      <c r="A748" s="1">
        <v>46064.995798611111</v>
      </c>
      <c r="B748">
        <v>385831063</v>
      </c>
      <c r="C748" t="s">
        <v>343</v>
      </c>
      <c r="D748" t="s">
        <v>89</v>
      </c>
      <c r="E748" s="2">
        <v>10800</v>
      </c>
      <c r="F748" s="2">
        <v>10800</v>
      </c>
      <c r="G748" s="2">
        <v>7560</v>
      </c>
      <c r="I748" t="s">
        <v>344</v>
      </c>
      <c r="J748" t="s">
        <v>23</v>
      </c>
      <c r="K748" t="s">
        <v>18</v>
      </c>
      <c r="L748" t="str">
        <f>T("9791175309456")</f>
        <v>9791175309456</v>
      </c>
      <c r="M748" t="str">
        <f t="shared" si="18"/>
        <v/>
      </c>
    </row>
    <row r="749" spans="1:14" x14ac:dyDescent="0.3">
      <c r="A749" s="1">
        <v>46064.996805555558</v>
      </c>
      <c r="B749">
        <v>385636847</v>
      </c>
      <c r="C749" t="s">
        <v>245</v>
      </c>
      <c r="D749" t="s">
        <v>89</v>
      </c>
      <c r="E749" s="2">
        <v>9450</v>
      </c>
      <c r="F749" s="2">
        <v>9450</v>
      </c>
      <c r="G749" s="2">
        <v>6615</v>
      </c>
      <c r="I749" t="s">
        <v>246</v>
      </c>
      <c r="J749" t="s">
        <v>23</v>
      </c>
      <c r="K749" t="s">
        <v>18</v>
      </c>
      <c r="L749" t="str">
        <f>T("9791175309517")</f>
        <v>9791175309517</v>
      </c>
      <c r="M749" t="str">
        <f t="shared" si="18"/>
        <v/>
      </c>
    </row>
    <row r="750" spans="1:14" x14ac:dyDescent="0.3">
      <c r="A750" s="1">
        <v>46064.996898148151</v>
      </c>
      <c r="B750">
        <v>385636847</v>
      </c>
      <c r="C750" t="s">
        <v>245</v>
      </c>
      <c r="D750" t="s">
        <v>89</v>
      </c>
      <c r="E750" s="2">
        <v>9450</v>
      </c>
      <c r="F750" s="2">
        <v>9450</v>
      </c>
      <c r="G750" s="2">
        <v>6615</v>
      </c>
      <c r="I750" t="s">
        <v>246</v>
      </c>
      <c r="J750" t="s">
        <v>23</v>
      </c>
      <c r="K750" t="s">
        <v>18</v>
      </c>
      <c r="L750" t="str">
        <f>T("9791175309517")</f>
        <v>9791175309517</v>
      </c>
      <c r="M750" t="str">
        <f t="shared" si="18"/>
        <v/>
      </c>
    </row>
    <row r="751" spans="1:14" x14ac:dyDescent="0.3">
      <c r="A751" s="1">
        <v>46064.997777777775</v>
      </c>
      <c r="B751">
        <v>385347659</v>
      </c>
      <c r="C751" t="s">
        <v>86</v>
      </c>
      <c r="D751" t="s">
        <v>15</v>
      </c>
      <c r="E751" s="2">
        <v>1000</v>
      </c>
      <c r="F751">
        <v>900</v>
      </c>
      <c r="G751">
        <v>630</v>
      </c>
      <c r="I751" t="s">
        <v>87</v>
      </c>
      <c r="J751" t="s">
        <v>23</v>
      </c>
      <c r="K751" t="s">
        <v>18</v>
      </c>
      <c r="L751" t="str">
        <f>T("9791175308510")</f>
        <v>9791175308510</v>
      </c>
      <c r="M751" t="str">
        <f t="shared" si="18"/>
        <v/>
      </c>
      <c r="N751">
        <v>957881</v>
      </c>
    </row>
    <row r="752" spans="1:14" x14ac:dyDescent="0.3">
      <c r="A752" s="1">
        <v>46064.997847222221</v>
      </c>
      <c r="B752">
        <v>385831063</v>
      </c>
      <c r="C752" t="s">
        <v>343</v>
      </c>
      <c r="D752" t="s">
        <v>89</v>
      </c>
      <c r="E752" s="2">
        <v>10800</v>
      </c>
      <c r="F752" s="2">
        <v>10800</v>
      </c>
      <c r="G752" s="2">
        <v>7560</v>
      </c>
      <c r="I752" t="s">
        <v>344</v>
      </c>
      <c r="J752" t="s">
        <v>23</v>
      </c>
      <c r="K752" t="s">
        <v>18</v>
      </c>
      <c r="L752" t="str">
        <f>T("9791175309456")</f>
        <v>9791175309456</v>
      </c>
      <c r="M752" t="str">
        <f t="shared" si="18"/>
        <v/>
      </c>
    </row>
    <row r="753" spans="1:14" x14ac:dyDescent="0.3">
      <c r="A753" s="1">
        <v>46064.99795138889</v>
      </c>
      <c r="B753">
        <v>385347659</v>
      </c>
      <c r="C753" t="s">
        <v>86</v>
      </c>
      <c r="D753" t="s">
        <v>15</v>
      </c>
      <c r="E753" s="2">
        <v>1000</v>
      </c>
      <c r="F753">
        <v>900</v>
      </c>
      <c r="G753">
        <v>630</v>
      </c>
      <c r="I753" t="s">
        <v>87</v>
      </c>
      <c r="J753" t="s">
        <v>23</v>
      </c>
      <c r="K753" t="s">
        <v>18</v>
      </c>
      <c r="L753" t="str">
        <f>T("9791175308510")</f>
        <v>9791175308510</v>
      </c>
      <c r="M753" t="str">
        <f t="shared" si="18"/>
        <v/>
      </c>
      <c r="N753">
        <v>957881</v>
      </c>
    </row>
    <row r="754" spans="1:14" x14ac:dyDescent="0.3">
      <c r="A754" s="1">
        <v>46064.998182870368</v>
      </c>
      <c r="B754">
        <v>329693035</v>
      </c>
      <c r="C754" t="s">
        <v>369</v>
      </c>
      <c r="D754" t="s">
        <v>15</v>
      </c>
      <c r="E754" s="2">
        <v>3200</v>
      </c>
      <c r="F754" s="2">
        <v>3200</v>
      </c>
      <c r="G754" s="2">
        <v>2240</v>
      </c>
      <c r="I754" t="s">
        <v>333</v>
      </c>
      <c r="J754" t="s">
        <v>79</v>
      </c>
      <c r="K754" t="s">
        <v>18</v>
      </c>
      <c r="L754" t="str">
        <f>T("9791136935182")</f>
        <v>9791136935182</v>
      </c>
      <c r="M754" t="str">
        <f t="shared" si="18"/>
        <v/>
      </c>
      <c r="N754">
        <v>903201</v>
      </c>
    </row>
    <row r="755" spans="1:14" x14ac:dyDescent="0.3">
      <c r="A755" s="1">
        <v>46064.998206018521</v>
      </c>
      <c r="B755">
        <v>385636847</v>
      </c>
      <c r="C755" t="s">
        <v>245</v>
      </c>
      <c r="D755" t="s">
        <v>89</v>
      </c>
      <c r="E755" s="2">
        <v>9450</v>
      </c>
      <c r="F755" s="2">
        <v>9450</v>
      </c>
      <c r="G755" s="2">
        <v>6615</v>
      </c>
      <c r="I755" t="s">
        <v>246</v>
      </c>
      <c r="J755" t="s">
        <v>23</v>
      </c>
      <c r="K755" t="s">
        <v>18</v>
      </c>
      <c r="L755" t="str">
        <f>T("9791175309517")</f>
        <v>9791175309517</v>
      </c>
      <c r="M755" t="str">
        <f t="shared" si="18"/>
        <v/>
      </c>
    </row>
    <row r="756" spans="1:14" x14ac:dyDescent="0.3">
      <c r="A756" s="1">
        <v>46064.998310185183</v>
      </c>
      <c r="B756">
        <v>384177514</v>
      </c>
      <c r="C756" t="s">
        <v>109</v>
      </c>
      <c r="D756" t="s">
        <v>15</v>
      </c>
      <c r="E756" s="2">
        <v>3500</v>
      </c>
      <c r="F756" s="2">
        <v>3500</v>
      </c>
      <c r="G756" s="2">
        <v>2450</v>
      </c>
      <c r="I756" t="s">
        <v>22</v>
      </c>
      <c r="J756" t="s">
        <v>23</v>
      </c>
      <c r="K756" t="s">
        <v>18</v>
      </c>
      <c r="L756" t="str">
        <f>T("9791175309807")</f>
        <v>9791175309807</v>
      </c>
      <c r="M756" t="str">
        <f t="shared" si="18"/>
        <v/>
      </c>
      <c r="N756">
        <v>958594</v>
      </c>
    </row>
    <row r="757" spans="1:14" x14ac:dyDescent="0.3">
      <c r="A757" s="1">
        <v>46065.034004629626</v>
      </c>
      <c r="B757">
        <v>378759363</v>
      </c>
      <c r="C757" t="s">
        <v>179</v>
      </c>
      <c r="D757" t="s">
        <v>15</v>
      </c>
      <c r="E757" s="2">
        <v>3000</v>
      </c>
      <c r="F757" s="2">
        <v>2700</v>
      </c>
      <c r="G757" s="2">
        <v>1890</v>
      </c>
      <c r="I757" t="s">
        <v>87</v>
      </c>
      <c r="J757" t="s">
        <v>23</v>
      </c>
      <c r="K757" t="s">
        <v>18</v>
      </c>
      <c r="L757" t="str">
        <f>T("9791175302778")</f>
        <v>9791175302778</v>
      </c>
      <c r="M757" t="str">
        <f t="shared" si="18"/>
        <v/>
      </c>
      <c r="N757">
        <v>954952</v>
      </c>
    </row>
    <row r="758" spans="1:14" x14ac:dyDescent="0.3">
      <c r="A758" s="1">
        <v>46065.087534722225</v>
      </c>
      <c r="B758">
        <v>385347659</v>
      </c>
      <c r="C758" t="s">
        <v>86</v>
      </c>
      <c r="D758" t="s">
        <v>15</v>
      </c>
      <c r="E758" s="2">
        <v>1000</v>
      </c>
      <c r="F758">
        <v>900</v>
      </c>
      <c r="G758">
        <v>630</v>
      </c>
      <c r="I758" t="s">
        <v>87</v>
      </c>
      <c r="J758" t="s">
        <v>23</v>
      </c>
      <c r="K758" t="s">
        <v>18</v>
      </c>
      <c r="L758" t="str">
        <f>T("9791175308510")</f>
        <v>9791175308510</v>
      </c>
      <c r="M758" t="str">
        <f t="shared" si="18"/>
        <v/>
      </c>
      <c r="N758">
        <v>957881</v>
      </c>
    </row>
    <row r="759" spans="1:14" x14ac:dyDescent="0.3">
      <c r="A759" s="1">
        <v>46065.154861111114</v>
      </c>
      <c r="B759">
        <v>385636847</v>
      </c>
      <c r="C759" t="s">
        <v>245</v>
      </c>
      <c r="D759" t="s">
        <v>15</v>
      </c>
      <c r="E759" s="2">
        <v>10500</v>
      </c>
      <c r="F759" s="2">
        <v>9450</v>
      </c>
      <c r="G759" s="2">
        <v>6615</v>
      </c>
      <c r="I759" t="s">
        <v>246</v>
      </c>
      <c r="J759" t="s">
        <v>23</v>
      </c>
      <c r="K759" t="s">
        <v>18</v>
      </c>
      <c r="L759" t="str">
        <f>T("9791175309517")</f>
        <v>9791175309517</v>
      </c>
      <c r="M759" t="str">
        <f t="shared" si="18"/>
        <v/>
      </c>
    </row>
    <row r="760" spans="1:14" x14ac:dyDescent="0.3">
      <c r="A760" s="1">
        <v>46065.230104166665</v>
      </c>
      <c r="B760">
        <v>385831063</v>
      </c>
      <c r="C760" t="s">
        <v>343</v>
      </c>
      <c r="D760" t="s">
        <v>89</v>
      </c>
      <c r="E760" s="2">
        <v>10800</v>
      </c>
      <c r="F760" s="2">
        <v>10800</v>
      </c>
      <c r="G760" s="2">
        <v>7560</v>
      </c>
      <c r="I760" t="s">
        <v>344</v>
      </c>
      <c r="J760" t="s">
        <v>23</v>
      </c>
      <c r="K760" t="s">
        <v>18</v>
      </c>
      <c r="L760" t="str">
        <f>T("9791175309456")</f>
        <v>9791175309456</v>
      </c>
      <c r="M760" t="str">
        <f t="shared" si="18"/>
        <v/>
      </c>
    </row>
    <row r="761" spans="1:14" x14ac:dyDescent="0.3">
      <c r="A761" s="1">
        <v>46065.41578703704</v>
      </c>
      <c r="B761">
        <v>385831063</v>
      </c>
      <c r="C761" t="s">
        <v>343</v>
      </c>
      <c r="D761" t="s">
        <v>89</v>
      </c>
      <c r="E761" s="2">
        <v>10800</v>
      </c>
      <c r="F761" s="2">
        <v>10800</v>
      </c>
      <c r="G761" s="2">
        <v>7560</v>
      </c>
      <c r="I761" t="s">
        <v>344</v>
      </c>
      <c r="J761" t="s">
        <v>23</v>
      </c>
      <c r="K761" t="s">
        <v>18</v>
      </c>
      <c r="L761" t="str">
        <f>T("9791175309456")</f>
        <v>9791175309456</v>
      </c>
      <c r="M761" t="str">
        <f t="shared" si="18"/>
        <v/>
      </c>
    </row>
    <row r="762" spans="1:14" x14ac:dyDescent="0.3">
      <c r="A762" s="1">
        <v>46065.423518518517</v>
      </c>
      <c r="B762">
        <v>385348414</v>
      </c>
      <c r="C762" t="s">
        <v>114</v>
      </c>
      <c r="D762" t="s">
        <v>89</v>
      </c>
      <c r="E762" s="2">
        <v>11700</v>
      </c>
      <c r="F762" s="2">
        <v>11700</v>
      </c>
      <c r="G762" s="2">
        <v>8190</v>
      </c>
      <c r="I762" t="s">
        <v>87</v>
      </c>
      <c r="J762" t="s">
        <v>23</v>
      </c>
      <c r="K762" t="s">
        <v>18</v>
      </c>
      <c r="L762" t="str">
        <f>T("9791175308503")</f>
        <v>9791175308503</v>
      </c>
      <c r="M762" t="str">
        <f t="shared" si="18"/>
        <v/>
      </c>
    </row>
    <row r="763" spans="1:14" x14ac:dyDescent="0.3">
      <c r="A763" s="1">
        <v>46065.45207175926</v>
      </c>
      <c r="B763">
        <v>385636847</v>
      </c>
      <c r="C763" t="s">
        <v>245</v>
      </c>
      <c r="D763" t="s">
        <v>89</v>
      </c>
      <c r="E763" s="2">
        <v>9450</v>
      </c>
      <c r="F763" s="2">
        <v>9450</v>
      </c>
      <c r="G763" s="2">
        <v>6615</v>
      </c>
      <c r="I763" t="s">
        <v>246</v>
      </c>
      <c r="J763" t="s">
        <v>23</v>
      </c>
      <c r="K763" t="s">
        <v>18</v>
      </c>
      <c r="L763" t="str">
        <f>T("9791175309517")</f>
        <v>9791175309517</v>
      </c>
      <c r="M763" t="str">
        <f t="shared" si="18"/>
        <v/>
      </c>
    </row>
    <row r="764" spans="1:14" x14ac:dyDescent="0.3">
      <c r="A764" s="1">
        <v>46065.485972222225</v>
      </c>
      <c r="B764">
        <v>385831063</v>
      </c>
      <c r="C764" t="s">
        <v>343</v>
      </c>
      <c r="D764" t="s">
        <v>89</v>
      </c>
      <c r="E764" s="2">
        <v>-10800</v>
      </c>
      <c r="F764" s="2">
        <v>-10800</v>
      </c>
      <c r="G764" s="2">
        <v>-7560</v>
      </c>
      <c r="H764" s="1">
        <v>46065.455023148148</v>
      </c>
      <c r="I764" t="s">
        <v>344</v>
      </c>
      <c r="J764" t="s">
        <v>23</v>
      </c>
      <c r="K764" t="s">
        <v>18</v>
      </c>
      <c r="L764" t="str">
        <f>T("9791175309456")</f>
        <v>9791175309456</v>
      </c>
      <c r="M764" t="str">
        <f t="shared" si="18"/>
        <v/>
      </c>
    </row>
    <row r="765" spans="1:14" x14ac:dyDescent="0.3">
      <c r="A765" s="1">
        <v>46065.455023148148</v>
      </c>
      <c r="B765">
        <v>385831063</v>
      </c>
      <c r="C765" t="s">
        <v>343</v>
      </c>
      <c r="D765" t="s">
        <v>89</v>
      </c>
      <c r="E765" s="2">
        <v>10800</v>
      </c>
      <c r="F765" s="2">
        <v>10800</v>
      </c>
      <c r="G765" s="2">
        <v>7560</v>
      </c>
      <c r="I765" t="s">
        <v>344</v>
      </c>
      <c r="J765" t="s">
        <v>23</v>
      </c>
      <c r="K765" t="s">
        <v>18</v>
      </c>
      <c r="L765" t="str">
        <f>T("9791175309456")</f>
        <v>9791175309456</v>
      </c>
      <c r="M765" t="str">
        <f t="shared" si="18"/>
        <v/>
      </c>
    </row>
    <row r="766" spans="1:14" x14ac:dyDescent="0.3">
      <c r="A766" s="1">
        <v>46065.467650462961</v>
      </c>
      <c r="B766">
        <v>385636847</v>
      </c>
      <c r="C766" t="s">
        <v>245</v>
      </c>
      <c r="D766" t="s">
        <v>89</v>
      </c>
      <c r="E766" s="2">
        <v>9450</v>
      </c>
      <c r="F766" s="2">
        <v>9450</v>
      </c>
      <c r="G766" s="2">
        <v>6615</v>
      </c>
      <c r="I766" t="s">
        <v>246</v>
      </c>
      <c r="J766" t="s">
        <v>23</v>
      </c>
      <c r="K766" t="s">
        <v>18</v>
      </c>
      <c r="L766" t="str">
        <f>T("9791175309517")</f>
        <v>9791175309517</v>
      </c>
      <c r="M766" t="str">
        <f t="shared" si="18"/>
        <v/>
      </c>
    </row>
    <row r="767" spans="1:14" x14ac:dyDescent="0.3">
      <c r="A767" s="1">
        <v>46065.486979166664</v>
      </c>
      <c r="B767">
        <v>385831063</v>
      </c>
      <c r="C767" t="s">
        <v>343</v>
      </c>
      <c r="D767" t="s">
        <v>89</v>
      </c>
      <c r="E767" s="2">
        <v>10800</v>
      </c>
      <c r="F767" s="2">
        <v>10800</v>
      </c>
      <c r="G767" s="2">
        <v>7560</v>
      </c>
      <c r="I767" t="s">
        <v>344</v>
      </c>
      <c r="J767" t="s">
        <v>23</v>
      </c>
      <c r="K767" t="s">
        <v>18</v>
      </c>
      <c r="L767" t="str">
        <f>T("9791175309456")</f>
        <v>9791175309456</v>
      </c>
      <c r="M767" t="str">
        <f t="shared" si="18"/>
        <v/>
      </c>
    </row>
    <row r="768" spans="1:14" x14ac:dyDescent="0.3">
      <c r="A768" s="1">
        <v>46065.489189814813</v>
      </c>
      <c r="B768">
        <v>384177441</v>
      </c>
      <c r="C768" t="s">
        <v>21</v>
      </c>
      <c r="D768" t="s">
        <v>15</v>
      </c>
      <c r="E768" s="2">
        <v>3500</v>
      </c>
      <c r="F768" s="2">
        <v>3500</v>
      </c>
      <c r="G768" s="2">
        <v>2450</v>
      </c>
      <c r="I768" t="s">
        <v>22</v>
      </c>
      <c r="J768" t="s">
        <v>23</v>
      </c>
      <c r="K768" t="s">
        <v>18</v>
      </c>
      <c r="L768" t="str">
        <f>T("9791175309821")</f>
        <v>9791175309821</v>
      </c>
      <c r="M768" t="str">
        <f t="shared" si="18"/>
        <v/>
      </c>
      <c r="N768">
        <v>958592</v>
      </c>
    </row>
    <row r="769" spans="1:14" x14ac:dyDescent="0.3">
      <c r="A769" s="1">
        <v>46065.49145833333</v>
      </c>
      <c r="B769">
        <v>384177441</v>
      </c>
      <c r="C769" t="s">
        <v>21</v>
      </c>
      <c r="D769" t="s">
        <v>15</v>
      </c>
      <c r="E769" s="2">
        <v>-3500</v>
      </c>
      <c r="F769" s="2">
        <v>-3500</v>
      </c>
      <c r="G769" s="2">
        <v>-2450</v>
      </c>
      <c r="H769" s="1">
        <v>46065.489189814813</v>
      </c>
      <c r="I769" t="s">
        <v>22</v>
      </c>
      <c r="J769" t="s">
        <v>23</v>
      </c>
      <c r="K769" t="s">
        <v>18</v>
      </c>
      <c r="L769" t="str">
        <f>T("9791175309821")</f>
        <v>9791175309821</v>
      </c>
      <c r="M769" t="str">
        <f t="shared" si="18"/>
        <v/>
      </c>
      <c r="N769">
        <v>958592</v>
      </c>
    </row>
    <row r="770" spans="1:14" x14ac:dyDescent="0.3">
      <c r="A770" s="1">
        <v>46065.493090277778</v>
      </c>
      <c r="B770">
        <v>384177441</v>
      </c>
      <c r="C770" t="s">
        <v>21</v>
      </c>
      <c r="D770" t="s">
        <v>15</v>
      </c>
      <c r="E770" s="2">
        <v>3500</v>
      </c>
      <c r="F770" s="2">
        <v>3500</v>
      </c>
      <c r="G770" s="2">
        <v>2450</v>
      </c>
      <c r="I770" t="s">
        <v>22</v>
      </c>
      <c r="J770" t="s">
        <v>23</v>
      </c>
      <c r="K770" t="s">
        <v>18</v>
      </c>
      <c r="L770" t="str">
        <f>T("9791175309821")</f>
        <v>9791175309821</v>
      </c>
      <c r="M770" t="str">
        <f t="shared" si="18"/>
        <v/>
      </c>
      <c r="N770">
        <v>958592</v>
      </c>
    </row>
    <row r="771" spans="1:14" x14ac:dyDescent="0.3">
      <c r="A771" s="1">
        <v>46065.496145833335</v>
      </c>
      <c r="B771">
        <v>385831063</v>
      </c>
      <c r="C771" t="s">
        <v>343</v>
      </c>
      <c r="D771" t="s">
        <v>89</v>
      </c>
      <c r="E771" s="2">
        <v>10800</v>
      </c>
      <c r="F771" s="2">
        <v>10800</v>
      </c>
      <c r="G771" s="2">
        <v>7560</v>
      </c>
      <c r="I771" t="s">
        <v>344</v>
      </c>
      <c r="J771" t="s">
        <v>23</v>
      </c>
      <c r="K771" t="s">
        <v>18</v>
      </c>
      <c r="L771" t="str">
        <f>T("9791175309456")</f>
        <v>9791175309456</v>
      </c>
      <c r="M771" t="str">
        <f t="shared" si="18"/>
        <v/>
      </c>
    </row>
    <row r="772" spans="1:14" x14ac:dyDescent="0.3">
      <c r="A772" s="1">
        <v>46065.512824074074</v>
      </c>
      <c r="B772">
        <v>379386288</v>
      </c>
      <c r="C772" t="s">
        <v>370</v>
      </c>
      <c r="D772" t="s">
        <v>15</v>
      </c>
      <c r="E772" s="2">
        <v>14100</v>
      </c>
      <c r="F772" s="2">
        <v>14100</v>
      </c>
      <c r="G772" s="2">
        <v>9870</v>
      </c>
      <c r="I772" t="s">
        <v>102</v>
      </c>
      <c r="J772" t="s">
        <v>23</v>
      </c>
      <c r="K772" t="s">
        <v>18</v>
      </c>
      <c r="L772" t="str">
        <f>T("9791175307438")</f>
        <v>9791175307438</v>
      </c>
      <c r="M772" t="str">
        <f t="shared" si="18"/>
        <v/>
      </c>
    </row>
    <row r="773" spans="1:14" x14ac:dyDescent="0.3">
      <c r="A773" s="1">
        <v>46065.51284722222</v>
      </c>
      <c r="B773">
        <v>367023539</v>
      </c>
      <c r="C773" t="s">
        <v>342</v>
      </c>
      <c r="D773" t="s">
        <v>15</v>
      </c>
      <c r="E773" s="2">
        <v>1300</v>
      </c>
      <c r="F773" s="2">
        <v>1300</v>
      </c>
      <c r="G773">
        <v>910</v>
      </c>
      <c r="I773" t="s">
        <v>294</v>
      </c>
      <c r="J773" t="s">
        <v>23</v>
      </c>
      <c r="K773" t="s">
        <v>18</v>
      </c>
      <c r="L773" t="str">
        <f>T("9791173785634")</f>
        <v>9791173785634</v>
      </c>
      <c r="M773" t="str">
        <f t="shared" si="18"/>
        <v/>
      </c>
      <c r="N773">
        <v>950711</v>
      </c>
    </row>
    <row r="774" spans="1:14" x14ac:dyDescent="0.3">
      <c r="A774" s="1">
        <v>46065.523148148146</v>
      </c>
      <c r="B774">
        <v>385636847</v>
      </c>
      <c r="C774" t="s">
        <v>245</v>
      </c>
      <c r="D774" t="s">
        <v>89</v>
      </c>
      <c r="E774" s="2">
        <v>9450</v>
      </c>
      <c r="F774" s="2">
        <v>9450</v>
      </c>
      <c r="G774" s="2">
        <v>6615</v>
      </c>
      <c r="I774" t="s">
        <v>246</v>
      </c>
      <c r="J774" t="s">
        <v>23</v>
      </c>
      <c r="K774" t="s">
        <v>18</v>
      </c>
      <c r="L774" t="str">
        <f>T("9791175309517")</f>
        <v>9791175309517</v>
      </c>
      <c r="M774" t="str">
        <f t="shared" si="18"/>
        <v/>
      </c>
    </row>
    <row r="775" spans="1:14" x14ac:dyDescent="0.3">
      <c r="A775" s="1">
        <v>46065.523229166669</v>
      </c>
      <c r="B775">
        <v>385636847</v>
      </c>
      <c r="C775" t="s">
        <v>245</v>
      </c>
      <c r="D775" t="s">
        <v>89</v>
      </c>
      <c r="E775" s="2">
        <v>9450</v>
      </c>
      <c r="F775" s="2">
        <v>9450</v>
      </c>
      <c r="G775" s="2">
        <v>6615</v>
      </c>
      <c r="I775" t="s">
        <v>246</v>
      </c>
      <c r="J775" t="s">
        <v>23</v>
      </c>
      <c r="K775" t="s">
        <v>18</v>
      </c>
      <c r="L775" t="str">
        <f>T("9791175309517")</f>
        <v>9791175309517</v>
      </c>
      <c r="M775" t="str">
        <f t="shared" si="18"/>
        <v/>
      </c>
    </row>
    <row r="776" spans="1:14" x14ac:dyDescent="0.3">
      <c r="A776" s="1">
        <v>46065.549664351849</v>
      </c>
      <c r="B776">
        <v>385636847</v>
      </c>
      <c r="C776" t="s">
        <v>245</v>
      </c>
      <c r="D776" t="s">
        <v>89</v>
      </c>
      <c r="E776" s="2">
        <v>9450</v>
      </c>
      <c r="F776" s="2">
        <v>9450</v>
      </c>
      <c r="G776" s="2">
        <v>6615</v>
      </c>
      <c r="I776" t="s">
        <v>246</v>
      </c>
      <c r="J776" t="s">
        <v>23</v>
      </c>
      <c r="K776" t="s">
        <v>18</v>
      </c>
      <c r="L776" t="str">
        <f>T("9791175309517")</f>
        <v>9791175309517</v>
      </c>
      <c r="M776" t="str">
        <f t="shared" si="18"/>
        <v/>
      </c>
    </row>
    <row r="777" spans="1:14" x14ac:dyDescent="0.3">
      <c r="A777" s="1">
        <v>46065.583067129628</v>
      </c>
      <c r="B777">
        <v>371528681</v>
      </c>
      <c r="C777" t="s">
        <v>230</v>
      </c>
      <c r="D777" t="s">
        <v>15</v>
      </c>
      <c r="E777" s="2">
        <v>3000</v>
      </c>
      <c r="F777" s="2">
        <v>3000</v>
      </c>
      <c r="G777" s="2">
        <v>2100</v>
      </c>
      <c r="I777" t="s">
        <v>226</v>
      </c>
      <c r="J777" t="s">
        <v>23</v>
      </c>
      <c r="K777" t="s">
        <v>18</v>
      </c>
      <c r="L777" t="str">
        <f>T("9791175304352")</f>
        <v>9791175304352</v>
      </c>
      <c r="M777" t="str">
        <f t="shared" si="18"/>
        <v/>
      </c>
      <c r="N777">
        <v>952536</v>
      </c>
    </row>
    <row r="778" spans="1:14" x14ac:dyDescent="0.3">
      <c r="A778" s="1">
        <v>46065.608807870369</v>
      </c>
      <c r="B778">
        <v>378759363</v>
      </c>
      <c r="C778" t="s">
        <v>179</v>
      </c>
      <c r="D778" t="s">
        <v>15</v>
      </c>
      <c r="E778" s="2">
        <v>3000</v>
      </c>
      <c r="F778" s="2">
        <v>2700</v>
      </c>
      <c r="G778" s="2">
        <v>1890</v>
      </c>
      <c r="I778" t="s">
        <v>87</v>
      </c>
      <c r="J778" t="s">
        <v>23</v>
      </c>
      <c r="K778" t="s">
        <v>18</v>
      </c>
      <c r="L778" t="str">
        <f>T("9791175302778")</f>
        <v>9791175302778</v>
      </c>
      <c r="M778" t="str">
        <f t="shared" si="18"/>
        <v/>
      </c>
      <c r="N778">
        <v>954952</v>
      </c>
    </row>
    <row r="779" spans="1:14" x14ac:dyDescent="0.3">
      <c r="A779" s="1">
        <v>46065.617291666669</v>
      </c>
      <c r="B779">
        <v>383003499</v>
      </c>
      <c r="C779" t="s">
        <v>371</v>
      </c>
      <c r="D779" t="s">
        <v>15</v>
      </c>
      <c r="E779" s="2">
        <v>3200</v>
      </c>
      <c r="F779" s="2">
        <v>3200</v>
      </c>
      <c r="G779" s="2">
        <v>2240</v>
      </c>
      <c r="I779" t="s">
        <v>365</v>
      </c>
      <c r="J779" t="s">
        <v>59</v>
      </c>
      <c r="K779" t="s">
        <v>18</v>
      </c>
      <c r="L779" t="str">
        <f>T("9791173788987")</f>
        <v>9791173788987</v>
      </c>
      <c r="M779" t="str">
        <f t="shared" si="18"/>
        <v/>
      </c>
      <c r="N779">
        <v>951998</v>
      </c>
    </row>
    <row r="780" spans="1:14" x14ac:dyDescent="0.3">
      <c r="A780" s="1">
        <v>46065.63652777778</v>
      </c>
      <c r="B780">
        <v>347724193</v>
      </c>
      <c r="C780" t="s">
        <v>372</v>
      </c>
      <c r="D780" t="s">
        <v>15</v>
      </c>
      <c r="E780" s="2">
        <v>2000</v>
      </c>
      <c r="F780" s="2">
        <v>2000</v>
      </c>
      <c r="G780" s="2">
        <v>1400</v>
      </c>
      <c r="I780" t="s">
        <v>236</v>
      </c>
      <c r="J780" t="s">
        <v>70</v>
      </c>
      <c r="K780" t="s">
        <v>18</v>
      </c>
      <c r="L780" t="str">
        <f>T("9791136940742")</f>
        <v>9791136940742</v>
      </c>
      <c r="M780" t="str">
        <f t="shared" si="18"/>
        <v/>
      </c>
      <c r="N780">
        <v>928673</v>
      </c>
    </row>
    <row r="781" spans="1:14" x14ac:dyDescent="0.3">
      <c r="A781" s="1">
        <v>46065.665150462963</v>
      </c>
      <c r="B781">
        <v>385636847</v>
      </c>
      <c r="C781" t="s">
        <v>245</v>
      </c>
      <c r="D781" t="s">
        <v>89</v>
      </c>
      <c r="E781" s="2">
        <v>9450</v>
      </c>
      <c r="F781" s="2">
        <v>9450</v>
      </c>
      <c r="G781" s="2">
        <v>6615</v>
      </c>
      <c r="I781" t="s">
        <v>246</v>
      </c>
      <c r="J781" t="s">
        <v>23</v>
      </c>
      <c r="K781" t="s">
        <v>18</v>
      </c>
      <c r="L781" t="str">
        <f>T("9791175309517")</f>
        <v>9791175309517</v>
      </c>
      <c r="M781" t="str">
        <f t="shared" si="18"/>
        <v/>
      </c>
    </row>
    <row r="782" spans="1:14" x14ac:dyDescent="0.3">
      <c r="A782" s="1">
        <v>46065.678576388891</v>
      </c>
      <c r="B782">
        <v>385348415</v>
      </c>
      <c r="C782" t="s">
        <v>88</v>
      </c>
      <c r="D782" t="s">
        <v>15</v>
      </c>
      <c r="E782" s="2">
        <v>9600</v>
      </c>
      <c r="F782" s="2">
        <v>8640</v>
      </c>
      <c r="G782" s="2">
        <v>6048</v>
      </c>
      <c r="I782" t="s">
        <v>90</v>
      </c>
      <c r="J782" t="s">
        <v>23</v>
      </c>
      <c r="K782" t="s">
        <v>18</v>
      </c>
      <c r="L782" t="str">
        <f>T("9791175308350")</f>
        <v>9791175308350</v>
      </c>
      <c r="M782" t="str">
        <f t="shared" si="18"/>
        <v/>
      </c>
    </row>
    <row r="783" spans="1:14" x14ac:dyDescent="0.3">
      <c r="A783" s="1">
        <v>46065.679236111115</v>
      </c>
      <c r="B783">
        <v>385348415</v>
      </c>
      <c r="C783" t="s">
        <v>88</v>
      </c>
      <c r="D783" t="s">
        <v>15</v>
      </c>
      <c r="E783" s="2">
        <v>9600</v>
      </c>
      <c r="F783" s="2">
        <v>8640</v>
      </c>
      <c r="G783" s="2">
        <v>6048</v>
      </c>
      <c r="I783" t="s">
        <v>90</v>
      </c>
      <c r="J783" t="s">
        <v>23</v>
      </c>
      <c r="K783" t="s">
        <v>18</v>
      </c>
      <c r="L783" t="str">
        <f>T("9791175308350")</f>
        <v>9791175308350</v>
      </c>
      <c r="M783" t="str">
        <f t="shared" si="18"/>
        <v/>
      </c>
    </row>
    <row r="784" spans="1:14" x14ac:dyDescent="0.3">
      <c r="A784" s="1">
        <v>46065.679236111115</v>
      </c>
      <c r="B784">
        <v>385636847</v>
      </c>
      <c r="C784" t="s">
        <v>245</v>
      </c>
      <c r="D784" t="s">
        <v>15</v>
      </c>
      <c r="E784" s="2">
        <v>10500</v>
      </c>
      <c r="F784" s="2">
        <v>9450</v>
      </c>
      <c r="G784" s="2">
        <v>6615</v>
      </c>
      <c r="I784" t="s">
        <v>246</v>
      </c>
      <c r="J784" t="s">
        <v>23</v>
      </c>
      <c r="K784" t="s">
        <v>18</v>
      </c>
      <c r="L784" t="str">
        <f>T("9791175309517")</f>
        <v>9791175309517</v>
      </c>
      <c r="M784" t="str">
        <f t="shared" si="18"/>
        <v/>
      </c>
    </row>
    <row r="785" spans="1:14" x14ac:dyDescent="0.3">
      <c r="A785" s="1">
        <v>46065.685868055552</v>
      </c>
      <c r="B785">
        <v>385636847</v>
      </c>
      <c r="C785" t="s">
        <v>245</v>
      </c>
      <c r="D785" t="s">
        <v>89</v>
      </c>
      <c r="E785" s="2">
        <v>9450</v>
      </c>
      <c r="F785" s="2">
        <v>9450</v>
      </c>
      <c r="G785" s="2">
        <v>6615</v>
      </c>
      <c r="I785" t="s">
        <v>246</v>
      </c>
      <c r="J785" t="s">
        <v>23</v>
      </c>
      <c r="K785" t="s">
        <v>18</v>
      </c>
      <c r="L785" t="str">
        <f>T("9791175309517")</f>
        <v>9791175309517</v>
      </c>
      <c r="M785" t="str">
        <f t="shared" si="18"/>
        <v/>
      </c>
    </row>
    <row r="786" spans="1:14" x14ac:dyDescent="0.3">
      <c r="A786" s="1">
        <v>46065.744664351849</v>
      </c>
      <c r="B786">
        <v>385831063</v>
      </c>
      <c r="C786" t="s">
        <v>343</v>
      </c>
      <c r="D786" t="s">
        <v>89</v>
      </c>
      <c r="E786" s="2">
        <v>10800</v>
      </c>
      <c r="F786" s="2">
        <v>10800</v>
      </c>
      <c r="G786" s="2">
        <v>7560</v>
      </c>
      <c r="I786" t="s">
        <v>344</v>
      </c>
      <c r="J786" t="s">
        <v>23</v>
      </c>
      <c r="K786" t="s">
        <v>18</v>
      </c>
      <c r="L786" t="str">
        <f>T("9791175309456")</f>
        <v>9791175309456</v>
      </c>
      <c r="M786" t="str">
        <f t="shared" si="18"/>
        <v/>
      </c>
    </row>
    <row r="787" spans="1:14" x14ac:dyDescent="0.3">
      <c r="A787" s="1">
        <v>46065.753148148149</v>
      </c>
      <c r="B787">
        <v>385636847</v>
      </c>
      <c r="C787" t="s">
        <v>245</v>
      </c>
      <c r="D787" t="s">
        <v>89</v>
      </c>
      <c r="E787" s="2">
        <v>9450</v>
      </c>
      <c r="F787" s="2">
        <v>9450</v>
      </c>
      <c r="G787" s="2">
        <v>6615</v>
      </c>
      <c r="I787" t="s">
        <v>246</v>
      </c>
      <c r="J787" t="s">
        <v>23</v>
      </c>
      <c r="K787" t="s">
        <v>18</v>
      </c>
      <c r="L787" t="str">
        <f t="shared" ref="L787:L794" si="19">T("9791175309517")</f>
        <v>9791175309517</v>
      </c>
      <c r="M787" t="str">
        <f t="shared" si="18"/>
        <v/>
      </c>
    </row>
    <row r="788" spans="1:14" x14ac:dyDescent="0.3">
      <c r="A788" s="1">
        <v>46065.755624999998</v>
      </c>
      <c r="B788">
        <v>385636847</v>
      </c>
      <c r="C788" t="s">
        <v>245</v>
      </c>
      <c r="D788" t="s">
        <v>89</v>
      </c>
      <c r="E788" s="2">
        <v>-9450</v>
      </c>
      <c r="F788" s="2">
        <v>-9450</v>
      </c>
      <c r="G788" s="2">
        <v>-6615</v>
      </c>
      <c r="H788" s="1">
        <v>46065.755162037036</v>
      </c>
      <c r="I788" t="s">
        <v>246</v>
      </c>
      <c r="J788" t="s">
        <v>23</v>
      </c>
      <c r="K788" t="s">
        <v>18</v>
      </c>
      <c r="L788" t="str">
        <f t="shared" si="19"/>
        <v>9791175309517</v>
      </c>
      <c r="M788" t="str">
        <f t="shared" si="18"/>
        <v/>
      </c>
    </row>
    <row r="789" spans="1:14" x14ac:dyDescent="0.3">
      <c r="A789" s="1">
        <v>46065.755162037036</v>
      </c>
      <c r="B789">
        <v>385636847</v>
      </c>
      <c r="C789" t="s">
        <v>245</v>
      </c>
      <c r="D789" t="s">
        <v>89</v>
      </c>
      <c r="E789" s="2">
        <v>9450</v>
      </c>
      <c r="F789" s="2">
        <v>9450</v>
      </c>
      <c r="G789" s="2">
        <v>6615</v>
      </c>
      <c r="I789" t="s">
        <v>246</v>
      </c>
      <c r="J789" t="s">
        <v>23</v>
      </c>
      <c r="K789" t="s">
        <v>18</v>
      </c>
      <c r="L789" t="str">
        <f t="shared" si="19"/>
        <v>9791175309517</v>
      </c>
      <c r="M789" t="str">
        <f t="shared" si="18"/>
        <v/>
      </c>
    </row>
    <row r="790" spans="1:14" x14ac:dyDescent="0.3">
      <c r="A790" s="1">
        <v>46065.757037037038</v>
      </c>
      <c r="B790">
        <v>385636847</v>
      </c>
      <c r="C790" t="s">
        <v>245</v>
      </c>
      <c r="D790" t="s">
        <v>89</v>
      </c>
      <c r="E790" s="2">
        <v>9450</v>
      </c>
      <c r="F790" s="2">
        <v>9450</v>
      </c>
      <c r="G790" s="2">
        <v>6615</v>
      </c>
      <c r="I790" t="s">
        <v>246</v>
      </c>
      <c r="J790" t="s">
        <v>23</v>
      </c>
      <c r="K790" t="s">
        <v>18</v>
      </c>
      <c r="L790" t="str">
        <f t="shared" si="19"/>
        <v>9791175309517</v>
      </c>
      <c r="M790" t="str">
        <f t="shared" si="18"/>
        <v/>
      </c>
    </row>
    <row r="791" spans="1:14" x14ac:dyDescent="0.3">
      <c r="A791" s="1">
        <v>46065.792002314818</v>
      </c>
      <c r="B791">
        <v>385636847</v>
      </c>
      <c r="C791" t="s">
        <v>245</v>
      </c>
      <c r="D791" t="s">
        <v>89</v>
      </c>
      <c r="E791" s="2">
        <v>9450</v>
      </c>
      <c r="F791" s="2">
        <v>9450</v>
      </c>
      <c r="G791" s="2">
        <v>6615</v>
      </c>
      <c r="I791" t="s">
        <v>246</v>
      </c>
      <c r="J791" t="s">
        <v>23</v>
      </c>
      <c r="K791" t="s">
        <v>18</v>
      </c>
      <c r="L791" t="str">
        <f t="shared" si="19"/>
        <v>9791175309517</v>
      </c>
      <c r="M791" t="str">
        <f t="shared" si="18"/>
        <v/>
      </c>
    </row>
    <row r="792" spans="1:14" x14ac:dyDescent="0.3">
      <c r="A792" s="1">
        <v>46065.804432870369</v>
      </c>
      <c r="B792">
        <v>385636847</v>
      </c>
      <c r="C792" t="s">
        <v>245</v>
      </c>
      <c r="D792" t="s">
        <v>89</v>
      </c>
      <c r="E792" s="2">
        <v>9450</v>
      </c>
      <c r="F792" s="2">
        <v>9450</v>
      </c>
      <c r="G792" s="2">
        <v>6615</v>
      </c>
      <c r="I792" t="s">
        <v>246</v>
      </c>
      <c r="J792" t="s">
        <v>23</v>
      </c>
      <c r="K792" t="s">
        <v>18</v>
      </c>
      <c r="L792" t="str">
        <f t="shared" si="19"/>
        <v>9791175309517</v>
      </c>
      <c r="M792" t="str">
        <f t="shared" ref="M792:M855" si="20">T("")</f>
        <v/>
      </c>
    </row>
    <row r="793" spans="1:14" x14ac:dyDescent="0.3">
      <c r="A793" s="1">
        <v>46067.790937500002</v>
      </c>
      <c r="B793">
        <v>385636847</v>
      </c>
      <c r="C793" t="s">
        <v>245</v>
      </c>
      <c r="D793" t="s">
        <v>89</v>
      </c>
      <c r="E793" s="2">
        <v>-9450</v>
      </c>
      <c r="F793" s="2">
        <v>-9450</v>
      </c>
      <c r="G793" s="2">
        <v>-6615</v>
      </c>
      <c r="H793" s="1">
        <v>46065.8200462963</v>
      </c>
      <c r="I793" t="s">
        <v>246</v>
      </c>
      <c r="J793" t="s">
        <v>23</v>
      </c>
      <c r="K793" t="s">
        <v>18</v>
      </c>
      <c r="L793" t="str">
        <f t="shared" si="19"/>
        <v>9791175309517</v>
      </c>
      <c r="M793" t="str">
        <f t="shared" si="20"/>
        <v/>
      </c>
    </row>
    <row r="794" spans="1:14" x14ac:dyDescent="0.3">
      <c r="A794" s="1">
        <v>46065.8200462963</v>
      </c>
      <c r="B794">
        <v>385636847</v>
      </c>
      <c r="C794" t="s">
        <v>245</v>
      </c>
      <c r="D794" t="s">
        <v>89</v>
      </c>
      <c r="E794" s="2">
        <v>9450</v>
      </c>
      <c r="F794" s="2">
        <v>9450</v>
      </c>
      <c r="G794" s="2">
        <v>6615</v>
      </c>
      <c r="I794" t="s">
        <v>246</v>
      </c>
      <c r="J794" t="s">
        <v>23</v>
      </c>
      <c r="K794" t="s">
        <v>18</v>
      </c>
      <c r="L794" t="str">
        <f t="shared" si="19"/>
        <v>9791175309517</v>
      </c>
      <c r="M794" t="str">
        <f t="shared" si="20"/>
        <v/>
      </c>
    </row>
    <row r="795" spans="1:14" x14ac:dyDescent="0.3">
      <c r="A795" s="1">
        <v>46065.827523148146</v>
      </c>
      <c r="B795">
        <v>385831063</v>
      </c>
      <c r="C795" t="s">
        <v>343</v>
      </c>
      <c r="D795" t="s">
        <v>89</v>
      </c>
      <c r="E795" s="2">
        <v>10800</v>
      </c>
      <c r="F795" s="2">
        <v>10800</v>
      </c>
      <c r="G795" s="2">
        <v>7560</v>
      </c>
      <c r="I795" t="s">
        <v>344</v>
      </c>
      <c r="J795" t="s">
        <v>23</v>
      </c>
      <c r="K795" t="s">
        <v>18</v>
      </c>
      <c r="L795" t="str">
        <f>T("9791175309456")</f>
        <v>9791175309456</v>
      </c>
      <c r="M795" t="str">
        <f t="shared" si="20"/>
        <v/>
      </c>
    </row>
    <row r="796" spans="1:14" x14ac:dyDescent="0.3">
      <c r="A796" s="1">
        <v>46065.829212962963</v>
      </c>
      <c r="B796">
        <v>346154276</v>
      </c>
      <c r="C796" t="s">
        <v>46</v>
      </c>
      <c r="D796" t="s">
        <v>15</v>
      </c>
      <c r="E796" s="2">
        <v>3300</v>
      </c>
      <c r="F796" s="2">
        <v>3300</v>
      </c>
      <c r="G796" s="2">
        <v>2310</v>
      </c>
      <c r="I796" t="s">
        <v>32</v>
      </c>
      <c r="J796" t="s">
        <v>23</v>
      </c>
      <c r="K796" t="s">
        <v>18</v>
      </c>
      <c r="L796" t="str">
        <f>T("9791136940704")</f>
        <v>9791136940704</v>
      </c>
      <c r="M796" t="str">
        <f t="shared" si="20"/>
        <v/>
      </c>
      <c r="N796">
        <v>928442</v>
      </c>
    </row>
    <row r="797" spans="1:14" x14ac:dyDescent="0.3">
      <c r="A797" s="1">
        <v>46065.835023148145</v>
      </c>
      <c r="B797">
        <v>385636847</v>
      </c>
      <c r="C797" t="s">
        <v>245</v>
      </c>
      <c r="D797" t="s">
        <v>89</v>
      </c>
      <c r="E797" s="2">
        <v>9450</v>
      </c>
      <c r="F797" s="2">
        <v>9450</v>
      </c>
      <c r="G797" s="2">
        <v>6615</v>
      </c>
      <c r="I797" t="s">
        <v>246</v>
      </c>
      <c r="J797" t="s">
        <v>23</v>
      </c>
      <c r="K797" t="s">
        <v>18</v>
      </c>
      <c r="L797" t="str">
        <f>T("9791175309517")</f>
        <v>9791175309517</v>
      </c>
      <c r="M797" t="str">
        <f t="shared" si="20"/>
        <v/>
      </c>
    </row>
    <row r="798" spans="1:14" x14ac:dyDescent="0.3">
      <c r="A798" s="1">
        <v>46065.858564814815</v>
      </c>
      <c r="B798">
        <v>385831063</v>
      </c>
      <c r="C798" t="s">
        <v>343</v>
      </c>
      <c r="D798" t="s">
        <v>89</v>
      </c>
      <c r="E798" s="2">
        <v>10800</v>
      </c>
      <c r="F798" s="2">
        <v>10800</v>
      </c>
      <c r="G798" s="2">
        <v>7560</v>
      </c>
      <c r="I798" t="s">
        <v>344</v>
      </c>
      <c r="J798" t="s">
        <v>23</v>
      </c>
      <c r="K798" t="s">
        <v>18</v>
      </c>
      <c r="L798" t="str">
        <f>T("9791175309456")</f>
        <v>9791175309456</v>
      </c>
      <c r="M798" t="str">
        <f t="shared" si="20"/>
        <v/>
      </c>
    </row>
    <row r="799" spans="1:14" x14ac:dyDescent="0.3">
      <c r="A799" s="1">
        <v>46065.875</v>
      </c>
      <c r="B799">
        <v>385636847</v>
      </c>
      <c r="C799" t="s">
        <v>245</v>
      </c>
      <c r="D799" t="s">
        <v>89</v>
      </c>
      <c r="E799" s="2">
        <v>9450</v>
      </c>
      <c r="F799" s="2">
        <v>9450</v>
      </c>
      <c r="G799" s="2">
        <v>6615</v>
      </c>
      <c r="I799" t="s">
        <v>246</v>
      </c>
      <c r="J799" t="s">
        <v>23</v>
      </c>
      <c r="K799" t="s">
        <v>18</v>
      </c>
      <c r="L799" t="str">
        <f>T("9791175309517")</f>
        <v>9791175309517</v>
      </c>
      <c r="M799" t="str">
        <f t="shared" si="20"/>
        <v/>
      </c>
    </row>
    <row r="800" spans="1:14" x14ac:dyDescent="0.3">
      <c r="A800" s="1">
        <v>46065.875462962962</v>
      </c>
      <c r="B800">
        <v>385636847</v>
      </c>
      <c r="C800" t="s">
        <v>245</v>
      </c>
      <c r="D800" t="s">
        <v>89</v>
      </c>
      <c r="E800" s="2">
        <v>9450</v>
      </c>
      <c r="F800" s="2">
        <v>9450</v>
      </c>
      <c r="G800" s="2">
        <v>6615</v>
      </c>
      <c r="I800" t="s">
        <v>246</v>
      </c>
      <c r="J800" t="s">
        <v>23</v>
      </c>
      <c r="K800" t="s">
        <v>18</v>
      </c>
      <c r="L800" t="str">
        <f>T("9791175309517")</f>
        <v>9791175309517</v>
      </c>
      <c r="M800" t="str">
        <f t="shared" si="20"/>
        <v/>
      </c>
    </row>
    <row r="801" spans="1:14" x14ac:dyDescent="0.3">
      <c r="A801" s="1">
        <v>46065.884282407409</v>
      </c>
      <c r="B801">
        <v>385636847</v>
      </c>
      <c r="C801" t="s">
        <v>245</v>
      </c>
      <c r="D801" t="s">
        <v>89</v>
      </c>
      <c r="E801" s="2">
        <v>9450</v>
      </c>
      <c r="F801" s="2">
        <v>9450</v>
      </c>
      <c r="G801" s="2">
        <v>6615</v>
      </c>
      <c r="I801" t="s">
        <v>246</v>
      </c>
      <c r="J801" t="s">
        <v>23</v>
      </c>
      <c r="K801" t="s">
        <v>18</v>
      </c>
      <c r="L801" t="str">
        <f>T("9791175309517")</f>
        <v>9791175309517</v>
      </c>
      <c r="M801" t="str">
        <f t="shared" si="20"/>
        <v/>
      </c>
    </row>
    <row r="802" spans="1:14" x14ac:dyDescent="0.3">
      <c r="A802" s="1">
        <v>46065.889305555553</v>
      </c>
      <c r="B802">
        <v>385831063</v>
      </c>
      <c r="C802" t="s">
        <v>343</v>
      </c>
      <c r="D802" t="s">
        <v>89</v>
      </c>
      <c r="E802" s="2">
        <v>10800</v>
      </c>
      <c r="F802" s="2">
        <v>10800</v>
      </c>
      <c r="G802" s="2">
        <v>7560</v>
      </c>
      <c r="I802" t="s">
        <v>344</v>
      </c>
      <c r="J802" t="s">
        <v>23</v>
      </c>
      <c r="K802" t="s">
        <v>18</v>
      </c>
      <c r="L802" t="str">
        <f>T("9791175309456")</f>
        <v>9791175309456</v>
      </c>
      <c r="M802" t="str">
        <f t="shared" si="20"/>
        <v/>
      </c>
    </row>
    <row r="803" spans="1:14" x14ac:dyDescent="0.3">
      <c r="A803" s="1">
        <v>46065.889560185184</v>
      </c>
      <c r="B803">
        <v>385636847</v>
      </c>
      <c r="C803" t="s">
        <v>245</v>
      </c>
      <c r="D803" t="s">
        <v>89</v>
      </c>
      <c r="E803" s="2">
        <v>9450</v>
      </c>
      <c r="F803" s="2">
        <v>9450</v>
      </c>
      <c r="G803" s="2">
        <v>6615</v>
      </c>
      <c r="I803" t="s">
        <v>246</v>
      </c>
      <c r="J803" t="s">
        <v>23</v>
      </c>
      <c r="K803" t="s">
        <v>18</v>
      </c>
      <c r="L803" t="str">
        <f>T("9791175309517")</f>
        <v>9791175309517</v>
      </c>
      <c r="M803" t="str">
        <f t="shared" si="20"/>
        <v/>
      </c>
    </row>
    <row r="804" spans="1:14" x14ac:dyDescent="0.3">
      <c r="A804" s="1">
        <v>46065.892025462963</v>
      </c>
      <c r="B804">
        <v>385831063</v>
      </c>
      <c r="C804" t="s">
        <v>343</v>
      </c>
      <c r="D804" t="s">
        <v>89</v>
      </c>
      <c r="E804" s="2">
        <v>10800</v>
      </c>
      <c r="F804" s="2">
        <v>10800</v>
      </c>
      <c r="G804" s="2">
        <v>7560</v>
      </c>
      <c r="I804" t="s">
        <v>344</v>
      </c>
      <c r="J804" t="s">
        <v>23</v>
      </c>
      <c r="K804" t="s">
        <v>18</v>
      </c>
      <c r="L804" t="str">
        <f>T("9791175309456")</f>
        <v>9791175309456</v>
      </c>
      <c r="M804" t="str">
        <f t="shared" si="20"/>
        <v/>
      </c>
    </row>
    <row r="805" spans="1:14" x14ac:dyDescent="0.3">
      <c r="A805" s="1">
        <v>46065.893321759257</v>
      </c>
      <c r="B805">
        <v>363738065</v>
      </c>
      <c r="C805" t="s">
        <v>24</v>
      </c>
      <c r="D805" t="s">
        <v>15</v>
      </c>
      <c r="E805" s="2">
        <v>10800</v>
      </c>
      <c r="F805" s="2">
        <v>10800</v>
      </c>
      <c r="G805" s="2">
        <v>7560</v>
      </c>
      <c r="I805" t="s">
        <v>25</v>
      </c>
      <c r="J805" t="s">
        <v>23</v>
      </c>
      <c r="K805" t="s">
        <v>18</v>
      </c>
      <c r="L805" t="str">
        <f>T("9791173783708")</f>
        <v>9791173783708</v>
      </c>
      <c r="M805" t="str">
        <f t="shared" si="20"/>
        <v/>
      </c>
    </row>
    <row r="806" spans="1:14" x14ac:dyDescent="0.3">
      <c r="A806" s="1">
        <v>46065.894189814811</v>
      </c>
      <c r="B806">
        <v>385636847</v>
      </c>
      <c r="C806" t="s">
        <v>245</v>
      </c>
      <c r="D806" t="s">
        <v>89</v>
      </c>
      <c r="E806" s="2">
        <v>9450</v>
      </c>
      <c r="F806" s="2">
        <v>9450</v>
      </c>
      <c r="G806" s="2">
        <v>6615</v>
      </c>
      <c r="I806" t="s">
        <v>246</v>
      </c>
      <c r="J806" t="s">
        <v>23</v>
      </c>
      <c r="K806" t="s">
        <v>18</v>
      </c>
      <c r="L806" t="str">
        <f>T("9791175309517")</f>
        <v>9791175309517</v>
      </c>
      <c r="M806" t="str">
        <f t="shared" si="20"/>
        <v/>
      </c>
    </row>
    <row r="807" spans="1:14" x14ac:dyDescent="0.3">
      <c r="A807" s="1">
        <v>46065.895173611112</v>
      </c>
      <c r="B807">
        <v>385831063</v>
      </c>
      <c r="C807" t="s">
        <v>343</v>
      </c>
      <c r="D807" t="s">
        <v>89</v>
      </c>
      <c r="E807" s="2">
        <v>10800</v>
      </c>
      <c r="F807" s="2">
        <v>10800</v>
      </c>
      <c r="G807" s="2">
        <v>7560</v>
      </c>
      <c r="I807" t="s">
        <v>344</v>
      </c>
      <c r="J807" t="s">
        <v>23</v>
      </c>
      <c r="K807" t="s">
        <v>18</v>
      </c>
      <c r="L807" t="str">
        <f>T("9791175309456")</f>
        <v>9791175309456</v>
      </c>
      <c r="M807" t="str">
        <f t="shared" si="20"/>
        <v/>
      </c>
    </row>
    <row r="808" spans="1:14" x14ac:dyDescent="0.3">
      <c r="A808" s="1">
        <v>46065.902175925927</v>
      </c>
      <c r="B808">
        <v>385831063</v>
      </c>
      <c r="C808" t="s">
        <v>343</v>
      </c>
      <c r="D808" t="s">
        <v>89</v>
      </c>
      <c r="E808" s="2">
        <v>10800</v>
      </c>
      <c r="F808" s="2">
        <v>10800</v>
      </c>
      <c r="G808" s="2">
        <v>7560</v>
      </c>
      <c r="I808" t="s">
        <v>344</v>
      </c>
      <c r="J808" t="s">
        <v>23</v>
      </c>
      <c r="K808" t="s">
        <v>18</v>
      </c>
      <c r="L808" t="str">
        <f>T("9791175309456")</f>
        <v>9791175309456</v>
      </c>
      <c r="M808" t="str">
        <f t="shared" si="20"/>
        <v/>
      </c>
    </row>
    <row r="809" spans="1:14" x14ac:dyDescent="0.3">
      <c r="A809" s="1">
        <v>46065.90965277778</v>
      </c>
      <c r="B809">
        <v>345344239</v>
      </c>
      <c r="C809" t="s">
        <v>373</v>
      </c>
      <c r="D809" t="s">
        <v>15</v>
      </c>
      <c r="E809" s="2">
        <v>3000</v>
      </c>
      <c r="F809" s="2">
        <v>3000</v>
      </c>
      <c r="G809" s="2">
        <v>2100</v>
      </c>
      <c r="I809" t="s">
        <v>374</v>
      </c>
      <c r="J809" t="s">
        <v>49</v>
      </c>
      <c r="K809" t="s">
        <v>18</v>
      </c>
      <c r="L809" t="str">
        <f>T("9791136985644")</f>
        <v>9791136985644</v>
      </c>
      <c r="M809" t="str">
        <f t="shared" si="20"/>
        <v/>
      </c>
      <c r="N809">
        <v>926539</v>
      </c>
    </row>
    <row r="810" spans="1:14" x14ac:dyDescent="0.3">
      <c r="A810" s="1">
        <v>46065.912164351852</v>
      </c>
      <c r="B810">
        <v>385831063</v>
      </c>
      <c r="C810" t="s">
        <v>343</v>
      </c>
      <c r="D810" t="s">
        <v>89</v>
      </c>
      <c r="E810" s="2">
        <v>10800</v>
      </c>
      <c r="F810" s="2">
        <v>10800</v>
      </c>
      <c r="G810" s="2">
        <v>7560</v>
      </c>
      <c r="I810" t="s">
        <v>344</v>
      </c>
      <c r="J810" t="s">
        <v>23</v>
      </c>
      <c r="K810" t="s">
        <v>18</v>
      </c>
      <c r="L810" t="str">
        <f>T("9791175309456")</f>
        <v>9791175309456</v>
      </c>
      <c r="M810" t="str">
        <f t="shared" si="20"/>
        <v/>
      </c>
    </row>
    <row r="811" spans="1:14" x14ac:dyDescent="0.3">
      <c r="A811" s="1">
        <v>46065.925983796296</v>
      </c>
      <c r="B811">
        <v>385636847</v>
      </c>
      <c r="C811" t="s">
        <v>245</v>
      </c>
      <c r="D811" t="s">
        <v>89</v>
      </c>
      <c r="E811" s="2">
        <v>9450</v>
      </c>
      <c r="F811" s="2">
        <v>9450</v>
      </c>
      <c r="G811" s="2">
        <v>6615</v>
      </c>
      <c r="I811" t="s">
        <v>246</v>
      </c>
      <c r="J811" t="s">
        <v>23</v>
      </c>
      <c r="K811" t="s">
        <v>18</v>
      </c>
      <c r="L811" t="str">
        <f>T("9791175309517")</f>
        <v>9791175309517</v>
      </c>
      <c r="M811" t="str">
        <f t="shared" si="20"/>
        <v/>
      </c>
    </row>
    <row r="812" spans="1:14" x14ac:dyDescent="0.3">
      <c r="A812" s="1">
        <v>46065.9375</v>
      </c>
      <c r="B812">
        <v>385636847</v>
      </c>
      <c r="C812" t="s">
        <v>245</v>
      </c>
      <c r="D812" t="s">
        <v>89</v>
      </c>
      <c r="E812" s="2">
        <v>9450</v>
      </c>
      <c r="F812" s="2">
        <v>9450</v>
      </c>
      <c r="G812" s="2">
        <v>6615</v>
      </c>
      <c r="I812" t="s">
        <v>246</v>
      </c>
      <c r="J812" t="s">
        <v>23</v>
      </c>
      <c r="K812" t="s">
        <v>18</v>
      </c>
      <c r="L812" t="str">
        <f>T("9791175309517")</f>
        <v>9791175309517</v>
      </c>
      <c r="M812" t="str">
        <f t="shared" si="20"/>
        <v/>
      </c>
    </row>
    <row r="813" spans="1:14" x14ac:dyDescent="0.3">
      <c r="A813" s="1">
        <v>46065.941990740743</v>
      </c>
      <c r="B813">
        <v>385636847</v>
      </c>
      <c r="C813" t="s">
        <v>245</v>
      </c>
      <c r="D813" t="s">
        <v>89</v>
      </c>
      <c r="E813" s="2">
        <v>9450</v>
      </c>
      <c r="F813" s="2">
        <v>9450</v>
      </c>
      <c r="G813" s="2">
        <v>6615</v>
      </c>
      <c r="I813" t="s">
        <v>246</v>
      </c>
      <c r="J813" t="s">
        <v>23</v>
      </c>
      <c r="K813" t="s">
        <v>18</v>
      </c>
      <c r="L813" t="str">
        <f>T("9791175309517")</f>
        <v>9791175309517</v>
      </c>
      <c r="M813" t="str">
        <f t="shared" si="20"/>
        <v/>
      </c>
    </row>
    <row r="814" spans="1:14" x14ac:dyDescent="0.3">
      <c r="A814" s="1">
        <v>46065.946192129632</v>
      </c>
      <c r="B814">
        <v>385636847</v>
      </c>
      <c r="C814" t="s">
        <v>245</v>
      </c>
      <c r="D814" t="s">
        <v>89</v>
      </c>
      <c r="E814" s="2">
        <v>9450</v>
      </c>
      <c r="F814" s="2">
        <v>9450</v>
      </c>
      <c r="G814" s="2">
        <v>6615</v>
      </c>
      <c r="I814" t="s">
        <v>246</v>
      </c>
      <c r="J814" t="s">
        <v>23</v>
      </c>
      <c r="K814" t="s">
        <v>18</v>
      </c>
      <c r="L814" t="str">
        <f>T("9791175309517")</f>
        <v>9791175309517</v>
      </c>
      <c r="M814" t="str">
        <f t="shared" si="20"/>
        <v/>
      </c>
    </row>
    <row r="815" spans="1:14" x14ac:dyDescent="0.3">
      <c r="A815" s="1">
        <v>46065.952546296299</v>
      </c>
      <c r="B815">
        <v>385831063</v>
      </c>
      <c r="C815" t="s">
        <v>343</v>
      </c>
      <c r="D815" t="s">
        <v>89</v>
      </c>
      <c r="E815" s="2">
        <v>10800</v>
      </c>
      <c r="F815" s="2">
        <v>10800</v>
      </c>
      <c r="G815" s="2">
        <v>7560</v>
      </c>
      <c r="I815" t="s">
        <v>344</v>
      </c>
      <c r="J815" t="s">
        <v>23</v>
      </c>
      <c r="K815" t="s">
        <v>18</v>
      </c>
      <c r="L815" t="str">
        <f>T("9791175309456")</f>
        <v>9791175309456</v>
      </c>
      <c r="M815" t="str">
        <f t="shared" si="20"/>
        <v/>
      </c>
    </row>
    <row r="816" spans="1:14" x14ac:dyDescent="0.3">
      <c r="A816" s="1">
        <v>46065.954039351855</v>
      </c>
      <c r="B816">
        <v>385831063</v>
      </c>
      <c r="C816" t="s">
        <v>343</v>
      </c>
      <c r="D816" t="s">
        <v>89</v>
      </c>
      <c r="E816" s="2">
        <v>10800</v>
      </c>
      <c r="F816" s="2">
        <v>10800</v>
      </c>
      <c r="G816" s="2">
        <v>7560</v>
      </c>
      <c r="I816" t="s">
        <v>344</v>
      </c>
      <c r="J816" t="s">
        <v>23</v>
      </c>
      <c r="K816" t="s">
        <v>18</v>
      </c>
      <c r="L816" t="str">
        <f>T("9791175309456")</f>
        <v>9791175309456</v>
      </c>
      <c r="M816" t="str">
        <f t="shared" si="20"/>
        <v/>
      </c>
    </row>
    <row r="817" spans="1:14" x14ac:dyDescent="0.3">
      <c r="A817" s="1">
        <v>46065.958437499998</v>
      </c>
      <c r="B817">
        <v>385636847</v>
      </c>
      <c r="C817" t="s">
        <v>245</v>
      </c>
      <c r="D817" t="s">
        <v>89</v>
      </c>
      <c r="E817" s="2">
        <v>9450</v>
      </c>
      <c r="F817" s="2">
        <v>9450</v>
      </c>
      <c r="G817" s="2">
        <v>6615</v>
      </c>
      <c r="I817" t="s">
        <v>246</v>
      </c>
      <c r="J817" t="s">
        <v>23</v>
      </c>
      <c r="K817" t="s">
        <v>18</v>
      </c>
      <c r="L817" t="str">
        <f>T("9791175309517")</f>
        <v>9791175309517</v>
      </c>
      <c r="M817" t="str">
        <f t="shared" si="20"/>
        <v/>
      </c>
    </row>
    <row r="818" spans="1:14" x14ac:dyDescent="0.3">
      <c r="A818" s="1">
        <v>46065.96056712963</v>
      </c>
      <c r="B818">
        <v>385831063</v>
      </c>
      <c r="C818" t="s">
        <v>343</v>
      </c>
      <c r="D818" t="s">
        <v>89</v>
      </c>
      <c r="E818" s="2">
        <v>10800</v>
      </c>
      <c r="F818" s="2">
        <v>10800</v>
      </c>
      <c r="G818" s="2">
        <v>7560</v>
      </c>
      <c r="I818" t="s">
        <v>344</v>
      </c>
      <c r="J818" t="s">
        <v>23</v>
      </c>
      <c r="K818" t="s">
        <v>18</v>
      </c>
      <c r="L818" t="str">
        <f>T("9791175309456")</f>
        <v>9791175309456</v>
      </c>
      <c r="M818" t="str">
        <f t="shared" si="20"/>
        <v/>
      </c>
    </row>
    <row r="819" spans="1:14" x14ac:dyDescent="0.3">
      <c r="A819" s="1">
        <v>46065.961446759262</v>
      </c>
      <c r="B819">
        <v>385831063</v>
      </c>
      <c r="C819" t="s">
        <v>343</v>
      </c>
      <c r="D819" t="s">
        <v>89</v>
      </c>
      <c r="E819" s="2">
        <v>10800</v>
      </c>
      <c r="F819" s="2">
        <v>10800</v>
      </c>
      <c r="G819" s="2">
        <v>7560</v>
      </c>
      <c r="I819" t="s">
        <v>344</v>
      </c>
      <c r="J819" t="s">
        <v>23</v>
      </c>
      <c r="K819" t="s">
        <v>18</v>
      </c>
      <c r="L819" t="str">
        <f>T("9791175309456")</f>
        <v>9791175309456</v>
      </c>
      <c r="M819" t="str">
        <f t="shared" si="20"/>
        <v/>
      </c>
    </row>
    <row r="820" spans="1:14" x14ac:dyDescent="0.3">
      <c r="A820" s="1">
        <v>46065.963020833333</v>
      </c>
      <c r="B820">
        <v>385831063</v>
      </c>
      <c r="C820" t="s">
        <v>343</v>
      </c>
      <c r="D820" t="s">
        <v>89</v>
      </c>
      <c r="E820" s="2">
        <v>10800</v>
      </c>
      <c r="F820" s="2">
        <v>10800</v>
      </c>
      <c r="G820" s="2">
        <v>7560</v>
      </c>
      <c r="I820" t="s">
        <v>344</v>
      </c>
      <c r="J820" t="s">
        <v>23</v>
      </c>
      <c r="K820" t="s">
        <v>18</v>
      </c>
      <c r="L820" t="str">
        <f>T("9791175309456")</f>
        <v>9791175309456</v>
      </c>
      <c r="M820" t="str">
        <f t="shared" si="20"/>
        <v/>
      </c>
    </row>
    <row r="821" spans="1:14" x14ac:dyDescent="0.3">
      <c r="A821" s="1">
        <v>46065.963553240741</v>
      </c>
      <c r="B821">
        <v>385636847</v>
      </c>
      <c r="C821" t="s">
        <v>245</v>
      </c>
      <c r="D821" t="s">
        <v>89</v>
      </c>
      <c r="E821" s="2">
        <v>9450</v>
      </c>
      <c r="F821" s="2">
        <v>9450</v>
      </c>
      <c r="G821" s="2">
        <v>6615</v>
      </c>
      <c r="I821" t="s">
        <v>246</v>
      </c>
      <c r="J821" t="s">
        <v>23</v>
      </c>
      <c r="K821" t="s">
        <v>18</v>
      </c>
      <c r="L821" t="str">
        <f>T("9791175309517")</f>
        <v>9791175309517</v>
      </c>
      <c r="M821" t="str">
        <f t="shared" si="20"/>
        <v/>
      </c>
    </row>
    <row r="822" spans="1:14" x14ac:dyDescent="0.3">
      <c r="A822" s="1">
        <v>46066.705034722225</v>
      </c>
      <c r="B822">
        <v>385636847</v>
      </c>
      <c r="C822" t="s">
        <v>245</v>
      </c>
      <c r="D822" t="s">
        <v>89</v>
      </c>
      <c r="E822" s="2">
        <v>-9450</v>
      </c>
      <c r="F822" s="2">
        <v>-9450</v>
      </c>
      <c r="G822" s="2">
        <v>-6615</v>
      </c>
      <c r="H822" s="1">
        <v>46065.96361111111</v>
      </c>
      <c r="I822" t="s">
        <v>246</v>
      </c>
      <c r="J822" t="s">
        <v>23</v>
      </c>
      <c r="K822" t="s">
        <v>18</v>
      </c>
      <c r="L822" t="str">
        <f>T("9791175309517")</f>
        <v>9791175309517</v>
      </c>
      <c r="M822" t="str">
        <f t="shared" si="20"/>
        <v/>
      </c>
    </row>
    <row r="823" spans="1:14" x14ac:dyDescent="0.3">
      <c r="A823" s="1">
        <v>46065.96361111111</v>
      </c>
      <c r="B823">
        <v>385636847</v>
      </c>
      <c r="C823" t="s">
        <v>245</v>
      </c>
      <c r="D823" t="s">
        <v>89</v>
      </c>
      <c r="E823" s="2">
        <v>9450</v>
      </c>
      <c r="F823" s="2">
        <v>9450</v>
      </c>
      <c r="G823" s="2">
        <v>6615</v>
      </c>
      <c r="I823" t="s">
        <v>246</v>
      </c>
      <c r="J823" t="s">
        <v>23</v>
      </c>
      <c r="K823" t="s">
        <v>18</v>
      </c>
      <c r="L823" t="str">
        <f>T("9791175309517")</f>
        <v>9791175309517</v>
      </c>
      <c r="M823" t="str">
        <f t="shared" si="20"/>
        <v/>
      </c>
    </row>
    <row r="824" spans="1:14" x14ac:dyDescent="0.3">
      <c r="A824" s="1">
        <v>46065.963703703703</v>
      </c>
      <c r="B824">
        <v>385831063</v>
      </c>
      <c r="C824" t="s">
        <v>343</v>
      </c>
      <c r="D824" t="s">
        <v>89</v>
      </c>
      <c r="E824" s="2">
        <v>10800</v>
      </c>
      <c r="F824" s="2">
        <v>10800</v>
      </c>
      <c r="G824" s="2">
        <v>7560</v>
      </c>
      <c r="I824" t="s">
        <v>344</v>
      </c>
      <c r="J824" t="s">
        <v>23</v>
      </c>
      <c r="K824" t="s">
        <v>18</v>
      </c>
      <c r="L824" t="str">
        <f>T("9791175309456")</f>
        <v>9791175309456</v>
      </c>
      <c r="M824" t="str">
        <f t="shared" si="20"/>
        <v/>
      </c>
    </row>
    <row r="825" spans="1:14" x14ac:dyDescent="0.3">
      <c r="A825" s="1">
        <v>46065.967604166668</v>
      </c>
      <c r="B825">
        <v>385636847</v>
      </c>
      <c r="C825" t="s">
        <v>245</v>
      </c>
      <c r="D825" t="s">
        <v>89</v>
      </c>
      <c r="E825" s="2">
        <v>9450</v>
      </c>
      <c r="F825" s="2">
        <v>9450</v>
      </c>
      <c r="G825" s="2">
        <v>6615</v>
      </c>
      <c r="I825" t="s">
        <v>246</v>
      </c>
      <c r="J825" t="s">
        <v>23</v>
      </c>
      <c r="K825" t="s">
        <v>18</v>
      </c>
      <c r="L825" t="str">
        <f>T("9791175309517")</f>
        <v>9791175309517</v>
      </c>
      <c r="M825" t="str">
        <f t="shared" si="20"/>
        <v/>
      </c>
    </row>
    <row r="826" spans="1:14" x14ac:dyDescent="0.3">
      <c r="A826" s="1">
        <v>46065.972511574073</v>
      </c>
      <c r="B826">
        <v>385636847</v>
      </c>
      <c r="C826" t="s">
        <v>245</v>
      </c>
      <c r="D826" t="s">
        <v>89</v>
      </c>
      <c r="E826" s="2">
        <v>9450</v>
      </c>
      <c r="F826" s="2">
        <v>9450</v>
      </c>
      <c r="G826" s="2">
        <v>6615</v>
      </c>
      <c r="I826" t="s">
        <v>246</v>
      </c>
      <c r="J826" t="s">
        <v>23</v>
      </c>
      <c r="K826" t="s">
        <v>18</v>
      </c>
      <c r="L826" t="str">
        <f>T("9791175309517")</f>
        <v>9791175309517</v>
      </c>
      <c r="M826" t="str">
        <f t="shared" si="20"/>
        <v/>
      </c>
    </row>
    <row r="827" spans="1:14" x14ac:dyDescent="0.3">
      <c r="A827" s="1">
        <v>46065.975138888891</v>
      </c>
      <c r="B827">
        <v>385636847</v>
      </c>
      <c r="C827" t="s">
        <v>245</v>
      </c>
      <c r="D827" t="s">
        <v>89</v>
      </c>
      <c r="E827" s="2">
        <v>9450</v>
      </c>
      <c r="F827" s="2">
        <v>9450</v>
      </c>
      <c r="G827" s="2">
        <v>6615</v>
      </c>
      <c r="I827" t="s">
        <v>246</v>
      </c>
      <c r="J827" t="s">
        <v>23</v>
      </c>
      <c r="K827" t="s">
        <v>18</v>
      </c>
      <c r="L827" t="str">
        <f>T("9791175309517")</f>
        <v>9791175309517</v>
      </c>
      <c r="M827" t="str">
        <f t="shared" si="20"/>
        <v/>
      </c>
    </row>
    <row r="828" spans="1:14" x14ac:dyDescent="0.3">
      <c r="A828" s="1">
        <v>46065.976527777777</v>
      </c>
      <c r="B828">
        <v>385831063</v>
      </c>
      <c r="C828" t="s">
        <v>343</v>
      </c>
      <c r="D828" t="s">
        <v>89</v>
      </c>
      <c r="E828" s="2">
        <v>10800</v>
      </c>
      <c r="F828" s="2">
        <v>10800</v>
      </c>
      <c r="G828" s="2">
        <v>7560</v>
      </c>
      <c r="I828" t="s">
        <v>344</v>
      </c>
      <c r="J828" t="s">
        <v>23</v>
      </c>
      <c r="K828" t="s">
        <v>18</v>
      </c>
      <c r="L828" t="str">
        <f>T("9791175309456")</f>
        <v>9791175309456</v>
      </c>
      <c r="M828" t="str">
        <f t="shared" si="20"/>
        <v/>
      </c>
    </row>
    <row r="829" spans="1:14" x14ac:dyDescent="0.3">
      <c r="A829" s="1">
        <v>46065.977881944447</v>
      </c>
      <c r="B829">
        <v>385831063</v>
      </c>
      <c r="C829" t="s">
        <v>343</v>
      </c>
      <c r="D829" t="s">
        <v>89</v>
      </c>
      <c r="E829" s="2">
        <v>10800</v>
      </c>
      <c r="F829" s="2">
        <v>10800</v>
      </c>
      <c r="G829" s="2">
        <v>7560</v>
      </c>
      <c r="I829" t="s">
        <v>344</v>
      </c>
      <c r="J829" t="s">
        <v>23</v>
      </c>
      <c r="K829" t="s">
        <v>18</v>
      </c>
      <c r="L829" t="str">
        <f>T("9791175309456")</f>
        <v>9791175309456</v>
      </c>
      <c r="M829" t="str">
        <f t="shared" si="20"/>
        <v/>
      </c>
    </row>
    <row r="830" spans="1:14" x14ac:dyDescent="0.3">
      <c r="A830" s="1">
        <v>46065.985532407409</v>
      </c>
      <c r="B830">
        <v>385831063</v>
      </c>
      <c r="C830" t="s">
        <v>343</v>
      </c>
      <c r="D830" t="s">
        <v>89</v>
      </c>
      <c r="E830" s="2">
        <v>10800</v>
      </c>
      <c r="F830" s="2">
        <v>10800</v>
      </c>
      <c r="G830" s="2">
        <v>7560</v>
      </c>
      <c r="I830" t="s">
        <v>344</v>
      </c>
      <c r="J830" t="s">
        <v>23</v>
      </c>
      <c r="K830" t="s">
        <v>18</v>
      </c>
      <c r="L830" t="str">
        <f>T("9791175309456")</f>
        <v>9791175309456</v>
      </c>
      <c r="M830" t="str">
        <f t="shared" si="20"/>
        <v/>
      </c>
    </row>
    <row r="831" spans="1:14" x14ac:dyDescent="0.3">
      <c r="A831" s="1">
        <v>46065.987488425926</v>
      </c>
      <c r="B831">
        <v>385636847</v>
      </c>
      <c r="C831" t="s">
        <v>245</v>
      </c>
      <c r="D831" t="s">
        <v>89</v>
      </c>
      <c r="E831" s="2">
        <v>9450</v>
      </c>
      <c r="F831" s="2">
        <v>9450</v>
      </c>
      <c r="G831" s="2">
        <v>6615</v>
      </c>
      <c r="I831" t="s">
        <v>246</v>
      </c>
      <c r="J831" t="s">
        <v>23</v>
      </c>
      <c r="K831" t="s">
        <v>18</v>
      </c>
      <c r="L831" t="str">
        <f>T("9791175309517")</f>
        <v>9791175309517</v>
      </c>
      <c r="M831" t="str">
        <f t="shared" si="20"/>
        <v/>
      </c>
    </row>
    <row r="832" spans="1:14" x14ac:dyDescent="0.3">
      <c r="A832" s="1">
        <v>46065.987835648149</v>
      </c>
      <c r="B832">
        <v>385347659</v>
      </c>
      <c r="C832" t="s">
        <v>86</v>
      </c>
      <c r="D832" t="s">
        <v>15</v>
      </c>
      <c r="E832" s="2">
        <v>1000</v>
      </c>
      <c r="F832">
        <v>900</v>
      </c>
      <c r="G832">
        <v>630</v>
      </c>
      <c r="I832" t="s">
        <v>87</v>
      </c>
      <c r="J832" t="s">
        <v>23</v>
      </c>
      <c r="K832" t="s">
        <v>18</v>
      </c>
      <c r="L832" t="str">
        <f>T("9791175308510")</f>
        <v>9791175308510</v>
      </c>
      <c r="M832" t="str">
        <f t="shared" si="20"/>
        <v/>
      </c>
      <c r="N832">
        <v>957881</v>
      </c>
    </row>
    <row r="833" spans="1:14" x14ac:dyDescent="0.3">
      <c r="A833" s="1">
        <v>46065.987835648149</v>
      </c>
      <c r="B833">
        <v>385636847</v>
      </c>
      <c r="C833" t="s">
        <v>245</v>
      </c>
      <c r="D833" t="s">
        <v>89</v>
      </c>
      <c r="E833" s="2">
        <v>9450</v>
      </c>
      <c r="F833" s="2">
        <v>9450</v>
      </c>
      <c r="G833" s="2">
        <v>6615</v>
      </c>
      <c r="I833" t="s">
        <v>246</v>
      </c>
      <c r="J833" t="s">
        <v>23</v>
      </c>
      <c r="K833" t="s">
        <v>18</v>
      </c>
      <c r="L833" t="str">
        <f>T("9791175309517")</f>
        <v>9791175309517</v>
      </c>
      <c r="M833" t="str">
        <f t="shared" si="20"/>
        <v/>
      </c>
    </row>
    <row r="834" spans="1:14" x14ac:dyDescent="0.3">
      <c r="A834" s="1">
        <v>46065.989907407406</v>
      </c>
      <c r="B834">
        <v>381924691</v>
      </c>
      <c r="C834" t="s">
        <v>302</v>
      </c>
      <c r="D834" t="s">
        <v>15</v>
      </c>
      <c r="E834" s="2">
        <v>10200</v>
      </c>
      <c r="F834" s="2">
        <v>10200</v>
      </c>
      <c r="G834" s="2">
        <v>7140</v>
      </c>
      <c r="I834" t="s">
        <v>189</v>
      </c>
      <c r="J834" t="s">
        <v>70</v>
      </c>
      <c r="K834" t="s">
        <v>18</v>
      </c>
      <c r="L834" t="str">
        <f>T("9791175307605")</f>
        <v>9791175307605</v>
      </c>
      <c r="M834" t="str">
        <f t="shared" si="20"/>
        <v/>
      </c>
    </row>
    <row r="835" spans="1:14" x14ac:dyDescent="0.3">
      <c r="A835" s="1">
        <v>46065.992766203701</v>
      </c>
      <c r="B835">
        <v>385636847</v>
      </c>
      <c r="C835" t="s">
        <v>245</v>
      </c>
      <c r="D835" t="s">
        <v>89</v>
      </c>
      <c r="E835" s="2">
        <v>9450</v>
      </c>
      <c r="F835" s="2">
        <v>9450</v>
      </c>
      <c r="G835" s="2">
        <v>6615</v>
      </c>
      <c r="I835" t="s">
        <v>246</v>
      </c>
      <c r="J835" t="s">
        <v>23</v>
      </c>
      <c r="K835" t="s">
        <v>18</v>
      </c>
      <c r="L835" t="str">
        <f>T("9791175309517")</f>
        <v>9791175309517</v>
      </c>
      <c r="M835" t="str">
        <f t="shared" si="20"/>
        <v/>
      </c>
    </row>
    <row r="836" spans="1:14" x14ac:dyDescent="0.3">
      <c r="A836" s="1">
        <v>46065.993287037039</v>
      </c>
      <c r="B836">
        <v>385831063</v>
      </c>
      <c r="C836" t="s">
        <v>343</v>
      </c>
      <c r="D836" t="s">
        <v>89</v>
      </c>
      <c r="E836" s="2">
        <v>10800</v>
      </c>
      <c r="F836" s="2">
        <v>10800</v>
      </c>
      <c r="G836" s="2">
        <v>7560</v>
      </c>
      <c r="I836" t="s">
        <v>344</v>
      </c>
      <c r="J836" t="s">
        <v>23</v>
      </c>
      <c r="K836" t="s">
        <v>18</v>
      </c>
      <c r="L836" t="str">
        <f>T("9791175309456")</f>
        <v>9791175309456</v>
      </c>
      <c r="M836" t="str">
        <f t="shared" si="20"/>
        <v/>
      </c>
    </row>
    <row r="837" spans="1:14" x14ac:dyDescent="0.3">
      <c r="A837" s="1">
        <v>46065.994108796294</v>
      </c>
      <c r="B837">
        <v>385636847</v>
      </c>
      <c r="C837" t="s">
        <v>245</v>
      </c>
      <c r="D837" t="s">
        <v>89</v>
      </c>
      <c r="E837" s="2">
        <v>9450</v>
      </c>
      <c r="F837" s="2">
        <v>9450</v>
      </c>
      <c r="G837" s="2">
        <v>6615</v>
      </c>
      <c r="I837" t="s">
        <v>246</v>
      </c>
      <c r="J837" t="s">
        <v>23</v>
      </c>
      <c r="K837" t="s">
        <v>18</v>
      </c>
      <c r="L837" t="str">
        <f>T("9791175309517")</f>
        <v>9791175309517</v>
      </c>
      <c r="M837" t="str">
        <f t="shared" si="20"/>
        <v/>
      </c>
    </row>
    <row r="838" spans="1:14" x14ac:dyDescent="0.3">
      <c r="A838" s="1">
        <v>46065.994606481479</v>
      </c>
      <c r="B838">
        <v>385831063</v>
      </c>
      <c r="C838" t="s">
        <v>343</v>
      </c>
      <c r="D838" t="s">
        <v>89</v>
      </c>
      <c r="E838" s="2">
        <v>10800</v>
      </c>
      <c r="F838" s="2">
        <v>10800</v>
      </c>
      <c r="G838" s="2">
        <v>7560</v>
      </c>
      <c r="I838" t="s">
        <v>344</v>
      </c>
      <c r="J838" t="s">
        <v>23</v>
      </c>
      <c r="K838" t="s">
        <v>18</v>
      </c>
      <c r="L838" t="str">
        <f>T("9791175309456")</f>
        <v>9791175309456</v>
      </c>
      <c r="M838" t="str">
        <f t="shared" si="20"/>
        <v/>
      </c>
    </row>
    <row r="839" spans="1:14" x14ac:dyDescent="0.3">
      <c r="A839" s="1">
        <v>46065.996863425928</v>
      </c>
      <c r="B839">
        <v>385636847</v>
      </c>
      <c r="C839" t="s">
        <v>245</v>
      </c>
      <c r="D839" t="s">
        <v>89</v>
      </c>
      <c r="E839" s="2">
        <v>9450</v>
      </c>
      <c r="F839" s="2">
        <v>9450</v>
      </c>
      <c r="G839" s="2">
        <v>6615</v>
      </c>
      <c r="I839" t="s">
        <v>246</v>
      </c>
      <c r="J839" t="s">
        <v>23</v>
      </c>
      <c r="K839" t="s">
        <v>18</v>
      </c>
      <c r="L839" t="str">
        <f>T("9791175309517")</f>
        <v>9791175309517</v>
      </c>
      <c r="M839" t="str">
        <f t="shared" si="20"/>
        <v/>
      </c>
    </row>
    <row r="840" spans="1:14" x14ac:dyDescent="0.3">
      <c r="A840" s="1">
        <v>46065.997094907405</v>
      </c>
      <c r="B840">
        <v>385636847</v>
      </c>
      <c r="C840" t="s">
        <v>245</v>
      </c>
      <c r="D840" t="s">
        <v>89</v>
      </c>
      <c r="E840" s="2">
        <v>9450</v>
      </c>
      <c r="F840" s="2">
        <v>9450</v>
      </c>
      <c r="G840" s="2">
        <v>6615</v>
      </c>
      <c r="I840" t="s">
        <v>246</v>
      </c>
      <c r="J840" t="s">
        <v>23</v>
      </c>
      <c r="K840" t="s">
        <v>18</v>
      </c>
      <c r="L840" t="str">
        <f>T("9791175309517")</f>
        <v>9791175309517</v>
      </c>
      <c r="M840" t="str">
        <f t="shared" si="20"/>
        <v/>
      </c>
    </row>
    <row r="841" spans="1:14" x14ac:dyDescent="0.3">
      <c r="A841" s="1">
        <v>46065.997384259259</v>
      </c>
      <c r="B841">
        <v>385636847</v>
      </c>
      <c r="C841" t="s">
        <v>245</v>
      </c>
      <c r="D841" t="s">
        <v>89</v>
      </c>
      <c r="E841" s="2">
        <v>9450</v>
      </c>
      <c r="F841" s="2">
        <v>9450</v>
      </c>
      <c r="G841" s="2">
        <v>6615</v>
      </c>
      <c r="I841" t="s">
        <v>246</v>
      </c>
      <c r="J841" t="s">
        <v>23</v>
      </c>
      <c r="K841" t="s">
        <v>18</v>
      </c>
      <c r="L841" t="str">
        <f>T("9791175309517")</f>
        <v>9791175309517</v>
      </c>
      <c r="M841" t="str">
        <f t="shared" si="20"/>
        <v/>
      </c>
    </row>
    <row r="842" spans="1:14" x14ac:dyDescent="0.3">
      <c r="A842" s="1">
        <v>46065.998831018522</v>
      </c>
      <c r="B842">
        <v>288284411</v>
      </c>
      <c r="C842" t="s">
        <v>375</v>
      </c>
      <c r="D842" t="s">
        <v>15</v>
      </c>
      <c r="E842" s="2">
        <v>3000</v>
      </c>
      <c r="F842" s="2">
        <v>3000</v>
      </c>
      <c r="G842" s="2">
        <v>2100</v>
      </c>
      <c r="I842" t="s">
        <v>116</v>
      </c>
      <c r="J842" t="s">
        <v>73</v>
      </c>
      <c r="K842" t="s">
        <v>18</v>
      </c>
      <c r="L842" t="str">
        <f>T("9791136922090")</f>
        <v>9791136922090</v>
      </c>
      <c r="M842" t="str">
        <f t="shared" si="20"/>
        <v/>
      </c>
      <c r="N842">
        <v>877624</v>
      </c>
    </row>
    <row r="843" spans="1:14" x14ac:dyDescent="0.3">
      <c r="A843" s="1">
        <v>46066.019444444442</v>
      </c>
      <c r="B843">
        <v>385636847</v>
      </c>
      <c r="C843" t="s">
        <v>245</v>
      </c>
      <c r="D843" t="s">
        <v>89</v>
      </c>
      <c r="E843" s="2">
        <v>9450</v>
      </c>
      <c r="F843" s="2">
        <v>9450</v>
      </c>
      <c r="G843" s="2">
        <v>6615</v>
      </c>
      <c r="I843" t="s">
        <v>246</v>
      </c>
      <c r="J843" t="s">
        <v>23</v>
      </c>
      <c r="K843" t="s">
        <v>18</v>
      </c>
      <c r="L843" t="str">
        <f>T("9791175309517")</f>
        <v>9791175309517</v>
      </c>
      <c r="M843" t="str">
        <f t="shared" si="20"/>
        <v/>
      </c>
    </row>
    <row r="844" spans="1:14" x14ac:dyDescent="0.3">
      <c r="A844" s="1">
        <v>46066.073368055557</v>
      </c>
      <c r="B844">
        <v>385636847</v>
      </c>
      <c r="C844" t="s">
        <v>245</v>
      </c>
      <c r="D844" t="s">
        <v>89</v>
      </c>
      <c r="E844" s="2">
        <v>9450</v>
      </c>
      <c r="F844" s="2">
        <v>9450</v>
      </c>
      <c r="G844" s="2">
        <v>6615</v>
      </c>
      <c r="I844" t="s">
        <v>246</v>
      </c>
      <c r="J844" t="s">
        <v>23</v>
      </c>
      <c r="K844" t="s">
        <v>18</v>
      </c>
      <c r="L844" t="str">
        <f>T("9791175309517")</f>
        <v>9791175309517</v>
      </c>
      <c r="M844" t="str">
        <f t="shared" si="20"/>
        <v/>
      </c>
    </row>
    <row r="845" spans="1:14" x14ac:dyDescent="0.3">
      <c r="A845" s="1">
        <v>46066.320011574076</v>
      </c>
      <c r="B845">
        <v>337299327</v>
      </c>
      <c r="C845" t="s">
        <v>376</v>
      </c>
      <c r="D845" t="s">
        <v>15</v>
      </c>
      <c r="E845" s="2">
        <v>3900</v>
      </c>
      <c r="F845" s="2">
        <v>3900</v>
      </c>
      <c r="G845" s="2">
        <v>2730</v>
      </c>
      <c r="I845" t="s">
        <v>377</v>
      </c>
      <c r="J845" t="s">
        <v>23</v>
      </c>
      <c r="K845" t="s">
        <v>18</v>
      </c>
      <c r="L845" t="str">
        <f>T("9791136958068")</f>
        <v>9791136958068</v>
      </c>
      <c r="M845" t="str">
        <f t="shared" si="20"/>
        <v/>
      </c>
      <c r="N845">
        <v>921598</v>
      </c>
    </row>
    <row r="846" spans="1:14" x14ac:dyDescent="0.3">
      <c r="A846" s="1">
        <v>46066.406076388892</v>
      </c>
      <c r="B846">
        <v>385636113</v>
      </c>
      <c r="C846" t="s">
        <v>378</v>
      </c>
      <c r="D846" t="s">
        <v>15</v>
      </c>
      <c r="E846" s="2">
        <v>3500</v>
      </c>
      <c r="F846" s="2">
        <v>3150</v>
      </c>
      <c r="G846" s="2">
        <v>2205</v>
      </c>
      <c r="I846" t="s">
        <v>246</v>
      </c>
      <c r="J846" t="s">
        <v>23</v>
      </c>
      <c r="K846" t="s">
        <v>18</v>
      </c>
      <c r="L846" t="str">
        <f>T("9791175309531")</f>
        <v>9791175309531</v>
      </c>
      <c r="M846" t="str">
        <f t="shared" si="20"/>
        <v/>
      </c>
      <c r="N846">
        <v>958041</v>
      </c>
    </row>
    <row r="847" spans="1:14" x14ac:dyDescent="0.3">
      <c r="A847" s="1">
        <v>46066.406076388892</v>
      </c>
      <c r="B847">
        <v>385636071</v>
      </c>
      <c r="C847" t="s">
        <v>289</v>
      </c>
      <c r="D847" t="s">
        <v>15</v>
      </c>
      <c r="E847" s="2">
        <v>3500</v>
      </c>
      <c r="F847" s="2">
        <v>3150</v>
      </c>
      <c r="G847" s="2">
        <v>2205</v>
      </c>
      <c r="I847" t="s">
        <v>246</v>
      </c>
      <c r="J847" t="s">
        <v>23</v>
      </c>
      <c r="K847" t="s">
        <v>18</v>
      </c>
      <c r="L847" t="str">
        <f>T("9791175309524")</f>
        <v>9791175309524</v>
      </c>
      <c r="M847" t="str">
        <f t="shared" si="20"/>
        <v/>
      </c>
      <c r="N847">
        <v>958042</v>
      </c>
    </row>
    <row r="848" spans="1:14" x14ac:dyDescent="0.3">
      <c r="A848" s="1">
        <v>46066.406076388892</v>
      </c>
      <c r="B848">
        <v>385636024</v>
      </c>
      <c r="C848" t="s">
        <v>379</v>
      </c>
      <c r="D848" t="s">
        <v>15</v>
      </c>
      <c r="E848" s="2">
        <v>3500</v>
      </c>
      <c r="F848" s="2">
        <v>3150</v>
      </c>
      <c r="G848" s="2">
        <v>2205</v>
      </c>
      <c r="I848" t="s">
        <v>246</v>
      </c>
      <c r="J848" t="s">
        <v>23</v>
      </c>
      <c r="K848" t="s">
        <v>18</v>
      </c>
      <c r="L848" t="str">
        <f>T("9791175309548")</f>
        <v>9791175309548</v>
      </c>
      <c r="M848" t="str">
        <f t="shared" si="20"/>
        <v/>
      </c>
      <c r="N848">
        <v>958040</v>
      </c>
    </row>
    <row r="849" spans="1:14" x14ac:dyDescent="0.3">
      <c r="A849" s="1">
        <v>46066.443865740737</v>
      </c>
      <c r="B849">
        <v>385348414</v>
      </c>
      <c r="C849" t="s">
        <v>114</v>
      </c>
      <c r="D849" t="s">
        <v>89</v>
      </c>
      <c r="E849" s="2">
        <v>11700</v>
      </c>
      <c r="F849" s="2">
        <v>11700</v>
      </c>
      <c r="G849" s="2">
        <v>8190</v>
      </c>
      <c r="I849" t="s">
        <v>87</v>
      </c>
      <c r="J849" t="s">
        <v>23</v>
      </c>
      <c r="K849" t="s">
        <v>18</v>
      </c>
      <c r="L849" t="str">
        <f>T("9791175308503")</f>
        <v>9791175308503</v>
      </c>
      <c r="M849" t="str">
        <f t="shared" si="20"/>
        <v/>
      </c>
    </row>
    <row r="850" spans="1:14" x14ac:dyDescent="0.3">
      <c r="A850" s="1">
        <v>46066.468530092592</v>
      </c>
      <c r="B850">
        <v>347728780</v>
      </c>
      <c r="C850" t="s">
        <v>380</v>
      </c>
      <c r="D850" t="s">
        <v>89</v>
      </c>
      <c r="E850" s="2">
        <v>7700</v>
      </c>
      <c r="F850" s="2">
        <v>7700</v>
      </c>
      <c r="G850" s="2">
        <v>5390</v>
      </c>
      <c r="I850" t="s">
        <v>381</v>
      </c>
      <c r="J850" t="s">
        <v>70</v>
      </c>
      <c r="K850" t="s">
        <v>18</v>
      </c>
      <c r="L850" t="str">
        <f>T("9791136983220")</f>
        <v>9791136983220</v>
      </c>
      <c r="M850" t="str">
        <f t="shared" si="20"/>
        <v/>
      </c>
    </row>
    <row r="851" spans="1:14" x14ac:dyDescent="0.3">
      <c r="A851" s="1">
        <v>46066.48542824074</v>
      </c>
      <c r="B851">
        <v>361617623</v>
      </c>
      <c r="C851" t="s">
        <v>382</v>
      </c>
      <c r="D851" t="s">
        <v>89</v>
      </c>
      <c r="E851" s="2">
        <v>11760</v>
      </c>
      <c r="F851" s="2">
        <v>11760</v>
      </c>
      <c r="G851" s="2">
        <v>8232</v>
      </c>
      <c r="I851" t="s">
        <v>383</v>
      </c>
      <c r="J851" t="s">
        <v>23</v>
      </c>
      <c r="K851" t="s">
        <v>18</v>
      </c>
      <c r="L851" t="str">
        <f>T("9791173782435")</f>
        <v>9791173782435</v>
      </c>
      <c r="M851" t="str">
        <f t="shared" si="20"/>
        <v/>
      </c>
    </row>
    <row r="852" spans="1:14" x14ac:dyDescent="0.3">
      <c r="A852" s="1">
        <v>46066.487326388888</v>
      </c>
      <c r="B852">
        <v>379385369</v>
      </c>
      <c r="C852" t="s">
        <v>101</v>
      </c>
      <c r="D852" t="s">
        <v>15</v>
      </c>
      <c r="E852" s="2">
        <v>1500</v>
      </c>
      <c r="F852" s="2">
        <v>1500</v>
      </c>
      <c r="G852" s="2">
        <v>1050</v>
      </c>
      <c r="I852" t="s">
        <v>102</v>
      </c>
      <c r="J852" t="s">
        <v>23</v>
      </c>
      <c r="K852" t="s">
        <v>18</v>
      </c>
      <c r="L852" t="str">
        <f>T("9791175307254")</f>
        <v>9791175307254</v>
      </c>
      <c r="M852" t="str">
        <f t="shared" si="20"/>
        <v/>
      </c>
      <c r="N852">
        <v>957333</v>
      </c>
    </row>
    <row r="853" spans="1:14" x14ac:dyDescent="0.3">
      <c r="A853" s="1">
        <v>46066.504629629628</v>
      </c>
      <c r="B853">
        <v>383003434</v>
      </c>
      <c r="C853" t="s">
        <v>384</v>
      </c>
      <c r="D853" t="s">
        <v>15</v>
      </c>
      <c r="E853" s="2">
        <v>3200</v>
      </c>
      <c r="F853" s="2">
        <v>3200</v>
      </c>
      <c r="G853" s="2">
        <v>2240</v>
      </c>
      <c r="I853" t="s">
        <v>365</v>
      </c>
      <c r="J853" t="s">
        <v>59</v>
      </c>
      <c r="K853" t="s">
        <v>18</v>
      </c>
      <c r="L853" t="str">
        <f>T("9791173788994")</f>
        <v>9791173788994</v>
      </c>
      <c r="M853" t="str">
        <f t="shared" si="20"/>
        <v/>
      </c>
      <c r="N853">
        <v>951997</v>
      </c>
    </row>
    <row r="854" spans="1:14" x14ac:dyDescent="0.3">
      <c r="A854" s="1">
        <v>46066.511041666665</v>
      </c>
      <c r="B854">
        <v>379386288</v>
      </c>
      <c r="C854" t="s">
        <v>370</v>
      </c>
      <c r="D854" t="s">
        <v>89</v>
      </c>
      <c r="E854" s="2">
        <v>11280</v>
      </c>
      <c r="F854" s="2">
        <v>11280</v>
      </c>
      <c r="G854" s="2">
        <v>7896</v>
      </c>
      <c r="I854" t="s">
        <v>102</v>
      </c>
      <c r="J854" t="s">
        <v>23</v>
      </c>
      <c r="K854" t="s">
        <v>18</v>
      </c>
      <c r="L854" t="str">
        <f>T("9791175307438")</f>
        <v>9791175307438</v>
      </c>
      <c r="M854" t="str">
        <f t="shared" si="20"/>
        <v/>
      </c>
    </row>
    <row r="855" spans="1:14" x14ac:dyDescent="0.3">
      <c r="A855" s="1">
        <v>46066.545347222222</v>
      </c>
      <c r="B855">
        <v>385636847</v>
      </c>
      <c r="C855" t="s">
        <v>245</v>
      </c>
      <c r="D855" t="s">
        <v>89</v>
      </c>
      <c r="E855" s="2">
        <v>9450</v>
      </c>
      <c r="F855" s="2">
        <v>9450</v>
      </c>
      <c r="G855" s="2">
        <v>6615</v>
      </c>
      <c r="I855" t="s">
        <v>246</v>
      </c>
      <c r="J855" t="s">
        <v>23</v>
      </c>
      <c r="K855" t="s">
        <v>18</v>
      </c>
      <c r="L855" t="str">
        <f>T("9791175309517")</f>
        <v>9791175309517</v>
      </c>
      <c r="M855" t="str">
        <f t="shared" si="20"/>
        <v/>
      </c>
    </row>
    <row r="856" spans="1:14" x14ac:dyDescent="0.3">
      <c r="A856" s="1">
        <v>46066.603483796294</v>
      </c>
      <c r="B856">
        <v>268443462</v>
      </c>
      <c r="C856" t="s">
        <v>131</v>
      </c>
      <c r="D856" t="s">
        <v>15</v>
      </c>
      <c r="E856">
        <v>0</v>
      </c>
      <c r="F856">
        <v>0</v>
      </c>
      <c r="G856">
        <v>0</v>
      </c>
      <c r="I856" t="s">
        <v>132</v>
      </c>
      <c r="J856" t="s">
        <v>59</v>
      </c>
      <c r="K856" t="s">
        <v>18</v>
      </c>
      <c r="L856" t="str">
        <f>T("9791136906571")</f>
        <v>9791136906571</v>
      </c>
      <c r="M856" t="str">
        <f t="shared" ref="M856:M919" si="21">T("")</f>
        <v/>
      </c>
      <c r="N856">
        <v>805959</v>
      </c>
    </row>
    <row r="857" spans="1:14" x14ac:dyDescent="0.3">
      <c r="A857" s="1">
        <v>46066.603483796294</v>
      </c>
      <c r="B857">
        <v>373442629</v>
      </c>
      <c r="C857" t="s">
        <v>104</v>
      </c>
      <c r="D857" t="s">
        <v>15</v>
      </c>
      <c r="E857">
        <v>0</v>
      </c>
      <c r="F857">
        <v>0</v>
      </c>
      <c r="G857">
        <v>0</v>
      </c>
      <c r="I857" t="s">
        <v>58</v>
      </c>
      <c r="J857" t="s">
        <v>59</v>
      </c>
      <c r="K857" t="s">
        <v>18</v>
      </c>
      <c r="L857" t="str">
        <f>T("9791173784316")</f>
        <v>9791173784316</v>
      </c>
      <c r="M857" t="str">
        <f t="shared" si="21"/>
        <v/>
      </c>
      <c r="N857">
        <v>948951</v>
      </c>
    </row>
    <row r="858" spans="1:14" x14ac:dyDescent="0.3">
      <c r="A858" s="1">
        <v>46066.606226851851</v>
      </c>
      <c r="B858">
        <v>381924691</v>
      </c>
      <c r="C858" t="s">
        <v>302</v>
      </c>
      <c r="D858" t="s">
        <v>89</v>
      </c>
      <c r="E858" s="2">
        <v>8160</v>
      </c>
      <c r="F858" s="2">
        <v>8160</v>
      </c>
      <c r="G858" s="2">
        <v>5712</v>
      </c>
      <c r="I858" t="s">
        <v>189</v>
      </c>
      <c r="J858" t="s">
        <v>70</v>
      </c>
      <c r="K858" t="s">
        <v>18</v>
      </c>
      <c r="L858" t="str">
        <f>T("9791175307605")</f>
        <v>9791175307605</v>
      </c>
      <c r="M858" t="str">
        <f t="shared" si="21"/>
        <v/>
      </c>
    </row>
    <row r="859" spans="1:14" x14ac:dyDescent="0.3">
      <c r="A859" s="1">
        <v>46066.639016203706</v>
      </c>
      <c r="B859">
        <v>359779074</v>
      </c>
      <c r="C859" t="s">
        <v>385</v>
      </c>
      <c r="D859" t="s">
        <v>89</v>
      </c>
      <c r="E859" s="2">
        <v>12040</v>
      </c>
      <c r="F859" s="2">
        <v>12040</v>
      </c>
      <c r="G859" s="2">
        <v>8428</v>
      </c>
      <c r="I859" t="s">
        <v>99</v>
      </c>
      <c r="J859" t="s">
        <v>23</v>
      </c>
      <c r="K859" t="s">
        <v>18</v>
      </c>
      <c r="L859" t="str">
        <f>T("9791194664475")</f>
        <v>9791194664475</v>
      </c>
      <c r="M859" t="str">
        <f t="shared" si="21"/>
        <v/>
      </c>
    </row>
    <row r="860" spans="1:14" x14ac:dyDescent="0.3">
      <c r="A860" s="1">
        <v>46066.648622685185</v>
      </c>
      <c r="B860">
        <v>311321094</v>
      </c>
      <c r="C860" t="s">
        <v>386</v>
      </c>
      <c r="D860" t="s">
        <v>89</v>
      </c>
      <c r="E860">
        <v>810</v>
      </c>
      <c r="F860">
        <v>810</v>
      </c>
      <c r="G860">
        <v>567</v>
      </c>
      <c r="I860" t="s">
        <v>130</v>
      </c>
      <c r="J860" t="s">
        <v>59</v>
      </c>
      <c r="K860" t="s">
        <v>18</v>
      </c>
      <c r="L860" t="str">
        <f>T("9791136927941")</f>
        <v>9791136927941</v>
      </c>
      <c r="M860" t="str">
        <f t="shared" si="21"/>
        <v/>
      </c>
      <c r="N860">
        <v>889261</v>
      </c>
    </row>
    <row r="861" spans="1:14" x14ac:dyDescent="0.3">
      <c r="A861" s="1">
        <v>46066.664039351854</v>
      </c>
      <c r="B861">
        <v>385636847</v>
      </c>
      <c r="C861" t="s">
        <v>245</v>
      </c>
      <c r="D861" t="s">
        <v>89</v>
      </c>
      <c r="E861" s="2">
        <v>9450</v>
      </c>
      <c r="F861" s="2">
        <v>9450</v>
      </c>
      <c r="G861" s="2">
        <v>6615</v>
      </c>
      <c r="I861" t="s">
        <v>246</v>
      </c>
      <c r="J861" t="s">
        <v>23</v>
      </c>
      <c r="K861" t="s">
        <v>18</v>
      </c>
      <c r="L861" t="str">
        <f>T("9791175309517")</f>
        <v>9791175309517</v>
      </c>
      <c r="M861" t="str">
        <f t="shared" si="21"/>
        <v/>
      </c>
    </row>
    <row r="862" spans="1:14" x14ac:dyDescent="0.3">
      <c r="A862" s="1">
        <v>46066.683622685188</v>
      </c>
      <c r="B862">
        <v>365656697</v>
      </c>
      <c r="C862" t="s">
        <v>239</v>
      </c>
      <c r="D862" t="s">
        <v>89</v>
      </c>
      <c r="E862" s="2">
        <v>5760</v>
      </c>
      <c r="F862" s="2">
        <v>5760</v>
      </c>
      <c r="G862" s="2">
        <v>4032</v>
      </c>
      <c r="I862" t="s">
        <v>240</v>
      </c>
      <c r="J862" t="s">
        <v>49</v>
      </c>
      <c r="K862" t="s">
        <v>18</v>
      </c>
      <c r="L862" t="str">
        <f>T("9791173783630")</f>
        <v>9791173783630</v>
      </c>
      <c r="M862" t="str">
        <f t="shared" si="21"/>
        <v/>
      </c>
    </row>
    <row r="863" spans="1:14" x14ac:dyDescent="0.3">
      <c r="A863" s="1">
        <v>46066.701180555552</v>
      </c>
      <c r="B863">
        <v>357906192</v>
      </c>
      <c r="C863" t="s">
        <v>387</v>
      </c>
      <c r="D863" t="s">
        <v>15</v>
      </c>
      <c r="E863">
        <v>0</v>
      </c>
      <c r="F863">
        <v>0</v>
      </c>
      <c r="G863">
        <v>0</v>
      </c>
      <c r="I863" t="s">
        <v>61</v>
      </c>
      <c r="J863" t="s">
        <v>59</v>
      </c>
      <c r="K863" t="s">
        <v>18</v>
      </c>
      <c r="L863" t="str">
        <f>T("9791136970718")</f>
        <v>9791136970718</v>
      </c>
      <c r="M863" t="str">
        <f t="shared" si="21"/>
        <v/>
      </c>
      <c r="N863">
        <v>924674</v>
      </c>
    </row>
    <row r="864" spans="1:14" x14ac:dyDescent="0.3">
      <c r="A864" s="1">
        <v>46066.708067129628</v>
      </c>
      <c r="B864">
        <v>385636847</v>
      </c>
      <c r="C864" t="s">
        <v>245</v>
      </c>
      <c r="D864" t="s">
        <v>89</v>
      </c>
      <c r="E864" s="2">
        <v>9450</v>
      </c>
      <c r="F864" s="2">
        <v>9450</v>
      </c>
      <c r="G864" s="2">
        <v>6615</v>
      </c>
      <c r="I864" t="s">
        <v>246</v>
      </c>
      <c r="J864" t="s">
        <v>23</v>
      </c>
      <c r="K864" t="s">
        <v>18</v>
      </c>
      <c r="L864" t="str">
        <f>T("9791175309517")</f>
        <v>9791175309517</v>
      </c>
      <c r="M864" t="str">
        <f t="shared" si="21"/>
        <v/>
      </c>
    </row>
    <row r="865" spans="1:14" x14ac:dyDescent="0.3">
      <c r="A865" s="1">
        <v>46066.722488425927</v>
      </c>
      <c r="B865">
        <v>359779074</v>
      </c>
      <c r="C865" t="s">
        <v>385</v>
      </c>
      <c r="D865" t="s">
        <v>89</v>
      </c>
      <c r="E865" s="2">
        <v>12040</v>
      </c>
      <c r="F865" s="2">
        <v>12040</v>
      </c>
      <c r="G865" s="2">
        <v>8428</v>
      </c>
      <c r="I865" t="s">
        <v>99</v>
      </c>
      <c r="J865" t="s">
        <v>23</v>
      </c>
      <c r="K865" t="s">
        <v>18</v>
      </c>
      <c r="L865" t="str">
        <f>T("9791194664475")</f>
        <v>9791194664475</v>
      </c>
      <c r="M865" t="str">
        <f t="shared" si="21"/>
        <v/>
      </c>
    </row>
    <row r="866" spans="1:14" x14ac:dyDescent="0.3">
      <c r="A866" s="1">
        <v>46066.736087962963</v>
      </c>
      <c r="B866">
        <v>365656697</v>
      </c>
      <c r="C866" t="s">
        <v>239</v>
      </c>
      <c r="D866" t="s">
        <v>89</v>
      </c>
      <c r="E866" s="2">
        <v>5760</v>
      </c>
      <c r="F866" s="2">
        <v>5760</v>
      </c>
      <c r="G866" s="2">
        <v>4032</v>
      </c>
      <c r="I866" t="s">
        <v>240</v>
      </c>
      <c r="J866" t="s">
        <v>49</v>
      </c>
      <c r="K866" t="s">
        <v>18</v>
      </c>
      <c r="L866" t="str">
        <f>T("9791173783630")</f>
        <v>9791173783630</v>
      </c>
      <c r="M866" t="str">
        <f t="shared" si="21"/>
        <v/>
      </c>
    </row>
    <row r="867" spans="1:14" x14ac:dyDescent="0.3">
      <c r="A867" s="1">
        <v>46066.736828703702</v>
      </c>
      <c r="B867">
        <v>379386288</v>
      </c>
      <c r="C867" t="s">
        <v>370</v>
      </c>
      <c r="D867" t="s">
        <v>89</v>
      </c>
      <c r="E867" s="2">
        <v>11280</v>
      </c>
      <c r="F867" s="2">
        <v>11280</v>
      </c>
      <c r="G867" s="2">
        <v>7896</v>
      </c>
      <c r="I867" t="s">
        <v>102</v>
      </c>
      <c r="J867" t="s">
        <v>23</v>
      </c>
      <c r="K867" t="s">
        <v>18</v>
      </c>
      <c r="L867" t="str">
        <f>T("9791175307438")</f>
        <v>9791175307438</v>
      </c>
      <c r="M867" t="str">
        <f t="shared" si="21"/>
        <v/>
      </c>
    </row>
    <row r="868" spans="1:14" x14ac:dyDescent="0.3">
      <c r="A868" s="1">
        <v>46066.749490740738</v>
      </c>
      <c r="B868">
        <v>359779074</v>
      </c>
      <c r="C868" t="s">
        <v>385</v>
      </c>
      <c r="D868" t="s">
        <v>89</v>
      </c>
      <c r="E868" s="2">
        <v>12040</v>
      </c>
      <c r="F868" s="2">
        <v>12040</v>
      </c>
      <c r="G868" s="2">
        <v>8428</v>
      </c>
      <c r="I868" t="s">
        <v>99</v>
      </c>
      <c r="J868" t="s">
        <v>23</v>
      </c>
      <c r="K868" t="s">
        <v>18</v>
      </c>
      <c r="L868" t="str">
        <f>T("9791194664475")</f>
        <v>9791194664475</v>
      </c>
      <c r="M868" t="str">
        <f t="shared" si="21"/>
        <v/>
      </c>
    </row>
    <row r="869" spans="1:14" x14ac:dyDescent="0.3">
      <c r="A869" s="1">
        <v>46066.781273148146</v>
      </c>
      <c r="B869">
        <v>384177441</v>
      </c>
      <c r="C869" t="s">
        <v>21</v>
      </c>
      <c r="D869" t="s">
        <v>15</v>
      </c>
      <c r="E869" s="2">
        <v>3500</v>
      </c>
      <c r="F869" s="2">
        <v>3500</v>
      </c>
      <c r="G869" s="2">
        <v>2450</v>
      </c>
      <c r="I869" t="s">
        <v>22</v>
      </c>
      <c r="J869" t="s">
        <v>23</v>
      </c>
      <c r="K869" t="s">
        <v>18</v>
      </c>
      <c r="L869" t="str">
        <f>T("9791175309821")</f>
        <v>9791175309821</v>
      </c>
      <c r="M869" t="str">
        <f t="shared" si="21"/>
        <v/>
      </c>
      <c r="N869">
        <v>958592</v>
      </c>
    </row>
    <row r="870" spans="1:14" x14ac:dyDescent="0.3">
      <c r="A870" s="1">
        <v>46066.793993055559</v>
      </c>
      <c r="B870">
        <v>385347659</v>
      </c>
      <c r="C870" t="s">
        <v>86</v>
      </c>
      <c r="D870" t="s">
        <v>15</v>
      </c>
      <c r="E870" s="2">
        <v>1000</v>
      </c>
      <c r="F870">
        <v>900</v>
      </c>
      <c r="G870">
        <v>630</v>
      </c>
      <c r="I870" t="s">
        <v>87</v>
      </c>
      <c r="J870" t="s">
        <v>23</v>
      </c>
      <c r="K870" t="s">
        <v>18</v>
      </c>
      <c r="L870" t="str">
        <f>T("9791175308510")</f>
        <v>9791175308510</v>
      </c>
      <c r="M870" t="str">
        <f t="shared" si="21"/>
        <v/>
      </c>
      <c r="N870">
        <v>957881</v>
      </c>
    </row>
    <row r="871" spans="1:14" x14ac:dyDescent="0.3">
      <c r="A871" s="1">
        <v>46066.804537037038</v>
      </c>
      <c r="B871">
        <v>385348415</v>
      </c>
      <c r="C871" t="s">
        <v>88</v>
      </c>
      <c r="D871" t="s">
        <v>89</v>
      </c>
      <c r="E871" s="2">
        <v>8640</v>
      </c>
      <c r="F871" s="2">
        <v>8640</v>
      </c>
      <c r="G871" s="2">
        <v>6048</v>
      </c>
      <c r="I871" t="s">
        <v>90</v>
      </c>
      <c r="J871" t="s">
        <v>23</v>
      </c>
      <c r="K871" t="s">
        <v>18</v>
      </c>
      <c r="L871" t="str">
        <f>T("9791175308350")</f>
        <v>9791175308350</v>
      </c>
      <c r="M871" t="str">
        <f t="shared" si="21"/>
        <v/>
      </c>
    </row>
    <row r="872" spans="1:14" x14ac:dyDescent="0.3">
      <c r="A872" s="1">
        <v>46066.815694444442</v>
      </c>
      <c r="B872">
        <v>379386288</v>
      </c>
      <c r="C872" t="s">
        <v>370</v>
      </c>
      <c r="D872" t="s">
        <v>89</v>
      </c>
      <c r="E872" s="2">
        <v>11280</v>
      </c>
      <c r="F872" s="2">
        <v>11280</v>
      </c>
      <c r="G872" s="2">
        <v>7896</v>
      </c>
      <c r="I872" t="s">
        <v>102</v>
      </c>
      <c r="J872" t="s">
        <v>23</v>
      </c>
      <c r="K872" t="s">
        <v>18</v>
      </c>
      <c r="L872" t="str">
        <f>T("9791175307438")</f>
        <v>9791175307438</v>
      </c>
      <c r="M872" t="str">
        <f t="shared" si="21"/>
        <v/>
      </c>
    </row>
    <row r="873" spans="1:14" x14ac:dyDescent="0.3">
      <c r="A873" s="1">
        <v>46066.828229166669</v>
      </c>
      <c r="B873">
        <v>378759363</v>
      </c>
      <c r="C873" t="s">
        <v>179</v>
      </c>
      <c r="D873" t="s">
        <v>15</v>
      </c>
      <c r="E873" s="2">
        <v>3000</v>
      </c>
      <c r="F873" s="2">
        <v>2700</v>
      </c>
      <c r="G873" s="2">
        <v>1890</v>
      </c>
      <c r="I873" t="s">
        <v>87</v>
      </c>
      <c r="J873" t="s">
        <v>23</v>
      </c>
      <c r="K873" t="s">
        <v>18</v>
      </c>
      <c r="L873" t="str">
        <f>T("9791175302778")</f>
        <v>9791175302778</v>
      </c>
      <c r="M873" t="str">
        <f t="shared" si="21"/>
        <v/>
      </c>
      <c r="N873">
        <v>954952</v>
      </c>
    </row>
    <row r="874" spans="1:14" x14ac:dyDescent="0.3">
      <c r="A874" s="1">
        <v>46066.830706018518</v>
      </c>
      <c r="B874">
        <v>385636071</v>
      </c>
      <c r="C874" t="s">
        <v>289</v>
      </c>
      <c r="D874" t="s">
        <v>15</v>
      </c>
      <c r="E874" s="2">
        <v>3500</v>
      </c>
      <c r="F874" s="2">
        <v>3150</v>
      </c>
      <c r="G874" s="2">
        <v>2205</v>
      </c>
      <c r="I874" t="s">
        <v>246</v>
      </c>
      <c r="J874" t="s">
        <v>23</v>
      </c>
      <c r="K874" t="s">
        <v>18</v>
      </c>
      <c r="L874" t="str">
        <f>T("9791175309524")</f>
        <v>9791175309524</v>
      </c>
      <c r="M874" t="str">
        <f t="shared" si="21"/>
        <v/>
      </c>
      <c r="N874">
        <v>958042</v>
      </c>
    </row>
    <row r="875" spans="1:14" x14ac:dyDescent="0.3">
      <c r="A875" s="1">
        <v>46066.831701388888</v>
      </c>
      <c r="B875">
        <v>385348415</v>
      </c>
      <c r="C875" t="s">
        <v>88</v>
      </c>
      <c r="D875" t="s">
        <v>89</v>
      </c>
      <c r="E875" s="2">
        <v>8640</v>
      </c>
      <c r="F875" s="2">
        <v>8640</v>
      </c>
      <c r="G875" s="2">
        <v>6048</v>
      </c>
      <c r="I875" t="s">
        <v>90</v>
      </c>
      <c r="J875" t="s">
        <v>23</v>
      </c>
      <c r="K875" t="s">
        <v>18</v>
      </c>
      <c r="L875" t="str">
        <f>T("9791175308350")</f>
        <v>9791175308350</v>
      </c>
      <c r="M875" t="str">
        <f t="shared" si="21"/>
        <v/>
      </c>
    </row>
    <row r="876" spans="1:14" x14ac:dyDescent="0.3">
      <c r="A876" s="1">
        <v>46066.842002314814</v>
      </c>
      <c r="B876">
        <v>379386288</v>
      </c>
      <c r="C876" t="s">
        <v>370</v>
      </c>
      <c r="D876" t="s">
        <v>89</v>
      </c>
      <c r="E876" s="2">
        <v>11280</v>
      </c>
      <c r="F876" s="2">
        <v>11280</v>
      </c>
      <c r="G876" s="2">
        <v>7896</v>
      </c>
      <c r="I876" t="s">
        <v>102</v>
      </c>
      <c r="J876" t="s">
        <v>23</v>
      </c>
      <c r="K876" t="s">
        <v>18</v>
      </c>
      <c r="L876" t="str">
        <f>T("9791175307438")</f>
        <v>9791175307438</v>
      </c>
      <c r="M876" t="str">
        <f t="shared" si="21"/>
        <v/>
      </c>
    </row>
    <row r="877" spans="1:14" x14ac:dyDescent="0.3">
      <c r="A877" s="1">
        <v>46066.854074074072</v>
      </c>
      <c r="B877">
        <v>302299392</v>
      </c>
      <c r="C877" t="s">
        <v>388</v>
      </c>
      <c r="D877" t="s">
        <v>89</v>
      </c>
      <c r="E877" s="2">
        <v>10570</v>
      </c>
      <c r="F877" s="2">
        <v>10570</v>
      </c>
      <c r="G877" s="2">
        <v>7399</v>
      </c>
      <c r="I877" t="s">
        <v>368</v>
      </c>
      <c r="J877" t="s">
        <v>70</v>
      </c>
      <c r="K877" t="s">
        <v>18</v>
      </c>
      <c r="L877" t="str">
        <f>T("9791136927248")</f>
        <v>9791136927248</v>
      </c>
      <c r="M877" t="str">
        <f t="shared" si="21"/>
        <v/>
      </c>
    </row>
    <row r="878" spans="1:14" x14ac:dyDescent="0.3">
      <c r="A878" s="1">
        <v>46066.879884259259</v>
      </c>
      <c r="B878">
        <v>345344157</v>
      </c>
      <c r="C878" t="s">
        <v>389</v>
      </c>
      <c r="D878" t="s">
        <v>15</v>
      </c>
      <c r="E878" s="2">
        <v>3000</v>
      </c>
      <c r="F878" s="2">
        <v>3000</v>
      </c>
      <c r="G878" s="2">
        <v>2100</v>
      </c>
      <c r="I878" t="s">
        <v>374</v>
      </c>
      <c r="J878" t="s">
        <v>49</v>
      </c>
      <c r="K878" t="s">
        <v>18</v>
      </c>
      <c r="L878" t="str">
        <f>T("9791136985651")</f>
        <v>9791136985651</v>
      </c>
      <c r="M878" t="str">
        <f t="shared" si="21"/>
        <v/>
      </c>
      <c r="N878">
        <v>926538</v>
      </c>
    </row>
    <row r="879" spans="1:14" x14ac:dyDescent="0.3">
      <c r="A879" s="1">
        <v>46066.905034722222</v>
      </c>
      <c r="B879">
        <v>385347659</v>
      </c>
      <c r="C879" t="s">
        <v>86</v>
      </c>
      <c r="D879" t="s">
        <v>15</v>
      </c>
      <c r="E879" s="2">
        <v>1000</v>
      </c>
      <c r="F879">
        <v>900</v>
      </c>
      <c r="G879">
        <v>630</v>
      </c>
      <c r="I879" t="s">
        <v>87</v>
      </c>
      <c r="J879" t="s">
        <v>23</v>
      </c>
      <c r="K879" t="s">
        <v>18</v>
      </c>
      <c r="L879" t="str">
        <f>T("9791175308510")</f>
        <v>9791175308510</v>
      </c>
      <c r="M879" t="str">
        <f t="shared" si="21"/>
        <v/>
      </c>
      <c r="N879">
        <v>957881</v>
      </c>
    </row>
    <row r="880" spans="1:14" x14ac:dyDescent="0.3">
      <c r="A880" s="1">
        <v>46066.909942129627</v>
      </c>
      <c r="B880">
        <v>379386288</v>
      </c>
      <c r="C880" t="s">
        <v>370</v>
      </c>
      <c r="D880" t="s">
        <v>89</v>
      </c>
      <c r="E880" s="2">
        <v>11280</v>
      </c>
      <c r="F880" s="2">
        <v>11280</v>
      </c>
      <c r="G880" s="2">
        <v>7896</v>
      </c>
      <c r="I880" t="s">
        <v>102</v>
      </c>
      <c r="J880" t="s">
        <v>23</v>
      </c>
      <c r="K880" t="s">
        <v>18</v>
      </c>
      <c r="L880" t="str">
        <f>T("9791175307438")</f>
        <v>9791175307438</v>
      </c>
      <c r="M880" t="str">
        <f t="shared" si="21"/>
        <v/>
      </c>
    </row>
    <row r="881" spans="1:14" x14ac:dyDescent="0.3">
      <c r="A881" s="1">
        <v>46066.910682870373</v>
      </c>
      <c r="B881">
        <v>385831063</v>
      </c>
      <c r="C881" t="s">
        <v>343</v>
      </c>
      <c r="D881" t="s">
        <v>89</v>
      </c>
      <c r="E881" s="2">
        <v>10800</v>
      </c>
      <c r="F881" s="2">
        <v>10800</v>
      </c>
      <c r="G881" s="2">
        <v>7560</v>
      </c>
      <c r="I881" t="s">
        <v>344</v>
      </c>
      <c r="J881" t="s">
        <v>23</v>
      </c>
      <c r="K881" t="s">
        <v>18</v>
      </c>
      <c r="L881" t="str">
        <f>T("9791175309456")</f>
        <v>9791175309456</v>
      </c>
      <c r="M881" t="str">
        <f t="shared" si="21"/>
        <v/>
      </c>
    </row>
    <row r="882" spans="1:14" x14ac:dyDescent="0.3">
      <c r="A882" s="1">
        <v>46066.913912037038</v>
      </c>
      <c r="B882">
        <v>385636113</v>
      </c>
      <c r="C882" t="s">
        <v>378</v>
      </c>
      <c r="D882" t="s">
        <v>15</v>
      </c>
      <c r="E882" s="2">
        <v>3500</v>
      </c>
      <c r="F882" s="2">
        <v>3150</v>
      </c>
      <c r="G882" s="2">
        <v>2205</v>
      </c>
      <c r="I882" t="s">
        <v>246</v>
      </c>
      <c r="J882" t="s">
        <v>23</v>
      </c>
      <c r="K882" t="s">
        <v>18</v>
      </c>
      <c r="L882" t="str">
        <f>T("9791175309531")</f>
        <v>9791175309531</v>
      </c>
      <c r="M882" t="str">
        <f t="shared" si="21"/>
        <v/>
      </c>
      <c r="N882">
        <v>958041</v>
      </c>
    </row>
    <row r="883" spans="1:14" x14ac:dyDescent="0.3">
      <c r="A883" s="1">
        <v>46066.920798611114</v>
      </c>
      <c r="B883">
        <v>379386288</v>
      </c>
      <c r="C883" t="s">
        <v>370</v>
      </c>
      <c r="D883" t="s">
        <v>89</v>
      </c>
      <c r="E883" s="2">
        <v>11280</v>
      </c>
      <c r="F883" s="2">
        <v>11280</v>
      </c>
      <c r="G883" s="2">
        <v>7896</v>
      </c>
      <c r="I883" t="s">
        <v>102</v>
      </c>
      <c r="J883" t="s">
        <v>23</v>
      </c>
      <c r="K883" t="s">
        <v>18</v>
      </c>
      <c r="L883" t="str">
        <f>T("9791175307438")</f>
        <v>9791175307438</v>
      </c>
      <c r="M883" t="str">
        <f t="shared" si="21"/>
        <v/>
      </c>
    </row>
    <row r="884" spans="1:14" x14ac:dyDescent="0.3">
      <c r="A884" s="1">
        <v>46066.923136574071</v>
      </c>
      <c r="B884">
        <v>320979628</v>
      </c>
      <c r="C884" t="s">
        <v>390</v>
      </c>
      <c r="D884" t="s">
        <v>89</v>
      </c>
      <c r="E884" s="2">
        <v>10500</v>
      </c>
      <c r="F884" s="2">
        <v>10500</v>
      </c>
      <c r="G884" s="2">
        <v>7350</v>
      </c>
      <c r="I884" t="s">
        <v>22</v>
      </c>
      <c r="J884" t="s">
        <v>23</v>
      </c>
      <c r="K884" t="s">
        <v>18</v>
      </c>
      <c r="L884" t="str">
        <f>T("9791136939456")</f>
        <v>9791136939456</v>
      </c>
      <c r="M884" t="str">
        <f t="shared" si="21"/>
        <v/>
      </c>
    </row>
    <row r="885" spans="1:14" x14ac:dyDescent="0.3">
      <c r="A885" s="1">
        <v>46066.923136574071</v>
      </c>
      <c r="B885">
        <v>374334966</v>
      </c>
      <c r="C885" t="s">
        <v>391</v>
      </c>
      <c r="D885" t="s">
        <v>89</v>
      </c>
      <c r="E885" s="2">
        <v>5850</v>
      </c>
      <c r="F885" s="2">
        <v>5850</v>
      </c>
      <c r="G885" s="2">
        <v>4095</v>
      </c>
      <c r="I885" t="s">
        <v>392</v>
      </c>
      <c r="J885" t="s">
        <v>23</v>
      </c>
      <c r="K885" t="s">
        <v>18</v>
      </c>
      <c r="L885" t="str">
        <f>T("9791175304932")</f>
        <v>9791175304932</v>
      </c>
      <c r="M885" t="str">
        <f t="shared" si="21"/>
        <v/>
      </c>
    </row>
    <row r="886" spans="1:14" x14ac:dyDescent="0.3">
      <c r="A886" s="1">
        <v>46066.923136574071</v>
      </c>
      <c r="B886">
        <v>382391622</v>
      </c>
      <c r="C886" t="s">
        <v>393</v>
      </c>
      <c r="D886" t="s">
        <v>89</v>
      </c>
      <c r="E886" s="2">
        <v>7680</v>
      </c>
      <c r="F886" s="2">
        <v>7680</v>
      </c>
      <c r="G886" s="2">
        <v>5376</v>
      </c>
      <c r="I886" t="s">
        <v>346</v>
      </c>
      <c r="J886" t="s">
        <v>23</v>
      </c>
      <c r="K886" t="s">
        <v>18</v>
      </c>
      <c r="L886" t="str">
        <f>T("9791175307155")</f>
        <v>9791175307155</v>
      </c>
      <c r="M886" t="str">
        <f t="shared" si="21"/>
        <v/>
      </c>
    </row>
    <row r="887" spans="1:14" x14ac:dyDescent="0.3">
      <c r="A887" s="1">
        <v>46066.924016203702</v>
      </c>
      <c r="B887">
        <v>379386288</v>
      </c>
      <c r="C887" t="s">
        <v>370</v>
      </c>
      <c r="D887" t="s">
        <v>89</v>
      </c>
      <c r="E887" s="2">
        <v>11280</v>
      </c>
      <c r="F887" s="2">
        <v>11280</v>
      </c>
      <c r="G887" s="2">
        <v>7896</v>
      </c>
      <c r="I887" t="s">
        <v>102</v>
      </c>
      <c r="J887" t="s">
        <v>23</v>
      </c>
      <c r="K887" t="s">
        <v>18</v>
      </c>
      <c r="L887" t="str">
        <f>T("9791175307438")</f>
        <v>9791175307438</v>
      </c>
      <c r="M887" t="str">
        <f t="shared" si="21"/>
        <v/>
      </c>
    </row>
    <row r="888" spans="1:14" x14ac:dyDescent="0.3">
      <c r="A888" s="1">
        <v>46066.925081018519</v>
      </c>
      <c r="B888">
        <v>385831063</v>
      </c>
      <c r="C888" t="s">
        <v>343</v>
      </c>
      <c r="D888" t="s">
        <v>89</v>
      </c>
      <c r="E888" s="2">
        <v>10800</v>
      </c>
      <c r="F888" s="2">
        <v>10800</v>
      </c>
      <c r="G888" s="2">
        <v>7560</v>
      </c>
      <c r="I888" t="s">
        <v>344</v>
      </c>
      <c r="J888" t="s">
        <v>23</v>
      </c>
      <c r="K888" t="s">
        <v>18</v>
      </c>
      <c r="L888" t="str">
        <f>T("9791175309456")</f>
        <v>9791175309456</v>
      </c>
      <c r="M888" t="str">
        <f t="shared" si="21"/>
        <v/>
      </c>
    </row>
    <row r="889" spans="1:14" x14ac:dyDescent="0.3">
      <c r="A889" s="1">
        <v>46066.933611111112</v>
      </c>
      <c r="B889">
        <v>385636847</v>
      </c>
      <c r="C889" t="s">
        <v>245</v>
      </c>
      <c r="D889" t="s">
        <v>89</v>
      </c>
      <c r="E889" s="2">
        <v>9450</v>
      </c>
      <c r="F889" s="2">
        <v>9450</v>
      </c>
      <c r="G889" s="2">
        <v>6615</v>
      </c>
      <c r="I889" t="s">
        <v>246</v>
      </c>
      <c r="J889" t="s">
        <v>23</v>
      </c>
      <c r="K889" t="s">
        <v>18</v>
      </c>
      <c r="L889" t="str">
        <f>T("9791175309517")</f>
        <v>9791175309517</v>
      </c>
      <c r="M889" t="str">
        <f t="shared" si="21"/>
        <v/>
      </c>
    </row>
    <row r="890" spans="1:14" x14ac:dyDescent="0.3">
      <c r="A890" s="1">
        <v>46066.949004629627</v>
      </c>
      <c r="B890">
        <v>374949675</v>
      </c>
      <c r="C890" t="s">
        <v>394</v>
      </c>
      <c r="D890" t="s">
        <v>15</v>
      </c>
      <c r="E890" s="2">
        <v>12500</v>
      </c>
      <c r="F890" s="2">
        <v>12500</v>
      </c>
      <c r="G890" s="2">
        <v>8750</v>
      </c>
      <c r="I890" t="s">
        <v>251</v>
      </c>
      <c r="J890" t="s">
        <v>23</v>
      </c>
      <c r="K890" t="s">
        <v>18</v>
      </c>
      <c r="L890" t="str">
        <f>T("9791175307476")</f>
        <v>9791175307476</v>
      </c>
      <c r="M890" t="str">
        <f t="shared" si="21"/>
        <v/>
      </c>
    </row>
    <row r="891" spans="1:14" x14ac:dyDescent="0.3">
      <c r="A891" s="1">
        <v>46066.951701388891</v>
      </c>
      <c r="B891">
        <v>371102770</v>
      </c>
      <c r="C891" t="s">
        <v>395</v>
      </c>
      <c r="D891" t="s">
        <v>89</v>
      </c>
      <c r="E891" s="2">
        <v>6930</v>
      </c>
      <c r="F891" s="2">
        <v>6930</v>
      </c>
      <c r="G891" s="2">
        <v>4851</v>
      </c>
      <c r="I891" t="s">
        <v>234</v>
      </c>
      <c r="J891" t="s">
        <v>23</v>
      </c>
      <c r="K891" t="s">
        <v>18</v>
      </c>
      <c r="L891" t="str">
        <f>T("9791175300569")</f>
        <v>9791175300569</v>
      </c>
      <c r="M891" t="str">
        <f t="shared" si="21"/>
        <v/>
      </c>
    </row>
    <row r="892" spans="1:14" x14ac:dyDescent="0.3">
      <c r="A892" s="1">
        <v>46066.952939814815</v>
      </c>
      <c r="B892">
        <v>361759212</v>
      </c>
      <c r="C892" t="s">
        <v>396</v>
      </c>
      <c r="D892" t="s">
        <v>15</v>
      </c>
      <c r="E892" s="2">
        <v>3200</v>
      </c>
      <c r="F892" s="2">
        <v>3200</v>
      </c>
      <c r="G892" s="2">
        <v>2240</v>
      </c>
      <c r="I892" t="s">
        <v>54</v>
      </c>
      <c r="J892" t="s">
        <v>52</v>
      </c>
      <c r="K892" t="s">
        <v>18</v>
      </c>
      <c r="L892" t="str">
        <f>T("9791173781902")</f>
        <v>9791173781902</v>
      </c>
      <c r="M892" t="str">
        <f t="shared" si="21"/>
        <v/>
      </c>
      <c r="N892">
        <v>947000</v>
      </c>
    </row>
    <row r="893" spans="1:14" x14ac:dyDescent="0.3">
      <c r="A893" s="1">
        <v>46066.962708333333</v>
      </c>
      <c r="B893">
        <v>357906220</v>
      </c>
      <c r="C893" t="s">
        <v>397</v>
      </c>
      <c r="D893" t="s">
        <v>15</v>
      </c>
      <c r="E893" s="2">
        <v>3200</v>
      </c>
      <c r="F893" s="2">
        <v>3200</v>
      </c>
      <c r="G893" s="2">
        <v>2240</v>
      </c>
      <c r="I893" t="s">
        <v>61</v>
      </c>
      <c r="J893" t="s">
        <v>59</v>
      </c>
      <c r="K893" t="s">
        <v>18</v>
      </c>
      <c r="L893" t="str">
        <f>T("9791136970121")</f>
        <v>9791136970121</v>
      </c>
      <c r="M893" t="str">
        <f t="shared" si="21"/>
        <v/>
      </c>
      <c r="N893">
        <v>924673</v>
      </c>
    </row>
    <row r="894" spans="1:14" x14ac:dyDescent="0.3">
      <c r="A894" s="1">
        <v>46066.964699074073</v>
      </c>
      <c r="B894">
        <v>374334966</v>
      </c>
      <c r="C894" t="s">
        <v>391</v>
      </c>
      <c r="D894" t="s">
        <v>89</v>
      </c>
      <c r="E894" s="2">
        <v>5850</v>
      </c>
      <c r="F894" s="2">
        <v>5850</v>
      </c>
      <c r="G894" s="2">
        <v>4095</v>
      </c>
      <c r="I894" t="s">
        <v>392</v>
      </c>
      <c r="J894" t="s">
        <v>23</v>
      </c>
      <c r="K894" t="s">
        <v>18</v>
      </c>
      <c r="L894" t="str">
        <f>T("9791175304932")</f>
        <v>9791175304932</v>
      </c>
      <c r="M894" t="str">
        <f t="shared" si="21"/>
        <v/>
      </c>
    </row>
    <row r="895" spans="1:14" x14ac:dyDescent="0.3">
      <c r="A895" s="1">
        <v>46066.964756944442</v>
      </c>
      <c r="B895">
        <v>379664433</v>
      </c>
      <c r="C895" t="s">
        <v>93</v>
      </c>
      <c r="D895" t="s">
        <v>15</v>
      </c>
      <c r="E895" s="2">
        <v>1100</v>
      </c>
      <c r="F895" s="2">
        <v>1100</v>
      </c>
      <c r="G895">
        <v>770</v>
      </c>
      <c r="I895" t="s">
        <v>94</v>
      </c>
      <c r="J895" t="s">
        <v>23</v>
      </c>
      <c r="K895" t="s">
        <v>18</v>
      </c>
      <c r="L895" t="str">
        <f>T("9791175306752")</f>
        <v>9791175306752</v>
      </c>
      <c r="M895" t="str">
        <f t="shared" si="21"/>
        <v/>
      </c>
      <c r="N895">
        <v>957104</v>
      </c>
    </row>
    <row r="896" spans="1:14" x14ac:dyDescent="0.3">
      <c r="A896" s="1">
        <v>46066.967719907407</v>
      </c>
      <c r="B896">
        <v>359779074</v>
      </c>
      <c r="C896" t="s">
        <v>385</v>
      </c>
      <c r="D896" t="s">
        <v>89</v>
      </c>
      <c r="E896" s="2">
        <v>12040</v>
      </c>
      <c r="F896" s="2">
        <v>12040</v>
      </c>
      <c r="G896" s="2">
        <v>8428</v>
      </c>
      <c r="I896" t="s">
        <v>99</v>
      </c>
      <c r="J896" t="s">
        <v>23</v>
      </c>
      <c r="K896" t="s">
        <v>18</v>
      </c>
      <c r="L896" t="str">
        <f>T("9791194664475")</f>
        <v>9791194664475</v>
      </c>
      <c r="M896" t="str">
        <f t="shared" si="21"/>
        <v/>
      </c>
    </row>
    <row r="897" spans="1:14" x14ac:dyDescent="0.3">
      <c r="A897" s="1">
        <v>46066.967997685184</v>
      </c>
      <c r="B897">
        <v>385348415</v>
      </c>
      <c r="C897" t="s">
        <v>88</v>
      </c>
      <c r="D897" t="s">
        <v>89</v>
      </c>
      <c r="E897" s="2">
        <v>8640</v>
      </c>
      <c r="F897" s="2">
        <v>8640</v>
      </c>
      <c r="G897" s="2">
        <v>6048</v>
      </c>
      <c r="I897" t="s">
        <v>90</v>
      </c>
      <c r="J897" t="s">
        <v>23</v>
      </c>
      <c r="K897" t="s">
        <v>18</v>
      </c>
      <c r="L897" t="str">
        <f>T("9791175308350")</f>
        <v>9791175308350</v>
      </c>
      <c r="M897" t="str">
        <f t="shared" si="21"/>
        <v/>
      </c>
    </row>
    <row r="898" spans="1:14" x14ac:dyDescent="0.3">
      <c r="A898" s="1">
        <v>46066.975127314814</v>
      </c>
      <c r="B898">
        <v>369306537</v>
      </c>
      <c r="C898" t="s">
        <v>35</v>
      </c>
      <c r="D898" t="s">
        <v>15</v>
      </c>
      <c r="E898" s="2">
        <v>1000</v>
      </c>
      <c r="F898" s="2">
        <v>1000</v>
      </c>
      <c r="G898">
        <v>700</v>
      </c>
      <c r="I898" t="s">
        <v>36</v>
      </c>
      <c r="J898" t="s">
        <v>37</v>
      </c>
      <c r="K898" t="s">
        <v>18</v>
      </c>
      <c r="L898" t="str">
        <f>T("9791173786402")</f>
        <v>9791173786402</v>
      </c>
      <c r="M898" t="str">
        <f t="shared" si="21"/>
        <v/>
      </c>
      <c r="N898">
        <v>950696</v>
      </c>
    </row>
    <row r="899" spans="1:14" x14ac:dyDescent="0.3">
      <c r="A899" s="1">
        <v>46066.977268518516</v>
      </c>
      <c r="B899">
        <v>366387869</v>
      </c>
      <c r="C899" t="s">
        <v>31</v>
      </c>
      <c r="D899" t="s">
        <v>15</v>
      </c>
      <c r="E899" s="2">
        <v>18300</v>
      </c>
      <c r="F899" s="2">
        <v>18300</v>
      </c>
      <c r="G899" s="2">
        <v>12810</v>
      </c>
      <c r="I899" t="s">
        <v>32</v>
      </c>
      <c r="J899" t="s">
        <v>23</v>
      </c>
      <c r="K899" t="s">
        <v>18</v>
      </c>
      <c r="L899" t="str">
        <f>T("9791173786648")</f>
        <v>9791173786648</v>
      </c>
      <c r="M899" t="str">
        <f t="shared" si="21"/>
        <v/>
      </c>
    </row>
    <row r="900" spans="1:14" x14ac:dyDescent="0.3">
      <c r="A900" s="1">
        <v>46066.984780092593</v>
      </c>
      <c r="B900">
        <v>379386288</v>
      </c>
      <c r="C900" t="s">
        <v>370</v>
      </c>
      <c r="D900" t="s">
        <v>89</v>
      </c>
      <c r="E900" s="2">
        <v>-11280</v>
      </c>
      <c r="F900" s="2">
        <v>-11280</v>
      </c>
      <c r="G900" s="2">
        <v>-7896</v>
      </c>
      <c r="H900" s="1">
        <v>46066.97797453704</v>
      </c>
      <c r="I900" t="s">
        <v>102</v>
      </c>
      <c r="J900" t="s">
        <v>23</v>
      </c>
      <c r="K900" t="s">
        <v>18</v>
      </c>
      <c r="L900" t="str">
        <f>T("9791175307438")</f>
        <v>9791175307438</v>
      </c>
      <c r="M900" t="str">
        <f t="shared" si="21"/>
        <v/>
      </c>
    </row>
    <row r="901" spans="1:14" x14ac:dyDescent="0.3">
      <c r="A901" s="1">
        <v>46066.97797453704</v>
      </c>
      <c r="B901">
        <v>379386288</v>
      </c>
      <c r="C901" t="s">
        <v>370</v>
      </c>
      <c r="D901" t="s">
        <v>89</v>
      </c>
      <c r="E901" s="2">
        <v>11280</v>
      </c>
      <c r="F901" s="2">
        <v>11280</v>
      </c>
      <c r="G901" s="2">
        <v>7896</v>
      </c>
      <c r="I901" t="s">
        <v>102</v>
      </c>
      <c r="J901" t="s">
        <v>23</v>
      </c>
      <c r="K901" t="s">
        <v>18</v>
      </c>
      <c r="L901" t="str">
        <f>T("9791175307438")</f>
        <v>9791175307438</v>
      </c>
      <c r="M901" t="str">
        <f t="shared" si="21"/>
        <v/>
      </c>
    </row>
    <row r="902" spans="1:14" x14ac:dyDescent="0.3">
      <c r="A902" s="1">
        <v>46066.983078703706</v>
      </c>
      <c r="B902">
        <v>379386288</v>
      </c>
      <c r="C902" t="s">
        <v>370</v>
      </c>
      <c r="D902" t="s">
        <v>89</v>
      </c>
      <c r="E902" s="2">
        <v>11280</v>
      </c>
      <c r="F902" s="2">
        <v>11280</v>
      </c>
      <c r="G902" s="2">
        <v>7896</v>
      </c>
      <c r="I902" t="s">
        <v>102</v>
      </c>
      <c r="J902" t="s">
        <v>23</v>
      </c>
      <c r="K902" t="s">
        <v>18</v>
      </c>
      <c r="L902" t="str">
        <f>T("9791175307438")</f>
        <v>9791175307438</v>
      </c>
      <c r="M902" t="str">
        <f t="shared" si="21"/>
        <v/>
      </c>
    </row>
    <row r="903" spans="1:14" x14ac:dyDescent="0.3">
      <c r="A903" s="1">
        <v>46066.986828703702</v>
      </c>
      <c r="B903">
        <v>378216189</v>
      </c>
      <c r="C903" t="s">
        <v>398</v>
      </c>
      <c r="D903" t="s">
        <v>15</v>
      </c>
      <c r="E903" s="2">
        <v>3600</v>
      </c>
      <c r="F903" s="2">
        <v>3600</v>
      </c>
      <c r="G903" s="2">
        <v>2520</v>
      </c>
      <c r="I903" t="s">
        <v>203</v>
      </c>
      <c r="J903" t="s">
        <v>23</v>
      </c>
      <c r="K903" t="s">
        <v>18</v>
      </c>
      <c r="L903" t="str">
        <f>T("9791175302730")</f>
        <v>9791175302730</v>
      </c>
      <c r="M903" t="str">
        <f t="shared" si="21"/>
        <v/>
      </c>
      <c r="N903">
        <v>954943</v>
      </c>
    </row>
    <row r="904" spans="1:14" x14ac:dyDescent="0.3">
      <c r="A904" s="1">
        <v>46066.987800925926</v>
      </c>
      <c r="B904">
        <v>379385369</v>
      </c>
      <c r="C904" t="s">
        <v>101</v>
      </c>
      <c r="D904" t="s">
        <v>15</v>
      </c>
      <c r="E904" s="2">
        <v>1500</v>
      </c>
      <c r="F904" s="2">
        <v>1500</v>
      </c>
      <c r="G904" s="2">
        <v>1050</v>
      </c>
      <c r="I904" t="s">
        <v>102</v>
      </c>
      <c r="J904" t="s">
        <v>23</v>
      </c>
      <c r="K904" t="s">
        <v>18</v>
      </c>
      <c r="L904" t="str">
        <f>T("9791175307254")</f>
        <v>9791175307254</v>
      </c>
      <c r="M904" t="str">
        <f t="shared" si="21"/>
        <v/>
      </c>
      <c r="N904">
        <v>957333</v>
      </c>
    </row>
    <row r="905" spans="1:14" x14ac:dyDescent="0.3">
      <c r="A905" s="1">
        <v>46066.988587962966</v>
      </c>
      <c r="B905">
        <v>366170260</v>
      </c>
      <c r="C905" t="s">
        <v>201</v>
      </c>
      <c r="D905" t="s">
        <v>89</v>
      </c>
      <c r="E905" s="2">
        <v>9240</v>
      </c>
      <c r="F905" s="2">
        <v>9240</v>
      </c>
      <c r="G905" s="2">
        <v>6468</v>
      </c>
      <c r="I905" t="s">
        <v>34</v>
      </c>
      <c r="J905" t="s">
        <v>23</v>
      </c>
      <c r="K905" t="s">
        <v>18</v>
      </c>
      <c r="L905" t="str">
        <f>T("9791173784552")</f>
        <v>9791173784552</v>
      </c>
      <c r="M905" t="str">
        <f t="shared" si="21"/>
        <v/>
      </c>
    </row>
    <row r="906" spans="1:14" x14ac:dyDescent="0.3">
      <c r="A906" s="1">
        <v>46066.988993055558</v>
      </c>
      <c r="B906">
        <v>379386288</v>
      </c>
      <c r="C906" t="s">
        <v>370</v>
      </c>
      <c r="D906" t="s">
        <v>89</v>
      </c>
      <c r="E906" s="2">
        <v>11280</v>
      </c>
      <c r="F906" s="2">
        <v>11280</v>
      </c>
      <c r="G906" s="2">
        <v>7896</v>
      </c>
      <c r="I906" t="s">
        <v>102</v>
      </c>
      <c r="J906" t="s">
        <v>23</v>
      </c>
      <c r="K906" t="s">
        <v>18</v>
      </c>
      <c r="L906" t="str">
        <f>T("9791175307438")</f>
        <v>9791175307438</v>
      </c>
      <c r="M906" t="str">
        <f t="shared" si="21"/>
        <v/>
      </c>
    </row>
    <row r="907" spans="1:14" x14ac:dyDescent="0.3">
      <c r="A907" s="1">
        <v>46066.990289351852</v>
      </c>
      <c r="B907">
        <v>339153055</v>
      </c>
      <c r="C907" t="s">
        <v>399</v>
      </c>
      <c r="D907" t="s">
        <v>89</v>
      </c>
      <c r="E907" s="2">
        <v>17080</v>
      </c>
      <c r="F907" s="2">
        <v>17080</v>
      </c>
      <c r="G907" s="2">
        <v>11956</v>
      </c>
      <c r="I907" t="s">
        <v>400</v>
      </c>
      <c r="J907" t="s">
        <v>23</v>
      </c>
      <c r="K907" t="s">
        <v>18</v>
      </c>
      <c r="L907" t="str">
        <f>T("9791136965936")</f>
        <v>9791136965936</v>
      </c>
      <c r="M907" t="str">
        <f t="shared" si="21"/>
        <v/>
      </c>
    </row>
    <row r="908" spans="1:14" x14ac:dyDescent="0.3">
      <c r="A908" s="1">
        <v>46066.991944444446</v>
      </c>
      <c r="B908">
        <v>385347659</v>
      </c>
      <c r="C908" t="s">
        <v>86</v>
      </c>
      <c r="D908" t="s">
        <v>15</v>
      </c>
      <c r="E908" s="2">
        <v>1000</v>
      </c>
      <c r="F908">
        <v>900</v>
      </c>
      <c r="G908">
        <v>630</v>
      </c>
      <c r="I908" t="s">
        <v>87</v>
      </c>
      <c r="J908" t="s">
        <v>23</v>
      </c>
      <c r="K908" t="s">
        <v>18</v>
      </c>
      <c r="L908" t="str">
        <f>T("9791175308510")</f>
        <v>9791175308510</v>
      </c>
      <c r="M908" t="str">
        <f t="shared" si="21"/>
        <v/>
      </c>
      <c r="N908">
        <v>957881</v>
      </c>
    </row>
    <row r="909" spans="1:14" x14ac:dyDescent="0.3">
      <c r="A909" s="1">
        <v>46066.993888888886</v>
      </c>
      <c r="B909">
        <v>385347662</v>
      </c>
      <c r="C909" t="s">
        <v>103</v>
      </c>
      <c r="D909" t="s">
        <v>15</v>
      </c>
      <c r="E909" s="2">
        <v>3200</v>
      </c>
      <c r="F909" s="2">
        <v>2880</v>
      </c>
      <c r="G909" s="2">
        <v>2016</v>
      </c>
      <c r="I909" t="s">
        <v>90</v>
      </c>
      <c r="J909" t="s">
        <v>23</v>
      </c>
      <c r="K909" t="s">
        <v>18</v>
      </c>
      <c r="L909" t="str">
        <f>T("9791175308343")</f>
        <v>9791175308343</v>
      </c>
      <c r="M909" t="str">
        <f t="shared" si="21"/>
        <v/>
      </c>
      <c r="N909">
        <v>957885</v>
      </c>
    </row>
    <row r="910" spans="1:14" x14ac:dyDescent="0.3">
      <c r="A910" s="1">
        <v>46066.996550925927</v>
      </c>
      <c r="B910">
        <v>385831063</v>
      </c>
      <c r="C910" t="s">
        <v>343</v>
      </c>
      <c r="D910" t="s">
        <v>89</v>
      </c>
      <c r="E910" s="2">
        <v>10800</v>
      </c>
      <c r="F910" s="2">
        <v>10800</v>
      </c>
      <c r="G910" s="2">
        <v>7560</v>
      </c>
      <c r="I910" t="s">
        <v>344</v>
      </c>
      <c r="J910" t="s">
        <v>23</v>
      </c>
      <c r="K910" t="s">
        <v>18</v>
      </c>
      <c r="L910" t="str">
        <f>T("9791175309456")</f>
        <v>9791175309456</v>
      </c>
      <c r="M910" t="str">
        <f t="shared" si="21"/>
        <v/>
      </c>
    </row>
    <row r="911" spans="1:14" x14ac:dyDescent="0.3">
      <c r="A911" s="1">
        <v>46066.997812499998</v>
      </c>
      <c r="B911">
        <v>385636847</v>
      </c>
      <c r="C911" t="s">
        <v>245</v>
      </c>
      <c r="D911" t="s">
        <v>89</v>
      </c>
      <c r="E911" s="2">
        <v>9450</v>
      </c>
      <c r="F911" s="2">
        <v>9450</v>
      </c>
      <c r="G911" s="2">
        <v>6615</v>
      </c>
      <c r="I911" t="s">
        <v>246</v>
      </c>
      <c r="J911" t="s">
        <v>23</v>
      </c>
      <c r="K911" t="s">
        <v>18</v>
      </c>
      <c r="L911" t="str">
        <f>T("9791175309517")</f>
        <v>9791175309517</v>
      </c>
      <c r="M911" t="str">
        <f t="shared" si="21"/>
        <v/>
      </c>
    </row>
    <row r="912" spans="1:14" x14ac:dyDescent="0.3">
      <c r="A912" s="1">
        <v>46067.000567129631</v>
      </c>
      <c r="B912">
        <v>345344434</v>
      </c>
      <c r="C912" t="s">
        <v>401</v>
      </c>
      <c r="D912" t="s">
        <v>15</v>
      </c>
      <c r="E912" s="2">
        <v>3000</v>
      </c>
      <c r="F912" s="2">
        <v>3000</v>
      </c>
      <c r="G912" s="2">
        <v>2100</v>
      </c>
      <c r="I912" t="s">
        <v>374</v>
      </c>
      <c r="J912" t="s">
        <v>49</v>
      </c>
      <c r="K912" t="s">
        <v>18</v>
      </c>
      <c r="L912" t="str">
        <f>T("9791136985682")</f>
        <v>9791136985682</v>
      </c>
      <c r="M912" t="str">
        <f t="shared" si="21"/>
        <v/>
      </c>
      <c r="N912">
        <v>926537</v>
      </c>
    </row>
    <row r="913" spans="1:14" x14ac:dyDescent="0.3">
      <c r="A913" s="1">
        <v>46067.226712962962</v>
      </c>
      <c r="B913">
        <v>365656697</v>
      </c>
      <c r="C913" t="s">
        <v>239</v>
      </c>
      <c r="D913" t="s">
        <v>89</v>
      </c>
      <c r="E913" s="2">
        <v>5760</v>
      </c>
      <c r="F913" s="2">
        <v>5760</v>
      </c>
      <c r="G913" s="2">
        <v>4032</v>
      </c>
      <c r="I913" t="s">
        <v>240</v>
      </c>
      <c r="J913" t="s">
        <v>49</v>
      </c>
      <c r="K913" t="s">
        <v>18</v>
      </c>
      <c r="L913" t="str">
        <f>T("9791173783630")</f>
        <v>9791173783630</v>
      </c>
      <c r="M913" t="str">
        <f t="shared" si="21"/>
        <v/>
      </c>
    </row>
    <row r="914" spans="1:14" x14ac:dyDescent="0.3">
      <c r="A914" s="1">
        <v>46067.254236111112</v>
      </c>
      <c r="B914">
        <v>381539747</v>
      </c>
      <c r="C914" t="s">
        <v>192</v>
      </c>
      <c r="D914" t="s">
        <v>15</v>
      </c>
      <c r="E914">
        <v>0</v>
      </c>
      <c r="F914">
        <v>0</v>
      </c>
      <c r="G914">
        <v>0</v>
      </c>
      <c r="I914" t="s">
        <v>193</v>
      </c>
      <c r="J914" t="s">
        <v>59</v>
      </c>
      <c r="K914" t="s">
        <v>18</v>
      </c>
      <c r="L914" t="str">
        <f>T("9791172921613")</f>
        <v>9791172921613</v>
      </c>
      <c r="M914" t="str">
        <f t="shared" si="21"/>
        <v/>
      </c>
      <c r="N914">
        <v>929943</v>
      </c>
    </row>
    <row r="915" spans="1:14" x14ac:dyDescent="0.3">
      <c r="A915" s="1">
        <v>46067.27648148148</v>
      </c>
      <c r="B915">
        <v>385636847</v>
      </c>
      <c r="C915" t="s">
        <v>245</v>
      </c>
      <c r="D915" t="s">
        <v>89</v>
      </c>
      <c r="E915" s="2">
        <v>9450</v>
      </c>
      <c r="F915" s="2">
        <v>9450</v>
      </c>
      <c r="G915" s="2">
        <v>6615</v>
      </c>
      <c r="I915" t="s">
        <v>246</v>
      </c>
      <c r="J915" t="s">
        <v>23</v>
      </c>
      <c r="K915" t="s">
        <v>18</v>
      </c>
      <c r="L915" t="str">
        <f>T("9791175309517")</f>
        <v>9791175309517</v>
      </c>
      <c r="M915" t="str">
        <f t="shared" si="21"/>
        <v/>
      </c>
    </row>
    <row r="916" spans="1:14" x14ac:dyDescent="0.3">
      <c r="A916" s="1">
        <v>46067.407800925925</v>
      </c>
      <c r="B916">
        <v>379386288</v>
      </c>
      <c r="C916" t="s">
        <v>370</v>
      </c>
      <c r="D916" t="s">
        <v>89</v>
      </c>
      <c r="E916" s="2">
        <v>11280</v>
      </c>
      <c r="F916" s="2">
        <v>11280</v>
      </c>
      <c r="G916" s="2">
        <v>7896</v>
      </c>
      <c r="I916" t="s">
        <v>102</v>
      </c>
      <c r="J916" t="s">
        <v>23</v>
      </c>
      <c r="K916" t="s">
        <v>18</v>
      </c>
      <c r="L916" t="str">
        <f>T("9791175307438")</f>
        <v>9791175307438</v>
      </c>
      <c r="M916" t="str">
        <f t="shared" si="21"/>
        <v/>
      </c>
    </row>
    <row r="917" spans="1:14" x14ac:dyDescent="0.3">
      <c r="A917" s="1">
        <v>46067.424305555556</v>
      </c>
      <c r="B917">
        <v>385347620</v>
      </c>
      <c r="C917" t="s">
        <v>84</v>
      </c>
      <c r="D917" t="s">
        <v>15</v>
      </c>
      <c r="E917">
        <v>0</v>
      </c>
      <c r="F917">
        <v>0</v>
      </c>
      <c r="G917">
        <v>0</v>
      </c>
      <c r="I917" t="s">
        <v>85</v>
      </c>
      <c r="J917" t="s">
        <v>59</v>
      </c>
      <c r="K917" t="s">
        <v>18</v>
      </c>
      <c r="L917" t="str">
        <f>T("9791136943897")</f>
        <v>9791136943897</v>
      </c>
      <c r="M917" t="str">
        <f t="shared" si="21"/>
        <v/>
      </c>
      <c r="N917">
        <v>917706</v>
      </c>
    </row>
    <row r="918" spans="1:14" x14ac:dyDescent="0.3">
      <c r="A918" s="1">
        <v>46067.448136574072</v>
      </c>
      <c r="B918">
        <v>346154285</v>
      </c>
      <c r="C918" t="s">
        <v>191</v>
      </c>
      <c r="D918" t="s">
        <v>15</v>
      </c>
      <c r="E918" s="2">
        <v>3300</v>
      </c>
      <c r="F918" s="2">
        <v>3300</v>
      </c>
      <c r="G918" s="2">
        <v>2310</v>
      </c>
      <c r="I918" t="s">
        <v>32</v>
      </c>
      <c r="J918" t="s">
        <v>23</v>
      </c>
      <c r="K918" t="s">
        <v>18</v>
      </c>
      <c r="L918" t="str">
        <f>T("9791136927248")</f>
        <v>9791136927248</v>
      </c>
      <c r="M918" t="str">
        <f t="shared" si="21"/>
        <v/>
      </c>
      <c r="N918">
        <v>928445</v>
      </c>
    </row>
    <row r="919" spans="1:14" x14ac:dyDescent="0.3">
      <c r="A919" s="1">
        <v>46067.460428240738</v>
      </c>
      <c r="B919">
        <v>379386288</v>
      </c>
      <c r="C919" t="s">
        <v>370</v>
      </c>
      <c r="D919" t="s">
        <v>89</v>
      </c>
      <c r="E919" s="2">
        <v>11280</v>
      </c>
      <c r="F919" s="2">
        <v>11280</v>
      </c>
      <c r="G919" s="2">
        <v>7896</v>
      </c>
      <c r="I919" t="s">
        <v>102</v>
      </c>
      <c r="J919" t="s">
        <v>23</v>
      </c>
      <c r="K919" t="s">
        <v>18</v>
      </c>
      <c r="L919" t="str">
        <f>T("9791175307438")</f>
        <v>9791175307438</v>
      </c>
      <c r="M919" t="str">
        <f t="shared" si="21"/>
        <v/>
      </c>
    </row>
    <row r="920" spans="1:14" x14ac:dyDescent="0.3">
      <c r="A920" s="1">
        <v>46067.461747685185</v>
      </c>
      <c r="B920">
        <v>270736290</v>
      </c>
      <c r="C920" t="s">
        <v>292</v>
      </c>
      <c r="D920" t="s">
        <v>15</v>
      </c>
      <c r="E920" s="2">
        <v>2000</v>
      </c>
      <c r="F920" s="2">
        <v>2000</v>
      </c>
      <c r="G920" s="2">
        <v>1400</v>
      </c>
      <c r="I920" t="s">
        <v>116</v>
      </c>
      <c r="J920" t="s">
        <v>73</v>
      </c>
      <c r="K920" t="s">
        <v>18</v>
      </c>
      <c r="L920" t="str">
        <f>T("9791136913708")</f>
        <v>9791136913708</v>
      </c>
      <c r="M920" t="str">
        <f t="shared" ref="M920:M986" si="22">T("")</f>
        <v/>
      </c>
      <c r="N920">
        <v>841619</v>
      </c>
    </row>
    <row r="921" spans="1:14" x14ac:dyDescent="0.3">
      <c r="A921" s="1">
        <v>46067.477361111109</v>
      </c>
      <c r="B921">
        <v>302299392</v>
      </c>
      <c r="C921" t="s">
        <v>388</v>
      </c>
      <c r="D921" t="s">
        <v>89</v>
      </c>
      <c r="E921" s="2">
        <v>10570</v>
      </c>
      <c r="F921" s="2">
        <v>10570</v>
      </c>
      <c r="G921" s="2">
        <v>7399</v>
      </c>
      <c r="I921" t="s">
        <v>368</v>
      </c>
      <c r="J921" t="s">
        <v>70</v>
      </c>
      <c r="K921" t="s">
        <v>18</v>
      </c>
      <c r="L921" t="str">
        <f>T("9791136927248")</f>
        <v>9791136927248</v>
      </c>
      <c r="M921" t="str">
        <f t="shared" si="22"/>
        <v/>
      </c>
    </row>
    <row r="922" spans="1:14" x14ac:dyDescent="0.3">
      <c r="A922" s="1">
        <v>46067.480694444443</v>
      </c>
      <c r="B922">
        <v>385636847</v>
      </c>
      <c r="C922" t="s">
        <v>245</v>
      </c>
      <c r="D922" t="s">
        <v>15</v>
      </c>
      <c r="E922" s="2">
        <v>10500</v>
      </c>
      <c r="F922" s="2">
        <v>9450</v>
      </c>
      <c r="G922" s="2">
        <v>6615</v>
      </c>
      <c r="I922" t="s">
        <v>246</v>
      </c>
      <c r="J922" t="s">
        <v>23</v>
      </c>
      <c r="K922" t="s">
        <v>18</v>
      </c>
      <c r="L922" t="str">
        <f>T("9791175309517")</f>
        <v>9791175309517</v>
      </c>
      <c r="M922" t="str">
        <f t="shared" si="22"/>
        <v/>
      </c>
    </row>
    <row r="923" spans="1:14" x14ac:dyDescent="0.3">
      <c r="A923" s="1">
        <v>46067.527002314811</v>
      </c>
      <c r="B923">
        <v>385348415</v>
      </c>
      <c r="C923" t="s">
        <v>88</v>
      </c>
      <c r="D923" t="s">
        <v>89</v>
      </c>
      <c r="E923" s="2">
        <v>8640</v>
      </c>
      <c r="F923" s="2">
        <v>8640</v>
      </c>
      <c r="G923" s="2">
        <v>6048</v>
      </c>
      <c r="I923" t="s">
        <v>90</v>
      </c>
      <c r="J923" t="s">
        <v>23</v>
      </c>
      <c r="K923" t="s">
        <v>18</v>
      </c>
      <c r="L923" t="str">
        <f>T("9791175308350")</f>
        <v>9791175308350</v>
      </c>
      <c r="M923" t="str">
        <f t="shared" si="22"/>
        <v/>
      </c>
    </row>
    <row r="924" spans="1:14" x14ac:dyDescent="0.3">
      <c r="A924" s="1">
        <v>46067.532048611109</v>
      </c>
      <c r="B924">
        <v>379386288</v>
      </c>
      <c r="C924" t="s">
        <v>370</v>
      </c>
      <c r="D924" t="s">
        <v>89</v>
      </c>
      <c r="E924" s="2">
        <v>11280</v>
      </c>
      <c r="F924" s="2">
        <v>11280</v>
      </c>
      <c r="G924" s="2">
        <v>7896</v>
      </c>
      <c r="I924" t="s">
        <v>102</v>
      </c>
      <c r="J924" t="s">
        <v>23</v>
      </c>
      <c r="K924" t="s">
        <v>18</v>
      </c>
      <c r="L924" t="str">
        <f>T("9791175307438")</f>
        <v>9791175307438</v>
      </c>
      <c r="M924" t="str">
        <f t="shared" si="22"/>
        <v/>
      </c>
    </row>
    <row r="925" spans="1:14" x14ac:dyDescent="0.3">
      <c r="A925" s="1">
        <v>46067.550763888888</v>
      </c>
      <c r="B925">
        <v>357906283</v>
      </c>
      <c r="C925" t="s">
        <v>402</v>
      </c>
      <c r="D925" t="s">
        <v>15</v>
      </c>
      <c r="E925" s="2">
        <v>3200</v>
      </c>
      <c r="F925" s="2">
        <v>3200</v>
      </c>
      <c r="G925" s="2">
        <v>2240</v>
      </c>
      <c r="I925" t="s">
        <v>61</v>
      </c>
      <c r="J925" t="s">
        <v>59</v>
      </c>
      <c r="K925" t="s">
        <v>18</v>
      </c>
      <c r="L925" t="str">
        <f>T("9791136970534")</f>
        <v>9791136970534</v>
      </c>
      <c r="M925" t="str">
        <f t="shared" si="22"/>
        <v/>
      </c>
      <c r="N925">
        <v>924672</v>
      </c>
    </row>
    <row r="926" spans="1:14" x14ac:dyDescent="0.3">
      <c r="A926" s="1">
        <v>46067.5702662037</v>
      </c>
      <c r="B926">
        <v>385636071</v>
      </c>
      <c r="C926" t="s">
        <v>289</v>
      </c>
      <c r="D926" t="s">
        <v>15</v>
      </c>
      <c r="E926" s="2">
        <v>3500</v>
      </c>
      <c r="F926" s="2">
        <v>3150</v>
      </c>
      <c r="G926" s="2">
        <v>2205</v>
      </c>
      <c r="I926" t="s">
        <v>246</v>
      </c>
      <c r="J926" t="s">
        <v>23</v>
      </c>
      <c r="K926" t="s">
        <v>18</v>
      </c>
      <c r="L926" t="str">
        <f>T("9791175309524")</f>
        <v>9791175309524</v>
      </c>
      <c r="M926" t="str">
        <f t="shared" si="22"/>
        <v/>
      </c>
      <c r="N926">
        <v>958042</v>
      </c>
    </row>
    <row r="927" spans="1:14" x14ac:dyDescent="0.3">
      <c r="A927" s="1">
        <v>46067.574097222219</v>
      </c>
      <c r="B927">
        <v>365656697</v>
      </c>
      <c r="C927" t="s">
        <v>239</v>
      </c>
      <c r="D927" t="s">
        <v>89</v>
      </c>
      <c r="E927" s="2">
        <v>5760</v>
      </c>
      <c r="F927" s="2">
        <v>5760</v>
      </c>
      <c r="G927" s="2">
        <v>4032</v>
      </c>
      <c r="I927" t="s">
        <v>240</v>
      </c>
      <c r="J927" t="s">
        <v>49</v>
      </c>
      <c r="K927" t="s">
        <v>18</v>
      </c>
      <c r="L927" t="str">
        <f>T("9791173783630")</f>
        <v>9791173783630</v>
      </c>
      <c r="M927" t="str">
        <f t="shared" si="22"/>
        <v/>
      </c>
    </row>
    <row r="928" spans="1:14" x14ac:dyDescent="0.3">
      <c r="A928" s="1">
        <v>46067.588437500002</v>
      </c>
      <c r="B928">
        <v>384177413</v>
      </c>
      <c r="C928" t="s">
        <v>247</v>
      </c>
      <c r="D928" t="s">
        <v>15</v>
      </c>
      <c r="E928" s="2">
        <v>3500</v>
      </c>
      <c r="F928" s="2">
        <v>3500</v>
      </c>
      <c r="G928" s="2">
        <v>2450</v>
      </c>
      <c r="I928" t="s">
        <v>22</v>
      </c>
      <c r="J928" t="s">
        <v>23</v>
      </c>
      <c r="K928" t="s">
        <v>18</v>
      </c>
      <c r="L928" t="str">
        <f>T("9791175309777")</f>
        <v>9791175309777</v>
      </c>
      <c r="M928" t="str">
        <f t="shared" si="22"/>
        <v/>
      </c>
      <c r="N928">
        <v>958597</v>
      </c>
    </row>
    <row r="929" spans="1:14" x14ac:dyDescent="0.3">
      <c r="A929" s="1">
        <v>46067.623472222222</v>
      </c>
      <c r="B929">
        <v>345344145</v>
      </c>
      <c r="C929" t="s">
        <v>403</v>
      </c>
      <c r="D929" t="s">
        <v>15</v>
      </c>
      <c r="E929" s="2">
        <v>3000</v>
      </c>
      <c r="F929" s="2">
        <v>3000</v>
      </c>
      <c r="G929" s="2">
        <v>2100</v>
      </c>
      <c r="I929" t="s">
        <v>374</v>
      </c>
      <c r="J929" t="s">
        <v>49</v>
      </c>
      <c r="K929" t="s">
        <v>18</v>
      </c>
      <c r="L929" t="str">
        <f>T("9791136985866")</f>
        <v>9791136985866</v>
      </c>
      <c r="M929" t="str">
        <f t="shared" si="22"/>
        <v/>
      </c>
      <c r="N929">
        <v>926536</v>
      </c>
    </row>
    <row r="930" spans="1:14" x14ac:dyDescent="0.3">
      <c r="A930" s="1">
        <v>46067.647175925929</v>
      </c>
      <c r="B930">
        <v>354572364</v>
      </c>
      <c r="C930" t="s">
        <v>38</v>
      </c>
      <c r="D930" t="s">
        <v>15</v>
      </c>
      <c r="E930" s="2">
        <v>1000</v>
      </c>
      <c r="F930" s="2">
        <v>1000</v>
      </c>
      <c r="G930">
        <v>700</v>
      </c>
      <c r="I930" t="s">
        <v>36</v>
      </c>
      <c r="J930" t="s">
        <v>37</v>
      </c>
      <c r="K930" t="s">
        <v>18</v>
      </c>
      <c r="L930" t="str">
        <f>T("9791172923365")</f>
        <v>9791172923365</v>
      </c>
      <c r="M930" t="str">
        <f t="shared" si="22"/>
        <v/>
      </c>
      <c r="N930">
        <v>932802</v>
      </c>
    </row>
    <row r="931" spans="1:14" x14ac:dyDescent="0.3">
      <c r="A931" s="1">
        <v>46067.650648148148</v>
      </c>
      <c r="B931">
        <v>314773201</v>
      </c>
      <c r="C931" t="s">
        <v>404</v>
      </c>
      <c r="D931" t="s">
        <v>15</v>
      </c>
      <c r="E931" s="2">
        <v>3200</v>
      </c>
      <c r="F931" s="2">
        <v>3200</v>
      </c>
      <c r="G931" s="2">
        <v>2240</v>
      </c>
      <c r="I931" t="s">
        <v>85</v>
      </c>
      <c r="J931" t="s">
        <v>59</v>
      </c>
      <c r="K931" t="s">
        <v>18</v>
      </c>
      <c r="L931" t="str">
        <f>T("9791136926791")</f>
        <v>9791136926791</v>
      </c>
      <c r="M931" t="str">
        <f t="shared" si="22"/>
        <v/>
      </c>
      <c r="N931">
        <v>887436</v>
      </c>
    </row>
    <row r="932" spans="1:14" x14ac:dyDescent="0.3">
      <c r="A932" s="1">
        <v>46067.652013888888</v>
      </c>
      <c r="B932">
        <v>379386288</v>
      </c>
      <c r="C932" t="s">
        <v>370</v>
      </c>
      <c r="D932" t="s">
        <v>89</v>
      </c>
      <c r="E932" s="2">
        <v>11280</v>
      </c>
      <c r="F932" s="2">
        <v>11280</v>
      </c>
      <c r="G932" s="2">
        <v>7896</v>
      </c>
      <c r="I932" t="s">
        <v>102</v>
      </c>
      <c r="J932" t="s">
        <v>23</v>
      </c>
      <c r="K932" t="s">
        <v>18</v>
      </c>
      <c r="L932" t="str">
        <f>T("9791175307438")</f>
        <v>9791175307438</v>
      </c>
      <c r="M932" t="str">
        <f t="shared" si="22"/>
        <v/>
      </c>
    </row>
    <row r="933" spans="1:14" x14ac:dyDescent="0.3">
      <c r="A933" s="1">
        <v>46067.657604166663</v>
      </c>
      <c r="B933">
        <v>347624999</v>
      </c>
      <c r="C933" t="s">
        <v>405</v>
      </c>
      <c r="D933" t="s">
        <v>15</v>
      </c>
      <c r="E933" s="2">
        <v>3300</v>
      </c>
      <c r="F933" s="2">
        <v>3300</v>
      </c>
      <c r="G933" s="2">
        <v>2310</v>
      </c>
      <c r="I933" t="s">
        <v>406</v>
      </c>
      <c r="J933" t="s">
        <v>70</v>
      </c>
      <c r="K933" t="s">
        <v>18</v>
      </c>
      <c r="L933" t="str">
        <f>T("9791136997623")</f>
        <v>9791136997623</v>
      </c>
      <c r="M933" t="str">
        <f t="shared" si="22"/>
        <v/>
      </c>
      <c r="N933">
        <v>928326</v>
      </c>
    </row>
    <row r="934" spans="1:14" x14ac:dyDescent="0.3">
      <c r="A934" s="1">
        <v>46067.676828703705</v>
      </c>
      <c r="B934">
        <v>311321071</v>
      </c>
      <c r="C934" t="s">
        <v>407</v>
      </c>
      <c r="D934" t="s">
        <v>89</v>
      </c>
      <c r="E934">
        <v>810</v>
      </c>
      <c r="F934">
        <v>810</v>
      </c>
      <c r="G934">
        <v>567</v>
      </c>
      <c r="I934" t="s">
        <v>130</v>
      </c>
      <c r="J934" t="s">
        <v>59</v>
      </c>
      <c r="K934" t="s">
        <v>18</v>
      </c>
      <c r="L934" t="str">
        <f>T("9791136927958")</f>
        <v>9791136927958</v>
      </c>
      <c r="M934" t="str">
        <f t="shared" si="22"/>
        <v/>
      </c>
      <c r="N934">
        <v>889260</v>
      </c>
    </row>
    <row r="935" spans="1:14" x14ac:dyDescent="0.3">
      <c r="A935" s="1">
        <v>46067.702407407407</v>
      </c>
      <c r="B935">
        <v>384177437</v>
      </c>
      <c r="C935" t="s">
        <v>111</v>
      </c>
      <c r="D935" t="s">
        <v>15</v>
      </c>
      <c r="E935" s="2">
        <v>3500</v>
      </c>
      <c r="F935" s="2">
        <v>3500</v>
      </c>
      <c r="G935" s="2">
        <v>2450</v>
      </c>
      <c r="I935" t="s">
        <v>22</v>
      </c>
      <c r="J935" t="s">
        <v>23</v>
      </c>
      <c r="K935" t="s">
        <v>18</v>
      </c>
      <c r="L935" t="str">
        <f>T("9791175309814")</f>
        <v>9791175309814</v>
      </c>
      <c r="M935" t="str">
        <f t="shared" si="22"/>
        <v/>
      </c>
      <c r="N935">
        <v>958593</v>
      </c>
    </row>
    <row r="936" spans="1:14" x14ac:dyDescent="0.3">
      <c r="A936" s="1">
        <v>46067.704756944448</v>
      </c>
      <c r="B936">
        <v>376322120</v>
      </c>
      <c r="C936" t="s">
        <v>408</v>
      </c>
      <c r="D936" t="s">
        <v>15</v>
      </c>
      <c r="E936" s="2">
        <v>3200</v>
      </c>
      <c r="F936" s="2">
        <v>3200</v>
      </c>
      <c r="G936" s="2">
        <v>2240</v>
      </c>
      <c r="I936" t="s">
        <v>409</v>
      </c>
      <c r="J936" t="s">
        <v>23</v>
      </c>
      <c r="K936" t="s">
        <v>18</v>
      </c>
      <c r="L936" t="str">
        <f>T("9791175302914")</f>
        <v>9791175302914</v>
      </c>
      <c r="M936" t="str">
        <f t="shared" si="22"/>
        <v/>
      </c>
      <c r="N936">
        <v>954927</v>
      </c>
    </row>
    <row r="937" spans="1:14" x14ac:dyDescent="0.3">
      <c r="A937" s="1">
        <v>46067.739606481482</v>
      </c>
      <c r="B937">
        <v>385636024</v>
      </c>
      <c r="C937" t="s">
        <v>379</v>
      </c>
      <c r="D937" t="s">
        <v>15</v>
      </c>
      <c r="E937" s="2">
        <v>3500</v>
      </c>
      <c r="F937" s="2">
        <v>3150</v>
      </c>
      <c r="G937" s="2">
        <v>2205</v>
      </c>
      <c r="I937" t="s">
        <v>246</v>
      </c>
      <c r="J937" t="s">
        <v>23</v>
      </c>
      <c r="K937" t="s">
        <v>18</v>
      </c>
      <c r="L937" t="str">
        <f>T("9791175309548")</f>
        <v>9791175309548</v>
      </c>
      <c r="M937" t="str">
        <f t="shared" si="22"/>
        <v/>
      </c>
      <c r="N937">
        <v>958040</v>
      </c>
    </row>
    <row r="938" spans="1:14" x14ac:dyDescent="0.3">
      <c r="A938" s="1">
        <v>46067.739606481482</v>
      </c>
      <c r="B938">
        <v>385636113</v>
      </c>
      <c r="C938" t="s">
        <v>378</v>
      </c>
      <c r="D938" t="s">
        <v>15</v>
      </c>
      <c r="E938" s="2">
        <v>3500</v>
      </c>
      <c r="F938" s="2">
        <v>3150</v>
      </c>
      <c r="G938" s="2">
        <v>2205</v>
      </c>
      <c r="I938" t="s">
        <v>246</v>
      </c>
      <c r="J938" t="s">
        <v>23</v>
      </c>
      <c r="K938" t="s">
        <v>18</v>
      </c>
      <c r="L938" t="str">
        <f>T("9791175309531")</f>
        <v>9791175309531</v>
      </c>
      <c r="M938" t="str">
        <f t="shared" si="22"/>
        <v/>
      </c>
      <c r="N938">
        <v>958041</v>
      </c>
    </row>
    <row r="939" spans="1:14" x14ac:dyDescent="0.3">
      <c r="A939" s="1">
        <v>46067.750972222224</v>
      </c>
      <c r="B939">
        <v>385348415</v>
      </c>
      <c r="C939" t="s">
        <v>88</v>
      </c>
      <c r="D939" t="s">
        <v>89</v>
      </c>
      <c r="E939" s="2">
        <v>8640</v>
      </c>
      <c r="F939" s="2">
        <v>8640</v>
      </c>
      <c r="G939" s="2">
        <v>6048</v>
      </c>
      <c r="I939" t="s">
        <v>90</v>
      </c>
      <c r="J939" t="s">
        <v>23</v>
      </c>
      <c r="K939" t="s">
        <v>18</v>
      </c>
      <c r="L939" t="str">
        <f>T("9791175308350")</f>
        <v>9791175308350</v>
      </c>
      <c r="M939" t="str">
        <f t="shared" si="22"/>
        <v/>
      </c>
    </row>
    <row r="940" spans="1:14" x14ac:dyDescent="0.3">
      <c r="A940" s="1">
        <v>46067.767291666663</v>
      </c>
      <c r="B940">
        <v>335778649</v>
      </c>
      <c r="C940" t="s">
        <v>164</v>
      </c>
      <c r="D940" t="s">
        <v>15</v>
      </c>
      <c r="E940" s="2">
        <v>3200</v>
      </c>
      <c r="F940" s="2">
        <v>3200</v>
      </c>
      <c r="G940" s="2">
        <v>2240</v>
      </c>
      <c r="I940" t="s">
        <v>102</v>
      </c>
      <c r="J940" t="s">
        <v>23</v>
      </c>
      <c r="K940" t="s">
        <v>18</v>
      </c>
      <c r="L940" t="str">
        <f>T("9791136958181")</f>
        <v>9791136958181</v>
      </c>
      <c r="M940" t="str">
        <f t="shared" si="22"/>
        <v/>
      </c>
      <c r="N940">
        <v>921584</v>
      </c>
    </row>
    <row r="941" spans="1:14" x14ac:dyDescent="0.3">
      <c r="A941" s="1">
        <v>46071.664282407408</v>
      </c>
      <c r="B941">
        <v>335778649</v>
      </c>
      <c r="C941" t="s">
        <v>164</v>
      </c>
      <c r="D941" t="s">
        <v>15</v>
      </c>
      <c r="E941" s="2">
        <v>-3200</v>
      </c>
      <c r="F941" s="2">
        <v>-3200</v>
      </c>
      <c r="G941" s="2">
        <v>-2240</v>
      </c>
      <c r="H941" s="1">
        <v>46067.767291666663</v>
      </c>
      <c r="I941" t="s">
        <v>102</v>
      </c>
      <c r="J941" t="s">
        <v>23</v>
      </c>
      <c r="K941" t="s">
        <v>18</v>
      </c>
      <c r="L941" t="str">
        <f>T("9791136958181")</f>
        <v>9791136958181</v>
      </c>
      <c r="M941" t="str">
        <f t="shared" si="22"/>
        <v/>
      </c>
      <c r="N941">
        <v>921584</v>
      </c>
    </row>
    <row r="942" spans="1:14" x14ac:dyDescent="0.3">
      <c r="A942" s="1">
        <v>46067.800833333335</v>
      </c>
      <c r="B942">
        <v>383003528</v>
      </c>
      <c r="C942" t="s">
        <v>410</v>
      </c>
      <c r="D942" t="s">
        <v>15</v>
      </c>
      <c r="E942" s="2">
        <v>3200</v>
      </c>
      <c r="F942" s="2">
        <v>3200</v>
      </c>
      <c r="G942" s="2">
        <v>2240</v>
      </c>
      <c r="I942" t="s">
        <v>365</v>
      </c>
      <c r="J942" t="s">
        <v>59</v>
      </c>
      <c r="K942" t="s">
        <v>18</v>
      </c>
      <c r="L942" t="str">
        <f>T("9791173789007")</f>
        <v>9791173789007</v>
      </c>
      <c r="M942" t="str">
        <f t="shared" si="22"/>
        <v/>
      </c>
      <c r="N942">
        <v>951996</v>
      </c>
    </row>
    <row r="943" spans="1:14" x14ac:dyDescent="0.3">
      <c r="A943" s="1">
        <v>46067.800833333335</v>
      </c>
      <c r="B943">
        <v>383003451</v>
      </c>
      <c r="C943" t="s">
        <v>411</v>
      </c>
      <c r="D943" t="s">
        <v>15</v>
      </c>
      <c r="E943" s="2">
        <v>3200</v>
      </c>
      <c r="F943" s="2">
        <v>3200</v>
      </c>
      <c r="G943" s="2">
        <v>2240</v>
      </c>
      <c r="I943" t="s">
        <v>365</v>
      </c>
      <c r="J943" t="s">
        <v>59</v>
      </c>
      <c r="K943" t="s">
        <v>18</v>
      </c>
      <c r="L943" t="str">
        <f>T("9791173789014")</f>
        <v>9791173789014</v>
      </c>
      <c r="M943" t="str">
        <f t="shared" si="22"/>
        <v/>
      </c>
      <c r="N943">
        <v>951995</v>
      </c>
    </row>
    <row r="944" spans="1:14" x14ac:dyDescent="0.3">
      <c r="A944" s="1">
        <v>46067.806076388886</v>
      </c>
      <c r="B944">
        <v>385348415</v>
      </c>
      <c r="C944" t="s">
        <v>88</v>
      </c>
      <c r="D944" t="s">
        <v>89</v>
      </c>
      <c r="E944" s="2">
        <v>8640</v>
      </c>
      <c r="F944" s="2">
        <v>8640</v>
      </c>
      <c r="G944" s="2">
        <v>6048</v>
      </c>
      <c r="I944" t="s">
        <v>90</v>
      </c>
      <c r="J944" t="s">
        <v>23</v>
      </c>
      <c r="K944" t="s">
        <v>18</v>
      </c>
      <c r="L944" t="str">
        <f>T("9791175308350")</f>
        <v>9791175308350</v>
      </c>
      <c r="M944" t="str">
        <f t="shared" si="22"/>
        <v/>
      </c>
    </row>
    <row r="945" spans="1:14" x14ac:dyDescent="0.3">
      <c r="A945" s="1">
        <v>46067.815520833334</v>
      </c>
      <c r="B945">
        <v>357906236</v>
      </c>
      <c r="C945" t="s">
        <v>412</v>
      </c>
      <c r="D945" t="s">
        <v>15</v>
      </c>
      <c r="E945" s="2">
        <v>3200</v>
      </c>
      <c r="F945" s="2">
        <v>3200</v>
      </c>
      <c r="G945" s="2">
        <v>2240</v>
      </c>
      <c r="I945" t="s">
        <v>61</v>
      </c>
      <c r="J945" t="s">
        <v>59</v>
      </c>
      <c r="K945" t="s">
        <v>18</v>
      </c>
      <c r="L945" t="str">
        <f>T("9791136970787")</f>
        <v>9791136970787</v>
      </c>
      <c r="M945" t="str">
        <f t="shared" si="22"/>
        <v/>
      </c>
      <c r="N945">
        <v>924671</v>
      </c>
    </row>
    <row r="946" spans="1:14" x14ac:dyDescent="0.3">
      <c r="A946" s="1">
        <v>46067.827256944445</v>
      </c>
      <c r="B946">
        <v>383529920</v>
      </c>
      <c r="C946" t="s">
        <v>413</v>
      </c>
      <c r="D946" t="s">
        <v>15</v>
      </c>
      <c r="E946" s="2">
        <v>3000</v>
      </c>
      <c r="F946" s="2">
        <v>3000</v>
      </c>
      <c r="G946" s="2">
        <v>2100</v>
      </c>
      <c r="I946" t="s">
        <v>414</v>
      </c>
      <c r="J946" t="s">
        <v>23</v>
      </c>
      <c r="K946" t="s">
        <v>18</v>
      </c>
      <c r="L946" t="str">
        <f>T("9791175308053")</f>
        <v>9791175308053</v>
      </c>
      <c r="M946" t="str">
        <f t="shared" si="22"/>
        <v/>
      </c>
      <c r="N946">
        <v>957615</v>
      </c>
    </row>
    <row r="947" spans="1:14" x14ac:dyDescent="0.3">
      <c r="A947" s="1">
        <v>46067.831631944442</v>
      </c>
      <c r="B947">
        <v>385636847</v>
      </c>
      <c r="C947" t="s">
        <v>245</v>
      </c>
      <c r="D947" t="s">
        <v>89</v>
      </c>
      <c r="E947" s="2">
        <v>9450</v>
      </c>
      <c r="F947" s="2">
        <v>9450</v>
      </c>
      <c r="G947" s="2">
        <v>6615</v>
      </c>
      <c r="I947" t="s">
        <v>246</v>
      </c>
      <c r="J947" t="s">
        <v>23</v>
      </c>
      <c r="K947" t="s">
        <v>18</v>
      </c>
      <c r="L947" t="str">
        <f>T("9791175309517")</f>
        <v>9791175309517</v>
      </c>
      <c r="M947" t="str">
        <f t="shared" si="22"/>
        <v/>
      </c>
    </row>
    <row r="948" spans="1:14" x14ac:dyDescent="0.3">
      <c r="A948" s="1">
        <v>46067.838958333334</v>
      </c>
      <c r="B948">
        <v>347624999</v>
      </c>
      <c r="C948" t="s">
        <v>405</v>
      </c>
      <c r="D948" t="s">
        <v>15</v>
      </c>
      <c r="E948" s="2">
        <v>3300</v>
      </c>
      <c r="F948" s="2">
        <v>3300</v>
      </c>
      <c r="G948" s="2">
        <v>2310</v>
      </c>
      <c r="I948" t="s">
        <v>406</v>
      </c>
      <c r="J948" t="s">
        <v>70</v>
      </c>
      <c r="K948" t="s">
        <v>18</v>
      </c>
      <c r="L948" t="str">
        <f>T("9791136997623")</f>
        <v>9791136997623</v>
      </c>
      <c r="M948" t="str">
        <f t="shared" si="22"/>
        <v/>
      </c>
      <c r="N948">
        <v>928326</v>
      </c>
    </row>
    <row r="949" spans="1:14" x14ac:dyDescent="0.3">
      <c r="A949" s="1">
        <v>46067.839629629627</v>
      </c>
      <c r="B949">
        <v>385636071</v>
      </c>
      <c r="C949" t="s">
        <v>289</v>
      </c>
      <c r="D949" t="s">
        <v>15</v>
      </c>
      <c r="E949" s="2">
        <v>3500</v>
      </c>
      <c r="F949" s="2">
        <v>3150</v>
      </c>
      <c r="G949" s="2">
        <v>2205</v>
      </c>
      <c r="I949" t="s">
        <v>246</v>
      </c>
      <c r="J949" t="s">
        <v>23</v>
      </c>
      <c r="K949" t="s">
        <v>18</v>
      </c>
      <c r="L949" t="str">
        <f>T("9791175309524")</f>
        <v>9791175309524</v>
      </c>
      <c r="M949" t="str">
        <f t="shared" si="22"/>
        <v/>
      </c>
      <c r="N949">
        <v>958042</v>
      </c>
    </row>
    <row r="950" spans="1:14" x14ac:dyDescent="0.3">
      <c r="A950" s="1">
        <v>46067.842129629629</v>
      </c>
      <c r="B950">
        <v>385636847</v>
      </c>
      <c r="C950" t="s">
        <v>245</v>
      </c>
      <c r="D950" t="s">
        <v>89</v>
      </c>
      <c r="E950" s="2">
        <v>9450</v>
      </c>
      <c r="F950" s="2">
        <v>9450</v>
      </c>
      <c r="G950" s="2">
        <v>6615</v>
      </c>
      <c r="I950" t="s">
        <v>246</v>
      </c>
      <c r="J950" t="s">
        <v>23</v>
      </c>
      <c r="K950" t="s">
        <v>18</v>
      </c>
      <c r="L950" t="str">
        <f>T("9791175309517")</f>
        <v>9791175309517</v>
      </c>
      <c r="M950" t="str">
        <f t="shared" si="22"/>
        <v/>
      </c>
    </row>
    <row r="951" spans="1:14" x14ac:dyDescent="0.3">
      <c r="A951" s="1">
        <v>46067.842499999999</v>
      </c>
      <c r="B951">
        <v>385347659</v>
      </c>
      <c r="C951" t="s">
        <v>86</v>
      </c>
      <c r="D951" t="s">
        <v>15</v>
      </c>
      <c r="E951" s="2">
        <v>1000</v>
      </c>
      <c r="F951">
        <v>900</v>
      </c>
      <c r="G951">
        <v>630</v>
      </c>
      <c r="I951" t="s">
        <v>87</v>
      </c>
      <c r="J951" t="s">
        <v>23</v>
      </c>
      <c r="K951" t="s">
        <v>18</v>
      </c>
      <c r="L951" t="str">
        <f>T("9791175308510")</f>
        <v>9791175308510</v>
      </c>
      <c r="M951" t="str">
        <f t="shared" si="22"/>
        <v/>
      </c>
      <c r="N951">
        <v>957881</v>
      </c>
    </row>
    <row r="952" spans="1:14" x14ac:dyDescent="0.3">
      <c r="A952" s="1">
        <v>46067.844583333332</v>
      </c>
      <c r="B952">
        <v>367919257</v>
      </c>
      <c r="C952" t="s">
        <v>415</v>
      </c>
      <c r="D952" t="s">
        <v>89</v>
      </c>
      <c r="E952" s="2">
        <v>13860</v>
      </c>
      <c r="F952" s="2">
        <v>13860</v>
      </c>
      <c r="G952" s="2">
        <v>9702</v>
      </c>
      <c r="I952" t="s">
        <v>416</v>
      </c>
      <c r="J952" t="s">
        <v>23</v>
      </c>
      <c r="K952" t="s">
        <v>18</v>
      </c>
      <c r="L952" t="str">
        <f>T("9791173786471")</f>
        <v>9791173786471</v>
      </c>
      <c r="M952" t="str">
        <f t="shared" si="22"/>
        <v/>
      </c>
    </row>
    <row r="953" spans="1:14" x14ac:dyDescent="0.3">
      <c r="A953" s="1">
        <v>46067.844583333332</v>
      </c>
      <c r="B953">
        <v>374334966</v>
      </c>
      <c r="C953" t="s">
        <v>391</v>
      </c>
      <c r="D953" t="s">
        <v>89</v>
      </c>
      <c r="E953" s="2">
        <v>5850</v>
      </c>
      <c r="F953" s="2">
        <v>5850</v>
      </c>
      <c r="G953" s="2">
        <v>4095</v>
      </c>
      <c r="I953" t="s">
        <v>392</v>
      </c>
      <c r="J953" t="s">
        <v>23</v>
      </c>
      <c r="K953" t="s">
        <v>18</v>
      </c>
      <c r="L953" t="str">
        <f>T("9791175304932")</f>
        <v>9791175304932</v>
      </c>
      <c r="M953" t="str">
        <f t="shared" si="22"/>
        <v/>
      </c>
    </row>
    <row r="954" spans="1:14" x14ac:dyDescent="0.3">
      <c r="A954" s="1">
        <v>46067.844583333332</v>
      </c>
      <c r="B954">
        <v>381924691</v>
      </c>
      <c r="C954" t="s">
        <v>302</v>
      </c>
      <c r="D954" t="s">
        <v>89</v>
      </c>
      <c r="E954" s="2">
        <v>8160</v>
      </c>
      <c r="F954" s="2">
        <v>8160</v>
      </c>
      <c r="G954" s="2">
        <v>5712</v>
      </c>
      <c r="I954" t="s">
        <v>189</v>
      </c>
      <c r="J954" t="s">
        <v>70</v>
      </c>
      <c r="K954" t="s">
        <v>18</v>
      </c>
      <c r="L954" t="str">
        <f>T("9791175307605")</f>
        <v>9791175307605</v>
      </c>
      <c r="M954" t="str">
        <f t="shared" si="22"/>
        <v/>
      </c>
    </row>
    <row r="955" spans="1:14" x14ac:dyDescent="0.3">
      <c r="A955" s="1">
        <v>46067.853576388887</v>
      </c>
      <c r="B955">
        <v>311321031</v>
      </c>
      <c r="C955" t="s">
        <v>417</v>
      </c>
      <c r="D955" t="s">
        <v>89</v>
      </c>
      <c r="E955">
        <v>810</v>
      </c>
      <c r="F955">
        <v>810</v>
      </c>
      <c r="G955">
        <v>567</v>
      </c>
      <c r="I955" t="s">
        <v>130</v>
      </c>
      <c r="J955" t="s">
        <v>59</v>
      </c>
      <c r="K955" t="s">
        <v>18</v>
      </c>
      <c r="L955" t="str">
        <f>T("9791136927965")</f>
        <v>9791136927965</v>
      </c>
      <c r="M955" t="str">
        <f t="shared" si="22"/>
        <v/>
      </c>
      <c r="N955">
        <v>889259</v>
      </c>
    </row>
    <row r="956" spans="1:14" x14ac:dyDescent="0.3">
      <c r="A956" s="1">
        <v>46067.855474537035</v>
      </c>
      <c r="B956">
        <v>320979628</v>
      </c>
      <c r="C956" t="s">
        <v>390</v>
      </c>
      <c r="D956" t="s">
        <v>89</v>
      </c>
      <c r="E956" s="2">
        <v>-10500</v>
      </c>
      <c r="F956" s="2">
        <v>-10500</v>
      </c>
      <c r="G956" s="2">
        <v>-7350</v>
      </c>
      <c r="H956" s="1">
        <v>46067.854351851849</v>
      </c>
      <c r="I956" t="s">
        <v>22</v>
      </c>
      <c r="J956" t="s">
        <v>23</v>
      </c>
      <c r="K956" t="s">
        <v>18</v>
      </c>
      <c r="L956" t="str">
        <f>T("9791136939456")</f>
        <v>9791136939456</v>
      </c>
      <c r="M956" t="str">
        <f t="shared" si="22"/>
        <v/>
      </c>
    </row>
    <row r="957" spans="1:14" x14ac:dyDescent="0.3">
      <c r="A957" s="1">
        <v>46067.854351851849</v>
      </c>
      <c r="B957">
        <v>320979628</v>
      </c>
      <c r="C957" t="s">
        <v>390</v>
      </c>
      <c r="D957" t="s">
        <v>89</v>
      </c>
      <c r="E957" s="2">
        <v>10500</v>
      </c>
      <c r="F957" s="2">
        <v>10500</v>
      </c>
      <c r="G957" s="2">
        <v>7350</v>
      </c>
      <c r="I957" t="s">
        <v>22</v>
      </c>
      <c r="J957" t="s">
        <v>23</v>
      </c>
      <c r="K957" t="s">
        <v>18</v>
      </c>
      <c r="L957" t="str">
        <f>T("9791136939456")</f>
        <v>9791136939456</v>
      </c>
      <c r="M957" t="str">
        <f t="shared" si="22"/>
        <v/>
      </c>
    </row>
    <row r="958" spans="1:14" x14ac:dyDescent="0.3">
      <c r="A958" s="1">
        <v>46067.870092592595</v>
      </c>
      <c r="B958">
        <v>379386288</v>
      </c>
      <c r="C958" t="s">
        <v>370</v>
      </c>
      <c r="D958" t="s">
        <v>89</v>
      </c>
      <c r="E958" s="2">
        <v>11280</v>
      </c>
      <c r="F958" s="2">
        <v>11280</v>
      </c>
      <c r="G958" s="2">
        <v>7896</v>
      </c>
      <c r="I958" t="s">
        <v>102</v>
      </c>
      <c r="J958" t="s">
        <v>23</v>
      </c>
      <c r="K958" t="s">
        <v>18</v>
      </c>
      <c r="L958" t="str">
        <f>T("9791175307438")</f>
        <v>9791175307438</v>
      </c>
      <c r="M958" t="str">
        <f t="shared" si="22"/>
        <v/>
      </c>
    </row>
    <row r="959" spans="1:14" x14ac:dyDescent="0.3">
      <c r="A959" s="1">
        <v>46067.875231481485</v>
      </c>
      <c r="B959">
        <v>385804041</v>
      </c>
      <c r="C959" t="s">
        <v>327</v>
      </c>
      <c r="D959" t="s">
        <v>15</v>
      </c>
      <c r="E959">
        <v>0</v>
      </c>
      <c r="F959">
        <v>0</v>
      </c>
      <c r="G959">
        <v>0</v>
      </c>
      <c r="I959" t="s">
        <v>328</v>
      </c>
      <c r="J959" t="s">
        <v>59</v>
      </c>
      <c r="K959" t="s">
        <v>18</v>
      </c>
      <c r="L959" t="str">
        <f>T("9791175303478")</f>
        <v>9791175303478</v>
      </c>
      <c r="M959" t="str">
        <f t="shared" si="22"/>
        <v/>
      </c>
      <c r="N959">
        <v>956209</v>
      </c>
    </row>
    <row r="960" spans="1:14" x14ac:dyDescent="0.3">
      <c r="A960" s="1">
        <v>46067.884340277778</v>
      </c>
      <c r="B960">
        <v>372251180</v>
      </c>
      <c r="C960" t="s">
        <v>418</v>
      </c>
      <c r="D960" t="s">
        <v>15</v>
      </c>
      <c r="E960" s="2">
        <v>9000</v>
      </c>
      <c r="F960" s="2">
        <v>9000</v>
      </c>
      <c r="G960" s="2">
        <v>6300</v>
      </c>
      <c r="I960" t="s">
        <v>135</v>
      </c>
      <c r="J960" t="s">
        <v>23</v>
      </c>
      <c r="K960" t="s">
        <v>18</v>
      </c>
      <c r="L960" t="str">
        <f>T("9791175300422")</f>
        <v>9791175300422</v>
      </c>
      <c r="M960" t="str">
        <f t="shared" si="22"/>
        <v/>
      </c>
    </row>
    <row r="961" spans="1:14" x14ac:dyDescent="0.3">
      <c r="A961" s="1">
        <v>46067.889444444445</v>
      </c>
      <c r="B961">
        <v>385636847</v>
      </c>
      <c r="C961" t="s">
        <v>245</v>
      </c>
      <c r="D961" t="s">
        <v>89</v>
      </c>
      <c r="E961" s="2">
        <v>9450</v>
      </c>
      <c r="F961" s="2">
        <v>9450</v>
      </c>
      <c r="G961" s="2">
        <v>6615</v>
      </c>
      <c r="I961" t="s">
        <v>246</v>
      </c>
      <c r="J961" t="s">
        <v>23</v>
      </c>
      <c r="K961" t="s">
        <v>18</v>
      </c>
      <c r="L961" t="str">
        <f>T("9791175309517")</f>
        <v>9791175309517</v>
      </c>
      <c r="M961" t="str">
        <f t="shared" si="22"/>
        <v/>
      </c>
    </row>
    <row r="962" spans="1:14" x14ac:dyDescent="0.3">
      <c r="A962" s="1">
        <v>46067.898229166669</v>
      </c>
      <c r="B962">
        <v>311321015</v>
      </c>
      <c r="C962" t="s">
        <v>419</v>
      </c>
      <c r="D962" t="s">
        <v>89</v>
      </c>
      <c r="E962">
        <v>810</v>
      </c>
      <c r="F962">
        <v>810</v>
      </c>
      <c r="G962">
        <v>567</v>
      </c>
      <c r="I962" t="s">
        <v>130</v>
      </c>
      <c r="J962" t="s">
        <v>59</v>
      </c>
      <c r="K962" t="s">
        <v>18</v>
      </c>
      <c r="L962" t="str">
        <f>T("9791136927972")</f>
        <v>9791136927972</v>
      </c>
      <c r="M962" t="str">
        <f t="shared" si="22"/>
        <v/>
      </c>
      <c r="N962">
        <v>889258</v>
      </c>
    </row>
    <row r="963" spans="1:14" x14ac:dyDescent="0.3">
      <c r="A963" s="1">
        <v>46067.899016203701</v>
      </c>
      <c r="B963">
        <v>311321015</v>
      </c>
      <c r="C963" t="s">
        <v>419</v>
      </c>
      <c r="D963" t="s">
        <v>89</v>
      </c>
      <c r="E963">
        <v>810</v>
      </c>
      <c r="F963">
        <v>810</v>
      </c>
      <c r="G963">
        <v>567</v>
      </c>
      <c r="I963" t="s">
        <v>130</v>
      </c>
      <c r="J963" t="s">
        <v>59</v>
      </c>
      <c r="K963" t="s">
        <v>18</v>
      </c>
      <c r="L963" t="str">
        <f>T("9791136927972")</f>
        <v>9791136927972</v>
      </c>
      <c r="M963" t="str">
        <f t="shared" si="22"/>
        <v/>
      </c>
      <c r="N963">
        <v>889258</v>
      </c>
    </row>
    <row r="964" spans="1:14" x14ac:dyDescent="0.3">
      <c r="A964" s="1">
        <v>46067.908865740741</v>
      </c>
      <c r="B964">
        <v>379190217</v>
      </c>
      <c r="C964" t="s">
        <v>420</v>
      </c>
      <c r="D964" t="s">
        <v>89</v>
      </c>
      <c r="E964" s="2">
        <v>8680</v>
      </c>
      <c r="F964" s="2">
        <v>8680</v>
      </c>
      <c r="G964" s="2">
        <v>6076</v>
      </c>
      <c r="I964" t="s">
        <v>124</v>
      </c>
      <c r="J964" t="s">
        <v>23</v>
      </c>
      <c r="K964" t="s">
        <v>18</v>
      </c>
      <c r="L964" t="str">
        <f>T("9791175303584")</f>
        <v>9791175303584</v>
      </c>
      <c r="M964" t="str">
        <f t="shared" si="22"/>
        <v/>
      </c>
    </row>
    <row r="965" spans="1:14" x14ac:dyDescent="0.3">
      <c r="A965" s="1">
        <v>46067.916608796295</v>
      </c>
      <c r="B965">
        <v>346154719</v>
      </c>
      <c r="C965" t="s">
        <v>44</v>
      </c>
      <c r="D965" t="s">
        <v>15</v>
      </c>
      <c r="E965" s="2">
        <v>3300</v>
      </c>
      <c r="F965" s="2">
        <v>3300</v>
      </c>
      <c r="G965" s="2">
        <v>2310</v>
      </c>
      <c r="I965" t="s">
        <v>32</v>
      </c>
      <c r="J965" t="s">
        <v>23</v>
      </c>
      <c r="K965" t="s">
        <v>18</v>
      </c>
      <c r="L965" t="str">
        <f>T("9791136927675")</f>
        <v>9791136927675</v>
      </c>
      <c r="M965" t="str">
        <f t="shared" si="22"/>
        <v/>
      </c>
      <c r="N965">
        <v>928443</v>
      </c>
    </row>
    <row r="966" spans="1:14" x14ac:dyDescent="0.3">
      <c r="A966" s="1">
        <v>46067.931296296294</v>
      </c>
      <c r="B966">
        <v>385347659</v>
      </c>
      <c r="C966" t="s">
        <v>86</v>
      </c>
      <c r="D966" t="s">
        <v>15</v>
      </c>
      <c r="E966" s="2">
        <v>1000</v>
      </c>
      <c r="F966">
        <v>900</v>
      </c>
      <c r="G966">
        <v>630</v>
      </c>
      <c r="I966" t="s">
        <v>87</v>
      </c>
      <c r="J966" t="s">
        <v>23</v>
      </c>
      <c r="K966" t="s">
        <v>18</v>
      </c>
      <c r="L966" t="str">
        <f>T("9791175308510")</f>
        <v>9791175308510</v>
      </c>
      <c r="M966" t="str">
        <f t="shared" si="22"/>
        <v/>
      </c>
      <c r="N966">
        <v>957881</v>
      </c>
    </row>
    <row r="967" spans="1:14" x14ac:dyDescent="0.3">
      <c r="A967" s="1">
        <v>46067.938877314817</v>
      </c>
      <c r="B967">
        <v>314773027</v>
      </c>
      <c r="C967" t="s">
        <v>421</v>
      </c>
      <c r="D967" t="s">
        <v>15</v>
      </c>
      <c r="E967" s="2">
        <v>3200</v>
      </c>
      <c r="F967" s="2">
        <v>3200</v>
      </c>
      <c r="G967" s="2">
        <v>2240</v>
      </c>
      <c r="I967" t="s">
        <v>85</v>
      </c>
      <c r="J967" t="s">
        <v>59</v>
      </c>
      <c r="K967" t="s">
        <v>18</v>
      </c>
      <c r="L967" t="str">
        <f>T("9791136926807")</f>
        <v>9791136926807</v>
      </c>
      <c r="M967" t="str">
        <f t="shared" si="22"/>
        <v/>
      </c>
      <c r="N967">
        <v>887435</v>
      </c>
    </row>
    <row r="968" spans="1:14" x14ac:dyDescent="0.3">
      <c r="A968" s="1">
        <v>46067.939282407409</v>
      </c>
      <c r="B968">
        <v>384177437</v>
      </c>
      <c r="C968" t="s">
        <v>111</v>
      </c>
      <c r="D968" t="s">
        <v>15</v>
      </c>
      <c r="E968" s="2">
        <v>3500</v>
      </c>
      <c r="F968" s="2">
        <v>3500</v>
      </c>
      <c r="G968" s="2">
        <v>2450</v>
      </c>
      <c r="I968" t="s">
        <v>22</v>
      </c>
      <c r="J968" t="s">
        <v>23</v>
      </c>
      <c r="K968" t="s">
        <v>18</v>
      </c>
      <c r="L968" t="str">
        <f>T("9791175309814")</f>
        <v>9791175309814</v>
      </c>
      <c r="M968" t="str">
        <f t="shared" si="22"/>
        <v/>
      </c>
      <c r="N968">
        <v>958593</v>
      </c>
    </row>
    <row r="969" spans="1:14" x14ac:dyDescent="0.3">
      <c r="A969" s="1">
        <v>46067.94054398148</v>
      </c>
      <c r="B969">
        <v>381924206</v>
      </c>
      <c r="C969" t="s">
        <v>422</v>
      </c>
      <c r="D969" t="s">
        <v>15</v>
      </c>
      <c r="E969" s="2">
        <v>3400</v>
      </c>
      <c r="F969" s="2">
        <v>3400</v>
      </c>
      <c r="G969" s="2">
        <v>2380</v>
      </c>
      <c r="I969" t="s">
        <v>189</v>
      </c>
      <c r="J969" t="s">
        <v>70</v>
      </c>
      <c r="K969" t="s">
        <v>18</v>
      </c>
      <c r="L969" t="str">
        <f>T("9791175307636")</f>
        <v>9791175307636</v>
      </c>
      <c r="M969" t="str">
        <f t="shared" si="22"/>
        <v/>
      </c>
      <c r="N969">
        <v>957341</v>
      </c>
    </row>
    <row r="970" spans="1:14" x14ac:dyDescent="0.3">
      <c r="A970" s="1">
        <v>46067.953796296293</v>
      </c>
      <c r="B970">
        <v>366387869</v>
      </c>
      <c r="C970" t="s">
        <v>31</v>
      </c>
      <c r="D970" t="s">
        <v>15</v>
      </c>
      <c r="E970" s="2">
        <v>18300</v>
      </c>
      <c r="F970" s="2">
        <v>18300</v>
      </c>
      <c r="G970" s="2">
        <v>12810</v>
      </c>
      <c r="I970" t="s">
        <v>32</v>
      </c>
      <c r="J970" t="s">
        <v>23</v>
      </c>
      <c r="K970" t="s">
        <v>18</v>
      </c>
      <c r="L970" t="str">
        <f>T("9791173786648")</f>
        <v>9791173786648</v>
      </c>
      <c r="M970" t="str">
        <f t="shared" si="22"/>
        <v/>
      </c>
    </row>
    <row r="971" spans="1:14" x14ac:dyDescent="0.3">
      <c r="A971" s="1">
        <v>46067.977997685186</v>
      </c>
      <c r="B971">
        <v>385347659</v>
      </c>
      <c r="C971" t="s">
        <v>86</v>
      </c>
      <c r="D971" t="s">
        <v>15</v>
      </c>
      <c r="E971" s="2">
        <v>1000</v>
      </c>
      <c r="F971">
        <v>900</v>
      </c>
      <c r="G971">
        <v>630</v>
      </c>
      <c r="I971" t="s">
        <v>87</v>
      </c>
      <c r="J971" t="s">
        <v>23</v>
      </c>
      <c r="K971" t="s">
        <v>18</v>
      </c>
      <c r="L971" t="str">
        <f>T("9791175308510")</f>
        <v>9791175308510</v>
      </c>
      <c r="M971" t="str">
        <f t="shared" si="22"/>
        <v/>
      </c>
      <c r="N971">
        <v>957881</v>
      </c>
    </row>
    <row r="972" spans="1:14" x14ac:dyDescent="0.3">
      <c r="A972" s="1">
        <v>46067.982037037036</v>
      </c>
      <c r="B972">
        <v>371102770</v>
      </c>
      <c r="C972" t="s">
        <v>395</v>
      </c>
      <c r="D972" t="s">
        <v>89</v>
      </c>
      <c r="E972" s="2">
        <v>6930</v>
      </c>
      <c r="F972" s="2">
        <v>6930</v>
      </c>
      <c r="G972" s="2">
        <v>4851</v>
      </c>
      <c r="I972" t="s">
        <v>234</v>
      </c>
      <c r="J972" t="s">
        <v>23</v>
      </c>
      <c r="K972" t="s">
        <v>18</v>
      </c>
      <c r="L972" t="str">
        <f>T("9791175300569")</f>
        <v>9791175300569</v>
      </c>
      <c r="M972" t="str">
        <f t="shared" si="22"/>
        <v/>
      </c>
    </row>
    <row r="973" spans="1:14" x14ac:dyDescent="0.3">
      <c r="A973" s="1">
        <v>46067.982118055559</v>
      </c>
      <c r="B973">
        <v>371917418</v>
      </c>
      <c r="C973" t="s">
        <v>359</v>
      </c>
      <c r="D973" t="s">
        <v>15</v>
      </c>
      <c r="E973" s="2">
        <v>3300</v>
      </c>
      <c r="F973" s="2">
        <v>3300</v>
      </c>
      <c r="G973" s="2">
        <v>2310</v>
      </c>
      <c r="I973" t="s">
        <v>251</v>
      </c>
      <c r="J973" t="s">
        <v>23</v>
      </c>
      <c r="K973" t="s">
        <v>18</v>
      </c>
      <c r="L973" t="str">
        <f>T("9791175304383")</f>
        <v>9791175304383</v>
      </c>
      <c r="M973" t="str">
        <f t="shared" si="22"/>
        <v/>
      </c>
      <c r="N973">
        <v>954296</v>
      </c>
    </row>
    <row r="974" spans="1:14" x14ac:dyDescent="0.3">
      <c r="A974" s="1">
        <v>46067.997407407405</v>
      </c>
      <c r="B974">
        <v>372250433</v>
      </c>
      <c r="C974" t="s">
        <v>134</v>
      </c>
      <c r="D974" t="s">
        <v>15</v>
      </c>
      <c r="E974" s="2">
        <v>3400</v>
      </c>
      <c r="F974" s="2">
        <v>3400</v>
      </c>
      <c r="G974" s="2">
        <v>2380</v>
      </c>
      <c r="I974" t="s">
        <v>135</v>
      </c>
      <c r="J974" t="s">
        <v>23</v>
      </c>
      <c r="K974" t="s">
        <v>18</v>
      </c>
      <c r="L974" t="str">
        <f>T("9791175300446")</f>
        <v>9791175300446</v>
      </c>
      <c r="M974" t="str">
        <f t="shared" si="22"/>
        <v/>
      </c>
      <c r="N974">
        <v>952052</v>
      </c>
    </row>
    <row r="975" spans="1:14" x14ac:dyDescent="0.3">
      <c r="A975" s="1">
        <v>46068.0077662037</v>
      </c>
      <c r="B975">
        <v>347728780</v>
      </c>
      <c r="C975" t="s">
        <v>380</v>
      </c>
      <c r="D975" t="s">
        <v>89</v>
      </c>
      <c r="E975" s="2">
        <v>7700</v>
      </c>
      <c r="F975" s="2">
        <v>7700</v>
      </c>
      <c r="G975" s="2">
        <v>5390</v>
      </c>
      <c r="I975" t="s">
        <v>381</v>
      </c>
      <c r="J975" t="s">
        <v>70</v>
      </c>
      <c r="K975" t="s">
        <v>18</v>
      </c>
      <c r="L975" t="str">
        <f>T("9791136983220")</f>
        <v>9791136983220</v>
      </c>
      <c r="M975" t="str">
        <f t="shared" si="22"/>
        <v/>
      </c>
    </row>
    <row r="976" spans="1:14" x14ac:dyDescent="0.3">
      <c r="A976" s="1">
        <v>46068.0077662037</v>
      </c>
      <c r="B976">
        <v>368523292</v>
      </c>
      <c r="C976" t="s">
        <v>423</v>
      </c>
      <c r="D976" t="s">
        <v>89</v>
      </c>
      <c r="E976" s="2">
        <v>6720</v>
      </c>
      <c r="F976" s="2">
        <v>6720</v>
      </c>
      <c r="G976" s="2">
        <v>4704</v>
      </c>
      <c r="I976" t="s">
        <v>424</v>
      </c>
      <c r="J976" t="s">
        <v>23</v>
      </c>
      <c r="K976" t="s">
        <v>18</v>
      </c>
      <c r="L976" t="str">
        <f>T("9791173786426")</f>
        <v>9791173786426</v>
      </c>
      <c r="M976" t="str">
        <f t="shared" si="22"/>
        <v/>
      </c>
    </row>
    <row r="977" spans="1:14" x14ac:dyDescent="0.3">
      <c r="A977" s="1">
        <v>46068.0077662037</v>
      </c>
      <c r="B977">
        <v>378219287</v>
      </c>
      <c r="C977" t="s">
        <v>202</v>
      </c>
      <c r="D977" t="s">
        <v>89</v>
      </c>
      <c r="E977" s="2">
        <v>8400</v>
      </c>
      <c r="F977" s="2">
        <v>8400</v>
      </c>
      <c r="G977" s="2">
        <v>5880</v>
      </c>
      <c r="I977" t="s">
        <v>203</v>
      </c>
      <c r="J977" t="s">
        <v>23</v>
      </c>
      <c r="K977" t="s">
        <v>18</v>
      </c>
      <c r="L977" t="str">
        <f>T("9791175302747")</f>
        <v>9791175302747</v>
      </c>
      <c r="M977" t="str">
        <f t="shared" si="22"/>
        <v/>
      </c>
    </row>
    <row r="978" spans="1:14" x14ac:dyDescent="0.3">
      <c r="A978" s="1">
        <v>46068.0077662037</v>
      </c>
      <c r="B978">
        <v>379190217</v>
      </c>
      <c r="C978" t="s">
        <v>420</v>
      </c>
      <c r="D978" t="s">
        <v>89</v>
      </c>
      <c r="E978" s="2">
        <v>8680</v>
      </c>
      <c r="F978" s="2">
        <v>8680</v>
      </c>
      <c r="G978" s="2">
        <v>6076</v>
      </c>
      <c r="I978" t="s">
        <v>124</v>
      </c>
      <c r="J978" t="s">
        <v>23</v>
      </c>
      <c r="K978" t="s">
        <v>18</v>
      </c>
      <c r="L978" t="str">
        <f>T("9791175303584")</f>
        <v>9791175303584</v>
      </c>
      <c r="M978" t="str">
        <f t="shared" si="22"/>
        <v/>
      </c>
    </row>
    <row r="979" spans="1:14" x14ac:dyDescent="0.3">
      <c r="A979" s="1">
        <v>46068.007986111108</v>
      </c>
      <c r="B979">
        <v>266511879</v>
      </c>
      <c r="C979" t="s">
        <v>425</v>
      </c>
      <c r="D979" t="s">
        <v>15</v>
      </c>
      <c r="E979" s="2">
        <v>23500</v>
      </c>
      <c r="F979" s="2">
        <v>23500</v>
      </c>
      <c r="G979" s="2">
        <v>16450</v>
      </c>
      <c r="I979" t="s">
        <v>198</v>
      </c>
      <c r="J979" t="s">
        <v>49</v>
      </c>
      <c r="K979" t="s">
        <v>18</v>
      </c>
      <c r="L979" t="str">
        <f>T("9791136910295")</f>
        <v>9791136910295</v>
      </c>
      <c r="M979" t="str">
        <f t="shared" si="22"/>
        <v/>
      </c>
    </row>
    <row r="980" spans="1:14" x14ac:dyDescent="0.3">
      <c r="A980" s="1">
        <v>46068.012592592589</v>
      </c>
      <c r="B980">
        <v>384177514</v>
      </c>
      <c r="C980" t="s">
        <v>109</v>
      </c>
      <c r="D980" t="s">
        <v>15</v>
      </c>
      <c r="E980" s="2">
        <v>3500</v>
      </c>
      <c r="F980" s="2">
        <v>3500</v>
      </c>
      <c r="G980" s="2">
        <v>2450</v>
      </c>
      <c r="I980" t="s">
        <v>22</v>
      </c>
      <c r="J980" t="s">
        <v>23</v>
      </c>
      <c r="K980" t="s">
        <v>18</v>
      </c>
      <c r="L980" t="str">
        <f>T("9791175309807")</f>
        <v>9791175309807</v>
      </c>
      <c r="M980" t="str">
        <f t="shared" si="22"/>
        <v/>
      </c>
      <c r="N980">
        <v>958594</v>
      </c>
    </row>
    <row r="981" spans="1:14" x14ac:dyDescent="0.3">
      <c r="A981" s="1">
        <v>46068.056030092594</v>
      </c>
      <c r="B981">
        <v>381924691</v>
      </c>
      <c r="C981" t="s">
        <v>302</v>
      </c>
      <c r="D981" t="s">
        <v>15</v>
      </c>
      <c r="E981" s="2">
        <v>10200</v>
      </c>
      <c r="F981" s="2">
        <v>10200</v>
      </c>
      <c r="G981" s="2">
        <v>7140</v>
      </c>
      <c r="I981" t="s">
        <v>189</v>
      </c>
      <c r="J981" t="s">
        <v>70</v>
      </c>
      <c r="K981" t="s">
        <v>18</v>
      </c>
      <c r="L981" t="str">
        <f>T("9791175307605")</f>
        <v>9791175307605</v>
      </c>
      <c r="M981" t="str">
        <f t="shared" si="22"/>
        <v/>
      </c>
    </row>
    <row r="982" spans="1:14" x14ac:dyDescent="0.3">
      <c r="A982" s="1">
        <v>46068.149537037039</v>
      </c>
      <c r="B982">
        <v>14308636</v>
      </c>
      <c r="C982" t="s">
        <v>426</v>
      </c>
      <c r="D982" t="s">
        <v>15</v>
      </c>
      <c r="E982" s="2">
        <v>3000</v>
      </c>
      <c r="F982" s="2">
        <v>3000</v>
      </c>
      <c r="G982" s="2">
        <v>2100</v>
      </c>
      <c r="I982" t="s">
        <v>27</v>
      </c>
      <c r="J982" t="s">
        <v>427</v>
      </c>
      <c r="K982" t="s">
        <v>18</v>
      </c>
      <c r="L982" t="str">
        <f>T("")</f>
        <v/>
      </c>
      <c r="M982" t="str">
        <f t="shared" si="22"/>
        <v/>
      </c>
    </row>
    <row r="983" spans="1:14" x14ac:dyDescent="0.3">
      <c r="A983" s="1">
        <v>46068.207314814812</v>
      </c>
      <c r="B983">
        <v>365656697</v>
      </c>
      <c r="C983" t="s">
        <v>239</v>
      </c>
      <c r="D983" t="s">
        <v>89</v>
      </c>
      <c r="E983" s="2">
        <v>5760</v>
      </c>
      <c r="F983" s="2">
        <v>5760</v>
      </c>
      <c r="G983" s="2">
        <v>4032</v>
      </c>
      <c r="I983" t="s">
        <v>240</v>
      </c>
      <c r="J983" t="s">
        <v>49</v>
      </c>
      <c r="K983" t="s">
        <v>18</v>
      </c>
      <c r="L983" t="str">
        <f>T("9791173783630")</f>
        <v>9791173783630</v>
      </c>
      <c r="M983" t="str">
        <f t="shared" si="22"/>
        <v/>
      </c>
    </row>
    <row r="984" spans="1:14" x14ac:dyDescent="0.3">
      <c r="A984" s="1">
        <v>46068.241238425922</v>
      </c>
      <c r="B984">
        <v>266511270</v>
      </c>
      <c r="C984" t="s">
        <v>428</v>
      </c>
      <c r="D984" t="s">
        <v>15</v>
      </c>
      <c r="E984" s="2">
        <v>4700</v>
      </c>
      <c r="F984" s="2">
        <v>4700</v>
      </c>
      <c r="G984" s="2">
        <v>3290</v>
      </c>
      <c r="I984" t="s">
        <v>198</v>
      </c>
      <c r="J984" t="s">
        <v>49</v>
      </c>
      <c r="K984" t="s">
        <v>18</v>
      </c>
      <c r="L984" t="str">
        <f>T("9791136910318")</f>
        <v>9791136910318</v>
      </c>
      <c r="M984" t="str">
        <f t="shared" si="22"/>
        <v/>
      </c>
      <c r="N984">
        <v>824999</v>
      </c>
    </row>
    <row r="985" spans="1:14" x14ac:dyDescent="0.3">
      <c r="A985" s="1">
        <v>46068.241238425922</v>
      </c>
      <c r="B985">
        <v>266511272</v>
      </c>
      <c r="C985" t="s">
        <v>429</v>
      </c>
      <c r="D985" t="s">
        <v>15</v>
      </c>
      <c r="E985" s="2">
        <v>4700</v>
      </c>
      <c r="F985" s="2">
        <v>4700</v>
      </c>
      <c r="G985" s="2">
        <v>3290</v>
      </c>
      <c r="I985" t="s">
        <v>198</v>
      </c>
      <c r="J985" t="s">
        <v>49</v>
      </c>
      <c r="K985" t="s">
        <v>18</v>
      </c>
      <c r="L985" t="str">
        <f>T("9791136910332")</f>
        <v>9791136910332</v>
      </c>
      <c r="M985" t="str">
        <f t="shared" si="22"/>
        <v/>
      </c>
      <c r="N985">
        <v>824997</v>
      </c>
    </row>
    <row r="986" spans="1:14" x14ac:dyDescent="0.3">
      <c r="A986" s="1">
        <v>46068.241238425922</v>
      </c>
      <c r="B986">
        <v>266511276</v>
      </c>
      <c r="C986" t="s">
        <v>430</v>
      </c>
      <c r="D986" t="s">
        <v>15</v>
      </c>
      <c r="E986" s="2">
        <v>4700</v>
      </c>
      <c r="F986" s="2">
        <v>4700</v>
      </c>
      <c r="G986" s="2">
        <v>3290</v>
      </c>
      <c r="I986" t="s">
        <v>198</v>
      </c>
      <c r="J986" t="s">
        <v>49</v>
      </c>
      <c r="K986" t="s">
        <v>18</v>
      </c>
      <c r="L986" t="str">
        <f>T("9791136910325")</f>
        <v>9791136910325</v>
      </c>
      <c r="M986" t="str">
        <f t="shared" si="22"/>
        <v/>
      </c>
      <c r="N986">
        <v>824998</v>
      </c>
    </row>
    <row r="987" spans="1:14" x14ac:dyDescent="0.3">
      <c r="A987" s="1">
        <v>46068.323599537034</v>
      </c>
      <c r="B987">
        <v>385804034</v>
      </c>
      <c r="C987" t="s">
        <v>330</v>
      </c>
      <c r="D987" t="s">
        <v>15</v>
      </c>
      <c r="E987">
        <v>0</v>
      </c>
      <c r="F987">
        <v>0</v>
      </c>
      <c r="G987">
        <v>0</v>
      </c>
      <c r="I987" t="s">
        <v>331</v>
      </c>
      <c r="J987" t="s">
        <v>52</v>
      </c>
      <c r="K987" t="s">
        <v>18</v>
      </c>
      <c r="L987" t="str">
        <f>T("")</f>
        <v/>
      </c>
      <c r="M987" t="str">
        <f>T("G720:N+A101-20260128080.M001")</f>
        <v>G720:N+A101-20260128080.M001</v>
      </c>
      <c r="N987">
        <v>959682</v>
      </c>
    </row>
    <row r="988" spans="1:14" x14ac:dyDescent="0.3">
      <c r="A988" s="1">
        <v>46068.41783564815</v>
      </c>
      <c r="B988">
        <v>379386288</v>
      </c>
      <c r="C988" t="s">
        <v>370</v>
      </c>
      <c r="D988" t="s">
        <v>89</v>
      </c>
      <c r="E988" s="2">
        <v>11280</v>
      </c>
      <c r="F988" s="2">
        <v>11280</v>
      </c>
      <c r="G988" s="2">
        <v>7896</v>
      </c>
      <c r="I988" t="s">
        <v>102</v>
      </c>
      <c r="J988" t="s">
        <v>23</v>
      </c>
      <c r="K988" t="s">
        <v>18</v>
      </c>
      <c r="L988" t="str">
        <f>T("9791175307438")</f>
        <v>9791175307438</v>
      </c>
      <c r="M988" t="str">
        <f t="shared" ref="M988:M1019" si="23">T("")</f>
        <v/>
      </c>
    </row>
    <row r="989" spans="1:14" x14ac:dyDescent="0.3">
      <c r="A989" s="1">
        <v>46068.438587962963</v>
      </c>
      <c r="B989">
        <v>320979628</v>
      </c>
      <c r="C989" t="s">
        <v>390</v>
      </c>
      <c r="D989" t="s">
        <v>89</v>
      </c>
      <c r="E989" s="2">
        <v>10500</v>
      </c>
      <c r="F989" s="2">
        <v>10500</v>
      </c>
      <c r="G989" s="2">
        <v>7350</v>
      </c>
      <c r="I989" t="s">
        <v>22</v>
      </c>
      <c r="J989" t="s">
        <v>23</v>
      </c>
      <c r="K989" t="s">
        <v>18</v>
      </c>
      <c r="L989" t="str">
        <f>T("9791136939456")</f>
        <v>9791136939456</v>
      </c>
      <c r="M989" t="str">
        <f t="shared" si="23"/>
        <v/>
      </c>
    </row>
    <row r="990" spans="1:14" x14ac:dyDescent="0.3">
      <c r="A990" s="1">
        <v>46068.458287037036</v>
      </c>
      <c r="B990">
        <v>357906299</v>
      </c>
      <c r="C990" t="s">
        <v>431</v>
      </c>
      <c r="D990" t="s">
        <v>15</v>
      </c>
      <c r="E990" s="2">
        <v>3200</v>
      </c>
      <c r="F990" s="2">
        <v>3200</v>
      </c>
      <c r="G990" s="2">
        <v>2240</v>
      </c>
      <c r="I990" t="s">
        <v>61</v>
      </c>
      <c r="J990" t="s">
        <v>59</v>
      </c>
      <c r="K990" t="s">
        <v>18</v>
      </c>
      <c r="L990" t="str">
        <f>T("9791136969835")</f>
        <v>9791136969835</v>
      </c>
      <c r="M990" t="str">
        <f t="shared" si="23"/>
        <v/>
      </c>
      <c r="N990">
        <v>924670</v>
      </c>
    </row>
    <row r="991" spans="1:14" x14ac:dyDescent="0.3">
      <c r="A991" s="1">
        <v>46068.461956018517</v>
      </c>
      <c r="B991">
        <v>366170260</v>
      </c>
      <c r="C991" t="s">
        <v>201</v>
      </c>
      <c r="D991" t="s">
        <v>89</v>
      </c>
      <c r="E991" s="2">
        <v>9240</v>
      </c>
      <c r="F991" s="2">
        <v>9240</v>
      </c>
      <c r="G991" s="2">
        <v>6468</v>
      </c>
      <c r="I991" t="s">
        <v>34</v>
      </c>
      <c r="J991" t="s">
        <v>23</v>
      </c>
      <c r="K991" t="s">
        <v>18</v>
      </c>
      <c r="L991" t="str">
        <f>T("9791173784552")</f>
        <v>9791173784552</v>
      </c>
      <c r="M991" t="str">
        <f t="shared" si="23"/>
        <v/>
      </c>
    </row>
    <row r="992" spans="1:14" x14ac:dyDescent="0.3">
      <c r="A992" s="1">
        <v>46068.470729166664</v>
      </c>
      <c r="B992">
        <v>374334966</v>
      </c>
      <c r="C992" t="s">
        <v>391</v>
      </c>
      <c r="D992" t="s">
        <v>89</v>
      </c>
      <c r="E992" s="2">
        <v>5850</v>
      </c>
      <c r="F992" s="2">
        <v>5850</v>
      </c>
      <c r="G992" s="2">
        <v>4095</v>
      </c>
      <c r="I992" t="s">
        <v>392</v>
      </c>
      <c r="J992" t="s">
        <v>23</v>
      </c>
      <c r="K992" t="s">
        <v>18</v>
      </c>
      <c r="L992" t="str">
        <f>T("9791175304932")</f>
        <v>9791175304932</v>
      </c>
      <c r="M992" t="str">
        <f t="shared" si="23"/>
        <v/>
      </c>
    </row>
    <row r="993" spans="1:14" x14ac:dyDescent="0.3">
      <c r="A993" s="1">
        <v>46068.540497685186</v>
      </c>
      <c r="B993">
        <v>346154638</v>
      </c>
      <c r="C993" t="s">
        <v>43</v>
      </c>
      <c r="D993" t="s">
        <v>15</v>
      </c>
      <c r="E993" s="2">
        <v>3300</v>
      </c>
      <c r="F993" s="2">
        <v>3300</v>
      </c>
      <c r="G993" s="2">
        <v>2310</v>
      </c>
      <c r="I993" t="s">
        <v>32</v>
      </c>
      <c r="J993" t="s">
        <v>23</v>
      </c>
      <c r="K993" t="s">
        <v>18</v>
      </c>
      <c r="L993" t="str">
        <f>T("9791136927255")</f>
        <v>9791136927255</v>
      </c>
      <c r="M993" t="str">
        <f t="shared" si="23"/>
        <v/>
      </c>
      <c r="N993">
        <v>928444</v>
      </c>
    </row>
    <row r="994" spans="1:14" x14ac:dyDescent="0.3">
      <c r="A994" s="1">
        <v>46068.545381944445</v>
      </c>
      <c r="B994">
        <v>384177441</v>
      </c>
      <c r="C994" t="s">
        <v>21</v>
      </c>
      <c r="D994" t="s">
        <v>15</v>
      </c>
      <c r="E994" s="2">
        <v>3500</v>
      </c>
      <c r="F994" s="2">
        <v>3500</v>
      </c>
      <c r="G994" s="2">
        <v>2450</v>
      </c>
      <c r="I994" t="s">
        <v>22</v>
      </c>
      <c r="J994" t="s">
        <v>23</v>
      </c>
      <c r="K994" t="s">
        <v>18</v>
      </c>
      <c r="L994" t="str">
        <f>T("9791175309821")</f>
        <v>9791175309821</v>
      </c>
      <c r="M994" t="str">
        <f t="shared" si="23"/>
        <v/>
      </c>
      <c r="N994">
        <v>958592</v>
      </c>
    </row>
    <row r="995" spans="1:14" x14ac:dyDescent="0.3">
      <c r="A995" s="1">
        <v>46068.582060185188</v>
      </c>
      <c r="B995">
        <v>314773272</v>
      </c>
      <c r="C995" t="s">
        <v>432</v>
      </c>
      <c r="D995" t="s">
        <v>15</v>
      </c>
      <c r="E995" s="2">
        <v>3200</v>
      </c>
      <c r="F995" s="2">
        <v>3200</v>
      </c>
      <c r="G995" s="2">
        <v>2240</v>
      </c>
      <c r="I995" t="s">
        <v>85</v>
      </c>
      <c r="J995" t="s">
        <v>59</v>
      </c>
      <c r="K995" t="s">
        <v>18</v>
      </c>
      <c r="L995" t="str">
        <f>T("9791136926814")</f>
        <v>9791136926814</v>
      </c>
      <c r="M995" t="str">
        <f t="shared" si="23"/>
        <v/>
      </c>
      <c r="N995">
        <v>887434</v>
      </c>
    </row>
    <row r="996" spans="1:14" x14ac:dyDescent="0.3">
      <c r="A996" s="1">
        <v>46068.610601851855</v>
      </c>
      <c r="B996">
        <v>361759239</v>
      </c>
      <c r="C996" t="s">
        <v>433</v>
      </c>
      <c r="D996" t="s">
        <v>15</v>
      </c>
      <c r="E996" s="2">
        <v>5000</v>
      </c>
      <c r="F996" s="2">
        <v>5000</v>
      </c>
      <c r="G996" s="2">
        <v>3500</v>
      </c>
      <c r="I996" t="s">
        <v>198</v>
      </c>
      <c r="J996" t="s">
        <v>49</v>
      </c>
      <c r="K996" t="s">
        <v>18</v>
      </c>
      <c r="L996" t="str">
        <f>T("9791173783265")</f>
        <v>9791173783265</v>
      </c>
      <c r="M996" t="str">
        <f t="shared" si="23"/>
        <v/>
      </c>
      <c r="N996">
        <v>947664</v>
      </c>
    </row>
    <row r="997" spans="1:14" x14ac:dyDescent="0.3">
      <c r="A997" s="1">
        <v>46068.610601851855</v>
      </c>
      <c r="B997">
        <v>361759394</v>
      </c>
      <c r="C997" t="s">
        <v>434</v>
      </c>
      <c r="D997" t="s">
        <v>15</v>
      </c>
      <c r="E997" s="2">
        <v>5000</v>
      </c>
      <c r="F997" s="2">
        <v>5000</v>
      </c>
      <c r="G997" s="2">
        <v>3500</v>
      </c>
      <c r="I997" t="s">
        <v>198</v>
      </c>
      <c r="J997" t="s">
        <v>49</v>
      </c>
      <c r="K997" t="s">
        <v>18</v>
      </c>
      <c r="L997" t="str">
        <f>T("9791173783272")</f>
        <v>9791173783272</v>
      </c>
      <c r="M997" t="str">
        <f t="shared" si="23"/>
        <v/>
      </c>
      <c r="N997">
        <v>947663</v>
      </c>
    </row>
    <row r="998" spans="1:14" x14ac:dyDescent="0.3">
      <c r="A998" s="1">
        <v>46068.618449074071</v>
      </c>
      <c r="B998">
        <v>385831063</v>
      </c>
      <c r="C998" t="s">
        <v>343</v>
      </c>
      <c r="D998" t="s">
        <v>89</v>
      </c>
      <c r="E998" s="2">
        <v>10800</v>
      </c>
      <c r="F998" s="2">
        <v>10800</v>
      </c>
      <c r="G998" s="2">
        <v>7560</v>
      </c>
      <c r="I998" t="s">
        <v>344</v>
      </c>
      <c r="J998" t="s">
        <v>23</v>
      </c>
      <c r="K998" t="s">
        <v>18</v>
      </c>
      <c r="L998" t="str">
        <f>T("9791175309456")</f>
        <v>9791175309456</v>
      </c>
      <c r="M998" t="str">
        <f t="shared" si="23"/>
        <v/>
      </c>
    </row>
    <row r="999" spans="1:14" x14ac:dyDescent="0.3">
      <c r="A999" s="1">
        <v>46068.622303240743</v>
      </c>
      <c r="B999">
        <v>383003439</v>
      </c>
      <c r="C999" t="s">
        <v>435</v>
      </c>
      <c r="D999" t="s">
        <v>15</v>
      </c>
      <c r="E999" s="2">
        <v>3200</v>
      </c>
      <c r="F999" s="2">
        <v>3200</v>
      </c>
      <c r="G999" s="2">
        <v>2240</v>
      </c>
      <c r="I999" t="s">
        <v>365</v>
      </c>
      <c r="J999" t="s">
        <v>59</v>
      </c>
      <c r="K999" t="s">
        <v>18</v>
      </c>
      <c r="L999" t="str">
        <f>T("9791173789045")</f>
        <v>9791173789045</v>
      </c>
      <c r="M999" t="str">
        <f t="shared" si="23"/>
        <v/>
      </c>
      <c r="N999">
        <v>951992</v>
      </c>
    </row>
    <row r="1000" spans="1:14" x14ac:dyDescent="0.3">
      <c r="A1000" s="1">
        <v>46068.622303240743</v>
      </c>
      <c r="B1000">
        <v>383003472</v>
      </c>
      <c r="C1000" t="s">
        <v>436</v>
      </c>
      <c r="D1000" t="s">
        <v>15</v>
      </c>
      <c r="E1000" s="2">
        <v>3200</v>
      </c>
      <c r="F1000" s="2">
        <v>3200</v>
      </c>
      <c r="G1000" s="2">
        <v>2240</v>
      </c>
      <c r="I1000" t="s">
        <v>365</v>
      </c>
      <c r="J1000" t="s">
        <v>59</v>
      </c>
      <c r="K1000" t="s">
        <v>18</v>
      </c>
      <c r="L1000" t="str">
        <f>T("9791173789021")</f>
        <v>9791173789021</v>
      </c>
      <c r="M1000" t="str">
        <f t="shared" si="23"/>
        <v/>
      </c>
      <c r="N1000">
        <v>951994</v>
      </c>
    </row>
    <row r="1001" spans="1:14" x14ac:dyDescent="0.3">
      <c r="A1001" s="1">
        <v>46068.622303240743</v>
      </c>
      <c r="B1001">
        <v>383003503</v>
      </c>
      <c r="C1001" t="s">
        <v>437</v>
      </c>
      <c r="D1001" t="s">
        <v>15</v>
      </c>
      <c r="E1001" s="2">
        <v>3200</v>
      </c>
      <c r="F1001" s="2">
        <v>3200</v>
      </c>
      <c r="G1001" s="2">
        <v>2240</v>
      </c>
      <c r="I1001" t="s">
        <v>365</v>
      </c>
      <c r="J1001" t="s">
        <v>59</v>
      </c>
      <c r="K1001" t="s">
        <v>18</v>
      </c>
      <c r="L1001" t="str">
        <f>T("9791173789038")</f>
        <v>9791173789038</v>
      </c>
      <c r="M1001" t="str">
        <f t="shared" si="23"/>
        <v/>
      </c>
      <c r="N1001">
        <v>951993</v>
      </c>
    </row>
    <row r="1002" spans="1:14" x14ac:dyDescent="0.3">
      <c r="A1002" s="1">
        <v>46068.648275462961</v>
      </c>
      <c r="B1002">
        <v>368523292</v>
      </c>
      <c r="C1002" t="s">
        <v>423</v>
      </c>
      <c r="D1002" t="s">
        <v>15</v>
      </c>
      <c r="E1002" s="2">
        <v>9600</v>
      </c>
      <c r="F1002" s="2">
        <v>9600</v>
      </c>
      <c r="G1002" s="2">
        <v>6720</v>
      </c>
      <c r="I1002" t="s">
        <v>424</v>
      </c>
      <c r="J1002" t="s">
        <v>23</v>
      </c>
      <c r="K1002" t="s">
        <v>18</v>
      </c>
      <c r="L1002" t="str">
        <f>T("9791173786426")</f>
        <v>9791173786426</v>
      </c>
      <c r="M1002" t="str">
        <f t="shared" si="23"/>
        <v/>
      </c>
    </row>
    <row r="1003" spans="1:14" x14ac:dyDescent="0.3">
      <c r="A1003" s="1">
        <v>46068.648275462961</v>
      </c>
      <c r="B1003">
        <v>385348414</v>
      </c>
      <c r="C1003" t="s">
        <v>114</v>
      </c>
      <c r="D1003" t="s">
        <v>15</v>
      </c>
      <c r="E1003" s="2">
        <v>13000</v>
      </c>
      <c r="F1003" s="2">
        <v>11700</v>
      </c>
      <c r="G1003" s="2">
        <v>8190</v>
      </c>
      <c r="I1003" t="s">
        <v>87</v>
      </c>
      <c r="J1003" t="s">
        <v>23</v>
      </c>
      <c r="K1003" t="s">
        <v>18</v>
      </c>
      <c r="L1003" t="str">
        <f>T("9791175308503")</f>
        <v>9791175308503</v>
      </c>
      <c r="M1003" t="str">
        <f t="shared" si="23"/>
        <v/>
      </c>
    </row>
    <row r="1004" spans="1:14" x14ac:dyDescent="0.3">
      <c r="A1004" s="1">
        <v>46068.648275462961</v>
      </c>
      <c r="B1004">
        <v>366386880</v>
      </c>
      <c r="C1004" t="s">
        <v>190</v>
      </c>
      <c r="D1004" t="s">
        <v>15</v>
      </c>
      <c r="E1004" s="2">
        <v>1800</v>
      </c>
      <c r="F1004" s="2">
        <v>1800</v>
      </c>
      <c r="G1004" s="2">
        <v>1260</v>
      </c>
      <c r="I1004" t="s">
        <v>32</v>
      </c>
      <c r="J1004" t="s">
        <v>23</v>
      </c>
      <c r="K1004" t="s">
        <v>18</v>
      </c>
      <c r="L1004" t="str">
        <f>T("9791173786648")</f>
        <v>9791173786648</v>
      </c>
      <c r="M1004" t="str">
        <f t="shared" si="23"/>
        <v/>
      </c>
      <c r="N1004">
        <v>950837</v>
      </c>
    </row>
    <row r="1005" spans="1:14" x14ac:dyDescent="0.3">
      <c r="A1005" s="1">
        <v>46068.649942129632</v>
      </c>
      <c r="B1005">
        <v>346154719</v>
      </c>
      <c r="C1005" t="s">
        <v>44</v>
      </c>
      <c r="D1005" t="s">
        <v>15</v>
      </c>
      <c r="E1005" s="2">
        <v>3300</v>
      </c>
      <c r="F1005" s="2">
        <v>3300</v>
      </c>
      <c r="G1005" s="2">
        <v>2310</v>
      </c>
      <c r="I1005" t="s">
        <v>32</v>
      </c>
      <c r="J1005" t="s">
        <v>23</v>
      </c>
      <c r="K1005" t="s">
        <v>18</v>
      </c>
      <c r="L1005" t="str">
        <f>T("9791136927675")</f>
        <v>9791136927675</v>
      </c>
      <c r="M1005" t="str">
        <f t="shared" si="23"/>
        <v/>
      </c>
      <c r="N1005">
        <v>928443</v>
      </c>
    </row>
    <row r="1006" spans="1:14" x14ac:dyDescent="0.3">
      <c r="A1006" s="1">
        <v>46068.650625000002</v>
      </c>
      <c r="B1006">
        <v>379386288</v>
      </c>
      <c r="C1006" t="s">
        <v>370</v>
      </c>
      <c r="D1006" t="s">
        <v>89</v>
      </c>
      <c r="E1006" s="2">
        <v>-11280</v>
      </c>
      <c r="F1006" s="2">
        <v>-11280</v>
      </c>
      <c r="G1006" s="2">
        <v>-7896</v>
      </c>
      <c r="H1006" s="1">
        <v>46068.650219907409</v>
      </c>
      <c r="I1006" t="s">
        <v>102</v>
      </c>
      <c r="J1006" t="s">
        <v>23</v>
      </c>
      <c r="K1006" t="s">
        <v>18</v>
      </c>
      <c r="L1006" t="str">
        <f>T("9791175307438")</f>
        <v>9791175307438</v>
      </c>
      <c r="M1006" t="str">
        <f t="shared" si="23"/>
        <v/>
      </c>
    </row>
    <row r="1007" spans="1:14" x14ac:dyDescent="0.3">
      <c r="A1007" s="1">
        <v>46068.650219907409</v>
      </c>
      <c r="B1007">
        <v>379386288</v>
      </c>
      <c r="C1007" t="s">
        <v>370</v>
      </c>
      <c r="D1007" t="s">
        <v>89</v>
      </c>
      <c r="E1007" s="2">
        <v>11280</v>
      </c>
      <c r="F1007" s="2">
        <v>11280</v>
      </c>
      <c r="G1007" s="2">
        <v>7896</v>
      </c>
      <c r="I1007" t="s">
        <v>102</v>
      </c>
      <c r="J1007" t="s">
        <v>23</v>
      </c>
      <c r="K1007" t="s">
        <v>18</v>
      </c>
      <c r="L1007" t="str">
        <f>T("9791175307438")</f>
        <v>9791175307438</v>
      </c>
      <c r="M1007" t="str">
        <f t="shared" si="23"/>
        <v/>
      </c>
    </row>
    <row r="1008" spans="1:14" x14ac:dyDescent="0.3">
      <c r="A1008" s="1">
        <v>46068.651226851849</v>
      </c>
      <c r="B1008">
        <v>379386288</v>
      </c>
      <c r="C1008" t="s">
        <v>370</v>
      </c>
      <c r="D1008" t="s">
        <v>89</v>
      </c>
      <c r="E1008" s="2">
        <v>11280</v>
      </c>
      <c r="F1008" s="2">
        <v>11280</v>
      </c>
      <c r="G1008" s="2">
        <v>7896</v>
      </c>
      <c r="I1008" t="s">
        <v>102</v>
      </c>
      <c r="J1008" t="s">
        <v>23</v>
      </c>
      <c r="K1008" t="s">
        <v>18</v>
      </c>
      <c r="L1008" t="str">
        <f>T("9791175307438")</f>
        <v>9791175307438</v>
      </c>
      <c r="M1008" t="str">
        <f t="shared" si="23"/>
        <v/>
      </c>
    </row>
    <row r="1009" spans="1:14" x14ac:dyDescent="0.3">
      <c r="A1009" s="1">
        <v>46068.659155092595</v>
      </c>
      <c r="B1009">
        <v>357993456</v>
      </c>
      <c r="C1009" t="s">
        <v>438</v>
      </c>
      <c r="D1009" t="s">
        <v>89</v>
      </c>
      <c r="E1009" s="2">
        <v>5700</v>
      </c>
      <c r="F1009" s="2">
        <v>5700</v>
      </c>
      <c r="G1009" s="2">
        <v>3990</v>
      </c>
      <c r="I1009" t="s">
        <v>96</v>
      </c>
      <c r="J1009" t="s">
        <v>23</v>
      </c>
      <c r="K1009" t="s">
        <v>18</v>
      </c>
      <c r="L1009" t="str">
        <f>T("9791172928094")</f>
        <v>9791172928094</v>
      </c>
      <c r="M1009" t="str">
        <f t="shared" si="23"/>
        <v/>
      </c>
    </row>
    <row r="1010" spans="1:14" x14ac:dyDescent="0.3">
      <c r="A1010" s="1">
        <v>46068.670439814814</v>
      </c>
      <c r="B1010">
        <v>302299392</v>
      </c>
      <c r="C1010" t="s">
        <v>388</v>
      </c>
      <c r="D1010" t="s">
        <v>89</v>
      </c>
      <c r="E1010" s="2">
        <v>10570</v>
      </c>
      <c r="F1010" s="2">
        <v>10570</v>
      </c>
      <c r="G1010" s="2">
        <v>7399</v>
      </c>
      <c r="I1010" t="s">
        <v>368</v>
      </c>
      <c r="J1010" t="s">
        <v>70</v>
      </c>
      <c r="K1010" t="s">
        <v>18</v>
      </c>
      <c r="L1010" t="str">
        <f>T("9791136927248")</f>
        <v>9791136927248</v>
      </c>
      <c r="M1010" t="str">
        <f t="shared" si="23"/>
        <v/>
      </c>
    </row>
    <row r="1011" spans="1:14" x14ac:dyDescent="0.3">
      <c r="A1011" s="1">
        <v>46068.673981481479</v>
      </c>
      <c r="B1011">
        <v>379190219</v>
      </c>
      <c r="C1011" t="s">
        <v>439</v>
      </c>
      <c r="D1011" t="s">
        <v>89</v>
      </c>
      <c r="E1011" s="2">
        <v>7630</v>
      </c>
      <c r="F1011" s="2">
        <v>7630</v>
      </c>
      <c r="G1011" s="2">
        <v>5341</v>
      </c>
      <c r="I1011" t="s">
        <v>92</v>
      </c>
      <c r="J1011" t="s">
        <v>23</v>
      </c>
      <c r="K1011" t="s">
        <v>18</v>
      </c>
      <c r="L1011" t="str">
        <f>T("9791175306721")</f>
        <v>9791175306721</v>
      </c>
      <c r="M1011" t="str">
        <f t="shared" si="23"/>
        <v/>
      </c>
    </row>
    <row r="1012" spans="1:14" x14ac:dyDescent="0.3">
      <c r="A1012" s="1">
        <v>46068.684351851851</v>
      </c>
      <c r="B1012">
        <v>346154245</v>
      </c>
      <c r="C1012" t="s">
        <v>45</v>
      </c>
      <c r="D1012" t="s">
        <v>15</v>
      </c>
      <c r="E1012" s="2">
        <v>3300</v>
      </c>
      <c r="F1012" s="2">
        <v>3300</v>
      </c>
      <c r="G1012" s="2">
        <v>2310</v>
      </c>
      <c r="I1012" t="s">
        <v>32</v>
      </c>
      <c r="J1012" t="s">
        <v>23</v>
      </c>
      <c r="K1012" t="s">
        <v>18</v>
      </c>
      <c r="L1012" t="str">
        <f>T("9791136940728")</f>
        <v>9791136940728</v>
      </c>
      <c r="M1012" t="str">
        <f t="shared" si="23"/>
        <v/>
      </c>
      <c r="N1012">
        <v>928441</v>
      </c>
    </row>
    <row r="1013" spans="1:14" x14ac:dyDescent="0.3">
      <c r="A1013" s="1">
        <v>46068.698819444442</v>
      </c>
      <c r="B1013">
        <v>348005496</v>
      </c>
      <c r="C1013" t="s">
        <v>440</v>
      </c>
      <c r="D1013" t="s">
        <v>15</v>
      </c>
      <c r="E1013" s="2">
        <v>11700</v>
      </c>
      <c r="F1013" s="2">
        <v>11700</v>
      </c>
      <c r="G1013" s="2">
        <v>8190</v>
      </c>
      <c r="I1013" t="s">
        <v>441</v>
      </c>
      <c r="J1013" t="s">
        <v>23</v>
      </c>
      <c r="K1013" t="s">
        <v>18</v>
      </c>
      <c r="L1013" t="str">
        <f>T("9791136913821")</f>
        <v>9791136913821</v>
      </c>
      <c r="M1013" t="str">
        <f t="shared" si="23"/>
        <v/>
      </c>
    </row>
    <row r="1014" spans="1:14" x14ac:dyDescent="0.3">
      <c r="A1014" s="1">
        <v>46068.70039351852</v>
      </c>
      <c r="B1014">
        <v>357906194</v>
      </c>
      <c r="C1014" t="s">
        <v>442</v>
      </c>
      <c r="D1014" t="s">
        <v>15</v>
      </c>
      <c r="E1014" s="2">
        <v>3200</v>
      </c>
      <c r="F1014" s="2">
        <v>3200</v>
      </c>
      <c r="G1014" s="2">
        <v>2240</v>
      </c>
      <c r="I1014" t="s">
        <v>61</v>
      </c>
      <c r="J1014" t="s">
        <v>59</v>
      </c>
      <c r="K1014" t="s">
        <v>18</v>
      </c>
      <c r="L1014" t="str">
        <f>T("9791136971920")</f>
        <v>9791136971920</v>
      </c>
      <c r="M1014" t="str">
        <f t="shared" si="23"/>
        <v/>
      </c>
      <c r="N1014">
        <v>924669</v>
      </c>
    </row>
    <row r="1015" spans="1:14" x14ac:dyDescent="0.3">
      <c r="A1015" s="1">
        <v>46068.721817129626</v>
      </c>
      <c r="B1015">
        <v>385348415</v>
      </c>
      <c r="C1015" t="s">
        <v>88</v>
      </c>
      <c r="D1015" t="s">
        <v>89</v>
      </c>
      <c r="E1015" s="2">
        <v>8640</v>
      </c>
      <c r="F1015" s="2">
        <v>8640</v>
      </c>
      <c r="G1015" s="2">
        <v>6048</v>
      </c>
      <c r="I1015" t="s">
        <v>90</v>
      </c>
      <c r="J1015" t="s">
        <v>23</v>
      </c>
      <c r="K1015" t="s">
        <v>18</v>
      </c>
      <c r="L1015" t="str">
        <f>T("9791175308350")</f>
        <v>9791175308350</v>
      </c>
      <c r="M1015" t="str">
        <f t="shared" si="23"/>
        <v/>
      </c>
    </row>
    <row r="1016" spans="1:14" x14ac:dyDescent="0.3">
      <c r="A1016" s="1">
        <v>46068.782210648147</v>
      </c>
      <c r="B1016">
        <v>379386288</v>
      </c>
      <c r="C1016" t="s">
        <v>370</v>
      </c>
      <c r="D1016" t="s">
        <v>89</v>
      </c>
      <c r="E1016" s="2">
        <v>11280</v>
      </c>
      <c r="F1016" s="2">
        <v>11280</v>
      </c>
      <c r="G1016" s="2">
        <v>7896</v>
      </c>
      <c r="I1016" t="s">
        <v>102</v>
      </c>
      <c r="J1016" t="s">
        <v>23</v>
      </c>
      <c r="K1016" t="s">
        <v>18</v>
      </c>
      <c r="L1016" t="str">
        <f>T("9791175307438")</f>
        <v>9791175307438</v>
      </c>
      <c r="M1016" t="str">
        <f t="shared" si="23"/>
        <v/>
      </c>
    </row>
    <row r="1017" spans="1:14" x14ac:dyDescent="0.3">
      <c r="A1017" s="1">
        <v>46068.791377314818</v>
      </c>
      <c r="B1017">
        <v>311320993</v>
      </c>
      <c r="C1017" t="s">
        <v>443</v>
      </c>
      <c r="D1017" t="s">
        <v>89</v>
      </c>
      <c r="E1017">
        <v>810</v>
      </c>
      <c r="F1017">
        <v>810</v>
      </c>
      <c r="G1017">
        <v>567</v>
      </c>
      <c r="I1017" t="s">
        <v>130</v>
      </c>
      <c r="J1017" t="s">
        <v>59</v>
      </c>
      <c r="K1017" t="s">
        <v>18</v>
      </c>
      <c r="L1017" t="str">
        <f>T("9791136927989")</f>
        <v>9791136927989</v>
      </c>
      <c r="M1017" t="str">
        <f t="shared" si="23"/>
        <v/>
      </c>
      <c r="N1017">
        <v>889257</v>
      </c>
    </row>
    <row r="1018" spans="1:14" x14ac:dyDescent="0.3">
      <c r="A1018" s="1">
        <v>46068.802766203706</v>
      </c>
      <c r="B1018">
        <v>385636847</v>
      </c>
      <c r="C1018" t="s">
        <v>245</v>
      </c>
      <c r="D1018" t="s">
        <v>15</v>
      </c>
      <c r="E1018" s="2">
        <v>10500</v>
      </c>
      <c r="F1018" s="2">
        <v>9450</v>
      </c>
      <c r="G1018" s="2">
        <v>6615</v>
      </c>
      <c r="I1018" t="s">
        <v>246</v>
      </c>
      <c r="J1018" t="s">
        <v>23</v>
      </c>
      <c r="K1018" t="s">
        <v>18</v>
      </c>
      <c r="L1018" t="str">
        <f>T("9791175309517")</f>
        <v>9791175309517</v>
      </c>
      <c r="M1018" t="str">
        <f t="shared" si="23"/>
        <v/>
      </c>
    </row>
    <row r="1019" spans="1:14" x14ac:dyDescent="0.3">
      <c r="A1019" s="1">
        <v>46068.828750000001</v>
      </c>
      <c r="B1019">
        <v>379386288</v>
      </c>
      <c r="C1019" t="s">
        <v>370</v>
      </c>
      <c r="D1019" t="s">
        <v>89</v>
      </c>
      <c r="E1019" s="2">
        <v>11280</v>
      </c>
      <c r="F1019" s="2">
        <v>11280</v>
      </c>
      <c r="G1019" s="2">
        <v>7896</v>
      </c>
      <c r="I1019" t="s">
        <v>102</v>
      </c>
      <c r="J1019" t="s">
        <v>23</v>
      </c>
      <c r="K1019" t="s">
        <v>18</v>
      </c>
      <c r="L1019" t="str">
        <f>T("9791175307438")</f>
        <v>9791175307438</v>
      </c>
      <c r="M1019" t="str">
        <f t="shared" si="23"/>
        <v/>
      </c>
    </row>
    <row r="1020" spans="1:14" x14ac:dyDescent="0.3">
      <c r="A1020" s="1">
        <v>46068.837245370371</v>
      </c>
      <c r="B1020">
        <v>385831063</v>
      </c>
      <c r="C1020" t="s">
        <v>343</v>
      </c>
      <c r="D1020" t="s">
        <v>89</v>
      </c>
      <c r="E1020" s="2">
        <v>10800</v>
      </c>
      <c r="F1020" s="2">
        <v>10800</v>
      </c>
      <c r="G1020" s="2">
        <v>7560</v>
      </c>
      <c r="I1020" t="s">
        <v>344</v>
      </c>
      <c r="J1020" t="s">
        <v>23</v>
      </c>
      <c r="K1020" t="s">
        <v>18</v>
      </c>
      <c r="L1020" t="str">
        <f>T("9791175309456")</f>
        <v>9791175309456</v>
      </c>
      <c r="M1020" t="str">
        <f t="shared" ref="M1020:M1051" si="24">T("")</f>
        <v/>
      </c>
    </row>
    <row r="1021" spans="1:14" x14ac:dyDescent="0.3">
      <c r="A1021" s="1">
        <v>46068.862928240742</v>
      </c>
      <c r="B1021">
        <v>346154276</v>
      </c>
      <c r="C1021" t="s">
        <v>46</v>
      </c>
      <c r="D1021" t="s">
        <v>15</v>
      </c>
      <c r="E1021" s="2">
        <v>3300</v>
      </c>
      <c r="F1021" s="2">
        <v>3300</v>
      </c>
      <c r="G1021" s="2">
        <v>2310</v>
      </c>
      <c r="I1021" t="s">
        <v>32</v>
      </c>
      <c r="J1021" t="s">
        <v>23</v>
      </c>
      <c r="K1021" t="s">
        <v>18</v>
      </c>
      <c r="L1021" t="str">
        <f>T("9791136940704")</f>
        <v>9791136940704</v>
      </c>
      <c r="M1021" t="str">
        <f t="shared" si="24"/>
        <v/>
      </c>
      <c r="N1021">
        <v>928442</v>
      </c>
    </row>
    <row r="1022" spans="1:14" x14ac:dyDescent="0.3">
      <c r="A1022" s="1">
        <v>46068.872118055559</v>
      </c>
      <c r="B1022">
        <v>381539761</v>
      </c>
      <c r="C1022" t="s">
        <v>444</v>
      </c>
      <c r="D1022" t="s">
        <v>15</v>
      </c>
      <c r="E1022" s="2">
        <v>3200</v>
      </c>
      <c r="F1022" s="2">
        <v>3200</v>
      </c>
      <c r="G1022" s="2">
        <v>2240</v>
      </c>
      <c r="I1022" t="s">
        <v>193</v>
      </c>
      <c r="J1022" t="s">
        <v>59</v>
      </c>
      <c r="K1022" t="s">
        <v>18</v>
      </c>
      <c r="L1022" t="str">
        <f>T("9791172921620")</f>
        <v>9791172921620</v>
      </c>
      <c r="M1022" t="str">
        <f t="shared" si="24"/>
        <v/>
      </c>
      <c r="N1022">
        <v>929942</v>
      </c>
    </row>
    <row r="1023" spans="1:14" x14ac:dyDescent="0.3">
      <c r="A1023" s="1">
        <v>46068.872118055559</v>
      </c>
      <c r="B1023">
        <v>381539748</v>
      </c>
      <c r="C1023" t="s">
        <v>445</v>
      </c>
      <c r="D1023" t="s">
        <v>15</v>
      </c>
      <c r="E1023" s="2">
        <v>3200</v>
      </c>
      <c r="F1023" s="2">
        <v>3200</v>
      </c>
      <c r="G1023" s="2">
        <v>2240</v>
      </c>
      <c r="I1023" t="s">
        <v>193</v>
      </c>
      <c r="J1023" t="s">
        <v>59</v>
      </c>
      <c r="K1023" t="s">
        <v>18</v>
      </c>
      <c r="L1023" t="str">
        <f>T("9791172921767")</f>
        <v>9791172921767</v>
      </c>
      <c r="M1023" t="str">
        <f t="shared" si="24"/>
        <v/>
      </c>
      <c r="N1023">
        <v>929941</v>
      </c>
    </row>
    <row r="1024" spans="1:14" x14ac:dyDescent="0.3">
      <c r="A1024" s="1">
        <v>46068.873749999999</v>
      </c>
      <c r="B1024">
        <v>385347659</v>
      </c>
      <c r="C1024" t="s">
        <v>86</v>
      </c>
      <c r="D1024" t="s">
        <v>15</v>
      </c>
      <c r="E1024" s="2">
        <v>1000</v>
      </c>
      <c r="F1024">
        <v>900</v>
      </c>
      <c r="G1024">
        <v>630</v>
      </c>
      <c r="I1024" t="s">
        <v>87</v>
      </c>
      <c r="J1024" t="s">
        <v>23</v>
      </c>
      <c r="K1024" t="s">
        <v>18</v>
      </c>
      <c r="L1024" t="str">
        <f>T("9791175308510")</f>
        <v>9791175308510</v>
      </c>
      <c r="M1024" t="str">
        <f t="shared" si="24"/>
        <v/>
      </c>
      <c r="N1024">
        <v>957881</v>
      </c>
    </row>
    <row r="1025" spans="1:14" x14ac:dyDescent="0.3">
      <c r="A1025" s="1">
        <v>46068.877569444441</v>
      </c>
      <c r="B1025">
        <v>365656697</v>
      </c>
      <c r="C1025" t="s">
        <v>239</v>
      </c>
      <c r="D1025" t="s">
        <v>89</v>
      </c>
      <c r="E1025" s="2">
        <v>5760</v>
      </c>
      <c r="F1025" s="2">
        <v>5760</v>
      </c>
      <c r="G1025" s="2">
        <v>4032</v>
      </c>
      <c r="I1025" t="s">
        <v>240</v>
      </c>
      <c r="J1025" t="s">
        <v>49</v>
      </c>
      <c r="K1025" t="s">
        <v>18</v>
      </c>
      <c r="L1025" t="str">
        <f>T("9791173783630")</f>
        <v>9791173783630</v>
      </c>
      <c r="M1025" t="str">
        <f t="shared" si="24"/>
        <v/>
      </c>
    </row>
    <row r="1026" spans="1:14" x14ac:dyDescent="0.3">
      <c r="A1026" s="1">
        <v>46068.87877314815</v>
      </c>
      <c r="B1026">
        <v>385636847</v>
      </c>
      <c r="C1026" t="s">
        <v>245</v>
      </c>
      <c r="D1026" t="s">
        <v>89</v>
      </c>
      <c r="E1026" s="2">
        <v>9450</v>
      </c>
      <c r="F1026" s="2">
        <v>9450</v>
      </c>
      <c r="G1026" s="2">
        <v>6615</v>
      </c>
      <c r="I1026" t="s">
        <v>246</v>
      </c>
      <c r="J1026" t="s">
        <v>23</v>
      </c>
      <c r="K1026" t="s">
        <v>18</v>
      </c>
      <c r="L1026" t="str">
        <f>T("9791175309517")</f>
        <v>9791175309517</v>
      </c>
      <c r="M1026" t="str">
        <f t="shared" si="24"/>
        <v/>
      </c>
    </row>
    <row r="1027" spans="1:14" x14ac:dyDescent="0.3">
      <c r="A1027" s="1">
        <v>46068.880891203706</v>
      </c>
      <c r="B1027">
        <v>385636847</v>
      </c>
      <c r="C1027" t="s">
        <v>245</v>
      </c>
      <c r="D1027" t="s">
        <v>15</v>
      </c>
      <c r="E1027" s="2">
        <v>10500</v>
      </c>
      <c r="F1027" s="2">
        <v>9450</v>
      </c>
      <c r="G1027" s="2">
        <v>6615</v>
      </c>
      <c r="I1027" t="s">
        <v>246</v>
      </c>
      <c r="J1027" t="s">
        <v>23</v>
      </c>
      <c r="K1027" t="s">
        <v>18</v>
      </c>
      <c r="L1027" t="str">
        <f>T("9791175309517")</f>
        <v>9791175309517</v>
      </c>
      <c r="M1027" t="str">
        <f t="shared" si="24"/>
        <v/>
      </c>
    </row>
    <row r="1028" spans="1:14" x14ac:dyDescent="0.3">
      <c r="A1028" s="1">
        <v>46068.884085648147</v>
      </c>
      <c r="B1028">
        <v>384177441</v>
      </c>
      <c r="C1028" t="s">
        <v>21</v>
      </c>
      <c r="D1028" t="s">
        <v>15</v>
      </c>
      <c r="E1028" s="2">
        <v>3500</v>
      </c>
      <c r="F1028" s="2">
        <v>3500</v>
      </c>
      <c r="G1028" s="2">
        <v>2450</v>
      </c>
      <c r="I1028" t="s">
        <v>22</v>
      </c>
      <c r="J1028" t="s">
        <v>23</v>
      </c>
      <c r="K1028" t="s">
        <v>18</v>
      </c>
      <c r="L1028" t="str">
        <f>T("9791175309821")</f>
        <v>9791175309821</v>
      </c>
      <c r="M1028" t="str">
        <f t="shared" si="24"/>
        <v/>
      </c>
      <c r="N1028">
        <v>958592</v>
      </c>
    </row>
    <row r="1029" spans="1:14" x14ac:dyDescent="0.3">
      <c r="A1029" s="1">
        <v>46068.895358796297</v>
      </c>
      <c r="B1029">
        <v>79142130</v>
      </c>
      <c r="C1029" t="s">
        <v>446</v>
      </c>
      <c r="D1029" t="s">
        <v>15</v>
      </c>
      <c r="E1029">
        <v>0</v>
      </c>
      <c r="F1029">
        <v>0</v>
      </c>
      <c r="G1029">
        <v>0</v>
      </c>
      <c r="I1029" t="s">
        <v>447</v>
      </c>
      <c r="J1029" t="s">
        <v>20</v>
      </c>
      <c r="K1029" t="s">
        <v>18</v>
      </c>
      <c r="L1029" t="str">
        <f>T("9791133107346")</f>
        <v>9791133107346</v>
      </c>
      <c r="M1029" t="str">
        <f t="shared" si="24"/>
        <v/>
      </c>
      <c r="N1029">
        <v>332957</v>
      </c>
    </row>
    <row r="1030" spans="1:14" x14ac:dyDescent="0.3">
      <c r="A1030" s="1">
        <v>46068.896087962959</v>
      </c>
      <c r="B1030">
        <v>99084219</v>
      </c>
      <c r="C1030" t="s">
        <v>448</v>
      </c>
      <c r="D1030" t="s">
        <v>15</v>
      </c>
      <c r="E1030">
        <v>0</v>
      </c>
      <c r="F1030">
        <v>0</v>
      </c>
      <c r="G1030">
        <v>0</v>
      </c>
      <c r="I1030" t="s">
        <v>449</v>
      </c>
      <c r="J1030" t="s">
        <v>20</v>
      </c>
      <c r="K1030" t="s">
        <v>18</v>
      </c>
      <c r="L1030" t="str">
        <f>T("9791133144044")</f>
        <v>9791133144044</v>
      </c>
      <c r="M1030" t="str">
        <f t="shared" si="24"/>
        <v/>
      </c>
      <c r="N1030">
        <v>397876</v>
      </c>
    </row>
    <row r="1031" spans="1:14" x14ac:dyDescent="0.3">
      <c r="A1031" s="1">
        <v>46068.897152777776</v>
      </c>
      <c r="B1031">
        <v>171840399</v>
      </c>
      <c r="C1031" t="s">
        <v>450</v>
      </c>
      <c r="D1031" t="s">
        <v>15</v>
      </c>
      <c r="E1031">
        <v>0</v>
      </c>
      <c r="F1031">
        <v>0</v>
      </c>
      <c r="G1031">
        <v>0</v>
      </c>
      <c r="I1031" t="s">
        <v>451</v>
      </c>
      <c r="J1031" t="s">
        <v>49</v>
      </c>
      <c r="K1031" t="s">
        <v>18</v>
      </c>
      <c r="L1031" t="str">
        <f>T("9791133183036")</f>
        <v>9791133183036</v>
      </c>
      <c r="M1031" t="str">
        <f t="shared" si="24"/>
        <v/>
      </c>
      <c r="N1031">
        <v>683373</v>
      </c>
    </row>
    <row r="1032" spans="1:14" x14ac:dyDescent="0.3">
      <c r="A1032" s="1">
        <v>46068.899548611109</v>
      </c>
      <c r="B1032">
        <v>75985840</v>
      </c>
      <c r="C1032" t="s">
        <v>452</v>
      </c>
      <c r="D1032" t="s">
        <v>15</v>
      </c>
      <c r="E1032">
        <v>0</v>
      </c>
      <c r="F1032">
        <v>0</v>
      </c>
      <c r="G1032">
        <v>0</v>
      </c>
      <c r="I1032" t="s">
        <v>453</v>
      </c>
      <c r="J1032" t="s">
        <v>49</v>
      </c>
      <c r="K1032" t="s">
        <v>18</v>
      </c>
      <c r="L1032" t="str">
        <f>T("9791133106820")</f>
        <v>9791133106820</v>
      </c>
      <c r="M1032" t="str">
        <f t="shared" si="24"/>
        <v/>
      </c>
      <c r="N1032">
        <v>330164</v>
      </c>
    </row>
    <row r="1033" spans="1:14" x14ac:dyDescent="0.3">
      <c r="A1033" s="1">
        <v>46068.900277777779</v>
      </c>
      <c r="B1033">
        <v>357906225</v>
      </c>
      <c r="C1033" t="s">
        <v>454</v>
      </c>
      <c r="D1033" t="s">
        <v>15</v>
      </c>
      <c r="E1033" s="2">
        <v>3200</v>
      </c>
      <c r="F1033" s="2">
        <v>3200</v>
      </c>
      <c r="G1033" s="2">
        <v>2240</v>
      </c>
      <c r="I1033" t="s">
        <v>61</v>
      </c>
      <c r="J1033" t="s">
        <v>59</v>
      </c>
      <c r="K1033" t="s">
        <v>18</v>
      </c>
      <c r="L1033" t="str">
        <f>T("9791136971715")</f>
        <v>9791136971715</v>
      </c>
      <c r="M1033" t="str">
        <f t="shared" si="24"/>
        <v/>
      </c>
      <c r="N1033">
        <v>924668</v>
      </c>
    </row>
    <row r="1034" spans="1:14" x14ac:dyDescent="0.3">
      <c r="A1034" s="1">
        <v>46068.927847222221</v>
      </c>
      <c r="B1034">
        <v>307255510</v>
      </c>
      <c r="C1034" t="s">
        <v>290</v>
      </c>
      <c r="D1034" t="s">
        <v>15</v>
      </c>
      <c r="E1034" s="2">
        <v>24600</v>
      </c>
      <c r="F1034" s="2">
        <v>24600</v>
      </c>
      <c r="G1034" s="2">
        <v>17220</v>
      </c>
      <c r="I1034" t="s">
        <v>291</v>
      </c>
      <c r="J1034" t="s">
        <v>23</v>
      </c>
      <c r="K1034" t="s">
        <v>18</v>
      </c>
      <c r="L1034" t="str">
        <f>T("9791136926418")</f>
        <v>9791136926418</v>
      </c>
      <c r="M1034" t="str">
        <f t="shared" si="24"/>
        <v/>
      </c>
    </row>
    <row r="1035" spans="1:14" x14ac:dyDescent="0.3">
      <c r="A1035" s="1">
        <v>46068.930532407408</v>
      </c>
      <c r="B1035">
        <v>379386288</v>
      </c>
      <c r="C1035" t="s">
        <v>370</v>
      </c>
      <c r="D1035" t="s">
        <v>89</v>
      </c>
      <c r="E1035" s="2">
        <v>11280</v>
      </c>
      <c r="F1035" s="2">
        <v>11280</v>
      </c>
      <c r="G1035" s="2">
        <v>7896</v>
      </c>
      <c r="I1035" t="s">
        <v>102</v>
      </c>
      <c r="J1035" t="s">
        <v>23</v>
      </c>
      <c r="K1035" t="s">
        <v>18</v>
      </c>
      <c r="L1035" t="str">
        <f>T("9791175307438")</f>
        <v>9791175307438</v>
      </c>
      <c r="M1035" t="str">
        <f t="shared" si="24"/>
        <v/>
      </c>
    </row>
    <row r="1036" spans="1:14" x14ac:dyDescent="0.3">
      <c r="A1036" s="1">
        <v>46068.935127314813</v>
      </c>
      <c r="B1036">
        <v>379386288</v>
      </c>
      <c r="C1036" t="s">
        <v>370</v>
      </c>
      <c r="D1036" t="s">
        <v>89</v>
      </c>
      <c r="E1036" s="2">
        <v>11280</v>
      </c>
      <c r="F1036" s="2">
        <v>11280</v>
      </c>
      <c r="G1036" s="2">
        <v>7896</v>
      </c>
      <c r="I1036" t="s">
        <v>102</v>
      </c>
      <c r="J1036" t="s">
        <v>23</v>
      </c>
      <c r="K1036" t="s">
        <v>18</v>
      </c>
      <c r="L1036" t="str">
        <f>T("9791175307438")</f>
        <v>9791175307438</v>
      </c>
      <c r="M1036" t="str">
        <f t="shared" si="24"/>
        <v/>
      </c>
    </row>
    <row r="1037" spans="1:14" x14ac:dyDescent="0.3">
      <c r="A1037" s="1">
        <v>46068.942569444444</v>
      </c>
      <c r="B1037">
        <v>385831063</v>
      </c>
      <c r="C1037" t="s">
        <v>343</v>
      </c>
      <c r="D1037" t="s">
        <v>89</v>
      </c>
      <c r="E1037" s="2">
        <v>10800</v>
      </c>
      <c r="F1037" s="2">
        <v>10800</v>
      </c>
      <c r="G1037" s="2">
        <v>7560</v>
      </c>
      <c r="I1037" t="s">
        <v>344</v>
      </c>
      <c r="J1037" t="s">
        <v>23</v>
      </c>
      <c r="K1037" t="s">
        <v>18</v>
      </c>
      <c r="L1037" t="str">
        <f>T("9791175309456")</f>
        <v>9791175309456</v>
      </c>
      <c r="M1037" t="str">
        <f t="shared" si="24"/>
        <v/>
      </c>
    </row>
    <row r="1038" spans="1:14" x14ac:dyDescent="0.3">
      <c r="A1038" s="1">
        <v>46068.9452662037</v>
      </c>
      <c r="B1038">
        <v>347624994</v>
      </c>
      <c r="C1038" t="s">
        <v>455</v>
      </c>
      <c r="D1038" t="s">
        <v>15</v>
      </c>
      <c r="E1038" s="2">
        <v>3300</v>
      </c>
      <c r="F1038" s="2">
        <v>3300</v>
      </c>
      <c r="G1038" s="2">
        <v>2310</v>
      </c>
      <c r="I1038" t="s">
        <v>406</v>
      </c>
      <c r="J1038" t="s">
        <v>70</v>
      </c>
      <c r="K1038" t="s">
        <v>18</v>
      </c>
      <c r="L1038" t="str">
        <f>T("9791136998255")</f>
        <v>9791136998255</v>
      </c>
      <c r="M1038" t="str">
        <f t="shared" si="24"/>
        <v/>
      </c>
      <c r="N1038">
        <v>928325</v>
      </c>
    </row>
    <row r="1039" spans="1:14" x14ac:dyDescent="0.3">
      <c r="A1039" s="1">
        <v>46068.947071759256</v>
      </c>
      <c r="B1039">
        <v>335778578</v>
      </c>
      <c r="C1039" t="s">
        <v>125</v>
      </c>
      <c r="D1039" t="s">
        <v>15</v>
      </c>
      <c r="E1039" s="2">
        <v>3400</v>
      </c>
      <c r="F1039" s="2">
        <v>3400</v>
      </c>
      <c r="G1039" s="2">
        <v>2380</v>
      </c>
      <c r="I1039" t="s">
        <v>102</v>
      </c>
      <c r="J1039" t="s">
        <v>23</v>
      </c>
      <c r="K1039" t="s">
        <v>18</v>
      </c>
      <c r="L1039" t="str">
        <f>T("9791136958198")</f>
        <v>9791136958198</v>
      </c>
      <c r="M1039" t="str">
        <f t="shared" si="24"/>
        <v/>
      </c>
      <c r="N1039">
        <v>921583</v>
      </c>
    </row>
    <row r="1040" spans="1:14" x14ac:dyDescent="0.3">
      <c r="A1040" s="1">
        <v>46071.664479166669</v>
      </c>
      <c r="B1040">
        <v>335778578</v>
      </c>
      <c r="C1040" t="s">
        <v>125</v>
      </c>
      <c r="D1040" t="s">
        <v>15</v>
      </c>
      <c r="E1040" s="2">
        <v>-3400</v>
      </c>
      <c r="F1040" s="2">
        <v>-3400</v>
      </c>
      <c r="G1040" s="2">
        <v>-2380</v>
      </c>
      <c r="H1040" s="1">
        <v>46068.947071759256</v>
      </c>
      <c r="I1040" t="s">
        <v>102</v>
      </c>
      <c r="J1040" t="s">
        <v>23</v>
      </c>
      <c r="K1040" t="s">
        <v>18</v>
      </c>
      <c r="L1040" t="str">
        <f>T("9791136958198")</f>
        <v>9791136958198</v>
      </c>
      <c r="M1040" t="str">
        <f t="shared" si="24"/>
        <v/>
      </c>
      <c r="N1040">
        <v>921583</v>
      </c>
    </row>
    <row r="1041" spans="1:14" x14ac:dyDescent="0.3">
      <c r="A1041" s="1">
        <v>46068.948657407411</v>
      </c>
      <c r="B1041">
        <v>347624994</v>
      </c>
      <c r="C1041" t="s">
        <v>455</v>
      </c>
      <c r="D1041" t="s">
        <v>15</v>
      </c>
      <c r="E1041" s="2">
        <v>3300</v>
      </c>
      <c r="F1041" s="2">
        <v>3300</v>
      </c>
      <c r="G1041" s="2">
        <v>2310</v>
      </c>
      <c r="I1041" t="s">
        <v>406</v>
      </c>
      <c r="J1041" t="s">
        <v>70</v>
      </c>
      <c r="K1041" t="s">
        <v>18</v>
      </c>
      <c r="L1041" t="str">
        <f>T("9791136998255")</f>
        <v>9791136998255</v>
      </c>
      <c r="M1041" t="str">
        <f t="shared" si="24"/>
        <v/>
      </c>
      <c r="N1041">
        <v>928325</v>
      </c>
    </row>
    <row r="1042" spans="1:14" x14ac:dyDescent="0.3">
      <c r="A1042" s="1">
        <v>46068.950520833336</v>
      </c>
      <c r="B1042">
        <v>379386288</v>
      </c>
      <c r="C1042" t="s">
        <v>370</v>
      </c>
      <c r="D1042" t="s">
        <v>89</v>
      </c>
      <c r="E1042" s="2">
        <v>11280</v>
      </c>
      <c r="F1042" s="2">
        <v>11280</v>
      </c>
      <c r="G1042" s="2">
        <v>7896</v>
      </c>
      <c r="I1042" t="s">
        <v>102</v>
      </c>
      <c r="J1042" t="s">
        <v>23</v>
      </c>
      <c r="K1042" t="s">
        <v>18</v>
      </c>
      <c r="L1042" t="str">
        <f>T("9791175307438")</f>
        <v>9791175307438</v>
      </c>
      <c r="M1042" t="str">
        <f t="shared" si="24"/>
        <v/>
      </c>
    </row>
    <row r="1043" spans="1:14" x14ac:dyDescent="0.3">
      <c r="A1043" s="1">
        <v>46068.951423611114</v>
      </c>
      <c r="B1043">
        <v>379386288</v>
      </c>
      <c r="C1043" t="s">
        <v>370</v>
      </c>
      <c r="D1043" t="s">
        <v>89</v>
      </c>
      <c r="E1043" s="2">
        <v>11280</v>
      </c>
      <c r="F1043" s="2">
        <v>11280</v>
      </c>
      <c r="G1043" s="2">
        <v>7896</v>
      </c>
      <c r="I1043" t="s">
        <v>102</v>
      </c>
      <c r="J1043" t="s">
        <v>23</v>
      </c>
      <c r="K1043" t="s">
        <v>18</v>
      </c>
      <c r="L1043" t="str">
        <f>T("9791175307438")</f>
        <v>9791175307438</v>
      </c>
      <c r="M1043" t="str">
        <f t="shared" si="24"/>
        <v/>
      </c>
    </row>
    <row r="1044" spans="1:14" x14ac:dyDescent="0.3">
      <c r="A1044" s="1">
        <v>46068.954467592594</v>
      </c>
      <c r="B1044">
        <v>385831063</v>
      </c>
      <c r="C1044" t="s">
        <v>343</v>
      </c>
      <c r="D1044" t="s">
        <v>89</v>
      </c>
      <c r="E1044" s="2">
        <v>10800</v>
      </c>
      <c r="F1044" s="2">
        <v>10800</v>
      </c>
      <c r="G1044" s="2">
        <v>7560</v>
      </c>
      <c r="I1044" t="s">
        <v>344</v>
      </c>
      <c r="J1044" t="s">
        <v>23</v>
      </c>
      <c r="K1044" t="s">
        <v>18</v>
      </c>
      <c r="L1044" t="str">
        <f>T("9791175309456")</f>
        <v>9791175309456</v>
      </c>
      <c r="M1044" t="str">
        <f t="shared" si="24"/>
        <v/>
      </c>
    </row>
    <row r="1045" spans="1:14" x14ac:dyDescent="0.3">
      <c r="A1045" s="1">
        <v>46068.954479166663</v>
      </c>
      <c r="B1045">
        <v>385831063</v>
      </c>
      <c r="C1045" t="s">
        <v>343</v>
      </c>
      <c r="D1045" t="s">
        <v>89</v>
      </c>
      <c r="E1045" s="2">
        <v>10800</v>
      </c>
      <c r="F1045" s="2">
        <v>10800</v>
      </c>
      <c r="G1045" s="2">
        <v>7560</v>
      </c>
      <c r="I1045" t="s">
        <v>344</v>
      </c>
      <c r="J1045" t="s">
        <v>23</v>
      </c>
      <c r="K1045" t="s">
        <v>18</v>
      </c>
      <c r="L1045" t="str">
        <f>T("9791175309456")</f>
        <v>9791175309456</v>
      </c>
      <c r="M1045" t="str">
        <f t="shared" si="24"/>
        <v/>
      </c>
    </row>
    <row r="1046" spans="1:14" x14ac:dyDescent="0.3">
      <c r="A1046" s="1">
        <v>46068.957395833335</v>
      </c>
      <c r="B1046">
        <v>374334966</v>
      </c>
      <c r="C1046" t="s">
        <v>391</v>
      </c>
      <c r="D1046" t="s">
        <v>89</v>
      </c>
      <c r="E1046" s="2">
        <v>5850</v>
      </c>
      <c r="F1046" s="2">
        <v>5850</v>
      </c>
      <c r="G1046" s="2">
        <v>4095</v>
      </c>
      <c r="I1046" t="s">
        <v>392</v>
      </c>
      <c r="J1046" t="s">
        <v>23</v>
      </c>
      <c r="K1046" t="s">
        <v>18</v>
      </c>
      <c r="L1046" t="str">
        <f>T("9791175304932")</f>
        <v>9791175304932</v>
      </c>
      <c r="M1046" t="str">
        <f t="shared" si="24"/>
        <v/>
      </c>
    </row>
    <row r="1047" spans="1:14" x14ac:dyDescent="0.3">
      <c r="A1047" s="1">
        <v>46068.960682870369</v>
      </c>
      <c r="B1047">
        <v>373442629</v>
      </c>
      <c r="C1047" t="s">
        <v>104</v>
      </c>
      <c r="D1047" t="s">
        <v>15</v>
      </c>
      <c r="E1047">
        <v>0</v>
      </c>
      <c r="F1047">
        <v>0</v>
      </c>
      <c r="G1047">
        <v>0</v>
      </c>
      <c r="I1047" t="s">
        <v>58</v>
      </c>
      <c r="J1047" t="s">
        <v>59</v>
      </c>
      <c r="K1047" t="s">
        <v>18</v>
      </c>
      <c r="L1047" t="str">
        <f>T("9791173784316")</f>
        <v>9791173784316</v>
      </c>
      <c r="M1047" t="str">
        <f t="shared" si="24"/>
        <v/>
      </c>
      <c r="N1047">
        <v>948951</v>
      </c>
    </row>
    <row r="1048" spans="1:14" x14ac:dyDescent="0.3">
      <c r="A1048" s="1">
        <v>46068.964502314811</v>
      </c>
      <c r="B1048">
        <v>385347659</v>
      </c>
      <c r="C1048" t="s">
        <v>86</v>
      </c>
      <c r="D1048" t="s">
        <v>15</v>
      </c>
      <c r="E1048" s="2">
        <v>1000</v>
      </c>
      <c r="F1048">
        <v>900</v>
      </c>
      <c r="G1048">
        <v>630</v>
      </c>
      <c r="I1048" t="s">
        <v>87</v>
      </c>
      <c r="J1048" t="s">
        <v>23</v>
      </c>
      <c r="K1048" t="s">
        <v>18</v>
      </c>
      <c r="L1048" t="str">
        <f>T("9791175308510")</f>
        <v>9791175308510</v>
      </c>
      <c r="M1048" t="str">
        <f t="shared" si="24"/>
        <v/>
      </c>
      <c r="N1048">
        <v>957881</v>
      </c>
    </row>
    <row r="1049" spans="1:14" x14ac:dyDescent="0.3">
      <c r="A1049" s="1">
        <v>46068.968078703707</v>
      </c>
      <c r="B1049">
        <v>374949012</v>
      </c>
      <c r="C1049" t="s">
        <v>250</v>
      </c>
      <c r="D1049" t="s">
        <v>15</v>
      </c>
      <c r="E1049" s="2">
        <v>2500</v>
      </c>
      <c r="F1049" s="2">
        <v>2500</v>
      </c>
      <c r="G1049" s="2">
        <v>1750</v>
      </c>
      <c r="I1049" t="s">
        <v>251</v>
      </c>
      <c r="J1049" t="s">
        <v>23</v>
      </c>
      <c r="K1049" t="s">
        <v>18</v>
      </c>
      <c r="L1049" t="str">
        <f>T("9791175305045")</f>
        <v>9791175305045</v>
      </c>
      <c r="M1049" t="str">
        <f t="shared" si="24"/>
        <v/>
      </c>
      <c r="N1049">
        <v>952375</v>
      </c>
    </row>
    <row r="1050" spans="1:14" x14ac:dyDescent="0.3">
      <c r="A1050" s="1">
        <v>46068.968680555554</v>
      </c>
      <c r="B1050">
        <v>385347659</v>
      </c>
      <c r="C1050" t="s">
        <v>86</v>
      </c>
      <c r="D1050" t="s">
        <v>15</v>
      </c>
      <c r="E1050" s="2">
        <v>1000</v>
      </c>
      <c r="F1050">
        <v>900</v>
      </c>
      <c r="G1050">
        <v>630</v>
      </c>
      <c r="I1050" t="s">
        <v>87</v>
      </c>
      <c r="J1050" t="s">
        <v>23</v>
      </c>
      <c r="K1050" t="s">
        <v>18</v>
      </c>
      <c r="L1050" t="str">
        <f>T("9791175308510")</f>
        <v>9791175308510</v>
      </c>
      <c r="M1050" t="str">
        <f t="shared" si="24"/>
        <v/>
      </c>
      <c r="N1050">
        <v>957881</v>
      </c>
    </row>
    <row r="1051" spans="1:14" x14ac:dyDescent="0.3">
      <c r="A1051" s="1">
        <v>46068.974791666667</v>
      </c>
      <c r="B1051">
        <v>385830531</v>
      </c>
      <c r="C1051" t="s">
        <v>456</v>
      </c>
      <c r="D1051" t="s">
        <v>15</v>
      </c>
      <c r="E1051" s="2">
        <v>3000</v>
      </c>
      <c r="F1051" s="2">
        <v>2700</v>
      </c>
      <c r="G1051" s="2">
        <v>1890</v>
      </c>
      <c r="I1051" t="s">
        <v>344</v>
      </c>
      <c r="J1051" t="s">
        <v>23</v>
      </c>
      <c r="K1051" t="s">
        <v>18</v>
      </c>
      <c r="L1051" t="str">
        <f>T("9791175309463")</f>
        <v>9791175309463</v>
      </c>
      <c r="M1051" t="str">
        <f t="shared" si="24"/>
        <v/>
      </c>
      <c r="N1051">
        <v>959913</v>
      </c>
    </row>
    <row r="1052" spans="1:14" x14ac:dyDescent="0.3">
      <c r="A1052" s="1">
        <v>46069.380543981482</v>
      </c>
      <c r="B1052">
        <v>379386288</v>
      </c>
      <c r="C1052" t="s">
        <v>370</v>
      </c>
      <c r="D1052" t="s">
        <v>89</v>
      </c>
      <c r="E1052" s="2">
        <v>-11280</v>
      </c>
      <c r="F1052" s="2">
        <v>-11280</v>
      </c>
      <c r="G1052" s="2">
        <v>-7896</v>
      </c>
      <c r="H1052" s="1">
        <v>46068.98064814815</v>
      </c>
      <c r="I1052" t="s">
        <v>102</v>
      </c>
      <c r="J1052" t="s">
        <v>23</v>
      </c>
      <c r="K1052" t="s">
        <v>18</v>
      </c>
      <c r="L1052" t="str">
        <f>T("9791175307438")</f>
        <v>9791175307438</v>
      </c>
      <c r="M1052" t="str">
        <f t="shared" ref="M1052:M1083" si="25">T("")</f>
        <v/>
      </c>
    </row>
    <row r="1053" spans="1:14" x14ac:dyDescent="0.3">
      <c r="A1053" s="1">
        <v>46068.98064814815</v>
      </c>
      <c r="B1053">
        <v>379386288</v>
      </c>
      <c r="C1053" t="s">
        <v>370</v>
      </c>
      <c r="D1053" t="s">
        <v>89</v>
      </c>
      <c r="E1053" s="2">
        <v>11280</v>
      </c>
      <c r="F1053" s="2">
        <v>11280</v>
      </c>
      <c r="G1053" s="2">
        <v>7896</v>
      </c>
      <c r="I1053" t="s">
        <v>102</v>
      </c>
      <c r="J1053" t="s">
        <v>23</v>
      </c>
      <c r="K1053" t="s">
        <v>18</v>
      </c>
      <c r="L1053" t="str">
        <f>T("9791175307438")</f>
        <v>9791175307438</v>
      </c>
      <c r="M1053" t="str">
        <f t="shared" si="25"/>
        <v/>
      </c>
    </row>
    <row r="1054" spans="1:14" x14ac:dyDescent="0.3">
      <c r="A1054" s="1">
        <v>46068.982523148145</v>
      </c>
      <c r="B1054">
        <v>385348415</v>
      </c>
      <c r="C1054" t="s">
        <v>88</v>
      </c>
      <c r="D1054" t="s">
        <v>89</v>
      </c>
      <c r="E1054" s="2">
        <v>8640</v>
      </c>
      <c r="F1054" s="2">
        <v>8640</v>
      </c>
      <c r="G1054" s="2">
        <v>6048</v>
      </c>
      <c r="I1054" t="s">
        <v>90</v>
      </c>
      <c r="J1054" t="s">
        <v>23</v>
      </c>
      <c r="K1054" t="s">
        <v>18</v>
      </c>
      <c r="L1054" t="str">
        <f>T("9791175308350")</f>
        <v>9791175308350</v>
      </c>
      <c r="M1054" t="str">
        <f t="shared" si="25"/>
        <v/>
      </c>
    </row>
    <row r="1055" spans="1:14" x14ac:dyDescent="0.3">
      <c r="A1055" s="1">
        <v>46068.983935185184</v>
      </c>
      <c r="B1055">
        <v>321812002</v>
      </c>
      <c r="C1055" t="s">
        <v>41</v>
      </c>
      <c r="D1055" t="s">
        <v>15</v>
      </c>
      <c r="E1055" s="2">
        <v>3700</v>
      </c>
      <c r="F1055" s="2">
        <v>3700</v>
      </c>
      <c r="G1055" s="2">
        <v>2590</v>
      </c>
      <c r="I1055" t="s">
        <v>36</v>
      </c>
      <c r="J1055" t="s">
        <v>37</v>
      </c>
      <c r="K1055" t="s">
        <v>18</v>
      </c>
      <c r="L1055" t="str">
        <f>T("9791136938091")</f>
        <v>9791136938091</v>
      </c>
      <c r="M1055" t="str">
        <f t="shared" si="25"/>
        <v/>
      </c>
      <c r="N1055">
        <v>911114</v>
      </c>
    </row>
    <row r="1056" spans="1:14" x14ac:dyDescent="0.3">
      <c r="A1056" s="1">
        <v>46068.990937499999</v>
      </c>
      <c r="B1056">
        <v>367023539</v>
      </c>
      <c r="C1056" t="s">
        <v>342</v>
      </c>
      <c r="D1056" t="s">
        <v>15</v>
      </c>
      <c r="E1056" s="2">
        <v>1300</v>
      </c>
      <c r="F1056" s="2">
        <v>1300</v>
      </c>
      <c r="G1056">
        <v>910</v>
      </c>
      <c r="I1056" t="s">
        <v>294</v>
      </c>
      <c r="J1056" t="s">
        <v>23</v>
      </c>
      <c r="K1056" t="s">
        <v>18</v>
      </c>
      <c r="L1056" t="str">
        <f>T("9791173785634")</f>
        <v>9791173785634</v>
      </c>
      <c r="M1056" t="str">
        <f t="shared" si="25"/>
        <v/>
      </c>
      <c r="N1056">
        <v>950711</v>
      </c>
    </row>
    <row r="1057" spans="1:14" x14ac:dyDescent="0.3">
      <c r="A1057" s="1">
        <v>46068.992835648147</v>
      </c>
      <c r="B1057">
        <v>266511272</v>
      </c>
      <c r="C1057" t="s">
        <v>429</v>
      </c>
      <c r="D1057" t="s">
        <v>15</v>
      </c>
      <c r="E1057" s="2">
        <v>4700</v>
      </c>
      <c r="F1057" s="2">
        <v>4700</v>
      </c>
      <c r="G1057" s="2">
        <v>3290</v>
      </c>
      <c r="I1057" t="s">
        <v>198</v>
      </c>
      <c r="J1057" t="s">
        <v>49</v>
      </c>
      <c r="K1057" t="s">
        <v>18</v>
      </c>
      <c r="L1057" t="str">
        <f>T("9791136910332")</f>
        <v>9791136910332</v>
      </c>
      <c r="M1057" t="str">
        <f t="shared" si="25"/>
        <v/>
      </c>
      <c r="N1057">
        <v>824997</v>
      </c>
    </row>
    <row r="1058" spans="1:14" x14ac:dyDescent="0.3">
      <c r="A1058" s="1">
        <v>46068.992835648147</v>
      </c>
      <c r="B1058">
        <v>266511276</v>
      </c>
      <c r="C1058" t="s">
        <v>430</v>
      </c>
      <c r="D1058" t="s">
        <v>15</v>
      </c>
      <c r="E1058" s="2">
        <v>4700</v>
      </c>
      <c r="F1058" s="2">
        <v>4700</v>
      </c>
      <c r="G1058" s="2">
        <v>3290</v>
      </c>
      <c r="I1058" t="s">
        <v>198</v>
      </c>
      <c r="J1058" t="s">
        <v>49</v>
      </c>
      <c r="K1058" t="s">
        <v>18</v>
      </c>
      <c r="L1058" t="str">
        <f>T("9791136910325")</f>
        <v>9791136910325</v>
      </c>
      <c r="M1058" t="str">
        <f t="shared" si="25"/>
        <v/>
      </c>
      <c r="N1058">
        <v>824998</v>
      </c>
    </row>
    <row r="1059" spans="1:14" x14ac:dyDescent="0.3">
      <c r="A1059" s="1">
        <v>46068.992835648147</v>
      </c>
      <c r="B1059">
        <v>266511269</v>
      </c>
      <c r="C1059" t="s">
        <v>457</v>
      </c>
      <c r="D1059" t="s">
        <v>15</v>
      </c>
      <c r="E1059" s="2">
        <v>4700</v>
      </c>
      <c r="F1059" s="2">
        <v>4700</v>
      </c>
      <c r="G1059" s="2">
        <v>3290</v>
      </c>
      <c r="I1059" t="s">
        <v>198</v>
      </c>
      <c r="J1059" t="s">
        <v>49</v>
      </c>
      <c r="K1059" t="s">
        <v>18</v>
      </c>
      <c r="L1059" t="str">
        <f>T("9791136910349")</f>
        <v>9791136910349</v>
      </c>
      <c r="M1059" t="str">
        <f t="shared" si="25"/>
        <v/>
      </c>
      <c r="N1059">
        <v>824996</v>
      </c>
    </row>
    <row r="1060" spans="1:14" x14ac:dyDescent="0.3">
      <c r="A1060" s="1">
        <v>46068.994525462964</v>
      </c>
      <c r="B1060">
        <v>385831063</v>
      </c>
      <c r="C1060" t="s">
        <v>343</v>
      </c>
      <c r="D1060" t="s">
        <v>89</v>
      </c>
      <c r="E1060" s="2">
        <v>10800</v>
      </c>
      <c r="F1060" s="2">
        <v>10800</v>
      </c>
      <c r="G1060" s="2">
        <v>7560</v>
      </c>
      <c r="I1060" t="s">
        <v>344</v>
      </c>
      <c r="J1060" t="s">
        <v>23</v>
      </c>
      <c r="K1060" t="s">
        <v>18</v>
      </c>
      <c r="L1060" t="str">
        <f>T("9791175309456")</f>
        <v>9791175309456</v>
      </c>
      <c r="M1060" t="str">
        <f t="shared" si="25"/>
        <v/>
      </c>
    </row>
    <row r="1061" spans="1:14" x14ac:dyDescent="0.3">
      <c r="A1061" s="1">
        <v>46069.004155092596</v>
      </c>
      <c r="B1061">
        <v>277936651</v>
      </c>
      <c r="C1061" t="s">
        <v>458</v>
      </c>
      <c r="D1061" t="s">
        <v>15</v>
      </c>
      <c r="E1061" s="2">
        <v>20500</v>
      </c>
      <c r="F1061" s="2">
        <v>20500</v>
      </c>
      <c r="G1061" s="2">
        <v>14350</v>
      </c>
      <c r="I1061" t="s">
        <v>198</v>
      </c>
      <c r="J1061" t="s">
        <v>49</v>
      </c>
      <c r="K1061" t="s">
        <v>18</v>
      </c>
      <c r="L1061" t="str">
        <f>T("9791136917843")</f>
        <v>9791136917843</v>
      </c>
      <c r="M1061" t="str">
        <f t="shared" si="25"/>
        <v/>
      </c>
    </row>
    <row r="1062" spans="1:14" x14ac:dyDescent="0.3">
      <c r="A1062" s="1">
        <v>46069.008842592593</v>
      </c>
      <c r="B1062">
        <v>277935100</v>
      </c>
      <c r="C1062" t="s">
        <v>459</v>
      </c>
      <c r="D1062" t="s">
        <v>15</v>
      </c>
      <c r="E1062" s="2">
        <v>4100</v>
      </c>
      <c r="F1062" s="2">
        <v>4100</v>
      </c>
      <c r="G1062" s="2">
        <v>2870</v>
      </c>
      <c r="I1062" t="s">
        <v>198</v>
      </c>
      <c r="J1062" t="s">
        <v>49</v>
      </c>
      <c r="K1062" t="s">
        <v>18</v>
      </c>
      <c r="L1062" t="str">
        <f>T("9791136917850")</f>
        <v>9791136917850</v>
      </c>
      <c r="M1062" t="str">
        <f t="shared" si="25"/>
        <v/>
      </c>
      <c r="N1062">
        <v>856975</v>
      </c>
    </row>
    <row r="1063" spans="1:14" x14ac:dyDescent="0.3">
      <c r="A1063" s="1">
        <v>46069.010937500003</v>
      </c>
      <c r="B1063">
        <v>365656363</v>
      </c>
      <c r="C1063" t="s">
        <v>460</v>
      </c>
      <c r="D1063" t="s">
        <v>15</v>
      </c>
      <c r="E1063" s="2">
        <v>3600</v>
      </c>
      <c r="F1063" s="2">
        <v>3600</v>
      </c>
      <c r="G1063" s="2">
        <v>2520</v>
      </c>
      <c r="I1063" t="s">
        <v>240</v>
      </c>
      <c r="J1063" t="s">
        <v>49</v>
      </c>
      <c r="K1063" t="s">
        <v>18</v>
      </c>
      <c r="L1063" t="str">
        <f>T("9791173783647")</f>
        <v>9791173783647</v>
      </c>
      <c r="M1063" t="str">
        <f t="shared" si="25"/>
        <v/>
      </c>
      <c r="N1063">
        <v>948519</v>
      </c>
    </row>
    <row r="1064" spans="1:14" x14ac:dyDescent="0.3">
      <c r="A1064" s="1">
        <v>46069.053912037038</v>
      </c>
      <c r="B1064">
        <v>346154285</v>
      </c>
      <c r="C1064" t="s">
        <v>191</v>
      </c>
      <c r="D1064" t="s">
        <v>15</v>
      </c>
      <c r="E1064" s="2">
        <v>3300</v>
      </c>
      <c r="F1064" s="2">
        <v>3300</v>
      </c>
      <c r="G1064" s="2">
        <v>2310</v>
      </c>
      <c r="I1064" t="s">
        <v>32</v>
      </c>
      <c r="J1064" t="s">
        <v>23</v>
      </c>
      <c r="K1064" t="s">
        <v>18</v>
      </c>
      <c r="L1064" t="str">
        <f>T("9791136927248")</f>
        <v>9791136927248</v>
      </c>
      <c r="M1064" t="str">
        <f t="shared" si="25"/>
        <v/>
      </c>
      <c r="N1064">
        <v>928445</v>
      </c>
    </row>
    <row r="1065" spans="1:14" x14ac:dyDescent="0.3">
      <c r="A1065" s="1">
        <v>46069.079363425924</v>
      </c>
      <c r="B1065">
        <v>346154638</v>
      </c>
      <c r="C1065" t="s">
        <v>43</v>
      </c>
      <c r="D1065" t="s">
        <v>15</v>
      </c>
      <c r="E1065" s="2">
        <v>3300</v>
      </c>
      <c r="F1065" s="2">
        <v>3300</v>
      </c>
      <c r="G1065" s="2">
        <v>2310</v>
      </c>
      <c r="I1065" t="s">
        <v>32</v>
      </c>
      <c r="J1065" t="s">
        <v>23</v>
      </c>
      <c r="K1065" t="s">
        <v>18</v>
      </c>
      <c r="L1065" t="str">
        <f>T("9791136927255")</f>
        <v>9791136927255</v>
      </c>
      <c r="M1065" t="str">
        <f t="shared" si="25"/>
        <v/>
      </c>
      <c r="N1065">
        <v>928444</v>
      </c>
    </row>
    <row r="1066" spans="1:14" x14ac:dyDescent="0.3">
      <c r="A1066" s="1">
        <v>46069.114803240744</v>
      </c>
      <c r="B1066">
        <v>346154719</v>
      </c>
      <c r="C1066" t="s">
        <v>44</v>
      </c>
      <c r="D1066" t="s">
        <v>15</v>
      </c>
      <c r="E1066" s="2">
        <v>3300</v>
      </c>
      <c r="F1066" s="2">
        <v>3300</v>
      </c>
      <c r="G1066" s="2">
        <v>2310</v>
      </c>
      <c r="I1066" t="s">
        <v>32</v>
      </c>
      <c r="J1066" t="s">
        <v>23</v>
      </c>
      <c r="K1066" t="s">
        <v>18</v>
      </c>
      <c r="L1066" t="str">
        <f>T("9791136927675")</f>
        <v>9791136927675</v>
      </c>
      <c r="M1066" t="str">
        <f t="shared" si="25"/>
        <v/>
      </c>
      <c r="N1066">
        <v>928443</v>
      </c>
    </row>
    <row r="1067" spans="1:14" x14ac:dyDescent="0.3">
      <c r="A1067" s="1">
        <v>46069.139826388891</v>
      </c>
      <c r="B1067">
        <v>346154276</v>
      </c>
      <c r="C1067" t="s">
        <v>46</v>
      </c>
      <c r="D1067" t="s">
        <v>15</v>
      </c>
      <c r="E1067" s="2">
        <v>3300</v>
      </c>
      <c r="F1067" s="2">
        <v>3300</v>
      </c>
      <c r="G1067" s="2">
        <v>2310</v>
      </c>
      <c r="I1067" t="s">
        <v>32</v>
      </c>
      <c r="J1067" t="s">
        <v>23</v>
      </c>
      <c r="K1067" t="s">
        <v>18</v>
      </c>
      <c r="L1067" t="str">
        <f>T("9791136940704")</f>
        <v>9791136940704</v>
      </c>
      <c r="M1067" t="str">
        <f t="shared" si="25"/>
        <v/>
      </c>
      <c r="N1067">
        <v>928442</v>
      </c>
    </row>
    <row r="1068" spans="1:14" x14ac:dyDescent="0.3">
      <c r="A1068" s="1">
        <v>46069.171400462961</v>
      </c>
      <c r="B1068">
        <v>346154245</v>
      </c>
      <c r="C1068" t="s">
        <v>45</v>
      </c>
      <c r="D1068" t="s">
        <v>15</v>
      </c>
      <c r="E1068" s="2">
        <v>3300</v>
      </c>
      <c r="F1068" s="2">
        <v>3300</v>
      </c>
      <c r="G1068" s="2">
        <v>2310</v>
      </c>
      <c r="I1068" t="s">
        <v>32</v>
      </c>
      <c r="J1068" t="s">
        <v>23</v>
      </c>
      <c r="K1068" t="s">
        <v>18</v>
      </c>
      <c r="L1068" t="str">
        <f>T("9791136940728")</f>
        <v>9791136940728</v>
      </c>
      <c r="M1068" t="str">
        <f t="shared" si="25"/>
        <v/>
      </c>
      <c r="N1068">
        <v>928441</v>
      </c>
    </row>
    <row r="1069" spans="1:14" x14ac:dyDescent="0.3">
      <c r="A1069" s="1">
        <v>46069.171400462961</v>
      </c>
      <c r="B1069">
        <v>366386880</v>
      </c>
      <c r="C1069" t="s">
        <v>190</v>
      </c>
      <c r="D1069" t="s">
        <v>15</v>
      </c>
      <c r="E1069" s="2">
        <v>1800</v>
      </c>
      <c r="F1069" s="2">
        <v>1800</v>
      </c>
      <c r="G1069" s="2">
        <v>1260</v>
      </c>
      <c r="I1069" t="s">
        <v>32</v>
      </c>
      <c r="J1069" t="s">
        <v>23</v>
      </c>
      <c r="K1069" t="s">
        <v>18</v>
      </c>
      <c r="L1069" t="str">
        <f>T("9791173786648")</f>
        <v>9791173786648</v>
      </c>
      <c r="M1069" t="str">
        <f t="shared" si="25"/>
        <v/>
      </c>
      <c r="N1069">
        <v>950837</v>
      </c>
    </row>
    <row r="1070" spans="1:14" x14ac:dyDescent="0.3">
      <c r="A1070" s="1">
        <v>46069.238564814812</v>
      </c>
      <c r="B1070">
        <v>365656697</v>
      </c>
      <c r="C1070" t="s">
        <v>239</v>
      </c>
      <c r="D1070" t="s">
        <v>89</v>
      </c>
      <c r="E1070" s="2">
        <v>5760</v>
      </c>
      <c r="F1070" s="2">
        <v>5760</v>
      </c>
      <c r="G1070" s="2">
        <v>4032</v>
      </c>
      <c r="I1070" t="s">
        <v>240</v>
      </c>
      <c r="J1070" t="s">
        <v>49</v>
      </c>
      <c r="K1070" t="s">
        <v>18</v>
      </c>
      <c r="L1070" t="str">
        <f>T("9791173783630")</f>
        <v>9791173783630</v>
      </c>
      <c r="M1070" t="str">
        <f t="shared" si="25"/>
        <v/>
      </c>
    </row>
    <row r="1071" spans="1:14" x14ac:dyDescent="0.3">
      <c r="A1071" s="1">
        <v>46069.308888888889</v>
      </c>
      <c r="B1071">
        <v>314773182</v>
      </c>
      <c r="C1071" t="s">
        <v>461</v>
      </c>
      <c r="D1071" t="s">
        <v>15</v>
      </c>
      <c r="E1071" s="2">
        <v>3200</v>
      </c>
      <c r="F1071" s="2">
        <v>3200</v>
      </c>
      <c r="G1071" s="2">
        <v>2240</v>
      </c>
      <c r="I1071" t="s">
        <v>85</v>
      </c>
      <c r="J1071" t="s">
        <v>59</v>
      </c>
      <c r="K1071" t="s">
        <v>18</v>
      </c>
      <c r="L1071" t="str">
        <f>T("9791136926821")</f>
        <v>9791136926821</v>
      </c>
      <c r="M1071" t="str">
        <f t="shared" si="25"/>
        <v/>
      </c>
      <c r="N1071">
        <v>887433</v>
      </c>
    </row>
    <row r="1072" spans="1:14" x14ac:dyDescent="0.3">
      <c r="A1072" s="1">
        <v>46069.58152777778</v>
      </c>
      <c r="B1072">
        <v>385636847</v>
      </c>
      <c r="C1072" t="s">
        <v>245</v>
      </c>
      <c r="D1072" t="s">
        <v>89</v>
      </c>
      <c r="E1072" s="2">
        <v>-9450</v>
      </c>
      <c r="F1072" s="2">
        <v>-9450</v>
      </c>
      <c r="G1072" s="2">
        <v>-6615</v>
      </c>
      <c r="H1072" s="1">
        <v>46069.371782407405</v>
      </c>
      <c r="I1072" t="s">
        <v>246</v>
      </c>
      <c r="J1072" t="s">
        <v>23</v>
      </c>
      <c r="K1072" t="s">
        <v>18</v>
      </c>
      <c r="L1072" t="str">
        <f>T("9791175309517")</f>
        <v>9791175309517</v>
      </c>
      <c r="M1072" t="str">
        <f t="shared" si="25"/>
        <v/>
      </c>
    </row>
    <row r="1073" spans="1:14" x14ac:dyDescent="0.3">
      <c r="A1073" s="1">
        <v>46069.371782407405</v>
      </c>
      <c r="B1073">
        <v>385636847</v>
      </c>
      <c r="C1073" t="s">
        <v>245</v>
      </c>
      <c r="D1073" t="s">
        <v>89</v>
      </c>
      <c r="E1073" s="2">
        <v>9450</v>
      </c>
      <c r="F1073" s="2">
        <v>9450</v>
      </c>
      <c r="G1073" s="2">
        <v>6615</v>
      </c>
      <c r="I1073" t="s">
        <v>246</v>
      </c>
      <c r="J1073" t="s">
        <v>23</v>
      </c>
      <c r="K1073" t="s">
        <v>18</v>
      </c>
      <c r="L1073" t="str">
        <f>T("9791175309517")</f>
        <v>9791175309517</v>
      </c>
      <c r="M1073" t="str">
        <f t="shared" si="25"/>
        <v/>
      </c>
    </row>
    <row r="1074" spans="1:14" x14ac:dyDescent="0.3">
      <c r="A1074" s="1">
        <v>46069.375520833331</v>
      </c>
      <c r="B1074">
        <v>321811944</v>
      </c>
      <c r="C1074" t="s">
        <v>39</v>
      </c>
      <c r="D1074" t="s">
        <v>15</v>
      </c>
      <c r="E1074" s="2">
        <v>3700</v>
      </c>
      <c r="F1074" s="2">
        <v>3700</v>
      </c>
      <c r="G1074" s="2">
        <v>2590</v>
      </c>
      <c r="I1074" t="s">
        <v>36</v>
      </c>
      <c r="J1074" t="s">
        <v>37</v>
      </c>
      <c r="K1074" t="s">
        <v>18</v>
      </c>
      <c r="L1074" t="str">
        <f>T("9791136938121")</f>
        <v>9791136938121</v>
      </c>
      <c r="M1074" t="str">
        <f t="shared" si="25"/>
        <v/>
      </c>
      <c r="N1074">
        <v>911112</v>
      </c>
    </row>
    <row r="1075" spans="1:14" x14ac:dyDescent="0.3">
      <c r="A1075" s="1">
        <v>46069.375520833331</v>
      </c>
      <c r="B1075">
        <v>338609849</v>
      </c>
      <c r="C1075" t="s">
        <v>42</v>
      </c>
      <c r="D1075" t="s">
        <v>15</v>
      </c>
      <c r="E1075" s="2">
        <v>2000</v>
      </c>
      <c r="F1075" s="2">
        <v>2000</v>
      </c>
      <c r="G1075" s="2">
        <v>1400</v>
      </c>
      <c r="I1075" t="s">
        <v>36</v>
      </c>
      <c r="J1075" t="s">
        <v>37</v>
      </c>
      <c r="K1075" t="s">
        <v>18</v>
      </c>
      <c r="L1075" t="str">
        <f>T("9791136958143")</f>
        <v>9791136958143</v>
      </c>
      <c r="M1075" t="str">
        <f t="shared" si="25"/>
        <v/>
      </c>
      <c r="N1075">
        <v>921601</v>
      </c>
    </row>
    <row r="1076" spans="1:14" x14ac:dyDescent="0.3">
      <c r="A1076" s="1">
        <v>46069.375520833331</v>
      </c>
      <c r="B1076">
        <v>369306537</v>
      </c>
      <c r="C1076" t="s">
        <v>35</v>
      </c>
      <c r="D1076" t="s">
        <v>15</v>
      </c>
      <c r="E1076" s="2">
        <v>1000</v>
      </c>
      <c r="F1076" s="2">
        <v>1000</v>
      </c>
      <c r="G1076">
        <v>700</v>
      </c>
      <c r="I1076" t="s">
        <v>36</v>
      </c>
      <c r="J1076" t="s">
        <v>37</v>
      </c>
      <c r="K1076" t="s">
        <v>18</v>
      </c>
      <c r="L1076" t="str">
        <f>T("9791173786402")</f>
        <v>9791173786402</v>
      </c>
      <c r="M1076" t="str">
        <f t="shared" si="25"/>
        <v/>
      </c>
      <c r="N1076">
        <v>950696</v>
      </c>
    </row>
    <row r="1077" spans="1:14" x14ac:dyDescent="0.3">
      <c r="A1077" s="1">
        <v>46069.375520833331</v>
      </c>
      <c r="B1077">
        <v>354572364</v>
      </c>
      <c r="C1077" t="s">
        <v>38</v>
      </c>
      <c r="D1077" t="s">
        <v>15</v>
      </c>
      <c r="E1077" s="2">
        <v>1000</v>
      </c>
      <c r="F1077" s="2">
        <v>1000</v>
      </c>
      <c r="G1077">
        <v>700</v>
      </c>
      <c r="I1077" t="s">
        <v>36</v>
      </c>
      <c r="J1077" t="s">
        <v>37</v>
      </c>
      <c r="K1077" t="s">
        <v>18</v>
      </c>
      <c r="L1077" t="str">
        <f>T("9791172923365")</f>
        <v>9791172923365</v>
      </c>
      <c r="M1077" t="str">
        <f t="shared" si="25"/>
        <v/>
      </c>
      <c r="N1077">
        <v>932802</v>
      </c>
    </row>
    <row r="1078" spans="1:14" x14ac:dyDescent="0.3">
      <c r="A1078" s="1">
        <v>46069.375520833331</v>
      </c>
      <c r="B1078">
        <v>365656697</v>
      </c>
      <c r="C1078" t="s">
        <v>239</v>
      </c>
      <c r="D1078" t="s">
        <v>89</v>
      </c>
      <c r="E1078" s="2">
        <v>5760</v>
      </c>
      <c r="F1078" s="2">
        <v>5760</v>
      </c>
      <c r="G1078" s="2">
        <v>4032</v>
      </c>
      <c r="I1078" t="s">
        <v>240</v>
      </c>
      <c r="J1078" t="s">
        <v>49</v>
      </c>
      <c r="K1078" t="s">
        <v>18</v>
      </c>
      <c r="L1078" t="str">
        <f>T("9791173783630")</f>
        <v>9791173783630</v>
      </c>
      <c r="M1078" t="str">
        <f t="shared" si="25"/>
        <v/>
      </c>
    </row>
    <row r="1079" spans="1:14" x14ac:dyDescent="0.3">
      <c r="A1079" s="1">
        <v>46069.382314814815</v>
      </c>
      <c r="B1079">
        <v>379386288</v>
      </c>
      <c r="C1079" t="s">
        <v>370</v>
      </c>
      <c r="D1079" t="s">
        <v>89</v>
      </c>
      <c r="E1079" s="2">
        <v>11280</v>
      </c>
      <c r="F1079" s="2">
        <v>11280</v>
      </c>
      <c r="G1079" s="2">
        <v>7896</v>
      </c>
      <c r="I1079" t="s">
        <v>102</v>
      </c>
      <c r="J1079" t="s">
        <v>23</v>
      </c>
      <c r="K1079" t="s">
        <v>18</v>
      </c>
      <c r="L1079" t="str">
        <f>T("9791175307438")</f>
        <v>9791175307438</v>
      </c>
      <c r="M1079" t="str">
        <f t="shared" si="25"/>
        <v/>
      </c>
    </row>
    <row r="1080" spans="1:14" x14ac:dyDescent="0.3">
      <c r="A1080" s="1">
        <v>46069.396874999999</v>
      </c>
      <c r="B1080">
        <v>385831063</v>
      </c>
      <c r="C1080" t="s">
        <v>343</v>
      </c>
      <c r="D1080" t="s">
        <v>89</v>
      </c>
      <c r="E1080" s="2">
        <v>10800</v>
      </c>
      <c r="F1080" s="2">
        <v>10800</v>
      </c>
      <c r="G1080" s="2">
        <v>7560</v>
      </c>
      <c r="I1080" t="s">
        <v>344</v>
      </c>
      <c r="J1080" t="s">
        <v>23</v>
      </c>
      <c r="K1080" t="s">
        <v>18</v>
      </c>
      <c r="L1080" t="str">
        <f>T("9791175309456")</f>
        <v>9791175309456</v>
      </c>
      <c r="M1080" t="str">
        <f t="shared" si="25"/>
        <v/>
      </c>
    </row>
    <row r="1081" spans="1:14" x14ac:dyDescent="0.3">
      <c r="A1081" s="1">
        <v>46069.435069444444</v>
      </c>
      <c r="B1081">
        <v>366170260</v>
      </c>
      <c r="C1081" t="s">
        <v>201</v>
      </c>
      <c r="D1081" t="s">
        <v>89</v>
      </c>
      <c r="E1081" s="2">
        <v>9240</v>
      </c>
      <c r="F1081" s="2">
        <v>9240</v>
      </c>
      <c r="G1081" s="2">
        <v>6468</v>
      </c>
      <c r="I1081" t="s">
        <v>34</v>
      </c>
      <c r="J1081" t="s">
        <v>23</v>
      </c>
      <c r="K1081" t="s">
        <v>18</v>
      </c>
      <c r="L1081" t="str">
        <f>T("9791173784552")</f>
        <v>9791173784552</v>
      </c>
      <c r="M1081" t="str">
        <f t="shared" si="25"/>
        <v/>
      </c>
    </row>
    <row r="1082" spans="1:14" x14ac:dyDescent="0.3">
      <c r="A1082" s="1">
        <v>46069.473587962966</v>
      </c>
      <c r="B1082">
        <v>379386288</v>
      </c>
      <c r="C1082" t="s">
        <v>370</v>
      </c>
      <c r="D1082" t="s">
        <v>89</v>
      </c>
      <c r="E1082" s="2">
        <v>11280</v>
      </c>
      <c r="F1082" s="2">
        <v>11280</v>
      </c>
      <c r="G1082" s="2">
        <v>7896</v>
      </c>
      <c r="I1082" t="s">
        <v>102</v>
      </c>
      <c r="J1082" t="s">
        <v>23</v>
      </c>
      <c r="K1082" t="s">
        <v>18</v>
      </c>
      <c r="L1082" t="str">
        <f>T("9791175307438")</f>
        <v>9791175307438</v>
      </c>
      <c r="M1082" t="str">
        <f t="shared" si="25"/>
        <v/>
      </c>
    </row>
    <row r="1083" spans="1:14" x14ac:dyDescent="0.3">
      <c r="A1083" s="1">
        <v>46069.477037037039</v>
      </c>
      <c r="B1083">
        <v>366643267</v>
      </c>
      <c r="C1083" t="s">
        <v>462</v>
      </c>
      <c r="D1083" t="s">
        <v>89</v>
      </c>
      <c r="E1083" s="2">
        <v>5100</v>
      </c>
      <c r="F1083" s="2">
        <v>5100</v>
      </c>
      <c r="G1083" s="2">
        <v>3570</v>
      </c>
      <c r="I1083" t="s">
        <v>251</v>
      </c>
      <c r="J1083" t="s">
        <v>23</v>
      </c>
      <c r="K1083" t="s">
        <v>18</v>
      </c>
      <c r="L1083" t="str">
        <f>T("9791173786747")</f>
        <v>9791173786747</v>
      </c>
      <c r="M1083" t="str">
        <f t="shared" si="25"/>
        <v/>
      </c>
    </row>
    <row r="1084" spans="1:14" x14ac:dyDescent="0.3">
      <c r="A1084" s="1">
        <v>46069.483425925922</v>
      </c>
      <c r="B1084">
        <v>379386288</v>
      </c>
      <c r="C1084" t="s">
        <v>370</v>
      </c>
      <c r="D1084" t="s">
        <v>89</v>
      </c>
      <c r="E1084" s="2">
        <v>11280</v>
      </c>
      <c r="F1084" s="2">
        <v>11280</v>
      </c>
      <c r="G1084" s="2">
        <v>7896</v>
      </c>
      <c r="I1084" t="s">
        <v>102</v>
      </c>
      <c r="J1084" t="s">
        <v>23</v>
      </c>
      <c r="K1084" t="s">
        <v>18</v>
      </c>
      <c r="L1084" t="str">
        <f>T("9791175307438")</f>
        <v>9791175307438</v>
      </c>
      <c r="M1084" t="str">
        <f t="shared" ref="M1084:M1098" si="26">T("")</f>
        <v/>
      </c>
    </row>
    <row r="1085" spans="1:14" x14ac:dyDescent="0.3">
      <c r="A1085" s="1">
        <v>46069.498530092591</v>
      </c>
      <c r="B1085">
        <v>298426982</v>
      </c>
      <c r="C1085" t="s">
        <v>363</v>
      </c>
      <c r="D1085" t="s">
        <v>15</v>
      </c>
      <c r="E1085" s="2">
        <v>13500</v>
      </c>
      <c r="F1085" s="2">
        <v>13500</v>
      </c>
      <c r="G1085" s="2">
        <v>9450</v>
      </c>
      <c r="I1085" t="s">
        <v>116</v>
      </c>
      <c r="J1085" t="s">
        <v>73</v>
      </c>
      <c r="K1085" t="s">
        <v>18</v>
      </c>
      <c r="L1085" t="str">
        <f>T("9791136919588")</f>
        <v>9791136919588</v>
      </c>
      <c r="M1085" t="str">
        <f t="shared" si="26"/>
        <v/>
      </c>
    </row>
    <row r="1086" spans="1:14" x14ac:dyDescent="0.3">
      <c r="A1086" s="1">
        <v>46069.563402777778</v>
      </c>
      <c r="B1086">
        <v>357906284</v>
      </c>
      <c r="C1086" t="s">
        <v>463</v>
      </c>
      <c r="D1086" t="s">
        <v>15</v>
      </c>
      <c r="E1086" s="2">
        <v>3200</v>
      </c>
      <c r="F1086" s="2">
        <v>3200</v>
      </c>
      <c r="G1086" s="2">
        <v>2240</v>
      </c>
      <c r="I1086" t="s">
        <v>61</v>
      </c>
      <c r="J1086" t="s">
        <v>59</v>
      </c>
      <c r="K1086" t="s">
        <v>18</v>
      </c>
      <c r="L1086" t="str">
        <f>T("9791136969132")</f>
        <v>9791136969132</v>
      </c>
      <c r="M1086" t="str">
        <f t="shared" si="26"/>
        <v/>
      </c>
      <c r="N1086">
        <v>924667</v>
      </c>
    </row>
    <row r="1087" spans="1:14" x14ac:dyDescent="0.3">
      <c r="A1087" s="1">
        <v>46079.381435185183</v>
      </c>
      <c r="B1087">
        <v>385636847</v>
      </c>
      <c r="C1087" t="s">
        <v>245</v>
      </c>
      <c r="D1087" t="s">
        <v>89</v>
      </c>
      <c r="E1087" s="2">
        <v>-9450</v>
      </c>
      <c r="F1087" s="2">
        <v>-9450</v>
      </c>
      <c r="G1087" s="2">
        <v>-6615</v>
      </c>
      <c r="H1087" s="1">
        <v>46069.582488425927</v>
      </c>
      <c r="I1087" t="s">
        <v>246</v>
      </c>
      <c r="J1087" t="s">
        <v>23</v>
      </c>
      <c r="K1087" t="s">
        <v>18</v>
      </c>
      <c r="L1087" t="str">
        <f>T("9791175309517")</f>
        <v>9791175309517</v>
      </c>
      <c r="M1087" t="str">
        <f t="shared" si="26"/>
        <v/>
      </c>
    </row>
    <row r="1088" spans="1:14" x14ac:dyDescent="0.3">
      <c r="A1088" s="1">
        <v>46069.582488425927</v>
      </c>
      <c r="B1088">
        <v>385636847</v>
      </c>
      <c r="C1088" t="s">
        <v>245</v>
      </c>
      <c r="D1088" t="s">
        <v>89</v>
      </c>
      <c r="E1088" s="2">
        <v>9450</v>
      </c>
      <c r="F1088" s="2">
        <v>9450</v>
      </c>
      <c r="G1088" s="2">
        <v>6615</v>
      </c>
      <c r="I1088" t="s">
        <v>246</v>
      </c>
      <c r="J1088" t="s">
        <v>23</v>
      </c>
      <c r="K1088" t="s">
        <v>18</v>
      </c>
      <c r="L1088" t="str">
        <f>T("9791175309517")</f>
        <v>9791175309517</v>
      </c>
      <c r="M1088" t="str">
        <f t="shared" si="26"/>
        <v/>
      </c>
    </row>
    <row r="1089" spans="1:14" x14ac:dyDescent="0.3">
      <c r="A1089" s="1">
        <v>46069.582719907405</v>
      </c>
      <c r="B1089">
        <v>287086192</v>
      </c>
      <c r="C1089" t="s">
        <v>464</v>
      </c>
      <c r="D1089" t="s">
        <v>15</v>
      </c>
      <c r="E1089" s="2">
        <v>3000</v>
      </c>
      <c r="F1089" s="2">
        <v>3000</v>
      </c>
      <c r="G1089" s="2">
        <v>2100</v>
      </c>
      <c r="I1089" t="s">
        <v>294</v>
      </c>
      <c r="J1089" t="s">
        <v>23</v>
      </c>
      <c r="K1089" t="s">
        <v>18</v>
      </c>
      <c r="L1089" t="str">
        <f>T("9791136920188")</f>
        <v>9791136920188</v>
      </c>
      <c r="M1089" t="str">
        <f t="shared" si="26"/>
        <v/>
      </c>
      <c r="N1089">
        <v>871322</v>
      </c>
    </row>
    <row r="1090" spans="1:14" x14ac:dyDescent="0.3">
      <c r="A1090" s="1">
        <v>46069.587442129632</v>
      </c>
      <c r="B1090">
        <v>316293083</v>
      </c>
      <c r="C1090" t="s">
        <v>465</v>
      </c>
      <c r="D1090" t="s">
        <v>89</v>
      </c>
      <c r="E1090" s="2">
        <v>8190</v>
      </c>
      <c r="F1090" s="2">
        <v>8190</v>
      </c>
      <c r="G1090" s="2">
        <v>5733</v>
      </c>
      <c r="I1090" t="s">
        <v>124</v>
      </c>
      <c r="J1090" t="s">
        <v>23</v>
      </c>
      <c r="K1090" t="s">
        <v>18</v>
      </c>
      <c r="L1090" t="str">
        <f>T("9791136936097")</f>
        <v>9791136936097</v>
      </c>
      <c r="M1090" t="str">
        <f t="shared" si="26"/>
        <v/>
      </c>
    </row>
    <row r="1091" spans="1:14" x14ac:dyDescent="0.3">
      <c r="A1091" s="1">
        <v>46069.590115740742</v>
      </c>
      <c r="B1091">
        <v>356258719</v>
      </c>
      <c r="C1091" t="s">
        <v>357</v>
      </c>
      <c r="D1091" t="s">
        <v>15</v>
      </c>
      <c r="E1091" s="2">
        <v>3000</v>
      </c>
      <c r="F1091" s="2">
        <v>3000</v>
      </c>
      <c r="G1091" s="2">
        <v>2100</v>
      </c>
      <c r="I1091" t="s">
        <v>356</v>
      </c>
      <c r="J1091" t="s">
        <v>20</v>
      </c>
      <c r="K1091" t="s">
        <v>18</v>
      </c>
      <c r="L1091" t="str">
        <f>T("9791172924348")</f>
        <v>9791172924348</v>
      </c>
      <c r="M1091" t="str">
        <f t="shared" si="26"/>
        <v/>
      </c>
      <c r="N1091">
        <v>935198</v>
      </c>
    </row>
    <row r="1092" spans="1:14" x14ac:dyDescent="0.3">
      <c r="A1092" s="1">
        <v>46069.613518518519</v>
      </c>
      <c r="B1092">
        <v>379386288</v>
      </c>
      <c r="C1092" t="s">
        <v>370</v>
      </c>
      <c r="D1092" t="s">
        <v>89</v>
      </c>
      <c r="E1092" s="2">
        <v>11280</v>
      </c>
      <c r="F1092" s="2">
        <v>11280</v>
      </c>
      <c r="G1092" s="2">
        <v>7896</v>
      </c>
      <c r="I1092" t="s">
        <v>102</v>
      </c>
      <c r="J1092" t="s">
        <v>23</v>
      </c>
      <c r="K1092" t="s">
        <v>18</v>
      </c>
      <c r="L1092" t="str">
        <f>T("9791175307438")</f>
        <v>9791175307438</v>
      </c>
      <c r="M1092" t="str">
        <f t="shared" si="26"/>
        <v/>
      </c>
    </row>
    <row r="1093" spans="1:14" x14ac:dyDescent="0.3">
      <c r="A1093" s="1">
        <v>46069.634791666664</v>
      </c>
      <c r="B1093">
        <v>34440530</v>
      </c>
      <c r="C1093" t="s">
        <v>466</v>
      </c>
      <c r="D1093" t="s">
        <v>15</v>
      </c>
      <c r="E1093">
        <v>0</v>
      </c>
      <c r="F1093">
        <v>0</v>
      </c>
      <c r="G1093">
        <v>0</v>
      </c>
      <c r="I1093" t="s">
        <v>27</v>
      </c>
      <c r="J1093" t="s">
        <v>79</v>
      </c>
      <c r="K1093" t="s">
        <v>18</v>
      </c>
      <c r="L1093" t="str">
        <f>T("9791133167227")</f>
        <v>9791133167227</v>
      </c>
      <c r="M1093" t="str">
        <f t="shared" si="26"/>
        <v/>
      </c>
      <c r="N1093">
        <v>151140</v>
      </c>
    </row>
    <row r="1094" spans="1:14" x14ac:dyDescent="0.3">
      <c r="A1094" s="1">
        <v>46069.647199074076</v>
      </c>
      <c r="B1094">
        <v>361617623</v>
      </c>
      <c r="C1094" t="s">
        <v>382</v>
      </c>
      <c r="D1094" t="s">
        <v>89</v>
      </c>
      <c r="E1094" s="2">
        <v>11760</v>
      </c>
      <c r="F1094" s="2">
        <v>11760</v>
      </c>
      <c r="G1094" s="2">
        <v>8232</v>
      </c>
      <c r="I1094" t="s">
        <v>383</v>
      </c>
      <c r="J1094" t="s">
        <v>23</v>
      </c>
      <c r="K1094" t="s">
        <v>18</v>
      </c>
      <c r="L1094" t="str">
        <f>T("9791173782435")</f>
        <v>9791173782435</v>
      </c>
      <c r="M1094" t="str">
        <f t="shared" si="26"/>
        <v/>
      </c>
    </row>
    <row r="1095" spans="1:14" x14ac:dyDescent="0.3">
      <c r="A1095" s="1">
        <v>46069.728888888887</v>
      </c>
      <c r="B1095">
        <v>374334966</v>
      </c>
      <c r="C1095" t="s">
        <v>391</v>
      </c>
      <c r="D1095" t="s">
        <v>89</v>
      </c>
      <c r="E1095" s="2">
        <v>5850</v>
      </c>
      <c r="F1095" s="2">
        <v>5850</v>
      </c>
      <c r="G1095" s="2">
        <v>4095</v>
      </c>
      <c r="I1095" t="s">
        <v>392</v>
      </c>
      <c r="J1095" t="s">
        <v>23</v>
      </c>
      <c r="K1095" t="s">
        <v>18</v>
      </c>
      <c r="L1095" t="str">
        <f>T("9791175304932")</f>
        <v>9791175304932</v>
      </c>
      <c r="M1095" t="str">
        <f t="shared" si="26"/>
        <v/>
      </c>
    </row>
    <row r="1096" spans="1:14" x14ac:dyDescent="0.3">
      <c r="A1096" s="1">
        <v>46069.737349537034</v>
      </c>
      <c r="B1096">
        <v>286828468</v>
      </c>
      <c r="C1096" t="s">
        <v>467</v>
      </c>
      <c r="D1096" t="s">
        <v>15</v>
      </c>
      <c r="E1096" s="2">
        <v>2000</v>
      </c>
      <c r="F1096" s="2">
        <v>2000</v>
      </c>
      <c r="G1096" s="2">
        <v>1400</v>
      </c>
      <c r="I1096" t="s">
        <v>468</v>
      </c>
      <c r="J1096" t="s">
        <v>73</v>
      </c>
      <c r="K1096" t="s">
        <v>18</v>
      </c>
      <c r="L1096" t="str">
        <f>T("9791136920652")</f>
        <v>9791136920652</v>
      </c>
      <c r="M1096" t="str">
        <f t="shared" si="26"/>
        <v/>
      </c>
      <c r="N1096">
        <v>872852</v>
      </c>
    </row>
    <row r="1097" spans="1:14" x14ac:dyDescent="0.3">
      <c r="A1097" s="1">
        <v>46069.784224537034</v>
      </c>
      <c r="B1097">
        <v>385347659</v>
      </c>
      <c r="C1097" t="s">
        <v>86</v>
      </c>
      <c r="D1097" t="s">
        <v>15</v>
      </c>
      <c r="E1097" s="2">
        <v>1000</v>
      </c>
      <c r="F1097">
        <v>900</v>
      </c>
      <c r="G1097">
        <v>630</v>
      </c>
      <c r="I1097" t="s">
        <v>87</v>
      </c>
      <c r="J1097" t="s">
        <v>23</v>
      </c>
      <c r="K1097" t="s">
        <v>18</v>
      </c>
      <c r="L1097" t="str">
        <f>T("9791175308510")</f>
        <v>9791175308510</v>
      </c>
      <c r="M1097" t="str">
        <f t="shared" si="26"/>
        <v/>
      </c>
      <c r="N1097">
        <v>957881</v>
      </c>
    </row>
    <row r="1098" spans="1:14" x14ac:dyDescent="0.3">
      <c r="A1098" s="1">
        <v>46069.785150462965</v>
      </c>
      <c r="B1098">
        <v>379386288</v>
      </c>
      <c r="C1098" t="s">
        <v>370</v>
      </c>
      <c r="D1098" t="s">
        <v>89</v>
      </c>
      <c r="E1098" s="2">
        <v>11280</v>
      </c>
      <c r="F1098" s="2">
        <v>11280</v>
      </c>
      <c r="G1098" s="2">
        <v>7896</v>
      </c>
      <c r="I1098" t="s">
        <v>102</v>
      </c>
      <c r="J1098" t="s">
        <v>23</v>
      </c>
      <c r="K1098" t="s">
        <v>18</v>
      </c>
      <c r="L1098" t="str">
        <f>T("9791175307438")</f>
        <v>9791175307438</v>
      </c>
      <c r="M1098" t="str">
        <f t="shared" si="26"/>
        <v/>
      </c>
    </row>
    <row r="1099" spans="1:14" x14ac:dyDescent="0.3">
      <c r="A1099" s="1">
        <v>46069.793240740742</v>
      </c>
      <c r="B1099">
        <v>385804032</v>
      </c>
      <c r="C1099" t="s">
        <v>335</v>
      </c>
      <c r="D1099" t="s">
        <v>15</v>
      </c>
      <c r="E1099" s="2">
        <v>3200</v>
      </c>
      <c r="F1099" s="2">
        <v>3200</v>
      </c>
      <c r="G1099" s="2">
        <v>2240</v>
      </c>
      <c r="I1099" t="s">
        <v>331</v>
      </c>
      <c r="J1099" t="s">
        <v>52</v>
      </c>
      <c r="K1099" t="s">
        <v>18</v>
      </c>
      <c r="L1099" t="str">
        <f>T("")</f>
        <v/>
      </c>
      <c r="M1099" t="str">
        <f>T("G720:N+A101-20260128080.M002")</f>
        <v>G720:N+A101-20260128080.M002</v>
      </c>
      <c r="N1099">
        <v>959681</v>
      </c>
    </row>
    <row r="1100" spans="1:14" x14ac:dyDescent="0.3">
      <c r="A1100" s="1">
        <v>46069.83861111111</v>
      </c>
      <c r="B1100">
        <v>385636847</v>
      </c>
      <c r="C1100" t="s">
        <v>245</v>
      </c>
      <c r="D1100" t="s">
        <v>89</v>
      </c>
      <c r="E1100" s="2">
        <v>9450</v>
      </c>
      <c r="F1100" s="2">
        <v>9450</v>
      </c>
      <c r="G1100" s="2">
        <v>6615</v>
      </c>
      <c r="I1100" t="s">
        <v>246</v>
      </c>
      <c r="J1100" t="s">
        <v>23</v>
      </c>
      <c r="K1100" t="s">
        <v>18</v>
      </c>
      <c r="L1100" t="str">
        <f>T("9791175309517")</f>
        <v>9791175309517</v>
      </c>
      <c r="M1100" t="str">
        <f t="shared" ref="M1100:M1131" si="27">T("")</f>
        <v/>
      </c>
    </row>
    <row r="1101" spans="1:14" x14ac:dyDescent="0.3">
      <c r="A1101" s="1">
        <v>46069.848935185182</v>
      </c>
      <c r="B1101">
        <v>383003535</v>
      </c>
      <c r="C1101" t="s">
        <v>469</v>
      </c>
      <c r="D1101" t="s">
        <v>15</v>
      </c>
      <c r="E1101" s="2">
        <v>3200</v>
      </c>
      <c r="F1101" s="2">
        <v>3200</v>
      </c>
      <c r="G1101" s="2">
        <v>2240</v>
      </c>
      <c r="I1101" t="s">
        <v>365</v>
      </c>
      <c r="J1101" t="s">
        <v>59</v>
      </c>
      <c r="K1101" t="s">
        <v>18</v>
      </c>
      <c r="L1101" t="str">
        <f>T("9791173789052")</f>
        <v>9791173789052</v>
      </c>
      <c r="M1101" t="str">
        <f t="shared" si="27"/>
        <v/>
      </c>
      <c r="N1101">
        <v>951991</v>
      </c>
    </row>
    <row r="1102" spans="1:14" x14ac:dyDescent="0.3">
      <c r="A1102" s="1">
        <v>46069.860856481479</v>
      </c>
      <c r="B1102">
        <v>379386288</v>
      </c>
      <c r="C1102" t="s">
        <v>370</v>
      </c>
      <c r="D1102" t="s">
        <v>89</v>
      </c>
      <c r="E1102" s="2">
        <v>11280</v>
      </c>
      <c r="F1102" s="2">
        <v>11280</v>
      </c>
      <c r="G1102" s="2">
        <v>7896</v>
      </c>
      <c r="I1102" t="s">
        <v>102</v>
      </c>
      <c r="J1102" t="s">
        <v>23</v>
      </c>
      <c r="K1102" t="s">
        <v>18</v>
      </c>
      <c r="L1102" t="str">
        <f>T("9791175307438")</f>
        <v>9791175307438</v>
      </c>
      <c r="M1102" t="str">
        <f t="shared" si="27"/>
        <v/>
      </c>
    </row>
    <row r="1103" spans="1:14" x14ac:dyDescent="0.3">
      <c r="A1103" s="1">
        <v>46069.888113425928</v>
      </c>
      <c r="B1103">
        <v>357906238</v>
      </c>
      <c r="C1103" t="s">
        <v>470</v>
      </c>
      <c r="D1103" t="s">
        <v>15</v>
      </c>
      <c r="E1103" s="2">
        <v>3200</v>
      </c>
      <c r="F1103" s="2">
        <v>3200</v>
      </c>
      <c r="G1103" s="2">
        <v>2240</v>
      </c>
      <c r="I1103" t="s">
        <v>61</v>
      </c>
      <c r="J1103" t="s">
        <v>59</v>
      </c>
      <c r="K1103" t="s">
        <v>18</v>
      </c>
      <c r="L1103" t="str">
        <f>T("9791136971623")</f>
        <v>9791136971623</v>
      </c>
      <c r="M1103" t="str">
        <f t="shared" si="27"/>
        <v/>
      </c>
      <c r="N1103">
        <v>924666</v>
      </c>
    </row>
    <row r="1104" spans="1:14" x14ac:dyDescent="0.3">
      <c r="A1104" s="1">
        <v>46069.888541666667</v>
      </c>
      <c r="B1104">
        <v>378219287</v>
      </c>
      <c r="C1104" t="s">
        <v>202</v>
      </c>
      <c r="D1104" t="s">
        <v>15</v>
      </c>
      <c r="E1104" s="2">
        <v>10500</v>
      </c>
      <c r="F1104" s="2">
        <v>10500</v>
      </c>
      <c r="G1104" s="2">
        <v>7350</v>
      </c>
      <c r="I1104" t="s">
        <v>203</v>
      </c>
      <c r="J1104" t="s">
        <v>23</v>
      </c>
      <c r="K1104" t="s">
        <v>18</v>
      </c>
      <c r="L1104" t="str">
        <f>T("9791175302747")</f>
        <v>9791175302747</v>
      </c>
      <c r="M1104" t="str">
        <f t="shared" si="27"/>
        <v/>
      </c>
    </row>
    <row r="1105" spans="1:14" x14ac:dyDescent="0.3">
      <c r="A1105" s="1">
        <v>46069.913518518515</v>
      </c>
      <c r="B1105">
        <v>365656697</v>
      </c>
      <c r="C1105" t="s">
        <v>239</v>
      </c>
      <c r="D1105" t="s">
        <v>15</v>
      </c>
      <c r="E1105" s="2">
        <v>7200</v>
      </c>
      <c r="F1105" s="2">
        <v>7200</v>
      </c>
      <c r="G1105" s="2">
        <v>5040</v>
      </c>
      <c r="I1105" t="s">
        <v>240</v>
      </c>
      <c r="J1105" t="s">
        <v>49</v>
      </c>
      <c r="K1105" t="s">
        <v>18</v>
      </c>
      <c r="L1105" t="str">
        <f>T("9791173783630")</f>
        <v>9791173783630</v>
      </c>
      <c r="M1105" t="str">
        <f t="shared" si="27"/>
        <v/>
      </c>
    </row>
    <row r="1106" spans="1:14" x14ac:dyDescent="0.3">
      <c r="A1106" s="1">
        <v>46069.952407407407</v>
      </c>
      <c r="B1106">
        <v>337299343</v>
      </c>
      <c r="C1106" t="s">
        <v>471</v>
      </c>
      <c r="D1106" t="s">
        <v>15</v>
      </c>
      <c r="E1106" s="2">
        <v>3900</v>
      </c>
      <c r="F1106" s="2">
        <v>3900</v>
      </c>
      <c r="G1106" s="2">
        <v>2730</v>
      </c>
      <c r="I1106" t="s">
        <v>377</v>
      </c>
      <c r="J1106" t="s">
        <v>23</v>
      </c>
      <c r="K1106" t="s">
        <v>18</v>
      </c>
      <c r="L1106" t="str">
        <f>T("9791136958075")</f>
        <v>9791136958075</v>
      </c>
      <c r="M1106" t="str">
        <f t="shared" si="27"/>
        <v/>
      </c>
      <c r="N1106">
        <v>921597</v>
      </c>
    </row>
    <row r="1107" spans="1:14" x14ac:dyDescent="0.3">
      <c r="A1107" s="1">
        <v>46069.957060185188</v>
      </c>
      <c r="B1107">
        <v>384177514</v>
      </c>
      <c r="C1107" t="s">
        <v>109</v>
      </c>
      <c r="D1107" t="s">
        <v>15</v>
      </c>
      <c r="E1107" s="2">
        <v>3500</v>
      </c>
      <c r="F1107" s="2">
        <v>3500</v>
      </c>
      <c r="G1107" s="2">
        <v>2450</v>
      </c>
      <c r="I1107" t="s">
        <v>22</v>
      </c>
      <c r="J1107" t="s">
        <v>23</v>
      </c>
      <c r="K1107" t="s">
        <v>18</v>
      </c>
      <c r="L1107" t="str">
        <f>T("9791175309807")</f>
        <v>9791175309807</v>
      </c>
      <c r="M1107" t="str">
        <f t="shared" si="27"/>
        <v/>
      </c>
      <c r="N1107">
        <v>958594</v>
      </c>
    </row>
    <row r="1108" spans="1:14" x14ac:dyDescent="0.3">
      <c r="A1108" s="1">
        <v>46069.959988425922</v>
      </c>
      <c r="B1108">
        <v>335778607</v>
      </c>
      <c r="C1108" t="s">
        <v>183</v>
      </c>
      <c r="D1108" t="s">
        <v>15</v>
      </c>
      <c r="E1108" s="2">
        <v>3000</v>
      </c>
      <c r="F1108" s="2">
        <v>3000</v>
      </c>
      <c r="G1108" s="2">
        <v>2100</v>
      </c>
      <c r="I1108" t="s">
        <v>102</v>
      </c>
      <c r="J1108" t="s">
        <v>23</v>
      </c>
      <c r="K1108" t="s">
        <v>18</v>
      </c>
      <c r="L1108" t="str">
        <f>T("9791136958204")</f>
        <v>9791136958204</v>
      </c>
      <c r="M1108" t="str">
        <f t="shared" si="27"/>
        <v/>
      </c>
      <c r="N1108">
        <v>921582</v>
      </c>
    </row>
    <row r="1109" spans="1:14" x14ac:dyDescent="0.3">
      <c r="A1109" s="1">
        <v>46069.963287037041</v>
      </c>
      <c r="B1109">
        <v>359778130</v>
      </c>
      <c r="C1109" t="s">
        <v>98</v>
      </c>
      <c r="D1109" t="s">
        <v>15</v>
      </c>
      <c r="E1109" s="2">
        <v>2000</v>
      </c>
      <c r="F1109" s="2">
        <v>2000</v>
      </c>
      <c r="G1109" s="2">
        <v>1400</v>
      </c>
      <c r="I1109" t="s">
        <v>99</v>
      </c>
      <c r="J1109" t="s">
        <v>23</v>
      </c>
      <c r="K1109" t="s">
        <v>18</v>
      </c>
      <c r="L1109" t="str">
        <f>T("9791194664222")</f>
        <v>9791194664222</v>
      </c>
      <c r="M1109" t="str">
        <f t="shared" si="27"/>
        <v/>
      </c>
      <c r="N1109">
        <v>940096</v>
      </c>
    </row>
    <row r="1110" spans="1:14" x14ac:dyDescent="0.3">
      <c r="A1110" s="1">
        <v>46069.964803240742</v>
      </c>
      <c r="B1110">
        <v>379386288</v>
      </c>
      <c r="C1110" t="s">
        <v>370</v>
      </c>
      <c r="D1110" t="s">
        <v>89</v>
      </c>
      <c r="E1110" s="2">
        <v>11280</v>
      </c>
      <c r="F1110" s="2">
        <v>11280</v>
      </c>
      <c r="G1110" s="2">
        <v>7896</v>
      </c>
      <c r="I1110" t="s">
        <v>102</v>
      </c>
      <c r="J1110" t="s">
        <v>23</v>
      </c>
      <c r="K1110" t="s">
        <v>18</v>
      </c>
      <c r="L1110" t="str">
        <f>T("9791175307438")</f>
        <v>9791175307438</v>
      </c>
      <c r="M1110" t="str">
        <f t="shared" si="27"/>
        <v/>
      </c>
    </row>
    <row r="1111" spans="1:14" x14ac:dyDescent="0.3">
      <c r="A1111" s="1">
        <v>46069.969710648147</v>
      </c>
      <c r="B1111">
        <v>288284465</v>
      </c>
      <c r="C1111" t="s">
        <v>472</v>
      </c>
      <c r="D1111" t="s">
        <v>15</v>
      </c>
      <c r="E1111" s="2">
        <v>3300</v>
      </c>
      <c r="F1111" s="2">
        <v>3300</v>
      </c>
      <c r="G1111" s="2">
        <v>2310</v>
      </c>
      <c r="I1111" t="s">
        <v>116</v>
      </c>
      <c r="J1111" t="s">
        <v>73</v>
      </c>
      <c r="K1111" t="s">
        <v>18</v>
      </c>
      <c r="L1111" t="str">
        <f>T("9791136922106")</f>
        <v>9791136922106</v>
      </c>
      <c r="M1111" t="str">
        <f t="shared" si="27"/>
        <v/>
      </c>
      <c r="N1111">
        <v>877623</v>
      </c>
    </row>
    <row r="1112" spans="1:14" x14ac:dyDescent="0.3">
      <c r="A1112" s="1">
        <v>46069.973680555559</v>
      </c>
      <c r="B1112">
        <v>346721899</v>
      </c>
      <c r="C1112" t="s">
        <v>473</v>
      </c>
      <c r="D1112" t="s">
        <v>15</v>
      </c>
      <c r="E1112" s="2">
        <v>3800</v>
      </c>
      <c r="F1112" s="2">
        <v>3800</v>
      </c>
      <c r="G1112" s="2">
        <v>2660</v>
      </c>
      <c r="I1112" t="s">
        <v>99</v>
      </c>
      <c r="J1112" t="s">
        <v>23</v>
      </c>
      <c r="K1112" t="s">
        <v>18</v>
      </c>
      <c r="L1112" t="str">
        <f>T("9791136995155")</f>
        <v>9791136995155</v>
      </c>
      <c r="M1112" t="str">
        <f t="shared" si="27"/>
        <v/>
      </c>
      <c r="N1112">
        <v>928417</v>
      </c>
    </row>
    <row r="1113" spans="1:14" x14ac:dyDescent="0.3">
      <c r="A1113" s="1">
        <v>46069.98841435185</v>
      </c>
      <c r="B1113">
        <v>361759290</v>
      </c>
      <c r="C1113" t="s">
        <v>474</v>
      </c>
      <c r="D1113" t="s">
        <v>15</v>
      </c>
      <c r="E1113" s="2">
        <v>5000</v>
      </c>
      <c r="F1113" s="2">
        <v>5000</v>
      </c>
      <c r="G1113" s="2">
        <v>3500</v>
      </c>
      <c r="I1113" t="s">
        <v>198</v>
      </c>
      <c r="J1113" t="s">
        <v>49</v>
      </c>
      <c r="K1113" t="s">
        <v>18</v>
      </c>
      <c r="L1113" t="str">
        <f>T("9791173783258")</f>
        <v>9791173783258</v>
      </c>
      <c r="M1113" t="str">
        <f t="shared" si="27"/>
        <v/>
      </c>
      <c r="N1113">
        <v>947665</v>
      </c>
    </row>
    <row r="1114" spans="1:14" x14ac:dyDescent="0.3">
      <c r="A1114" s="1">
        <v>46069.98841435185</v>
      </c>
      <c r="B1114">
        <v>361759465</v>
      </c>
      <c r="C1114" t="s">
        <v>232</v>
      </c>
      <c r="D1114" t="s">
        <v>15</v>
      </c>
      <c r="E1114" s="2">
        <v>5000</v>
      </c>
      <c r="F1114" s="2">
        <v>5000</v>
      </c>
      <c r="G1114" s="2">
        <v>3500</v>
      </c>
      <c r="I1114" t="s">
        <v>198</v>
      </c>
      <c r="J1114" t="s">
        <v>49</v>
      </c>
      <c r="K1114" t="s">
        <v>18</v>
      </c>
      <c r="L1114" t="str">
        <f>T("9791173783241")</f>
        <v>9791173783241</v>
      </c>
      <c r="M1114" t="str">
        <f t="shared" si="27"/>
        <v/>
      </c>
      <c r="N1114">
        <v>947666</v>
      </c>
    </row>
    <row r="1115" spans="1:14" x14ac:dyDescent="0.3">
      <c r="A1115" s="1">
        <v>46069.988634259258</v>
      </c>
      <c r="B1115">
        <v>287086243</v>
      </c>
      <c r="C1115" t="s">
        <v>293</v>
      </c>
      <c r="D1115" t="s">
        <v>15</v>
      </c>
      <c r="E1115" s="2">
        <v>3000</v>
      </c>
      <c r="F1115" s="2">
        <v>3000</v>
      </c>
      <c r="G1115" s="2">
        <v>2100</v>
      </c>
      <c r="I1115" t="s">
        <v>294</v>
      </c>
      <c r="J1115" t="s">
        <v>23</v>
      </c>
      <c r="K1115" t="s">
        <v>18</v>
      </c>
      <c r="L1115" t="str">
        <f>T("9791136920201")</f>
        <v>9791136920201</v>
      </c>
      <c r="M1115" t="str">
        <f t="shared" si="27"/>
        <v/>
      </c>
      <c r="N1115">
        <v>871320</v>
      </c>
    </row>
    <row r="1116" spans="1:14" x14ac:dyDescent="0.3">
      <c r="A1116" s="1">
        <v>46069.994479166664</v>
      </c>
      <c r="B1116">
        <v>385831063</v>
      </c>
      <c r="C1116" t="s">
        <v>343</v>
      </c>
      <c r="D1116" t="s">
        <v>89</v>
      </c>
      <c r="E1116" s="2">
        <v>10800</v>
      </c>
      <c r="F1116" s="2">
        <v>10800</v>
      </c>
      <c r="G1116" s="2">
        <v>7560</v>
      </c>
      <c r="I1116" t="s">
        <v>344</v>
      </c>
      <c r="J1116" t="s">
        <v>23</v>
      </c>
      <c r="K1116" t="s">
        <v>18</v>
      </c>
      <c r="L1116" t="str">
        <f>T("9791175309456")</f>
        <v>9791175309456</v>
      </c>
      <c r="M1116" t="str">
        <f t="shared" si="27"/>
        <v/>
      </c>
    </row>
    <row r="1117" spans="1:14" x14ac:dyDescent="0.3">
      <c r="A1117" s="1">
        <v>46069.995393518519</v>
      </c>
      <c r="B1117">
        <v>379385369</v>
      </c>
      <c r="C1117" t="s">
        <v>101</v>
      </c>
      <c r="D1117" t="s">
        <v>15</v>
      </c>
      <c r="E1117" s="2">
        <v>1500</v>
      </c>
      <c r="F1117" s="2">
        <v>1500</v>
      </c>
      <c r="G1117" s="2">
        <v>1050</v>
      </c>
      <c r="I1117" t="s">
        <v>102</v>
      </c>
      <c r="J1117" t="s">
        <v>23</v>
      </c>
      <c r="K1117" t="s">
        <v>18</v>
      </c>
      <c r="L1117" t="str">
        <f>T("9791175307254")</f>
        <v>9791175307254</v>
      </c>
      <c r="M1117" t="str">
        <f t="shared" si="27"/>
        <v/>
      </c>
      <c r="N1117">
        <v>957333</v>
      </c>
    </row>
    <row r="1118" spans="1:14" x14ac:dyDescent="0.3">
      <c r="A1118" s="1">
        <v>46070.025810185187</v>
      </c>
      <c r="B1118">
        <v>277935153</v>
      </c>
      <c r="C1118" t="s">
        <v>475</v>
      </c>
      <c r="D1118" t="s">
        <v>15</v>
      </c>
      <c r="E1118" s="2">
        <v>4100</v>
      </c>
      <c r="F1118" s="2">
        <v>4100</v>
      </c>
      <c r="G1118" s="2">
        <v>2870</v>
      </c>
      <c r="I1118" t="s">
        <v>198</v>
      </c>
      <c r="J1118" t="s">
        <v>49</v>
      </c>
      <c r="K1118" t="s">
        <v>18</v>
      </c>
      <c r="L1118" t="str">
        <f>T("9791136917867")</f>
        <v>9791136917867</v>
      </c>
      <c r="M1118" t="str">
        <f t="shared" si="27"/>
        <v/>
      </c>
      <c r="N1118">
        <v>856974</v>
      </c>
    </row>
    <row r="1119" spans="1:14" x14ac:dyDescent="0.3">
      <c r="A1119" s="1">
        <v>46070.074236111112</v>
      </c>
      <c r="B1119">
        <v>367023539</v>
      </c>
      <c r="C1119" t="s">
        <v>342</v>
      </c>
      <c r="D1119" t="s">
        <v>15</v>
      </c>
      <c r="E1119" s="2">
        <v>1300</v>
      </c>
      <c r="F1119" s="2">
        <v>1300</v>
      </c>
      <c r="G1119">
        <v>910</v>
      </c>
      <c r="I1119" t="s">
        <v>294</v>
      </c>
      <c r="J1119" t="s">
        <v>23</v>
      </c>
      <c r="K1119" t="s">
        <v>18</v>
      </c>
      <c r="L1119" t="str">
        <f>T("9791173785634")</f>
        <v>9791173785634</v>
      </c>
      <c r="M1119" t="str">
        <f t="shared" si="27"/>
        <v/>
      </c>
      <c r="N1119">
        <v>950711</v>
      </c>
    </row>
    <row r="1120" spans="1:14" x14ac:dyDescent="0.3">
      <c r="A1120" s="1">
        <v>46070.080381944441</v>
      </c>
      <c r="B1120">
        <v>287086225</v>
      </c>
      <c r="C1120" t="s">
        <v>307</v>
      </c>
      <c r="D1120" t="s">
        <v>15</v>
      </c>
      <c r="E1120" s="2">
        <v>3000</v>
      </c>
      <c r="F1120" s="2">
        <v>3000</v>
      </c>
      <c r="G1120" s="2">
        <v>2100</v>
      </c>
      <c r="I1120" t="s">
        <v>294</v>
      </c>
      <c r="J1120" t="s">
        <v>23</v>
      </c>
      <c r="K1120" t="s">
        <v>18</v>
      </c>
      <c r="L1120" t="str">
        <f>T("9791136920218")</f>
        <v>9791136920218</v>
      </c>
      <c r="M1120" t="str">
        <f t="shared" si="27"/>
        <v/>
      </c>
      <c r="N1120">
        <v>871319</v>
      </c>
    </row>
    <row r="1121" spans="1:14" x14ac:dyDescent="0.3">
      <c r="A1121" s="1">
        <v>46070.082453703704</v>
      </c>
      <c r="B1121">
        <v>379386288</v>
      </c>
      <c r="C1121" t="s">
        <v>370</v>
      </c>
      <c r="D1121" t="s">
        <v>89</v>
      </c>
      <c r="E1121" s="2">
        <v>11280</v>
      </c>
      <c r="F1121" s="2">
        <v>11280</v>
      </c>
      <c r="G1121" s="2">
        <v>7896</v>
      </c>
      <c r="I1121" t="s">
        <v>102</v>
      </c>
      <c r="J1121" t="s">
        <v>23</v>
      </c>
      <c r="K1121" t="s">
        <v>18</v>
      </c>
      <c r="L1121" t="str">
        <f>T("9791175307438")</f>
        <v>9791175307438</v>
      </c>
      <c r="M1121" t="str">
        <f t="shared" si="27"/>
        <v/>
      </c>
    </row>
    <row r="1122" spans="1:14" x14ac:dyDescent="0.3">
      <c r="A1122" s="1">
        <v>46070.119432870371</v>
      </c>
      <c r="B1122">
        <v>385831063</v>
      </c>
      <c r="C1122" t="s">
        <v>343</v>
      </c>
      <c r="D1122" t="s">
        <v>15</v>
      </c>
      <c r="E1122" s="2">
        <v>12000</v>
      </c>
      <c r="F1122" s="2">
        <v>10800</v>
      </c>
      <c r="G1122" s="2">
        <v>7560</v>
      </c>
      <c r="I1122" t="s">
        <v>344</v>
      </c>
      <c r="J1122" t="s">
        <v>23</v>
      </c>
      <c r="K1122" t="s">
        <v>18</v>
      </c>
      <c r="L1122" t="str">
        <f>T("9791175309456")</f>
        <v>9791175309456</v>
      </c>
      <c r="M1122" t="str">
        <f t="shared" si="27"/>
        <v/>
      </c>
    </row>
    <row r="1123" spans="1:14" x14ac:dyDescent="0.3">
      <c r="A1123" s="1">
        <v>46070.142546296294</v>
      </c>
      <c r="B1123">
        <v>347624911</v>
      </c>
      <c r="C1123" t="s">
        <v>476</v>
      </c>
      <c r="D1123" t="s">
        <v>15</v>
      </c>
      <c r="E1123" s="2">
        <v>3300</v>
      </c>
      <c r="F1123" s="2">
        <v>3300</v>
      </c>
      <c r="G1123" s="2">
        <v>2310</v>
      </c>
      <c r="I1123" t="s">
        <v>406</v>
      </c>
      <c r="J1123" t="s">
        <v>70</v>
      </c>
      <c r="K1123" t="s">
        <v>18</v>
      </c>
      <c r="L1123" t="str">
        <f>T("9791136998323")</f>
        <v>9791136998323</v>
      </c>
      <c r="M1123" t="str">
        <f t="shared" si="27"/>
        <v/>
      </c>
      <c r="N1123">
        <v>928324</v>
      </c>
    </row>
    <row r="1124" spans="1:14" x14ac:dyDescent="0.3">
      <c r="A1124" s="1">
        <v>46070.219560185185</v>
      </c>
      <c r="B1124">
        <v>277935151</v>
      </c>
      <c r="C1124" t="s">
        <v>477</v>
      </c>
      <c r="D1124" t="s">
        <v>15</v>
      </c>
      <c r="E1124" s="2">
        <v>4100</v>
      </c>
      <c r="F1124" s="2">
        <v>4100</v>
      </c>
      <c r="G1124" s="2">
        <v>2870</v>
      </c>
      <c r="I1124" t="s">
        <v>198</v>
      </c>
      <c r="J1124" t="s">
        <v>49</v>
      </c>
      <c r="K1124" t="s">
        <v>18</v>
      </c>
      <c r="L1124" t="str">
        <f>T("9791136917898")</f>
        <v>9791136917898</v>
      </c>
      <c r="M1124" t="str">
        <f t="shared" si="27"/>
        <v/>
      </c>
      <c r="N1124">
        <v>856971</v>
      </c>
    </row>
    <row r="1125" spans="1:14" x14ac:dyDescent="0.3">
      <c r="A1125" s="1">
        <v>46070.224270833336</v>
      </c>
      <c r="B1125">
        <v>287087356</v>
      </c>
      <c r="C1125" t="s">
        <v>478</v>
      </c>
      <c r="D1125" t="s">
        <v>89</v>
      </c>
      <c r="E1125" s="2">
        <v>11550</v>
      </c>
      <c r="F1125" s="2">
        <v>11550</v>
      </c>
      <c r="G1125" s="2">
        <v>8085</v>
      </c>
      <c r="I1125" t="s">
        <v>368</v>
      </c>
      <c r="J1125" t="s">
        <v>23</v>
      </c>
      <c r="K1125" t="s">
        <v>18</v>
      </c>
      <c r="L1125" t="str">
        <f>T("9791136920812")</f>
        <v>9791136920812</v>
      </c>
      <c r="M1125" t="str">
        <f t="shared" si="27"/>
        <v/>
      </c>
    </row>
    <row r="1126" spans="1:14" x14ac:dyDescent="0.3">
      <c r="A1126" s="1">
        <v>46070.224270833336</v>
      </c>
      <c r="B1126">
        <v>316293083</v>
      </c>
      <c r="C1126" t="s">
        <v>465</v>
      </c>
      <c r="D1126" t="s">
        <v>89</v>
      </c>
      <c r="E1126" s="2">
        <v>8190</v>
      </c>
      <c r="F1126" s="2">
        <v>8190</v>
      </c>
      <c r="G1126" s="2">
        <v>5733</v>
      </c>
      <c r="I1126" t="s">
        <v>124</v>
      </c>
      <c r="J1126" t="s">
        <v>23</v>
      </c>
      <c r="K1126" t="s">
        <v>18</v>
      </c>
      <c r="L1126" t="str">
        <f>T("9791136936097")</f>
        <v>9791136936097</v>
      </c>
      <c r="M1126" t="str">
        <f t="shared" si="27"/>
        <v/>
      </c>
    </row>
    <row r="1127" spans="1:14" x14ac:dyDescent="0.3">
      <c r="A1127" s="1">
        <v>46070.224270833336</v>
      </c>
      <c r="B1127">
        <v>366170260</v>
      </c>
      <c r="C1127" t="s">
        <v>201</v>
      </c>
      <c r="D1127" t="s">
        <v>89</v>
      </c>
      <c r="E1127" s="2">
        <v>9240</v>
      </c>
      <c r="F1127" s="2">
        <v>9240</v>
      </c>
      <c r="G1127" s="2">
        <v>6468</v>
      </c>
      <c r="I1127" t="s">
        <v>34</v>
      </c>
      <c r="J1127" t="s">
        <v>23</v>
      </c>
      <c r="K1127" t="s">
        <v>18</v>
      </c>
      <c r="L1127" t="str">
        <f>T("9791173784552")</f>
        <v>9791173784552</v>
      </c>
      <c r="M1127" t="str">
        <f t="shared" si="27"/>
        <v/>
      </c>
    </row>
    <row r="1128" spans="1:14" x14ac:dyDescent="0.3">
      <c r="A1128" s="1">
        <v>46070.228368055556</v>
      </c>
      <c r="B1128">
        <v>365656697</v>
      </c>
      <c r="C1128" t="s">
        <v>239</v>
      </c>
      <c r="D1128" t="s">
        <v>89</v>
      </c>
      <c r="E1128" s="2">
        <v>5760</v>
      </c>
      <c r="F1128" s="2">
        <v>5760</v>
      </c>
      <c r="G1128" s="2">
        <v>4032</v>
      </c>
      <c r="I1128" t="s">
        <v>240</v>
      </c>
      <c r="J1128" t="s">
        <v>49</v>
      </c>
      <c r="K1128" t="s">
        <v>18</v>
      </c>
      <c r="L1128" t="str">
        <f>T("9791173783630")</f>
        <v>9791173783630</v>
      </c>
      <c r="M1128" t="str">
        <f t="shared" si="27"/>
        <v/>
      </c>
    </row>
    <row r="1129" spans="1:14" x14ac:dyDescent="0.3">
      <c r="A1129" s="1">
        <v>46070.286724537036</v>
      </c>
      <c r="B1129">
        <v>66615575</v>
      </c>
      <c r="C1129" t="s">
        <v>479</v>
      </c>
      <c r="D1129" t="s">
        <v>15</v>
      </c>
      <c r="E1129" s="2">
        <v>3000</v>
      </c>
      <c r="F1129" s="2">
        <v>3000</v>
      </c>
      <c r="G1129" s="2">
        <v>2100</v>
      </c>
      <c r="I1129" t="s">
        <v>27</v>
      </c>
      <c r="J1129" t="s">
        <v>79</v>
      </c>
      <c r="K1129" t="s">
        <v>18</v>
      </c>
      <c r="L1129" t="str">
        <f>T("9791133103300")</f>
        <v>9791133103300</v>
      </c>
      <c r="M1129" t="str">
        <f t="shared" si="27"/>
        <v/>
      </c>
      <c r="N1129">
        <v>301976</v>
      </c>
    </row>
    <row r="1130" spans="1:14" x14ac:dyDescent="0.3">
      <c r="A1130" s="1">
        <v>46070.286724537036</v>
      </c>
      <c r="B1130">
        <v>66615577</v>
      </c>
      <c r="C1130" t="s">
        <v>480</v>
      </c>
      <c r="D1130" t="s">
        <v>15</v>
      </c>
      <c r="E1130" s="2">
        <v>3000</v>
      </c>
      <c r="F1130" s="2">
        <v>3000</v>
      </c>
      <c r="G1130" s="2">
        <v>2100</v>
      </c>
      <c r="I1130" t="s">
        <v>27</v>
      </c>
      <c r="J1130" t="s">
        <v>79</v>
      </c>
      <c r="K1130" t="s">
        <v>18</v>
      </c>
      <c r="L1130" t="str">
        <f>T("9791133103317")</f>
        <v>9791133103317</v>
      </c>
      <c r="M1130" t="str">
        <f t="shared" si="27"/>
        <v/>
      </c>
      <c r="N1130">
        <v>301977</v>
      </c>
    </row>
    <row r="1131" spans="1:14" x14ac:dyDescent="0.3">
      <c r="A1131" s="1">
        <v>46070.286724537036</v>
      </c>
      <c r="B1131">
        <v>66615578</v>
      </c>
      <c r="C1131" t="s">
        <v>481</v>
      </c>
      <c r="D1131" t="s">
        <v>15</v>
      </c>
      <c r="E1131" s="2">
        <v>3000</v>
      </c>
      <c r="F1131" s="2">
        <v>3000</v>
      </c>
      <c r="G1131" s="2">
        <v>2100</v>
      </c>
      <c r="I1131" t="s">
        <v>27</v>
      </c>
      <c r="J1131" t="s">
        <v>79</v>
      </c>
      <c r="K1131" t="s">
        <v>18</v>
      </c>
      <c r="L1131" t="str">
        <f>T("9791133103324")</f>
        <v>9791133103324</v>
      </c>
      <c r="M1131" t="str">
        <f t="shared" si="27"/>
        <v/>
      </c>
      <c r="N1131">
        <v>301978</v>
      </c>
    </row>
    <row r="1132" spans="1:14" x14ac:dyDescent="0.3">
      <c r="A1132" s="1">
        <v>46070.429872685185</v>
      </c>
      <c r="B1132">
        <v>373442634</v>
      </c>
      <c r="C1132" t="s">
        <v>268</v>
      </c>
      <c r="D1132" t="s">
        <v>89</v>
      </c>
      <c r="E1132">
        <v>810</v>
      </c>
      <c r="F1132">
        <v>810</v>
      </c>
      <c r="G1132">
        <v>567</v>
      </c>
      <c r="I1132" t="s">
        <v>58</v>
      </c>
      <c r="J1132" t="s">
        <v>59</v>
      </c>
      <c r="K1132" t="s">
        <v>18</v>
      </c>
      <c r="L1132" t="str">
        <f>T("9791173784361")</f>
        <v>9791173784361</v>
      </c>
      <c r="M1132" t="str">
        <f t="shared" ref="M1132:M1163" si="28">T("")</f>
        <v/>
      </c>
      <c r="N1132">
        <v>948946</v>
      </c>
    </row>
    <row r="1133" spans="1:14" x14ac:dyDescent="0.3">
      <c r="A1133" s="1">
        <v>46070.429872685185</v>
      </c>
      <c r="B1133">
        <v>373442639</v>
      </c>
      <c r="C1133" t="s">
        <v>261</v>
      </c>
      <c r="D1133" t="s">
        <v>89</v>
      </c>
      <c r="E1133">
        <v>810</v>
      </c>
      <c r="F1133">
        <v>810</v>
      </c>
      <c r="G1133">
        <v>567</v>
      </c>
      <c r="I1133" t="s">
        <v>58</v>
      </c>
      <c r="J1133" t="s">
        <v>59</v>
      </c>
      <c r="K1133" t="s">
        <v>18</v>
      </c>
      <c r="L1133" t="str">
        <f>T("9791173784415")</f>
        <v>9791173784415</v>
      </c>
      <c r="M1133" t="str">
        <f t="shared" si="28"/>
        <v/>
      </c>
      <c r="N1133">
        <v>948941</v>
      </c>
    </row>
    <row r="1134" spans="1:14" x14ac:dyDescent="0.3">
      <c r="A1134" s="1">
        <v>46070.429872685185</v>
      </c>
      <c r="B1134">
        <v>373442831</v>
      </c>
      <c r="C1134" t="s">
        <v>165</v>
      </c>
      <c r="D1134" t="s">
        <v>89</v>
      </c>
      <c r="E1134">
        <v>810</v>
      </c>
      <c r="F1134">
        <v>810</v>
      </c>
      <c r="G1134">
        <v>567</v>
      </c>
      <c r="I1134" t="s">
        <v>58</v>
      </c>
      <c r="J1134" t="s">
        <v>59</v>
      </c>
      <c r="K1134" t="s">
        <v>18</v>
      </c>
      <c r="L1134" t="str">
        <f>T("9791173784330")</f>
        <v>9791173784330</v>
      </c>
      <c r="M1134" t="str">
        <f t="shared" si="28"/>
        <v/>
      </c>
      <c r="N1134">
        <v>948949</v>
      </c>
    </row>
    <row r="1135" spans="1:14" x14ac:dyDescent="0.3">
      <c r="A1135" s="1">
        <v>46070.429872685185</v>
      </c>
      <c r="B1135">
        <v>373442837</v>
      </c>
      <c r="C1135" t="s">
        <v>264</v>
      </c>
      <c r="D1135" t="s">
        <v>89</v>
      </c>
      <c r="E1135">
        <v>810</v>
      </c>
      <c r="F1135">
        <v>810</v>
      </c>
      <c r="G1135">
        <v>567</v>
      </c>
      <c r="I1135" t="s">
        <v>58</v>
      </c>
      <c r="J1135" t="s">
        <v>59</v>
      </c>
      <c r="K1135" t="s">
        <v>18</v>
      </c>
      <c r="L1135" t="str">
        <f>T("9791173784385")</f>
        <v>9791173784385</v>
      </c>
      <c r="M1135" t="str">
        <f t="shared" si="28"/>
        <v/>
      </c>
      <c r="N1135">
        <v>948944</v>
      </c>
    </row>
    <row r="1136" spans="1:14" x14ac:dyDescent="0.3">
      <c r="A1136" s="1">
        <v>46070.429872685185</v>
      </c>
      <c r="B1136">
        <v>373442856</v>
      </c>
      <c r="C1136" t="s">
        <v>263</v>
      </c>
      <c r="D1136" t="s">
        <v>89</v>
      </c>
      <c r="E1136">
        <v>810</v>
      </c>
      <c r="F1136">
        <v>810</v>
      </c>
      <c r="G1136">
        <v>567</v>
      </c>
      <c r="I1136" t="s">
        <v>58</v>
      </c>
      <c r="J1136" t="s">
        <v>59</v>
      </c>
      <c r="K1136" t="s">
        <v>18</v>
      </c>
      <c r="L1136" t="str">
        <f>T("9791173784446")</f>
        <v>9791173784446</v>
      </c>
      <c r="M1136" t="str">
        <f t="shared" si="28"/>
        <v/>
      </c>
      <c r="N1136">
        <v>948938</v>
      </c>
    </row>
    <row r="1137" spans="1:14" x14ac:dyDescent="0.3">
      <c r="A1137" s="1">
        <v>46070.429872685185</v>
      </c>
      <c r="B1137">
        <v>373442857</v>
      </c>
      <c r="C1137" t="s">
        <v>271</v>
      </c>
      <c r="D1137" t="s">
        <v>89</v>
      </c>
      <c r="E1137">
        <v>810</v>
      </c>
      <c r="F1137">
        <v>810</v>
      </c>
      <c r="G1137">
        <v>567</v>
      </c>
      <c r="I1137" t="s">
        <v>58</v>
      </c>
      <c r="J1137" t="s">
        <v>59</v>
      </c>
      <c r="K1137" t="s">
        <v>18</v>
      </c>
      <c r="L1137" t="str">
        <f>T("9791173784408")</f>
        <v>9791173784408</v>
      </c>
      <c r="M1137" t="str">
        <f t="shared" si="28"/>
        <v/>
      </c>
      <c r="N1137">
        <v>948942</v>
      </c>
    </row>
    <row r="1138" spans="1:14" x14ac:dyDescent="0.3">
      <c r="A1138" s="1">
        <v>46070.429872685185</v>
      </c>
      <c r="B1138">
        <v>373442848</v>
      </c>
      <c r="C1138" t="s">
        <v>267</v>
      </c>
      <c r="D1138" t="s">
        <v>89</v>
      </c>
      <c r="E1138">
        <v>810</v>
      </c>
      <c r="F1138">
        <v>810</v>
      </c>
      <c r="G1138">
        <v>567</v>
      </c>
      <c r="I1138" t="s">
        <v>58</v>
      </c>
      <c r="J1138" t="s">
        <v>59</v>
      </c>
      <c r="K1138" t="s">
        <v>18</v>
      </c>
      <c r="L1138" t="str">
        <f>T("9791173784392")</f>
        <v>9791173784392</v>
      </c>
      <c r="M1138" t="str">
        <f t="shared" si="28"/>
        <v/>
      </c>
      <c r="N1138">
        <v>948943</v>
      </c>
    </row>
    <row r="1139" spans="1:14" x14ac:dyDescent="0.3">
      <c r="A1139" s="1">
        <v>46070.429872685185</v>
      </c>
      <c r="B1139">
        <v>373442849</v>
      </c>
      <c r="C1139" t="s">
        <v>262</v>
      </c>
      <c r="D1139" t="s">
        <v>89</v>
      </c>
      <c r="E1139">
        <v>810</v>
      </c>
      <c r="F1139">
        <v>810</v>
      </c>
      <c r="G1139">
        <v>567</v>
      </c>
      <c r="I1139" t="s">
        <v>58</v>
      </c>
      <c r="J1139" t="s">
        <v>59</v>
      </c>
      <c r="K1139" t="s">
        <v>18</v>
      </c>
      <c r="L1139" t="str">
        <f>T("9791173784354")</f>
        <v>9791173784354</v>
      </c>
      <c r="M1139" t="str">
        <f t="shared" si="28"/>
        <v/>
      </c>
      <c r="N1139">
        <v>948947</v>
      </c>
    </row>
    <row r="1140" spans="1:14" x14ac:dyDescent="0.3">
      <c r="A1140" s="1">
        <v>46070.429872685185</v>
      </c>
      <c r="B1140">
        <v>373442843</v>
      </c>
      <c r="C1140" t="s">
        <v>265</v>
      </c>
      <c r="D1140" t="s">
        <v>89</v>
      </c>
      <c r="E1140">
        <v>810</v>
      </c>
      <c r="F1140">
        <v>810</v>
      </c>
      <c r="G1140">
        <v>567</v>
      </c>
      <c r="I1140" t="s">
        <v>58</v>
      </c>
      <c r="J1140" t="s">
        <v>59</v>
      </c>
      <c r="K1140" t="s">
        <v>18</v>
      </c>
      <c r="L1140" t="str">
        <f>T("9791173784347")</f>
        <v>9791173784347</v>
      </c>
      <c r="M1140" t="str">
        <f t="shared" si="28"/>
        <v/>
      </c>
      <c r="N1140">
        <v>948948</v>
      </c>
    </row>
    <row r="1141" spans="1:14" x14ac:dyDescent="0.3">
      <c r="A1141" s="1">
        <v>46070.429872685185</v>
      </c>
      <c r="B1141">
        <v>373442846</v>
      </c>
      <c r="C1141" t="s">
        <v>266</v>
      </c>
      <c r="D1141" t="s">
        <v>89</v>
      </c>
      <c r="E1141">
        <v>810</v>
      </c>
      <c r="F1141">
        <v>810</v>
      </c>
      <c r="G1141">
        <v>567</v>
      </c>
      <c r="I1141" t="s">
        <v>58</v>
      </c>
      <c r="J1141" t="s">
        <v>59</v>
      </c>
      <c r="K1141" t="s">
        <v>18</v>
      </c>
      <c r="L1141" t="str">
        <f>T("9791173784439")</f>
        <v>9791173784439</v>
      </c>
      <c r="M1141" t="str">
        <f t="shared" si="28"/>
        <v/>
      </c>
      <c r="N1141">
        <v>948939</v>
      </c>
    </row>
    <row r="1142" spans="1:14" x14ac:dyDescent="0.3">
      <c r="A1142" s="1">
        <v>46070.429872685185</v>
      </c>
      <c r="B1142">
        <v>373442884</v>
      </c>
      <c r="C1142" t="s">
        <v>270</v>
      </c>
      <c r="D1142" t="s">
        <v>89</v>
      </c>
      <c r="E1142">
        <v>810</v>
      </c>
      <c r="F1142">
        <v>810</v>
      </c>
      <c r="G1142">
        <v>567</v>
      </c>
      <c r="I1142" t="s">
        <v>58</v>
      </c>
      <c r="J1142" t="s">
        <v>59</v>
      </c>
      <c r="K1142" t="s">
        <v>18</v>
      </c>
      <c r="L1142" t="str">
        <f>T("9791173784422")</f>
        <v>9791173784422</v>
      </c>
      <c r="M1142" t="str">
        <f t="shared" si="28"/>
        <v/>
      </c>
      <c r="N1142">
        <v>948940</v>
      </c>
    </row>
    <row r="1143" spans="1:14" x14ac:dyDescent="0.3">
      <c r="A1143" s="1">
        <v>46070.429872685185</v>
      </c>
      <c r="B1143">
        <v>373442864</v>
      </c>
      <c r="C1143" t="s">
        <v>272</v>
      </c>
      <c r="D1143" t="s">
        <v>89</v>
      </c>
      <c r="E1143">
        <v>810</v>
      </c>
      <c r="F1143">
        <v>810</v>
      </c>
      <c r="G1143">
        <v>567</v>
      </c>
      <c r="I1143" t="s">
        <v>58</v>
      </c>
      <c r="J1143" t="s">
        <v>59</v>
      </c>
      <c r="K1143" t="s">
        <v>18</v>
      </c>
      <c r="L1143" t="str">
        <f>T("9791173784453")</f>
        <v>9791173784453</v>
      </c>
      <c r="M1143" t="str">
        <f t="shared" si="28"/>
        <v/>
      </c>
      <c r="N1143">
        <v>948937</v>
      </c>
    </row>
    <row r="1144" spans="1:14" x14ac:dyDescent="0.3">
      <c r="A1144" s="1">
        <v>46070.429872685185</v>
      </c>
      <c r="B1144">
        <v>373442873</v>
      </c>
      <c r="C1144" t="s">
        <v>166</v>
      </c>
      <c r="D1144" t="s">
        <v>89</v>
      </c>
      <c r="E1144">
        <v>810</v>
      </c>
      <c r="F1144">
        <v>810</v>
      </c>
      <c r="G1144">
        <v>567</v>
      </c>
      <c r="I1144" t="s">
        <v>58</v>
      </c>
      <c r="J1144" t="s">
        <v>59</v>
      </c>
      <c r="K1144" t="s">
        <v>18</v>
      </c>
      <c r="L1144" t="str">
        <f>T("9791173784323")</f>
        <v>9791173784323</v>
      </c>
      <c r="M1144" t="str">
        <f t="shared" si="28"/>
        <v/>
      </c>
      <c r="N1144">
        <v>948950</v>
      </c>
    </row>
    <row r="1145" spans="1:14" x14ac:dyDescent="0.3">
      <c r="A1145" s="1">
        <v>46070.429872685185</v>
      </c>
      <c r="B1145">
        <v>373442879</v>
      </c>
      <c r="C1145" t="s">
        <v>269</v>
      </c>
      <c r="D1145" t="s">
        <v>89</v>
      </c>
      <c r="E1145">
        <v>810</v>
      </c>
      <c r="F1145">
        <v>810</v>
      </c>
      <c r="G1145">
        <v>567</v>
      </c>
      <c r="I1145" t="s">
        <v>58</v>
      </c>
      <c r="J1145" t="s">
        <v>59</v>
      </c>
      <c r="K1145" t="s">
        <v>18</v>
      </c>
      <c r="L1145" t="str">
        <f>T("9791173784378")</f>
        <v>9791173784378</v>
      </c>
      <c r="M1145" t="str">
        <f t="shared" si="28"/>
        <v/>
      </c>
      <c r="N1145">
        <v>948945</v>
      </c>
    </row>
    <row r="1146" spans="1:14" x14ac:dyDescent="0.3">
      <c r="A1146" s="1">
        <v>46070.45789351852</v>
      </c>
      <c r="B1146">
        <v>379386288</v>
      </c>
      <c r="C1146" t="s">
        <v>370</v>
      </c>
      <c r="D1146" t="s">
        <v>89</v>
      </c>
      <c r="E1146" s="2">
        <v>11280</v>
      </c>
      <c r="F1146" s="2">
        <v>11280</v>
      </c>
      <c r="G1146" s="2">
        <v>7896</v>
      </c>
      <c r="I1146" t="s">
        <v>102</v>
      </c>
      <c r="J1146" t="s">
        <v>23</v>
      </c>
      <c r="K1146" t="s">
        <v>18</v>
      </c>
      <c r="L1146" t="str">
        <f>T("9791175307438")</f>
        <v>9791175307438</v>
      </c>
      <c r="M1146" t="str">
        <f t="shared" si="28"/>
        <v/>
      </c>
    </row>
    <row r="1147" spans="1:14" x14ac:dyDescent="0.3">
      <c r="A1147" s="1">
        <v>46070.461064814815</v>
      </c>
      <c r="B1147">
        <v>376322322</v>
      </c>
      <c r="C1147" t="s">
        <v>482</v>
      </c>
      <c r="D1147" t="s">
        <v>15</v>
      </c>
      <c r="E1147" s="2">
        <v>3200</v>
      </c>
      <c r="F1147" s="2">
        <v>3200</v>
      </c>
      <c r="G1147" s="2">
        <v>2240</v>
      </c>
      <c r="I1147" t="s">
        <v>409</v>
      </c>
      <c r="J1147" t="s">
        <v>23</v>
      </c>
      <c r="K1147" t="s">
        <v>18</v>
      </c>
      <c r="L1147" t="str">
        <f>T("9791175302921")</f>
        <v>9791175302921</v>
      </c>
      <c r="M1147" t="str">
        <f t="shared" si="28"/>
        <v/>
      </c>
      <c r="N1147">
        <v>954926</v>
      </c>
    </row>
    <row r="1148" spans="1:14" x14ac:dyDescent="0.3">
      <c r="A1148" s="1">
        <v>46070.475046296298</v>
      </c>
      <c r="B1148">
        <v>369429462</v>
      </c>
      <c r="C1148" t="s">
        <v>145</v>
      </c>
      <c r="D1148" t="s">
        <v>15</v>
      </c>
      <c r="E1148" s="2">
        <v>3200</v>
      </c>
      <c r="F1148" s="2">
        <v>3200</v>
      </c>
      <c r="G1148" s="2">
        <v>2240</v>
      </c>
      <c r="I1148" t="s">
        <v>146</v>
      </c>
      <c r="J1148" t="s">
        <v>23</v>
      </c>
      <c r="K1148" t="s">
        <v>18</v>
      </c>
      <c r="L1148" t="str">
        <f>T("9791173788543")</f>
        <v>9791173788543</v>
      </c>
      <c r="M1148" t="str">
        <f t="shared" si="28"/>
        <v/>
      </c>
      <c r="N1148">
        <v>952025</v>
      </c>
    </row>
    <row r="1149" spans="1:14" x14ac:dyDescent="0.3">
      <c r="A1149" s="1">
        <v>46070.484085648146</v>
      </c>
      <c r="B1149">
        <v>335778649</v>
      </c>
      <c r="C1149" t="s">
        <v>164</v>
      </c>
      <c r="D1149" t="s">
        <v>15</v>
      </c>
      <c r="E1149" s="2">
        <v>3200</v>
      </c>
      <c r="F1149" s="2">
        <v>3200</v>
      </c>
      <c r="G1149" s="2">
        <v>2240</v>
      </c>
      <c r="I1149" t="s">
        <v>102</v>
      </c>
      <c r="J1149" t="s">
        <v>23</v>
      </c>
      <c r="K1149" t="s">
        <v>18</v>
      </c>
      <c r="L1149" t="str">
        <f>T("9791136958181")</f>
        <v>9791136958181</v>
      </c>
      <c r="M1149" t="str">
        <f t="shared" si="28"/>
        <v/>
      </c>
      <c r="N1149">
        <v>921584</v>
      </c>
    </row>
    <row r="1150" spans="1:14" x14ac:dyDescent="0.3">
      <c r="A1150" s="1">
        <v>46070.510868055557</v>
      </c>
      <c r="B1150">
        <v>379386288</v>
      </c>
      <c r="C1150" t="s">
        <v>370</v>
      </c>
      <c r="D1150" t="s">
        <v>89</v>
      </c>
      <c r="E1150" s="2">
        <v>11280</v>
      </c>
      <c r="F1150" s="2">
        <v>11280</v>
      </c>
      <c r="G1150" s="2">
        <v>7896</v>
      </c>
      <c r="I1150" t="s">
        <v>102</v>
      </c>
      <c r="J1150" t="s">
        <v>23</v>
      </c>
      <c r="K1150" t="s">
        <v>18</v>
      </c>
      <c r="L1150" t="str">
        <f>T("9791175307438")</f>
        <v>9791175307438</v>
      </c>
      <c r="M1150" t="str">
        <f t="shared" si="28"/>
        <v/>
      </c>
    </row>
    <row r="1151" spans="1:14" x14ac:dyDescent="0.3">
      <c r="A1151" s="1">
        <v>46070.530729166669</v>
      </c>
      <c r="B1151">
        <v>329150962</v>
      </c>
      <c r="C1151" t="s">
        <v>483</v>
      </c>
      <c r="D1151" t="s">
        <v>15</v>
      </c>
      <c r="E1151" s="2">
        <v>3000</v>
      </c>
      <c r="F1151" s="2">
        <v>3000</v>
      </c>
      <c r="G1151" s="2">
        <v>2100</v>
      </c>
      <c r="I1151" t="s">
        <v>484</v>
      </c>
      <c r="J1151" t="s">
        <v>49</v>
      </c>
      <c r="K1151" t="s">
        <v>18</v>
      </c>
      <c r="L1151" t="str">
        <f>T("9791136938855")</f>
        <v>9791136938855</v>
      </c>
      <c r="M1151" t="str">
        <f t="shared" si="28"/>
        <v/>
      </c>
      <c r="N1151">
        <v>913709</v>
      </c>
    </row>
    <row r="1152" spans="1:14" x14ac:dyDescent="0.3">
      <c r="A1152" s="1">
        <v>46070.532361111109</v>
      </c>
      <c r="B1152">
        <v>329693118</v>
      </c>
      <c r="C1152" t="s">
        <v>485</v>
      </c>
      <c r="D1152" t="s">
        <v>15</v>
      </c>
      <c r="E1152" s="2">
        <v>3200</v>
      </c>
      <c r="F1152" s="2">
        <v>3200</v>
      </c>
      <c r="G1152" s="2">
        <v>2240</v>
      </c>
      <c r="I1152" t="s">
        <v>77</v>
      </c>
      <c r="J1152" t="s">
        <v>79</v>
      </c>
      <c r="K1152" t="s">
        <v>18</v>
      </c>
      <c r="L1152" t="str">
        <f>T("9791136930354")</f>
        <v>9791136930354</v>
      </c>
      <c r="M1152" t="str">
        <f t="shared" si="28"/>
        <v/>
      </c>
      <c r="N1152">
        <v>894656</v>
      </c>
    </row>
    <row r="1153" spans="1:14" x14ac:dyDescent="0.3">
      <c r="A1153" s="1">
        <v>46070.532361111109</v>
      </c>
      <c r="B1153">
        <v>329693294</v>
      </c>
      <c r="C1153" t="s">
        <v>486</v>
      </c>
      <c r="D1153" t="s">
        <v>15</v>
      </c>
      <c r="E1153" s="2">
        <v>3200</v>
      </c>
      <c r="F1153" s="2">
        <v>3200</v>
      </c>
      <c r="G1153" s="2">
        <v>2240</v>
      </c>
      <c r="I1153" t="s">
        <v>77</v>
      </c>
      <c r="J1153" t="s">
        <v>79</v>
      </c>
      <c r="K1153" t="s">
        <v>18</v>
      </c>
      <c r="L1153" t="str">
        <f>T("9791136932815")</f>
        <v>9791136932815</v>
      </c>
      <c r="M1153" t="str">
        <f t="shared" si="28"/>
        <v/>
      </c>
      <c r="N1153">
        <v>894656</v>
      </c>
    </row>
    <row r="1154" spans="1:14" x14ac:dyDescent="0.3">
      <c r="A1154" s="1">
        <v>46070.54478009259</v>
      </c>
      <c r="B1154">
        <v>385831063</v>
      </c>
      <c r="C1154" t="s">
        <v>343</v>
      </c>
      <c r="D1154" t="s">
        <v>89</v>
      </c>
      <c r="E1154" s="2">
        <v>10800</v>
      </c>
      <c r="F1154" s="2">
        <v>10800</v>
      </c>
      <c r="G1154" s="2">
        <v>7560</v>
      </c>
      <c r="I1154" t="s">
        <v>344</v>
      </c>
      <c r="J1154" t="s">
        <v>23</v>
      </c>
      <c r="K1154" t="s">
        <v>18</v>
      </c>
      <c r="L1154" t="str">
        <f>T("9791175309456")</f>
        <v>9791175309456</v>
      </c>
      <c r="M1154" t="str">
        <f t="shared" si="28"/>
        <v/>
      </c>
    </row>
    <row r="1155" spans="1:14" x14ac:dyDescent="0.3">
      <c r="A1155" s="1">
        <v>46070.563472222224</v>
      </c>
      <c r="B1155">
        <v>381539758</v>
      </c>
      <c r="C1155" t="s">
        <v>487</v>
      </c>
      <c r="D1155" t="s">
        <v>15</v>
      </c>
      <c r="E1155" s="2">
        <v>3200</v>
      </c>
      <c r="F1155" s="2">
        <v>3200</v>
      </c>
      <c r="G1155" s="2">
        <v>2240</v>
      </c>
      <c r="I1155" t="s">
        <v>193</v>
      </c>
      <c r="J1155" t="s">
        <v>59</v>
      </c>
      <c r="K1155" t="s">
        <v>18</v>
      </c>
      <c r="L1155" t="str">
        <f>T("9791172921781")</f>
        <v>9791172921781</v>
      </c>
      <c r="M1155" t="str">
        <f t="shared" si="28"/>
        <v/>
      </c>
      <c r="N1155">
        <v>929939</v>
      </c>
    </row>
    <row r="1156" spans="1:14" x14ac:dyDescent="0.3">
      <c r="A1156" s="1">
        <v>46070.563472222224</v>
      </c>
      <c r="B1156">
        <v>381539746</v>
      </c>
      <c r="C1156" t="s">
        <v>488</v>
      </c>
      <c r="D1156" t="s">
        <v>15</v>
      </c>
      <c r="E1156" s="2">
        <v>3200</v>
      </c>
      <c r="F1156" s="2">
        <v>3200</v>
      </c>
      <c r="G1156" s="2">
        <v>2240</v>
      </c>
      <c r="I1156" t="s">
        <v>193</v>
      </c>
      <c r="J1156" t="s">
        <v>59</v>
      </c>
      <c r="K1156" t="s">
        <v>18</v>
      </c>
      <c r="L1156" t="str">
        <f>T("9791172921774")</f>
        <v>9791172921774</v>
      </c>
      <c r="M1156" t="str">
        <f t="shared" si="28"/>
        <v/>
      </c>
      <c r="N1156">
        <v>929940</v>
      </c>
    </row>
    <row r="1157" spans="1:14" x14ac:dyDescent="0.3">
      <c r="A1157" s="1">
        <v>46070.604050925926</v>
      </c>
      <c r="B1157">
        <v>381924147</v>
      </c>
      <c r="C1157" t="s">
        <v>188</v>
      </c>
      <c r="D1157" t="s">
        <v>15</v>
      </c>
      <c r="E1157" s="2">
        <v>3400</v>
      </c>
      <c r="F1157" s="2">
        <v>3400</v>
      </c>
      <c r="G1157" s="2">
        <v>2380</v>
      </c>
      <c r="I1157" t="s">
        <v>189</v>
      </c>
      <c r="J1157" t="s">
        <v>70</v>
      </c>
      <c r="K1157" t="s">
        <v>18</v>
      </c>
      <c r="L1157" t="str">
        <f>T("9791175307629")</f>
        <v>9791175307629</v>
      </c>
      <c r="M1157" t="str">
        <f t="shared" si="28"/>
        <v/>
      </c>
      <c r="N1157">
        <v>957340</v>
      </c>
    </row>
    <row r="1158" spans="1:14" x14ac:dyDescent="0.3">
      <c r="A1158" s="1">
        <v>46070.604050925926</v>
      </c>
      <c r="B1158">
        <v>381924198</v>
      </c>
      <c r="C1158" t="s">
        <v>489</v>
      </c>
      <c r="D1158" t="s">
        <v>15</v>
      </c>
      <c r="E1158" s="2">
        <v>3400</v>
      </c>
      <c r="F1158" s="2">
        <v>3400</v>
      </c>
      <c r="G1158" s="2">
        <v>2380</v>
      </c>
      <c r="I1158" t="s">
        <v>189</v>
      </c>
      <c r="J1158" t="s">
        <v>70</v>
      </c>
      <c r="K1158" t="s">
        <v>18</v>
      </c>
      <c r="L1158" t="str">
        <f>T("9791175307612")</f>
        <v>9791175307612</v>
      </c>
      <c r="M1158" t="str">
        <f t="shared" si="28"/>
        <v/>
      </c>
      <c r="N1158">
        <v>957339</v>
      </c>
    </row>
    <row r="1159" spans="1:14" x14ac:dyDescent="0.3">
      <c r="A1159" s="1">
        <v>46070.604050925926</v>
      </c>
      <c r="B1159">
        <v>381924206</v>
      </c>
      <c r="C1159" t="s">
        <v>422</v>
      </c>
      <c r="D1159" t="s">
        <v>15</v>
      </c>
      <c r="E1159" s="2">
        <v>3400</v>
      </c>
      <c r="F1159" s="2">
        <v>3400</v>
      </c>
      <c r="G1159" s="2">
        <v>2380</v>
      </c>
      <c r="I1159" t="s">
        <v>189</v>
      </c>
      <c r="J1159" t="s">
        <v>70</v>
      </c>
      <c r="K1159" t="s">
        <v>18</v>
      </c>
      <c r="L1159" t="str">
        <f>T("9791175307636")</f>
        <v>9791175307636</v>
      </c>
      <c r="M1159" t="str">
        <f t="shared" si="28"/>
        <v/>
      </c>
      <c r="N1159">
        <v>957341</v>
      </c>
    </row>
    <row r="1160" spans="1:14" x14ac:dyDescent="0.3">
      <c r="A1160" s="1">
        <v>46070.61309027778</v>
      </c>
      <c r="B1160">
        <v>357906300</v>
      </c>
      <c r="C1160" t="s">
        <v>490</v>
      </c>
      <c r="D1160" t="s">
        <v>15</v>
      </c>
      <c r="E1160" s="2">
        <v>3200</v>
      </c>
      <c r="F1160" s="2">
        <v>3200</v>
      </c>
      <c r="G1160" s="2">
        <v>2240</v>
      </c>
      <c r="I1160" t="s">
        <v>61</v>
      </c>
      <c r="J1160" t="s">
        <v>59</v>
      </c>
      <c r="K1160" t="s">
        <v>18</v>
      </c>
      <c r="L1160" t="str">
        <f>T("9791136968777")</f>
        <v>9791136968777</v>
      </c>
      <c r="M1160" t="str">
        <f t="shared" si="28"/>
        <v/>
      </c>
      <c r="N1160">
        <v>924665</v>
      </c>
    </row>
    <row r="1161" spans="1:14" x14ac:dyDescent="0.3">
      <c r="A1161" s="1">
        <v>46070.620844907404</v>
      </c>
      <c r="B1161">
        <v>359779074</v>
      </c>
      <c r="C1161" t="s">
        <v>385</v>
      </c>
      <c r="D1161" t="s">
        <v>89</v>
      </c>
      <c r="E1161" s="2">
        <v>12040</v>
      </c>
      <c r="F1161" s="2">
        <v>12040</v>
      </c>
      <c r="G1161" s="2">
        <v>8428</v>
      </c>
      <c r="I1161" t="s">
        <v>99</v>
      </c>
      <c r="J1161" t="s">
        <v>23</v>
      </c>
      <c r="K1161" t="s">
        <v>18</v>
      </c>
      <c r="L1161" t="str">
        <f>T("9791194664475")</f>
        <v>9791194664475</v>
      </c>
      <c r="M1161" t="str">
        <f t="shared" si="28"/>
        <v/>
      </c>
    </row>
    <row r="1162" spans="1:14" x14ac:dyDescent="0.3">
      <c r="A1162" s="1">
        <v>46070.620844907404</v>
      </c>
      <c r="B1162">
        <v>379386288</v>
      </c>
      <c r="C1162" t="s">
        <v>370</v>
      </c>
      <c r="D1162" t="s">
        <v>89</v>
      </c>
      <c r="E1162" s="2">
        <v>11280</v>
      </c>
      <c r="F1162" s="2">
        <v>11280</v>
      </c>
      <c r="G1162" s="2">
        <v>7896</v>
      </c>
      <c r="I1162" t="s">
        <v>102</v>
      </c>
      <c r="J1162" t="s">
        <v>23</v>
      </c>
      <c r="K1162" t="s">
        <v>18</v>
      </c>
      <c r="L1162" t="str">
        <f>T("9791175307438")</f>
        <v>9791175307438</v>
      </c>
      <c r="M1162" t="str">
        <f t="shared" si="28"/>
        <v/>
      </c>
    </row>
    <row r="1163" spans="1:14" x14ac:dyDescent="0.3">
      <c r="A1163" s="1">
        <v>46070.645636574074</v>
      </c>
      <c r="B1163">
        <v>379386288</v>
      </c>
      <c r="C1163" t="s">
        <v>370</v>
      </c>
      <c r="D1163" t="s">
        <v>89</v>
      </c>
      <c r="E1163" s="2">
        <v>11280</v>
      </c>
      <c r="F1163" s="2">
        <v>11280</v>
      </c>
      <c r="G1163" s="2">
        <v>7896</v>
      </c>
      <c r="I1163" t="s">
        <v>102</v>
      </c>
      <c r="J1163" t="s">
        <v>23</v>
      </c>
      <c r="K1163" t="s">
        <v>18</v>
      </c>
      <c r="L1163" t="str">
        <f>T("9791175307438")</f>
        <v>9791175307438</v>
      </c>
      <c r="M1163" t="str">
        <f t="shared" si="28"/>
        <v/>
      </c>
    </row>
    <row r="1164" spans="1:14" x14ac:dyDescent="0.3">
      <c r="A1164" s="1">
        <v>46070.660208333335</v>
      </c>
      <c r="B1164">
        <v>34440529</v>
      </c>
      <c r="C1164" t="s">
        <v>100</v>
      </c>
      <c r="D1164" t="s">
        <v>15</v>
      </c>
      <c r="E1164" s="2">
        <v>2500</v>
      </c>
      <c r="F1164" s="2">
        <v>2500</v>
      </c>
      <c r="G1164" s="2">
        <v>1750</v>
      </c>
      <c r="I1164" t="s">
        <v>27</v>
      </c>
      <c r="J1164" t="s">
        <v>79</v>
      </c>
      <c r="K1164" t="s">
        <v>18</v>
      </c>
      <c r="L1164" t="str">
        <f>T("9791133167234")</f>
        <v>9791133167234</v>
      </c>
      <c r="M1164" t="str">
        <f t="shared" ref="M1164:M1184" si="29">T("")</f>
        <v/>
      </c>
      <c r="N1164">
        <v>151142</v>
      </c>
    </row>
    <row r="1165" spans="1:14" x14ac:dyDescent="0.3">
      <c r="A1165" s="1">
        <v>46070.69425925926</v>
      </c>
      <c r="B1165">
        <v>361759197</v>
      </c>
      <c r="C1165" t="s">
        <v>205</v>
      </c>
      <c r="D1165" t="s">
        <v>15</v>
      </c>
      <c r="E1165" s="2">
        <v>5000</v>
      </c>
      <c r="F1165" s="2">
        <v>5000</v>
      </c>
      <c r="G1165" s="2">
        <v>3500</v>
      </c>
      <c r="I1165" t="s">
        <v>198</v>
      </c>
      <c r="J1165" t="s">
        <v>49</v>
      </c>
      <c r="K1165" t="s">
        <v>18</v>
      </c>
      <c r="L1165" t="str">
        <f>T("9791173783234")</f>
        <v>9791173783234</v>
      </c>
      <c r="M1165" t="str">
        <f t="shared" si="29"/>
        <v/>
      </c>
      <c r="N1165">
        <v>947667</v>
      </c>
    </row>
    <row r="1166" spans="1:14" x14ac:dyDescent="0.3">
      <c r="A1166" s="1">
        <v>46070.69425925926</v>
      </c>
      <c r="B1166">
        <v>361759392</v>
      </c>
      <c r="C1166" t="s">
        <v>491</v>
      </c>
      <c r="D1166" t="s">
        <v>15</v>
      </c>
      <c r="E1166" s="2">
        <v>5000</v>
      </c>
      <c r="F1166" s="2">
        <v>5000</v>
      </c>
      <c r="G1166" s="2">
        <v>3500</v>
      </c>
      <c r="I1166" t="s">
        <v>198</v>
      </c>
      <c r="J1166" t="s">
        <v>49</v>
      </c>
      <c r="K1166" t="s">
        <v>18</v>
      </c>
      <c r="L1166" t="str">
        <f>T("9791173783227")</f>
        <v>9791173783227</v>
      </c>
      <c r="M1166" t="str">
        <f t="shared" si="29"/>
        <v/>
      </c>
      <c r="N1166">
        <v>947668</v>
      </c>
    </row>
    <row r="1167" spans="1:14" x14ac:dyDescent="0.3">
      <c r="A1167" s="1">
        <v>46070.701886574076</v>
      </c>
      <c r="B1167">
        <v>260032641</v>
      </c>
      <c r="C1167" t="s">
        <v>492</v>
      </c>
      <c r="D1167" t="s">
        <v>15</v>
      </c>
      <c r="E1167" s="2">
        <v>3600</v>
      </c>
      <c r="F1167" s="2">
        <v>3600</v>
      </c>
      <c r="G1167" s="2">
        <v>2520</v>
      </c>
      <c r="I1167" t="s">
        <v>493</v>
      </c>
      <c r="J1167" t="s">
        <v>20</v>
      </c>
      <c r="K1167" t="s">
        <v>18</v>
      </c>
      <c r="L1167" t="str">
        <f>T("9791136911360")</f>
        <v>9791136911360</v>
      </c>
      <c r="M1167" t="str">
        <f t="shared" si="29"/>
        <v/>
      </c>
      <c r="N1167">
        <v>830007</v>
      </c>
    </row>
    <row r="1168" spans="1:14" x14ac:dyDescent="0.3">
      <c r="A1168" s="1">
        <v>46070.72320601852</v>
      </c>
      <c r="B1168">
        <v>379386288</v>
      </c>
      <c r="C1168" t="s">
        <v>370</v>
      </c>
      <c r="D1168" t="s">
        <v>15</v>
      </c>
      <c r="E1168" s="2">
        <v>14100</v>
      </c>
      <c r="F1168" s="2">
        <v>14100</v>
      </c>
      <c r="G1168" s="2">
        <v>9870</v>
      </c>
      <c r="I1168" t="s">
        <v>102</v>
      </c>
      <c r="J1168" t="s">
        <v>23</v>
      </c>
      <c r="K1168" t="s">
        <v>18</v>
      </c>
      <c r="L1168" t="str">
        <f>T("9791175307438")</f>
        <v>9791175307438</v>
      </c>
      <c r="M1168" t="str">
        <f t="shared" si="29"/>
        <v/>
      </c>
    </row>
    <row r="1169" spans="1:14" x14ac:dyDescent="0.3">
      <c r="A1169" s="1">
        <v>46070.795416666668</v>
      </c>
      <c r="B1169">
        <v>365656697</v>
      </c>
      <c r="C1169" t="s">
        <v>239</v>
      </c>
      <c r="D1169" t="s">
        <v>89</v>
      </c>
      <c r="E1169" s="2">
        <v>-5760</v>
      </c>
      <c r="F1169" s="2">
        <v>-5760</v>
      </c>
      <c r="G1169" s="2">
        <v>-4032</v>
      </c>
      <c r="H1169" s="1">
        <v>46070.754537037035</v>
      </c>
      <c r="I1169" t="s">
        <v>240</v>
      </c>
      <c r="J1169" t="s">
        <v>49</v>
      </c>
      <c r="K1169" t="s">
        <v>18</v>
      </c>
      <c r="L1169" t="str">
        <f>T("9791173783630")</f>
        <v>9791173783630</v>
      </c>
      <c r="M1169" t="str">
        <f t="shared" si="29"/>
        <v/>
      </c>
    </row>
    <row r="1170" spans="1:14" x14ac:dyDescent="0.3">
      <c r="A1170" s="1">
        <v>46070.754537037035</v>
      </c>
      <c r="B1170">
        <v>365656697</v>
      </c>
      <c r="C1170" t="s">
        <v>239</v>
      </c>
      <c r="D1170" t="s">
        <v>89</v>
      </c>
      <c r="E1170" s="2">
        <v>5760</v>
      </c>
      <c r="F1170" s="2">
        <v>5760</v>
      </c>
      <c r="G1170" s="2">
        <v>4032</v>
      </c>
      <c r="I1170" t="s">
        <v>240</v>
      </c>
      <c r="J1170" t="s">
        <v>49</v>
      </c>
      <c r="K1170" t="s">
        <v>18</v>
      </c>
      <c r="L1170" t="str">
        <f>T("9791173783630")</f>
        <v>9791173783630</v>
      </c>
      <c r="M1170" t="str">
        <f t="shared" si="29"/>
        <v/>
      </c>
    </row>
    <row r="1171" spans="1:14" x14ac:dyDescent="0.3">
      <c r="A1171" s="1">
        <v>46070.760925925926</v>
      </c>
      <c r="B1171">
        <v>369306537</v>
      </c>
      <c r="C1171" t="s">
        <v>35</v>
      </c>
      <c r="D1171" t="s">
        <v>15</v>
      </c>
      <c r="E1171" s="2">
        <v>1000</v>
      </c>
      <c r="F1171" s="2">
        <v>1000</v>
      </c>
      <c r="G1171">
        <v>700</v>
      </c>
      <c r="I1171" t="s">
        <v>36</v>
      </c>
      <c r="J1171" t="s">
        <v>37</v>
      </c>
      <c r="K1171" t="s">
        <v>18</v>
      </c>
      <c r="L1171" t="str">
        <f>T("9791173786402")</f>
        <v>9791173786402</v>
      </c>
      <c r="M1171" t="str">
        <f t="shared" si="29"/>
        <v/>
      </c>
      <c r="N1171">
        <v>950696</v>
      </c>
    </row>
    <row r="1172" spans="1:14" x14ac:dyDescent="0.3">
      <c r="A1172" s="1">
        <v>46070.785208333335</v>
      </c>
      <c r="B1172">
        <v>316293083</v>
      </c>
      <c r="C1172" t="s">
        <v>465</v>
      </c>
      <c r="D1172" t="s">
        <v>89</v>
      </c>
      <c r="E1172" s="2">
        <v>8190</v>
      </c>
      <c r="F1172" s="2">
        <v>8190</v>
      </c>
      <c r="G1172" s="2">
        <v>5733</v>
      </c>
      <c r="I1172" t="s">
        <v>124</v>
      </c>
      <c r="J1172" t="s">
        <v>23</v>
      </c>
      <c r="K1172" t="s">
        <v>18</v>
      </c>
      <c r="L1172" t="str">
        <f>T("9791136936097")</f>
        <v>9791136936097</v>
      </c>
      <c r="M1172" t="str">
        <f t="shared" si="29"/>
        <v/>
      </c>
    </row>
    <row r="1173" spans="1:14" x14ac:dyDescent="0.3">
      <c r="A1173" s="1">
        <v>46070.791620370372</v>
      </c>
      <c r="B1173">
        <v>330725632</v>
      </c>
      <c r="C1173" t="s">
        <v>494</v>
      </c>
      <c r="D1173" t="s">
        <v>89</v>
      </c>
      <c r="E1173" s="2">
        <v>7000</v>
      </c>
      <c r="F1173" s="2">
        <v>7000</v>
      </c>
      <c r="G1173" s="2">
        <v>4900</v>
      </c>
      <c r="I1173" t="s">
        <v>468</v>
      </c>
      <c r="J1173" t="s">
        <v>37</v>
      </c>
      <c r="K1173" t="s">
        <v>18</v>
      </c>
      <c r="L1173" t="str">
        <f>T("9791172924089")</f>
        <v>9791172924089</v>
      </c>
      <c r="M1173" t="str">
        <f t="shared" si="29"/>
        <v/>
      </c>
    </row>
    <row r="1174" spans="1:14" x14ac:dyDescent="0.3">
      <c r="A1174" s="1">
        <v>46070.791620370372</v>
      </c>
      <c r="B1174">
        <v>365656697</v>
      </c>
      <c r="C1174" t="s">
        <v>239</v>
      </c>
      <c r="D1174" t="s">
        <v>89</v>
      </c>
      <c r="E1174" s="2">
        <v>5760</v>
      </c>
      <c r="F1174" s="2">
        <v>5760</v>
      </c>
      <c r="G1174" s="2">
        <v>4032</v>
      </c>
      <c r="I1174" t="s">
        <v>240</v>
      </c>
      <c r="J1174" t="s">
        <v>49</v>
      </c>
      <c r="K1174" t="s">
        <v>18</v>
      </c>
      <c r="L1174" t="str">
        <f>T("9791173783630")</f>
        <v>9791173783630</v>
      </c>
      <c r="M1174" t="str">
        <f t="shared" si="29"/>
        <v/>
      </c>
    </row>
    <row r="1175" spans="1:14" x14ac:dyDescent="0.3">
      <c r="A1175" s="1">
        <v>46070.798854166664</v>
      </c>
      <c r="B1175">
        <v>383003455</v>
      </c>
      <c r="C1175" t="s">
        <v>495</v>
      </c>
      <c r="D1175" t="s">
        <v>15</v>
      </c>
      <c r="E1175" s="2">
        <v>3200</v>
      </c>
      <c r="F1175" s="2">
        <v>3200</v>
      </c>
      <c r="G1175" s="2">
        <v>2240</v>
      </c>
      <c r="I1175" t="s">
        <v>365</v>
      </c>
      <c r="J1175" t="s">
        <v>59</v>
      </c>
      <c r="K1175" t="s">
        <v>18</v>
      </c>
      <c r="L1175" t="str">
        <f>T("9791173789069")</f>
        <v>9791173789069</v>
      </c>
      <c r="M1175" t="str">
        <f t="shared" si="29"/>
        <v/>
      </c>
      <c r="N1175">
        <v>951990</v>
      </c>
    </row>
    <row r="1176" spans="1:14" x14ac:dyDescent="0.3">
      <c r="A1176" s="1">
        <v>46070.801481481481</v>
      </c>
      <c r="B1176">
        <v>361759487</v>
      </c>
      <c r="C1176" t="s">
        <v>496</v>
      </c>
      <c r="D1176" t="s">
        <v>15</v>
      </c>
      <c r="E1176" s="2">
        <v>30000</v>
      </c>
      <c r="F1176" s="2">
        <v>30000</v>
      </c>
      <c r="G1176" s="2">
        <v>21000</v>
      </c>
      <c r="I1176" t="s">
        <v>198</v>
      </c>
      <c r="J1176" t="s">
        <v>49</v>
      </c>
      <c r="K1176" t="s">
        <v>18</v>
      </c>
      <c r="L1176" t="str">
        <f>T("9791173783210")</f>
        <v>9791173783210</v>
      </c>
      <c r="M1176" t="str">
        <f t="shared" si="29"/>
        <v/>
      </c>
    </row>
    <row r="1177" spans="1:14" x14ac:dyDescent="0.3">
      <c r="A1177" s="1">
        <v>46070.81523148148</v>
      </c>
      <c r="B1177">
        <v>385636113</v>
      </c>
      <c r="C1177" t="s">
        <v>378</v>
      </c>
      <c r="D1177" t="s">
        <v>15</v>
      </c>
      <c r="E1177" s="2">
        <v>3500</v>
      </c>
      <c r="F1177" s="2">
        <v>3150</v>
      </c>
      <c r="G1177" s="2">
        <v>2205</v>
      </c>
      <c r="I1177" t="s">
        <v>246</v>
      </c>
      <c r="J1177" t="s">
        <v>23</v>
      </c>
      <c r="K1177" t="s">
        <v>18</v>
      </c>
      <c r="L1177" t="str">
        <f>T("9791175309531")</f>
        <v>9791175309531</v>
      </c>
      <c r="M1177" t="str">
        <f t="shared" si="29"/>
        <v/>
      </c>
      <c r="N1177">
        <v>958041</v>
      </c>
    </row>
    <row r="1178" spans="1:14" x14ac:dyDescent="0.3">
      <c r="A1178" s="1">
        <v>46070.821516203701</v>
      </c>
      <c r="B1178">
        <v>359779074</v>
      </c>
      <c r="C1178" t="s">
        <v>385</v>
      </c>
      <c r="D1178" t="s">
        <v>89</v>
      </c>
      <c r="E1178" s="2">
        <v>-12040</v>
      </c>
      <c r="F1178" s="2">
        <v>-12040</v>
      </c>
      <c r="G1178" s="2">
        <v>-8428</v>
      </c>
      <c r="H1178" s="1">
        <v>46070.821111111109</v>
      </c>
      <c r="I1178" t="s">
        <v>99</v>
      </c>
      <c r="J1178" t="s">
        <v>23</v>
      </c>
      <c r="K1178" t="s">
        <v>18</v>
      </c>
      <c r="L1178" t="str">
        <f>T("9791194664475")</f>
        <v>9791194664475</v>
      </c>
      <c r="M1178" t="str">
        <f t="shared" si="29"/>
        <v/>
      </c>
    </row>
    <row r="1179" spans="1:14" x14ac:dyDescent="0.3">
      <c r="A1179" s="1">
        <v>46070.821111111109</v>
      </c>
      <c r="B1179">
        <v>359779074</v>
      </c>
      <c r="C1179" t="s">
        <v>385</v>
      </c>
      <c r="D1179" t="s">
        <v>89</v>
      </c>
      <c r="E1179" s="2">
        <v>12040</v>
      </c>
      <c r="F1179" s="2">
        <v>12040</v>
      </c>
      <c r="G1179" s="2">
        <v>8428</v>
      </c>
      <c r="I1179" t="s">
        <v>99</v>
      </c>
      <c r="J1179" t="s">
        <v>23</v>
      </c>
      <c r="K1179" t="s">
        <v>18</v>
      </c>
      <c r="L1179" t="str">
        <f>T("9791194664475")</f>
        <v>9791194664475</v>
      </c>
      <c r="M1179" t="str">
        <f t="shared" si="29"/>
        <v/>
      </c>
    </row>
    <row r="1180" spans="1:14" x14ac:dyDescent="0.3">
      <c r="A1180" s="1">
        <v>46070.835162037038</v>
      </c>
      <c r="B1180">
        <v>379385369</v>
      </c>
      <c r="C1180" t="s">
        <v>101</v>
      </c>
      <c r="D1180" t="s">
        <v>15</v>
      </c>
      <c r="E1180" s="2">
        <v>1500</v>
      </c>
      <c r="F1180" s="2">
        <v>1500</v>
      </c>
      <c r="G1180" s="2">
        <v>1050</v>
      </c>
      <c r="I1180" t="s">
        <v>102</v>
      </c>
      <c r="J1180" t="s">
        <v>23</v>
      </c>
      <c r="K1180" t="s">
        <v>18</v>
      </c>
      <c r="L1180" t="str">
        <f>T("9791175307254")</f>
        <v>9791175307254</v>
      </c>
      <c r="M1180" t="str">
        <f t="shared" si="29"/>
        <v/>
      </c>
      <c r="N1180">
        <v>957333</v>
      </c>
    </row>
    <row r="1181" spans="1:14" x14ac:dyDescent="0.3">
      <c r="A1181" s="1">
        <v>46070.843321759261</v>
      </c>
      <c r="B1181">
        <v>371102770</v>
      </c>
      <c r="C1181" t="s">
        <v>395</v>
      </c>
      <c r="D1181" t="s">
        <v>89</v>
      </c>
      <c r="E1181" s="2">
        <v>6930</v>
      </c>
      <c r="F1181" s="2">
        <v>6930</v>
      </c>
      <c r="G1181" s="2">
        <v>4851</v>
      </c>
      <c r="I1181" t="s">
        <v>234</v>
      </c>
      <c r="J1181" t="s">
        <v>23</v>
      </c>
      <c r="K1181" t="s">
        <v>18</v>
      </c>
      <c r="L1181" t="str">
        <f>T("9791175300569")</f>
        <v>9791175300569</v>
      </c>
      <c r="M1181" t="str">
        <f t="shared" si="29"/>
        <v/>
      </c>
    </row>
    <row r="1182" spans="1:14" x14ac:dyDescent="0.3">
      <c r="A1182" s="1">
        <v>46070.84516203704</v>
      </c>
      <c r="B1182">
        <v>359779074</v>
      </c>
      <c r="C1182" t="s">
        <v>385</v>
      </c>
      <c r="D1182" t="s">
        <v>15</v>
      </c>
      <c r="E1182" s="2">
        <v>17200</v>
      </c>
      <c r="F1182" s="2">
        <v>17200</v>
      </c>
      <c r="G1182" s="2">
        <v>12040</v>
      </c>
      <c r="I1182" t="s">
        <v>99</v>
      </c>
      <c r="J1182" t="s">
        <v>23</v>
      </c>
      <c r="K1182" t="s">
        <v>18</v>
      </c>
      <c r="L1182" t="str">
        <f>T("9791194664475")</f>
        <v>9791194664475</v>
      </c>
      <c r="M1182" t="str">
        <f t="shared" si="29"/>
        <v/>
      </c>
    </row>
    <row r="1183" spans="1:14" x14ac:dyDescent="0.3">
      <c r="A1183" s="1">
        <v>46070.858784722222</v>
      </c>
      <c r="B1183">
        <v>372070429</v>
      </c>
      <c r="C1183" t="s">
        <v>497</v>
      </c>
      <c r="D1183" t="s">
        <v>89</v>
      </c>
      <c r="E1183" s="2">
        <v>6300</v>
      </c>
      <c r="F1183" s="2">
        <v>6300</v>
      </c>
      <c r="G1183" s="2">
        <v>4410</v>
      </c>
      <c r="I1183" t="s">
        <v>406</v>
      </c>
      <c r="J1183" t="s">
        <v>70</v>
      </c>
      <c r="K1183" t="s">
        <v>18</v>
      </c>
      <c r="L1183" t="str">
        <f>T("9791175304802")</f>
        <v>9791175304802</v>
      </c>
      <c r="M1183" t="str">
        <f t="shared" si="29"/>
        <v/>
      </c>
    </row>
    <row r="1184" spans="1:14" x14ac:dyDescent="0.3">
      <c r="A1184" s="1">
        <v>46070.863981481481</v>
      </c>
      <c r="B1184">
        <v>385347659</v>
      </c>
      <c r="C1184" t="s">
        <v>86</v>
      </c>
      <c r="D1184" t="s">
        <v>15</v>
      </c>
      <c r="E1184" s="2">
        <v>1000</v>
      </c>
      <c r="F1184">
        <v>900</v>
      </c>
      <c r="G1184">
        <v>630</v>
      </c>
      <c r="I1184" t="s">
        <v>87</v>
      </c>
      <c r="J1184" t="s">
        <v>23</v>
      </c>
      <c r="K1184" t="s">
        <v>18</v>
      </c>
      <c r="L1184" t="str">
        <f>T("9791175308510")</f>
        <v>9791175308510</v>
      </c>
      <c r="M1184" t="str">
        <f t="shared" si="29"/>
        <v/>
      </c>
      <c r="N1184">
        <v>957881</v>
      </c>
    </row>
    <row r="1185" spans="1:14" x14ac:dyDescent="0.3">
      <c r="A1185" s="1">
        <v>46070.868923611109</v>
      </c>
      <c r="B1185">
        <v>385804034</v>
      </c>
      <c r="C1185" t="s">
        <v>330</v>
      </c>
      <c r="D1185" t="s">
        <v>15</v>
      </c>
      <c r="E1185">
        <v>0</v>
      </c>
      <c r="F1185">
        <v>0</v>
      </c>
      <c r="G1185">
        <v>0</v>
      </c>
      <c r="I1185" t="s">
        <v>331</v>
      </c>
      <c r="J1185" t="s">
        <v>52</v>
      </c>
      <c r="K1185" t="s">
        <v>18</v>
      </c>
      <c r="L1185" t="str">
        <f>T("")</f>
        <v/>
      </c>
      <c r="M1185" t="str">
        <f>T("G720:N+A101-20260128080.M001")</f>
        <v>G720:N+A101-20260128080.M001</v>
      </c>
      <c r="N1185">
        <v>959682</v>
      </c>
    </row>
    <row r="1186" spans="1:14" x14ac:dyDescent="0.3">
      <c r="A1186" s="1">
        <v>46070.874548611115</v>
      </c>
      <c r="B1186">
        <v>357993456</v>
      </c>
      <c r="C1186" t="s">
        <v>438</v>
      </c>
      <c r="D1186" t="s">
        <v>89</v>
      </c>
      <c r="E1186" s="2">
        <v>5700</v>
      </c>
      <c r="F1186" s="2">
        <v>5700</v>
      </c>
      <c r="G1186" s="2">
        <v>3990</v>
      </c>
      <c r="I1186" t="s">
        <v>96</v>
      </c>
      <c r="J1186" t="s">
        <v>23</v>
      </c>
      <c r="K1186" t="s">
        <v>18</v>
      </c>
      <c r="L1186" t="str">
        <f>T("9791172928094")</f>
        <v>9791172928094</v>
      </c>
      <c r="M1186" t="str">
        <f t="shared" ref="M1186:M1249" si="30">T("")</f>
        <v/>
      </c>
    </row>
    <row r="1187" spans="1:14" x14ac:dyDescent="0.3">
      <c r="A1187" s="1">
        <v>46070.893761574072</v>
      </c>
      <c r="B1187">
        <v>34440523</v>
      </c>
      <c r="C1187" t="s">
        <v>231</v>
      </c>
      <c r="D1187" t="s">
        <v>15</v>
      </c>
      <c r="E1187" s="2">
        <v>2500</v>
      </c>
      <c r="F1187" s="2">
        <v>2500</v>
      </c>
      <c r="G1187" s="2">
        <v>1750</v>
      </c>
      <c r="I1187" t="s">
        <v>27</v>
      </c>
      <c r="J1187" t="s">
        <v>79</v>
      </c>
      <c r="K1187" t="s">
        <v>18</v>
      </c>
      <c r="L1187" t="str">
        <f>T("9791133167296")</f>
        <v>9791133167296</v>
      </c>
      <c r="M1187" t="str">
        <f t="shared" si="30"/>
        <v/>
      </c>
      <c r="N1187">
        <v>151148</v>
      </c>
    </row>
    <row r="1188" spans="1:14" x14ac:dyDescent="0.3">
      <c r="A1188" s="1">
        <v>46070.893761574072</v>
      </c>
      <c r="B1188">
        <v>34440524</v>
      </c>
      <c r="C1188" t="s">
        <v>498</v>
      </c>
      <c r="D1188" t="s">
        <v>15</v>
      </c>
      <c r="E1188" s="2">
        <v>2500</v>
      </c>
      <c r="F1188" s="2">
        <v>2500</v>
      </c>
      <c r="G1188" s="2">
        <v>1750</v>
      </c>
      <c r="I1188" t="s">
        <v>27</v>
      </c>
      <c r="J1188" t="s">
        <v>79</v>
      </c>
      <c r="K1188" t="s">
        <v>18</v>
      </c>
      <c r="L1188" t="str">
        <f>T("9791133167289")</f>
        <v>9791133167289</v>
      </c>
      <c r="M1188" t="str">
        <f t="shared" si="30"/>
        <v/>
      </c>
      <c r="N1188">
        <v>151147</v>
      </c>
    </row>
    <row r="1189" spans="1:14" x14ac:dyDescent="0.3">
      <c r="A1189" s="1">
        <v>46070.893761574072</v>
      </c>
      <c r="B1189">
        <v>34440525</v>
      </c>
      <c r="C1189" t="s">
        <v>499</v>
      </c>
      <c r="D1189" t="s">
        <v>15</v>
      </c>
      <c r="E1189" s="2">
        <v>2500</v>
      </c>
      <c r="F1189" s="2">
        <v>2500</v>
      </c>
      <c r="G1189" s="2">
        <v>1750</v>
      </c>
      <c r="I1189" t="s">
        <v>27</v>
      </c>
      <c r="J1189" t="s">
        <v>79</v>
      </c>
      <c r="K1189" t="s">
        <v>18</v>
      </c>
      <c r="L1189" t="str">
        <f>T("9791133167272")</f>
        <v>9791133167272</v>
      </c>
      <c r="M1189" t="str">
        <f t="shared" si="30"/>
        <v/>
      </c>
      <c r="N1189">
        <v>151146</v>
      </c>
    </row>
    <row r="1190" spans="1:14" x14ac:dyDescent="0.3">
      <c r="A1190" s="1">
        <v>46070.893761574072</v>
      </c>
      <c r="B1190">
        <v>34440526</v>
      </c>
      <c r="C1190" t="s">
        <v>500</v>
      </c>
      <c r="D1190" t="s">
        <v>15</v>
      </c>
      <c r="E1190" s="2">
        <v>2500</v>
      </c>
      <c r="F1190" s="2">
        <v>2500</v>
      </c>
      <c r="G1190" s="2">
        <v>1750</v>
      </c>
      <c r="I1190" t="s">
        <v>27</v>
      </c>
      <c r="J1190" t="s">
        <v>79</v>
      </c>
      <c r="K1190" t="s">
        <v>18</v>
      </c>
      <c r="L1190" t="str">
        <f>T("9791133167265")</f>
        <v>9791133167265</v>
      </c>
      <c r="M1190" t="str">
        <f t="shared" si="30"/>
        <v/>
      </c>
      <c r="N1190">
        <v>151145</v>
      </c>
    </row>
    <row r="1191" spans="1:14" x14ac:dyDescent="0.3">
      <c r="A1191" s="1">
        <v>46070.893761574072</v>
      </c>
      <c r="B1191">
        <v>34440527</v>
      </c>
      <c r="C1191" t="s">
        <v>501</v>
      </c>
      <c r="D1191" t="s">
        <v>15</v>
      </c>
      <c r="E1191" s="2">
        <v>2500</v>
      </c>
      <c r="F1191" s="2">
        <v>2500</v>
      </c>
      <c r="G1191" s="2">
        <v>1750</v>
      </c>
      <c r="I1191" t="s">
        <v>27</v>
      </c>
      <c r="J1191" t="s">
        <v>79</v>
      </c>
      <c r="K1191" t="s">
        <v>18</v>
      </c>
      <c r="L1191" t="str">
        <f>T("9791133167258")</f>
        <v>9791133167258</v>
      </c>
      <c r="M1191" t="str">
        <f t="shared" si="30"/>
        <v/>
      </c>
      <c r="N1191">
        <v>151144</v>
      </c>
    </row>
    <row r="1192" spans="1:14" x14ac:dyDescent="0.3">
      <c r="A1192" s="1">
        <v>46070.893761574072</v>
      </c>
      <c r="B1192">
        <v>34440528</v>
      </c>
      <c r="C1192" t="s">
        <v>167</v>
      </c>
      <c r="D1192" t="s">
        <v>15</v>
      </c>
      <c r="E1192" s="2">
        <v>2500</v>
      </c>
      <c r="F1192" s="2">
        <v>2500</v>
      </c>
      <c r="G1192" s="2">
        <v>1750</v>
      </c>
      <c r="I1192" t="s">
        <v>27</v>
      </c>
      <c r="J1192" t="s">
        <v>79</v>
      </c>
      <c r="K1192" t="s">
        <v>18</v>
      </c>
      <c r="L1192" t="str">
        <f>T("9791133167241")</f>
        <v>9791133167241</v>
      </c>
      <c r="M1192" t="str">
        <f t="shared" si="30"/>
        <v/>
      </c>
      <c r="N1192">
        <v>151143</v>
      </c>
    </row>
    <row r="1193" spans="1:14" x14ac:dyDescent="0.3">
      <c r="A1193" s="1">
        <v>46070.894884259258</v>
      </c>
      <c r="B1193">
        <v>367023539</v>
      </c>
      <c r="C1193" t="s">
        <v>342</v>
      </c>
      <c r="D1193" t="s">
        <v>15</v>
      </c>
      <c r="E1193" s="2">
        <v>1300</v>
      </c>
      <c r="F1193" s="2">
        <v>1300</v>
      </c>
      <c r="G1193">
        <v>910</v>
      </c>
      <c r="I1193" t="s">
        <v>294</v>
      </c>
      <c r="J1193" t="s">
        <v>23</v>
      </c>
      <c r="K1193" t="s">
        <v>18</v>
      </c>
      <c r="L1193" t="str">
        <f>T("9791173785634")</f>
        <v>9791173785634</v>
      </c>
      <c r="M1193" t="str">
        <f t="shared" si="30"/>
        <v/>
      </c>
      <c r="N1193">
        <v>950711</v>
      </c>
    </row>
    <row r="1194" spans="1:14" x14ac:dyDescent="0.3">
      <c r="A1194" s="1">
        <v>46070.904456018521</v>
      </c>
      <c r="B1194">
        <v>385348414</v>
      </c>
      <c r="C1194" t="s">
        <v>114</v>
      </c>
      <c r="D1194" t="s">
        <v>15</v>
      </c>
      <c r="E1194" s="2">
        <v>13000</v>
      </c>
      <c r="F1194" s="2">
        <v>11700</v>
      </c>
      <c r="G1194" s="2">
        <v>8190</v>
      </c>
      <c r="I1194" t="s">
        <v>87</v>
      </c>
      <c r="J1194" t="s">
        <v>23</v>
      </c>
      <c r="K1194" t="s">
        <v>18</v>
      </c>
      <c r="L1194" t="str">
        <f>T("9791175308503")</f>
        <v>9791175308503</v>
      </c>
      <c r="M1194" t="str">
        <f t="shared" si="30"/>
        <v/>
      </c>
    </row>
    <row r="1195" spans="1:14" x14ac:dyDescent="0.3">
      <c r="A1195" s="1">
        <v>46070.921585648146</v>
      </c>
      <c r="B1195">
        <v>371102770</v>
      </c>
      <c r="C1195" t="s">
        <v>395</v>
      </c>
      <c r="D1195" t="s">
        <v>89</v>
      </c>
      <c r="E1195" s="2">
        <v>6930</v>
      </c>
      <c r="F1195" s="2">
        <v>6930</v>
      </c>
      <c r="G1195" s="2">
        <v>4851</v>
      </c>
      <c r="I1195" t="s">
        <v>234</v>
      </c>
      <c r="J1195" t="s">
        <v>23</v>
      </c>
      <c r="K1195" t="s">
        <v>18</v>
      </c>
      <c r="L1195" t="str">
        <f>T("9791175300569")</f>
        <v>9791175300569</v>
      </c>
      <c r="M1195" t="str">
        <f t="shared" si="30"/>
        <v/>
      </c>
    </row>
    <row r="1196" spans="1:14" x14ac:dyDescent="0.3">
      <c r="A1196" s="1">
        <v>46070.937685185185</v>
      </c>
      <c r="B1196">
        <v>347624999</v>
      </c>
      <c r="C1196" t="s">
        <v>405</v>
      </c>
      <c r="D1196" t="s">
        <v>15</v>
      </c>
      <c r="E1196" s="2">
        <v>3300</v>
      </c>
      <c r="F1196" s="2">
        <v>3300</v>
      </c>
      <c r="G1196" s="2">
        <v>2310</v>
      </c>
      <c r="I1196" t="s">
        <v>406</v>
      </c>
      <c r="J1196" t="s">
        <v>70</v>
      </c>
      <c r="K1196" t="s">
        <v>18</v>
      </c>
      <c r="L1196" t="str">
        <f>T("9791136997623")</f>
        <v>9791136997623</v>
      </c>
      <c r="M1196" t="str">
        <f t="shared" si="30"/>
        <v/>
      </c>
      <c r="N1196">
        <v>928326</v>
      </c>
    </row>
    <row r="1197" spans="1:14" x14ac:dyDescent="0.3">
      <c r="A1197" s="1">
        <v>46070.938993055555</v>
      </c>
      <c r="B1197">
        <v>370829996</v>
      </c>
      <c r="C1197" t="s">
        <v>502</v>
      </c>
      <c r="D1197" t="s">
        <v>15</v>
      </c>
      <c r="E1197">
        <v>0</v>
      </c>
      <c r="F1197">
        <v>0</v>
      </c>
      <c r="G1197">
        <v>0</v>
      </c>
      <c r="I1197" t="s">
        <v>503</v>
      </c>
      <c r="J1197" t="s">
        <v>59</v>
      </c>
      <c r="K1197" t="s">
        <v>18</v>
      </c>
      <c r="L1197" t="str">
        <f>T("9791173783029")</f>
        <v>9791173783029</v>
      </c>
      <c r="M1197" t="str">
        <f t="shared" si="30"/>
        <v/>
      </c>
      <c r="N1197">
        <v>947012</v>
      </c>
    </row>
    <row r="1198" spans="1:14" x14ac:dyDescent="0.3">
      <c r="A1198" s="1">
        <v>46070.956979166665</v>
      </c>
      <c r="B1198">
        <v>366642627</v>
      </c>
      <c r="C1198" t="s">
        <v>504</v>
      </c>
      <c r="D1198" t="s">
        <v>15</v>
      </c>
      <c r="E1198" s="2">
        <v>1200</v>
      </c>
      <c r="F1198" s="2">
        <v>1200</v>
      </c>
      <c r="G1198">
        <v>840</v>
      </c>
      <c r="I1198" t="s">
        <v>251</v>
      </c>
      <c r="J1198" t="s">
        <v>23</v>
      </c>
      <c r="K1198" t="s">
        <v>18</v>
      </c>
      <c r="L1198" t="str">
        <f>T("9791173786631")</f>
        <v>9791173786631</v>
      </c>
      <c r="M1198" t="str">
        <f t="shared" si="30"/>
        <v/>
      </c>
      <c r="N1198">
        <v>951112</v>
      </c>
    </row>
    <row r="1199" spans="1:14" x14ac:dyDescent="0.3">
      <c r="A1199" s="1">
        <v>46070.958773148152</v>
      </c>
      <c r="B1199">
        <v>266451559</v>
      </c>
      <c r="C1199" t="s">
        <v>505</v>
      </c>
      <c r="D1199" t="s">
        <v>15</v>
      </c>
      <c r="E1199" s="2">
        <v>3400</v>
      </c>
      <c r="F1199" s="2">
        <v>3400</v>
      </c>
      <c r="G1199" s="2">
        <v>2380</v>
      </c>
      <c r="I1199" t="s">
        <v>368</v>
      </c>
      <c r="J1199" t="s">
        <v>70</v>
      </c>
      <c r="K1199" t="s">
        <v>18</v>
      </c>
      <c r="L1199" t="str">
        <f>T("9791136911711")</f>
        <v>9791136911711</v>
      </c>
      <c r="M1199" t="str">
        <f t="shared" si="30"/>
        <v/>
      </c>
      <c r="N1199">
        <v>832177</v>
      </c>
    </row>
    <row r="1200" spans="1:14" x14ac:dyDescent="0.3">
      <c r="A1200" s="1">
        <v>46070.960729166669</v>
      </c>
      <c r="B1200">
        <v>366387869</v>
      </c>
      <c r="C1200" t="s">
        <v>31</v>
      </c>
      <c r="D1200" t="s">
        <v>15</v>
      </c>
      <c r="E1200" s="2">
        <v>18300</v>
      </c>
      <c r="F1200" s="2">
        <v>18300</v>
      </c>
      <c r="G1200" s="2">
        <v>12810</v>
      </c>
      <c r="I1200" t="s">
        <v>32</v>
      </c>
      <c r="J1200" t="s">
        <v>23</v>
      </c>
      <c r="K1200" t="s">
        <v>18</v>
      </c>
      <c r="L1200" t="str">
        <f>T("9791173786648")</f>
        <v>9791173786648</v>
      </c>
      <c r="M1200" t="str">
        <f t="shared" si="30"/>
        <v/>
      </c>
    </row>
    <row r="1201" spans="1:14" x14ac:dyDescent="0.3">
      <c r="A1201" s="1">
        <v>46070.970231481479</v>
      </c>
      <c r="B1201">
        <v>342333155</v>
      </c>
      <c r="C1201" t="s">
        <v>182</v>
      </c>
      <c r="D1201" t="s">
        <v>15</v>
      </c>
      <c r="E1201" s="2">
        <v>1500</v>
      </c>
      <c r="F1201" s="2">
        <v>1500</v>
      </c>
      <c r="G1201" s="2">
        <v>1050</v>
      </c>
      <c r="I1201" t="s">
        <v>102</v>
      </c>
      <c r="J1201" t="s">
        <v>23</v>
      </c>
      <c r="K1201" t="s">
        <v>18</v>
      </c>
      <c r="L1201" t="str">
        <f>T("9791136979773")</f>
        <v>9791136979773</v>
      </c>
      <c r="M1201" t="str">
        <f t="shared" si="30"/>
        <v/>
      </c>
      <c r="N1201">
        <v>926741</v>
      </c>
    </row>
    <row r="1202" spans="1:14" x14ac:dyDescent="0.3">
      <c r="A1202" s="1">
        <v>46070.974398148152</v>
      </c>
      <c r="B1202">
        <v>365656344</v>
      </c>
      <c r="C1202" t="s">
        <v>506</v>
      </c>
      <c r="D1202" t="s">
        <v>15</v>
      </c>
      <c r="E1202" s="2">
        <v>3600</v>
      </c>
      <c r="F1202" s="2">
        <v>3600</v>
      </c>
      <c r="G1202" s="2">
        <v>2520</v>
      </c>
      <c r="I1202" t="s">
        <v>240</v>
      </c>
      <c r="J1202" t="s">
        <v>49</v>
      </c>
      <c r="K1202" t="s">
        <v>18</v>
      </c>
      <c r="L1202" t="str">
        <f>T("9791173783654")</f>
        <v>9791173783654</v>
      </c>
      <c r="M1202" t="str">
        <f t="shared" si="30"/>
        <v/>
      </c>
      <c r="N1202">
        <v>948518</v>
      </c>
    </row>
    <row r="1203" spans="1:14" x14ac:dyDescent="0.3">
      <c r="A1203" s="1">
        <v>46070.986574074072</v>
      </c>
      <c r="B1203">
        <v>365656697</v>
      </c>
      <c r="C1203" t="s">
        <v>239</v>
      </c>
      <c r="D1203" t="s">
        <v>89</v>
      </c>
      <c r="E1203" s="2">
        <v>5760</v>
      </c>
      <c r="F1203" s="2">
        <v>5760</v>
      </c>
      <c r="G1203" s="2">
        <v>4032</v>
      </c>
      <c r="I1203" t="s">
        <v>240</v>
      </c>
      <c r="J1203" t="s">
        <v>49</v>
      </c>
      <c r="K1203" t="s">
        <v>18</v>
      </c>
      <c r="L1203" t="str">
        <f>T("9791173783630")</f>
        <v>9791173783630</v>
      </c>
      <c r="M1203" t="str">
        <f t="shared" si="30"/>
        <v/>
      </c>
    </row>
    <row r="1204" spans="1:14" x14ac:dyDescent="0.3">
      <c r="A1204" s="1">
        <v>46071.005787037036</v>
      </c>
      <c r="B1204">
        <v>366387869</v>
      </c>
      <c r="C1204" t="s">
        <v>31</v>
      </c>
      <c r="D1204" t="s">
        <v>15</v>
      </c>
      <c r="E1204" s="2">
        <v>18300</v>
      </c>
      <c r="F1204" s="2">
        <v>18300</v>
      </c>
      <c r="G1204" s="2">
        <v>12810</v>
      </c>
      <c r="I1204" t="s">
        <v>32</v>
      </c>
      <c r="J1204" t="s">
        <v>23</v>
      </c>
      <c r="K1204" t="s">
        <v>18</v>
      </c>
      <c r="L1204" t="str">
        <f>T("9791173786648")</f>
        <v>9791173786648</v>
      </c>
      <c r="M1204" t="str">
        <f t="shared" si="30"/>
        <v/>
      </c>
    </row>
    <row r="1205" spans="1:14" x14ac:dyDescent="0.3">
      <c r="A1205" s="1">
        <v>46071.007303240738</v>
      </c>
      <c r="B1205">
        <v>365656697</v>
      </c>
      <c r="C1205" t="s">
        <v>239</v>
      </c>
      <c r="D1205" t="s">
        <v>89</v>
      </c>
      <c r="E1205" s="2">
        <v>5760</v>
      </c>
      <c r="F1205" s="2">
        <v>5760</v>
      </c>
      <c r="G1205" s="2">
        <v>4032</v>
      </c>
      <c r="I1205" t="s">
        <v>240</v>
      </c>
      <c r="J1205" t="s">
        <v>49</v>
      </c>
      <c r="K1205" t="s">
        <v>18</v>
      </c>
      <c r="L1205" t="str">
        <f>T("9791173783630")</f>
        <v>9791173783630</v>
      </c>
      <c r="M1205" t="str">
        <f t="shared" si="30"/>
        <v/>
      </c>
    </row>
    <row r="1206" spans="1:14" x14ac:dyDescent="0.3">
      <c r="A1206" s="1">
        <v>46071.031990740739</v>
      </c>
      <c r="B1206">
        <v>374334966</v>
      </c>
      <c r="C1206" t="s">
        <v>391</v>
      </c>
      <c r="D1206" t="s">
        <v>89</v>
      </c>
      <c r="E1206" s="2">
        <v>5850</v>
      </c>
      <c r="F1206" s="2">
        <v>5850</v>
      </c>
      <c r="G1206" s="2">
        <v>4095</v>
      </c>
      <c r="I1206" t="s">
        <v>392</v>
      </c>
      <c r="J1206" t="s">
        <v>23</v>
      </c>
      <c r="K1206" t="s">
        <v>18</v>
      </c>
      <c r="L1206" t="str">
        <f>T("9791175304932")</f>
        <v>9791175304932</v>
      </c>
      <c r="M1206" t="str">
        <f t="shared" si="30"/>
        <v/>
      </c>
    </row>
    <row r="1207" spans="1:14" x14ac:dyDescent="0.3">
      <c r="A1207" s="1">
        <v>46071.040659722225</v>
      </c>
      <c r="B1207">
        <v>346154276</v>
      </c>
      <c r="C1207" t="s">
        <v>46</v>
      </c>
      <c r="D1207" t="s">
        <v>15</v>
      </c>
      <c r="E1207" s="2">
        <v>3300</v>
      </c>
      <c r="F1207" s="2">
        <v>3300</v>
      </c>
      <c r="G1207" s="2">
        <v>2310</v>
      </c>
      <c r="I1207" t="s">
        <v>32</v>
      </c>
      <c r="J1207" t="s">
        <v>23</v>
      </c>
      <c r="K1207" t="s">
        <v>18</v>
      </c>
      <c r="L1207" t="str">
        <f>T("9791136940704")</f>
        <v>9791136940704</v>
      </c>
      <c r="M1207" t="str">
        <f t="shared" si="30"/>
        <v/>
      </c>
      <c r="N1207">
        <v>928442</v>
      </c>
    </row>
    <row r="1208" spans="1:14" x14ac:dyDescent="0.3">
      <c r="A1208" s="1">
        <v>46071.040659722225</v>
      </c>
      <c r="B1208">
        <v>346154285</v>
      </c>
      <c r="C1208" t="s">
        <v>191</v>
      </c>
      <c r="D1208" t="s">
        <v>15</v>
      </c>
      <c r="E1208" s="2">
        <v>3300</v>
      </c>
      <c r="F1208" s="2">
        <v>3300</v>
      </c>
      <c r="G1208" s="2">
        <v>2310</v>
      </c>
      <c r="I1208" t="s">
        <v>32</v>
      </c>
      <c r="J1208" t="s">
        <v>23</v>
      </c>
      <c r="K1208" t="s">
        <v>18</v>
      </c>
      <c r="L1208" t="str">
        <f>T("9791136927248")</f>
        <v>9791136927248</v>
      </c>
      <c r="M1208" t="str">
        <f t="shared" si="30"/>
        <v/>
      </c>
      <c r="N1208">
        <v>928445</v>
      </c>
    </row>
    <row r="1209" spans="1:14" x14ac:dyDescent="0.3">
      <c r="A1209" s="1">
        <v>46071.040659722225</v>
      </c>
      <c r="B1209">
        <v>346154638</v>
      </c>
      <c r="C1209" t="s">
        <v>43</v>
      </c>
      <c r="D1209" t="s">
        <v>15</v>
      </c>
      <c r="E1209" s="2">
        <v>3300</v>
      </c>
      <c r="F1209" s="2">
        <v>3300</v>
      </c>
      <c r="G1209" s="2">
        <v>2310</v>
      </c>
      <c r="I1209" t="s">
        <v>32</v>
      </c>
      <c r="J1209" t="s">
        <v>23</v>
      </c>
      <c r="K1209" t="s">
        <v>18</v>
      </c>
      <c r="L1209" t="str">
        <f>T("9791136927255")</f>
        <v>9791136927255</v>
      </c>
      <c r="M1209" t="str">
        <f t="shared" si="30"/>
        <v/>
      </c>
      <c r="N1209">
        <v>928444</v>
      </c>
    </row>
    <row r="1210" spans="1:14" x14ac:dyDescent="0.3">
      <c r="A1210" s="1">
        <v>46071.040659722225</v>
      </c>
      <c r="B1210">
        <v>346154719</v>
      </c>
      <c r="C1210" t="s">
        <v>44</v>
      </c>
      <c r="D1210" t="s">
        <v>15</v>
      </c>
      <c r="E1210" s="2">
        <v>3300</v>
      </c>
      <c r="F1210" s="2">
        <v>3300</v>
      </c>
      <c r="G1210" s="2">
        <v>2310</v>
      </c>
      <c r="I1210" t="s">
        <v>32</v>
      </c>
      <c r="J1210" t="s">
        <v>23</v>
      </c>
      <c r="K1210" t="s">
        <v>18</v>
      </c>
      <c r="L1210" t="str">
        <f>T("9791136927675")</f>
        <v>9791136927675</v>
      </c>
      <c r="M1210" t="str">
        <f t="shared" si="30"/>
        <v/>
      </c>
      <c r="N1210">
        <v>928443</v>
      </c>
    </row>
    <row r="1211" spans="1:14" x14ac:dyDescent="0.3">
      <c r="A1211" s="1">
        <v>46071.055300925924</v>
      </c>
      <c r="B1211">
        <v>349747242</v>
      </c>
      <c r="C1211" t="s">
        <v>507</v>
      </c>
      <c r="D1211" t="s">
        <v>15</v>
      </c>
      <c r="E1211" s="2">
        <v>3800</v>
      </c>
      <c r="F1211" s="2">
        <v>3800</v>
      </c>
      <c r="G1211" s="2">
        <v>2660</v>
      </c>
      <c r="I1211" t="s">
        <v>508</v>
      </c>
      <c r="J1211" t="s">
        <v>23</v>
      </c>
      <c r="K1211" t="s">
        <v>18</v>
      </c>
      <c r="L1211" t="str">
        <f>T("9791172922245")</f>
        <v>9791172922245</v>
      </c>
      <c r="M1211" t="str">
        <f t="shared" si="30"/>
        <v/>
      </c>
      <c r="N1211">
        <v>931285</v>
      </c>
    </row>
    <row r="1212" spans="1:14" x14ac:dyDescent="0.3">
      <c r="A1212" s="1">
        <v>46071.117847222224</v>
      </c>
      <c r="B1212">
        <v>354315964</v>
      </c>
      <c r="C1212" t="s">
        <v>509</v>
      </c>
      <c r="D1212" t="s">
        <v>89</v>
      </c>
      <c r="E1212" s="2">
        <v>4200</v>
      </c>
      <c r="F1212" s="2">
        <v>4200</v>
      </c>
      <c r="G1212" s="2">
        <v>2940</v>
      </c>
      <c r="I1212" t="s">
        <v>96</v>
      </c>
      <c r="J1212" t="s">
        <v>70</v>
      </c>
      <c r="K1212" t="s">
        <v>18</v>
      </c>
      <c r="L1212" t="str">
        <f>T("9791172923563")</f>
        <v>9791172923563</v>
      </c>
      <c r="M1212" t="str">
        <f t="shared" si="30"/>
        <v/>
      </c>
    </row>
    <row r="1213" spans="1:14" x14ac:dyDescent="0.3">
      <c r="A1213" s="1">
        <v>46071.117847222224</v>
      </c>
      <c r="B1213">
        <v>357993456</v>
      </c>
      <c r="C1213" t="s">
        <v>438</v>
      </c>
      <c r="D1213" t="s">
        <v>89</v>
      </c>
      <c r="E1213" s="2">
        <v>5700</v>
      </c>
      <c r="F1213" s="2">
        <v>5700</v>
      </c>
      <c r="G1213" s="2">
        <v>3990</v>
      </c>
      <c r="I1213" t="s">
        <v>96</v>
      </c>
      <c r="J1213" t="s">
        <v>23</v>
      </c>
      <c r="K1213" t="s">
        <v>18</v>
      </c>
      <c r="L1213" t="str">
        <f>T("9791172928094")</f>
        <v>9791172928094</v>
      </c>
      <c r="M1213" t="str">
        <f t="shared" si="30"/>
        <v/>
      </c>
    </row>
    <row r="1214" spans="1:14" x14ac:dyDescent="0.3">
      <c r="A1214" s="1">
        <v>46071.152627314812</v>
      </c>
      <c r="B1214">
        <v>384177413</v>
      </c>
      <c r="C1214" t="s">
        <v>247</v>
      </c>
      <c r="D1214" t="s">
        <v>15</v>
      </c>
      <c r="E1214" s="2">
        <v>3500</v>
      </c>
      <c r="F1214" s="2">
        <v>3500</v>
      </c>
      <c r="G1214" s="2">
        <v>2450</v>
      </c>
      <c r="I1214" t="s">
        <v>22</v>
      </c>
      <c r="J1214" t="s">
        <v>23</v>
      </c>
      <c r="K1214" t="s">
        <v>18</v>
      </c>
      <c r="L1214" t="str">
        <f>T("9791175309777")</f>
        <v>9791175309777</v>
      </c>
      <c r="M1214" t="str">
        <f t="shared" si="30"/>
        <v/>
      </c>
      <c r="N1214">
        <v>958597</v>
      </c>
    </row>
    <row r="1215" spans="1:14" x14ac:dyDescent="0.3">
      <c r="A1215" s="1">
        <v>46071.172430555554</v>
      </c>
      <c r="B1215">
        <v>384177441</v>
      </c>
      <c r="C1215" t="s">
        <v>21</v>
      </c>
      <c r="D1215" t="s">
        <v>15</v>
      </c>
      <c r="E1215" s="2">
        <v>3500</v>
      </c>
      <c r="F1215" s="2">
        <v>3500</v>
      </c>
      <c r="G1215" s="2">
        <v>2450</v>
      </c>
      <c r="I1215" t="s">
        <v>22</v>
      </c>
      <c r="J1215" t="s">
        <v>23</v>
      </c>
      <c r="K1215" t="s">
        <v>18</v>
      </c>
      <c r="L1215" t="str">
        <f>T("9791175309821")</f>
        <v>9791175309821</v>
      </c>
      <c r="M1215" t="str">
        <f t="shared" si="30"/>
        <v/>
      </c>
      <c r="N1215">
        <v>958592</v>
      </c>
    </row>
    <row r="1216" spans="1:14" x14ac:dyDescent="0.3">
      <c r="A1216" s="1">
        <v>46071.295092592591</v>
      </c>
      <c r="B1216">
        <v>366387869</v>
      </c>
      <c r="C1216" t="s">
        <v>31</v>
      </c>
      <c r="D1216" t="s">
        <v>15</v>
      </c>
      <c r="E1216" s="2">
        <v>18300</v>
      </c>
      <c r="F1216" s="2">
        <v>18300</v>
      </c>
      <c r="G1216" s="2">
        <v>12810</v>
      </c>
      <c r="I1216" t="s">
        <v>32</v>
      </c>
      <c r="J1216" t="s">
        <v>23</v>
      </c>
      <c r="K1216" t="s">
        <v>18</v>
      </c>
      <c r="L1216" t="str">
        <f>T("9791173786648")</f>
        <v>9791173786648</v>
      </c>
      <c r="M1216" t="str">
        <f t="shared" si="30"/>
        <v/>
      </c>
    </row>
    <row r="1217" spans="1:14" x14ac:dyDescent="0.3">
      <c r="A1217" s="1">
        <v>46071.388784722221</v>
      </c>
      <c r="B1217">
        <v>385830531</v>
      </c>
      <c r="C1217" t="s">
        <v>456</v>
      </c>
      <c r="D1217" t="s">
        <v>15</v>
      </c>
      <c r="E1217" s="2">
        <v>3000</v>
      </c>
      <c r="F1217" s="2">
        <v>2700</v>
      </c>
      <c r="G1217" s="2">
        <v>1890</v>
      </c>
      <c r="I1217" t="s">
        <v>344</v>
      </c>
      <c r="J1217" t="s">
        <v>23</v>
      </c>
      <c r="K1217" t="s">
        <v>18</v>
      </c>
      <c r="L1217" t="str">
        <f>T("9791175309463")</f>
        <v>9791175309463</v>
      </c>
      <c r="M1217" t="str">
        <f t="shared" si="30"/>
        <v/>
      </c>
      <c r="N1217">
        <v>959913</v>
      </c>
    </row>
    <row r="1218" spans="1:14" x14ac:dyDescent="0.3">
      <c r="A1218" s="1">
        <v>46071.40016203704</v>
      </c>
      <c r="B1218">
        <v>363863084</v>
      </c>
      <c r="C1218" t="s">
        <v>211</v>
      </c>
      <c r="D1218" t="s">
        <v>15</v>
      </c>
      <c r="E1218" s="2">
        <v>3600</v>
      </c>
      <c r="F1218" s="2">
        <v>3600</v>
      </c>
      <c r="G1218" s="2">
        <v>2520</v>
      </c>
      <c r="I1218" t="s">
        <v>210</v>
      </c>
      <c r="J1218" t="s">
        <v>23</v>
      </c>
      <c r="K1218" t="s">
        <v>18</v>
      </c>
      <c r="L1218" t="str">
        <f>T("9791173783487")</f>
        <v>9791173783487</v>
      </c>
      <c r="M1218" t="str">
        <f t="shared" si="30"/>
        <v/>
      </c>
      <c r="N1218">
        <v>948509</v>
      </c>
    </row>
    <row r="1219" spans="1:14" x14ac:dyDescent="0.3">
      <c r="A1219" s="1">
        <v>46071.430706018517</v>
      </c>
      <c r="B1219">
        <v>359779074</v>
      </c>
      <c r="C1219" t="s">
        <v>385</v>
      </c>
      <c r="D1219" t="s">
        <v>89</v>
      </c>
      <c r="E1219" s="2">
        <v>12040</v>
      </c>
      <c r="F1219" s="2">
        <v>12040</v>
      </c>
      <c r="G1219" s="2">
        <v>8428</v>
      </c>
      <c r="I1219" t="s">
        <v>99</v>
      </c>
      <c r="J1219" t="s">
        <v>23</v>
      </c>
      <c r="K1219" t="s">
        <v>18</v>
      </c>
      <c r="L1219" t="str">
        <f>T("9791194664475")</f>
        <v>9791194664475</v>
      </c>
      <c r="M1219" t="str">
        <f t="shared" si="30"/>
        <v/>
      </c>
    </row>
    <row r="1220" spans="1:14" x14ac:dyDescent="0.3">
      <c r="A1220" s="1">
        <v>46071.451249999998</v>
      </c>
      <c r="B1220">
        <v>260032680</v>
      </c>
      <c r="C1220" t="s">
        <v>510</v>
      </c>
      <c r="D1220" t="s">
        <v>15</v>
      </c>
      <c r="E1220" s="2">
        <v>3600</v>
      </c>
      <c r="F1220" s="2">
        <v>3600</v>
      </c>
      <c r="G1220" s="2">
        <v>2520</v>
      </c>
      <c r="I1220" t="s">
        <v>493</v>
      </c>
      <c r="J1220" t="s">
        <v>20</v>
      </c>
      <c r="K1220" t="s">
        <v>18</v>
      </c>
      <c r="L1220" t="str">
        <f>T("9791136911377")</f>
        <v>9791136911377</v>
      </c>
      <c r="M1220" t="str">
        <f t="shared" si="30"/>
        <v/>
      </c>
      <c r="N1220">
        <v>830006</v>
      </c>
    </row>
    <row r="1221" spans="1:14" x14ac:dyDescent="0.3">
      <c r="A1221" s="1">
        <v>46071.528344907405</v>
      </c>
      <c r="B1221">
        <v>277935222</v>
      </c>
      <c r="C1221" t="s">
        <v>511</v>
      </c>
      <c r="D1221" t="s">
        <v>15</v>
      </c>
      <c r="E1221" s="2">
        <v>4100</v>
      </c>
      <c r="F1221" s="2">
        <v>4100</v>
      </c>
      <c r="G1221" s="2">
        <v>2870</v>
      </c>
      <c r="I1221" t="s">
        <v>198</v>
      </c>
      <c r="J1221" t="s">
        <v>49</v>
      </c>
      <c r="K1221" t="s">
        <v>18</v>
      </c>
      <c r="L1221" t="str">
        <f>T("9791136917874")</f>
        <v>9791136917874</v>
      </c>
      <c r="M1221" t="str">
        <f t="shared" si="30"/>
        <v/>
      </c>
      <c r="N1221">
        <v>856973</v>
      </c>
    </row>
    <row r="1222" spans="1:14" x14ac:dyDescent="0.3">
      <c r="A1222" s="1">
        <v>46071.578298611108</v>
      </c>
      <c r="B1222">
        <v>316293083</v>
      </c>
      <c r="C1222" t="s">
        <v>465</v>
      </c>
      <c r="D1222" t="s">
        <v>15</v>
      </c>
      <c r="E1222" s="2">
        <v>11700</v>
      </c>
      <c r="F1222" s="2">
        <v>11700</v>
      </c>
      <c r="G1222" s="2">
        <v>8190</v>
      </c>
      <c r="I1222" t="s">
        <v>124</v>
      </c>
      <c r="J1222" t="s">
        <v>23</v>
      </c>
      <c r="K1222" t="s">
        <v>18</v>
      </c>
      <c r="L1222" t="str">
        <f>T("9791136936097")</f>
        <v>9791136936097</v>
      </c>
      <c r="M1222" t="str">
        <f t="shared" si="30"/>
        <v/>
      </c>
    </row>
    <row r="1223" spans="1:14" x14ac:dyDescent="0.3">
      <c r="A1223" s="1">
        <v>46071.588854166665</v>
      </c>
      <c r="B1223">
        <v>357906195</v>
      </c>
      <c r="C1223" t="s">
        <v>512</v>
      </c>
      <c r="D1223" t="s">
        <v>15</v>
      </c>
      <c r="E1223" s="2">
        <v>3200</v>
      </c>
      <c r="F1223" s="2">
        <v>3200</v>
      </c>
      <c r="G1223" s="2">
        <v>2240</v>
      </c>
      <c r="I1223" t="s">
        <v>61</v>
      </c>
      <c r="J1223" t="s">
        <v>59</v>
      </c>
      <c r="K1223" t="s">
        <v>18</v>
      </c>
      <c r="L1223" t="str">
        <f>T("9791136968661")</f>
        <v>9791136968661</v>
      </c>
      <c r="M1223" t="str">
        <f t="shared" si="30"/>
        <v/>
      </c>
      <c r="N1223">
        <v>924664</v>
      </c>
    </row>
    <row r="1224" spans="1:14" x14ac:dyDescent="0.3">
      <c r="A1224" s="1">
        <v>46071.620173611111</v>
      </c>
      <c r="B1224">
        <v>330725632</v>
      </c>
      <c r="C1224" t="s">
        <v>494</v>
      </c>
      <c r="D1224" t="s">
        <v>89</v>
      </c>
      <c r="E1224" s="2">
        <v>7000</v>
      </c>
      <c r="F1224" s="2">
        <v>7000</v>
      </c>
      <c r="G1224" s="2">
        <v>4900</v>
      </c>
      <c r="I1224" t="s">
        <v>468</v>
      </c>
      <c r="J1224" t="s">
        <v>37</v>
      </c>
      <c r="K1224" t="s">
        <v>18</v>
      </c>
      <c r="L1224" t="str">
        <f>T("9791172924089")</f>
        <v>9791172924089</v>
      </c>
      <c r="M1224" t="str">
        <f t="shared" si="30"/>
        <v/>
      </c>
    </row>
    <row r="1225" spans="1:14" x14ac:dyDescent="0.3">
      <c r="A1225" s="1">
        <v>46071.650555555556</v>
      </c>
      <c r="B1225">
        <v>379386288</v>
      </c>
      <c r="C1225" t="s">
        <v>370</v>
      </c>
      <c r="D1225" t="s">
        <v>89</v>
      </c>
      <c r="E1225" s="2">
        <v>11280</v>
      </c>
      <c r="F1225" s="2">
        <v>11280</v>
      </c>
      <c r="G1225" s="2">
        <v>7896</v>
      </c>
      <c r="I1225" t="s">
        <v>102</v>
      </c>
      <c r="J1225" t="s">
        <v>23</v>
      </c>
      <c r="K1225" t="s">
        <v>18</v>
      </c>
      <c r="L1225" t="str">
        <f>T("9791175307438")</f>
        <v>9791175307438</v>
      </c>
      <c r="M1225" t="str">
        <f t="shared" si="30"/>
        <v/>
      </c>
    </row>
    <row r="1226" spans="1:14" x14ac:dyDescent="0.3">
      <c r="A1226" s="1">
        <v>46071.655833333331</v>
      </c>
      <c r="B1226">
        <v>359779074</v>
      </c>
      <c r="C1226" t="s">
        <v>385</v>
      </c>
      <c r="D1226" t="s">
        <v>89</v>
      </c>
      <c r="E1226" s="2">
        <v>12040</v>
      </c>
      <c r="F1226" s="2">
        <v>12040</v>
      </c>
      <c r="G1226" s="2">
        <v>8428</v>
      </c>
      <c r="I1226" t="s">
        <v>99</v>
      </c>
      <c r="J1226" t="s">
        <v>23</v>
      </c>
      <c r="K1226" t="s">
        <v>18</v>
      </c>
      <c r="L1226" t="str">
        <f>T("9791194664475")</f>
        <v>9791194664475</v>
      </c>
      <c r="M1226" t="str">
        <f t="shared" si="30"/>
        <v/>
      </c>
    </row>
    <row r="1227" spans="1:14" x14ac:dyDescent="0.3">
      <c r="A1227" s="1">
        <v>46071.6562037037</v>
      </c>
      <c r="B1227">
        <v>346154719</v>
      </c>
      <c r="C1227" t="s">
        <v>44</v>
      </c>
      <c r="D1227" t="s">
        <v>15</v>
      </c>
      <c r="E1227" s="2">
        <v>3300</v>
      </c>
      <c r="F1227" s="2">
        <v>3300</v>
      </c>
      <c r="G1227" s="2">
        <v>2310</v>
      </c>
      <c r="I1227" t="s">
        <v>32</v>
      </c>
      <c r="J1227" t="s">
        <v>23</v>
      </c>
      <c r="K1227" t="s">
        <v>18</v>
      </c>
      <c r="L1227" t="str">
        <f>T("9791136927675")</f>
        <v>9791136927675</v>
      </c>
      <c r="M1227" t="str">
        <f t="shared" si="30"/>
        <v/>
      </c>
      <c r="N1227">
        <v>928443</v>
      </c>
    </row>
    <row r="1228" spans="1:14" x14ac:dyDescent="0.3">
      <c r="A1228" s="1">
        <v>46071.6562037037</v>
      </c>
      <c r="B1228">
        <v>346154285</v>
      </c>
      <c r="C1228" t="s">
        <v>191</v>
      </c>
      <c r="D1228" t="s">
        <v>15</v>
      </c>
      <c r="E1228" s="2">
        <v>3300</v>
      </c>
      <c r="F1228" s="2">
        <v>3300</v>
      </c>
      <c r="G1228" s="2">
        <v>2310</v>
      </c>
      <c r="I1228" t="s">
        <v>32</v>
      </c>
      <c r="J1228" t="s">
        <v>23</v>
      </c>
      <c r="K1228" t="s">
        <v>18</v>
      </c>
      <c r="L1228" t="str">
        <f>T("9791136927248")</f>
        <v>9791136927248</v>
      </c>
      <c r="M1228" t="str">
        <f t="shared" si="30"/>
        <v/>
      </c>
      <c r="N1228">
        <v>928445</v>
      </c>
    </row>
    <row r="1229" spans="1:14" x14ac:dyDescent="0.3">
      <c r="A1229" s="1">
        <v>46071.6562037037</v>
      </c>
      <c r="B1229">
        <v>346154638</v>
      </c>
      <c r="C1229" t="s">
        <v>43</v>
      </c>
      <c r="D1229" t="s">
        <v>15</v>
      </c>
      <c r="E1229" s="2">
        <v>3300</v>
      </c>
      <c r="F1229" s="2">
        <v>3300</v>
      </c>
      <c r="G1229" s="2">
        <v>2310</v>
      </c>
      <c r="I1229" t="s">
        <v>32</v>
      </c>
      <c r="J1229" t="s">
        <v>23</v>
      </c>
      <c r="K1229" t="s">
        <v>18</v>
      </c>
      <c r="L1229" t="str">
        <f>T("9791136927255")</f>
        <v>9791136927255</v>
      </c>
      <c r="M1229" t="str">
        <f t="shared" si="30"/>
        <v/>
      </c>
      <c r="N1229">
        <v>928444</v>
      </c>
    </row>
    <row r="1230" spans="1:14" x14ac:dyDescent="0.3">
      <c r="A1230" s="1">
        <v>46071.6562037037</v>
      </c>
      <c r="B1230">
        <v>346154276</v>
      </c>
      <c r="C1230" t="s">
        <v>46</v>
      </c>
      <c r="D1230" t="s">
        <v>15</v>
      </c>
      <c r="E1230" s="2">
        <v>3300</v>
      </c>
      <c r="F1230" s="2">
        <v>3300</v>
      </c>
      <c r="G1230" s="2">
        <v>2310</v>
      </c>
      <c r="I1230" t="s">
        <v>32</v>
      </c>
      <c r="J1230" t="s">
        <v>23</v>
      </c>
      <c r="K1230" t="s">
        <v>18</v>
      </c>
      <c r="L1230" t="str">
        <f>T("9791136940704")</f>
        <v>9791136940704</v>
      </c>
      <c r="M1230" t="str">
        <f t="shared" si="30"/>
        <v/>
      </c>
      <c r="N1230">
        <v>928442</v>
      </c>
    </row>
    <row r="1231" spans="1:14" x14ac:dyDescent="0.3">
      <c r="A1231" s="1">
        <v>46071.6562037037</v>
      </c>
      <c r="B1231">
        <v>346154245</v>
      </c>
      <c r="C1231" t="s">
        <v>45</v>
      </c>
      <c r="D1231" t="s">
        <v>15</v>
      </c>
      <c r="E1231" s="2">
        <v>3300</v>
      </c>
      <c r="F1231" s="2">
        <v>3300</v>
      </c>
      <c r="G1231" s="2">
        <v>2310</v>
      </c>
      <c r="I1231" t="s">
        <v>32</v>
      </c>
      <c r="J1231" t="s">
        <v>23</v>
      </c>
      <c r="K1231" t="s">
        <v>18</v>
      </c>
      <c r="L1231" t="str">
        <f>T("9791136940728")</f>
        <v>9791136940728</v>
      </c>
      <c r="M1231" t="str">
        <f t="shared" si="30"/>
        <v/>
      </c>
      <c r="N1231">
        <v>928441</v>
      </c>
    </row>
    <row r="1232" spans="1:14" x14ac:dyDescent="0.3">
      <c r="A1232" s="1">
        <v>46071.6562037037</v>
      </c>
      <c r="B1232">
        <v>366386880</v>
      </c>
      <c r="C1232" t="s">
        <v>190</v>
      </c>
      <c r="D1232" t="s">
        <v>15</v>
      </c>
      <c r="E1232" s="2">
        <v>1800</v>
      </c>
      <c r="F1232" s="2">
        <v>1800</v>
      </c>
      <c r="G1232" s="2">
        <v>1260</v>
      </c>
      <c r="I1232" t="s">
        <v>32</v>
      </c>
      <c r="J1232" t="s">
        <v>23</v>
      </c>
      <c r="K1232" t="s">
        <v>18</v>
      </c>
      <c r="L1232" t="str">
        <f>T("9791173786648")</f>
        <v>9791173786648</v>
      </c>
      <c r="M1232" t="str">
        <f t="shared" si="30"/>
        <v/>
      </c>
      <c r="N1232">
        <v>950837</v>
      </c>
    </row>
    <row r="1233" spans="1:14" x14ac:dyDescent="0.3">
      <c r="A1233" s="1">
        <v>46071.686006944445</v>
      </c>
      <c r="B1233">
        <v>335778649</v>
      </c>
      <c r="C1233" t="s">
        <v>164</v>
      </c>
      <c r="D1233" t="s">
        <v>15</v>
      </c>
      <c r="E1233" s="2">
        <v>3200</v>
      </c>
      <c r="F1233" s="2">
        <v>3200</v>
      </c>
      <c r="G1233" s="2">
        <v>2240</v>
      </c>
      <c r="I1233" t="s">
        <v>102</v>
      </c>
      <c r="J1233" t="s">
        <v>23</v>
      </c>
      <c r="K1233" t="s">
        <v>18</v>
      </c>
      <c r="L1233" t="str">
        <f>T("9791136958181")</f>
        <v>9791136958181</v>
      </c>
      <c r="M1233" t="str">
        <f t="shared" si="30"/>
        <v/>
      </c>
      <c r="N1233">
        <v>921584</v>
      </c>
    </row>
    <row r="1234" spans="1:14" x14ac:dyDescent="0.3">
      <c r="A1234" s="1">
        <v>46071.733657407407</v>
      </c>
      <c r="B1234">
        <v>366386880</v>
      </c>
      <c r="C1234" t="s">
        <v>190</v>
      </c>
      <c r="D1234" t="s">
        <v>15</v>
      </c>
      <c r="E1234" s="2">
        <v>1800</v>
      </c>
      <c r="F1234" s="2">
        <v>1800</v>
      </c>
      <c r="G1234" s="2">
        <v>1260</v>
      </c>
      <c r="I1234" t="s">
        <v>32</v>
      </c>
      <c r="J1234" t="s">
        <v>23</v>
      </c>
      <c r="K1234" t="s">
        <v>18</v>
      </c>
      <c r="L1234" t="str">
        <f>T("9791173786648")</f>
        <v>9791173786648</v>
      </c>
      <c r="M1234" t="str">
        <f t="shared" si="30"/>
        <v/>
      </c>
      <c r="N1234">
        <v>950837</v>
      </c>
    </row>
    <row r="1235" spans="1:14" x14ac:dyDescent="0.3">
      <c r="A1235" s="1">
        <v>46071.733657407407</v>
      </c>
      <c r="B1235">
        <v>346154245</v>
      </c>
      <c r="C1235" t="s">
        <v>45</v>
      </c>
      <c r="D1235" t="s">
        <v>15</v>
      </c>
      <c r="E1235" s="2">
        <v>3300</v>
      </c>
      <c r="F1235" s="2">
        <v>3300</v>
      </c>
      <c r="G1235" s="2">
        <v>2310</v>
      </c>
      <c r="I1235" t="s">
        <v>32</v>
      </c>
      <c r="J1235" t="s">
        <v>23</v>
      </c>
      <c r="K1235" t="s">
        <v>18</v>
      </c>
      <c r="L1235" t="str">
        <f>T("9791136940728")</f>
        <v>9791136940728</v>
      </c>
      <c r="M1235" t="str">
        <f t="shared" si="30"/>
        <v/>
      </c>
      <c r="N1235">
        <v>928441</v>
      </c>
    </row>
    <row r="1236" spans="1:14" x14ac:dyDescent="0.3">
      <c r="A1236" s="1">
        <v>46071.744375000002</v>
      </c>
      <c r="B1236">
        <v>347728780</v>
      </c>
      <c r="C1236" t="s">
        <v>380</v>
      </c>
      <c r="D1236" t="s">
        <v>15</v>
      </c>
      <c r="E1236" s="2">
        <v>11000</v>
      </c>
      <c r="F1236" s="2">
        <v>11000</v>
      </c>
      <c r="G1236" s="2">
        <v>7700</v>
      </c>
      <c r="I1236" t="s">
        <v>381</v>
      </c>
      <c r="J1236" t="s">
        <v>70</v>
      </c>
      <c r="K1236" t="s">
        <v>18</v>
      </c>
      <c r="L1236" t="str">
        <f>T("9791136983220")</f>
        <v>9791136983220</v>
      </c>
      <c r="M1236" t="str">
        <f t="shared" si="30"/>
        <v/>
      </c>
    </row>
    <row r="1237" spans="1:14" x14ac:dyDescent="0.3">
      <c r="A1237" s="1">
        <v>46071.754780092589</v>
      </c>
      <c r="B1237">
        <v>339153055</v>
      </c>
      <c r="C1237" t="s">
        <v>399</v>
      </c>
      <c r="D1237" t="s">
        <v>89</v>
      </c>
      <c r="E1237" s="2">
        <v>17080</v>
      </c>
      <c r="F1237" s="2">
        <v>17080</v>
      </c>
      <c r="G1237" s="2">
        <v>11956</v>
      </c>
      <c r="I1237" t="s">
        <v>400</v>
      </c>
      <c r="J1237" t="s">
        <v>23</v>
      </c>
      <c r="K1237" t="s">
        <v>18</v>
      </c>
      <c r="L1237" t="str">
        <f>T("9791136965936")</f>
        <v>9791136965936</v>
      </c>
      <c r="M1237" t="str">
        <f t="shared" si="30"/>
        <v/>
      </c>
    </row>
    <row r="1238" spans="1:14" x14ac:dyDescent="0.3">
      <c r="A1238" s="1">
        <v>46071.784907407404</v>
      </c>
      <c r="B1238">
        <v>367919257</v>
      </c>
      <c r="C1238" t="s">
        <v>415</v>
      </c>
      <c r="D1238" t="s">
        <v>89</v>
      </c>
      <c r="E1238" s="2">
        <v>13860</v>
      </c>
      <c r="F1238" s="2">
        <v>13860</v>
      </c>
      <c r="G1238" s="2">
        <v>9702</v>
      </c>
      <c r="I1238" t="s">
        <v>416</v>
      </c>
      <c r="J1238" t="s">
        <v>23</v>
      </c>
      <c r="K1238" t="s">
        <v>18</v>
      </c>
      <c r="L1238" t="str">
        <f>T("9791173786471")</f>
        <v>9791173786471</v>
      </c>
      <c r="M1238" t="str">
        <f t="shared" si="30"/>
        <v/>
      </c>
    </row>
    <row r="1239" spans="1:14" x14ac:dyDescent="0.3">
      <c r="A1239" s="1">
        <v>46071.784907407404</v>
      </c>
      <c r="B1239">
        <v>374949675</v>
      </c>
      <c r="C1239" t="s">
        <v>394</v>
      </c>
      <c r="D1239" t="s">
        <v>89</v>
      </c>
      <c r="E1239" s="2">
        <v>8750</v>
      </c>
      <c r="F1239" s="2">
        <v>8750</v>
      </c>
      <c r="G1239" s="2">
        <v>6125</v>
      </c>
      <c r="I1239" t="s">
        <v>251</v>
      </c>
      <c r="J1239" t="s">
        <v>23</v>
      </c>
      <c r="K1239" t="s">
        <v>18</v>
      </c>
      <c r="L1239" t="str">
        <f>T("9791175307476")</f>
        <v>9791175307476</v>
      </c>
      <c r="M1239" t="str">
        <f t="shared" si="30"/>
        <v/>
      </c>
    </row>
    <row r="1240" spans="1:14" x14ac:dyDescent="0.3">
      <c r="A1240" s="1">
        <v>46071.784907407404</v>
      </c>
      <c r="B1240">
        <v>379386288</v>
      </c>
      <c r="C1240" t="s">
        <v>370</v>
      </c>
      <c r="D1240" t="s">
        <v>89</v>
      </c>
      <c r="E1240" s="2">
        <v>11280</v>
      </c>
      <c r="F1240" s="2">
        <v>11280</v>
      </c>
      <c r="G1240" s="2">
        <v>7896</v>
      </c>
      <c r="I1240" t="s">
        <v>102</v>
      </c>
      <c r="J1240" t="s">
        <v>23</v>
      </c>
      <c r="K1240" t="s">
        <v>18</v>
      </c>
      <c r="L1240" t="str">
        <f>T("9791175307438")</f>
        <v>9791175307438</v>
      </c>
      <c r="M1240" t="str">
        <f t="shared" si="30"/>
        <v/>
      </c>
    </row>
    <row r="1241" spans="1:14" x14ac:dyDescent="0.3">
      <c r="A1241" s="1">
        <v>46071.825324074074</v>
      </c>
      <c r="B1241">
        <v>384177545</v>
      </c>
      <c r="C1241" t="s">
        <v>249</v>
      </c>
      <c r="D1241" t="s">
        <v>15</v>
      </c>
      <c r="E1241" s="2">
        <v>3500</v>
      </c>
      <c r="F1241" s="2">
        <v>3500</v>
      </c>
      <c r="G1241" s="2">
        <v>2450</v>
      </c>
      <c r="I1241" t="s">
        <v>22</v>
      </c>
      <c r="J1241" t="s">
        <v>23</v>
      </c>
      <c r="K1241" t="s">
        <v>18</v>
      </c>
      <c r="L1241" t="str">
        <f>T("9791175309784")</f>
        <v>9791175309784</v>
      </c>
      <c r="M1241" t="str">
        <f t="shared" si="30"/>
        <v/>
      </c>
      <c r="N1241">
        <v>958596</v>
      </c>
    </row>
    <row r="1242" spans="1:14" x14ac:dyDescent="0.3">
      <c r="A1242" s="1">
        <v>46071.830520833333</v>
      </c>
      <c r="B1242">
        <v>354315964</v>
      </c>
      <c r="C1242" t="s">
        <v>509</v>
      </c>
      <c r="D1242" t="s">
        <v>89</v>
      </c>
      <c r="E1242" s="2">
        <v>4200</v>
      </c>
      <c r="F1242" s="2">
        <v>4200</v>
      </c>
      <c r="G1242" s="2">
        <v>2940</v>
      </c>
      <c r="I1242" t="s">
        <v>96</v>
      </c>
      <c r="J1242" t="s">
        <v>70</v>
      </c>
      <c r="K1242" t="s">
        <v>18</v>
      </c>
      <c r="L1242" t="str">
        <f>T("9791172923563")</f>
        <v>9791172923563</v>
      </c>
      <c r="M1242" t="str">
        <f t="shared" si="30"/>
        <v/>
      </c>
    </row>
    <row r="1243" spans="1:14" x14ac:dyDescent="0.3">
      <c r="A1243" s="1">
        <v>46071.830520833333</v>
      </c>
      <c r="B1243">
        <v>357993456</v>
      </c>
      <c r="C1243" t="s">
        <v>438</v>
      </c>
      <c r="D1243" t="s">
        <v>89</v>
      </c>
      <c r="E1243" s="2">
        <v>5700</v>
      </c>
      <c r="F1243" s="2">
        <v>5700</v>
      </c>
      <c r="G1243" s="2">
        <v>3990</v>
      </c>
      <c r="I1243" t="s">
        <v>96</v>
      </c>
      <c r="J1243" t="s">
        <v>23</v>
      </c>
      <c r="K1243" t="s">
        <v>18</v>
      </c>
      <c r="L1243" t="str">
        <f>T("9791172928094")</f>
        <v>9791172928094</v>
      </c>
      <c r="M1243" t="str">
        <f t="shared" si="30"/>
        <v/>
      </c>
    </row>
    <row r="1244" spans="1:14" x14ac:dyDescent="0.3">
      <c r="A1244" s="1">
        <v>46071.844930555555</v>
      </c>
      <c r="B1244">
        <v>365656697</v>
      </c>
      <c r="C1244" t="s">
        <v>239</v>
      </c>
      <c r="D1244" t="s">
        <v>89</v>
      </c>
      <c r="E1244" s="2">
        <v>5760</v>
      </c>
      <c r="F1244" s="2">
        <v>5760</v>
      </c>
      <c r="G1244" s="2">
        <v>4032</v>
      </c>
      <c r="I1244" t="s">
        <v>240</v>
      </c>
      <c r="J1244" t="s">
        <v>49</v>
      </c>
      <c r="K1244" t="s">
        <v>18</v>
      </c>
      <c r="L1244" t="str">
        <f>T("9791173783630")</f>
        <v>9791173783630</v>
      </c>
      <c r="M1244" t="str">
        <f t="shared" si="30"/>
        <v/>
      </c>
    </row>
    <row r="1245" spans="1:14" x14ac:dyDescent="0.3">
      <c r="A1245" s="1">
        <v>46071.866759259261</v>
      </c>
      <c r="B1245">
        <v>371102770</v>
      </c>
      <c r="C1245" t="s">
        <v>395</v>
      </c>
      <c r="D1245" t="s">
        <v>89</v>
      </c>
      <c r="E1245" s="2">
        <v>6930</v>
      </c>
      <c r="F1245" s="2">
        <v>6930</v>
      </c>
      <c r="G1245" s="2">
        <v>4851</v>
      </c>
      <c r="I1245" t="s">
        <v>234</v>
      </c>
      <c r="J1245" t="s">
        <v>23</v>
      </c>
      <c r="K1245" t="s">
        <v>18</v>
      </c>
      <c r="L1245" t="str">
        <f>T("9791175300569")</f>
        <v>9791175300569</v>
      </c>
      <c r="M1245" t="str">
        <f t="shared" si="30"/>
        <v/>
      </c>
    </row>
    <row r="1246" spans="1:14" x14ac:dyDescent="0.3">
      <c r="A1246" s="1">
        <v>46071.870798611111</v>
      </c>
      <c r="B1246">
        <v>379386288</v>
      </c>
      <c r="C1246" t="s">
        <v>370</v>
      </c>
      <c r="D1246" t="s">
        <v>89</v>
      </c>
      <c r="E1246" s="2">
        <v>11280</v>
      </c>
      <c r="F1246" s="2">
        <v>11280</v>
      </c>
      <c r="G1246" s="2">
        <v>7896</v>
      </c>
      <c r="I1246" t="s">
        <v>102</v>
      </c>
      <c r="J1246" t="s">
        <v>23</v>
      </c>
      <c r="K1246" t="s">
        <v>18</v>
      </c>
      <c r="L1246" t="str">
        <f>T("9791175307438")</f>
        <v>9791175307438</v>
      </c>
      <c r="M1246" t="str">
        <f t="shared" si="30"/>
        <v/>
      </c>
    </row>
    <row r="1247" spans="1:14" x14ac:dyDescent="0.3">
      <c r="A1247" s="1">
        <v>46071.87228009259</v>
      </c>
      <c r="B1247">
        <v>379386288</v>
      </c>
      <c r="C1247" t="s">
        <v>370</v>
      </c>
      <c r="D1247" t="s">
        <v>89</v>
      </c>
      <c r="E1247" s="2">
        <v>11280</v>
      </c>
      <c r="F1247" s="2">
        <v>11280</v>
      </c>
      <c r="G1247" s="2">
        <v>7896</v>
      </c>
      <c r="I1247" t="s">
        <v>102</v>
      </c>
      <c r="J1247" t="s">
        <v>23</v>
      </c>
      <c r="K1247" t="s">
        <v>18</v>
      </c>
      <c r="L1247" t="str">
        <f>T("9791175307438")</f>
        <v>9791175307438</v>
      </c>
      <c r="M1247" t="str">
        <f t="shared" si="30"/>
        <v/>
      </c>
    </row>
    <row r="1248" spans="1:14" x14ac:dyDescent="0.3">
      <c r="A1248" s="1">
        <v>46071.872928240744</v>
      </c>
      <c r="B1248">
        <v>385636024</v>
      </c>
      <c r="C1248" t="s">
        <v>379</v>
      </c>
      <c r="D1248" t="s">
        <v>15</v>
      </c>
      <c r="E1248" s="2">
        <v>3500</v>
      </c>
      <c r="F1248" s="2">
        <v>3150</v>
      </c>
      <c r="G1248" s="2">
        <v>2205</v>
      </c>
      <c r="I1248" t="s">
        <v>246</v>
      </c>
      <c r="J1248" t="s">
        <v>23</v>
      </c>
      <c r="K1248" t="s">
        <v>18</v>
      </c>
      <c r="L1248" t="str">
        <f>T("9791175309548")</f>
        <v>9791175309548</v>
      </c>
      <c r="M1248" t="str">
        <f t="shared" si="30"/>
        <v/>
      </c>
      <c r="N1248">
        <v>958040</v>
      </c>
    </row>
    <row r="1249" spans="1:14" x14ac:dyDescent="0.3">
      <c r="A1249" s="1">
        <v>46071.873831018522</v>
      </c>
      <c r="B1249">
        <v>381924691</v>
      </c>
      <c r="C1249" t="s">
        <v>302</v>
      </c>
      <c r="D1249" t="s">
        <v>89</v>
      </c>
      <c r="E1249" s="2">
        <v>8160</v>
      </c>
      <c r="F1249" s="2">
        <v>8160</v>
      </c>
      <c r="G1249" s="2">
        <v>5712</v>
      </c>
      <c r="I1249" t="s">
        <v>189</v>
      </c>
      <c r="J1249" t="s">
        <v>70</v>
      </c>
      <c r="K1249" t="s">
        <v>18</v>
      </c>
      <c r="L1249" t="str">
        <f>T("9791175307605")</f>
        <v>9791175307605</v>
      </c>
      <c r="M1249" t="str">
        <f t="shared" si="30"/>
        <v/>
      </c>
    </row>
    <row r="1250" spans="1:14" x14ac:dyDescent="0.3">
      <c r="A1250" s="1">
        <v>46071.879016203704</v>
      </c>
      <c r="B1250">
        <v>335778649</v>
      </c>
      <c r="C1250" t="s">
        <v>164</v>
      </c>
      <c r="D1250" t="s">
        <v>15</v>
      </c>
      <c r="E1250" s="2">
        <v>3200</v>
      </c>
      <c r="F1250" s="2">
        <v>3200</v>
      </c>
      <c r="G1250" s="2">
        <v>2240</v>
      </c>
      <c r="I1250" t="s">
        <v>102</v>
      </c>
      <c r="J1250" t="s">
        <v>23</v>
      </c>
      <c r="K1250" t="s">
        <v>18</v>
      </c>
      <c r="L1250" t="str">
        <f>T("9791136958181")</f>
        <v>9791136958181</v>
      </c>
      <c r="M1250" t="str">
        <f t="shared" ref="M1250:M1313" si="31">T("")</f>
        <v/>
      </c>
      <c r="N1250">
        <v>921584</v>
      </c>
    </row>
    <row r="1251" spans="1:14" x14ac:dyDescent="0.3">
      <c r="A1251" s="1">
        <v>46071.881909722222</v>
      </c>
      <c r="B1251">
        <v>379664433</v>
      </c>
      <c r="C1251" t="s">
        <v>93</v>
      </c>
      <c r="D1251" t="s">
        <v>15</v>
      </c>
      <c r="E1251" s="2">
        <v>1100</v>
      </c>
      <c r="F1251" s="2">
        <v>1100</v>
      </c>
      <c r="G1251">
        <v>770</v>
      </c>
      <c r="I1251" t="s">
        <v>94</v>
      </c>
      <c r="J1251" t="s">
        <v>23</v>
      </c>
      <c r="K1251" t="s">
        <v>18</v>
      </c>
      <c r="L1251" t="str">
        <f>T("9791175306752")</f>
        <v>9791175306752</v>
      </c>
      <c r="M1251" t="str">
        <f t="shared" si="31"/>
        <v/>
      </c>
      <c r="N1251">
        <v>957104</v>
      </c>
    </row>
    <row r="1252" spans="1:14" x14ac:dyDescent="0.3">
      <c r="A1252" s="1">
        <v>46071.884606481479</v>
      </c>
      <c r="B1252">
        <v>366387869</v>
      </c>
      <c r="C1252" t="s">
        <v>31</v>
      </c>
      <c r="D1252" t="s">
        <v>15</v>
      </c>
      <c r="E1252" s="2">
        <v>18300</v>
      </c>
      <c r="F1252" s="2">
        <v>18300</v>
      </c>
      <c r="G1252" s="2">
        <v>12810</v>
      </c>
      <c r="I1252" t="s">
        <v>32</v>
      </c>
      <c r="J1252" t="s">
        <v>23</v>
      </c>
      <c r="K1252" t="s">
        <v>18</v>
      </c>
      <c r="L1252" t="str">
        <f>T("9791173786648")</f>
        <v>9791173786648</v>
      </c>
      <c r="M1252" t="str">
        <f t="shared" si="31"/>
        <v/>
      </c>
    </row>
    <row r="1253" spans="1:14" x14ac:dyDescent="0.3">
      <c r="A1253" s="1">
        <v>46071.893136574072</v>
      </c>
      <c r="B1253">
        <v>383003477</v>
      </c>
      <c r="C1253" t="s">
        <v>513</v>
      </c>
      <c r="D1253" t="s">
        <v>15</v>
      </c>
      <c r="E1253" s="2">
        <v>3200</v>
      </c>
      <c r="F1253" s="2">
        <v>3200</v>
      </c>
      <c r="G1253" s="2">
        <v>2240</v>
      </c>
      <c r="I1253" t="s">
        <v>365</v>
      </c>
      <c r="J1253" t="s">
        <v>59</v>
      </c>
      <c r="K1253" t="s">
        <v>18</v>
      </c>
      <c r="L1253" t="str">
        <f>T("9791173789076")</f>
        <v>9791173789076</v>
      </c>
      <c r="M1253" t="str">
        <f t="shared" si="31"/>
        <v/>
      </c>
      <c r="N1253">
        <v>951989</v>
      </c>
    </row>
    <row r="1254" spans="1:14" x14ac:dyDescent="0.3">
      <c r="A1254" s="1">
        <v>46071.893136574072</v>
      </c>
      <c r="B1254">
        <v>383003510</v>
      </c>
      <c r="C1254" t="s">
        <v>514</v>
      </c>
      <c r="D1254" t="s">
        <v>15</v>
      </c>
      <c r="E1254" s="2">
        <v>3200</v>
      </c>
      <c r="F1254" s="2">
        <v>3200</v>
      </c>
      <c r="G1254" s="2">
        <v>2240</v>
      </c>
      <c r="I1254" t="s">
        <v>365</v>
      </c>
      <c r="J1254" t="s">
        <v>59</v>
      </c>
      <c r="K1254" t="s">
        <v>18</v>
      </c>
      <c r="L1254" t="str">
        <f>T("9791173789083")</f>
        <v>9791173789083</v>
      </c>
      <c r="M1254" t="str">
        <f t="shared" si="31"/>
        <v/>
      </c>
      <c r="N1254">
        <v>951988</v>
      </c>
    </row>
    <row r="1255" spans="1:14" x14ac:dyDescent="0.3">
      <c r="A1255" s="1">
        <v>46071.899236111109</v>
      </c>
      <c r="B1255">
        <v>384177437</v>
      </c>
      <c r="C1255" t="s">
        <v>111</v>
      </c>
      <c r="D1255" t="s">
        <v>15</v>
      </c>
      <c r="E1255" s="2">
        <v>3500</v>
      </c>
      <c r="F1255" s="2">
        <v>3500</v>
      </c>
      <c r="G1255" s="2">
        <v>2450</v>
      </c>
      <c r="I1255" t="s">
        <v>22</v>
      </c>
      <c r="J1255" t="s">
        <v>23</v>
      </c>
      <c r="K1255" t="s">
        <v>18</v>
      </c>
      <c r="L1255" t="str">
        <f>T("9791175309814")</f>
        <v>9791175309814</v>
      </c>
      <c r="M1255" t="str">
        <f t="shared" si="31"/>
        <v/>
      </c>
      <c r="N1255">
        <v>958593</v>
      </c>
    </row>
    <row r="1256" spans="1:14" x14ac:dyDescent="0.3">
      <c r="A1256" s="1">
        <v>46071.912291666667</v>
      </c>
      <c r="B1256">
        <v>366387869</v>
      </c>
      <c r="C1256" t="s">
        <v>31</v>
      </c>
      <c r="D1256" t="s">
        <v>15</v>
      </c>
      <c r="E1256" s="2">
        <v>18300</v>
      </c>
      <c r="F1256" s="2">
        <v>18300</v>
      </c>
      <c r="G1256" s="2">
        <v>12810</v>
      </c>
      <c r="I1256" t="s">
        <v>32</v>
      </c>
      <c r="J1256" t="s">
        <v>23</v>
      </c>
      <c r="K1256" t="s">
        <v>18</v>
      </c>
      <c r="L1256" t="str">
        <f>T("9791173786648")</f>
        <v>9791173786648</v>
      </c>
      <c r="M1256" t="str">
        <f t="shared" si="31"/>
        <v/>
      </c>
    </row>
    <row r="1257" spans="1:14" x14ac:dyDescent="0.3">
      <c r="A1257" s="1">
        <v>46071.917592592596</v>
      </c>
      <c r="B1257">
        <v>266451558</v>
      </c>
      <c r="C1257" t="s">
        <v>515</v>
      </c>
      <c r="D1257" t="s">
        <v>15</v>
      </c>
      <c r="E1257" s="2">
        <v>3400</v>
      </c>
      <c r="F1257" s="2">
        <v>3400</v>
      </c>
      <c r="G1257" s="2">
        <v>2380</v>
      </c>
      <c r="I1257" t="s">
        <v>368</v>
      </c>
      <c r="J1257" t="s">
        <v>70</v>
      </c>
      <c r="K1257" t="s">
        <v>18</v>
      </c>
      <c r="L1257" t="str">
        <f>T("9791136911728")</f>
        <v>9791136911728</v>
      </c>
      <c r="M1257" t="str">
        <f t="shared" si="31"/>
        <v/>
      </c>
      <c r="N1257">
        <v>832176</v>
      </c>
    </row>
    <row r="1258" spans="1:14" x14ac:dyDescent="0.3">
      <c r="A1258" s="1">
        <v>46071.922048611108</v>
      </c>
      <c r="B1258">
        <v>385347659</v>
      </c>
      <c r="C1258" t="s">
        <v>86</v>
      </c>
      <c r="D1258" t="s">
        <v>15</v>
      </c>
      <c r="E1258" s="2">
        <v>1000</v>
      </c>
      <c r="F1258">
        <v>900</v>
      </c>
      <c r="G1258">
        <v>630</v>
      </c>
      <c r="I1258" t="s">
        <v>87</v>
      </c>
      <c r="J1258" t="s">
        <v>23</v>
      </c>
      <c r="K1258" t="s">
        <v>18</v>
      </c>
      <c r="L1258" t="str">
        <f>T("9791175308510")</f>
        <v>9791175308510</v>
      </c>
      <c r="M1258" t="str">
        <f t="shared" si="31"/>
        <v/>
      </c>
      <c r="N1258">
        <v>957881</v>
      </c>
    </row>
    <row r="1259" spans="1:14" x14ac:dyDescent="0.3">
      <c r="A1259" s="1">
        <v>46071.931018518517</v>
      </c>
      <c r="B1259">
        <v>366387869</v>
      </c>
      <c r="C1259" t="s">
        <v>31</v>
      </c>
      <c r="D1259" t="s">
        <v>15</v>
      </c>
      <c r="E1259" s="2">
        <v>18300</v>
      </c>
      <c r="F1259" s="2">
        <v>18300</v>
      </c>
      <c r="G1259" s="2">
        <v>12810</v>
      </c>
      <c r="I1259" t="s">
        <v>32</v>
      </c>
      <c r="J1259" t="s">
        <v>23</v>
      </c>
      <c r="K1259" t="s">
        <v>18</v>
      </c>
      <c r="L1259" t="str">
        <f>T("9791173786648")</f>
        <v>9791173786648</v>
      </c>
      <c r="M1259" t="str">
        <f t="shared" si="31"/>
        <v/>
      </c>
    </row>
    <row r="1260" spans="1:14" x14ac:dyDescent="0.3">
      <c r="A1260" s="1">
        <v>46071.935474537036</v>
      </c>
      <c r="B1260">
        <v>359779074</v>
      </c>
      <c r="C1260" t="s">
        <v>385</v>
      </c>
      <c r="D1260" t="s">
        <v>89</v>
      </c>
      <c r="E1260" s="2">
        <v>12040</v>
      </c>
      <c r="F1260" s="2">
        <v>12040</v>
      </c>
      <c r="G1260" s="2">
        <v>8428</v>
      </c>
      <c r="I1260" t="s">
        <v>99</v>
      </c>
      <c r="J1260" t="s">
        <v>23</v>
      </c>
      <c r="K1260" t="s">
        <v>18</v>
      </c>
      <c r="L1260" t="str">
        <f>T("9791194664475")</f>
        <v>9791194664475</v>
      </c>
      <c r="M1260" t="str">
        <f t="shared" si="31"/>
        <v/>
      </c>
    </row>
    <row r="1261" spans="1:14" x14ac:dyDescent="0.3">
      <c r="A1261" s="1">
        <v>46071.943923611114</v>
      </c>
      <c r="B1261">
        <v>385831063</v>
      </c>
      <c r="C1261" t="s">
        <v>343</v>
      </c>
      <c r="D1261" t="s">
        <v>89</v>
      </c>
      <c r="E1261" s="2">
        <v>10800</v>
      </c>
      <c r="F1261" s="2">
        <v>10800</v>
      </c>
      <c r="G1261" s="2">
        <v>7560</v>
      </c>
      <c r="I1261" t="s">
        <v>344</v>
      </c>
      <c r="J1261" t="s">
        <v>23</v>
      </c>
      <c r="K1261" t="s">
        <v>18</v>
      </c>
      <c r="L1261" t="str">
        <f>T("9791175309456")</f>
        <v>9791175309456</v>
      </c>
      <c r="M1261" t="str">
        <f t="shared" si="31"/>
        <v/>
      </c>
    </row>
    <row r="1262" spans="1:14" x14ac:dyDescent="0.3">
      <c r="A1262" s="1">
        <v>46071.953657407408</v>
      </c>
      <c r="B1262">
        <v>385636847</v>
      </c>
      <c r="C1262" t="s">
        <v>245</v>
      </c>
      <c r="D1262" t="s">
        <v>89</v>
      </c>
      <c r="E1262" s="2">
        <v>9450</v>
      </c>
      <c r="F1262" s="2">
        <v>9450</v>
      </c>
      <c r="G1262" s="2">
        <v>6615</v>
      </c>
      <c r="I1262" t="s">
        <v>246</v>
      </c>
      <c r="J1262" t="s">
        <v>23</v>
      </c>
      <c r="K1262" t="s">
        <v>18</v>
      </c>
      <c r="L1262" t="str">
        <f>T("9791175309517")</f>
        <v>9791175309517</v>
      </c>
      <c r="M1262" t="str">
        <f t="shared" si="31"/>
        <v/>
      </c>
    </row>
    <row r="1263" spans="1:14" x14ac:dyDescent="0.3">
      <c r="A1263" s="1">
        <v>46071.955972222226</v>
      </c>
      <c r="B1263">
        <v>385636071</v>
      </c>
      <c r="C1263" t="s">
        <v>289</v>
      </c>
      <c r="D1263" t="s">
        <v>15</v>
      </c>
      <c r="E1263" s="2">
        <v>3500</v>
      </c>
      <c r="F1263" s="2">
        <v>3150</v>
      </c>
      <c r="G1263" s="2">
        <v>2205</v>
      </c>
      <c r="I1263" t="s">
        <v>246</v>
      </c>
      <c r="J1263" t="s">
        <v>23</v>
      </c>
      <c r="K1263" t="s">
        <v>18</v>
      </c>
      <c r="L1263" t="str">
        <f>T("9791175309524")</f>
        <v>9791175309524</v>
      </c>
      <c r="M1263" t="str">
        <f t="shared" si="31"/>
        <v/>
      </c>
      <c r="N1263">
        <v>958042</v>
      </c>
    </row>
    <row r="1264" spans="1:14" x14ac:dyDescent="0.3">
      <c r="A1264" s="1">
        <v>46071.960381944446</v>
      </c>
      <c r="B1264">
        <v>379386288</v>
      </c>
      <c r="C1264" t="s">
        <v>370</v>
      </c>
      <c r="D1264" t="s">
        <v>89</v>
      </c>
      <c r="E1264" s="2">
        <v>11280</v>
      </c>
      <c r="F1264" s="2">
        <v>11280</v>
      </c>
      <c r="G1264" s="2">
        <v>7896</v>
      </c>
      <c r="I1264" t="s">
        <v>102</v>
      </c>
      <c r="J1264" t="s">
        <v>23</v>
      </c>
      <c r="K1264" t="s">
        <v>18</v>
      </c>
      <c r="L1264" t="str">
        <f>T("9791175307438")</f>
        <v>9791175307438</v>
      </c>
      <c r="M1264" t="str">
        <f t="shared" si="31"/>
        <v/>
      </c>
    </row>
    <row r="1265" spans="1:14" x14ac:dyDescent="0.3">
      <c r="A1265" s="1">
        <v>46071.960752314815</v>
      </c>
      <c r="B1265">
        <v>366387869</v>
      </c>
      <c r="C1265" t="s">
        <v>31</v>
      </c>
      <c r="D1265" t="s">
        <v>15</v>
      </c>
      <c r="E1265" s="2">
        <v>18300</v>
      </c>
      <c r="F1265" s="2">
        <v>18300</v>
      </c>
      <c r="G1265" s="2">
        <v>12810</v>
      </c>
      <c r="I1265" t="s">
        <v>32</v>
      </c>
      <c r="J1265" t="s">
        <v>23</v>
      </c>
      <c r="K1265" t="s">
        <v>18</v>
      </c>
      <c r="L1265" t="str">
        <f>T("9791173786648")</f>
        <v>9791173786648</v>
      </c>
      <c r="M1265" t="str">
        <f t="shared" si="31"/>
        <v/>
      </c>
    </row>
    <row r="1266" spans="1:14" x14ac:dyDescent="0.3">
      <c r="A1266" s="1">
        <v>46071.978148148148</v>
      </c>
      <c r="B1266">
        <v>366386880</v>
      </c>
      <c r="C1266" t="s">
        <v>190</v>
      </c>
      <c r="D1266" t="s">
        <v>15</v>
      </c>
      <c r="E1266" s="2">
        <v>1800</v>
      </c>
      <c r="F1266" s="2">
        <v>1800</v>
      </c>
      <c r="G1266" s="2">
        <v>1260</v>
      </c>
      <c r="I1266" t="s">
        <v>32</v>
      </c>
      <c r="J1266" t="s">
        <v>23</v>
      </c>
      <c r="K1266" t="s">
        <v>18</v>
      </c>
      <c r="L1266" t="str">
        <f>T("9791173786648")</f>
        <v>9791173786648</v>
      </c>
      <c r="M1266" t="str">
        <f t="shared" si="31"/>
        <v/>
      </c>
      <c r="N1266">
        <v>950837</v>
      </c>
    </row>
    <row r="1267" spans="1:14" x14ac:dyDescent="0.3">
      <c r="A1267" s="1">
        <v>46071.978761574072</v>
      </c>
      <c r="B1267">
        <v>385636847</v>
      </c>
      <c r="C1267" t="s">
        <v>245</v>
      </c>
      <c r="D1267" t="s">
        <v>89</v>
      </c>
      <c r="E1267" s="2">
        <v>9450</v>
      </c>
      <c r="F1267" s="2">
        <v>9450</v>
      </c>
      <c r="G1267" s="2">
        <v>6615</v>
      </c>
      <c r="I1267" t="s">
        <v>246</v>
      </c>
      <c r="J1267" t="s">
        <v>23</v>
      </c>
      <c r="K1267" t="s">
        <v>18</v>
      </c>
      <c r="L1267" t="str">
        <f>T("9791175309517")</f>
        <v>9791175309517</v>
      </c>
      <c r="M1267" t="str">
        <f t="shared" si="31"/>
        <v/>
      </c>
    </row>
    <row r="1268" spans="1:14" x14ac:dyDescent="0.3">
      <c r="A1268" s="1">
        <v>46071.982673611114</v>
      </c>
      <c r="B1268">
        <v>379385369</v>
      </c>
      <c r="C1268" t="s">
        <v>101</v>
      </c>
      <c r="D1268" t="s">
        <v>15</v>
      </c>
      <c r="E1268" s="2">
        <v>1500</v>
      </c>
      <c r="F1268" s="2">
        <v>1500</v>
      </c>
      <c r="G1268" s="2">
        <v>1050</v>
      </c>
      <c r="I1268" t="s">
        <v>102</v>
      </c>
      <c r="J1268" t="s">
        <v>23</v>
      </c>
      <c r="K1268" t="s">
        <v>18</v>
      </c>
      <c r="L1268" t="str">
        <f>T("9791175307254")</f>
        <v>9791175307254</v>
      </c>
      <c r="M1268" t="str">
        <f t="shared" si="31"/>
        <v/>
      </c>
      <c r="N1268">
        <v>957333</v>
      </c>
    </row>
    <row r="1269" spans="1:14" x14ac:dyDescent="0.3">
      <c r="A1269" s="1">
        <v>46071.988495370373</v>
      </c>
      <c r="B1269">
        <v>385636847</v>
      </c>
      <c r="C1269" t="s">
        <v>245</v>
      </c>
      <c r="D1269" t="s">
        <v>89</v>
      </c>
      <c r="E1269" s="2">
        <v>9450</v>
      </c>
      <c r="F1269" s="2">
        <v>9450</v>
      </c>
      <c r="G1269" s="2">
        <v>6615</v>
      </c>
      <c r="I1269" t="s">
        <v>246</v>
      </c>
      <c r="J1269" t="s">
        <v>23</v>
      </c>
      <c r="K1269" t="s">
        <v>18</v>
      </c>
      <c r="L1269" t="str">
        <f>T("9791175309517")</f>
        <v>9791175309517</v>
      </c>
      <c r="M1269" t="str">
        <f t="shared" si="31"/>
        <v/>
      </c>
    </row>
    <row r="1270" spans="1:14" x14ac:dyDescent="0.3">
      <c r="A1270" s="1">
        <v>46071.990439814814</v>
      </c>
      <c r="B1270">
        <v>385636847</v>
      </c>
      <c r="C1270" t="s">
        <v>245</v>
      </c>
      <c r="D1270" t="s">
        <v>89</v>
      </c>
      <c r="E1270" s="2">
        <v>9450</v>
      </c>
      <c r="F1270" s="2">
        <v>9450</v>
      </c>
      <c r="G1270" s="2">
        <v>6615</v>
      </c>
      <c r="I1270" t="s">
        <v>246</v>
      </c>
      <c r="J1270" t="s">
        <v>23</v>
      </c>
      <c r="K1270" t="s">
        <v>18</v>
      </c>
      <c r="L1270" t="str">
        <f>T("9791175309517")</f>
        <v>9791175309517</v>
      </c>
      <c r="M1270" t="str">
        <f t="shared" si="31"/>
        <v/>
      </c>
    </row>
    <row r="1271" spans="1:14" x14ac:dyDescent="0.3">
      <c r="A1271" s="1">
        <v>46071.994722222225</v>
      </c>
      <c r="B1271">
        <v>342333155</v>
      </c>
      <c r="C1271" t="s">
        <v>182</v>
      </c>
      <c r="D1271" t="s">
        <v>15</v>
      </c>
      <c r="E1271" s="2">
        <v>1500</v>
      </c>
      <c r="F1271" s="2">
        <v>1500</v>
      </c>
      <c r="G1271" s="2">
        <v>1050</v>
      </c>
      <c r="I1271" t="s">
        <v>102</v>
      </c>
      <c r="J1271" t="s">
        <v>23</v>
      </c>
      <c r="K1271" t="s">
        <v>18</v>
      </c>
      <c r="L1271" t="str">
        <f>T("9791136979773")</f>
        <v>9791136979773</v>
      </c>
      <c r="M1271" t="str">
        <f t="shared" si="31"/>
        <v/>
      </c>
      <c r="N1271">
        <v>926741</v>
      </c>
    </row>
    <row r="1272" spans="1:14" x14ac:dyDescent="0.3">
      <c r="A1272" s="1">
        <v>46072.005254629628</v>
      </c>
      <c r="B1272">
        <v>283854200</v>
      </c>
      <c r="C1272" t="s">
        <v>516</v>
      </c>
      <c r="D1272" t="s">
        <v>15</v>
      </c>
      <c r="E1272" s="2">
        <v>3000</v>
      </c>
      <c r="F1272" s="2">
        <v>3000</v>
      </c>
      <c r="G1272" s="2">
        <v>2100</v>
      </c>
      <c r="I1272" t="s">
        <v>517</v>
      </c>
      <c r="J1272" t="s">
        <v>20</v>
      </c>
      <c r="K1272" t="s">
        <v>18</v>
      </c>
      <c r="L1272" t="str">
        <f>T("9791136920140")</f>
        <v>9791136920140</v>
      </c>
      <c r="M1272" t="str">
        <f t="shared" si="31"/>
        <v/>
      </c>
      <c r="N1272">
        <v>870691</v>
      </c>
    </row>
    <row r="1273" spans="1:14" x14ac:dyDescent="0.3">
      <c r="A1273" s="1">
        <v>46072.007060185184</v>
      </c>
      <c r="B1273">
        <v>277935152</v>
      </c>
      <c r="C1273" t="s">
        <v>197</v>
      </c>
      <c r="D1273" t="s">
        <v>15</v>
      </c>
      <c r="E1273" s="2">
        <v>4100</v>
      </c>
      <c r="F1273" s="2">
        <v>4100</v>
      </c>
      <c r="G1273" s="2">
        <v>2870</v>
      </c>
      <c r="I1273" t="s">
        <v>198</v>
      </c>
      <c r="J1273" t="s">
        <v>49</v>
      </c>
      <c r="K1273" t="s">
        <v>18</v>
      </c>
      <c r="L1273" t="str">
        <f>T("9791136917881")</f>
        <v>9791136917881</v>
      </c>
      <c r="M1273" t="str">
        <f t="shared" si="31"/>
        <v/>
      </c>
      <c r="N1273">
        <v>856972</v>
      </c>
    </row>
    <row r="1274" spans="1:14" x14ac:dyDescent="0.3">
      <c r="A1274" s="1">
        <v>46072.007060185184</v>
      </c>
      <c r="B1274">
        <v>266511267</v>
      </c>
      <c r="C1274" t="s">
        <v>518</v>
      </c>
      <c r="D1274" t="s">
        <v>15</v>
      </c>
      <c r="E1274" s="2">
        <v>4700</v>
      </c>
      <c r="F1274" s="2">
        <v>4700</v>
      </c>
      <c r="G1274" s="2">
        <v>3290</v>
      </c>
      <c r="I1274" t="s">
        <v>198</v>
      </c>
      <c r="J1274" t="s">
        <v>49</v>
      </c>
      <c r="K1274" t="s">
        <v>18</v>
      </c>
      <c r="L1274" t="str">
        <f>T("9791136910301")</f>
        <v>9791136910301</v>
      </c>
      <c r="M1274" t="str">
        <f t="shared" si="31"/>
        <v/>
      </c>
      <c r="N1274">
        <v>825000</v>
      </c>
    </row>
    <row r="1275" spans="1:14" x14ac:dyDescent="0.3">
      <c r="A1275" s="1">
        <v>46072.025810185187</v>
      </c>
      <c r="B1275">
        <v>366386880</v>
      </c>
      <c r="C1275" t="s">
        <v>190</v>
      </c>
      <c r="D1275" t="s">
        <v>15</v>
      </c>
      <c r="E1275" s="2">
        <v>1800</v>
      </c>
      <c r="F1275" s="2">
        <v>1800</v>
      </c>
      <c r="G1275" s="2">
        <v>1260</v>
      </c>
      <c r="I1275" t="s">
        <v>32</v>
      </c>
      <c r="J1275" t="s">
        <v>23</v>
      </c>
      <c r="K1275" t="s">
        <v>18</v>
      </c>
      <c r="L1275" t="str">
        <f>T("9791173786648")</f>
        <v>9791173786648</v>
      </c>
      <c r="M1275" t="str">
        <f t="shared" si="31"/>
        <v/>
      </c>
      <c r="N1275">
        <v>950837</v>
      </c>
    </row>
    <row r="1276" spans="1:14" x14ac:dyDescent="0.3">
      <c r="A1276" s="1">
        <v>46072.037905092591</v>
      </c>
      <c r="B1276">
        <v>385636071</v>
      </c>
      <c r="C1276" t="s">
        <v>289</v>
      </c>
      <c r="D1276" t="s">
        <v>15</v>
      </c>
      <c r="E1276" s="2">
        <v>3500</v>
      </c>
      <c r="F1276" s="2">
        <v>3150</v>
      </c>
      <c r="G1276" s="2">
        <v>2205</v>
      </c>
      <c r="I1276" t="s">
        <v>246</v>
      </c>
      <c r="J1276" t="s">
        <v>23</v>
      </c>
      <c r="K1276" t="s">
        <v>18</v>
      </c>
      <c r="L1276" t="str">
        <f>T("9791175309524")</f>
        <v>9791175309524</v>
      </c>
      <c r="M1276" t="str">
        <f t="shared" si="31"/>
        <v/>
      </c>
      <c r="N1276">
        <v>958042</v>
      </c>
    </row>
    <row r="1277" spans="1:14" x14ac:dyDescent="0.3">
      <c r="A1277" s="1">
        <v>46072.042858796296</v>
      </c>
      <c r="B1277">
        <v>366386880</v>
      </c>
      <c r="C1277" t="s">
        <v>190</v>
      </c>
      <c r="D1277" t="s">
        <v>15</v>
      </c>
      <c r="E1277" s="2">
        <v>1800</v>
      </c>
      <c r="F1277" s="2">
        <v>1800</v>
      </c>
      <c r="G1277" s="2">
        <v>1260</v>
      </c>
      <c r="I1277" t="s">
        <v>32</v>
      </c>
      <c r="J1277" t="s">
        <v>23</v>
      </c>
      <c r="K1277" t="s">
        <v>18</v>
      </c>
      <c r="L1277" t="str">
        <f>T("9791173786648")</f>
        <v>9791173786648</v>
      </c>
      <c r="M1277" t="str">
        <f t="shared" si="31"/>
        <v/>
      </c>
      <c r="N1277">
        <v>950837</v>
      </c>
    </row>
    <row r="1278" spans="1:14" x14ac:dyDescent="0.3">
      <c r="A1278" s="1">
        <v>46072.042858796296</v>
      </c>
      <c r="B1278">
        <v>346154245</v>
      </c>
      <c r="C1278" t="s">
        <v>45</v>
      </c>
      <c r="D1278" t="s">
        <v>15</v>
      </c>
      <c r="E1278" s="2">
        <v>3300</v>
      </c>
      <c r="F1278" s="2">
        <v>3300</v>
      </c>
      <c r="G1278" s="2">
        <v>2310</v>
      </c>
      <c r="I1278" t="s">
        <v>32</v>
      </c>
      <c r="J1278" t="s">
        <v>23</v>
      </c>
      <c r="K1278" t="s">
        <v>18</v>
      </c>
      <c r="L1278" t="str">
        <f>T("9791136940728")</f>
        <v>9791136940728</v>
      </c>
      <c r="M1278" t="str">
        <f t="shared" si="31"/>
        <v/>
      </c>
      <c r="N1278">
        <v>928441</v>
      </c>
    </row>
    <row r="1279" spans="1:14" x14ac:dyDescent="0.3">
      <c r="A1279" s="1">
        <v>46072.042858796296</v>
      </c>
      <c r="B1279">
        <v>346154276</v>
      </c>
      <c r="C1279" t="s">
        <v>46</v>
      </c>
      <c r="D1279" t="s">
        <v>15</v>
      </c>
      <c r="E1279" s="2">
        <v>3300</v>
      </c>
      <c r="F1279" s="2">
        <v>3300</v>
      </c>
      <c r="G1279" s="2">
        <v>2310</v>
      </c>
      <c r="I1279" t="s">
        <v>32</v>
      </c>
      <c r="J1279" t="s">
        <v>23</v>
      </c>
      <c r="K1279" t="s">
        <v>18</v>
      </c>
      <c r="L1279" t="str">
        <f>T("9791136940704")</f>
        <v>9791136940704</v>
      </c>
      <c r="M1279" t="str">
        <f t="shared" si="31"/>
        <v/>
      </c>
      <c r="N1279">
        <v>928442</v>
      </c>
    </row>
    <row r="1280" spans="1:14" x14ac:dyDescent="0.3">
      <c r="A1280" s="1">
        <v>46072.042858796296</v>
      </c>
      <c r="B1280">
        <v>346154638</v>
      </c>
      <c r="C1280" t="s">
        <v>43</v>
      </c>
      <c r="D1280" t="s">
        <v>15</v>
      </c>
      <c r="E1280" s="2">
        <v>3300</v>
      </c>
      <c r="F1280" s="2">
        <v>3300</v>
      </c>
      <c r="G1280" s="2">
        <v>2310</v>
      </c>
      <c r="I1280" t="s">
        <v>32</v>
      </c>
      <c r="J1280" t="s">
        <v>23</v>
      </c>
      <c r="K1280" t="s">
        <v>18</v>
      </c>
      <c r="L1280" t="str">
        <f>T("9791136927255")</f>
        <v>9791136927255</v>
      </c>
      <c r="M1280" t="str">
        <f t="shared" si="31"/>
        <v/>
      </c>
      <c r="N1280">
        <v>928444</v>
      </c>
    </row>
    <row r="1281" spans="1:14" x14ac:dyDescent="0.3">
      <c r="A1281" s="1">
        <v>46072.042858796296</v>
      </c>
      <c r="B1281">
        <v>346154285</v>
      </c>
      <c r="C1281" t="s">
        <v>191</v>
      </c>
      <c r="D1281" t="s">
        <v>15</v>
      </c>
      <c r="E1281" s="2">
        <v>3300</v>
      </c>
      <c r="F1281" s="2">
        <v>3300</v>
      </c>
      <c r="G1281" s="2">
        <v>2310</v>
      </c>
      <c r="I1281" t="s">
        <v>32</v>
      </c>
      <c r="J1281" t="s">
        <v>23</v>
      </c>
      <c r="K1281" t="s">
        <v>18</v>
      </c>
      <c r="L1281" t="str">
        <f>T("9791136927248")</f>
        <v>9791136927248</v>
      </c>
      <c r="M1281" t="str">
        <f t="shared" si="31"/>
        <v/>
      </c>
      <c r="N1281">
        <v>928445</v>
      </c>
    </row>
    <row r="1282" spans="1:14" x14ac:dyDescent="0.3">
      <c r="A1282" s="1">
        <v>46072.042858796296</v>
      </c>
      <c r="B1282">
        <v>346154719</v>
      </c>
      <c r="C1282" t="s">
        <v>44</v>
      </c>
      <c r="D1282" t="s">
        <v>15</v>
      </c>
      <c r="E1282" s="2">
        <v>3300</v>
      </c>
      <c r="F1282" s="2">
        <v>3300</v>
      </c>
      <c r="G1282" s="2">
        <v>2310</v>
      </c>
      <c r="I1282" t="s">
        <v>32</v>
      </c>
      <c r="J1282" t="s">
        <v>23</v>
      </c>
      <c r="K1282" t="s">
        <v>18</v>
      </c>
      <c r="L1282" t="str">
        <f>T("9791136927675")</f>
        <v>9791136927675</v>
      </c>
      <c r="M1282" t="str">
        <f t="shared" si="31"/>
        <v/>
      </c>
      <c r="N1282">
        <v>928443</v>
      </c>
    </row>
    <row r="1283" spans="1:14" x14ac:dyDescent="0.3">
      <c r="A1283" s="1">
        <v>46072.045972222222</v>
      </c>
      <c r="B1283">
        <v>357906226</v>
      </c>
      <c r="C1283" t="s">
        <v>519</v>
      </c>
      <c r="D1283" t="s">
        <v>15</v>
      </c>
      <c r="E1283" s="2">
        <v>3200</v>
      </c>
      <c r="F1283" s="2">
        <v>3200</v>
      </c>
      <c r="G1283" s="2">
        <v>2240</v>
      </c>
      <c r="I1283" t="s">
        <v>61</v>
      </c>
      <c r="J1283" t="s">
        <v>59</v>
      </c>
      <c r="K1283" t="s">
        <v>18</v>
      </c>
      <c r="L1283" t="str">
        <f>T("9791136968784")</f>
        <v>9791136968784</v>
      </c>
      <c r="M1283" t="str">
        <f t="shared" si="31"/>
        <v/>
      </c>
      <c r="N1283">
        <v>924663</v>
      </c>
    </row>
    <row r="1284" spans="1:14" x14ac:dyDescent="0.3">
      <c r="A1284" s="1">
        <v>46072.307060185187</v>
      </c>
      <c r="B1284">
        <v>266511269</v>
      </c>
      <c r="C1284" t="s">
        <v>457</v>
      </c>
      <c r="D1284" t="s">
        <v>15</v>
      </c>
      <c r="E1284" s="2">
        <v>4700</v>
      </c>
      <c r="F1284" s="2">
        <v>4700</v>
      </c>
      <c r="G1284" s="2">
        <v>3290</v>
      </c>
      <c r="I1284" t="s">
        <v>198</v>
      </c>
      <c r="J1284" t="s">
        <v>49</v>
      </c>
      <c r="K1284" t="s">
        <v>18</v>
      </c>
      <c r="L1284" t="str">
        <f>T("9791136910349")</f>
        <v>9791136910349</v>
      </c>
      <c r="M1284" t="str">
        <f t="shared" si="31"/>
        <v/>
      </c>
      <c r="N1284">
        <v>824996</v>
      </c>
    </row>
    <row r="1285" spans="1:14" x14ac:dyDescent="0.3">
      <c r="A1285" s="1">
        <v>46072.319768518515</v>
      </c>
      <c r="B1285">
        <v>366387869</v>
      </c>
      <c r="C1285" t="s">
        <v>31</v>
      </c>
      <c r="D1285" t="s">
        <v>15</v>
      </c>
      <c r="E1285" s="2">
        <v>18300</v>
      </c>
      <c r="F1285" s="2">
        <v>18300</v>
      </c>
      <c r="G1285" s="2">
        <v>12810</v>
      </c>
      <c r="I1285" t="s">
        <v>32</v>
      </c>
      <c r="J1285" t="s">
        <v>23</v>
      </c>
      <c r="K1285" t="s">
        <v>18</v>
      </c>
      <c r="L1285" t="str">
        <f>T("9791173786648")</f>
        <v>9791173786648</v>
      </c>
      <c r="M1285" t="str">
        <f t="shared" si="31"/>
        <v/>
      </c>
    </row>
    <row r="1286" spans="1:14" x14ac:dyDescent="0.3">
      <c r="A1286" s="1">
        <v>46072.431689814817</v>
      </c>
      <c r="B1286">
        <v>329693309</v>
      </c>
      <c r="C1286" t="s">
        <v>520</v>
      </c>
      <c r="D1286" t="s">
        <v>15</v>
      </c>
      <c r="E1286" s="2">
        <v>3200</v>
      </c>
      <c r="F1286" s="2">
        <v>3200</v>
      </c>
      <c r="G1286" s="2">
        <v>2240</v>
      </c>
      <c r="I1286" t="s">
        <v>77</v>
      </c>
      <c r="J1286" t="s">
        <v>79</v>
      </c>
      <c r="K1286" t="s">
        <v>18</v>
      </c>
      <c r="L1286" t="str">
        <f>T("9791136930293")</f>
        <v>9791136930293</v>
      </c>
      <c r="M1286" t="str">
        <f t="shared" si="31"/>
        <v/>
      </c>
      <c r="N1286">
        <v>894656</v>
      </c>
    </row>
    <row r="1287" spans="1:14" x14ac:dyDescent="0.3">
      <c r="A1287" s="1">
        <v>46072.461539351854</v>
      </c>
      <c r="B1287">
        <v>376323064</v>
      </c>
      <c r="C1287" t="s">
        <v>521</v>
      </c>
      <c r="D1287" t="s">
        <v>15</v>
      </c>
      <c r="E1287" s="2">
        <v>12800</v>
      </c>
      <c r="F1287" s="2">
        <v>12800</v>
      </c>
      <c r="G1287" s="2">
        <v>8960</v>
      </c>
      <c r="I1287" t="s">
        <v>409</v>
      </c>
      <c r="J1287" t="s">
        <v>23</v>
      </c>
      <c r="K1287" t="s">
        <v>18</v>
      </c>
      <c r="L1287" t="str">
        <f>T("9791175302952")</f>
        <v>9791175302952</v>
      </c>
      <c r="M1287" t="str">
        <f t="shared" si="31"/>
        <v/>
      </c>
    </row>
    <row r="1288" spans="1:14" x14ac:dyDescent="0.3">
      <c r="A1288" s="1">
        <v>46072.488182870373</v>
      </c>
      <c r="B1288">
        <v>359779074</v>
      </c>
      <c r="C1288" t="s">
        <v>385</v>
      </c>
      <c r="D1288" t="s">
        <v>89</v>
      </c>
      <c r="E1288" s="2">
        <v>12040</v>
      </c>
      <c r="F1288" s="2">
        <v>12040</v>
      </c>
      <c r="G1288" s="2">
        <v>8428</v>
      </c>
      <c r="I1288" t="s">
        <v>99</v>
      </c>
      <c r="J1288" t="s">
        <v>23</v>
      </c>
      <c r="K1288" t="s">
        <v>18</v>
      </c>
      <c r="L1288" t="str">
        <f>T("9791194664475")</f>
        <v>9791194664475</v>
      </c>
      <c r="M1288" t="str">
        <f t="shared" si="31"/>
        <v/>
      </c>
    </row>
    <row r="1289" spans="1:14" x14ac:dyDescent="0.3">
      <c r="A1289" s="1">
        <v>46072.54173611111</v>
      </c>
      <c r="B1289">
        <v>277935151</v>
      </c>
      <c r="C1289" t="s">
        <v>477</v>
      </c>
      <c r="D1289" t="s">
        <v>15</v>
      </c>
      <c r="E1289" s="2">
        <v>4100</v>
      </c>
      <c r="F1289" s="2">
        <v>4100</v>
      </c>
      <c r="G1289" s="2">
        <v>2870</v>
      </c>
      <c r="I1289" t="s">
        <v>198</v>
      </c>
      <c r="J1289" t="s">
        <v>49</v>
      </c>
      <c r="K1289" t="s">
        <v>18</v>
      </c>
      <c r="L1289" t="str">
        <f>T("9791136917898")</f>
        <v>9791136917898</v>
      </c>
      <c r="M1289" t="str">
        <f t="shared" si="31"/>
        <v/>
      </c>
      <c r="N1289">
        <v>856971</v>
      </c>
    </row>
    <row r="1290" spans="1:14" x14ac:dyDescent="0.3">
      <c r="A1290" s="1">
        <v>46072.565625000003</v>
      </c>
      <c r="B1290">
        <v>365656697</v>
      </c>
      <c r="C1290" t="s">
        <v>239</v>
      </c>
      <c r="D1290" t="s">
        <v>89</v>
      </c>
      <c r="E1290" s="2">
        <v>5760</v>
      </c>
      <c r="F1290" s="2">
        <v>5760</v>
      </c>
      <c r="G1290" s="2">
        <v>4032</v>
      </c>
      <c r="I1290" t="s">
        <v>240</v>
      </c>
      <c r="J1290" t="s">
        <v>49</v>
      </c>
      <c r="K1290" t="s">
        <v>18</v>
      </c>
      <c r="L1290" t="str">
        <f>T("9791173783630")</f>
        <v>9791173783630</v>
      </c>
      <c r="M1290" t="str">
        <f t="shared" si="31"/>
        <v/>
      </c>
    </row>
    <row r="1291" spans="1:14" x14ac:dyDescent="0.3">
      <c r="A1291" s="1">
        <v>46072.656006944446</v>
      </c>
      <c r="B1291">
        <v>381539783</v>
      </c>
      <c r="C1291" t="s">
        <v>522</v>
      </c>
      <c r="D1291" t="s">
        <v>15</v>
      </c>
      <c r="E1291" s="2">
        <v>3200</v>
      </c>
      <c r="F1291" s="2">
        <v>3200</v>
      </c>
      <c r="G1291" s="2">
        <v>2240</v>
      </c>
      <c r="I1291" t="s">
        <v>193</v>
      </c>
      <c r="J1291" t="s">
        <v>59</v>
      </c>
      <c r="K1291" t="s">
        <v>18</v>
      </c>
      <c r="L1291" t="str">
        <f>T("9791172921804")</f>
        <v>9791172921804</v>
      </c>
      <c r="M1291" t="str">
        <f t="shared" si="31"/>
        <v/>
      </c>
      <c r="N1291">
        <v>929937</v>
      </c>
    </row>
    <row r="1292" spans="1:14" x14ac:dyDescent="0.3">
      <c r="A1292" s="1">
        <v>46072.656006944446</v>
      </c>
      <c r="B1292">
        <v>381539779</v>
      </c>
      <c r="C1292" t="s">
        <v>523</v>
      </c>
      <c r="D1292" t="s">
        <v>15</v>
      </c>
      <c r="E1292" s="2">
        <v>3200</v>
      </c>
      <c r="F1292" s="2">
        <v>3200</v>
      </c>
      <c r="G1292" s="2">
        <v>2240</v>
      </c>
      <c r="I1292" t="s">
        <v>193</v>
      </c>
      <c r="J1292" t="s">
        <v>59</v>
      </c>
      <c r="K1292" t="s">
        <v>18</v>
      </c>
      <c r="L1292" t="str">
        <f>T("9791172921798")</f>
        <v>9791172921798</v>
      </c>
      <c r="M1292" t="str">
        <f t="shared" si="31"/>
        <v/>
      </c>
      <c r="N1292">
        <v>929938</v>
      </c>
    </row>
    <row r="1293" spans="1:14" x14ac:dyDescent="0.3">
      <c r="A1293" s="1">
        <v>46072.780023148145</v>
      </c>
      <c r="B1293">
        <v>357906240</v>
      </c>
      <c r="C1293" t="s">
        <v>524</v>
      </c>
      <c r="D1293" t="s">
        <v>15</v>
      </c>
      <c r="E1293" s="2">
        <v>3200</v>
      </c>
      <c r="F1293" s="2">
        <v>3200</v>
      </c>
      <c r="G1293" s="2">
        <v>2240</v>
      </c>
      <c r="I1293" t="s">
        <v>61</v>
      </c>
      <c r="J1293" t="s">
        <v>59</v>
      </c>
      <c r="K1293" t="s">
        <v>18</v>
      </c>
      <c r="L1293" t="str">
        <f>T("9791136975294")</f>
        <v>9791136975294</v>
      </c>
      <c r="M1293" t="str">
        <f t="shared" si="31"/>
        <v/>
      </c>
      <c r="N1293">
        <v>924661</v>
      </c>
    </row>
    <row r="1294" spans="1:14" x14ac:dyDescent="0.3">
      <c r="A1294" s="1">
        <v>46072.780023148145</v>
      </c>
      <c r="B1294">
        <v>357906286</v>
      </c>
      <c r="C1294" t="s">
        <v>525</v>
      </c>
      <c r="D1294" t="s">
        <v>15</v>
      </c>
      <c r="E1294" s="2">
        <v>3200</v>
      </c>
      <c r="F1294" s="2">
        <v>3200</v>
      </c>
      <c r="G1294" s="2">
        <v>2240</v>
      </c>
      <c r="I1294" t="s">
        <v>61</v>
      </c>
      <c r="J1294" t="s">
        <v>59</v>
      </c>
      <c r="K1294" t="s">
        <v>18</v>
      </c>
      <c r="L1294" t="str">
        <f>T("9791136971845")</f>
        <v>9791136971845</v>
      </c>
      <c r="M1294" t="str">
        <f t="shared" si="31"/>
        <v/>
      </c>
      <c r="N1294">
        <v>924662</v>
      </c>
    </row>
    <row r="1295" spans="1:14" x14ac:dyDescent="0.3">
      <c r="A1295" s="1">
        <v>46072.841192129628</v>
      </c>
      <c r="B1295">
        <v>385636847</v>
      </c>
      <c r="C1295" t="s">
        <v>245</v>
      </c>
      <c r="D1295" t="s">
        <v>89</v>
      </c>
      <c r="E1295" s="2">
        <v>9450</v>
      </c>
      <c r="F1295" s="2">
        <v>9450</v>
      </c>
      <c r="G1295" s="2">
        <v>6615</v>
      </c>
      <c r="I1295" t="s">
        <v>246</v>
      </c>
      <c r="J1295" t="s">
        <v>23</v>
      </c>
      <c r="K1295" t="s">
        <v>18</v>
      </c>
      <c r="L1295" t="str">
        <f>T("9791175309517")</f>
        <v>9791175309517</v>
      </c>
      <c r="M1295" t="str">
        <f t="shared" si="31"/>
        <v/>
      </c>
    </row>
    <row r="1296" spans="1:14" x14ac:dyDescent="0.3">
      <c r="A1296" s="1">
        <v>46072.844247685185</v>
      </c>
      <c r="B1296">
        <v>385636847</v>
      </c>
      <c r="C1296" t="s">
        <v>245</v>
      </c>
      <c r="D1296" t="s">
        <v>89</v>
      </c>
      <c r="E1296" s="2">
        <v>9450</v>
      </c>
      <c r="F1296" s="2">
        <v>9450</v>
      </c>
      <c r="G1296" s="2">
        <v>6615</v>
      </c>
      <c r="I1296" t="s">
        <v>246</v>
      </c>
      <c r="J1296" t="s">
        <v>23</v>
      </c>
      <c r="K1296" t="s">
        <v>18</v>
      </c>
      <c r="L1296" t="str">
        <f>T("9791175309517")</f>
        <v>9791175309517</v>
      </c>
      <c r="M1296" t="str">
        <f t="shared" si="31"/>
        <v/>
      </c>
    </row>
    <row r="1297" spans="1:14" x14ac:dyDescent="0.3">
      <c r="A1297" s="1">
        <v>46072.87740740741</v>
      </c>
      <c r="B1297">
        <v>361759392</v>
      </c>
      <c r="C1297" t="s">
        <v>491</v>
      </c>
      <c r="D1297" t="s">
        <v>15</v>
      </c>
      <c r="E1297" s="2">
        <v>5000</v>
      </c>
      <c r="F1297" s="2">
        <v>5000</v>
      </c>
      <c r="G1297" s="2">
        <v>3500</v>
      </c>
      <c r="I1297" t="s">
        <v>198</v>
      </c>
      <c r="J1297" t="s">
        <v>49</v>
      </c>
      <c r="K1297" t="s">
        <v>18</v>
      </c>
      <c r="L1297" t="str">
        <f>T("9791173783227")</f>
        <v>9791173783227</v>
      </c>
      <c r="M1297" t="str">
        <f t="shared" si="31"/>
        <v/>
      </c>
      <c r="N1297">
        <v>947668</v>
      </c>
    </row>
    <row r="1298" spans="1:14" x14ac:dyDescent="0.3">
      <c r="A1298" s="1">
        <v>46072.9065625</v>
      </c>
      <c r="B1298">
        <v>365656697</v>
      </c>
      <c r="C1298" t="s">
        <v>239</v>
      </c>
      <c r="D1298" t="s">
        <v>89</v>
      </c>
      <c r="E1298" s="2">
        <v>5760</v>
      </c>
      <c r="F1298" s="2">
        <v>5760</v>
      </c>
      <c r="G1298" s="2">
        <v>4032</v>
      </c>
      <c r="I1298" t="s">
        <v>240</v>
      </c>
      <c r="J1298" t="s">
        <v>49</v>
      </c>
      <c r="K1298" t="s">
        <v>18</v>
      </c>
      <c r="L1298" t="str">
        <f>T("9791173783630")</f>
        <v>9791173783630</v>
      </c>
      <c r="M1298" t="str">
        <f t="shared" si="31"/>
        <v/>
      </c>
    </row>
    <row r="1299" spans="1:14" x14ac:dyDescent="0.3">
      <c r="A1299" s="1">
        <v>46072.909884259258</v>
      </c>
      <c r="B1299">
        <v>361759402</v>
      </c>
      <c r="C1299" t="s">
        <v>50</v>
      </c>
      <c r="D1299" t="s">
        <v>15</v>
      </c>
      <c r="E1299">
        <v>0</v>
      </c>
      <c r="F1299">
        <v>0</v>
      </c>
      <c r="G1299">
        <v>0</v>
      </c>
      <c r="I1299" t="s">
        <v>51</v>
      </c>
      <c r="J1299" t="s">
        <v>52</v>
      </c>
      <c r="K1299" t="s">
        <v>18</v>
      </c>
      <c r="L1299" t="str">
        <f>T("9791173782381")</f>
        <v>9791173782381</v>
      </c>
      <c r="M1299" t="str">
        <f t="shared" si="31"/>
        <v/>
      </c>
      <c r="N1299">
        <v>946964</v>
      </c>
    </row>
    <row r="1300" spans="1:14" x14ac:dyDescent="0.3">
      <c r="A1300" s="1">
        <v>46072.941793981481</v>
      </c>
      <c r="B1300">
        <v>385636847</v>
      </c>
      <c r="C1300" t="s">
        <v>245</v>
      </c>
      <c r="D1300" t="s">
        <v>89</v>
      </c>
      <c r="E1300" s="2">
        <v>9450</v>
      </c>
      <c r="F1300" s="2">
        <v>9450</v>
      </c>
      <c r="G1300" s="2">
        <v>6615</v>
      </c>
      <c r="I1300" t="s">
        <v>246</v>
      </c>
      <c r="J1300" t="s">
        <v>23</v>
      </c>
      <c r="K1300" t="s">
        <v>18</v>
      </c>
      <c r="L1300" t="str">
        <f>T("9791175309517")</f>
        <v>9791175309517</v>
      </c>
      <c r="M1300" t="str">
        <f t="shared" si="31"/>
        <v/>
      </c>
    </row>
    <row r="1301" spans="1:14" x14ac:dyDescent="0.3">
      <c r="A1301" s="1">
        <v>46072.942025462966</v>
      </c>
      <c r="B1301">
        <v>288284411</v>
      </c>
      <c r="C1301" t="s">
        <v>375</v>
      </c>
      <c r="D1301" t="s">
        <v>15</v>
      </c>
      <c r="E1301" s="2">
        <v>3000</v>
      </c>
      <c r="F1301" s="2">
        <v>3000</v>
      </c>
      <c r="G1301" s="2">
        <v>2100</v>
      </c>
      <c r="I1301" t="s">
        <v>116</v>
      </c>
      <c r="J1301" t="s">
        <v>73</v>
      </c>
      <c r="K1301" t="s">
        <v>18</v>
      </c>
      <c r="L1301" t="str">
        <f>T("9791136922090")</f>
        <v>9791136922090</v>
      </c>
      <c r="M1301" t="str">
        <f t="shared" si="31"/>
        <v/>
      </c>
      <c r="N1301">
        <v>877624</v>
      </c>
    </row>
    <row r="1302" spans="1:14" x14ac:dyDescent="0.3">
      <c r="A1302" s="1">
        <v>46072.942025462966</v>
      </c>
      <c r="B1302">
        <v>288284449</v>
      </c>
      <c r="C1302" t="s">
        <v>115</v>
      </c>
      <c r="D1302" t="s">
        <v>15</v>
      </c>
      <c r="E1302" s="2">
        <v>2700</v>
      </c>
      <c r="F1302" s="2">
        <v>2700</v>
      </c>
      <c r="G1302" s="2">
        <v>1890</v>
      </c>
      <c r="I1302" t="s">
        <v>116</v>
      </c>
      <c r="J1302" t="s">
        <v>73</v>
      </c>
      <c r="K1302" t="s">
        <v>18</v>
      </c>
      <c r="L1302" t="str">
        <f>T("9791136922076")</f>
        <v>9791136922076</v>
      </c>
      <c r="M1302" t="str">
        <f t="shared" si="31"/>
        <v/>
      </c>
      <c r="N1302">
        <v>877626</v>
      </c>
    </row>
    <row r="1303" spans="1:14" x14ac:dyDescent="0.3">
      <c r="A1303" s="1">
        <v>46072.942025462966</v>
      </c>
      <c r="B1303">
        <v>288284465</v>
      </c>
      <c r="C1303" t="s">
        <v>472</v>
      </c>
      <c r="D1303" t="s">
        <v>15</v>
      </c>
      <c r="E1303" s="2">
        <v>3300</v>
      </c>
      <c r="F1303" s="2">
        <v>3300</v>
      </c>
      <c r="G1303" s="2">
        <v>2310</v>
      </c>
      <c r="I1303" t="s">
        <v>116</v>
      </c>
      <c r="J1303" t="s">
        <v>73</v>
      </c>
      <c r="K1303" t="s">
        <v>18</v>
      </c>
      <c r="L1303" t="str">
        <f>T("9791136922106")</f>
        <v>9791136922106</v>
      </c>
      <c r="M1303" t="str">
        <f t="shared" si="31"/>
        <v/>
      </c>
      <c r="N1303">
        <v>877623</v>
      </c>
    </row>
    <row r="1304" spans="1:14" x14ac:dyDescent="0.3">
      <c r="A1304" s="1">
        <v>46072.942025462966</v>
      </c>
      <c r="B1304">
        <v>288284479</v>
      </c>
      <c r="C1304" t="s">
        <v>526</v>
      </c>
      <c r="D1304" t="s">
        <v>15</v>
      </c>
      <c r="E1304" s="2">
        <v>3000</v>
      </c>
      <c r="F1304" s="2">
        <v>3000</v>
      </c>
      <c r="G1304" s="2">
        <v>2100</v>
      </c>
      <c r="I1304" t="s">
        <v>116</v>
      </c>
      <c r="J1304" t="s">
        <v>73</v>
      </c>
      <c r="K1304" t="s">
        <v>18</v>
      </c>
      <c r="L1304" t="str">
        <f>T("9791136922083")</f>
        <v>9791136922083</v>
      </c>
      <c r="M1304" t="str">
        <f t="shared" si="31"/>
        <v/>
      </c>
      <c r="N1304">
        <v>877625</v>
      </c>
    </row>
    <row r="1305" spans="1:14" x14ac:dyDescent="0.3">
      <c r="A1305" s="1">
        <v>46072.942025462966</v>
      </c>
      <c r="B1305">
        <v>298426384</v>
      </c>
      <c r="C1305" t="s">
        <v>527</v>
      </c>
      <c r="D1305" t="s">
        <v>15</v>
      </c>
      <c r="E1305" s="2">
        <v>1500</v>
      </c>
      <c r="F1305" s="2">
        <v>1500</v>
      </c>
      <c r="G1305" s="2">
        <v>1050</v>
      </c>
      <c r="I1305" t="s">
        <v>116</v>
      </c>
      <c r="J1305" t="s">
        <v>73</v>
      </c>
      <c r="K1305" t="s">
        <v>18</v>
      </c>
      <c r="L1305" t="str">
        <f>T("9791136927088")</f>
        <v>9791136927088</v>
      </c>
      <c r="M1305" t="str">
        <f t="shared" si="31"/>
        <v/>
      </c>
      <c r="N1305">
        <v>885313</v>
      </c>
    </row>
    <row r="1306" spans="1:14" x14ac:dyDescent="0.3">
      <c r="A1306" s="1">
        <v>46072.959421296298</v>
      </c>
      <c r="B1306">
        <v>385636113</v>
      </c>
      <c r="C1306" t="s">
        <v>378</v>
      </c>
      <c r="D1306" t="s">
        <v>15</v>
      </c>
      <c r="E1306" s="2">
        <v>3500</v>
      </c>
      <c r="F1306" s="2">
        <v>3150</v>
      </c>
      <c r="G1306" s="2">
        <v>2205</v>
      </c>
      <c r="I1306" t="s">
        <v>246</v>
      </c>
      <c r="J1306" t="s">
        <v>23</v>
      </c>
      <c r="K1306" t="s">
        <v>18</v>
      </c>
      <c r="L1306" t="str">
        <f>T("9791175309531")</f>
        <v>9791175309531</v>
      </c>
      <c r="M1306" t="str">
        <f t="shared" si="31"/>
        <v/>
      </c>
      <c r="N1306">
        <v>958041</v>
      </c>
    </row>
    <row r="1307" spans="1:14" x14ac:dyDescent="0.3">
      <c r="A1307" s="1">
        <v>46072.980868055558</v>
      </c>
      <c r="B1307">
        <v>361759407</v>
      </c>
      <c r="C1307" t="s">
        <v>528</v>
      </c>
      <c r="D1307" t="s">
        <v>15</v>
      </c>
      <c r="E1307" s="2">
        <v>3200</v>
      </c>
      <c r="F1307" s="2">
        <v>3200</v>
      </c>
      <c r="G1307" s="2">
        <v>2240</v>
      </c>
      <c r="I1307" t="s">
        <v>51</v>
      </c>
      <c r="J1307" t="s">
        <v>52</v>
      </c>
      <c r="K1307" t="s">
        <v>18</v>
      </c>
      <c r="L1307" t="str">
        <f>T("9791173782992")</f>
        <v>9791173782992</v>
      </c>
      <c r="M1307" t="str">
        <f t="shared" si="31"/>
        <v/>
      </c>
      <c r="N1307">
        <v>946964</v>
      </c>
    </row>
    <row r="1308" spans="1:14" x14ac:dyDescent="0.3">
      <c r="A1308" s="1">
        <v>46072.980868055558</v>
      </c>
      <c r="B1308">
        <v>361759307</v>
      </c>
      <c r="C1308" t="s">
        <v>529</v>
      </c>
      <c r="D1308" t="s">
        <v>15</v>
      </c>
      <c r="E1308" s="2">
        <v>3200</v>
      </c>
      <c r="F1308" s="2">
        <v>3200</v>
      </c>
      <c r="G1308" s="2">
        <v>2240</v>
      </c>
      <c r="I1308" t="s">
        <v>51</v>
      </c>
      <c r="J1308" t="s">
        <v>52</v>
      </c>
      <c r="K1308" t="s">
        <v>18</v>
      </c>
      <c r="L1308" t="str">
        <f>T("9791173782978")</f>
        <v>9791173782978</v>
      </c>
      <c r="M1308" t="str">
        <f t="shared" si="31"/>
        <v/>
      </c>
      <c r="N1308">
        <v>946964</v>
      </c>
    </row>
    <row r="1309" spans="1:14" x14ac:dyDescent="0.3">
      <c r="A1309" s="1">
        <v>46072.980868055558</v>
      </c>
      <c r="B1309">
        <v>361759252</v>
      </c>
      <c r="C1309" t="s">
        <v>530</v>
      </c>
      <c r="D1309" t="s">
        <v>15</v>
      </c>
      <c r="E1309" s="2">
        <v>3200</v>
      </c>
      <c r="F1309" s="2">
        <v>3200</v>
      </c>
      <c r="G1309" s="2">
        <v>2240</v>
      </c>
      <c r="I1309" t="s">
        <v>51</v>
      </c>
      <c r="J1309" t="s">
        <v>52</v>
      </c>
      <c r="K1309" t="s">
        <v>18</v>
      </c>
      <c r="L1309" t="str">
        <f>T("9791173782985")</f>
        <v>9791173782985</v>
      </c>
      <c r="M1309" t="str">
        <f t="shared" si="31"/>
        <v/>
      </c>
      <c r="N1309">
        <v>946964</v>
      </c>
    </row>
    <row r="1310" spans="1:14" x14ac:dyDescent="0.3">
      <c r="A1310" s="1">
        <v>46072.980868055558</v>
      </c>
      <c r="B1310">
        <v>361759209</v>
      </c>
      <c r="C1310" t="s">
        <v>194</v>
      </c>
      <c r="D1310" t="s">
        <v>15</v>
      </c>
      <c r="E1310" s="2">
        <v>3200</v>
      </c>
      <c r="F1310" s="2">
        <v>3200</v>
      </c>
      <c r="G1310" s="2">
        <v>2240</v>
      </c>
      <c r="I1310" t="s">
        <v>51</v>
      </c>
      <c r="J1310" t="s">
        <v>52</v>
      </c>
      <c r="K1310" t="s">
        <v>18</v>
      </c>
      <c r="L1310" t="str">
        <f>T("9791173782954")</f>
        <v>9791173782954</v>
      </c>
      <c r="M1310" t="str">
        <f t="shared" si="31"/>
        <v/>
      </c>
      <c r="N1310">
        <v>946964</v>
      </c>
    </row>
    <row r="1311" spans="1:14" x14ac:dyDescent="0.3">
      <c r="A1311" s="1">
        <v>46072.980868055558</v>
      </c>
      <c r="B1311">
        <v>361759476</v>
      </c>
      <c r="C1311" t="s">
        <v>531</v>
      </c>
      <c r="D1311" t="s">
        <v>15</v>
      </c>
      <c r="E1311" s="2">
        <v>3200</v>
      </c>
      <c r="F1311" s="2">
        <v>3200</v>
      </c>
      <c r="G1311" s="2">
        <v>2240</v>
      </c>
      <c r="I1311" t="s">
        <v>51</v>
      </c>
      <c r="J1311" t="s">
        <v>52</v>
      </c>
      <c r="K1311" t="s">
        <v>18</v>
      </c>
      <c r="L1311" t="str">
        <f>T("9791173782961")</f>
        <v>9791173782961</v>
      </c>
      <c r="M1311" t="str">
        <f t="shared" si="31"/>
        <v/>
      </c>
      <c r="N1311">
        <v>946964</v>
      </c>
    </row>
    <row r="1312" spans="1:14" x14ac:dyDescent="0.3">
      <c r="A1312" s="1">
        <v>46072.985266203701</v>
      </c>
      <c r="B1312">
        <v>366387869</v>
      </c>
      <c r="C1312" t="s">
        <v>31</v>
      </c>
      <c r="D1312" t="s">
        <v>15</v>
      </c>
      <c r="E1312" s="2">
        <v>18300</v>
      </c>
      <c r="F1312" s="2">
        <v>18300</v>
      </c>
      <c r="G1312" s="2">
        <v>12810</v>
      </c>
      <c r="I1312" t="s">
        <v>32</v>
      </c>
      <c r="J1312" t="s">
        <v>23</v>
      </c>
      <c r="K1312" t="s">
        <v>18</v>
      </c>
      <c r="L1312" t="str">
        <f>T("9791173786648")</f>
        <v>9791173786648</v>
      </c>
      <c r="M1312" t="str">
        <f t="shared" si="31"/>
        <v/>
      </c>
    </row>
    <row r="1313" spans="1:14" x14ac:dyDescent="0.3">
      <c r="A1313" s="1">
        <v>46072.98673611111</v>
      </c>
      <c r="B1313">
        <v>277935100</v>
      </c>
      <c r="C1313" t="s">
        <v>459</v>
      </c>
      <c r="D1313" t="s">
        <v>15</v>
      </c>
      <c r="E1313" s="2">
        <v>4100</v>
      </c>
      <c r="F1313" s="2">
        <v>4100</v>
      </c>
      <c r="G1313" s="2">
        <v>2870</v>
      </c>
      <c r="I1313" t="s">
        <v>198</v>
      </c>
      <c r="J1313" t="s">
        <v>49</v>
      </c>
      <c r="K1313" t="s">
        <v>18</v>
      </c>
      <c r="L1313" t="str">
        <f>T("9791136917850")</f>
        <v>9791136917850</v>
      </c>
      <c r="M1313" t="str">
        <f t="shared" si="31"/>
        <v/>
      </c>
      <c r="N1313">
        <v>856975</v>
      </c>
    </row>
    <row r="1314" spans="1:14" x14ac:dyDescent="0.3">
      <c r="A1314" s="1">
        <v>46072.988576388889</v>
      </c>
      <c r="B1314">
        <v>287087356</v>
      </c>
      <c r="C1314" t="s">
        <v>478</v>
      </c>
      <c r="D1314" t="s">
        <v>89</v>
      </c>
      <c r="E1314" s="2">
        <v>11550</v>
      </c>
      <c r="F1314" s="2">
        <v>11550</v>
      </c>
      <c r="G1314" s="2">
        <v>8085</v>
      </c>
      <c r="I1314" t="s">
        <v>368</v>
      </c>
      <c r="J1314" t="s">
        <v>23</v>
      </c>
      <c r="K1314" t="s">
        <v>18</v>
      </c>
      <c r="L1314" t="str">
        <f>T("9791136920812")</f>
        <v>9791136920812</v>
      </c>
      <c r="M1314" t="str">
        <f t="shared" ref="M1314:M1377" si="32">T("")</f>
        <v/>
      </c>
    </row>
    <row r="1315" spans="1:14" x14ac:dyDescent="0.3">
      <c r="A1315" s="1">
        <v>46073.003518518519</v>
      </c>
      <c r="B1315">
        <v>335778578</v>
      </c>
      <c r="C1315" t="s">
        <v>125</v>
      </c>
      <c r="D1315" t="s">
        <v>15</v>
      </c>
      <c r="E1315" s="2">
        <v>3400</v>
      </c>
      <c r="F1315" s="2">
        <v>3400</v>
      </c>
      <c r="G1315" s="2">
        <v>2380</v>
      </c>
      <c r="I1315" t="s">
        <v>102</v>
      </c>
      <c r="J1315" t="s">
        <v>23</v>
      </c>
      <c r="K1315" t="s">
        <v>18</v>
      </c>
      <c r="L1315" t="str">
        <f>T("9791136958198")</f>
        <v>9791136958198</v>
      </c>
      <c r="M1315" t="str">
        <f t="shared" si="32"/>
        <v/>
      </c>
      <c r="N1315">
        <v>921583</v>
      </c>
    </row>
    <row r="1316" spans="1:14" x14ac:dyDescent="0.3">
      <c r="A1316" s="1">
        <v>46073.032395833332</v>
      </c>
      <c r="B1316">
        <v>366170260</v>
      </c>
      <c r="C1316" t="s">
        <v>201</v>
      </c>
      <c r="D1316" t="s">
        <v>89</v>
      </c>
      <c r="E1316" s="2">
        <v>9240</v>
      </c>
      <c r="F1316" s="2">
        <v>9240</v>
      </c>
      <c r="G1316" s="2">
        <v>6468</v>
      </c>
      <c r="I1316" t="s">
        <v>34</v>
      </c>
      <c r="J1316" t="s">
        <v>23</v>
      </c>
      <c r="K1316" t="s">
        <v>18</v>
      </c>
      <c r="L1316" t="str">
        <f>T("9791173784552")</f>
        <v>9791173784552</v>
      </c>
      <c r="M1316" t="str">
        <f t="shared" si="32"/>
        <v/>
      </c>
    </row>
    <row r="1317" spans="1:14" x14ac:dyDescent="0.3">
      <c r="A1317" s="1">
        <v>46073.039340277777</v>
      </c>
      <c r="B1317">
        <v>339153055</v>
      </c>
      <c r="C1317" t="s">
        <v>399</v>
      </c>
      <c r="D1317" t="s">
        <v>89</v>
      </c>
      <c r="E1317" s="2">
        <v>17080</v>
      </c>
      <c r="F1317" s="2">
        <v>17080</v>
      </c>
      <c r="G1317" s="2">
        <v>11956</v>
      </c>
      <c r="I1317" t="s">
        <v>400</v>
      </c>
      <c r="J1317" t="s">
        <v>23</v>
      </c>
      <c r="K1317" t="s">
        <v>18</v>
      </c>
      <c r="L1317" t="str">
        <f>T("9791136965936")</f>
        <v>9791136965936</v>
      </c>
      <c r="M1317" t="str">
        <f t="shared" si="32"/>
        <v/>
      </c>
    </row>
    <row r="1318" spans="1:14" x14ac:dyDescent="0.3">
      <c r="A1318" s="1">
        <v>46073.039340277777</v>
      </c>
      <c r="B1318">
        <v>367919257</v>
      </c>
      <c r="C1318" t="s">
        <v>415</v>
      </c>
      <c r="D1318" t="s">
        <v>89</v>
      </c>
      <c r="E1318" s="2">
        <v>13860</v>
      </c>
      <c r="F1318" s="2">
        <v>13860</v>
      </c>
      <c r="G1318" s="2">
        <v>9702</v>
      </c>
      <c r="I1318" t="s">
        <v>416</v>
      </c>
      <c r="J1318" t="s">
        <v>23</v>
      </c>
      <c r="K1318" t="s">
        <v>18</v>
      </c>
      <c r="L1318" t="str">
        <f>T("9791173786471")</f>
        <v>9791173786471</v>
      </c>
      <c r="M1318" t="str">
        <f t="shared" si="32"/>
        <v/>
      </c>
    </row>
    <row r="1319" spans="1:14" x14ac:dyDescent="0.3">
      <c r="A1319" s="1">
        <v>46073.039340277777</v>
      </c>
      <c r="B1319">
        <v>379386288</v>
      </c>
      <c r="C1319" t="s">
        <v>370</v>
      </c>
      <c r="D1319" t="s">
        <v>89</v>
      </c>
      <c r="E1319" s="2">
        <v>11280</v>
      </c>
      <c r="F1319" s="2">
        <v>11280</v>
      </c>
      <c r="G1319" s="2">
        <v>7896</v>
      </c>
      <c r="I1319" t="s">
        <v>102</v>
      </c>
      <c r="J1319" t="s">
        <v>23</v>
      </c>
      <c r="K1319" t="s">
        <v>18</v>
      </c>
      <c r="L1319" t="str">
        <f>T("9791175307438")</f>
        <v>9791175307438</v>
      </c>
      <c r="M1319" t="str">
        <f t="shared" si="32"/>
        <v/>
      </c>
    </row>
    <row r="1320" spans="1:14" x14ac:dyDescent="0.3">
      <c r="A1320" s="1">
        <v>46073.039340277777</v>
      </c>
      <c r="B1320">
        <v>381924691</v>
      </c>
      <c r="C1320" t="s">
        <v>302</v>
      </c>
      <c r="D1320" t="s">
        <v>89</v>
      </c>
      <c r="E1320" s="2">
        <v>8160</v>
      </c>
      <c r="F1320" s="2">
        <v>8160</v>
      </c>
      <c r="G1320" s="2">
        <v>5712</v>
      </c>
      <c r="I1320" t="s">
        <v>189</v>
      </c>
      <c r="J1320" t="s">
        <v>70</v>
      </c>
      <c r="K1320" t="s">
        <v>18</v>
      </c>
      <c r="L1320" t="str">
        <f>T("9791175307605")</f>
        <v>9791175307605</v>
      </c>
      <c r="M1320" t="str">
        <f t="shared" si="32"/>
        <v/>
      </c>
    </row>
    <row r="1321" spans="1:14" x14ac:dyDescent="0.3">
      <c r="A1321" s="1">
        <v>46073.039340277777</v>
      </c>
      <c r="B1321">
        <v>382391622</v>
      </c>
      <c r="C1321" t="s">
        <v>393</v>
      </c>
      <c r="D1321" t="s">
        <v>89</v>
      </c>
      <c r="E1321" s="2">
        <v>7680</v>
      </c>
      <c r="F1321" s="2">
        <v>7680</v>
      </c>
      <c r="G1321" s="2">
        <v>5376</v>
      </c>
      <c r="I1321" t="s">
        <v>346</v>
      </c>
      <c r="J1321" t="s">
        <v>23</v>
      </c>
      <c r="K1321" t="s">
        <v>18</v>
      </c>
      <c r="L1321" t="str">
        <f>T("9791175307155")</f>
        <v>9791175307155</v>
      </c>
      <c r="M1321" t="str">
        <f t="shared" si="32"/>
        <v/>
      </c>
    </row>
    <row r="1322" spans="1:14" x14ac:dyDescent="0.3">
      <c r="A1322" s="1">
        <v>46073.184432870374</v>
      </c>
      <c r="B1322">
        <v>365656697</v>
      </c>
      <c r="C1322" t="s">
        <v>239</v>
      </c>
      <c r="D1322" t="s">
        <v>89</v>
      </c>
      <c r="E1322" s="2">
        <v>5760</v>
      </c>
      <c r="F1322" s="2">
        <v>5760</v>
      </c>
      <c r="G1322" s="2">
        <v>4032</v>
      </c>
      <c r="I1322" t="s">
        <v>240</v>
      </c>
      <c r="J1322" t="s">
        <v>49</v>
      </c>
      <c r="K1322" t="s">
        <v>18</v>
      </c>
      <c r="L1322" t="str">
        <f>T("9791173783630")</f>
        <v>9791173783630</v>
      </c>
      <c r="M1322" t="str">
        <f t="shared" si="32"/>
        <v/>
      </c>
    </row>
    <row r="1323" spans="1:14" x14ac:dyDescent="0.3">
      <c r="A1323" s="1">
        <v>46073.422152777777</v>
      </c>
      <c r="B1323">
        <v>363863135</v>
      </c>
      <c r="C1323" t="s">
        <v>212</v>
      </c>
      <c r="D1323" t="s">
        <v>15</v>
      </c>
      <c r="E1323" s="2">
        <v>3900</v>
      </c>
      <c r="F1323" s="2">
        <v>3900</v>
      </c>
      <c r="G1323" s="2">
        <v>2730</v>
      </c>
      <c r="I1323" t="s">
        <v>210</v>
      </c>
      <c r="J1323" t="s">
        <v>23</v>
      </c>
      <c r="K1323" t="s">
        <v>18</v>
      </c>
      <c r="L1323" t="str">
        <f>T("9791173783500")</f>
        <v>9791173783500</v>
      </c>
      <c r="M1323" t="str">
        <f t="shared" si="32"/>
        <v/>
      </c>
      <c r="N1323">
        <v>948507</v>
      </c>
    </row>
    <row r="1324" spans="1:14" x14ac:dyDescent="0.3">
      <c r="A1324" s="1">
        <v>46073.422152777777</v>
      </c>
      <c r="B1324">
        <v>363863439</v>
      </c>
      <c r="C1324" t="s">
        <v>209</v>
      </c>
      <c r="D1324" t="s">
        <v>15</v>
      </c>
      <c r="E1324" s="2">
        <v>3300</v>
      </c>
      <c r="F1324" s="2">
        <v>3300</v>
      </c>
      <c r="G1324" s="2">
        <v>2310</v>
      </c>
      <c r="I1324" t="s">
        <v>210</v>
      </c>
      <c r="J1324" t="s">
        <v>23</v>
      </c>
      <c r="K1324" t="s">
        <v>18</v>
      </c>
      <c r="L1324" t="str">
        <f>T("9791173783494")</f>
        <v>9791173783494</v>
      </c>
      <c r="M1324" t="str">
        <f t="shared" si="32"/>
        <v/>
      </c>
      <c r="N1324">
        <v>948508</v>
      </c>
    </row>
    <row r="1325" spans="1:14" x14ac:dyDescent="0.3">
      <c r="A1325" s="1">
        <v>46073.431539351855</v>
      </c>
      <c r="B1325">
        <v>361759197</v>
      </c>
      <c r="C1325" t="s">
        <v>205</v>
      </c>
      <c r="D1325" t="s">
        <v>15</v>
      </c>
      <c r="E1325" s="2">
        <v>5000</v>
      </c>
      <c r="F1325" s="2">
        <v>5000</v>
      </c>
      <c r="G1325" s="2">
        <v>3500</v>
      </c>
      <c r="I1325" t="s">
        <v>198</v>
      </c>
      <c r="J1325" t="s">
        <v>49</v>
      </c>
      <c r="K1325" t="s">
        <v>18</v>
      </c>
      <c r="L1325" t="str">
        <f>T("9791173783234")</f>
        <v>9791173783234</v>
      </c>
      <c r="M1325" t="str">
        <f t="shared" si="32"/>
        <v/>
      </c>
      <c r="N1325">
        <v>947667</v>
      </c>
    </row>
    <row r="1326" spans="1:14" x14ac:dyDescent="0.3">
      <c r="A1326" s="1">
        <v>46073.431539351855</v>
      </c>
      <c r="B1326">
        <v>361759465</v>
      </c>
      <c r="C1326" t="s">
        <v>232</v>
      </c>
      <c r="D1326" t="s">
        <v>15</v>
      </c>
      <c r="E1326" s="2">
        <v>5000</v>
      </c>
      <c r="F1326" s="2">
        <v>5000</v>
      </c>
      <c r="G1326" s="2">
        <v>3500</v>
      </c>
      <c r="I1326" t="s">
        <v>198</v>
      </c>
      <c r="J1326" t="s">
        <v>49</v>
      </c>
      <c r="K1326" t="s">
        <v>18</v>
      </c>
      <c r="L1326" t="str">
        <f>T("9791173783241")</f>
        <v>9791173783241</v>
      </c>
      <c r="M1326" t="str">
        <f t="shared" si="32"/>
        <v/>
      </c>
      <c r="N1326">
        <v>947666</v>
      </c>
    </row>
    <row r="1327" spans="1:14" x14ac:dyDescent="0.3">
      <c r="A1327" s="1">
        <v>46073.467349537037</v>
      </c>
      <c r="B1327">
        <v>271347491</v>
      </c>
      <c r="C1327" t="s">
        <v>532</v>
      </c>
      <c r="D1327" t="s">
        <v>15</v>
      </c>
      <c r="E1327">
        <v>0</v>
      </c>
      <c r="F1327">
        <v>0</v>
      </c>
      <c r="G1327">
        <v>0</v>
      </c>
      <c r="I1327" t="s">
        <v>533</v>
      </c>
      <c r="J1327" t="s">
        <v>59</v>
      </c>
      <c r="K1327" t="s">
        <v>18</v>
      </c>
      <c r="L1327" t="str">
        <f>T("9791136910431")</f>
        <v>9791136910431</v>
      </c>
      <c r="M1327" t="str">
        <f t="shared" si="32"/>
        <v/>
      </c>
      <c r="N1327">
        <v>825304</v>
      </c>
    </row>
    <row r="1328" spans="1:14" x14ac:dyDescent="0.3">
      <c r="A1328" s="1">
        <v>46073.467349537037</v>
      </c>
      <c r="B1328">
        <v>271347533</v>
      </c>
      <c r="C1328" t="s">
        <v>534</v>
      </c>
      <c r="D1328" t="s">
        <v>15</v>
      </c>
      <c r="E1328" s="2">
        <v>3200</v>
      </c>
      <c r="F1328" s="2">
        <v>3200</v>
      </c>
      <c r="G1328" s="2">
        <v>2240</v>
      </c>
      <c r="I1328" t="s">
        <v>533</v>
      </c>
      <c r="J1328" t="s">
        <v>59</v>
      </c>
      <c r="K1328" t="s">
        <v>18</v>
      </c>
      <c r="L1328" t="str">
        <f>T("9791136910448")</f>
        <v>9791136910448</v>
      </c>
      <c r="M1328" t="str">
        <f t="shared" si="32"/>
        <v/>
      </c>
      <c r="N1328">
        <v>825303</v>
      </c>
    </row>
    <row r="1329" spans="1:14" x14ac:dyDescent="0.3">
      <c r="A1329" s="1">
        <v>46073.467349537037</v>
      </c>
      <c r="B1329">
        <v>271347550</v>
      </c>
      <c r="C1329" t="s">
        <v>535</v>
      </c>
      <c r="D1329" t="s">
        <v>15</v>
      </c>
      <c r="E1329" s="2">
        <v>3200</v>
      </c>
      <c r="F1329" s="2">
        <v>3200</v>
      </c>
      <c r="G1329" s="2">
        <v>2240</v>
      </c>
      <c r="I1329" t="s">
        <v>533</v>
      </c>
      <c r="J1329" t="s">
        <v>59</v>
      </c>
      <c r="K1329" t="s">
        <v>18</v>
      </c>
      <c r="L1329" t="str">
        <f>T("9791136910455")</f>
        <v>9791136910455</v>
      </c>
      <c r="M1329" t="str">
        <f t="shared" si="32"/>
        <v/>
      </c>
      <c r="N1329">
        <v>825302</v>
      </c>
    </row>
    <row r="1330" spans="1:14" x14ac:dyDescent="0.3">
      <c r="A1330" s="1">
        <v>46073.532280092593</v>
      </c>
      <c r="B1330">
        <v>180179839</v>
      </c>
      <c r="C1330" t="s">
        <v>536</v>
      </c>
      <c r="D1330" t="s">
        <v>15</v>
      </c>
      <c r="E1330" s="2">
        <v>2000</v>
      </c>
      <c r="F1330" s="2">
        <v>1800</v>
      </c>
      <c r="G1330" s="2">
        <v>1260</v>
      </c>
      <c r="I1330" t="s">
        <v>537</v>
      </c>
      <c r="J1330" t="s">
        <v>17</v>
      </c>
      <c r="K1330" t="s">
        <v>18</v>
      </c>
      <c r="L1330" t="str">
        <f>T("9791133186976")</f>
        <v>9791133186976</v>
      </c>
      <c r="M1330" t="str">
        <f t="shared" si="32"/>
        <v/>
      </c>
      <c r="N1330">
        <v>722150</v>
      </c>
    </row>
    <row r="1331" spans="1:14" x14ac:dyDescent="0.3">
      <c r="A1331" s="1">
        <v>46073.532280092593</v>
      </c>
      <c r="B1331">
        <v>341932955</v>
      </c>
      <c r="C1331" t="s">
        <v>538</v>
      </c>
      <c r="D1331" t="s">
        <v>15</v>
      </c>
      <c r="E1331" s="2">
        <v>3500</v>
      </c>
      <c r="F1331" s="2">
        <v>3500</v>
      </c>
      <c r="G1331" s="2">
        <v>2450</v>
      </c>
      <c r="I1331" t="s">
        <v>539</v>
      </c>
      <c r="J1331" t="s">
        <v>20</v>
      </c>
      <c r="K1331" t="s">
        <v>18</v>
      </c>
      <c r="L1331" t="str">
        <f>T("9791136985101")</f>
        <v>9791136985101</v>
      </c>
      <c r="M1331" t="str">
        <f t="shared" si="32"/>
        <v/>
      </c>
      <c r="N1331">
        <v>925543</v>
      </c>
    </row>
    <row r="1332" spans="1:14" x14ac:dyDescent="0.3">
      <c r="A1332" s="1">
        <v>46073.625694444447</v>
      </c>
      <c r="B1332">
        <v>379386288</v>
      </c>
      <c r="C1332" t="s">
        <v>370</v>
      </c>
      <c r="D1332" t="s">
        <v>89</v>
      </c>
      <c r="E1332" s="2">
        <v>11280</v>
      </c>
      <c r="F1332" s="2">
        <v>11280</v>
      </c>
      <c r="G1332" s="2">
        <v>7896</v>
      </c>
      <c r="I1332" t="s">
        <v>102</v>
      </c>
      <c r="J1332" t="s">
        <v>23</v>
      </c>
      <c r="K1332" t="s">
        <v>18</v>
      </c>
      <c r="L1332" t="str">
        <f>T("9791175307438")</f>
        <v>9791175307438</v>
      </c>
      <c r="M1332" t="str">
        <f t="shared" si="32"/>
        <v/>
      </c>
    </row>
    <row r="1333" spans="1:14" x14ac:dyDescent="0.3">
      <c r="A1333" s="1">
        <v>46073.631168981483</v>
      </c>
      <c r="B1333">
        <v>382391622</v>
      </c>
      <c r="C1333" t="s">
        <v>393</v>
      </c>
      <c r="D1333" t="s">
        <v>89</v>
      </c>
      <c r="E1333" s="2">
        <v>7680</v>
      </c>
      <c r="F1333" s="2">
        <v>7680</v>
      </c>
      <c r="G1333" s="2">
        <v>5376</v>
      </c>
      <c r="I1333" t="s">
        <v>346</v>
      </c>
      <c r="J1333" t="s">
        <v>23</v>
      </c>
      <c r="K1333" t="s">
        <v>18</v>
      </c>
      <c r="L1333" t="str">
        <f>T("9791175307155")</f>
        <v>9791175307155</v>
      </c>
      <c r="M1333" t="str">
        <f t="shared" si="32"/>
        <v/>
      </c>
    </row>
    <row r="1334" spans="1:14" x14ac:dyDescent="0.3">
      <c r="A1334" s="1">
        <v>46073.674259259256</v>
      </c>
      <c r="B1334">
        <v>385831063</v>
      </c>
      <c r="C1334" t="s">
        <v>343</v>
      </c>
      <c r="D1334" t="s">
        <v>89</v>
      </c>
      <c r="E1334" s="2">
        <v>10800</v>
      </c>
      <c r="F1334" s="2">
        <v>10800</v>
      </c>
      <c r="G1334" s="2">
        <v>7560</v>
      </c>
      <c r="I1334" t="s">
        <v>344</v>
      </c>
      <c r="J1334" t="s">
        <v>23</v>
      </c>
      <c r="K1334" t="s">
        <v>18</v>
      </c>
      <c r="L1334" t="str">
        <f>T("9791175309456")</f>
        <v>9791175309456</v>
      </c>
      <c r="M1334" t="str">
        <f t="shared" si="32"/>
        <v/>
      </c>
    </row>
    <row r="1335" spans="1:14" x14ac:dyDescent="0.3">
      <c r="A1335" s="1">
        <v>46073.696006944447</v>
      </c>
      <c r="B1335">
        <v>385831063</v>
      </c>
      <c r="C1335" t="s">
        <v>343</v>
      </c>
      <c r="D1335" t="s">
        <v>89</v>
      </c>
      <c r="E1335" s="2">
        <v>10800</v>
      </c>
      <c r="F1335" s="2">
        <v>10800</v>
      </c>
      <c r="G1335" s="2">
        <v>7560</v>
      </c>
      <c r="I1335" t="s">
        <v>344</v>
      </c>
      <c r="J1335" t="s">
        <v>23</v>
      </c>
      <c r="K1335" t="s">
        <v>18</v>
      </c>
      <c r="L1335" t="str">
        <f>T("9791175309456")</f>
        <v>9791175309456</v>
      </c>
      <c r="M1335" t="str">
        <f t="shared" si="32"/>
        <v/>
      </c>
    </row>
    <row r="1336" spans="1:14" x14ac:dyDescent="0.3">
      <c r="A1336" s="1">
        <v>46073.741238425922</v>
      </c>
      <c r="B1336">
        <v>385831063</v>
      </c>
      <c r="C1336" t="s">
        <v>343</v>
      </c>
      <c r="D1336" t="s">
        <v>89</v>
      </c>
      <c r="E1336" s="2">
        <v>10800</v>
      </c>
      <c r="F1336" s="2">
        <v>10800</v>
      </c>
      <c r="G1336" s="2">
        <v>7560</v>
      </c>
      <c r="I1336" t="s">
        <v>344</v>
      </c>
      <c r="J1336" t="s">
        <v>23</v>
      </c>
      <c r="K1336" t="s">
        <v>18</v>
      </c>
      <c r="L1336" t="str">
        <f>T("9791175309456")</f>
        <v>9791175309456</v>
      </c>
      <c r="M1336" t="str">
        <f t="shared" si="32"/>
        <v/>
      </c>
    </row>
    <row r="1337" spans="1:14" x14ac:dyDescent="0.3">
      <c r="A1337" s="1">
        <v>46073.778043981481</v>
      </c>
      <c r="B1337">
        <v>343293207</v>
      </c>
      <c r="C1337" t="s">
        <v>540</v>
      </c>
      <c r="D1337" t="s">
        <v>15</v>
      </c>
      <c r="E1337" s="2">
        <v>10200</v>
      </c>
      <c r="F1337" s="2">
        <v>10200</v>
      </c>
      <c r="G1337" s="2">
        <v>7140</v>
      </c>
      <c r="I1337" t="s">
        <v>116</v>
      </c>
      <c r="J1337" t="s">
        <v>73</v>
      </c>
      <c r="K1337" t="s">
        <v>18</v>
      </c>
      <c r="L1337" t="str">
        <f>T("9791136986900")</f>
        <v>9791136986900</v>
      </c>
      <c r="M1337" t="str">
        <f t="shared" si="32"/>
        <v/>
      </c>
    </row>
    <row r="1338" spans="1:14" x14ac:dyDescent="0.3">
      <c r="A1338" s="1">
        <v>46073.796284722222</v>
      </c>
      <c r="B1338">
        <v>357906301</v>
      </c>
      <c r="C1338" t="s">
        <v>541</v>
      </c>
      <c r="D1338" t="s">
        <v>15</v>
      </c>
      <c r="E1338" s="2">
        <v>3200</v>
      </c>
      <c r="F1338" s="2">
        <v>3200</v>
      </c>
      <c r="G1338" s="2">
        <v>2240</v>
      </c>
      <c r="I1338" t="s">
        <v>61</v>
      </c>
      <c r="J1338" t="s">
        <v>59</v>
      </c>
      <c r="K1338" t="s">
        <v>18</v>
      </c>
      <c r="L1338" t="str">
        <f>T("9791136969668")</f>
        <v>9791136969668</v>
      </c>
      <c r="M1338" t="str">
        <f t="shared" si="32"/>
        <v/>
      </c>
      <c r="N1338">
        <v>924660</v>
      </c>
    </row>
    <row r="1339" spans="1:14" x14ac:dyDescent="0.3">
      <c r="A1339" s="1">
        <v>46073.850555555553</v>
      </c>
      <c r="B1339">
        <v>342333155</v>
      </c>
      <c r="C1339" t="s">
        <v>182</v>
      </c>
      <c r="D1339" t="s">
        <v>15</v>
      </c>
      <c r="E1339" s="2">
        <v>1500</v>
      </c>
      <c r="F1339" s="2">
        <v>1500</v>
      </c>
      <c r="G1339" s="2">
        <v>1050</v>
      </c>
      <c r="I1339" t="s">
        <v>102</v>
      </c>
      <c r="J1339" t="s">
        <v>23</v>
      </c>
      <c r="K1339" t="s">
        <v>18</v>
      </c>
      <c r="L1339" t="str">
        <f>T("9791136979773")</f>
        <v>9791136979773</v>
      </c>
      <c r="M1339" t="str">
        <f t="shared" si="32"/>
        <v/>
      </c>
      <c r="N1339">
        <v>926741</v>
      </c>
    </row>
    <row r="1340" spans="1:14" x14ac:dyDescent="0.3">
      <c r="A1340" s="1">
        <v>46073.850555555553</v>
      </c>
      <c r="B1340">
        <v>342333105</v>
      </c>
      <c r="C1340" t="s">
        <v>181</v>
      </c>
      <c r="D1340" t="s">
        <v>15</v>
      </c>
      <c r="E1340" s="2">
        <v>1500</v>
      </c>
      <c r="F1340" s="2">
        <v>1500</v>
      </c>
      <c r="G1340" s="2">
        <v>1050</v>
      </c>
      <c r="I1340" t="s">
        <v>102</v>
      </c>
      <c r="J1340" t="s">
        <v>23</v>
      </c>
      <c r="K1340" t="s">
        <v>18</v>
      </c>
      <c r="L1340" t="str">
        <f>T("9791136979780")</f>
        <v>9791136979780</v>
      </c>
      <c r="M1340" t="str">
        <f t="shared" si="32"/>
        <v/>
      </c>
      <c r="N1340">
        <v>926740</v>
      </c>
    </row>
    <row r="1341" spans="1:14" x14ac:dyDescent="0.3">
      <c r="A1341" s="1">
        <v>46073.850555555553</v>
      </c>
      <c r="B1341">
        <v>335778607</v>
      </c>
      <c r="C1341" t="s">
        <v>183</v>
      </c>
      <c r="D1341" t="s">
        <v>15</v>
      </c>
      <c r="E1341" s="2">
        <v>3000</v>
      </c>
      <c r="F1341" s="2">
        <v>3000</v>
      </c>
      <c r="G1341" s="2">
        <v>2100</v>
      </c>
      <c r="I1341" t="s">
        <v>102</v>
      </c>
      <c r="J1341" t="s">
        <v>23</v>
      </c>
      <c r="K1341" t="s">
        <v>18</v>
      </c>
      <c r="L1341" t="str">
        <f>T("9791136958204")</f>
        <v>9791136958204</v>
      </c>
      <c r="M1341" t="str">
        <f t="shared" si="32"/>
        <v/>
      </c>
      <c r="N1341">
        <v>921582</v>
      </c>
    </row>
    <row r="1342" spans="1:14" x14ac:dyDescent="0.3">
      <c r="A1342" s="1">
        <v>46073.850555555553</v>
      </c>
      <c r="B1342">
        <v>379385369</v>
      </c>
      <c r="C1342" t="s">
        <v>101</v>
      </c>
      <c r="D1342" t="s">
        <v>15</v>
      </c>
      <c r="E1342" s="2">
        <v>1500</v>
      </c>
      <c r="F1342" s="2">
        <v>1500</v>
      </c>
      <c r="G1342" s="2">
        <v>1050</v>
      </c>
      <c r="I1342" t="s">
        <v>102</v>
      </c>
      <c r="J1342" t="s">
        <v>23</v>
      </c>
      <c r="K1342" t="s">
        <v>18</v>
      </c>
      <c r="L1342" t="str">
        <f>T("9791175307254")</f>
        <v>9791175307254</v>
      </c>
      <c r="M1342" t="str">
        <f t="shared" si="32"/>
        <v/>
      </c>
      <c r="N1342">
        <v>957333</v>
      </c>
    </row>
    <row r="1343" spans="1:14" x14ac:dyDescent="0.3">
      <c r="A1343" s="1">
        <v>46073.863622685189</v>
      </c>
      <c r="B1343">
        <v>358405248</v>
      </c>
      <c r="C1343" t="s">
        <v>80</v>
      </c>
      <c r="D1343" t="s">
        <v>15</v>
      </c>
      <c r="E1343">
        <v>0</v>
      </c>
      <c r="F1343">
        <v>0</v>
      </c>
      <c r="G1343">
        <v>0</v>
      </c>
      <c r="I1343" t="s">
        <v>77</v>
      </c>
      <c r="J1343" t="s">
        <v>52</v>
      </c>
      <c r="K1343" t="s">
        <v>18</v>
      </c>
      <c r="L1343" t="str">
        <f>T("9791194664369")</f>
        <v>9791194664369</v>
      </c>
      <c r="M1343" t="str">
        <f t="shared" si="32"/>
        <v/>
      </c>
      <c r="N1343">
        <v>940116</v>
      </c>
    </row>
    <row r="1344" spans="1:14" x14ac:dyDescent="0.3">
      <c r="A1344" s="1">
        <v>46073.880578703705</v>
      </c>
      <c r="B1344">
        <v>371102770</v>
      </c>
      <c r="C1344" t="s">
        <v>395</v>
      </c>
      <c r="D1344" t="s">
        <v>89</v>
      </c>
      <c r="E1344" s="2">
        <v>6930</v>
      </c>
      <c r="F1344" s="2">
        <v>6930</v>
      </c>
      <c r="G1344" s="2">
        <v>4851</v>
      </c>
      <c r="I1344" t="s">
        <v>234</v>
      </c>
      <c r="J1344" t="s">
        <v>23</v>
      </c>
      <c r="K1344" t="s">
        <v>18</v>
      </c>
      <c r="L1344" t="str">
        <f>T("9791175300569")</f>
        <v>9791175300569</v>
      </c>
      <c r="M1344" t="str">
        <f t="shared" si="32"/>
        <v/>
      </c>
    </row>
    <row r="1345" spans="1:14" x14ac:dyDescent="0.3">
      <c r="A1345" s="1">
        <v>46073.915543981479</v>
      </c>
      <c r="B1345">
        <v>366387869</v>
      </c>
      <c r="C1345" t="s">
        <v>31</v>
      </c>
      <c r="D1345" t="s">
        <v>15</v>
      </c>
      <c r="E1345" s="2">
        <v>18300</v>
      </c>
      <c r="F1345" s="2">
        <v>18300</v>
      </c>
      <c r="G1345" s="2">
        <v>12810</v>
      </c>
      <c r="I1345" t="s">
        <v>32</v>
      </c>
      <c r="J1345" t="s">
        <v>23</v>
      </c>
      <c r="K1345" t="s">
        <v>18</v>
      </c>
      <c r="L1345" t="str">
        <f>T("9791173786648")</f>
        <v>9791173786648</v>
      </c>
      <c r="M1345" t="str">
        <f t="shared" si="32"/>
        <v/>
      </c>
    </row>
    <row r="1346" spans="1:14" x14ac:dyDescent="0.3">
      <c r="A1346" s="1">
        <v>46073.929340277777</v>
      </c>
      <c r="B1346">
        <v>361759290</v>
      </c>
      <c r="C1346" t="s">
        <v>474</v>
      </c>
      <c r="D1346" t="s">
        <v>15</v>
      </c>
      <c r="E1346" s="2">
        <v>5000</v>
      </c>
      <c r="F1346" s="2">
        <v>5000</v>
      </c>
      <c r="G1346" s="2">
        <v>3500</v>
      </c>
      <c r="I1346" t="s">
        <v>198</v>
      </c>
      <c r="J1346" t="s">
        <v>49</v>
      </c>
      <c r="K1346" t="s">
        <v>18</v>
      </c>
      <c r="L1346" t="str">
        <f>T("9791173783258")</f>
        <v>9791173783258</v>
      </c>
      <c r="M1346" t="str">
        <f t="shared" si="32"/>
        <v/>
      </c>
      <c r="N1346">
        <v>947665</v>
      </c>
    </row>
    <row r="1347" spans="1:14" x14ac:dyDescent="0.3">
      <c r="A1347" s="1">
        <v>46073.932893518519</v>
      </c>
      <c r="B1347">
        <v>379190217</v>
      </c>
      <c r="C1347" t="s">
        <v>420</v>
      </c>
      <c r="D1347" t="s">
        <v>89</v>
      </c>
      <c r="E1347" s="2">
        <v>8680</v>
      </c>
      <c r="F1347" s="2">
        <v>8680</v>
      </c>
      <c r="G1347" s="2">
        <v>6076</v>
      </c>
      <c r="I1347" t="s">
        <v>124</v>
      </c>
      <c r="J1347" t="s">
        <v>23</v>
      </c>
      <c r="K1347" t="s">
        <v>18</v>
      </c>
      <c r="L1347" t="str">
        <f>T("9791175303584")</f>
        <v>9791175303584</v>
      </c>
      <c r="M1347" t="str">
        <f t="shared" si="32"/>
        <v/>
      </c>
    </row>
    <row r="1348" spans="1:14" x14ac:dyDescent="0.3">
      <c r="A1348" s="1">
        <v>46073.935416666667</v>
      </c>
      <c r="B1348">
        <v>385831063</v>
      </c>
      <c r="C1348" t="s">
        <v>343</v>
      </c>
      <c r="D1348" t="s">
        <v>89</v>
      </c>
      <c r="E1348" s="2">
        <v>10800</v>
      </c>
      <c r="F1348" s="2">
        <v>10800</v>
      </c>
      <c r="G1348" s="2">
        <v>7560</v>
      </c>
      <c r="I1348" t="s">
        <v>344</v>
      </c>
      <c r="J1348" t="s">
        <v>23</v>
      </c>
      <c r="K1348" t="s">
        <v>18</v>
      </c>
      <c r="L1348" t="str">
        <f>T("9791175309456")</f>
        <v>9791175309456</v>
      </c>
      <c r="M1348" t="str">
        <f t="shared" si="32"/>
        <v/>
      </c>
    </row>
    <row r="1349" spans="1:14" x14ac:dyDescent="0.3">
      <c r="A1349" s="1">
        <v>46073.948275462964</v>
      </c>
      <c r="B1349">
        <v>365656697</v>
      </c>
      <c r="C1349" t="s">
        <v>239</v>
      </c>
      <c r="D1349" t="s">
        <v>89</v>
      </c>
      <c r="E1349" s="2">
        <v>5760</v>
      </c>
      <c r="F1349" s="2">
        <v>5760</v>
      </c>
      <c r="G1349" s="2">
        <v>4032</v>
      </c>
      <c r="I1349" t="s">
        <v>240</v>
      </c>
      <c r="J1349" t="s">
        <v>49</v>
      </c>
      <c r="K1349" t="s">
        <v>18</v>
      </c>
      <c r="L1349" t="str">
        <f>T("9791173783630")</f>
        <v>9791173783630</v>
      </c>
      <c r="M1349" t="str">
        <f t="shared" si="32"/>
        <v/>
      </c>
    </row>
    <row r="1350" spans="1:14" x14ac:dyDescent="0.3">
      <c r="A1350" s="1">
        <v>46073.960902777777</v>
      </c>
      <c r="B1350">
        <v>379386288</v>
      </c>
      <c r="C1350" t="s">
        <v>370</v>
      </c>
      <c r="D1350" t="s">
        <v>89</v>
      </c>
      <c r="E1350" s="2">
        <v>11280</v>
      </c>
      <c r="F1350" s="2">
        <v>11280</v>
      </c>
      <c r="G1350" s="2">
        <v>7896</v>
      </c>
      <c r="I1350" t="s">
        <v>102</v>
      </c>
      <c r="J1350" t="s">
        <v>23</v>
      </c>
      <c r="K1350" t="s">
        <v>18</v>
      </c>
      <c r="L1350" t="str">
        <f>T("9791175307438")</f>
        <v>9791175307438</v>
      </c>
      <c r="M1350" t="str">
        <f t="shared" si="32"/>
        <v/>
      </c>
    </row>
    <row r="1351" spans="1:14" x14ac:dyDescent="0.3">
      <c r="A1351" s="1">
        <v>46073.963553240741</v>
      </c>
      <c r="B1351">
        <v>385831063</v>
      </c>
      <c r="C1351" t="s">
        <v>343</v>
      </c>
      <c r="D1351" t="s">
        <v>89</v>
      </c>
      <c r="E1351" s="2">
        <v>10800</v>
      </c>
      <c r="F1351" s="2">
        <v>10800</v>
      </c>
      <c r="G1351" s="2">
        <v>7560</v>
      </c>
      <c r="I1351" t="s">
        <v>344</v>
      </c>
      <c r="J1351" t="s">
        <v>23</v>
      </c>
      <c r="K1351" t="s">
        <v>18</v>
      </c>
      <c r="L1351" t="str">
        <f>T("9791175309456")</f>
        <v>9791175309456</v>
      </c>
      <c r="M1351" t="str">
        <f t="shared" si="32"/>
        <v/>
      </c>
    </row>
    <row r="1352" spans="1:14" x14ac:dyDescent="0.3">
      <c r="A1352" s="1">
        <v>46073.974236111113</v>
      </c>
      <c r="B1352">
        <v>316293083</v>
      </c>
      <c r="C1352" t="s">
        <v>465</v>
      </c>
      <c r="D1352" t="s">
        <v>15</v>
      </c>
      <c r="E1352" s="2">
        <v>11700</v>
      </c>
      <c r="F1352" s="2">
        <v>11700</v>
      </c>
      <c r="G1352" s="2">
        <v>8190</v>
      </c>
      <c r="I1352" t="s">
        <v>124</v>
      </c>
      <c r="J1352" t="s">
        <v>23</v>
      </c>
      <c r="K1352" t="s">
        <v>18</v>
      </c>
      <c r="L1352" t="str">
        <f>T("9791136936097")</f>
        <v>9791136936097</v>
      </c>
      <c r="M1352" t="str">
        <f t="shared" si="32"/>
        <v/>
      </c>
    </row>
    <row r="1353" spans="1:14" x14ac:dyDescent="0.3">
      <c r="A1353" s="1">
        <v>46073.992129629631</v>
      </c>
      <c r="B1353">
        <v>358405253</v>
      </c>
      <c r="C1353" t="s">
        <v>542</v>
      </c>
      <c r="D1353" t="s">
        <v>15</v>
      </c>
      <c r="E1353" s="2">
        <v>3200</v>
      </c>
      <c r="F1353" s="2">
        <v>3200</v>
      </c>
      <c r="G1353" s="2">
        <v>2240</v>
      </c>
      <c r="I1353" t="s">
        <v>77</v>
      </c>
      <c r="J1353" t="s">
        <v>52</v>
      </c>
      <c r="K1353" t="s">
        <v>18</v>
      </c>
      <c r="L1353" t="str">
        <f>T("9791194664420")</f>
        <v>9791194664420</v>
      </c>
      <c r="M1353" t="str">
        <f t="shared" si="32"/>
        <v/>
      </c>
      <c r="N1353">
        <v>940111</v>
      </c>
    </row>
    <row r="1354" spans="1:14" x14ac:dyDescent="0.3">
      <c r="A1354" s="1">
        <v>46073.997812499998</v>
      </c>
      <c r="B1354">
        <v>385831063</v>
      </c>
      <c r="C1354" t="s">
        <v>343</v>
      </c>
      <c r="D1354" t="s">
        <v>89</v>
      </c>
      <c r="E1354" s="2">
        <v>10800</v>
      </c>
      <c r="F1354" s="2">
        <v>10800</v>
      </c>
      <c r="G1354" s="2">
        <v>7560</v>
      </c>
      <c r="I1354" t="s">
        <v>344</v>
      </c>
      <c r="J1354" t="s">
        <v>23</v>
      </c>
      <c r="K1354" t="s">
        <v>18</v>
      </c>
      <c r="L1354" t="str">
        <f>T("9791175309456")</f>
        <v>9791175309456</v>
      </c>
      <c r="M1354" t="str">
        <f t="shared" si="32"/>
        <v/>
      </c>
    </row>
    <row r="1355" spans="1:14" x14ac:dyDescent="0.3">
      <c r="A1355" s="1">
        <v>46074.016759259262</v>
      </c>
      <c r="B1355">
        <v>331405871</v>
      </c>
      <c r="C1355" t="s">
        <v>543</v>
      </c>
      <c r="D1355" t="s">
        <v>89</v>
      </c>
      <c r="E1355" s="2">
        <v>18900</v>
      </c>
      <c r="F1355" s="2">
        <v>18900</v>
      </c>
      <c r="G1355" s="2">
        <v>13230</v>
      </c>
      <c r="I1355" t="s">
        <v>544</v>
      </c>
      <c r="J1355" t="s">
        <v>49</v>
      </c>
      <c r="K1355" t="s">
        <v>18</v>
      </c>
      <c r="L1355" t="str">
        <f>T("9791136940032")</f>
        <v>9791136940032</v>
      </c>
      <c r="M1355" t="str">
        <f t="shared" si="32"/>
        <v/>
      </c>
    </row>
    <row r="1356" spans="1:14" x14ac:dyDescent="0.3">
      <c r="A1356" s="1">
        <v>46074.077233796299</v>
      </c>
      <c r="B1356">
        <v>327906078</v>
      </c>
      <c r="C1356" t="s">
        <v>545</v>
      </c>
      <c r="D1356" t="s">
        <v>15</v>
      </c>
      <c r="E1356">
        <v>0</v>
      </c>
      <c r="F1356">
        <v>0</v>
      </c>
      <c r="G1356">
        <v>0</v>
      </c>
      <c r="I1356" t="s">
        <v>193</v>
      </c>
      <c r="J1356" t="s">
        <v>59</v>
      </c>
      <c r="K1356" t="s">
        <v>18</v>
      </c>
      <c r="L1356" t="str">
        <f>T("9791136934055")</f>
        <v>9791136934055</v>
      </c>
      <c r="M1356" t="str">
        <f t="shared" si="32"/>
        <v/>
      </c>
      <c r="N1356">
        <v>909070</v>
      </c>
    </row>
    <row r="1357" spans="1:14" x14ac:dyDescent="0.3">
      <c r="A1357" s="1">
        <v>46074.19054398148</v>
      </c>
      <c r="B1357">
        <v>365656697</v>
      </c>
      <c r="C1357" t="s">
        <v>239</v>
      </c>
      <c r="D1357" t="s">
        <v>89</v>
      </c>
      <c r="E1357" s="2">
        <v>5760</v>
      </c>
      <c r="F1357" s="2">
        <v>5760</v>
      </c>
      <c r="G1357" s="2">
        <v>4032</v>
      </c>
      <c r="I1357" t="s">
        <v>240</v>
      </c>
      <c r="J1357" t="s">
        <v>49</v>
      </c>
      <c r="K1357" t="s">
        <v>18</v>
      </c>
      <c r="L1357" t="str">
        <f>T("9791173783630")</f>
        <v>9791173783630</v>
      </c>
      <c r="M1357" t="str">
        <f t="shared" si="32"/>
        <v/>
      </c>
    </row>
    <row r="1358" spans="1:14" x14ac:dyDescent="0.3">
      <c r="A1358" s="1">
        <v>46074.447048611109</v>
      </c>
      <c r="B1358">
        <v>369906629</v>
      </c>
      <c r="C1358" t="s">
        <v>546</v>
      </c>
      <c r="D1358" t="s">
        <v>15</v>
      </c>
      <c r="E1358" s="2">
        <v>9600</v>
      </c>
      <c r="F1358" s="2">
        <v>9600</v>
      </c>
      <c r="G1358" s="2">
        <v>6720</v>
      </c>
      <c r="I1358" t="s">
        <v>547</v>
      </c>
      <c r="J1358" t="s">
        <v>23</v>
      </c>
      <c r="K1358" t="s">
        <v>18</v>
      </c>
      <c r="L1358" t="str">
        <f>T("9791173787744")</f>
        <v>9791173787744</v>
      </c>
      <c r="M1358" t="str">
        <f t="shared" si="32"/>
        <v/>
      </c>
    </row>
    <row r="1359" spans="1:14" x14ac:dyDescent="0.3">
      <c r="A1359" s="1">
        <v>46074.474710648145</v>
      </c>
      <c r="B1359">
        <v>385831063</v>
      </c>
      <c r="C1359" t="s">
        <v>343</v>
      </c>
      <c r="D1359" t="s">
        <v>89</v>
      </c>
      <c r="E1359" s="2">
        <v>10800</v>
      </c>
      <c r="F1359" s="2">
        <v>10800</v>
      </c>
      <c r="G1359" s="2">
        <v>7560</v>
      </c>
      <c r="I1359" t="s">
        <v>344</v>
      </c>
      <c r="J1359" t="s">
        <v>23</v>
      </c>
      <c r="K1359" t="s">
        <v>18</v>
      </c>
      <c r="L1359" t="str">
        <f>T("9791175309456")</f>
        <v>9791175309456</v>
      </c>
      <c r="M1359" t="str">
        <f t="shared" si="32"/>
        <v/>
      </c>
    </row>
    <row r="1360" spans="1:14" x14ac:dyDescent="0.3">
      <c r="A1360" s="1">
        <v>46074.515636574077</v>
      </c>
      <c r="B1360">
        <v>361759290</v>
      </c>
      <c r="C1360" t="s">
        <v>474</v>
      </c>
      <c r="D1360" t="s">
        <v>15</v>
      </c>
      <c r="E1360" s="2">
        <v>5000</v>
      </c>
      <c r="F1360" s="2">
        <v>5000</v>
      </c>
      <c r="G1360" s="2">
        <v>3500</v>
      </c>
      <c r="I1360" t="s">
        <v>198</v>
      </c>
      <c r="J1360" t="s">
        <v>49</v>
      </c>
      <c r="K1360" t="s">
        <v>18</v>
      </c>
      <c r="L1360" t="str">
        <f>T("9791173783258")</f>
        <v>9791173783258</v>
      </c>
      <c r="M1360" t="str">
        <f t="shared" si="32"/>
        <v/>
      </c>
      <c r="N1360">
        <v>947665</v>
      </c>
    </row>
    <row r="1361" spans="1:14" x14ac:dyDescent="0.3">
      <c r="A1361" s="1">
        <v>46074.515636574077</v>
      </c>
      <c r="B1361">
        <v>361759239</v>
      </c>
      <c r="C1361" t="s">
        <v>433</v>
      </c>
      <c r="D1361" t="s">
        <v>15</v>
      </c>
      <c r="E1361" s="2">
        <v>5000</v>
      </c>
      <c r="F1361" s="2">
        <v>5000</v>
      </c>
      <c r="G1361" s="2">
        <v>3500</v>
      </c>
      <c r="I1361" t="s">
        <v>198</v>
      </c>
      <c r="J1361" t="s">
        <v>49</v>
      </c>
      <c r="K1361" t="s">
        <v>18</v>
      </c>
      <c r="L1361" t="str">
        <f>T("9791173783265")</f>
        <v>9791173783265</v>
      </c>
      <c r="M1361" t="str">
        <f t="shared" si="32"/>
        <v/>
      </c>
      <c r="N1361">
        <v>947664</v>
      </c>
    </row>
    <row r="1362" spans="1:14" x14ac:dyDescent="0.3">
      <c r="A1362" s="1">
        <v>46074.531388888892</v>
      </c>
      <c r="B1362">
        <v>339153055</v>
      </c>
      <c r="C1362" t="s">
        <v>399</v>
      </c>
      <c r="D1362" t="s">
        <v>89</v>
      </c>
      <c r="E1362" s="2">
        <v>17080</v>
      </c>
      <c r="F1362" s="2">
        <v>17080</v>
      </c>
      <c r="G1362" s="2">
        <v>11956</v>
      </c>
      <c r="I1362" t="s">
        <v>400</v>
      </c>
      <c r="J1362" t="s">
        <v>23</v>
      </c>
      <c r="K1362" t="s">
        <v>18</v>
      </c>
      <c r="L1362" t="str">
        <f>T("9791136965936")</f>
        <v>9791136965936</v>
      </c>
      <c r="M1362" t="str">
        <f t="shared" si="32"/>
        <v/>
      </c>
    </row>
    <row r="1363" spans="1:14" x14ac:dyDescent="0.3">
      <c r="A1363" s="1">
        <v>46074.554594907408</v>
      </c>
      <c r="B1363">
        <v>359779074</v>
      </c>
      <c r="C1363" t="s">
        <v>385</v>
      </c>
      <c r="D1363" t="s">
        <v>89</v>
      </c>
      <c r="E1363" s="2">
        <v>12040</v>
      </c>
      <c r="F1363" s="2">
        <v>12040</v>
      </c>
      <c r="G1363" s="2">
        <v>8428</v>
      </c>
      <c r="I1363" t="s">
        <v>99</v>
      </c>
      <c r="J1363" t="s">
        <v>23</v>
      </c>
      <c r="K1363" t="s">
        <v>18</v>
      </c>
      <c r="L1363" t="str">
        <f>T("9791194664475")</f>
        <v>9791194664475</v>
      </c>
      <c r="M1363" t="str">
        <f t="shared" si="32"/>
        <v/>
      </c>
    </row>
    <row r="1364" spans="1:14" x14ac:dyDescent="0.3">
      <c r="A1364" s="1">
        <v>46074.557210648149</v>
      </c>
      <c r="B1364">
        <v>343844511</v>
      </c>
      <c r="C1364" t="s">
        <v>548</v>
      </c>
      <c r="D1364" t="s">
        <v>89</v>
      </c>
      <c r="E1364" s="2">
        <v>9240</v>
      </c>
      <c r="F1364" s="2">
        <v>9240</v>
      </c>
      <c r="G1364" s="2">
        <v>6468</v>
      </c>
      <c r="I1364" t="s">
        <v>377</v>
      </c>
      <c r="J1364" t="s">
        <v>23</v>
      </c>
      <c r="K1364" t="s">
        <v>18</v>
      </c>
      <c r="L1364" t="str">
        <f>T("9791136988034")</f>
        <v>9791136988034</v>
      </c>
      <c r="M1364" t="str">
        <f t="shared" si="32"/>
        <v/>
      </c>
    </row>
    <row r="1365" spans="1:14" x14ac:dyDescent="0.3">
      <c r="A1365" s="1">
        <v>46074.602280092593</v>
      </c>
      <c r="B1365">
        <v>365656363</v>
      </c>
      <c r="C1365" t="s">
        <v>460</v>
      </c>
      <c r="D1365" t="s">
        <v>15</v>
      </c>
      <c r="E1365" s="2">
        <v>3600</v>
      </c>
      <c r="F1365" s="2">
        <v>3600</v>
      </c>
      <c r="G1365" s="2">
        <v>2520</v>
      </c>
      <c r="I1365" t="s">
        <v>240</v>
      </c>
      <c r="J1365" t="s">
        <v>49</v>
      </c>
      <c r="K1365" t="s">
        <v>18</v>
      </c>
      <c r="L1365" t="str">
        <f>T("9791173783647")</f>
        <v>9791173783647</v>
      </c>
      <c r="M1365" t="str">
        <f t="shared" si="32"/>
        <v/>
      </c>
      <c r="N1365">
        <v>948519</v>
      </c>
    </row>
    <row r="1366" spans="1:14" x14ac:dyDescent="0.3">
      <c r="A1366" s="1">
        <v>46074.664259259262</v>
      </c>
      <c r="B1366">
        <v>357906197</v>
      </c>
      <c r="C1366" t="s">
        <v>549</v>
      </c>
      <c r="D1366" t="s">
        <v>15</v>
      </c>
      <c r="E1366" s="2">
        <v>3200</v>
      </c>
      <c r="F1366" s="2">
        <v>3200</v>
      </c>
      <c r="G1366" s="2">
        <v>2240</v>
      </c>
      <c r="I1366" t="s">
        <v>61</v>
      </c>
      <c r="J1366" t="s">
        <v>59</v>
      </c>
      <c r="K1366" t="s">
        <v>18</v>
      </c>
      <c r="L1366" t="str">
        <f>T("9791136969361")</f>
        <v>9791136969361</v>
      </c>
      <c r="M1366" t="str">
        <f t="shared" si="32"/>
        <v/>
      </c>
      <c r="N1366">
        <v>924659</v>
      </c>
    </row>
    <row r="1367" spans="1:14" x14ac:dyDescent="0.3">
      <c r="A1367" s="1">
        <v>46074.672430555554</v>
      </c>
      <c r="B1367">
        <v>371102770</v>
      </c>
      <c r="C1367" t="s">
        <v>395</v>
      </c>
      <c r="D1367" t="s">
        <v>89</v>
      </c>
      <c r="E1367" s="2">
        <v>6930</v>
      </c>
      <c r="F1367" s="2">
        <v>6930</v>
      </c>
      <c r="G1367" s="2">
        <v>4851</v>
      </c>
      <c r="I1367" t="s">
        <v>234</v>
      </c>
      <c r="J1367" t="s">
        <v>23</v>
      </c>
      <c r="K1367" t="s">
        <v>18</v>
      </c>
      <c r="L1367" t="str">
        <f>T("9791175300569")</f>
        <v>9791175300569</v>
      </c>
      <c r="M1367" t="str">
        <f t="shared" si="32"/>
        <v/>
      </c>
    </row>
    <row r="1368" spans="1:14" x14ac:dyDescent="0.3">
      <c r="A1368" s="1">
        <v>46074.686655092592</v>
      </c>
      <c r="B1368">
        <v>359779074</v>
      </c>
      <c r="C1368" t="s">
        <v>385</v>
      </c>
      <c r="D1368" t="s">
        <v>89</v>
      </c>
      <c r="E1368" s="2">
        <v>12040</v>
      </c>
      <c r="F1368" s="2">
        <v>12040</v>
      </c>
      <c r="G1368" s="2">
        <v>8428</v>
      </c>
      <c r="I1368" t="s">
        <v>99</v>
      </c>
      <c r="J1368" t="s">
        <v>23</v>
      </c>
      <c r="K1368" t="s">
        <v>18</v>
      </c>
      <c r="L1368" t="str">
        <f>T("9791194664475")</f>
        <v>9791194664475</v>
      </c>
      <c r="M1368" t="str">
        <f t="shared" si="32"/>
        <v/>
      </c>
    </row>
    <row r="1369" spans="1:14" x14ac:dyDescent="0.3">
      <c r="A1369" s="1">
        <v>46074.686655092592</v>
      </c>
      <c r="B1369">
        <v>371102770</v>
      </c>
      <c r="C1369" t="s">
        <v>395</v>
      </c>
      <c r="D1369" t="s">
        <v>89</v>
      </c>
      <c r="E1369" s="2">
        <v>6930</v>
      </c>
      <c r="F1369" s="2">
        <v>6930</v>
      </c>
      <c r="G1369" s="2">
        <v>4851</v>
      </c>
      <c r="I1369" t="s">
        <v>234</v>
      </c>
      <c r="J1369" t="s">
        <v>23</v>
      </c>
      <c r="K1369" t="s">
        <v>18</v>
      </c>
      <c r="L1369" t="str">
        <f>T("9791175300569")</f>
        <v>9791175300569</v>
      </c>
      <c r="M1369" t="str">
        <f t="shared" si="32"/>
        <v/>
      </c>
    </row>
    <row r="1370" spans="1:14" x14ac:dyDescent="0.3">
      <c r="A1370" s="1">
        <v>46074.742592592593</v>
      </c>
      <c r="B1370">
        <v>350840355</v>
      </c>
      <c r="C1370" t="s">
        <v>550</v>
      </c>
      <c r="D1370" t="s">
        <v>15</v>
      </c>
      <c r="E1370" s="2">
        <v>18500</v>
      </c>
      <c r="F1370" s="2">
        <v>18500</v>
      </c>
      <c r="G1370" s="2">
        <v>12950</v>
      </c>
      <c r="I1370" t="s">
        <v>551</v>
      </c>
      <c r="J1370" t="s">
        <v>70</v>
      </c>
      <c r="K1370" t="s">
        <v>18</v>
      </c>
      <c r="L1370" t="str">
        <f>T("9791136915177")</f>
        <v>9791136915177</v>
      </c>
      <c r="M1370" t="str">
        <f t="shared" si="32"/>
        <v/>
      </c>
    </row>
    <row r="1371" spans="1:14" x14ac:dyDescent="0.3">
      <c r="A1371" s="1">
        <v>46074.762939814813</v>
      </c>
      <c r="B1371">
        <v>329693245</v>
      </c>
      <c r="C1371" t="s">
        <v>552</v>
      </c>
      <c r="D1371" t="s">
        <v>15</v>
      </c>
      <c r="E1371">
        <v>0</v>
      </c>
      <c r="F1371">
        <v>0</v>
      </c>
      <c r="G1371">
        <v>0</v>
      </c>
      <c r="I1371" t="s">
        <v>77</v>
      </c>
      <c r="J1371" t="s">
        <v>79</v>
      </c>
      <c r="K1371" t="s">
        <v>18</v>
      </c>
      <c r="L1371" t="str">
        <f>T("9791136930750")</f>
        <v>9791136930750</v>
      </c>
      <c r="M1371" t="str">
        <f t="shared" si="32"/>
        <v/>
      </c>
      <c r="N1371">
        <v>894658</v>
      </c>
    </row>
    <row r="1372" spans="1:14" x14ac:dyDescent="0.3">
      <c r="A1372" s="1">
        <v>46074.805289351854</v>
      </c>
      <c r="B1372">
        <v>379386288</v>
      </c>
      <c r="C1372" t="s">
        <v>370</v>
      </c>
      <c r="D1372" t="s">
        <v>89</v>
      </c>
      <c r="E1372" s="2">
        <v>11280</v>
      </c>
      <c r="F1372" s="2">
        <v>11280</v>
      </c>
      <c r="G1372" s="2">
        <v>7896</v>
      </c>
      <c r="I1372" t="s">
        <v>102</v>
      </c>
      <c r="J1372" t="s">
        <v>23</v>
      </c>
      <c r="K1372" t="s">
        <v>18</v>
      </c>
      <c r="L1372" t="str">
        <f>T("9791175307438")</f>
        <v>9791175307438</v>
      </c>
      <c r="M1372" t="str">
        <f t="shared" si="32"/>
        <v/>
      </c>
    </row>
    <row r="1373" spans="1:14" x14ac:dyDescent="0.3">
      <c r="A1373" s="1">
        <v>46074.821759259263</v>
      </c>
      <c r="B1373">
        <v>385831063</v>
      </c>
      <c r="C1373" t="s">
        <v>343</v>
      </c>
      <c r="D1373" t="s">
        <v>89</v>
      </c>
      <c r="E1373" s="2">
        <v>10800</v>
      </c>
      <c r="F1373" s="2">
        <v>10800</v>
      </c>
      <c r="G1373" s="2">
        <v>7560</v>
      </c>
      <c r="I1373" t="s">
        <v>344</v>
      </c>
      <c r="J1373" t="s">
        <v>23</v>
      </c>
      <c r="K1373" t="s">
        <v>18</v>
      </c>
      <c r="L1373" t="str">
        <f>T("9791175309456")</f>
        <v>9791175309456</v>
      </c>
      <c r="M1373" t="str">
        <f t="shared" si="32"/>
        <v/>
      </c>
    </row>
    <row r="1374" spans="1:14" x14ac:dyDescent="0.3">
      <c r="A1374" s="1">
        <v>46074.878495370373</v>
      </c>
      <c r="B1374">
        <v>385636847</v>
      </c>
      <c r="C1374" t="s">
        <v>245</v>
      </c>
      <c r="D1374" t="s">
        <v>15</v>
      </c>
      <c r="E1374" s="2">
        <v>10500</v>
      </c>
      <c r="F1374" s="2">
        <v>9450</v>
      </c>
      <c r="G1374" s="2">
        <v>6615</v>
      </c>
      <c r="I1374" t="s">
        <v>246</v>
      </c>
      <c r="J1374" t="s">
        <v>23</v>
      </c>
      <c r="K1374" t="s">
        <v>18</v>
      </c>
      <c r="L1374" t="str">
        <f>T("9791175309517")</f>
        <v>9791175309517</v>
      </c>
      <c r="M1374" t="str">
        <f t="shared" si="32"/>
        <v/>
      </c>
    </row>
    <row r="1375" spans="1:14" x14ac:dyDescent="0.3">
      <c r="A1375" s="1">
        <v>46074.892800925925</v>
      </c>
      <c r="B1375">
        <v>249740231</v>
      </c>
      <c r="C1375" t="s">
        <v>553</v>
      </c>
      <c r="D1375" t="s">
        <v>15</v>
      </c>
      <c r="E1375" s="2">
        <v>8500</v>
      </c>
      <c r="F1375" s="2">
        <v>8500</v>
      </c>
      <c r="G1375" s="2">
        <v>5950</v>
      </c>
      <c r="I1375" t="s">
        <v>554</v>
      </c>
      <c r="J1375" t="s">
        <v>70</v>
      </c>
      <c r="K1375" t="s">
        <v>18</v>
      </c>
      <c r="L1375" t="str">
        <f>T("9791136908865")</f>
        <v>9791136908865</v>
      </c>
      <c r="M1375" t="str">
        <f t="shared" si="32"/>
        <v/>
      </c>
    </row>
    <row r="1376" spans="1:14" x14ac:dyDescent="0.3">
      <c r="A1376" s="1">
        <v>46074.92664351852</v>
      </c>
      <c r="B1376">
        <v>287087356</v>
      </c>
      <c r="C1376" t="s">
        <v>478</v>
      </c>
      <c r="D1376" t="s">
        <v>89</v>
      </c>
      <c r="E1376" s="2">
        <v>11550</v>
      </c>
      <c r="F1376" s="2">
        <v>11550</v>
      </c>
      <c r="G1376" s="2">
        <v>8085</v>
      </c>
      <c r="I1376" t="s">
        <v>368</v>
      </c>
      <c r="J1376" t="s">
        <v>23</v>
      </c>
      <c r="K1376" t="s">
        <v>18</v>
      </c>
      <c r="L1376" t="str">
        <f>T("9791136920812")</f>
        <v>9791136920812</v>
      </c>
      <c r="M1376" t="str">
        <f t="shared" si="32"/>
        <v/>
      </c>
    </row>
    <row r="1377" spans="1:14" x14ac:dyDescent="0.3">
      <c r="A1377" s="1">
        <v>46074.948425925926</v>
      </c>
      <c r="B1377">
        <v>382391622</v>
      </c>
      <c r="C1377" t="s">
        <v>393</v>
      </c>
      <c r="D1377" t="s">
        <v>89</v>
      </c>
      <c r="E1377" s="2">
        <v>7680</v>
      </c>
      <c r="F1377" s="2">
        <v>7680</v>
      </c>
      <c r="G1377" s="2">
        <v>5376</v>
      </c>
      <c r="I1377" t="s">
        <v>346</v>
      </c>
      <c r="J1377" t="s">
        <v>23</v>
      </c>
      <c r="K1377" t="s">
        <v>18</v>
      </c>
      <c r="L1377" t="str">
        <f>T("9791175307155")</f>
        <v>9791175307155</v>
      </c>
      <c r="M1377" t="str">
        <f t="shared" si="32"/>
        <v/>
      </c>
    </row>
    <row r="1378" spans="1:14" x14ac:dyDescent="0.3">
      <c r="A1378" s="1">
        <v>46074.962824074071</v>
      </c>
      <c r="B1378">
        <v>381539747</v>
      </c>
      <c r="C1378" t="s">
        <v>192</v>
      </c>
      <c r="D1378" t="s">
        <v>15</v>
      </c>
      <c r="E1378">
        <v>0</v>
      </c>
      <c r="F1378">
        <v>0</v>
      </c>
      <c r="G1378">
        <v>0</v>
      </c>
      <c r="I1378" t="s">
        <v>193</v>
      </c>
      <c r="J1378" t="s">
        <v>59</v>
      </c>
      <c r="K1378" t="s">
        <v>18</v>
      </c>
      <c r="L1378" t="str">
        <f>T("9791172921613")</f>
        <v>9791172921613</v>
      </c>
      <c r="M1378" t="str">
        <f t="shared" ref="M1378:M1435" si="33">T("")</f>
        <v/>
      </c>
      <c r="N1378">
        <v>929943</v>
      </c>
    </row>
    <row r="1379" spans="1:14" x14ac:dyDescent="0.3">
      <c r="A1379" s="1">
        <v>46074.973981481482</v>
      </c>
      <c r="B1379">
        <v>287086225</v>
      </c>
      <c r="C1379" t="s">
        <v>307</v>
      </c>
      <c r="D1379" t="s">
        <v>15</v>
      </c>
      <c r="E1379" s="2">
        <v>3000</v>
      </c>
      <c r="F1379" s="2">
        <v>3000</v>
      </c>
      <c r="G1379" s="2">
        <v>2100</v>
      </c>
      <c r="I1379" t="s">
        <v>294</v>
      </c>
      <c r="J1379" t="s">
        <v>23</v>
      </c>
      <c r="K1379" t="s">
        <v>18</v>
      </c>
      <c r="L1379" t="str">
        <f>T("9791136920218")</f>
        <v>9791136920218</v>
      </c>
      <c r="M1379" t="str">
        <f t="shared" si="33"/>
        <v/>
      </c>
      <c r="N1379">
        <v>871319</v>
      </c>
    </row>
    <row r="1380" spans="1:14" x14ac:dyDescent="0.3">
      <c r="A1380" s="1">
        <v>46074.973981481482</v>
      </c>
      <c r="B1380">
        <v>287086243</v>
      </c>
      <c r="C1380" t="s">
        <v>293</v>
      </c>
      <c r="D1380" t="s">
        <v>15</v>
      </c>
      <c r="E1380" s="2">
        <v>3000</v>
      </c>
      <c r="F1380" s="2">
        <v>3000</v>
      </c>
      <c r="G1380" s="2">
        <v>2100</v>
      </c>
      <c r="I1380" t="s">
        <v>294</v>
      </c>
      <c r="J1380" t="s">
        <v>23</v>
      </c>
      <c r="K1380" t="s">
        <v>18</v>
      </c>
      <c r="L1380" t="str">
        <f>T("9791136920201")</f>
        <v>9791136920201</v>
      </c>
      <c r="M1380" t="str">
        <f t="shared" si="33"/>
        <v/>
      </c>
      <c r="N1380">
        <v>871320</v>
      </c>
    </row>
    <row r="1381" spans="1:14" x14ac:dyDescent="0.3">
      <c r="A1381" s="1">
        <v>46075.019895833335</v>
      </c>
      <c r="B1381">
        <v>339153055</v>
      </c>
      <c r="C1381" t="s">
        <v>399</v>
      </c>
      <c r="D1381" t="s">
        <v>89</v>
      </c>
      <c r="E1381" s="2">
        <v>17080</v>
      </c>
      <c r="F1381" s="2">
        <v>17080</v>
      </c>
      <c r="G1381" s="2">
        <v>11956</v>
      </c>
      <c r="I1381" t="s">
        <v>400</v>
      </c>
      <c r="J1381" t="s">
        <v>23</v>
      </c>
      <c r="K1381" t="s">
        <v>18</v>
      </c>
      <c r="L1381" t="str">
        <f>T("9791136965936")</f>
        <v>9791136965936</v>
      </c>
      <c r="M1381" t="str">
        <f t="shared" si="33"/>
        <v/>
      </c>
    </row>
    <row r="1382" spans="1:14" x14ac:dyDescent="0.3">
      <c r="A1382" s="1">
        <v>46075.035983796297</v>
      </c>
      <c r="B1382">
        <v>361759487</v>
      </c>
      <c r="C1382" t="s">
        <v>496</v>
      </c>
      <c r="D1382" t="s">
        <v>15</v>
      </c>
      <c r="E1382" s="2">
        <v>30000</v>
      </c>
      <c r="F1382" s="2">
        <v>30000</v>
      </c>
      <c r="G1382" s="2">
        <v>21000</v>
      </c>
      <c r="I1382" t="s">
        <v>198</v>
      </c>
      <c r="J1382" t="s">
        <v>49</v>
      </c>
      <c r="K1382" t="s">
        <v>18</v>
      </c>
      <c r="L1382" t="str">
        <f>T("9791173783210")</f>
        <v>9791173783210</v>
      </c>
      <c r="M1382" t="str">
        <f t="shared" si="33"/>
        <v/>
      </c>
    </row>
    <row r="1383" spans="1:14" x14ac:dyDescent="0.3">
      <c r="A1383" s="1">
        <v>46075.045856481483</v>
      </c>
      <c r="B1383">
        <v>361617623</v>
      </c>
      <c r="C1383" t="s">
        <v>382</v>
      </c>
      <c r="D1383" t="s">
        <v>89</v>
      </c>
      <c r="E1383" s="2">
        <v>11760</v>
      </c>
      <c r="F1383" s="2">
        <v>11760</v>
      </c>
      <c r="G1383" s="2">
        <v>8232</v>
      </c>
      <c r="I1383" t="s">
        <v>383</v>
      </c>
      <c r="J1383" t="s">
        <v>23</v>
      </c>
      <c r="K1383" t="s">
        <v>18</v>
      </c>
      <c r="L1383" t="str">
        <f>T("9791173782435")</f>
        <v>9791173782435</v>
      </c>
      <c r="M1383" t="str">
        <f t="shared" si="33"/>
        <v/>
      </c>
    </row>
    <row r="1384" spans="1:14" x14ac:dyDescent="0.3">
      <c r="A1384" s="1">
        <v>46075.07534722222</v>
      </c>
      <c r="B1384">
        <v>346154285</v>
      </c>
      <c r="C1384" t="s">
        <v>191</v>
      </c>
      <c r="D1384" t="s">
        <v>15</v>
      </c>
      <c r="E1384" s="2">
        <v>3300</v>
      </c>
      <c r="F1384" s="2">
        <v>3300</v>
      </c>
      <c r="G1384" s="2">
        <v>2310</v>
      </c>
      <c r="I1384" t="s">
        <v>32</v>
      </c>
      <c r="J1384" t="s">
        <v>23</v>
      </c>
      <c r="K1384" t="s">
        <v>18</v>
      </c>
      <c r="L1384" t="str">
        <f>T("9791136927248")</f>
        <v>9791136927248</v>
      </c>
      <c r="M1384" t="str">
        <f t="shared" si="33"/>
        <v/>
      </c>
      <c r="N1384">
        <v>928445</v>
      </c>
    </row>
    <row r="1385" spans="1:14" x14ac:dyDescent="0.3">
      <c r="A1385" s="1">
        <v>46075.129988425928</v>
      </c>
      <c r="B1385">
        <v>385347659</v>
      </c>
      <c r="C1385" t="s">
        <v>86</v>
      </c>
      <c r="D1385" t="s">
        <v>15</v>
      </c>
      <c r="E1385" s="2">
        <v>1000</v>
      </c>
      <c r="F1385">
        <v>900</v>
      </c>
      <c r="G1385">
        <v>630</v>
      </c>
      <c r="I1385" t="s">
        <v>87</v>
      </c>
      <c r="J1385" t="s">
        <v>23</v>
      </c>
      <c r="K1385" t="s">
        <v>18</v>
      </c>
      <c r="L1385" t="str">
        <f>T("9791175308510")</f>
        <v>9791175308510</v>
      </c>
      <c r="M1385" t="str">
        <f t="shared" si="33"/>
        <v/>
      </c>
      <c r="N1385">
        <v>957881</v>
      </c>
    </row>
    <row r="1386" spans="1:14" x14ac:dyDescent="0.3">
      <c r="A1386" s="1">
        <v>46075.131747685184</v>
      </c>
      <c r="B1386">
        <v>329693117</v>
      </c>
      <c r="C1386" t="s">
        <v>555</v>
      </c>
      <c r="D1386" t="s">
        <v>15</v>
      </c>
      <c r="E1386" s="2">
        <v>3200</v>
      </c>
      <c r="F1386" s="2">
        <v>3200</v>
      </c>
      <c r="G1386" s="2">
        <v>2240</v>
      </c>
      <c r="I1386" t="s">
        <v>77</v>
      </c>
      <c r="J1386" t="s">
        <v>79</v>
      </c>
      <c r="K1386" t="s">
        <v>18</v>
      </c>
      <c r="L1386" t="str">
        <f>T("9791136930309")</f>
        <v>9791136930309</v>
      </c>
      <c r="M1386" t="str">
        <f t="shared" si="33"/>
        <v/>
      </c>
      <c r="N1386">
        <v>894656</v>
      </c>
    </row>
    <row r="1387" spans="1:14" x14ac:dyDescent="0.3">
      <c r="A1387" s="1">
        <v>46075.162129629629</v>
      </c>
      <c r="B1387">
        <v>311320990</v>
      </c>
      <c r="C1387" t="s">
        <v>129</v>
      </c>
      <c r="D1387" t="s">
        <v>15</v>
      </c>
      <c r="E1387">
        <v>0</v>
      </c>
      <c r="F1387">
        <v>0</v>
      </c>
      <c r="G1387">
        <v>0</v>
      </c>
      <c r="I1387" t="s">
        <v>130</v>
      </c>
      <c r="J1387" t="s">
        <v>59</v>
      </c>
      <c r="K1387" t="s">
        <v>18</v>
      </c>
      <c r="L1387" t="str">
        <f>T("9791136927880")</f>
        <v>9791136927880</v>
      </c>
      <c r="M1387" t="str">
        <f t="shared" si="33"/>
        <v/>
      </c>
      <c r="N1387">
        <v>889268</v>
      </c>
    </row>
    <row r="1388" spans="1:14" x14ac:dyDescent="0.3">
      <c r="A1388" s="1">
        <v>46075.208368055559</v>
      </c>
      <c r="B1388">
        <v>385831063</v>
      </c>
      <c r="C1388" t="s">
        <v>343</v>
      </c>
      <c r="D1388" t="s">
        <v>89</v>
      </c>
      <c r="E1388" s="2">
        <v>10800</v>
      </c>
      <c r="F1388" s="2">
        <v>10800</v>
      </c>
      <c r="G1388" s="2">
        <v>7560</v>
      </c>
      <c r="I1388" t="s">
        <v>344</v>
      </c>
      <c r="J1388" t="s">
        <v>23</v>
      </c>
      <c r="K1388" t="s">
        <v>18</v>
      </c>
      <c r="L1388" t="str">
        <f>T("9791175309456")</f>
        <v>9791175309456</v>
      </c>
      <c r="M1388" t="str">
        <f t="shared" si="33"/>
        <v/>
      </c>
    </row>
    <row r="1389" spans="1:14" x14ac:dyDescent="0.3">
      <c r="A1389" s="1">
        <v>46075.221145833333</v>
      </c>
      <c r="B1389">
        <v>377261205</v>
      </c>
      <c r="C1389" t="s">
        <v>556</v>
      </c>
      <c r="D1389" t="s">
        <v>15</v>
      </c>
      <c r="E1389" s="2">
        <v>13200</v>
      </c>
      <c r="F1389" s="2">
        <v>13200</v>
      </c>
      <c r="G1389" s="2">
        <v>9240</v>
      </c>
      <c r="I1389" t="s">
        <v>508</v>
      </c>
      <c r="J1389" t="s">
        <v>23</v>
      </c>
      <c r="K1389" t="s">
        <v>18</v>
      </c>
      <c r="L1389" t="str">
        <f>T("9791175303003")</f>
        <v>9791175303003</v>
      </c>
      <c r="M1389" t="str">
        <f t="shared" si="33"/>
        <v/>
      </c>
    </row>
    <row r="1390" spans="1:14" x14ac:dyDescent="0.3">
      <c r="A1390" s="1">
        <v>46075.240335648145</v>
      </c>
      <c r="B1390">
        <v>385129146</v>
      </c>
      <c r="C1390" t="s">
        <v>557</v>
      </c>
      <c r="D1390" t="s">
        <v>15</v>
      </c>
      <c r="E1390" s="2">
        <v>3200</v>
      </c>
      <c r="F1390" s="2">
        <v>3200</v>
      </c>
      <c r="G1390" s="2">
        <v>2240</v>
      </c>
      <c r="I1390" t="s">
        <v>48</v>
      </c>
      <c r="J1390" t="s">
        <v>49</v>
      </c>
      <c r="K1390" t="s">
        <v>18</v>
      </c>
      <c r="L1390" t="str">
        <f>T("9791175305168")</f>
        <v>9791175305168</v>
      </c>
      <c r="M1390" t="str">
        <f t="shared" si="33"/>
        <v/>
      </c>
      <c r="N1390">
        <v>954899</v>
      </c>
    </row>
    <row r="1391" spans="1:14" x14ac:dyDescent="0.3">
      <c r="A1391" s="1">
        <v>46075.240335648145</v>
      </c>
      <c r="B1391">
        <v>385129122</v>
      </c>
      <c r="C1391" t="s">
        <v>558</v>
      </c>
      <c r="D1391" t="s">
        <v>15</v>
      </c>
      <c r="E1391" s="2">
        <v>3200</v>
      </c>
      <c r="F1391" s="2">
        <v>3200</v>
      </c>
      <c r="G1391" s="2">
        <v>2240</v>
      </c>
      <c r="I1391" t="s">
        <v>48</v>
      </c>
      <c r="J1391" t="s">
        <v>49</v>
      </c>
      <c r="K1391" t="s">
        <v>18</v>
      </c>
      <c r="L1391" t="str">
        <f>T("9791175305182")</f>
        <v>9791175305182</v>
      </c>
      <c r="M1391" t="str">
        <f t="shared" si="33"/>
        <v/>
      </c>
      <c r="N1391">
        <v>954897</v>
      </c>
    </row>
    <row r="1392" spans="1:14" x14ac:dyDescent="0.3">
      <c r="A1392" s="1">
        <v>46075.240335648145</v>
      </c>
      <c r="B1392">
        <v>385129310</v>
      </c>
      <c r="C1392" t="s">
        <v>559</v>
      </c>
      <c r="D1392" t="s">
        <v>15</v>
      </c>
      <c r="E1392" s="2">
        <v>3200</v>
      </c>
      <c r="F1392" s="2">
        <v>3200</v>
      </c>
      <c r="G1392" s="2">
        <v>2240</v>
      </c>
      <c r="I1392" t="s">
        <v>48</v>
      </c>
      <c r="J1392" t="s">
        <v>49</v>
      </c>
      <c r="K1392" t="s">
        <v>18</v>
      </c>
      <c r="L1392" t="str">
        <f>T("9791175305175")</f>
        <v>9791175305175</v>
      </c>
      <c r="M1392" t="str">
        <f t="shared" si="33"/>
        <v/>
      </c>
      <c r="N1392">
        <v>954898</v>
      </c>
    </row>
    <row r="1393" spans="1:14" x14ac:dyDescent="0.3">
      <c r="A1393" s="1">
        <v>46075.308576388888</v>
      </c>
      <c r="B1393">
        <v>369429462</v>
      </c>
      <c r="C1393" t="s">
        <v>145</v>
      </c>
      <c r="D1393" t="s">
        <v>15</v>
      </c>
      <c r="E1393" s="2">
        <v>3200</v>
      </c>
      <c r="F1393" s="2">
        <v>3200</v>
      </c>
      <c r="G1393" s="2">
        <v>2240</v>
      </c>
      <c r="I1393" t="s">
        <v>146</v>
      </c>
      <c r="J1393" t="s">
        <v>23</v>
      </c>
      <c r="K1393" t="s">
        <v>18</v>
      </c>
      <c r="L1393" t="str">
        <f>T("9791173788543")</f>
        <v>9791173788543</v>
      </c>
      <c r="M1393" t="str">
        <f t="shared" si="33"/>
        <v/>
      </c>
      <c r="N1393">
        <v>952025</v>
      </c>
    </row>
    <row r="1394" spans="1:14" x14ac:dyDescent="0.3">
      <c r="A1394" s="1">
        <v>46075.347974537035</v>
      </c>
      <c r="B1394">
        <v>365656697</v>
      </c>
      <c r="C1394" t="s">
        <v>239</v>
      </c>
      <c r="D1394" t="s">
        <v>89</v>
      </c>
      <c r="E1394" s="2">
        <v>5760</v>
      </c>
      <c r="F1394" s="2">
        <v>5760</v>
      </c>
      <c r="G1394" s="2">
        <v>4032</v>
      </c>
      <c r="I1394" t="s">
        <v>240</v>
      </c>
      <c r="J1394" t="s">
        <v>49</v>
      </c>
      <c r="K1394" t="s">
        <v>18</v>
      </c>
      <c r="L1394" t="str">
        <f>T("9791173783630")</f>
        <v>9791173783630</v>
      </c>
      <c r="M1394" t="str">
        <f t="shared" si="33"/>
        <v/>
      </c>
    </row>
    <row r="1395" spans="1:14" x14ac:dyDescent="0.3">
      <c r="A1395" s="1">
        <v>46075.351597222223</v>
      </c>
      <c r="B1395">
        <v>366386880</v>
      </c>
      <c r="C1395" t="s">
        <v>190</v>
      </c>
      <c r="D1395" t="s">
        <v>15</v>
      </c>
      <c r="E1395" s="2">
        <v>1800</v>
      </c>
      <c r="F1395" s="2">
        <v>1800</v>
      </c>
      <c r="G1395" s="2">
        <v>1260</v>
      </c>
      <c r="I1395" t="s">
        <v>32</v>
      </c>
      <c r="J1395" t="s">
        <v>23</v>
      </c>
      <c r="K1395" t="s">
        <v>18</v>
      </c>
      <c r="L1395" t="str">
        <f>T("9791173786648")</f>
        <v>9791173786648</v>
      </c>
      <c r="M1395" t="str">
        <f t="shared" si="33"/>
        <v/>
      </c>
      <c r="N1395">
        <v>950837</v>
      </c>
    </row>
    <row r="1396" spans="1:14" x14ac:dyDescent="0.3">
      <c r="A1396" s="1">
        <v>46075.351597222223</v>
      </c>
      <c r="B1396">
        <v>346154638</v>
      </c>
      <c r="C1396" t="s">
        <v>43</v>
      </c>
      <c r="D1396" t="s">
        <v>15</v>
      </c>
      <c r="E1396" s="2">
        <v>3300</v>
      </c>
      <c r="F1396" s="2">
        <v>3300</v>
      </c>
      <c r="G1396" s="2">
        <v>2310</v>
      </c>
      <c r="I1396" t="s">
        <v>32</v>
      </c>
      <c r="J1396" t="s">
        <v>23</v>
      </c>
      <c r="K1396" t="s">
        <v>18</v>
      </c>
      <c r="L1396" t="str">
        <f>T("9791136927255")</f>
        <v>9791136927255</v>
      </c>
      <c r="M1396" t="str">
        <f t="shared" si="33"/>
        <v/>
      </c>
      <c r="N1396">
        <v>928444</v>
      </c>
    </row>
    <row r="1397" spans="1:14" x14ac:dyDescent="0.3">
      <c r="A1397" s="1">
        <v>46075.351597222223</v>
      </c>
      <c r="B1397">
        <v>346154276</v>
      </c>
      <c r="C1397" t="s">
        <v>46</v>
      </c>
      <c r="D1397" t="s">
        <v>15</v>
      </c>
      <c r="E1397" s="2">
        <v>3300</v>
      </c>
      <c r="F1397" s="2">
        <v>3300</v>
      </c>
      <c r="G1397" s="2">
        <v>2310</v>
      </c>
      <c r="I1397" t="s">
        <v>32</v>
      </c>
      <c r="J1397" t="s">
        <v>23</v>
      </c>
      <c r="K1397" t="s">
        <v>18</v>
      </c>
      <c r="L1397" t="str">
        <f>T("9791136940704")</f>
        <v>9791136940704</v>
      </c>
      <c r="M1397" t="str">
        <f t="shared" si="33"/>
        <v/>
      </c>
      <c r="N1397">
        <v>928442</v>
      </c>
    </row>
    <row r="1398" spans="1:14" x14ac:dyDescent="0.3">
      <c r="A1398" s="1">
        <v>46075.351597222223</v>
      </c>
      <c r="B1398">
        <v>346154245</v>
      </c>
      <c r="C1398" t="s">
        <v>45</v>
      </c>
      <c r="D1398" t="s">
        <v>15</v>
      </c>
      <c r="E1398" s="2">
        <v>3300</v>
      </c>
      <c r="F1398" s="2">
        <v>3300</v>
      </c>
      <c r="G1398" s="2">
        <v>2310</v>
      </c>
      <c r="I1398" t="s">
        <v>32</v>
      </c>
      <c r="J1398" t="s">
        <v>23</v>
      </c>
      <c r="K1398" t="s">
        <v>18</v>
      </c>
      <c r="L1398" t="str">
        <f>T("9791136940728")</f>
        <v>9791136940728</v>
      </c>
      <c r="M1398" t="str">
        <f t="shared" si="33"/>
        <v/>
      </c>
      <c r="N1398">
        <v>928441</v>
      </c>
    </row>
    <row r="1399" spans="1:14" x14ac:dyDescent="0.3">
      <c r="A1399" s="1">
        <v>46075.351597222223</v>
      </c>
      <c r="B1399">
        <v>346154719</v>
      </c>
      <c r="C1399" t="s">
        <v>44</v>
      </c>
      <c r="D1399" t="s">
        <v>15</v>
      </c>
      <c r="E1399" s="2">
        <v>3300</v>
      </c>
      <c r="F1399" s="2">
        <v>3300</v>
      </c>
      <c r="G1399" s="2">
        <v>2310</v>
      </c>
      <c r="I1399" t="s">
        <v>32</v>
      </c>
      <c r="J1399" t="s">
        <v>23</v>
      </c>
      <c r="K1399" t="s">
        <v>18</v>
      </c>
      <c r="L1399" t="str">
        <f>T("9791136927675")</f>
        <v>9791136927675</v>
      </c>
      <c r="M1399" t="str">
        <f t="shared" si="33"/>
        <v/>
      </c>
      <c r="N1399">
        <v>928443</v>
      </c>
    </row>
    <row r="1400" spans="1:14" x14ac:dyDescent="0.3">
      <c r="A1400" s="1">
        <v>46075.484120370369</v>
      </c>
      <c r="B1400">
        <v>243589889</v>
      </c>
      <c r="C1400" t="s">
        <v>560</v>
      </c>
      <c r="D1400" t="s">
        <v>15</v>
      </c>
      <c r="E1400" s="2">
        <v>3500</v>
      </c>
      <c r="F1400" s="2">
        <v>3500</v>
      </c>
      <c r="G1400" s="2">
        <v>2450</v>
      </c>
      <c r="I1400" t="s">
        <v>27</v>
      </c>
      <c r="J1400" t="s">
        <v>79</v>
      </c>
      <c r="K1400" t="s">
        <v>18</v>
      </c>
      <c r="L1400" t="str">
        <f>T("")</f>
        <v/>
      </c>
      <c r="M1400" t="str">
        <f t="shared" si="33"/>
        <v/>
      </c>
    </row>
    <row r="1401" spans="1:14" x14ac:dyDescent="0.3">
      <c r="A1401" s="1">
        <v>46075.484120370369</v>
      </c>
      <c r="B1401">
        <v>243589895</v>
      </c>
      <c r="C1401" t="s">
        <v>561</v>
      </c>
      <c r="D1401" t="s">
        <v>15</v>
      </c>
      <c r="E1401" s="2">
        <v>3500</v>
      </c>
      <c r="F1401" s="2">
        <v>3500</v>
      </c>
      <c r="G1401" s="2">
        <v>2450</v>
      </c>
      <c r="I1401" t="s">
        <v>27</v>
      </c>
      <c r="J1401" t="s">
        <v>79</v>
      </c>
      <c r="K1401" t="s">
        <v>18</v>
      </c>
      <c r="L1401" t="str">
        <f>T("")</f>
        <v/>
      </c>
      <c r="M1401" t="str">
        <f t="shared" si="33"/>
        <v/>
      </c>
    </row>
    <row r="1402" spans="1:14" x14ac:dyDescent="0.3">
      <c r="A1402" s="1">
        <v>46075.484120370369</v>
      </c>
      <c r="B1402">
        <v>243589959</v>
      </c>
      <c r="C1402" t="s">
        <v>562</v>
      </c>
      <c r="D1402" t="s">
        <v>15</v>
      </c>
      <c r="E1402" s="2">
        <v>3500</v>
      </c>
      <c r="F1402" s="2">
        <v>3500</v>
      </c>
      <c r="G1402" s="2">
        <v>2450</v>
      </c>
      <c r="I1402" t="s">
        <v>27</v>
      </c>
      <c r="J1402" t="s">
        <v>79</v>
      </c>
      <c r="K1402" t="s">
        <v>18</v>
      </c>
      <c r="L1402" t="str">
        <f>T("")</f>
        <v/>
      </c>
      <c r="M1402" t="str">
        <f t="shared" si="33"/>
        <v/>
      </c>
    </row>
    <row r="1403" spans="1:14" x14ac:dyDescent="0.3">
      <c r="A1403" s="1">
        <v>46075.484120370369</v>
      </c>
      <c r="B1403">
        <v>243589962</v>
      </c>
      <c r="C1403" t="s">
        <v>563</v>
      </c>
      <c r="D1403" t="s">
        <v>15</v>
      </c>
      <c r="E1403" s="2">
        <v>3500</v>
      </c>
      <c r="F1403" s="2">
        <v>3500</v>
      </c>
      <c r="G1403" s="2">
        <v>2450</v>
      </c>
      <c r="I1403" t="s">
        <v>27</v>
      </c>
      <c r="J1403" t="s">
        <v>79</v>
      </c>
      <c r="K1403" t="s">
        <v>18</v>
      </c>
      <c r="L1403" t="str">
        <f>T("")</f>
        <v/>
      </c>
      <c r="M1403" t="str">
        <f t="shared" si="33"/>
        <v/>
      </c>
    </row>
    <row r="1404" spans="1:14" x14ac:dyDescent="0.3">
      <c r="A1404" s="1">
        <v>46075.484120370369</v>
      </c>
      <c r="B1404">
        <v>71455950</v>
      </c>
      <c r="C1404" t="s">
        <v>564</v>
      </c>
      <c r="D1404" t="s">
        <v>15</v>
      </c>
      <c r="E1404">
        <v>0</v>
      </c>
      <c r="F1404">
        <v>0</v>
      </c>
      <c r="G1404">
        <v>0</v>
      </c>
      <c r="I1404" t="s">
        <v>27</v>
      </c>
      <c r="J1404" t="s">
        <v>79</v>
      </c>
      <c r="K1404" t="s">
        <v>18</v>
      </c>
      <c r="L1404" t="str">
        <f>T("9791133106127")</f>
        <v>9791133106127</v>
      </c>
      <c r="M1404" t="str">
        <f t="shared" si="33"/>
        <v/>
      </c>
      <c r="N1404">
        <v>320522</v>
      </c>
    </row>
    <row r="1405" spans="1:14" x14ac:dyDescent="0.3">
      <c r="A1405" s="1">
        <v>46075.484120370369</v>
      </c>
      <c r="B1405">
        <v>71455951</v>
      </c>
      <c r="C1405" t="s">
        <v>565</v>
      </c>
      <c r="D1405" t="s">
        <v>15</v>
      </c>
      <c r="E1405" s="2">
        <v>3200</v>
      </c>
      <c r="F1405" s="2">
        <v>3200</v>
      </c>
      <c r="G1405" s="2">
        <v>2240</v>
      </c>
      <c r="I1405" t="s">
        <v>27</v>
      </c>
      <c r="J1405" t="s">
        <v>79</v>
      </c>
      <c r="K1405" t="s">
        <v>18</v>
      </c>
      <c r="L1405" t="str">
        <f>T("9791133106134")</f>
        <v>9791133106134</v>
      </c>
      <c r="M1405" t="str">
        <f t="shared" si="33"/>
        <v/>
      </c>
      <c r="N1405">
        <v>320521</v>
      </c>
    </row>
    <row r="1406" spans="1:14" x14ac:dyDescent="0.3">
      <c r="A1406" s="1">
        <v>46075.484120370369</v>
      </c>
      <c r="B1406">
        <v>71455952</v>
      </c>
      <c r="C1406" t="s">
        <v>566</v>
      </c>
      <c r="D1406" t="s">
        <v>15</v>
      </c>
      <c r="E1406" s="2">
        <v>3200</v>
      </c>
      <c r="F1406" s="2">
        <v>3200</v>
      </c>
      <c r="G1406" s="2">
        <v>2240</v>
      </c>
      <c r="I1406" t="s">
        <v>27</v>
      </c>
      <c r="J1406" t="s">
        <v>79</v>
      </c>
      <c r="K1406" t="s">
        <v>18</v>
      </c>
      <c r="L1406" t="str">
        <f>T("9791133106141")</f>
        <v>9791133106141</v>
      </c>
      <c r="M1406" t="str">
        <f t="shared" si="33"/>
        <v/>
      </c>
      <c r="N1406">
        <v>320520</v>
      </c>
    </row>
    <row r="1407" spans="1:14" x14ac:dyDescent="0.3">
      <c r="A1407" s="1">
        <v>46075.484120370369</v>
      </c>
      <c r="B1407">
        <v>12443594</v>
      </c>
      <c r="C1407" t="s">
        <v>567</v>
      </c>
      <c r="D1407" t="s">
        <v>15</v>
      </c>
      <c r="E1407" s="2">
        <v>3500</v>
      </c>
      <c r="F1407" s="2">
        <v>3500</v>
      </c>
      <c r="G1407" s="2">
        <v>2450</v>
      </c>
      <c r="I1407" t="s">
        <v>27</v>
      </c>
      <c r="J1407" t="s">
        <v>79</v>
      </c>
      <c r="K1407" t="s">
        <v>18</v>
      </c>
      <c r="L1407" t="str">
        <f>T("")</f>
        <v/>
      </c>
      <c r="M1407" t="str">
        <f t="shared" si="33"/>
        <v/>
      </c>
    </row>
    <row r="1408" spans="1:14" x14ac:dyDescent="0.3">
      <c r="A1408" s="1">
        <v>46075.500914351855</v>
      </c>
      <c r="B1408">
        <v>346154285</v>
      </c>
      <c r="C1408" t="s">
        <v>191</v>
      </c>
      <c r="D1408" t="s">
        <v>15</v>
      </c>
      <c r="E1408" s="2">
        <v>3300</v>
      </c>
      <c r="F1408" s="2">
        <v>3300</v>
      </c>
      <c r="G1408" s="2">
        <v>2310</v>
      </c>
      <c r="I1408" t="s">
        <v>32</v>
      </c>
      <c r="J1408" t="s">
        <v>23</v>
      </c>
      <c r="K1408" t="s">
        <v>18</v>
      </c>
      <c r="L1408" t="str">
        <f>T("9791136927248")</f>
        <v>9791136927248</v>
      </c>
      <c r="M1408" t="str">
        <f t="shared" si="33"/>
        <v/>
      </c>
      <c r="N1408">
        <v>928445</v>
      </c>
    </row>
    <row r="1409" spans="1:14" x14ac:dyDescent="0.3">
      <c r="A1409" s="1">
        <v>46075.500914351855</v>
      </c>
      <c r="B1409">
        <v>366386880</v>
      </c>
      <c r="C1409" t="s">
        <v>190</v>
      </c>
      <c r="D1409" t="s">
        <v>15</v>
      </c>
      <c r="E1409" s="2">
        <v>1800</v>
      </c>
      <c r="F1409" s="2">
        <v>1800</v>
      </c>
      <c r="G1409" s="2">
        <v>1260</v>
      </c>
      <c r="I1409" t="s">
        <v>32</v>
      </c>
      <c r="J1409" t="s">
        <v>23</v>
      </c>
      <c r="K1409" t="s">
        <v>18</v>
      </c>
      <c r="L1409" t="str">
        <f>T("9791173786648")</f>
        <v>9791173786648</v>
      </c>
      <c r="M1409" t="str">
        <f t="shared" si="33"/>
        <v/>
      </c>
      <c r="N1409">
        <v>950837</v>
      </c>
    </row>
    <row r="1410" spans="1:14" x14ac:dyDescent="0.3">
      <c r="A1410" s="1">
        <v>46075.551793981482</v>
      </c>
      <c r="B1410">
        <v>385348414</v>
      </c>
      <c r="C1410" t="s">
        <v>114</v>
      </c>
      <c r="D1410" t="s">
        <v>15</v>
      </c>
      <c r="E1410" s="2">
        <v>13000</v>
      </c>
      <c r="F1410" s="2">
        <v>11700</v>
      </c>
      <c r="G1410" s="2">
        <v>8190</v>
      </c>
      <c r="I1410" t="s">
        <v>87</v>
      </c>
      <c r="J1410" t="s">
        <v>23</v>
      </c>
      <c r="K1410" t="s">
        <v>18</v>
      </c>
      <c r="L1410" t="str">
        <f>T("9791175308503")</f>
        <v>9791175308503</v>
      </c>
      <c r="M1410" t="str">
        <f t="shared" si="33"/>
        <v/>
      </c>
    </row>
    <row r="1411" spans="1:14" x14ac:dyDescent="0.3">
      <c r="A1411" s="1">
        <v>46075.599699074075</v>
      </c>
      <c r="B1411">
        <v>385831063</v>
      </c>
      <c r="C1411" t="s">
        <v>343</v>
      </c>
      <c r="D1411" t="s">
        <v>15</v>
      </c>
      <c r="E1411" s="2">
        <v>12000</v>
      </c>
      <c r="F1411" s="2">
        <v>10800</v>
      </c>
      <c r="G1411" s="2">
        <v>7560</v>
      </c>
      <c r="I1411" t="s">
        <v>344</v>
      </c>
      <c r="J1411" t="s">
        <v>23</v>
      </c>
      <c r="K1411" t="s">
        <v>18</v>
      </c>
      <c r="L1411" t="str">
        <f>T("9791175309456")</f>
        <v>9791175309456</v>
      </c>
      <c r="M1411" t="str">
        <f t="shared" si="33"/>
        <v/>
      </c>
    </row>
    <row r="1412" spans="1:14" x14ac:dyDescent="0.3">
      <c r="A1412" s="1">
        <v>46075.608055555553</v>
      </c>
      <c r="B1412">
        <v>371102770</v>
      </c>
      <c r="C1412" t="s">
        <v>395</v>
      </c>
      <c r="D1412" t="s">
        <v>89</v>
      </c>
      <c r="E1412" s="2">
        <v>6930</v>
      </c>
      <c r="F1412" s="2">
        <v>6930</v>
      </c>
      <c r="G1412" s="2">
        <v>4851</v>
      </c>
      <c r="I1412" t="s">
        <v>234</v>
      </c>
      <c r="J1412" t="s">
        <v>23</v>
      </c>
      <c r="K1412" t="s">
        <v>18</v>
      </c>
      <c r="L1412" t="str">
        <f>T("9791175300569")</f>
        <v>9791175300569</v>
      </c>
      <c r="M1412" t="str">
        <f t="shared" si="33"/>
        <v/>
      </c>
    </row>
    <row r="1413" spans="1:14" x14ac:dyDescent="0.3">
      <c r="A1413" s="1">
        <v>46075.620150462964</v>
      </c>
      <c r="B1413">
        <v>331405871</v>
      </c>
      <c r="C1413" t="s">
        <v>543</v>
      </c>
      <c r="D1413" t="s">
        <v>89</v>
      </c>
      <c r="E1413" s="2">
        <v>18900</v>
      </c>
      <c r="F1413" s="2">
        <v>18900</v>
      </c>
      <c r="G1413" s="2">
        <v>13230</v>
      </c>
      <c r="I1413" t="s">
        <v>544</v>
      </c>
      <c r="J1413" t="s">
        <v>49</v>
      </c>
      <c r="K1413" t="s">
        <v>18</v>
      </c>
      <c r="L1413" t="str">
        <f>T("9791136940032")</f>
        <v>9791136940032</v>
      </c>
      <c r="M1413" t="str">
        <f t="shared" si="33"/>
        <v/>
      </c>
    </row>
    <row r="1414" spans="1:14" x14ac:dyDescent="0.3">
      <c r="A1414" s="1">
        <v>46075.673587962963</v>
      </c>
      <c r="B1414">
        <v>385347659</v>
      </c>
      <c r="C1414" t="s">
        <v>86</v>
      </c>
      <c r="D1414" t="s">
        <v>15</v>
      </c>
      <c r="E1414" s="2">
        <v>1000</v>
      </c>
      <c r="F1414">
        <v>900</v>
      </c>
      <c r="G1414">
        <v>630</v>
      </c>
      <c r="I1414" t="s">
        <v>87</v>
      </c>
      <c r="J1414" t="s">
        <v>23</v>
      </c>
      <c r="K1414" t="s">
        <v>18</v>
      </c>
      <c r="L1414" t="str">
        <f>T("9791175308510")</f>
        <v>9791175308510</v>
      </c>
      <c r="M1414" t="str">
        <f t="shared" si="33"/>
        <v/>
      </c>
      <c r="N1414">
        <v>957881</v>
      </c>
    </row>
    <row r="1415" spans="1:14" x14ac:dyDescent="0.3">
      <c r="A1415" s="1">
        <v>46075.729421296295</v>
      </c>
      <c r="B1415">
        <v>365656697</v>
      </c>
      <c r="C1415" t="s">
        <v>239</v>
      </c>
      <c r="D1415" t="s">
        <v>89</v>
      </c>
      <c r="E1415" s="2">
        <v>5760</v>
      </c>
      <c r="F1415" s="2">
        <v>5760</v>
      </c>
      <c r="G1415" s="2">
        <v>4032</v>
      </c>
      <c r="I1415" t="s">
        <v>240</v>
      </c>
      <c r="J1415" t="s">
        <v>49</v>
      </c>
      <c r="K1415" t="s">
        <v>18</v>
      </c>
      <c r="L1415" t="str">
        <f>T("9791173783630")</f>
        <v>9791173783630</v>
      </c>
      <c r="M1415" t="str">
        <f t="shared" si="33"/>
        <v/>
      </c>
    </row>
    <row r="1416" spans="1:14" x14ac:dyDescent="0.3">
      <c r="A1416" s="1">
        <v>46075.749756944446</v>
      </c>
      <c r="B1416">
        <v>385347754</v>
      </c>
      <c r="C1416" t="s">
        <v>97</v>
      </c>
      <c r="D1416" t="s">
        <v>15</v>
      </c>
      <c r="E1416" s="2">
        <v>3200</v>
      </c>
      <c r="F1416" s="2">
        <v>2880</v>
      </c>
      <c r="G1416" s="2">
        <v>2016</v>
      </c>
      <c r="I1416" t="s">
        <v>90</v>
      </c>
      <c r="J1416" t="s">
        <v>23</v>
      </c>
      <c r="K1416" t="s">
        <v>18</v>
      </c>
      <c r="L1416" t="str">
        <f>T("9791175308282")</f>
        <v>9791175308282</v>
      </c>
      <c r="M1416" t="str">
        <f t="shared" si="33"/>
        <v/>
      </c>
      <c r="N1416">
        <v>957886</v>
      </c>
    </row>
    <row r="1417" spans="1:14" x14ac:dyDescent="0.3">
      <c r="A1417" s="1">
        <v>46075.759467592594</v>
      </c>
      <c r="B1417">
        <v>341980657</v>
      </c>
      <c r="C1417" t="s">
        <v>568</v>
      </c>
      <c r="D1417" t="s">
        <v>15</v>
      </c>
      <c r="E1417" s="2">
        <v>3000</v>
      </c>
      <c r="F1417" s="2">
        <v>3000</v>
      </c>
      <c r="G1417" s="2">
        <v>2100</v>
      </c>
      <c r="I1417" t="s">
        <v>569</v>
      </c>
      <c r="J1417" t="s">
        <v>23</v>
      </c>
      <c r="K1417" t="s">
        <v>18</v>
      </c>
      <c r="L1417" t="str">
        <f>T("9791136964823")</f>
        <v>9791136964823</v>
      </c>
      <c r="M1417" t="str">
        <f t="shared" si="33"/>
        <v/>
      </c>
      <c r="N1417">
        <v>924124</v>
      </c>
    </row>
    <row r="1418" spans="1:14" x14ac:dyDescent="0.3">
      <c r="A1418" s="1">
        <v>46075.764201388891</v>
      </c>
      <c r="B1418">
        <v>379386288</v>
      </c>
      <c r="C1418" t="s">
        <v>370</v>
      </c>
      <c r="D1418" t="s">
        <v>15</v>
      </c>
      <c r="E1418" s="2">
        <v>14100</v>
      </c>
      <c r="F1418" s="2">
        <v>14100</v>
      </c>
      <c r="G1418" s="2">
        <v>9870</v>
      </c>
      <c r="I1418" t="s">
        <v>102</v>
      </c>
      <c r="J1418" t="s">
        <v>23</v>
      </c>
      <c r="K1418" t="s">
        <v>18</v>
      </c>
      <c r="L1418" t="str">
        <f>T("9791175307438")</f>
        <v>9791175307438</v>
      </c>
      <c r="M1418" t="str">
        <f t="shared" si="33"/>
        <v/>
      </c>
    </row>
    <row r="1419" spans="1:14" x14ac:dyDescent="0.3">
      <c r="A1419" s="1">
        <v>46075.776828703703</v>
      </c>
      <c r="B1419">
        <v>379386288</v>
      </c>
      <c r="C1419" t="s">
        <v>370</v>
      </c>
      <c r="D1419" t="s">
        <v>89</v>
      </c>
      <c r="E1419" s="2">
        <v>11280</v>
      </c>
      <c r="F1419" s="2">
        <v>11280</v>
      </c>
      <c r="G1419" s="2">
        <v>7896</v>
      </c>
      <c r="I1419" t="s">
        <v>102</v>
      </c>
      <c r="J1419" t="s">
        <v>23</v>
      </c>
      <c r="K1419" t="s">
        <v>18</v>
      </c>
      <c r="L1419" t="str">
        <f>T("9791175307438")</f>
        <v>9791175307438</v>
      </c>
      <c r="M1419" t="str">
        <f t="shared" si="33"/>
        <v/>
      </c>
    </row>
    <row r="1420" spans="1:14" x14ac:dyDescent="0.3">
      <c r="A1420" s="1">
        <v>46075.809027777781</v>
      </c>
      <c r="B1420">
        <v>379386288</v>
      </c>
      <c r="C1420" t="s">
        <v>370</v>
      </c>
      <c r="D1420" t="s">
        <v>89</v>
      </c>
      <c r="E1420" s="2">
        <v>11280</v>
      </c>
      <c r="F1420" s="2">
        <v>11280</v>
      </c>
      <c r="G1420" s="2">
        <v>7896</v>
      </c>
      <c r="I1420" t="s">
        <v>102</v>
      </c>
      <c r="J1420" t="s">
        <v>23</v>
      </c>
      <c r="K1420" t="s">
        <v>18</v>
      </c>
      <c r="L1420" t="str">
        <f>T("9791175307438")</f>
        <v>9791175307438</v>
      </c>
      <c r="M1420" t="str">
        <f t="shared" si="33"/>
        <v/>
      </c>
    </row>
    <row r="1421" spans="1:14" x14ac:dyDescent="0.3">
      <c r="A1421" s="1">
        <v>46075.816412037035</v>
      </c>
      <c r="B1421">
        <v>366170260</v>
      </c>
      <c r="C1421" t="s">
        <v>201</v>
      </c>
      <c r="D1421" t="s">
        <v>89</v>
      </c>
      <c r="E1421" s="2">
        <v>9240</v>
      </c>
      <c r="F1421" s="2">
        <v>9240</v>
      </c>
      <c r="G1421" s="2">
        <v>6468</v>
      </c>
      <c r="I1421" t="s">
        <v>34</v>
      </c>
      <c r="J1421" t="s">
        <v>23</v>
      </c>
      <c r="K1421" t="s">
        <v>18</v>
      </c>
      <c r="L1421" t="str">
        <f>T("9791173784552")</f>
        <v>9791173784552</v>
      </c>
      <c r="M1421" t="str">
        <f t="shared" si="33"/>
        <v/>
      </c>
    </row>
    <row r="1422" spans="1:14" x14ac:dyDescent="0.3">
      <c r="A1422" s="1">
        <v>46075.870844907404</v>
      </c>
      <c r="B1422">
        <v>354315964</v>
      </c>
      <c r="C1422" t="s">
        <v>509</v>
      </c>
      <c r="D1422" t="s">
        <v>89</v>
      </c>
      <c r="E1422" s="2">
        <v>4200</v>
      </c>
      <c r="F1422" s="2">
        <v>4200</v>
      </c>
      <c r="G1422" s="2">
        <v>2940</v>
      </c>
      <c r="I1422" t="s">
        <v>96</v>
      </c>
      <c r="J1422" t="s">
        <v>70</v>
      </c>
      <c r="K1422" t="s">
        <v>18</v>
      </c>
      <c r="L1422" t="str">
        <f>T("9791172923563")</f>
        <v>9791172923563</v>
      </c>
      <c r="M1422" t="str">
        <f t="shared" si="33"/>
        <v/>
      </c>
    </row>
    <row r="1423" spans="1:14" x14ac:dyDescent="0.3">
      <c r="A1423" s="1">
        <v>46075.920115740744</v>
      </c>
      <c r="B1423">
        <v>385831063</v>
      </c>
      <c r="C1423" t="s">
        <v>343</v>
      </c>
      <c r="D1423" t="s">
        <v>15</v>
      </c>
      <c r="E1423" s="2">
        <v>12000</v>
      </c>
      <c r="F1423" s="2">
        <v>10800</v>
      </c>
      <c r="G1423" s="2">
        <v>7560</v>
      </c>
      <c r="I1423" t="s">
        <v>344</v>
      </c>
      <c r="J1423" t="s">
        <v>23</v>
      </c>
      <c r="K1423" t="s">
        <v>18</v>
      </c>
      <c r="L1423" t="str">
        <f>T("9791175309456")</f>
        <v>9791175309456</v>
      </c>
      <c r="M1423" t="str">
        <f t="shared" si="33"/>
        <v/>
      </c>
    </row>
    <row r="1424" spans="1:14" x14ac:dyDescent="0.3">
      <c r="A1424" s="1">
        <v>46075.935277777775</v>
      </c>
      <c r="B1424">
        <v>365656363</v>
      </c>
      <c r="C1424" t="s">
        <v>460</v>
      </c>
      <c r="D1424" t="s">
        <v>15</v>
      </c>
      <c r="E1424" s="2">
        <v>3600</v>
      </c>
      <c r="F1424" s="2">
        <v>3600</v>
      </c>
      <c r="G1424" s="2">
        <v>2520</v>
      </c>
      <c r="I1424" t="s">
        <v>240</v>
      </c>
      <c r="J1424" t="s">
        <v>49</v>
      </c>
      <c r="K1424" t="s">
        <v>18</v>
      </c>
      <c r="L1424" t="str">
        <f>T("9791173783647")</f>
        <v>9791173783647</v>
      </c>
      <c r="M1424" t="str">
        <f t="shared" si="33"/>
        <v/>
      </c>
      <c r="N1424">
        <v>948519</v>
      </c>
    </row>
    <row r="1425" spans="1:14" x14ac:dyDescent="0.3">
      <c r="A1425" s="1">
        <v>46075.935578703706</v>
      </c>
      <c r="B1425">
        <v>357993456</v>
      </c>
      <c r="C1425" t="s">
        <v>438</v>
      </c>
      <c r="D1425" t="s">
        <v>89</v>
      </c>
      <c r="E1425" s="2">
        <v>5700</v>
      </c>
      <c r="F1425" s="2">
        <v>5700</v>
      </c>
      <c r="G1425" s="2">
        <v>3990</v>
      </c>
      <c r="I1425" t="s">
        <v>96</v>
      </c>
      <c r="J1425" t="s">
        <v>23</v>
      </c>
      <c r="K1425" t="s">
        <v>18</v>
      </c>
      <c r="L1425" t="str">
        <f>T("9791172928094")</f>
        <v>9791172928094</v>
      </c>
      <c r="M1425" t="str">
        <f t="shared" si="33"/>
        <v/>
      </c>
    </row>
    <row r="1426" spans="1:14" x14ac:dyDescent="0.3">
      <c r="A1426" s="1">
        <v>46075.944155092591</v>
      </c>
      <c r="B1426">
        <v>365656697</v>
      </c>
      <c r="C1426" t="s">
        <v>239</v>
      </c>
      <c r="D1426" t="s">
        <v>89</v>
      </c>
      <c r="E1426" s="2">
        <v>5760</v>
      </c>
      <c r="F1426" s="2">
        <v>5760</v>
      </c>
      <c r="G1426" s="2">
        <v>4032</v>
      </c>
      <c r="I1426" t="s">
        <v>240</v>
      </c>
      <c r="J1426" t="s">
        <v>49</v>
      </c>
      <c r="K1426" t="s">
        <v>18</v>
      </c>
      <c r="L1426" t="str">
        <f>T("9791173783630")</f>
        <v>9791173783630</v>
      </c>
      <c r="M1426" t="str">
        <f t="shared" si="33"/>
        <v/>
      </c>
    </row>
    <row r="1427" spans="1:14" x14ac:dyDescent="0.3">
      <c r="A1427" s="1">
        <v>46075.961550925924</v>
      </c>
      <c r="B1427">
        <v>361759394</v>
      </c>
      <c r="C1427" t="s">
        <v>434</v>
      </c>
      <c r="D1427" t="s">
        <v>15</v>
      </c>
      <c r="E1427" s="2">
        <v>5000</v>
      </c>
      <c r="F1427" s="2">
        <v>5000</v>
      </c>
      <c r="G1427" s="2">
        <v>3500</v>
      </c>
      <c r="I1427" t="s">
        <v>198</v>
      </c>
      <c r="J1427" t="s">
        <v>49</v>
      </c>
      <c r="K1427" t="s">
        <v>18</v>
      </c>
      <c r="L1427" t="str">
        <f>T("9791173783272")</f>
        <v>9791173783272</v>
      </c>
      <c r="M1427" t="str">
        <f t="shared" si="33"/>
        <v/>
      </c>
      <c r="N1427">
        <v>947663</v>
      </c>
    </row>
    <row r="1428" spans="1:14" x14ac:dyDescent="0.3">
      <c r="A1428" s="1">
        <v>46075.966307870367</v>
      </c>
      <c r="B1428">
        <v>365656697</v>
      </c>
      <c r="C1428" t="s">
        <v>239</v>
      </c>
      <c r="D1428" t="s">
        <v>89</v>
      </c>
      <c r="E1428" s="2">
        <v>5760</v>
      </c>
      <c r="F1428" s="2">
        <v>5760</v>
      </c>
      <c r="G1428" s="2">
        <v>4032</v>
      </c>
      <c r="I1428" t="s">
        <v>240</v>
      </c>
      <c r="J1428" t="s">
        <v>49</v>
      </c>
      <c r="K1428" t="s">
        <v>18</v>
      </c>
      <c r="L1428" t="str">
        <f>T("9791173783630")</f>
        <v>9791173783630</v>
      </c>
      <c r="M1428" t="str">
        <f t="shared" si="33"/>
        <v/>
      </c>
    </row>
    <row r="1429" spans="1:14" x14ac:dyDescent="0.3">
      <c r="A1429" s="1">
        <v>46077.001388888886</v>
      </c>
      <c r="B1429">
        <v>374949675</v>
      </c>
      <c r="C1429" t="s">
        <v>394</v>
      </c>
      <c r="D1429" t="s">
        <v>89</v>
      </c>
      <c r="E1429" s="2">
        <v>-8750</v>
      </c>
      <c r="F1429" s="2">
        <v>-8750</v>
      </c>
      <c r="G1429" s="2">
        <v>-6125</v>
      </c>
      <c r="H1429" s="1">
        <v>46076.010428240741</v>
      </c>
      <c r="I1429" t="s">
        <v>251</v>
      </c>
      <c r="J1429" t="s">
        <v>23</v>
      </c>
      <c r="K1429" t="s">
        <v>18</v>
      </c>
      <c r="L1429" t="str">
        <f>T("9791175307476")</f>
        <v>9791175307476</v>
      </c>
      <c r="M1429" t="str">
        <f t="shared" si="33"/>
        <v/>
      </c>
    </row>
    <row r="1430" spans="1:14" x14ac:dyDescent="0.3">
      <c r="A1430" s="1">
        <v>46076.010428240741</v>
      </c>
      <c r="B1430">
        <v>374949675</v>
      </c>
      <c r="C1430" t="s">
        <v>394</v>
      </c>
      <c r="D1430" t="s">
        <v>89</v>
      </c>
      <c r="E1430" s="2">
        <v>8750</v>
      </c>
      <c r="F1430" s="2">
        <v>8750</v>
      </c>
      <c r="G1430" s="2">
        <v>6125</v>
      </c>
      <c r="I1430" t="s">
        <v>251</v>
      </c>
      <c r="J1430" t="s">
        <v>23</v>
      </c>
      <c r="K1430" t="s">
        <v>18</v>
      </c>
      <c r="L1430" t="str">
        <f>T("9791175307476")</f>
        <v>9791175307476</v>
      </c>
      <c r="M1430" t="str">
        <f t="shared" si="33"/>
        <v/>
      </c>
    </row>
    <row r="1431" spans="1:14" x14ac:dyDescent="0.3">
      <c r="A1431" s="1">
        <v>46076.039826388886</v>
      </c>
      <c r="B1431">
        <v>365656697</v>
      </c>
      <c r="C1431" t="s">
        <v>239</v>
      </c>
      <c r="D1431" t="s">
        <v>89</v>
      </c>
      <c r="E1431" s="2">
        <v>5760</v>
      </c>
      <c r="F1431" s="2">
        <v>5760</v>
      </c>
      <c r="G1431" s="2">
        <v>4032</v>
      </c>
      <c r="I1431" t="s">
        <v>240</v>
      </c>
      <c r="J1431" t="s">
        <v>49</v>
      </c>
      <c r="K1431" t="s">
        <v>18</v>
      </c>
      <c r="L1431" t="str">
        <f>T("9791173783630")</f>
        <v>9791173783630</v>
      </c>
      <c r="M1431" t="str">
        <f t="shared" si="33"/>
        <v/>
      </c>
    </row>
    <row r="1432" spans="1:14" x14ac:dyDescent="0.3">
      <c r="A1432" s="1">
        <v>46076.056226851855</v>
      </c>
      <c r="B1432">
        <v>361759394</v>
      </c>
      <c r="C1432" t="s">
        <v>434</v>
      </c>
      <c r="D1432" t="s">
        <v>15</v>
      </c>
      <c r="E1432" s="2">
        <v>5000</v>
      </c>
      <c r="F1432" s="2">
        <v>5000</v>
      </c>
      <c r="G1432" s="2">
        <v>3500</v>
      </c>
      <c r="I1432" t="s">
        <v>198</v>
      </c>
      <c r="J1432" t="s">
        <v>49</v>
      </c>
      <c r="K1432" t="s">
        <v>18</v>
      </c>
      <c r="L1432" t="str">
        <f>T("9791173783272")</f>
        <v>9791173783272</v>
      </c>
      <c r="M1432" t="str">
        <f t="shared" si="33"/>
        <v/>
      </c>
      <c r="N1432">
        <v>947663</v>
      </c>
    </row>
    <row r="1433" spans="1:14" x14ac:dyDescent="0.3">
      <c r="A1433" s="1">
        <v>46076.170636574076</v>
      </c>
      <c r="B1433">
        <v>379386288</v>
      </c>
      <c r="C1433" t="s">
        <v>370</v>
      </c>
      <c r="D1433" t="s">
        <v>89</v>
      </c>
      <c r="E1433" s="2">
        <v>11280</v>
      </c>
      <c r="F1433" s="2">
        <v>11280</v>
      </c>
      <c r="G1433" s="2">
        <v>7896</v>
      </c>
      <c r="I1433" t="s">
        <v>102</v>
      </c>
      <c r="J1433" t="s">
        <v>23</v>
      </c>
      <c r="K1433" t="s">
        <v>18</v>
      </c>
      <c r="L1433" t="str">
        <f>T("9791175307438")</f>
        <v>9791175307438</v>
      </c>
      <c r="M1433" t="str">
        <f t="shared" si="33"/>
        <v/>
      </c>
    </row>
    <row r="1434" spans="1:14" x14ac:dyDescent="0.3">
      <c r="A1434" s="1">
        <v>46076.207384259258</v>
      </c>
      <c r="B1434">
        <v>346154245</v>
      </c>
      <c r="C1434" t="s">
        <v>45</v>
      </c>
      <c r="D1434" t="s">
        <v>15</v>
      </c>
      <c r="E1434" s="2">
        <v>3300</v>
      </c>
      <c r="F1434" s="2">
        <v>3300</v>
      </c>
      <c r="G1434" s="2">
        <v>2310</v>
      </c>
      <c r="I1434" t="s">
        <v>32</v>
      </c>
      <c r="J1434" t="s">
        <v>23</v>
      </c>
      <c r="K1434" t="s">
        <v>18</v>
      </c>
      <c r="L1434" t="str">
        <f>T("9791136940728")</f>
        <v>9791136940728</v>
      </c>
      <c r="M1434" t="str">
        <f t="shared" si="33"/>
        <v/>
      </c>
      <c r="N1434">
        <v>928441</v>
      </c>
    </row>
    <row r="1435" spans="1:14" x14ac:dyDescent="0.3">
      <c r="A1435" s="1">
        <v>46076.267893518518</v>
      </c>
      <c r="B1435">
        <v>337299334</v>
      </c>
      <c r="C1435" t="s">
        <v>570</v>
      </c>
      <c r="D1435" t="s">
        <v>15</v>
      </c>
      <c r="E1435" s="2">
        <v>3900</v>
      </c>
      <c r="F1435" s="2">
        <v>3900</v>
      </c>
      <c r="G1435" s="2">
        <v>2730</v>
      </c>
      <c r="I1435" t="s">
        <v>377</v>
      </c>
      <c r="J1435" t="s">
        <v>23</v>
      </c>
      <c r="K1435" t="s">
        <v>18</v>
      </c>
      <c r="L1435" t="str">
        <f>T("9791136958105")</f>
        <v>9791136958105</v>
      </c>
      <c r="M1435" t="str">
        <f t="shared" si="33"/>
        <v/>
      </c>
      <c r="N1435">
        <v>921596</v>
      </c>
    </row>
    <row r="1436" spans="1:14" x14ac:dyDescent="0.3">
      <c r="A1436" s="1">
        <v>46076.322141203702</v>
      </c>
      <c r="B1436">
        <v>385804034</v>
      </c>
      <c r="C1436" t="s">
        <v>330</v>
      </c>
      <c r="D1436" t="s">
        <v>15</v>
      </c>
      <c r="E1436">
        <v>0</v>
      </c>
      <c r="F1436">
        <v>0</v>
      </c>
      <c r="G1436">
        <v>0</v>
      </c>
      <c r="I1436" t="s">
        <v>331</v>
      </c>
      <c r="J1436" t="s">
        <v>52</v>
      </c>
      <c r="K1436" t="s">
        <v>18</v>
      </c>
      <c r="L1436" t="str">
        <f>T("")</f>
        <v/>
      </c>
      <c r="M1436" t="str">
        <f>T("G720:N+A101-20260128080.M001")</f>
        <v>G720:N+A101-20260128080.M001</v>
      </c>
      <c r="N1436">
        <v>959682</v>
      </c>
    </row>
    <row r="1437" spans="1:14" x14ac:dyDescent="0.3">
      <c r="A1437" s="1">
        <v>46076.335810185185</v>
      </c>
      <c r="B1437">
        <v>366170260</v>
      </c>
      <c r="C1437" t="s">
        <v>201</v>
      </c>
      <c r="D1437" t="s">
        <v>89</v>
      </c>
      <c r="E1437" s="2">
        <v>9240</v>
      </c>
      <c r="F1437" s="2">
        <v>9240</v>
      </c>
      <c r="G1437" s="2">
        <v>6468</v>
      </c>
      <c r="I1437" t="s">
        <v>34</v>
      </c>
      <c r="J1437" t="s">
        <v>23</v>
      </c>
      <c r="K1437" t="s">
        <v>18</v>
      </c>
      <c r="L1437" t="str">
        <f>T("9791173784552")</f>
        <v>9791173784552</v>
      </c>
      <c r="M1437" t="str">
        <f t="shared" ref="M1437:M1500" si="34">T("")</f>
        <v/>
      </c>
    </row>
    <row r="1438" spans="1:14" x14ac:dyDescent="0.3">
      <c r="A1438" s="1">
        <v>46076.495486111111</v>
      </c>
      <c r="B1438">
        <v>375931208</v>
      </c>
      <c r="C1438" t="s">
        <v>571</v>
      </c>
      <c r="D1438" t="s">
        <v>15</v>
      </c>
      <c r="E1438" s="2">
        <v>32000</v>
      </c>
      <c r="F1438" s="2">
        <v>32000</v>
      </c>
      <c r="G1438" s="2">
        <v>22400</v>
      </c>
      <c r="I1438" t="s">
        <v>572</v>
      </c>
      <c r="J1438" t="s">
        <v>59</v>
      </c>
      <c r="K1438" t="s">
        <v>18</v>
      </c>
      <c r="L1438" t="str">
        <f>T("9791175306486")</f>
        <v>9791175306486</v>
      </c>
      <c r="M1438" t="str">
        <f t="shared" si="34"/>
        <v/>
      </c>
    </row>
    <row r="1439" spans="1:14" x14ac:dyDescent="0.3">
      <c r="A1439" s="1">
        <v>46076.538148148145</v>
      </c>
      <c r="B1439">
        <v>343844511</v>
      </c>
      <c r="C1439" t="s">
        <v>548</v>
      </c>
      <c r="D1439" t="s">
        <v>89</v>
      </c>
      <c r="E1439" s="2">
        <v>9240</v>
      </c>
      <c r="F1439" s="2">
        <v>9240</v>
      </c>
      <c r="G1439" s="2">
        <v>6468</v>
      </c>
      <c r="I1439" t="s">
        <v>377</v>
      </c>
      <c r="J1439" t="s">
        <v>23</v>
      </c>
      <c r="K1439" t="s">
        <v>18</v>
      </c>
      <c r="L1439" t="str">
        <f>T("9791136988034")</f>
        <v>9791136988034</v>
      </c>
      <c r="M1439" t="str">
        <f t="shared" si="34"/>
        <v/>
      </c>
    </row>
    <row r="1440" spans="1:14" x14ac:dyDescent="0.3">
      <c r="A1440" s="1">
        <v>46076.539733796293</v>
      </c>
      <c r="B1440">
        <v>295836422</v>
      </c>
      <c r="C1440" t="s">
        <v>573</v>
      </c>
      <c r="D1440" t="s">
        <v>15</v>
      </c>
      <c r="E1440">
        <v>0</v>
      </c>
      <c r="F1440">
        <v>0</v>
      </c>
      <c r="G1440">
        <v>0</v>
      </c>
      <c r="I1440" t="s">
        <v>574</v>
      </c>
      <c r="J1440" t="s">
        <v>59</v>
      </c>
      <c r="K1440" t="s">
        <v>18</v>
      </c>
      <c r="L1440" t="str">
        <f>T("9791136923752")</f>
        <v>9791136923752</v>
      </c>
      <c r="M1440" t="str">
        <f t="shared" si="34"/>
        <v/>
      </c>
      <c r="N1440">
        <v>880540</v>
      </c>
    </row>
    <row r="1441" spans="1:14" x14ac:dyDescent="0.3">
      <c r="A1441" s="1">
        <v>46076.541400462964</v>
      </c>
      <c r="B1441">
        <v>295836492</v>
      </c>
      <c r="C1441" t="s">
        <v>575</v>
      </c>
      <c r="D1441" t="s">
        <v>15</v>
      </c>
      <c r="E1441" s="2">
        <v>3200</v>
      </c>
      <c r="F1441" s="2">
        <v>3200</v>
      </c>
      <c r="G1441" s="2">
        <v>2240</v>
      </c>
      <c r="I1441" t="s">
        <v>574</v>
      </c>
      <c r="J1441" t="s">
        <v>59</v>
      </c>
      <c r="K1441" t="s">
        <v>18</v>
      </c>
      <c r="L1441" t="str">
        <f>T("9791136923783")</f>
        <v>9791136923783</v>
      </c>
      <c r="M1441" t="str">
        <f t="shared" si="34"/>
        <v/>
      </c>
      <c r="N1441">
        <v>880537</v>
      </c>
    </row>
    <row r="1442" spans="1:14" x14ac:dyDescent="0.3">
      <c r="A1442" s="1">
        <v>46076.541400462964</v>
      </c>
      <c r="B1442">
        <v>295836238</v>
      </c>
      <c r="C1442" t="s">
        <v>576</v>
      </c>
      <c r="D1442" t="s">
        <v>15</v>
      </c>
      <c r="E1442" s="2">
        <v>3200</v>
      </c>
      <c r="F1442" s="2">
        <v>3200</v>
      </c>
      <c r="G1442" s="2">
        <v>2240</v>
      </c>
      <c r="I1442" t="s">
        <v>574</v>
      </c>
      <c r="J1442" t="s">
        <v>59</v>
      </c>
      <c r="K1442" t="s">
        <v>18</v>
      </c>
      <c r="L1442" t="str">
        <f>T("9791136923790")</f>
        <v>9791136923790</v>
      </c>
      <c r="M1442" t="str">
        <f t="shared" si="34"/>
        <v/>
      </c>
      <c r="N1442">
        <v>880536</v>
      </c>
    </row>
    <row r="1443" spans="1:14" x14ac:dyDescent="0.3">
      <c r="A1443" s="1">
        <v>46076.543113425927</v>
      </c>
      <c r="B1443">
        <v>385831063</v>
      </c>
      <c r="C1443" t="s">
        <v>343</v>
      </c>
      <c r="D1443" t="s">
        <v>89</v>
      </c>
      <c r="E1443" s="2">
        <v>10800</v>
      </c>
      <c r="F1443" s="2">
        <v>10800</v>
      </c>
      <c r="G1443" s="2">
        <v>7560</v>
      </c>
      <c r="I1443" t="s">
        <v>344</v>
      </c>
      <c r="J1443" t="s">
        <v>23</v>
      </c>
      <c r="K1443" t="s">
        <v>18</v>
      </c>
      <c r="L1443" t="str">
        <f>T("9791175309456")</f>
        <v>9791175309456</v>
      </c>
      <c r="M1443" t="str">
        <f t="shared" si="34"/>
        <v/>
      </c>
    </row>
    <row r="1444" spans="1:14" x14ac:dyDescent="0.3">
      <c r="A1444" s="1">
        <v>46076.551493055558</v>
      </c>
      <c r="B1444">
        <v>379386288</v>
      </c>
      <c r="C1444" t="s">
        <v>370</v>
      </c>
      <c r="D1444" t="s">
        <v>89</v>
      </c>
      <c r="E1444" s="2">
        <v>11280</v>
      </c>
      <c r="F1444" s="2">
        <v>11280</v>
      </c>
      <c r="G1444" s="2">
        <v>7896</v>
      </c>
      <c r="I1444" t="s">
        <v>102</v>
      </c>
      <c r="J1444" t="s">
        <v>23</v>
      </c>
      <c r="K1444" t="s">
        <v>18</v>
      </c>
      <c r="L1444" t="str">
        <f>T("9791175307438")</f>
        <v>9791175307438</v>
      </c>
      <c r="M1444" t="str">
        <f t="shared" si="34"/>
        <v/>
      </c>
    </row>
    <row r="1445" spans="1:14" x14ac:dyDescent="0.3">
      <c r="A1445" s="1">
        <v>46076.59878472222</v>
      </c>
      <c r="B1445">
        <v>354315964</v>
      </c>
      <c r="C1445" t="s">
        <v>509</v>
      </c>
      <c r="D1445" t="s">
        <v>89</v>
      </c>
      <c r="E1445" s="2">
        <v>4200</v>
      </c>
      <c r="F1445" s="2">
        <v>4200</v>
      </c>
      <c r="G1445" s="2">
        <v>2940</v>
      </c>
      <c r="I1445" t="s">
        <v>96</v>
      </c>
      <c r="J1445" t="s">
        <v>70</v>
      </c>
      <c r="K1445" t="s">
        <v>18</v>
      </c>
      <c r="L1445" t="str">
        <f>T("9791172923563")</f>
        <v>9791172923563</v>
      </c>
      <c r="M1445" t="str">
        <f t="shared" si="34"/>
        <v/>
      </c>
    </row>
    <row r="1446" spans="1:14" x14ac:dyDescent="0.3">
      <c r="A1446" s="1">
        <v>46076.59878472222</v>
      </c>
      <c r="B1446">
        <v>372251180</v>
      </c>
      <c r="C1446" t="s">
        <v>418</v>
      </c>
      <c r="D1446" t="s">
        <v>89</v>
      </c>
      <c r="E1446" s="2">
        <v>6300</v>
      </c>
      <c r="F1446" s="2">
        <v>6300</v>
      </c>
      <c r="G1446" s="2">
        <v>4410</v>
      </c>
      <c r="I1446" t="s">
        <v>135</v>
      </c>
      <c r="J1446" t="s">
        <v>23</v>
      </c>
      <c r="K1446" t="s">
        <v>18</v>
      </c>
      <c r="L1446" t="str">
        <f>T("9791175300422")</f>
        <v>9791175300422</v>
      </c>
      <c r="M1446" t="str">
        <f t="shared" si="34"/>
        <v/>
      </c>
    </row>
    <row r="1447" spans="1:14" x14ac:dyDescent="0.3">
      <c r="A1447" s="1">
        <v>46076.602766203701</v>
      </c>
      <c r="B1447">
        <v>381539774</v>
      </c>
      <c r="C1447" t="s">
        <v>577</v>
      </c>
      <c r="D1447" t="s">
        <v>15</v>
      </c>
      <c r="E1447" s="2">
        <v>3200</v>
      </c>
      <c r="F1447" s="2">
        <v>3200</v>
      </c>
      <c r="G1447" s="2">
        <v>2240</v>
      </c>
      <c r="I1447" t="s">
        <v>193</v>
      </c>
      <c r="J1447" t="s">
        <v>59</v>
      </c>
      <c r="K1447" t="s">
        <v>18</v>
      </c>
      <c r="L1447" t="str">
        <f>T("9791172921828")</f>
        <v>9791172921828</v>
      </c>
      <c r="M1447" t="str">
        <f t="shared" si="34"/>
        <v/>
      </c>
      <c r="N1447">
        <v>929935</v>
      </c>
    </row>
    <row r="1448" spans="1:14" x14ac:dyDescent="0.3">
      <c r="A1448" s="1">
        <v>46076.602766203701</v>
      </c>
      <c r="B1448">
        <v>381539775</v>
      </c>
      <c r="C1448" t="s">
        <v>578</v>
      </c>
      <c r="D1448" t="s">
        <v>15</v>
      </c>
      <c r="E1448" s="2">
        <v>3200</v>
      </c>
      <c r="F1448" s="2">
        <v>3200</v>
      </c>
      <c r="G1448" s="2">
        <v>2240</v>
      </c>
      <c r="I1448" t="s">
        <v>193</v>
      </c>
      <c r="J1448" t="s">
        <v>59</v>
      </c>
      <c r="K1448" t="s">
        <v>18</v>
      </c>
      <c r="L1448" t="str">
        <f>T("9791172921811")</f>
        <v>9791172921811</v>
      </c>
      <c r="M1448" t="str">
        <f t="shared" si="34"/>
        <v/>
      </c>
      <c r="N1448">
        <v>929936</v>
      </c>
    </row>
    <row r="1449" spans="1:14" x14ac:dyDescent="0.3">
      <c r="A1449" s="1">
        <v>46076.62777777778</v>
      </c>
      <c r="B1449">
        <v>367919257</v>
      </c>
      <c r="C1449" t="s">
        <v>415</v>
      </c>
      <c r="D1449" t="s">
        <v>89</v>
      </c>
      <c r="E1449" s="2">
        <v>13860</v>
      </c>
      <c r="F1449" s="2">
        <v>13860</v>
      </c>
      <c r="G1449" s="2">
        <v>9702</v>
      </c>
      <c r="I1449" t="s">
        <v>416</v>
      </c>
      <c r="J1449" t="s">
        <v>23</v>
      </c>
      <c r="K1449" t="s">
        <v>18</v>
      </c>
      <c r="L1449" t="str">
        <f>T("9791173786471")</f>
        <v>9791173786471</v>
      </c>
      <c r="M1449" t="str">
        <f t="shared" si="34"/>
        <v/>
      </c>
    </row>
    <row r="1450" spans="1:14" x14ac:dyDescent="0.3">
      <c r="A1450" s="1">
        <v>46076.62777777778</v>
      </c>
      <c r="B1450">
        <v>379386288</v>
      </c>
      <c r="C1450" t="s">
        <v>370</v>
      </c>
      <c r="D1450" t="s">
        <v>89</v>
      </c>
      <c r="E1450" s="2">
        <v>11280</v>
      </c>
      <c r="F1450" s="2">
        <v>11280</v>
      </c>
      <c r="G1450" s="2">
        <v>7896</v>
      </c>
      <c r="I1450" t="s">
        <v>102</v>
      </c>
      <c r="J1450" t="s">
        <v>23</v>
      </c>
      <c r="K1450" t="s">
        <v>18</v>
      </c>
      <c r="L1450" t="str">
        <f>T("9791175307438")</f>
        <v>9791175307438</v>
      </c>
      <c r="M1450" t="str">
        <f t="shared" si="34"/>
        <v/>
      </c>
    </row>
    <row r="1451" spans="1:14" x14ac:dyDescent="0.3">
      <c r="A1451" s="1">
        <v>46076.629212962966</v>
      </c>
      <c r="B1451">
        <v>385831063</v>
      </c>
      <c r="C1451" t="s">
        <v>343</v>
      </c>
      <c r="D1451" t="s">
        <v>89</v>
      </c>
      <c r="E1451" s="2">
        <v>10800</v>
      </c>
      <c r="F1451" s="2">
        <v>10800</v>
      </c>
      <c r="G1451" s="2">
        <v>7560</v>
      </c>
      <c r="I1451" t="s">
        <v>344</v>
      </c>
      <c r="J1451" t="s">
        <v>23</v>
      </c>
      <c r="K1451" t="s">
        <v>18</v>
      </c>
      <c r="L1451" t="str">
        <f>T("9791175309456")</f>
        <v>9791175309456</v>
      </c>
      <c r="M1451" t="str">
        <f t="shared" si="34"/>
        <v/>
      </c>
    </row>
    <row r="1452" spans="1:14" x14ac:dyDescent="0.3">
      <c r="A1452" s="1">
        <v>46076.664293981485</v>
      </c>
      <c r="B1452">
        <v>363738065</v>
      </c>
      <c r="C1452" t="s">
        <v>24</v>
      </c>
      <c r="D1452" t="s">
        <v>15</v>
      </c>
      <c r="E1452" s="2">
        <v>10800</v>
      </c>
      <c r="F1452" s="2">
        <v>10800</v>
      </c>
      <c r="G1452" s="2">
        <v>7560</v>
      </c>
      <c r="I1452" t="s">
        <v>25</v>
      </c>
      <c r="J1452" t="s">
        <v>23</v>
      </c>
      <c r="K1452" t="s">
        <v>18</v>
      </c>
      <c r="L1452" t="str">
        <f>T("9791173783708")</f>
        <v>9791173783708</v>
      </c>
      <c r="M1452" t="str">
        <f t="shared" si="34"/>
        <v/>
      </c>
    </row>
    <row r="1453" spans="1:14" x14ac:dyDescent="0.3">
      <c r="A1453" s="1">
        <v>46076.686805555553</v>
      </c>
      <c r="B1453">
        <v>372251180</v>
      </c>
      <c r="C1453" t="s">
        <v>418</v>
      </c>
      <c r="D1453" t="s">
        <v>89</v>
      </c>
      <c r="E1453" s="2">
        <v>6300</v>
      </c>
      <c r="F1453" s="2">
        <v>6300</v>
      </c>
      <c r="G1453" s="2">
        <v>4410</v>
      </c>
      <c r="I1453" t="s">
        <v>135</v>
      </c>
      <c r="J1453" t="s">
        <v>23</v>
      </c>
      <c r="K1453" t="s">
        <v>18</v>
      </c>
      <c r="L1453" t="str">
        <f>T("9791175300422")</f>
        <v>9791175300422</v>
      </c>
      <c r="M1453" t="str">
        <f t="shared" si="34"/>
        <v/>
      </c>
    </row>
    <row r="1454" spans="1:14" x14ac:dyDescent="0.3">
      <c r="A1454" s="1">
        <v>46076.687962962962</v>
      </c>
      <c r="B1454">
        <v>385831063</v>
      </c>
      <c r="C1454" t="s">
        <v>343</v>
      </c>
      <c r="D1454" t="s">
        <v>89</v>
      </c>
      <c r="E1454" s="2">
        <v>10800</v>
      </c>
      <c r="F1454" s="2">
        <v>10800</v>
      </c>
      <c r="G1454" s="2">
        <v>7560</v>
      </c>
      <c r="I1454" t="s">
        <v>344</v>
      </c>
      <c r="J1454" t="s">
        <v>23</v>
      </c>
      <c r="K1454" t="s">
        <v>18</v>
      </c>
      <c r="L1454" t="str">
        <f>T("9791175309456")</f>
        <v>9791175309456</v>
      </c>
      <c r="M1454" t="str">
        <f t="shared" si="34"/>
        <v/>
      </c>
    </row>
    <row r="1455" spans="1:14" x14ac:dyDescent="0.3">
      <c r="A1455" s="1">
        <v>46076.708113425928</v>
      </c>
      <c r="B1455">
        <v>366170260</v>
      </c>
      <c r="C1455" t="s">
        <v>201</v>
      </c>
      <c r="D1455" t="s">
        <v>89</v>
      </c>
      <c r="E1455" s="2">
        <v>9240</v>
      </c>
      <c r="F1455" s="2">
        <v>9240</v>
      </c>
      <c r="G1455" s="2">
        <v>6468</v>
      </c>
      <c r="I1455" t="s">
        <v>34</v>
      </c>
      <c r="J1455" t="s">
        <v>23</v>
      </c>
      <c r="K1455" t="s">
        <v>18</v>
      </c>
      <c r="L1455" t="str">
        <f>T("9791173784552")</f>
        <v>9791173784552</v>
      </c>
      <c r="M1455" t="str">
        <f t="shared" si="34"/>
        <v/>
      </c>
    </row>
    <row r="1456" spans="1:14" x14ac:dyDescent="0.3">
      <c r="A1456" s="1">
        <v>46076.718402777777</v>
      </c>
      <c r="B1456">
        <v>386937104</v>
      </c>
      <c r="C1456" t="s">
        <v>579</v>
      </c>
      <c r="D1456" t="s">
        <v>89</v>
      </c>
      <c r="E1456" s="2">
        <v>8640</v>
      </c>
      <c r="F1456" s="2">
        <v>8640</v>
      </c>
      <c r="G1456" s="2">
        <v>6048</v>
      </c>
      <c r="I1456" t="s">
        <v>580</v>
      </c>
      <c r="J1456" t="s">
        <v>23</v>
      </c>
      <c r="K1456" t="s">
        <v>18</v>
      </c>
      <c r="L1456" t="str">
        <f>T("9791175309401")</f>
        <v>9791175309401</v>
      </c>
      <c r="M1456" t="str">
        <f t="shared" si="34"/>
        <v/>
      </c>
    </row>
    <row r="1457" spans="1:14" x14ac:dyDescent="0.3">
      <c r="A1457" s="1">
        <v>46076.756898148145</v>
      </c>
      <c r="B1457">
        <v>359779074</v>
      </c>
      <c r="C1457" t="s">
        <v>385</v>
      </c>
      <c r="D1457" t="s">
        <v>89</v>
      </c>
      <c r="E1457" s="2">
        <v>12040</v>
      </c>
      <c r="F1457" s="2">
        <v>12040</v>
      </c>
      <c r="G1457" s="2">
        <v>8428</v>
      </c>
      <c r="I1457" t="s">
        <v>99</v>
      </c>
      <c r="J1457" t="s">
        <v>23</v>
      </c>
      <c r="K1457" t="s">
        <v>18</v>
      </c>
      <c r="L1457" t="str">
        <f>T("9791194664475")</f>
        <v>9791194664475</v>
      </c>
      <c r="M1457" t="str">
        <f t="shared" si="34"/>
        <v/>
      </c>
    </row>
    <row r="1458" spans="1:14" x14ac:dyDescent="0.3">
      <c r="A1458" s="1">
        <v>46076.766736111109</v>
      </c>
      <c r="B1458">
        <v>386937104</v>
      </c>
      <c r="C1458" t="s">
        <v>579</v>
      </c>
      <c r="D1458" t="s">
        <v>89</v>
      </c>
      <c r="E1458" s="2">
        <v>-8640</v>
      </c>
      <c r="F1458" s="2">
        <v>-8640</v>
      </c>
      <c r="G1458" s="2">
        <v>-6048</v>
      </c>
      <c r="H1458" s="1">
        <v>46076.766643518517</v>
      </c>
      <c r="I1458" t="s">
        <v>580</v>
      </c>
      <c r="J1458" t="s">
        <v>23</v>
      </c>
      <c r="K1458" t="s">
        <v>18</v>
      </c>
      <c r="L1458" t="str">
        <f>T("9791175309401")</f>
        <v>9791175309401</v>
      </c>
      <c r="M1458" t="str">
        <f t="shared" si="34"/>
        <v/>
      </c>
    </row>
    <row r="1459" spans="1:14" x14ac:dyDescent="0.3">
      <c r="A1459" s="1">
        <v>46076.766643518517</v>
      </c>
      <c r="B1459">
        <v>386937104</v>
      </c>
      <c r="C1459" t="s">
        <v>579</v>
      </c>
      <c r="D1459" t="s">
        <v>89</v>
      </c>
      <c r="E1459" s="2">
        <v>8640</v>
      </c>
      <c r="F1459" s="2">
        <v>8640</v>
      </c>
      <c r="G1459" s="2">
        <v>6048</v>
      </c>
      <c r="I1459" t="s">
        <v>580</v>
      </c>
      <c r="J1459" t="s">
        <v>23</v>
      </c>
      <c r="K1459" t="s">
        <v>18</v>
      </c>
      <c r="L1459" t="str">
        <f>T("9791175309401")</f>
        <v>9791175309401</v>
      </c>
      <c r="M1459" t="str">
        <f t="shared" si="34"/>
        <v/>
      </c>
    </row>
    <row r="1460" spans="1:14" x14ac:dyDescent="0.3">
      <c r="A1460" s="1">
        <v>46076.767916666664</v>
      </c>
      <c r="B1460">
        <v>386937104</v>
      </c>
      <c r="C1460" t="s">
        <v>579</v>
      </c>
      <c r="D1460" t="s">
        <v>89</v>
      </c>
      <c r="E1460" s="2">
        <v>8640</v>
      </c>
      <c r="F1460" s="2">
        <v>8640</v>
      </c>
      <c r="G1460" s="2">
        <v>6048</v>
      </c>
      <c r="I1460" t="s">
        <v>580</v>
      </c>
      <c r="J1460" t="s">
        <v>23</v>
      </c>
      <c r="K1460" t="s">
        <v>18</v>
      </c>
      <c r="L1460" t="str">
        <f>T("9791175309401")</f>
        <v>9791175309401</v>
      </c>
      <c r="M1460" t="str">
        <f t="shared" si="34"/>
        <v/>
      </c>
    </row>
    <row r="1461" spans="1:14" x14ac:dyDescent="0.3">
      <c r="A1461" s="1">
        <v>46076.771886574075</v>
      </c>
      <c r="B1461">
        <v>386937104</v>
      </c>
      <c r="C1461" t="s">
        <v>579</v>
      </c>
      <c r="D1461" t="s">
        <v>89</v>
      </c>
      <c r="E1461" s="2">
        <v>8640</v>
      </c>
      <c r="F1461" s="2">
        <v>8640</v>
      </c>
      <c r="G1461" s="2">
        <v>6048</v>
      </c>
      <c r="I1461" t="s">
        <v>580</v>
      </c>
      <c r="J1461" t="s">
        <v>23</v>
      </c>
      <c r="K1461" t="s">
        <v>18</v>
      </c>
      <c r="L1461" t="str">
        <f>T("9791175309401")</f>
        <v>9791175309401</v>
      </c>
      <c r="M1461" t="str">
        <f t="shared" si="34"/>
        <v/>
      </c>
    </row>
    <row r="1462" spans="1:14" x14ac:dyDescent="0.3">
      <c r="A1462" s="1">
        <v>46076.772152777776</v>
      </c>
      <c r="B1462">
        <v>385636071</v>
      </c>
      <c r="C1462" t="s">
        <v>289</v>
      </c>
      <c r="D1462" t="s">
        <v>15</v>
      </c>
      <c r="E1462" s="2">
        <v>3500</v>
      </c>
      <c r="F1462" s="2">
        <v>3150</v>
      </c>
      <c r="G1462" s="2">
        <v>2205</v>
      </c>
      <c r="I1462" t="s">
        <v>246</v>
      </c>
      <c r="J1462" t="s">
        <v>23</v>
      </c>
      <c r="K1462" t="s">
        <v>18</v>
      </c>
      <c r="L1462" t="str">
        <f>T("9791175309524")</f>
        <v>9791175309524</v>
      </c>
      <c r="M1462" t="str">
        <f t="shared" si="34"/>
        <v/>
      </c>
      <c r="N1462">
        <v>958042</v>
      </c>
    </row>
    <row r="1463" spans="1:14" x14ac:dyDescent="0.3">
      <c r="A1463" s="1">
        <v>46076.773009259261</v>
      </c>
      <c r="B1463">
        <v>346154638</v>
      </c>
      <c r="C1463" t="s">
        <v>43</v>
      </c>
      <c r="D1463" t="s">
        <v>15</v>
      </c>
      <c r="E1463" s="2">
        <v>3300</v>
      </c>
      <c r="F1463" s="2">
        <v>3300</v>
      </c>
      <c r="G1463" s="2">
        <v>2310</v>
      </c>
      <c r="I1463" t="s">
        <v>32</v>
      </c>
      <c r="J1463" t="s">
        <v>23</v>
      </c>
      <c r="K1463" t="s">
        <v>18</v>
      </c>
      <c r="L1463" t="str">
        <f>T("9791136927255")</f>
        <v>9791136927255</v>
      </c>
      <c r="M1463" t="str">
        <f t="shared" si="34"/>
        <v/>
      </c>
      <c r="N1463">
        <v>928444</v>
      </c>
    </row>
    <row r="1464" spans="1:14" x14ac:dyDescent="0.3">
      <c r="A1464" s="1">
        <v>46076.81832175926</v>
      </c>
      <c r="B1464">
        <v>295836239</v>
      </c>
      <c r="C1464" t="s">
        <v>581</v>
      </c>
      <c r="D1464" t="s">
        <v>15</v>
      </c>
      <c r="E1464" s="2">
        <v>3200</v>
      </c>
      <c r="F1464" s="2">
        <v>3200</v>
      </c>
      <c r="G1464" s="2">
        <v>2240</v>
      </c>
      <c r="I1464" t="s">
        <v>574</v>
      </c>
      <c r="J1464" t="s">
        <v>59</v>
      </c>
      <c r="K1464" t="s">
        <v>18</v>
      </c>
      <c r="L1464" t="str">
        <f>T("9791136923813")</f>
        <v>9791136923813</v>
      </c>
      <c r="M1464" t="str">
        <f t="shared" si="34"/>
        <v/>
      </c>
      <c r="N1464">
        <v>880534</v>
      </c>
    </row>
    <row r="1465" spans="1:14" x14ac:dyDescent="0.3">
      <c r="A1465" s="1">
        <v>46076.81832175926</v>
      </c>
      <c r="B1465">
        <v>295836241</v>
      </c>
      <c r="C1465" t="s">
        <v>582</v>
      </c>
      <c r="D1465" t="s">
        <v>15</v>
      </c>
      <c r="E1465" s="2">
        <v>3200</v>
      </c>
      <c r="F1465" s="2">
        <v>3200</v>
      </c>
      <c r="G1465" s="2">
        <v>2240</v>
      </c>
      <c r="I1465" t="s">
        <v>574</v>
      </c>
      <c r="J1465" t="s">
        <v>59</v>
      </c>
      <c r="K1465" t="s">
        <v>18</v>
      </c>
      <c r="L1465" t="str">
        <f>T("9791136923844")</f>
        <v>9791136923844</v>
      </c>
      <c r="M1465" t="str">
        <f t="shared" si="34"/>
        <v/>
      </c>
      <c r="N1465">
        <v>880531</v>
      </c>
    </row>
    <row r="1466" spans="1:14" x14ac:dyDescent="0.3">
      <c r="A1466" s="1">
        <v>46076.81832175926</v>
      </c>
      <c r="B1466">
        <v>295836375</v>
      </c>
      <c r="C1466" t="s">
        <v>583</v>
      </c>
      <c r="D1466" t="s">
        <v>15</v>
      </c>
      <c r="E1466" s="2">
        <v>3200</v>
      </c>
      <c r="F1466" s="2">
        <v>3200</v>
      </c>
      <c r="G1466" s="2">
        <v>2240</v>
      </c>
      <c r="I1466" t="s">
        <v>574</v>
      </c>
      <c r="J1466" t="s">
        <v>59</v>
      </c>
      <c r="K1466" t="s">
        <v>18</v>
      </c>
      <c r="L1466" t="str">
        <f>T("9791136923820")</f>
        <v>9791136923820</v>
      </c>
      <c r="M1466" t="str">
        <f t="shared" si="34"/>
        <v/>
      </c>
      <c r="N1466">
        <v>880533</v>
      </c>
    </row>
    <row r="1467" spans="1:14" x14ac:dyDescent="0.3">
      <c r="A1467" s="1">
        <v>46076.81832175926</v>
      </c>
      <c r="B1467">
        <v>295836493</v>
      </c>
      <c r="C1467" t="s">
        <v>584</v>
      </c>
      <c r="D1467" t="s">
        <v>15</v>
      </c>
      <c r="E1467" s="2">
        <v>3200</v>
      </c>
      <c r="F1467" s="2">
        <v>3200</v>
      </c>
      <c r="G1467" s="2">
        <v>2240</v>
      </c>
      <c r="I1467" t="s">
        <v>574</v>
      </c>
      <c r="J1467" t="s">
        <v>59</v>
      </c>
      <c r="K1467" t="s">
        <v>18</v>
      </c>
      <c r="L1467" t="str">
        <f>T("9791136923837")</f>
        <v>9791136923837</v>
      </c>
      <c r="M1467" t="str">
        <f t="shared" si="34"/>
        <v/>
      </c>
      <c r="N1467">
        <v>880532</v>
      </c>
    </row>
    <row r="1468" spans="1:14" x14ac:dyDescent="0.3">
      <c r="A1468" s="1">
        <v>46076.81832175926</v>
      </c>
      <c r="B1468">
        <v>295836423</v>
      </c>
      <c r="C1468" t="s">
        <v>585</v>
      </c>
      <c r="D1468" t="s">
        <v>15</v>
      </c>
      <c r="E1468" s="2">
        <v>3200</v>
      </c>
      <c r="F1468" s="2">
        <v>3200</v>
      </c>
      <c r="G1468" s="2">
        <v>2240</v>
      </c>
      <c r="I1468" t="s">
        <v>574</v>
      </c>
      <c r="J1468" t="s">
        <v>59</v>
      </c>
      <c r="K1468" t="s">
        <v>18</v>
      </c>
      <c r="L1468" t="str">
        <f>T("9791136923806")</f>
        <v>9791136923806</v>
      </c>
      <c r="M1468" t="str">
        <f t="shared" si="34"/>
        <v/>
      </c>
      <c r="N1468">
        <v>880535</v>
      </c>
    </row>
    <row r="1469" spans="1:14" x14ac:dyDescent="0.3">
      <c r="A1469" s="1">
        <v>46076.831608796296</v>
      </c>
      <c r="B1469">
        <v>385831063</v>
      </c>
      <c r="C1469" t="s">
        <v>343</v>
      </c>
      <c r="D1469" t="s">
        <v>89</v>
      </c>
      <c r="E1469" s="2">
        <v>10800</v>
      </c>
      <c r="F1469" s="2">
        <v>10800</v>
      </c>
      <c r="G1469" s="2">
        <v>7560</v>
      </c>
      <c r="I1469" t="s">
        <v>344</v>
      </c>
      <c r="J1469" t="s">
        <v>23</v>
      </c>
      <c r="K1469" t="s">
        <v>18</v>
      </c>
      <c r="L1469" t="str">
        <f>T("9791175309456")</f>
        <v>9791175309456</v>
      </c>
      <c r="M1469" t="str">
        <f t="shared" si="34"/>
        <v/>
      </c>
    </row>
    <row r="1470" spans="1:14" x14ac:dyDescent="0.3">
      <c r="A1470" s="1">
        <v>46076.868738425925</v>
      </c>
      <c r="B1470">
        <v>357993456</v>
      </c>
      <c r="C1470" t="s">
        <v>438</v>
      </c>
      <c r="D1470" t="s">
        <v>89</v>
      </c>
      <c r="E1470" s="2">
        <v>5700</v>
      </c>
      <c r="F1470" s="2">
        <v>5700</v>
      </c>
      <c r="G1470" s="2">
        <v>3990</v>
      </c>
      <c r="I1470" t="s">
        <v>96</v>
      </c>
      <c r="J1470" t="s">
        <v>23</v>
      </c>
      <c r="K1470" t="s">
        <v>18</v>
      </c>
      <c r="L1470" t="str">
        <f>T("9791172928094")</f>
        <v>9791172928094</v>
      </c>
      <c r="M1470" t="str">
        <f t="shared" si="34"/>
        <v/>
      </c>
    </row>
    <row r="1471" spans="1:14" x14ac:dyDescent="0.3">
      <c r="A1471" s="1">
        <v>46076.890069444446</v>
      </c>
      <c r="B1471">
        <v>386937104</v>
      </c>
      <c r="C1471" t="s">
        <v>579</v>
      </c>
      <c r="D1471" t="s">
        <v>89</v>
      </c>
      <c r="E1471" s="2">
        <v>8640</v>
      </c>
      <c r="F1471" s="2">
        <v>8640</v>
      </c>
      <c r="G1471" s="2">
        <v>6048</v>
      </c>
      <c r="I1471" t="s">
        <v>580</v>
      </c>
      <c r="J1471" t="s">
        <v>23</v>
      </c>
      <c r="K1471" t="s">
        <v>18</v>
      </c>
      <c r="L1471" t="str">
        <f>T("9791175309401")</f>
        <v>9791175309401</v>
      </c>
      <c r="M1471" t="str">
        <f t="shared" si="34"/>
        <v/>
      </c>
    </row>
    <row r="1472" spans="1:14" x14ac:dyDescent="0.3">
      <c r="A1472" s="1">
        <v>46076.910081018519</v>
      </c>
      <c r="B1472">
        <v>386937104</v>
      </c>
      <c r="C1472" t="s">
        <v>579</v>
      </c>
      <c r="D1472" t="s">
        <v>89</v>
      </c>
      <c r="E1472" s="2">
        <v>8640</v>
      </c>
      <c r="F1472" s="2">
        <v>8640</v>
      </c>
      <c r="G1472" s="2">
        <v>6048</v>
      </c>
      <c r="I1472" t="s">
        <v>580</v>
      </c>
      <c r="J1472" t="s">
        <v>23</v>
      </c>
      <c r="K1472" t="s">
        <v>18</v>
      </c>
      <c r="L1472" t="str">
        <f>T("9791175309401")</f>
        <v>9791175309401</v>
      </c>
      <c r="M1472" t="str">
        <f t="shared" si="34"/>
        <v/>
      </c>
    </row>
    <row r="1473" spans="1:14" x14ac:dyDescent="0.3">
      <c r="A1473" s="1">
        <v>46076.915752314817</v>
      </c>
      <c r="B1473">
        <v>372251180</v>
      </c>
      <c r="C1473" t="s">
        <v>418</v>
      </c>
      <c r="D1473" t="s">
        <v>89</v>
      </c>
      <c r="E1473" s="2">
        <v>6300</v>
      </c>
      <c r="F1473" s="2">
        <v>6300</v>
      </c>
      <c r="G1473" s="2">
        <v>4410</v>
      </c>
      <c r="I1473" t="s">
        <v>135</v>
      </c>
      <c r="J1473" t="s">
        <v>23</v>
      </c>
      <c r="K1473" t="s">
        <v>18</v>
      </c>
      <c r="L1473" t="str">
        <f>T("9791175300422")</f>
        <v>9791175300422</v>
      </c>
      <c r="M1473" t="str">
        <f t="shared" si="34"/>
        <v/>
      </c>
    </row>
    <row r="1474" spans="1:14" x14ac:dyDescent="0.3">
      <c r="A1474" s="1">
        <v>46076.927303240744</v>
      </c>
      <c r="B1474">
        <v>386937104</v>
      </c>
      <c r="C1474" t="s">
        <v>579</v>
      </c>
      <c r="D1474" t="s">
        <v>89</v>
      </c>
      <c r="E1474" s="2">
        <v>8640</v>
      </c>
      <c r="F1474" s="2">
        <v>8640</v>
      </c>
      <c r="G1474" s="2">
        <v>6048</v>
      </c>
      <c r="I1474" t="s">
        <v>580</v>
      </c>
      <c r="J1474" t="s">
        <v>23</v>
      </c>
      <c r="K1474" t="s">
        <v>18</v>
      </c>
      <c r="L1474" t="str">
        <f>T("9791175309401")</f>
        <v>9791175309401</v>
      </c>
      <c r="M1474" t="str">
        <f t="shared" si="34"/>
        <v/>
      </c>
    </row>
    <row r="1475" spans="1:14" x14ac:dyDescent="0.3">
      <c r="A1475" s="1">
        <v>46076.927372685182</v>
      </c>
      <c r="B1475">
        <v>378219287</v>
      </c>
      <c r="C1475" t="s">
        <v>202</v>
      </c>
      <c r="D1475" t="s">
        <v>89</v>
      </c>
      <c r="E1475" s="2">
        <v>8400</v>
      </c>
      <c r="F1475" s="2">
        <v>8400</v>
      </c>
      <c r="G1475" s="2">
        <v>5880</v>
      </c>
      <c r="I1475" t="s">
        <v>203</v>
      </c>
      <c r="J1475" t="s">
        <v>23</v>
      </c>
      <c r="K1475" t="s">
        <v>18</v>
      </c>
      <c r="L1475" t="str">
        <f>T("9791175302747")</f>
        <v>9791175302747</v>
      </c>
      <c r="M1475" t="str">
        <f t="shared" si="34"/>
        <v/>
      </c>
    </row>
    <row r="1476" spans="1:14" x14ac:dyDescent="0.3">
      <c r="A1476" s="1">
        <v>46076.930532407408</v>
      </c>
      <c r="B1476">
        <v>386937104</v>
      </c>
      <c r="C1476" t="s">
        <v>579</v>
      </c>
      <c r="D1476" t="s">
        <v>89</v>
      </c>
      <c r="E1476" s="2">
        <v>8640</v>
      </c>
      <c r="F1476" s="2">
        <v>8640</v>
      </c>
      <c r="G1476" s="2">
        <v>6048</v>
      </c>
      <c r="I1476" t="s">
        <v>580</v>
      </c>
      <c r="J1476" t="s">
        <v>23</v>
      </c>
      <c r="K1476" t="s">
        <v>18</v>
      </c>
      <c r="L1476" t="str">
        <f>T("9791175309401")</f>
        <v>9791175309401</v>
      </c>
      <c r="M1476" t="str">
        <f t="shared" si="34"/>
        <v/>
      </c>
    </row>
    <row r="1477" spans="1:14" x14ac:dyDescent="0.3">
      <c r="A1477" s="1">
        <v>46076.939918981479</v>
      </c>
      <c r="B1477">
        <v>379386288</v>
      </c>
      <c r="C1477" t="s">
        <v>370</v>
      </c>
      <c r="D1477" t="s">
        <v>89</v>
      </c>
      <c r="E1477" s="2">
        <v>11280</v>
      </c>
      <c r="F1477" s="2">
        <v>11280</v>
      </c>
      <c r="G1477" s="2">
        <v>7896</v>
      </c>
      <c r="I1477" t="s">
        <v>102</v>
      </c>
      <c r="J1477" t="s">
        <v>23</v>
      </c>
      <c r="K1477" t="s">
        <v>18</v>
      </c>
      <c r="L1477" t="str">
        <f>T("9791175307438")</f>
        <v>9791175307438</v>
      </c>
      <c r="M1477" t="str">
        <f t="shared" si="34"/>
        <v/>
      </c>
    </row>
    <row r="1478" spans="1:14" x14ac:dyDescent="0.3">
      <c r="A1478" s="1">
        <v>46076.946921296294</v>
      </c>
      <c r="B1478">
        <v>361759478</v>
      </c>
      <c r="C1478" t="s">
        <v>586</v>
      </c>
      <c r="D1478" t="s">
        <v>15</v>
      </c>
      <c r="E1478" s="2">
        <v>3200</v>
      </c>
      <c r="F1478" s="2">
        <v>3200</v>
      </c>
      <c r="G1478" s="2">
        <v>2240</v>
      </c>
      <c r="I1478" t="s">
        <v>54</v>
      </c>
      <c r="J1478" t="s">
        <v>52</v>
      </c>
      <c r="K1478" t="s">
        <v>18</v>
      </c>
      <c r="L1478" t="str">
        <f>T("9791173781919")</f>
        <v>9791173781919</v>
      </c>
      <c r="M1478" t="str">
        <f t="shared" si="34"/>
        <v/>
      </c>
      <c r="N1478">
        <v>947000</v>
      </c>
    </row>
    <row r="1479" spans="1:14" x14ac:dyDescent="0.3">
      <c r="A1479" s="1">
        <v>46076.950289351851</v>
      </c>
      <c r="B1479">
        <v>385830476</v>
      </c>
      <c r="C1479" t="s">
        <v>587</v>
      </c>
      <c r="D1479" t="s">
        <v>15</v>
      </c>
      <c r="E1479" s="2">
        <v>3000</v>
      </c>
      <c r="F1479" s="2">
        <v>2700</v>
      </c>
      <c r="G1479" s="2">
        <v>1890</v>
      </c>
      <c r="I1479" t="s">
        <v>344</v>
      </c>
      <c r="J1479" t="s">
        <v>23</v>
      </c>
      <c r="K1479" t="s">
        <v>18</v>
      </c>
      <c r="L1479" t="str">
        <f>T("9791175309494")</f>
        <v>9791175309494</v>
      </c>
      <c r="M1479" t="str">
        <f t="shared" si="34"/>
        <v/>
      </c>
      <c r="N1479">
        <v>959910</v>
      </c>
    </row>
    <row r="1480" spans="1:14" x14ac:dyDescent="0.3">
      <c r="A1480" s="1">
        <v>46076.977222222224</v>
      </c>
      <c r="B1480">
        <v>379386288</v>
      </c>
      <c r="C1480" t="s">
        <v>370</v>
      </c>
      <c r="D1480" t="s">
        <v>89</v>
      </c>
      <c r="E1480" s="2">
        <v>-11280</v>
      </c>
      <c r="F1480" s="2">
        <v>-11280</v>
      </c>
      <c r="G1480" s="2">
        <v>-7896</v>
      </c>
      <c r="H1480" s="1">
        <v>46076.959386574075</v>
      </c>
      <c r="I1480" t="s">
        <v>102</v>
      </c>
      <c r="J1480" t="s">
        <v>23</v>
      </c>
      <c r="K1480" t="s">
        <v>18</v>
      </c>
      <c r="L1480" t="str">
        <f>T("9791175307438")</f>
        <v>9791175307438</v>
      </c>
      <c r="M1480" t="str">
        <f t="shared" si="34"/>
        <v/>
      </c>
    </row>
    <row r="1481" spans="1:14" x14ac:dyDescent="0.3">
      <c r="A1481" s="1">
        <v>46076.959386574075</v>
      </c>
      <c r="B1481">
        <v>379386288</v>
      </c>
      <c r="C1481" t="s">
        <v>370</v>
      </c>
      <c r="D1481" t="s">
        <v>89</v>
      </c>
      <c r="E1481" s="2">
        <v>11280</v>
      </c>
      <c r="F1481" s="2">
        <v>11280</v>
      </c>
      <c r="G1481" s="2">
        <v>7896</v>
      </c>
      <c r="I1481" t="s">
        <v>102</v>
      </c>
      <c r="J1481" t="s">
        <v>23</v>
      </c>
      <c r="K1481" t="s">
        <v>18</v>
      </c>
      <c r="L1481" t="str">
        <f>T("9791175307438")</f>
        <v>9791175307438</v>
      </c>
      <c r="M1481" t="str">
        <f t="shared" si="34"/>
        <v/>
      </c>
    </row>
    <row r="1482" spans="1:14" x14ac:dyDescent="0.3">
      <c r="A1482" s="1">
        <v>46076.960405092592</v>
      </c>
      <c r="B1482">
        <v>385831063</v>
      </c>
      <c r="C1482" t="s">
        <v>343</v>
      </c>
      <c r="D1482" t="s">
        <v>89</v>
      </c>
      <c r="E1482" s="2">
        <v>10800</v>
      </c>
      <c r="F1482" s="2">
        <v>10800</v>
      </c>
      <c r="G1482" s="2">
        <v>7560</v>
      </c>
      <c r="I1482" t="s">
        <v>344</v>
      </c>
      <c r="J1482" t="s">
        <v>23</v>
      </c>
      <c r="K1482" t="s">
        <v>18</v>
      </c>
      <c r="L1482" t="str">
        <f>T("9791175309456")</f>
        <v>9791175309456</v>
      </c>
      <c r="M1482" t="str">
        <f t="shared" si="34"/>
        <v/>
      </c>
    </row>
    <row r="1483" spans="1:14" x14ac:dyDescent="0.3">
      <c r="A1483" s="1">
        <v>46076.962962962964</v>
      </c>
      <c r="B1483">
        <v>385831063</v>
      </c>
      <c r="C1483" t="s">
        <v>343</v>
      </c>
      <c r="D1483" t="s">
        <v>89</v>
      </c>
      <c r="E1483" s="2">
        <v>10800</v>
      </c>
      <c r="F1483" s="2">
        <v>10800</v>
      </c>
      <c r="G1483" s="2">
        <v>7560</v>
      </c>
      <c r="I1483" t="s">
        <v>344</v>
      </c>
      <c r="J1483" t="s">
        <v>23</v>
      </c>
      <c r="K1483" t="s">
        <v>18</v>
      </c>
      <c r="L1483" t="str">
        <f>T("9791175309456")</f>
        <v>9791175309456</v>
      </c>
      <c r="M1483" t="str">
        <f t="shared" si="34"/>
        <v/>
      </c>
    </row>
    <row r="1484" spans="1:14" x14ac:dyDescent="0.3">
      <c r="A1484" s="1">
        <v>46076.965925925928</v>
      </c>
      <c r="B1484">
        <v>381924691</v>
      </c>
      <c r="C1484" t="s">
        <v>302</v>
      </c>
      <c r="D1484" t="s">
        <v>89</v>
      </c>
      <c r="E1484" s="2">
        <v>8160</v>
      </c>
      <c r="F1484" s="2">
        <v>8160</v>
      </c>
      <c r="G1484" s="2">
        <v>5712</v>
      </c>
      <c r="I1484" t="s">
        <v>189</v>
      </c>
      <c r="J1484" t="s">
        <v>70</v>
      </c>
      <c r="K1484" t="s">
        <v>18</v>
      </c>
      <c r="L1484" t="str">
        <f>T("9791175307605")</f>
        <v>9791175307605</v>
      </c>
      <c r="M1484" t="str">
        <f t="shared" si="34"/>
        <v/>
      </c>
    </row>
    <row r="1485" spans="1:14" x14ac:dyDescent="0.3">
      <c r="A1485" s="1">
        <v>46076.966944444444</v>
      </c>
      <c r="B1485">
        <v>361616785</v>
      </c>
      <c r="C1485" t="s">
        <v>588</v>
      </c>
      <c r="D1485" t="s">
        <v>15</v>
      </c>
      <c r="E1485">
        <v>0</v>
      </c>
      <c r="F1485">
        <v>0</v>
      </c>
      <c r="G1485">
        <v>0</v>
      </c>
      <c r="I1485" t="s">
        <v>589</v>
      </c>
      <c r="J1485" t="s">
        <v>59</v>
      </c>
      <c r="K1485" t="s">
        <v>18</v>
      </c>
      <c r="L1485" t="str">
        <f>T("9791172921262")</f>
        <v>9791172921262</v>
      </c>
      <c r="M1485" t="str">
        <f t="shared" si="34"/>
        <v/>
      </c>
      <c r="N1485">
        <v>929895</v>
      </c>
    </row>
    <row r="1486" spans="1:14" x14ac:dyDescent="0.3">
      <c r="A1486" s="1">
        <v>46076.966944444444</v>
      </c>
      <c r="B1486">
        <v>311320990</v>
      </c>
      <c r="C1486" t="s">
        <v>129</v>
      </c>
      <c r="D1486" t="s">
        <v>15</v>
      </c>
      <c r="E1486">
        <v>0</v>
      </c>
      <c r="F1486">
        <v>0</v>
      </c>
      <c r="G1486">
        <v>0</v>
      </c>
      <c r="I1486" t="s">
        <v>130</v>
      </c>
      <c r="J1486" t="s">
        <v>59</v>
      </c>
      <c r="K1486" t="s">
        <v>18</v>
      </c>
      <c r="L1486" t="str">
        <f>T("9791136927880")</f>
        <v>9791136927880</v>
      </c>
      <c r="M1486" t="str">
        <f t="shared" si="34"/>
        <v/>
      </c>
      <c r="N1486">
        <v>889268</v>
      </c>
    </row>
    <row r="1487" spans="1:14" x14ac:dyDescent="0.3">
      <c r="A1487" s="1">
        <v>46076.966944444444</v>
      </c>
      <c r="B1487">
        <v>385347620</v>
      </c>
      <c r="C1487" t="s">
        <v>84</v>
      </c>
      <c r="D1487" t="s">
        <v>15</v>
      </c>
      <c r="E1487">
        <v>0</v>
      </c>
      <c r="F1487">
        <v>0</v>
      </c>
      <c r="G1487">
        <v>0</v>
      </c>
      <c r="I1487" t="s">
        <v>85</v>
      </c>
      <c r="J1487" t="s">
        <v>59</v>
      </c>
      <c r="K1487" t="s">
        <v>18</v>
      </c>
      <c r="L1487" t="str">
        <f>T("9791136943897")</f>
        <v>9791136943897</v>
      </c>
      <c r="M1487" t="str">
        <f t="shared" si="34"/>
        <v/>
      </c>
      <c r="N1487">
        <v>917706</v>
      </c>
    </row>
    <row r="1488" spans="1:14" x14ac:dyDescent="0.3">
      <c r="A1488" s="1">
        <v>46076.975497685184</v>
      </c>
      <c r="B1488">
        <v>374334966</v>
      </c>
      <c r="C1488" t="s">
        <v>391</v>
      </c>
      <c r="D1488" t="s">
        <v>89</v>
      </c>
      <c r="E1488" s="2">
        <v>5850</v>
      </c>
      <c r="F1488" s="2">
        <v>5850</v>
      </c>
      <c r="G1488" s="2">
        <v>4095</v>
      </c>
      <c r="I1488" t="s">
        <v>392</v>
      </c>
      <c r="J1488" t="s">
        <v>23</v>
      </c>
      <c r="K1488" t="s">
        <v>18</v>
      </c>
      <c r="L1488" t="str">
        <f>T("9791175304932")</f>
        <v>9791175304932</v>
      </c>
      <c r="M1488" t="str">
        <f t="shared" si="34"/>
        <v/>
      </c>
    </row>
    <row r="1489" spans="1:14" x14ac:dyDescent="0.3">
      <c r="A1489" s="1">
        <v>46076.978356481479</v>
      </c>
      <c r="B1489">
        <v>385831063</v>
      </c>
      <c r="C1489" t="s">
        <v>343</v>
      </c>
      <c r="D1489" t="s">
        <v>89</v>
      </c>
      <c r="E1489" s="2">
        <v>10800</v>
      </c>
      <c r="F1489" s="2">
        <v>10800</v>
      </c>
      <c r="G1489" s="2">
        <v>7560</v>
      </c>
      <c r="I1489" t="s">
        <v>344</v>
      </c>
      <c r="J1489" t="s">
        <v>23</v>
      </c>
      <c r="K1489" t="s">
        <v>18</v>
      </c>
      <c r="L1489" t="str">
        <f>T("9791175309456")</f>
        <v>9791175309456</v>
      </c>
      <c r="M1489" t="str">
        <f t="shared" si="34"/>
        <v/>
      </c>
    </row>
    <row r="1490" spans="1:14" x14ac:dyDescent="0.3">
      <c r="A1490" s="1">
        <v>46076.980208333334</v>
      </c>
      <c r="B1490">
        <v>385831063</v>
      </c>
      <c r="C1490" t="s">
        <v>343</v>
      </c>
      <c r="D1490" t="s">
        <v>89</v>
      </c>
      <c r="E1490" s="2">
        <v>10800</v>
      </c>
      <c r="F1490" s="2">
        <v>10800</v>
      </c>
      <c r="G1490" s="2">
        <v>7560</v>
      </c>
      <c r="I1490" t="s">
        <v>344</v>
      </c>
      <c r="J1490" t="s">
        <v>23</v>
      </c>
      <c r="K1490" t="s">
        <v>18</v>
      </c>
      <c r="L1490" t="str">
        <f>T("9791175309456")</f>
        <v>9791175309456</v>
      </c>
      <c r="M1490" t="str">
        <f t="shared" si="34"/>
        <v/>
      </c>
    </row>
    <row r="1491" spans="1:14" x14ac:dyDescent="0.3">
      <c r="A1491" s="1">
        <v>46076.981979166667</v>
      </c>
      <c r="B1491">
        <v>379386288</v>
      </c>
      <c r="C1491" t="s">
        <v>370</v>
      </c>
      <c r="D1491" t="s">
        <v>89</v>
      </c>
      <c r="E1491" s="2">
        <v>11280</v>
      </c>
      <c r="F1491" s="2">
        <v>11280</v>
      </c>
      <c r="G1491" s="2">
        <v>7896</v>
      </c>
      <c r="I1491" t="s">
        <v>102</v>
      </c>
      <c r="J1491" t="s">
        <v>23</v>
      </c>
      <c r="K1491" t="s">
        <v>18</v>
      </c>
      <c r="L1491" t="str">
        <f>T("9791175307438")</f>
        <v>9791175307438</v>
      </c>
      <c r="M1491" t="str">
        <f t="shared" si="34"/>
        <v/>
      </c>
    </row>
    <row r="1492" spans="1:14" x14ac:dyDescent="0.3">
      <c r="A1492" s="1">
        <v>46076.981990740744</v>
      </c>
      <c r="B1492">
        <v>386937104</v>
      </c>
      <c r="C1492" t="s">
        <v>579</v>
      </c>
      <c r="D1492" t="s">
        <v>89</v>
      </c>
      <c r="E1492" s="2">
        <v>8640</v>
      </c>
      <c r="F1492" s="2">
        <v>8640</v>
      </c>
      <c r="G1492" s="2">
        <v>6048</v>
      </c>
      <c r="I1492" t="s">
        <v>580</v>
      </c>
      <c r="J1492" t="s">
        <v>23</v>
      </c>
      <c r="K1492" t="s">
        <v>18</v>
      </c>
      <c r="L1492" t="str">
        <f>T("9791175309401")</f>
        <v>9791175309401</v>
      </c>
      <c r="M1492" t="str">
        <f t="shared" si="34"/>
        <v/>
      </c>
    </row>
    <row r="1493" spans="1:14" x14ac:dyDescent="0.3">
      <c r="A1493" s="1">
        <v>46076.988333333335</v>
      </c>
      <c r="B1493">
        <v>330649502</v>
      </c>
      <c r="C1493" t="s">
        <v>590</v>
      </c>
      <c r="D1493" t="s">
        <v>15</v>
      </c>
      <c r="E1493" s="2">
        <v>3600</v>
      </c>
      <c r="F1493" s="2">
        <v>3600</v>
      </c>
      <c r="G1493" s="2">
        <v>2520</v>
      </c>
      <c r="I1493" t="s">
        <v>400</v>
      </c>
      <c r="J1493" t="s">
        <v>23</v>
      </c>
      <c r="K1493" t="s">
        <v>18</v>
      </c>
      <c r="L1493" t="str">
        <f>T("9791136945983")</f>
        <v>9791136945983</v>
      </c>
      <c r="M1493" t="str">
        <f t="shared" si="34"/>
        <v/>
      </c>
      <c r="N1493">
        <v>919211</v>
      </c>
    </row>
    <row r="1494" spans="1:14" x14ac:dyDescent="0.3">
      <c r="A1494" s="1">
        <v>46076.988333333335</v>
      </c>
      <c r="B1494">
        <v>339151993</v>
      </c>
      <c r="C1494" t="s">
        <v>591</v>
      </c>
      <c r="D1494" t="s">
        <v>15</v>
      </c>
      <c r="E1494" s="2">
        <v>3000</v>
      </c>
      <c r="F1494" s="2">
        <v>3000</v>
      </c>
      <c r="G1494" s="2">
        <v>2100</v>
      </c>
      <c r="I1494" t="s">
        <v>400</v>
      </c>
      <c r="J1494" t="s">
        <v>23</v>
      </c>
      <c r="K1494" t="s">
        <v>18</v>
      </c>
      <c r="L1494" t="str">
        <f>T("9791136964618")</f>
        <v>9791136964618</v>
      </c>
      <c r="M1494" t="str">
        <f t="shared" si="34"/>
        <v/>
      </c>
      <c r="N1494">
        <v>924136</v>
      </c>
    </row>
    <row r="1495" spans="1:14" x14ac:dyDescent="0.3">
      <c r="A1495" s="1">
        <v>46076.991898148146</v>
      </c>
      <c r="B1495">
        <v>385831063</v>
      </c>
      <c r="C1495" t="s">
        <v>343</v>
      </c>
      <c r="D1495" t="s">
        <v>89</v>
      </c>
      <c r="E1495" s="2">
        <v>10800</v>
      </c>
      <c r="F1495" s="2">
        <v>10800</v>
      </c>
      <c r="G1495" s="2">
        <v>7560</v>
      </c>
      <c r="I1495" t="s">
        <v>344</v>
      </c>
      <c r="J1495" t="s">
        <v>23</v>
      </c>
      <c r="K1495" t="s">
        <v>18</v>
      </c>
      <c r="L1495" t="str">
        <f>T("9791175309456")</f>
        <v>9791175309456</v>
      </c>
      <c r="M1495" t="str">
        <f t="shared" si="34"/>
        <v/>
      </c>
    </row>
    <row r="1496" spans="1:14" x14ac:dyDescent="0.3">
      <c r="A1496" s="1">
        <v>46076.992754629631</v>
      </c>
      <c r="B1496">
        <v>386937104</v>
      </c>
      <c r="C1496" t="s">
        <v>579</v>
      </c>
      <c r="D1496" t="s">
        <v>89</v>
      </c>
      <c r="E1496" s="2">
        <v>8640</v>
      </c>
      <c r="F1496" s="2">
        <v>8640</v>
      </c>
      <c r="G1496" s="2">
        <v>6048</v>
      </c>
      <c r="I1496" t="s">
        <v>580</v>
      </c>
      <c r="J1496" t="s">
        <v>23</v>
      </c>
      <c r="K1496" t="s">
        <v>18</v>
      </c>
      <c r="L1496" t="str">
        <f>T("9791175309401")</f>
        <v>9791175309401</v>
      </c>
      <c r="M1496" t="str">
        <f t="shared" si="34"/>
        <v/>
      </c>
    </row>
    <row r="1497" spans="1:14" x14ac:dyDescent="0.3">
      <c r="A1497" s="1">
        <v>46076.993900462963</v>
      </c>
      <c r="B1497">
        <v>386937104</v>
      </c>
      <c r="C1497" t="s">
        <v>579</v>
      </c>
      <c r="D1497" t="s">
        <v>89</v>
      </c>
      <c r="E1497" s="2">
        <v>8640</v>
      </c>
      <c r="F1497" s="2">
        <v>8640</v>
      </c>
      <c r="G1497" s="2">
        <v>6048</v>
      </c>
      <c r="I1497" t="s">
        <v>580</v>
      </c>
      <c r="J1497" t="s">
        <v>23</v>
      </c>
      <c r="K1497" t="s">
        <v>18</v>
      </c>
      <c r="L1497" t="str">
        <f>T("9791175309401")</f>
        <v>9791175309401</v>
      </c>
      <c r="M1497" t="str">
        <f t="shared" si="34"/>
        <v/>
      </c>
    </row>
    <row r="1498" spans="1:14" x14ac:dyDescent="0.3">
      <c r="A1498" s="1">
        <v>46076.998657407406</v>
      </c>
      <c r="B1498">
        <v>379386288</v>
      </c>
      <c r="C1498" t="s">
        <v>370</v>
      </c>
      <c r="D1498" t="s">
        <v>89</v>
      </c>
      <c r="E1498" s="2">
        <v>-11280</v>
      </c>
      <c r="F1498" s="2">
        <v>-11280</v>
      </c>
      <c r="G1498" s="2">
        <v>-7896</v>
      </c>
      <c r="H1498" s="1">
        <v>46076.997685185182</v>
      </c>
      <c r="I1498" t="s">
        <v>102</v>
      </c>
      <c r="J1498" t="s">
        <v>23</v>
      </c>
      <c r="K1498" t="s">
        <v>18</v>
      </c>
      <c r="L1498" t="str">
        <f>T("9791175307438")</f>
        <v>9791175307438</v>
      </c>
      <c r="M1498" t="str">
        <f t="shared" si="34"/>
        <v/>
      </c>
    </row>
    <row r="1499" spans="1:14" x14ac:dyDescent="0.3">
      <c r="A1499" s="1">
        <v>46076.997685185182</v>
      </c>
      <c r="B1499">
        <v>379386288</v>
      </c>
      <c r="C1499" t="s">
        <v>370</v>
      </c>
      <c r="D1499" t="s">
        <v>89</v>
      </c>
      <c r="E1499" s="2">
        <v>11280</v>
      </c>
      <c r="F1499" s="2">
        <v>11280</v>
      </c>
      <c r="G1499" s="2">
        <v>7896</v>
      </c>
      <c r="I1499" t="s">
        <v>102</v>
      </c>
      <c r="J1499" t="s">
        <v>23</v>
      </c>
      <c r="K1499" t="s">
        <v>18</v>
      </c>
      <c r="L1499" t="str">
        <f>T("9791175307438")</f>
        <v>9791175307438</v>
      </c>
      <c r="M1499" t="str">
        <f t="shared" si="34"/>
        <v/>
      </c>
    </row>
    <row r="1500" spans="1:14" x14ac:dyDescent="0.3">
      <c r="A1500" s="1">
        <v>46076.999224537038</v>
      </c>
      <c r="B1500">
        <v>386937104</v>
      </c>
      <c r="C1500" t="s">
        <v>579</v>
      </c>
      <c r="D1500" t="s">
        <v>89</v>
      </c>
      <c r="E1500" s="2">
        <v>8640</v>
      </c>
      <c r="F1500" s="2">
        <v>8640</v>
      </c>
      <c r="G1500" s="2">
        <v>6048</v>
      </c>
      <c r="I1500" t="s">
        <v>580</v>
      </c>
      <c r="J1500" t="s">
        <v>23</v>
      </c>
      <c r="K1500" t="s">
        <v>18</v>
      </c>
      <c r="L1500" t="str">
        <f>T("9791175309401")</f>
        <v>9791175309401</v>
      </c>
      <c r="M1500" t="str">
        <f t="shared" si="34"/>
        <v/>
      </c>
    </row>
    <row r="1501" spans="1:14" x14ac:dyDescent="0.3">
      <c r="A1501" s="1">
        <v>46077.00209490741</v>
      </c>
      <c r="B1501">
        <v>385831063</v>
      </c>
      <c r="C1501" t="s">
        <v>343</v>
      </c>
      <c r="D1501" t="s">
        <v>15</v>
      </c>
      <c r="E1501" s="2">
        <v>12000</v>
      </c>
      <c r="F1501" s="2">
        <v>10800</v>
      </c>
      <c r="G1501" s="2">
        <v>7560</v>
      </c>
      <c r="I1501" t="s">
        <v>344</v>
      </c>
      <c r="J1501" t="s">
        <v>23</v>
      </c>
      <c r="K1501" t="s">
        <v>18</v>
      </c>
      <c r="L1501" t="str">
        <f>T("9791175309456")</f>
        <v>9791175309456</v>
      </c>
      <c r="M1501" t="str">
        <f t="shared" ref="M1501:M1564" si="35">T("")</f>
        <v/>
      </c>
    </row>
    <row r="1502" spans="1:14" x14ac:dyDescent="0.3">
      <c r="A1502" s="1">
        <v>46077.005682870367</v>
      </c>
      <c r="B1502">
        <v>374949675</v>
      </c>
      <c r="C1502" t="s">
        <v>394</v>
      </c>
      <c r="D1502" t="s">
        <v>89</v>
      </c>
      <c r="E1502" s="2">
        <v>-8750</v>
      </c>
      <c r="F1502" s="2">
        <v>-8750</v>
      </c>
      <c r="G1502" s="2">
        <v>-6125</v>
      </c>
      <c r="H1502" s="1">
        <v>46077.004999999997</v>
      </c>
      <c r="I1502" t="s">
        <v>251</v>
      </c>
      <c r="J1502" t="s">
        <v>23</v>
      </c>
      <c r="K1502" t="s">
        <v>18</v>
      </c>
      <c r="L1502" t="str">
        <f>T("9791175307476")</f>
        <v>9791175307476</v>
      </c>
      <c r="M1502" t="str">
        <f t="shared" si="35"/>
        <v/>
      </c>
    </row>
    <row r="1503" spans="1:14" x14ac:dyDescent="0.3">
      <c r="A1503" s="1">
        <v>46077.004999999997</v>
      </c>
      <c r="B1503">
        <v>374949675</v>
      </c>
      <c r="C1503" t="s">
        <v>394</v>
      </c>
      <c r="D1503" t="s">
        <v>89</v>
      </c>
      <c r="E1503" s="2">
        <v>8750</v>
      </c>
      <c r="F1503" s="2">
        <v>8750</v>
      </c>
      <c r="G1503" s="2">
        <v>6125</v>
      </c>
      <c r="I1503" t="s">
        <v>251</v>
      </c>
      <c r="J1503" t="s">
        <v>23</v>
      </c>
      <c r="K1503" t="s">
        <v>18</v>
      </c>
      <c r="L1503" t="str">
        <f>T("9791175307476")</f>
        <v>9791175307476</v>
      </c>
      <c r="M1503" t="str">
        <f t="shared" si="35"/>
        <v/>
      </c>
    </row>
    <row r="1504" spans="1:14" x14ac:dyDescent="0.3">
      <c r="A1504" s="1">
        <v>46079.530266203707</v>
      </c>
      <c r="B1504">
        <v>374949675</v>
      </c>
      <c r="C1504" t="s">
        <v>394</v>
      </c>
      <c r="D1504" t="s">
        <v>89</v>
      </c>
      <c r="E1504" s="2">
        <v>-8750</v>
      </c>
      <c r="F1504" s="2">
        <v>-8750</v>
      </c>
      <c r="G1504" s="2">
        <v>-6125</v>
      </c>
      <c r="H1504" s="1">
        <v>46077.01048611111</v>
      </c>
      <c r="I1504" t="s">
        <v>251</v>
      </c>
      <c r="J1504" t="s">
        <v>23</v>
      </c>
      <c r="K1504" t="s">
        <v>18</v>
      </c>
      <c r="L1504" t="str">
        <f>T("9791175307476")</f>
        <v>9791175307476</v>
      </c>
      <c r="M1504" t="str">
        <f t="shared" si="35"/>
        <v/>
      </c>
    </row>
    <row r="1505" spans="1:14" x14ac:dyDescent="0.3">
      <c r="A1505" s="1">
        <v>46077.01048611111</v>
      </c>
      <c r="B1505">
        <v>374949675</v>
      </c>
      <c r="C1505" t="s">
        <v>394</v>
      </c>
      <c r="D1505" t="s">
        <v>89</v>
      </c>
      <c r="E1505" s="2">
        <v>8750</v>
      </c>
      <c r="F1505" s="2">
        <v>8750</v>
      </c>
      <c r="G1505" s="2">
        <v>6125</v>
      </c>
      <c r="I1505" t="s">
        <v>251</v>
      </c>
      <c r="J1505" t="s">
        <v>23</v>
      </c>
      <c r="K1505" t="s">
        <v>18</v>
      </c>
      <c r="L1505" t="str">
        <f>T("9791175307476")</f>
        <v>9791175307476</v>
      </c>
      <c r="M1505" t="str">
        <f t="shared" si="35"/>
        <v/>
      </c>
    </row>
    <row r="1506" spans="1:14" x14ac:dyDescent="0.3">
      <c r="A1506" s="1">
        <v>46077.016759259262</v>
      </c>
      <c r="B1506">
        <v>386937104</v>
      </c>
      <c r="C1506" t="s">
        <v>579</v>
      </c>
      <c r="D1506" t="s">
        <v>89</v>
      </c>
      <c r="E1506" s="2">
        <v>8640</v>
      </c>
      <c r="F1506" s="2">
        <v>8640</v>
      </c>
      <c r="G1506" s="2">
        <v>6048</v>
      </c>
      <c r="I1506" t="s">
        <v>580</v>
      </c>
      <c r="J1506" t="s">
        <v>23</v>
      </c>
      <c r="K1506" t="s">
        <v>18</v>
      </c>
      <c r="L1506" t="str">
        <f>T("9791175309401")</f>
        <v>9791175309401</v>
      </c>
      <c r="M1506" t="str">
        <f t="shared" si="35"/>
        <v/>
      </c>
    </row>
    <row r="1507" spans="1:14" x14ac:dyDescent="0.3">
      <c r="A1507" s="1">
        <v>46077.052199074074</v>
      </c>
      <c r="B1507">
        <v>357993456</v>
      </c>
      <c r="C1507" t="s">
        <v>438</v>
      </c>
      <c r="D1507" t="s">
        <v>89</v>
      </c>
      <c r="E1507" s="2">
        <v>5700</v>
      </c>
      <c r="F1507" s="2">
        <v>5700</v>
      </c>
      <c r="G1507" s="2">
        <v>3990</v>
      </c>
      <c r="I1507" t="s">
        <v>96</v>
      </c>
      <c r="J1507" t="s">
        <v>23</v>
      </c>
      <c r="K1507" t="s">
        <v>18</v>
      </c>
      <c r="L1507" t="str">
        <f>T("9791172928094")</f>
        <v>9791172928094</v>
      </c>
      <c r="M1507" t="str">
        <f t="shared" si="35"/>
        <v/>
      </c>
    </row>
    <row r="1508" spans="1:14" x14ac:dyDescent="0.3">
      <c r="A1508" s="1">
        <v>46077.195868055554</v>
      </c>
      <c r="B1508">
        <v>60556547</v>
      </c>
      <c r="C1508" t="s">
        <v>253</v>
      </c>
      <c r="D1508" t="s">
        <v>15</v>
      </c>
      <c r="E1508" s="2">
        <v>3000</v>
      </c>
      <c r="F1508" s="2">
        <v>3000</v>
      </c>
      <c r="G1508" s="2">
        <v>2100</v>
      </c>
      <c r="I1508" t="s">
        <v>27</v>
      </c>
      <c r="J1508" t="s">
        <v>79</v>
      </c>
      <c r="K1508" t="s">
        <v>18</v>
      </c>
      <c r="L1508" t="str">
        <f>T("9791133101566")</f>
        <v>9791133101566</v>
      </c>
      <c r="M1508" t="str">
        <f t="shared" si="35"/>
        <v/>
      </c>
      <c r="N1508">
        <v>294787</v>
      </c>
    </row>
    <row r="1509" spans="1:14" x14ac:dyDescent="0.3">
      <c r="A1509" s="1">
        <v>46077.453310185185</v>
      </c>
      <c r="B1509">
        <v>329693302</v>
      </c>
      <c r="C1509" t="s">
        <v>592</v>
      </c>
      <c r="D1509" t="s">
        <v>15</v>
      </c>
      <c r="E1509">
        <v>0</v>
      </c>
      <c r="F1509">
        <v>0</v>
      </c>
      <c r="G1509">
        <v>0</v>
      </c>
      <c r="I1509" t="s">
        <v>593</v>
      </c>
      <c r="J1509" t="s">
        <v>79</v>
      </c>
      <c r="K1509" t="s">
        <v>18</v>
      </c>
      <c r="L1509" t="str">
        <f>T("9791136930811")</f>
        <v>9791136930811</v>
      </c>
      <c r="M1509" t="str">
        <f t="shared" si="35"/>
        <v/>
      </c>
      <c r="N1509">
        <v>886554</v>
      </c>
    </row>
    <row r="1510" spans="1:14" x14ac:dyDescent="0.3">
      <c r="A1510" s="1">
        <v>46077.507013888891</v>
      </c>
      <c r="B1510">
        <v>379386288</v>
      </c>
      <c r="C1510" t="s">
        <v>370</v>
      </c>
      <c r="D1510" t="s">
        <v>89</v>
      </c>
      <c r="E1510" s="2">
        <v>11280</v>
      </c>
      <c r="F1510" s="2">
        <v>11280</v>
      </c>
      <c r="G1510" s="2">
        <v>7896</v>
      </c>
      <c r="I1510" t="s">
        <v>102</v>
      </c>
      <c r="J1510" t="s">
        <v>23</v>
      </c>
      <c r="K1510" t="s">
        <v>18</v>
      </c>
      <c r="L1510" t="str">
        <f>T("9791175307438")</f>
        <v>9791175307438</v>
      </c>
      <c r="M1510" t="str">
        <f t="shared" si="35"/>
        <v/>
      </c>
    </row>
    <row r="1511" spans="1:14" x14ac:dyDescent="0.3">
      <c r="A1511" s="1">
        <v>46077.5780787037</v>
      </c>
      <c r="B1511">
        <v>379386288</v>
      </c>
      <c r="C1511" t="s">
        <v>370</v>
      </c>
      <c r="D1511" t="s">
        <v>89</v>
      </c>
      <c r="E1511" s="2">
        <v>-11280</v>
      </c>
      <c r="F1511" s="2">
        <v>-11280</v>
      </c>
      <c r="G1511" s="2">
        <v>-7896</v>
      </c>
      <c r="H1511" s="1">
        <v>46077.577222222222</v>
      </c>
      <c r="I1511" t="s">
        <v>102</v>
      </c>
      <c r="J1511" t="s">
        <v>23</v>
      </c>
      <c r="K1511" t="s">
        <v>18</v>
      </c>
      <c r="L1511" t="str">
        <f>T("9791175307438")</f>
        <v>9791175307438</v>
      </c>
      <c r="M1511" t="str">
        <f t="shared" si="35"/>
        <v/>
      </c>
    </row>
    <row r="1512" spans="1:14" x14ac:dyDescent="0.3">
      <c r="A1512" s="1">
        <v>46077.577222222222</v>
      </c>
      <c r="B1512">
        <v>379386288</v>
      </c>
      <c r="C1512" t="s">
        <v>370</v>
      </c>
      <c r="D1512" t="s">
        <v>89</v>
      </c>
      <c r="E1512" s="2">
        <v>11280</v>
      </c>
      <c r="F1512" s="2">
        <v>11280</v>
      </c>
      <c r="G1512" s="2">
        <v>7896</v>
      </c>
      <c r="I1512" t="s">
        <v>102</v>
      </c>
      <c r="J1512" t="s">
        <v>23</v>
      </c>
      <c r="K1512" t="s">
        <v>18</v>
      </c>
      <c r="L1512" t="str">
        <f>T("9791175307438")</f>
        <v>9791175307438</v>
      </c>
      <c r="M1512" t="str">
        <f t="shared" si="35"/>
        <v/>
      </c>
    </row>
    <row r="1513" spans="1:14" x14ac:dyDescent="0.3">
      <c r="A1513" s="1">
        <v>46077.579155092593</v>
      </c>
      <c r="B1513">
        <v>379386288</v>
      </c>
      <c r="C1513" t="s">
        <v>370</v>
      </c>
      <c r="D1513" t="s">
        <v>89</v>
      </c>
      <c r="E1513" s="2">
        <v>11280</v>
      </c>
      <c r="F1513" s="2">
        <v>11280</v>
      </c>
      <c r="G1513" s="2">
        <v>7896</v>
      </c>
      <c r="I1513" t="s">
        <v>102</v>
      </c>
      <c r="J1513" t="s">
        <v>23</v>
      </c>
      <c r="K1513" t="s">
        <v>18</v>
      </c>
      <c r="L1513" t="str">
        <f>T("9791175307438")</f>
        <v>9791175307438</v>
      </c>
      <c r="M1513" t="str">
        <f t="shared" si="35"/>
        <v/>
      </c>
    </row>
    <row r="1514" spans="1:14" x14ac:dyDescent="0.3">
      <c r="A1514" s="1">
        <v>46077.620127314818</v>
      </c>
      <c r="B1514">
        <v>269399692</v>
      </c>
      <c r="C1514" t="s">
        <v>594</v>
      </c>
      <c r="D1514" t="s">
        <v>15</v>
      </c>
      <c r="E1514">
        <v>0</v>
      </c>
      <c r="F1514">
        <v>0</v>
      </c>
      <c r="G1514">
        <v>0</v>
      </c>
      <c r="I1514" t="s">
        <v>193</v>
      </c>
      <c r="J1514" t="s">
        <v>59</v>
      </c>
      <c r="K1514" t="s">
        <v>18</v>
      </c>
      <c r="L1514" t="str">
        <f>T("9791136907103")</f>
        <v>9791136907103</v>
      </c>
      <c r="M1514" t="str">
        <f t="shared" si="35"/>
        <v/>
      </c>
      <c r="N1514">
        <v>816676</v>
      </c>
    </row>
    <row r="1515" spans="1:14" x14ac:dyDescent="0.3">
      <c r="A1515" s="1">
        <v>46077.649004629631</v>
      </c>
      <c r="B1515">
        <v>376753821</v>
      </c>
      <c r="C1515" t="s">
        <v>317</v>
      </c>
      <c r="D1515" t="s">
        <v>15</v>
      </c>
      <c r="E1515" s="2">
        <v>9900</v>
      </c>
      <c r="F1515" s="2">
        <v>9900</v>
      </c>
      <c r="G1515" s="2">
        <v>6930</v>
      </c>
      <c r="I1515" t="s">
        <v>318</v>
      </c>
      <c r="J1515" t="s">
        <v>23</v>
      </c>
      <c r="K1515" t="s">
        <v>18</v>
      </c>
      <c r="L1515" t="str">
        <f>T("9791175302815")</f>
        <v>9791175302815</v>
      </c>
      <c r="M1515" t="str">
        <f t="shared" si="35"/>
        <v/>
      </c>
    </row>
    <row r="1516" spans="1:14" x14ac:dyDescent="0.3">
      <c r="A1516" s="1">
        <v>46077.666226851848</v>
      </c>
      <c r="B1516">
        <v>367919257</v>
      </c>
      <c r="C1516" t="s">
        <v>415</v>
      </c>
      <c r="D1516" t="s">
        <v>89</v>
      </c>
      <c r="E1516" s="2">
        <v>13860</v>
      </c>
      <c r="F1516" s="2">
        <v>13860</v>
      </c>
      <c r="G1516" s="2">
        <v>9702</v>
      </c>
      <c r="I1516" t="s">
        <v>416</v>
      </c>
      <c r="J1516" t="s">
        <v>23</v>
      </c>
      <c r="K1516" t="s">
        <v>18</v>
      </c>
      <c r="L1516" t="str">
        <f>T("9791173786471")</f>
        <v>9791173786471</v>
      </c>
      <c r="M1516" t="str">
        <f t="shared" si="35"/>
        <v/>
      </c>
    </row>
    <row r="1517" spans="1:14" x14ac:dyDescent="0.3">
      <c r="A1517" s="1">
        <v>46077.720891203702</v>
      </c>
      <c r="B1517">
        <v>383529992</v>
      </c>
      <c r="C1517" t="s">
        <v>595</v>
      </c>
      <c r="D1517" t="s">
        <v>15</v>
      </c>
      <c r="E1517" s="2">
        <v>3000</v>
      </c>
      <c r="F1517" s="2">
        <v>3000</v>
      </c>
      <c r="G1517" s="2">
        <v>2100</v>
      </c>
      <c r="I1517" t="s">
        <v>414</v>
      </c>
      <c r="J1517" t="s">
        <v>23</v>
      </c>
      <c r="K1517" t="s">
        <v>18</v>
      </c>
      <c r="L1517" t="str">
        <f>T("9791175308077")</f>
        <v>9791175308077</v>
      </c>
      <c r="M1517" t="str">
        <f t="shared" si="35"/>
        <v/>
      </c>
      <c r="N1517">
        <v>957614</v>
      </c>
    </row>
    <row r="1518" spans="1:14" x14ac:dyDescent="0.3">
      <c r="A1518" s="1">
        <v>46077.723530092589</v>
      </c>
      <c r="B1518">
        <v>371102770</v>
      </c>
      <c r="C1518" t="s">
        <v>395</v>
      </c>
      <c r="D1518" t="s">
        <v>89</v>
      </c>
      <c r="E1518" s="2">
        <v>6930</v>
      </c>
      <c r="F1518" s="2">
        <v>6930</v>
      </c>
      <c r="G1518" s="2">
        <v>4851</v>
      </c>
      <c r="I1518" t="s">
        <v>234</v>
      </c>
      <c r="J1518" t="s">
        <v>23</v>
      </c>
      <c r="K1518" t="s">
        <v>18</v>
      </c>
      <c r="L1518" t="str">
        <f>T("9791175300569")</f>
        <v>9791175300569</v>
      </c>
      <c r="M1518" t="str">
        <f t="shared" si="35"/>
        <v/>
      </c>
    </row>
    <row r="1519" spans="1:14" x14ac:dyDescent="0.3">
      <c r="A1519" s="1">
        <v>46077.751840277779</v>
      </c>
      <c r="B1519">
        <v>386937104</v>
      </c>
      <c r="C1519" t="s">
        <v>579</v>
      </c>
      <c r="D1519" t="s">
        <v>89</v>
      </c>
      <c r="E1519" s="2">
        <v>8640</v>
      </c>
      <c r="F1519" s="2">
        <v>8640</v>
      </c>
      <c r="G1519" s="2">
        <v>6048</v>
      </c>
      <c r="I1519" t="s">
        <v>580</v>
      </c>
      <c r="J1519" t="s">
        <v>23</v>
      </c>
      <c r="K1519" t="s">
        <v>18</v>
      </c>
      <c r="L1519" t="str">
        <f>T("9791175309401")</f>
        <v>9791175309401</v>
      </c>
      <c r="M1519" t="str">
        <f t="shared" si="35"/>
        <v/>
      </c>
    </row>
    <row r="1520" spans="1:14" x14ac:dyDescent="0.3">
      <c r="A1520" s="1">
        <v>46077.764710648145</v>
      </c>
      <c r="B1520">
        <v>320979628</v>
      </c>
      <c r="C1520" t="s">
        <v>390</v>
      </c>
      <c r="D1520" t="s">
        <v>89</v>
      </c>
      <c r="E1520" s="2">
        <v>10500</v>
      </c>
      <c r="F1520" s="2">
        <v>10500</v>
      </c>
      <c r="G1520" s="2">
        <v>7350</v>
      </c>
      <c r="I1520" t="s">
        <v>22</v>
      </c>
      <c r="J1520" t="s">
        <v>23</v>
      </c>
      <c r="K1520" t="s">
        <v>18</v>
      </c>
      <c r="L1520" t="str">
        <f>T("9791136939456")</f>
        <v>9791136939456</v>
      </c>
      <c r="M1520" t="str">
        <f t="shared" si="35"/>
        <v/>
      </c>
    </row>
    <row r="1521" spans="1:14" x14ac:dyDescent="0.3">
      <c r="A1521" s="1">
        <v>46077.863078703704</v>
      </c>
      <c r="B1521">
        <v>196780987</v>
      </c>
      <c r="C1521" t="s">
        <v>596</v>
      </c>
      <c r="D1521" t="s">
        <v>15</v>
      </c>
      <c r="E1521" s="2">
        <v>2000</v>
      </c>
      <c r="F1521" s="2">
        <v>2000</v>
      </c>
      <c r="G1521" s="2">
        <v>1400</v>
      </c>
      <c r="I1521" t="s">
        <v>597</v>
      </c>
      <c r="J1521" t="s">
        <v>17</v>
      </c>
      <c r="K1521" t="s">
        <v>18</v>
      </c>
      <c r="L1521" t="str">
        <f>T("9791133191406")</f>
        <v>9791133191406</v>
      </c>
      <c r="M1521" t="str">
        <f t="shared" si="35"/>
        <v/>
      </c>
      <c r="N1521">
        <v>760374</v>
      </c>
    </row>
    <row r="1522" spans="1:14" x14ac:dyDescent="0.3">
      <c r="A1522" s="1">
        <v>46077.899594907409</v>
      </c>
      <c r="B1522">
        <v>358357935</v>
      </c>
      <c r="C1522" t="s">
        <v>598</v>
      </c>
      <c r="D1522" t="s">
        <v>15</v>
      </c>
      <c r="E1522" s="2">
        <v>3200</v>
      </c>
      <c r="F1522" s="2">
        <v>3200</v>
      </c>
      <c r="G1522" s="2">
        <v>2240</v>
      </c>
      <c r="I1522" t="s">
        <v>599</v>
      </c>
      <c r="J1522" t="s">
        <v>52</v>
      </c>
      <c r="K1522" t="s">
        <v>18</v>
      </c>
      <c r="L1522" t="str">
        <f>T("9791172928186")</f>
        <v>9791172928186</v>
      </c>
      <c r="M1522" t="str">
        <f t="shared" si="35"/>
        <v/>
      </c>
      <c r="N1522">
        <v>938969</v>
      </c>
    </row>
    <row r="1523" spans="1:14" x14ac:dyDescent="0.3">
      <c r="A1523" s="1">
        <v>46077.899594907409</v>
      </c>
      <c r="B1523">
        <v>358357937</v>
      </c>
      <c r="C1523" t="s">
        <v>600</v>
      </c>
      <c r="D1523" t="s">
        <v>15</v>
      </c>
      <c r="E1523" s="2">
        <v>3200</v>
      </c>
      <c r="F1523" s="2">
        <v>3200</v>
      </c>
      <c r="G1523" s="2">
        <v>2240</v>
      </c>
      <c r="I1523" t="s">
        <v>599</v>
      </c>
      <c r="J1523" t="s">
        <v>52</v>
      </c>
      <c r="K1523" t="s">
        <v>18</v>
      </c>
      <c r="L1523" t="str">
        <f>T("9791172928155")</f>
        <v>9791172928155</v>
      </c>
      <c r="M1523" t="str">
        <f t="shared" si="35"/>
        <v/>
      </c>
      <c r="N1523">
        <v>938969</v>
      </c>
    </row>
    <row r="1524" spans="1:14" x14ac:dyDescent="0.3">
      <c r="A1524" s="1">
        <v>46077.899594907409</v>
      </c>
      <c r="B1524">
        <v>358357938</v>
      </c>
      <c r="C1524" t="s">
        <v>601</v>
      </c>
      <c r="D1524" t="s">
        <v>15</v>
      </c>
      <c r="E1524" s="2">
        <v>3200</v>
      </c>
      <c r="F1524" s="2">
        <v>3200</v>
      </c>
      <c r="G1524" s="2">
        <v>2240</v>
      </c>
      <c r="I1524" t="s">
        <v>599</v>
      </c>
      <c r="J1524" t="s">
        <v>52</v>
      </c>
      <c r="K1524" t="s">
        <v>18</v>
      </c>
      <c r="L1524" t="str">
        <f>T("9791172928179")</f>
        <v>9791172928179</v>
      </c>
      <c r="M1524" t="str">
        <f t="shared" si="35"/>
        <v/>
      </c>
      <c r="N1524">
        <v>938969</v>
      </c>
    </row>
    <row r="1525" spans="1:14" x14ac:dyDescent="0.3">
      <c r="A1525" s="1">
        <v>46077.899594907409</v>
      </c>
      <c r="B1525">
        <v>358357940</v>
      </c>
      <c r="C1525" t="s">
        <v>602</v>
      </c>
      <c r="D1525" t="s">
        <v>15</v>
      </c>
      <c r="E1525" s="2">
        <v>3200</v>
      </c>
      <c r="F1525" s="2">
        <v>3200</v>
      </c>
      <c r="G1525" s="2">
        <v>2240</v>
      </c>
      <c r="I1525" t="s">
        <v>599</v>
      </c>
      <c r="J1525" t="s">
        <v>52</v>
      </c>
      <c r="K1525" t="s">
        <v>18</v>
      </c>
      <c r="L1525" t="str">
        <f>T("9791172928162")</f>
        <v>9791172928162</v>
      </c>
      <c r="M1525" t="str">
        <f t="shared" si="35"/>
        <v/>
      </c>
      <c r="N1525">
        <v>938969</v>
      </c>
    </row>
    <row r="1526" spans="1:14" x14ac:dyDescent="0.3">
      <c r="A1526" s="1">
        <v>46077.899594907409</v>
      </c>
      <c r="B1526">
        <v>358357944</v>
      </c>
      <c r="C1526" t="s">
        <v>603</v>
      </c>
      <c r="D1526" t="s">
        <v>15</v>
      </c>
      <c r="E1526" s="2">
        <v>3200</v>
      </c>
      <c r="F1526" s="2">
        <v>3200</v>
      </c>
      <c r="G1526" s="2">
        <v>2240</v>
      </c>
      <c r="I1526" t="s">
        <v>599</v>
      </c>
      <c r="J1526" t="s">
        <v>52</v>
      </c>
      <c r="K1526" t="s">
        <v>18</v>
      </c>
      <c r="L1526" t="str">
        <f>T("9791172928209")</f>
        <v>9791172928209</v>
      </c>
      <c r="M1526" t="str">
        <f t="shared" si="35"/>
        <v/>
      </c>
      <c r="N1526">
        <v>938969</v>
      </c>
    </row>
    <row r="1527" spans="1:14" x14ac:dyDescent="0.3">
      <c r="A1527" s="1">
        <v>46077.899594907409</v>
      </c>
      <c r="B1527">
        <v>358357949</v>
      </c>
      <c r="C1527" t="s">
        <v>604</v>
      </c>
      <c r="D1527" t="s">
        <v>15</v>
      </c>
      <c r="E1527" s="2">
        <v>3200</v>
      </c>
      <c r="F1527" s="2">
        <v>3200</v>
      </c>
      <c r="G1527" s="2">
        <v>2240</v>
      </c>
      <c r="I1527" t="s">
        <v>599</v>
      </c>
      <c r="J1527" t="s">
        <v>52</v>
      </c>
      <c r="K1527" t="s">
        <v>18</v>
      </c>
      <c r="L1527" t="str">
        <f>T("9791172928193")</f>
        <v>9791172928193</v>
      </c>
      <c r="M1527" t="str">
        <f t="shared" si="35"/>
        <v/>
      </c>
      <c r="N1527">
        <v>938969</v>
      </c>
    </row>
    <row r="1528" spans="1:14" x14ac:dyDescent="0.3">
      <c r="A1528" s="1">
        <v>46077.899594907409</v>
      </c>
      <c r="B1528">
        <v>358357950</v>
      </c>
      <c r="C1528" t="s">
        <v>605</v>
      </c>
      <c r="D1528" t="s">
        <v>15</v>
      </c>
      <c r="E1528" s="2">
        <v>3200</v>
      </c>
      <c r="F1528" s="2">
        <v>3200</v>
      </c>
      <c r="G1528" s="2">
        <v>2240</v>
      </c>
      <c r="I1528" t="s">
        <v>599</v>
      </c>
      <c r="J1528" t="s">
        <v>52</v>
      </c>
      <c r="K1528" t="s">
        <v>18</v>
      </c>
      <c r="L1528" t="str">
        <f>T("9791172928216")</f>
        <v>9791172928216</v>
      </c>
      <c r="M1528" t="str">
        <f t="shared" si="35"/>
        <v/>
      </c>
      <c r="N1528">
        <v>938969</v>
      </c>
    </row>
    <row r="1529" spans="1:14" x14ac:dyDescent="0.3">
      <c r="A1529" s="1">
        <v>46077.906041666669</v>
      </c>
      <c r="B1529">
        <v>329693292</v>
      </c>
      <c r="C1529" t="s">
        <v>606</v>
      </c>
      <c r="D1529" t="s">
        <v>15</v>
      </c>
      <c r="E1529" s="2">
        <v>3200</v>
      </c>
      <c r="F1529" s="2">
        <v>3200</v>
      </c>
      <c r="G1529" s="2">
        <v>2240</v>
      </c>
      <c r="I1529" t="s">
        <v>77</v>
      </c>
      <c r="J1529" t="s">
        <v>79</v>
      </c>
      <c r="K1529" t="s">
        <v>18</v>
      </c>
      <c r="L1529" t="str">
        <f>T("9791136930316")</f>
        <v>9791136930316</v>
      </c>
      <c r="M1529" t="str">
        <f t="shared" si="35"/>
        <v/>
      </c>
      <c r="N1529">
        <v>894656</v>
      </c>
    </row>
    <row r="1530" spans="1:14" x14ac:dyDescent="0.3">
      <c r="A1530" s="1">
        <v>46077.912164351852</v>
      </c>
      <c r="B1530">
        <v>384177441</v>
      </c>
      <c r="C1530" t="s">
        <v>21</v>
      </c>
      <c r="D1530" t="s">
        <v>15</v>
      </c>
      <c r="E1530" s="2">
        <v>3500</v>
      </c>
      <c r="F1530" s="2">
        <v>3500</v>
      </c>
      <c r="G1530" s="2">
        <v>2450</v>
      </c>
      <c r="I1530" t="s">
        <v>22</v>
      </c>
      <c r="J1530" t="s">
        <v>23</v>
      </c>
      <c r="K1530" t="s">
        <v>18</v>
      </c>
      <c r="L1530" t="str">
        <f>T("9791175309821")</f>
        <v>9791175309821</v>
      </c>
      <c r="M1530" t="str">
        <f t="shared" si="35"/>
        <v/>
      </c>
      <c r="N1530">
        <v>958592</v>
      </c>
    </row>
    <row r="1531" spans="1:14" x14ac:dyDescent="0.3">
      <c r="A1531" s="1">
        <v>46077.942349537036</v>
      </c>
      <c r="B1531">
        <v>365656697</v>
      </c>
      <c r="C1531" t="s">
        <v>239</v>
      </c>
      <c r="D1531" t="s">
        <v>89</v>
      </c>
      <c r="E1531" s="2">
        <v>5760</v>
      </c>
      <c r="F1531" s="2">
        <v>5760</v>
      </c>
      <c r="G1531" s="2">
        <v>4032</v>
      </c>
      <c r="I1531" t="s">
        <v>240</v>
      </c>
      <c r="J1531" t="s">
        <v>49</v>
      </c>
      <c r="K1531" t="s">
        <v>18</v>
      </c>
      <c r="L1531" t="str">
        <f>T("9791173783630")</f>
        <v>9791173783630</v>
      </c>
      <c r="M1531" t="str">
        <f t="shared" si="35"/>
        <v/>
      </c>
    </row>
    <row r="1532" spans="1:14" x14ac:dyDescent="0.3">
      <c r="A1532" s="1">
        <v>46077.952303240738</v>
      </c>
      <c r="B1532">
        <v>329693310</v>
      </c>
      <c r="C1532" t="s">
        <v>607</v>
      </c>
      <c r="D1532" t="s">
        <v>15</v>
      </c>
      <c r="E1532" s="2">
        <v>3200</v>
      </c>
      <c r="F1532" s="2">
        <v>3200</v>
      </c>
      <c r="G1532" s="2">
        <v>2240</v>
      </c>
      <c r="I1532" t="s">
        <v>593</v>
      </c>
      <c r="J1532" t="s">
        <v>79</v>
      </c>
      <c r="K1532" t="s">
        <v>18</v>
      </c>
      <c r="L1532" t="str">
        <f>T("9791136930958")</f>
        <v>9791136930958</v>
      </c>
      <c r="M1532" t="str">
        <f t="shared" si="35"/>
        <v/>
      </c>
      <c r="N1532">
        <v>894618</v>
      </c>
    </row>
    <row r="1533" spans="1:14" x14ac:dyDescent="0.3">
      <c r="A1533" s="1">
        <v>46077.959837962961</v>
      </c>
      <c r="B1533">
        <v>331405871</v>
      </c>
      <c r="C1533" t="s">
        <v>543</v>
      </c>
      <c r="D1533" t="s">
        <v>89</v>
      </c>
      <c r="E1533" s="2">
        <v>18900</v>
      </c>
      <c r="F1533" s="2">
        <v>18900</v>
      </c>
      <c r="G1533" s="2">
        <v>13230</v>
      </c>
      <c r="I1533" t="s">
        <v>544</v>
      </c>
      <c r="J1533" t="s">
        <v>49</v>
      </c>
      <c r="K1533" t="s">
        <v>18</v>
      </c>
      <c r="L1533" t="str">
        <f>T("9791136940032")</f>
        <v>9791136940032</v>
      </c>
      <c r="M1533" t="str">
        <f t="shared" si="35"/>
        <v/>
      </c>
    </row>
    <row r="1534" spans="1:14" x14ac:dyDescent="0.3">
      <c r="A1534" s="1">
        <v>46077.970856481479</v>
      </c>
      <c r="B1534">
        <v>379386288</v>
      </c>
      <c r="C1534" t="s">
        <v>370</v>
      </c>
      <c r="D1534" t="s">
        <v>89</v>
      </c>
      <c r="E1534" s="2">
        <v>11280</v>
      </c>
      <c r="F1534" s="2">
        <v>11280</v>
      </c>
      <c r="G1534" s="2">
        <v>7896</v>
      </c>
      <c r="I1534" t="s">
        <v>102</v>
      </c>
      <c r="J1534" t="s">
        <v>23</v>
      </c>
      <c r="K1534" t="s">
        <v>18</v>
      </c>
      <c r="L1534" t="str">
        <f>T("9791175307438")</f>
        <v>9791175307438</v>
      </c>
      <c r="M1534" t="str">
        <f t="shared" si="35"/>
        <v/>
      </c>
    </row>
    <row r="1535" spans="1:14" x14ac:dyDescent="0.3">
      <c r="A1535" s="1">
        <v>46077.973344907405</v>
      </c>
      <c r="B1535">
        <v>386937104</v>
      </c>
      <c r="C1535" t="s">
        <v>579</v>
      </c>
      <c r="D1535" t="s">
        <v>89</v>
      </c>
      <c r="E1535" s="2">
        <v>8640</v>
      </c>
      <c r="F1535" s="2">
        <v>8640</v>
      </c>
      <c r="G1535" s="2">
        <v>6048</v>
      </c>
      <c r="I1535" t="s">
        <v>580</v>
      </c>
      <c r="J1535" t="s">
        <v>23</v>
      </c>
      <c r="K1535" t="s">
        <v>18</v>
      </c>
      <c r="L1535" t="str">
        <f>T("9791175309401")</f>
        <v>9791175309401</v>
      </c>
      <c r="M1535" t="str">
        <f t="shared" si="35"/>
        <v/>
      </c>
    </row>
    <row r="1536" spans="1:14" x14ac:dyDescent="0.3">
      <c r="A1536" s="1">
        <v>46077.977094907408</v>
      </c>
      <c r="B1536">
        <v>386937104</v>
      </c>
      <c r="C1536" t="s">
        <v>579</v>
      </c>
      <c r="D1536" t="s">
        <v>89</v>
      </c>
      <c r="E1536" s="2">
        <v>8640</v>
      </c>
      <c r="F1536" s="2">
        <v>8640</v>
      </c>
      <c r="G1536" s="2">
        <v>6048</v>
      </c>
      <c r="I1536" t="s">
        <v>580</v>
      </c>
      <c r="J1536" t="s">
        <v>23</v>
      </c>
      <c r="K1536" t="s">
        <v>18</v>
      </c>
      <c r="L1536" t="str">
        <f>T("9791175309401")</f>
        <v>9791175309401</v>
      </c>
      <c r="M1536" t="str">
        <f t="shared" si="35"/>
        <v/>
      </c>
    </row>
    <row r="1537" spans="1:14" x14ac:dyDescent="0.3">
      <c r="A1537" s="1">
        <v>46077.993703703702</v>
      </c>
      <c r="B1537">
        <v>371102770</v>
      </c>
      <c r="C1537" t="s">
        <v>395</v>
      </c>
      <c r="D1537" t="s">
        <v>89</v>
      </c>
      <c r="E1537" s="2">
        <v>6930</v>
      </c>
      <c r="F1537" s="2">
        <v>6930</v>
      </c>
      <c r="G1537" s="2">
        <v>4851</v>
      </c>
      <c r="I1537" t="s">
        <v>234</v>
      </c>
      <c r="J1537" t="s">
        <v>23</v>
      </c>
      <c r="K1537" t="s">
        <v>18</v>
      </c>
      <c r="L1537" t="str">
        <f>T("9791175300569")</f>
        <v>9791175300569</v>
      </c>
      <c r="M1537" t="str">
        <f t="shared" si="35"/>
        <v/>
      </c>
    </row>
    <row r="1538" spans="1:14" x14ac:dyDescent="0.3">
      <c r="A1538" s="1">
        <v>46077.997488425928</v>
      </c>
      <c r="B1538">
        <v>386937104</v>
      </c>
      <c r="C1538" t="s">
        <v>579</v>
      </c>
      <c r="D1538" t="s">
        <v>89</v>
      </c>
      <c r="E1538" s="2">
        <v>8640</v>
      </c>
      <c r="F1538" s="2">
        <v>8640</v>
      </c>
      <c r="G1538" s="2">
        <v>6048</v>
      </c>
      <c r="I1538" t="s">
        <v>580</v>
      </c>
      <c r="J1538" t="s">
        <v>23</v>
      </c>
      <c r="K1538" t="s">
        <v>18</v>
      </c>
      <c r="L1538" t="str">
        <f>T("9791175309401")</f>
        <v>9791175309401</v>
      </c>
      <c r="M1538" t="str">
        <f t="shared" si="35"/>
        <v/>
      </c>
    </row>
    <row r="1539" spans="1:14" x14ac:dyDescent="0.3">
      <c r="A1539" s="1">
        <v>46077.99858796296</v>
      </c>
      <c r="B1539">
        <v>385347662</v>
      </c>
      <c r="C1539" t="s">
        <v>103</v>
      </c>
      <c r="D1539" t="s">
        <v>15</v>
      </c>
      <c r="E1539" s="2">
        <v>3200</v>
      </c>
      <c r="F1539" s="2">
        <v>2880</v>
      </c>
      <c r="G1539" s="2">
        <v>2016</v>
      </c>
      <c r="I1539" t="s">
        <v>90</v>
      </c>
      <c r="J1539" t="s">
        <v>23</v>
      </c>
      <c r="K1539" t="s">
        <v>18</v>
      </c>
      <c r="L1539" t="str">
        <f>T("9791175308343")</f>
        <v>9791175308343</v>
      </c>
      <c r="M1539" t="str">
        <f t="shared" si="35"/>
        <v/>
      </c>
      <c r="N1539">
        <v>957885</v>
      </c>
    </row>
    <row r="1540" spans="1:14" x14ac:dyDescent="0.3">
      <c r="A1540" s="1">
        <v>46078.006354166668</v>
      </c>
      <c r="B1540">
        <v>386937104</v>
      </c>
      <c r="C1540" t="s">
        <v>579</v>
      </c>
      <c r="D1540" t="s">
        <v>89</v>
      </c>
      <c r="E1540" s="2">
        <v>8640</v>
      </c>
      <c r="F1540" s="2">
        <v>8640</v>
      </c>
      <c r="G1540" s="2">
        <v>6048</v>
      </c>
      <c r="I1540" t="s">
        <v>580</v>
      </c>
      <c r="J1540" t="s">
        <v>23</v>
      </c>
      <c r="K1540" t="s">
        <v>18</v>
      </c>
      <c r="L1540" t="str">
        <f>T("9791175309401")</f>
        <v>9791175309401</v>
      </c>
      <c r="M1540" t="str">
        <f t="shared" si="35"/>
        <v/>
      </c>
    </row>
    <row r="1541" spans="1:14" x14ac:dyDescent="0.3">
      <c r="A1541" s="1">
        <v>46078.064421296294</v>
      </c>
      <c r="B1541">
        <v>378759411</v>
      </c>
      <c r="C1541" t="s">
        <v>178</v>
      </c>
      <c r="D1541" t="s">
        <v>15</v>
      </c>
      <c r="E1541" s="2">
        <v>3000</v>
      </c>
      <c r="F1541" s="2">
        <v>2700</v>
      </c>
      <c r="G1541" s="2">
        <v>1890</v>
      </c>
      <c r="I1541" t="s">
        <v>87</v>
      </c>
      <c r="J1541" t="s">
        <v>23</v>
      </c>
      <c r="K1541" t="s">
        <v>18</v>
      </c>
      <c r="L1541" t="str">
        <f>T("9791175302846")</f>
        <v>9791175302846</v>
      </c>
      <c r="M1541" t="str">
        <f t="shared" si="35"/>
        <v/>
      </c>
      <c r="N1541">
        <v>954951</v>
      </c>
    </row>
    <row r="1542" spans="1:14" x14ac:dyDescent="0.3">
      <c r="A1542" s="1">
        <v>46078.154652777775</v>
      </c>
      <c r="B1542">
        <v>266511879</v>
      </c>
      <c r="C1542" t="s">
        <v>425</v>
      </c>
      <c r="D1542" t="s">
        <v>15</v>
      </c>
      <c r="E1542" s="2">
        <v>23500</v>
      </c>
      <c r="F1542" s="2">
        <v>23500</v>
      </c>
      <c r="G1542" s="2">
        <v>16450</v>
      </c>
      <c r="I1542" t="s">
        <v>198</v>
      </c>
      <c r="J1542" t="s">
        <v>49</v>
      </c>
      <c r="K1542" t="s">
        <v>18</v>
      </c>
      <c r="L1542" t="str">
        <f>T("9791136910295")</f>
        <v>9791136910295</v>
      </c>
      <c r="M1542" t="str">
        <f t="shared" si="35"/>
        <v/>
      </c>
    </row>
    <row r="1543" spans="1:14" x14ac:dyDescent="0.3">
      <c r="A1543" s="1">
        <v>46078.265243055554</v>
      </c>
      <c r="B1543">
        <v>311320990</v>
      </c>
      <c r="C1543" t="s">
        <v>129</v>
      </c>
      <c r="D1543" t="s">
        <v>15</v>
      </c>
      <c r="E1543">
        <v>0</v>
      </c>
      <c r="F1543">
        <v>0</v>
      </c>
      <c r="G1543">
        <v>0</v>
      </c>
      <c r="I1543" t="s">
        <v>130</v>
      </c>
      <c r="J1543" t="s">
        <v>59</v>
      </c>
      <c r="K1543" t="s">
        <v>18</v>
      </c>
      <c r="L1543" t="str">
        <f>T("9791136927880")</f>
        <v>9791136927880</v>
      </c>
      <c r="M1543" t="str">
        <f t="shared" si="35"/>
        <v/>
      </c>
      <c r="N1543">
        <v>889268</v>
      </c>
    </row>
    <row r="1544" spans="1:14" x14ac:dyDescent="0.3">
      <c r="A1544" s="1">
        <v>46078.384120370371</v>
      </c>
      <c r="B1544">
        <v>366387869</v>
      </c>
      <c r="C1544" t="s">
        <v>31</v>
      </c>
      <c r="D1544" t="s">
        <v>15</v>
      </c>
      <c r="E1544" s="2">
        <v>18300</v>
      </c>
      <c r="F1544" s="2">
        <v>18300</v>
      </c>
      <c r="G1544" s="2">
        <v>12810</v>
      </c>
      <c r="I1544" t="s">
        <v>32</v>
      </c>
      <c r="J1544" t="s">
        <v>23</v>
      </c>
      <c r="K1544" t="s">
        <v>18</v>
      </c>
      <c r="L1544" t="str">
        <f>T("9791173786648")</f>
        <v>9791173786648</v>
      </c>
      <c r="M1544" t="str">
        <f t="shared" si="35"/>
        <v/>
      </c>
    </row>
    <row r="1545" spans="1:14" x14ac:dyDescent="0.3">
      <c r="A1545" s="1">
        <v>46078.44158564815</v>
      </c>
      <c r="B1545">
        <v>342333105</v>
      </c>
      <c r="C1545" t="s">
        <v>181</v>
      </c>
      <c r="D1545" t="s">
        <v>15</v>
      </c>
      <c r="E1545" s="2">
        <v>1500</v>
      </c>
      <c r="F1545" s="2">
        <v>1500</v>
      </c>
      <c r="G1545" s="2">
        <v>1050</v>
      </c>
      <c r="I1545" t="s">
        <v>102</v>
      </c>
      <c r="J1545" t="s">
        <v>23</v>
      </c>
      <c r="K1545" t="s">
        <v>18</v>
      </c>
      <c r="L1545" t="str">
        <f>T("9791136979780")</f>
        <v>9791136979780</v>
      </c>
      <c r="M1545" t="str">
        <f t="shared" si="35"/>
        <v/>
      </c>
      <c r="N1545">
        <v>926740</v>
      </c>
    </row>
    <row r="1546" spans="1:14" x14ac:dyDescent="0.3">
      <c r="A1546" s="1">
        <v>46078.448645833334</v>
      </c>
      <c r="B1546">
        <v>346721915</v>
      </c>
      <c r="C1546" t="s">
        <v>608</v>
      </c>
      <c r="D1546" t="s">
        <v>15</v>
      </c>
      <c r="E1546" s="2">
        <v>3800</v>
      </c>
      <c r="F1546" s="2">
        <v>3800</v>
      </c>
      <c r="G1546" s="2">
        <v>2660</v>
      </c>
      <c r="I1546" t="s">
        <v>99</v>
      </c>
      <c r="J1546" t="s">
        <v>23</v>
      </c>
      <c r="K1546" t="s">
        <v>18</v>
      </c>
      <c r="L1546" t="str">
        <f>T("9791136995032")</f>
        <v>9791136995032</v>
      </c>
      <c r="M1546" t="str">
        <f t="shared" si="35"/>
        <v/>
      </c>
      <c r="N1546">
        <v>928419</v>
      </c>
    </row>
    <row r="1547" spans="1:14" x14ac:dyDescent="0.3">
      <c r="A1547" s="1">
        <v>46078.457673611112</v>
      </c>
      <c r="B1547">
        <v>376322335</v>
      </c>
      <c r="C1547" t="s">
        <v>609</v>
      </c>
      <c r="D1547" t="s">
        <v>15</v>
      </c>
      <c r="E1547" s="2">
        <v>3200</v>
      </c>
      <c r="F1547" s="2">
        <v>3200</v>
      </c>
      <c r="G1547" s="2">
        <v>2240</v>
      </c>
      <c r="I1547" t="s">
        <v>409</v>
      </c>
      <c r="J1547" t="s">
        <v>23</v>
      </c>
      <c r="K1547" t="s">
        <v>18</v>
      </c>
      <c r="L1547" t="str">
        <f>T("9791175302938")</f>
        <v>9791175302938</v>
      </c>
      <c r="M1547" t="str">
        <f t="shared" si="35"/>
        <v/>
      </c>
      <c r="N1547">
        <v>954925</v>
      </c>
    </row>
    <row r="1548" spans="1:14" x14ac:dyDescent="0.3">
      <c r="A1548" s="1">
        <v>46078.578009259261</v>
      </c>
      <c r="B1548">
        <v>386937104</v>
      </c>
      <c r="C1548" t="s">
        <v>579</v>
      </c>
      <c r="D1548" t="s">
        <v>89</v>
      </c>
      <c r="E1548" s="2">
        <v>8640</v>
      </c>
      <c r="F1548" s="2">
        <v>8640</v>
      </c>
      <c r="G1548" s="2">
        <v>6048</v>
      </c>
      <c r="I1548" t="s">
        <v>580</v>
      </c>
      <c r="J1548" t="s">
        <v>23</v>
      </c>
      <c r="K1548" t="s">
        <v>18</v>
      </c>
      <c r="L1548" t="str">
        <f>T("9791175309401")</f>
        <v>9791175309401</v>
      </c>
      <c r="M1548" t="str">
        <f t="shared" si="35"/>
        <v/>
      </c>
    </row>
    <row r="1549" spans="1:14" x14ac:dyDescent="0.3">
      <c r="A1549" s="1">
        <v>46078.613182870373</v>
      </c>
      <c r="B1549">
        <v>379385369</v>
      </c>
      <c r="C1549" t="s">
        <v>101</v>
      </c>
      <c r="D1549" t="s">
        <v>15</v>
      </c>
      <c r="E1549" s="2">
        <v>1500</v>
      </c>
      <c r="F1549" s="2">
        <v>1500</v>
      </c>
      <c r="G1549" s="2">
        <v>1050</v>
      </c>
      <c r="I1549" t="s">
        <v>102</v>
      </c>
      <c r="J1549" t="s">
        <v>23</v>
      </c>
      <c r="K1549" t="s">
        <v>18</v>
      </c>
      <c r="L1549" t="str">
        <f>T("9791175307254")</f>
        <v>9791175307254</v>
      </c>
      <c r="M1549" t="str">
        <f t="shared" si="35"/>
        <v/>
      </c>
      <c r="N1549">
        <v>957333</v>
      </c>
    </row>
    <row r="1550" spans="1:14" x14ac:dyDescent="0.3">
      <c r="A1550" s="1">
        <v>46078.629282407404</v>
      </c>
      <c r="B1550">
        <v>269399629</v>
      </c>
      <c r="C1550" t="s">
        <v>610</v>
      </c>
      <c r="D1550" t="s">
        <v>15</v>
      </c>
      <c r="E1550">
        <v>0</v>
      </c>
      <c r="F1550">
        <v>0</v>
      </c>
      <c r="G1550">
        <v>0</v>
      </c>
      <c r="I1550" t="s">
        <v>193</v>
      </c>
      <c r="J1550" t="s">
        <v>59</v>
      </c>
      <c r="K1550" t="s">
        <v>18</v>
      </c>
      <c r="L1550" t="str">
        <f>T("9791136907233")</f>
        <v>9791136907233</v>
      </c>
      <c r="M1550" t="str">
        <f t="shared" si="35"/>
        <v/>
      </c>
      <c r="N1550">
        <v>816679</v>
      </c>
    </row>
    <row r="1551" spans="1:14" x14ac:dyDescent="0.3">
      <c r="A1551" s="1">
        <v>46078.663263888891</v>
      </c>
      <c r="B1551">
        <v>385636024</v>
      </c>
      <c r="C1551" t="s">
        <v>379</v>
      </c>
      <c r="D1551" t="s">
        <v>15</v>
      </c>
      <c r="E1551" s="2">
        <v>3500</v>
      </c>
      <c r="F1551" s="2">
        <v>3150</v>
      </c>
      <c r="G1551" s="2">
        <v>2205</v>
      </c>
      <c r="I1551" t="s">
        <v>246</v>
      </c>
      <c r="J1551" t="s">
        <v>23</v>
      </c>
      <c r="K1551" t="s">
        <v>18</v>
      </c>
      <c r="L1551" t="str">
        <f>T("9791175309548")</f>
        <v>9791175309548</v>
      </c>
      <c r="M1551" t="str">
        <f t="shared" si="35"/>
        <v/>
      </c>
      <c r="N1551">
        <v>958040</v>
      </c>
    </row>
    <row r="1552" spans="1:14" x14ac:dyDescent="0.3">
      <c r="A1552" s="1">
        <v>46078.72079861111</v>
      </c>
      <c r="B1552">
        <v>385347796</v>
      </c>
      <c r="C1552" t="s">
        <v>107</v>
      </c>
      <c r="D1552" t="s">
        <v>15</v>
      </c>
      <c r="E1552" s="2">
        <v>3200</v>
      </c>
      <c r="F1552" s="2">
        <v>2880</v>
      </c>
      <c r="G1552" s="2">
        <v>2016</v>
      </c>
      <c r="I1552" t="s">
        <v>90</v>
      </c>
      <c r="J1552" t="s">
        <v>23</v>
      </c>
      <c r="K1552" t="s">
        <v>18</v>
      </c>
      <c r="L1552" t="str">
        <f>T("9791175308312")</f>
        <v>9791175308312</v>
      </c>
      <c r="M1552" t="str">
        <f t="shared" si="35"/>
        <v/>
      </c>
      <c r="N1552">
        <v>957884</v>
      </c>
    </row>
    <row r="1553" spans="1:14" x14ac:dyDescent="0.3">
      <c r="A1553" s="1">
        <v>46078.72079861111</v>
      </c>
      <c r="B1553">
        <v>385347662</v>
      </c>
      <c r="C1553" t="s">
        <v>103</v>
      </c>
      <c r="D1553" t="s">
        <v>15</v>
      </c>
      <c r="E1553" s="2">
        <v>3200</v>
      </c>
      <c r="F1553" s="2">
        <v>2880</v>
      </c>
      <c r="G1553" s="2">
        <v>2016</v>
      </c>
      <c r="I1553" t="s">
        <v>90</v>
      </c>
      <c r="J1553" t="s">
        <v>23</v>
      </c>
      <c r="K1553" t="s">
        <v>18</v>
      </c>
      <c r="L1553" t="str">
        <f>T("9791175308343")</f>
        <v>9791175308343</v>
      </c>
      <c r="M1553" t="str">
        <f t="shared" si="35"/>
        <v/>
      </c>
      <c r="N1553">
        <v>957885</v>
      </c>
    </row>
    <row r="1554" spans="1:14" x14ac:dyDescent="0.3">
      <c r="A1554" s="1">
        <v>46078.733738425923</v>
      </c>
      <c r="B1554">
        <v>333372079</v>
      </c>
      <c r="C1554" t="s">
        <v>611</v>
      </c>
      <c r="D1554" t="s">
        <v>15</v>
      </c>
      <c r="E1554" s="2">
        <v>48000</v>
      </c>
      <c r="F1554" s="2">
        <v>48000</v>
      </c>
      <c r="G1554" s="2">
        <v>33600</v>
      </c>
      <c r="I1554" t="s">
        <v>612</v>
      </c>
      <c r="J1554" t="s">
        <v>59</v>
      </c>
      <c r="K1554" t="s">
        <v>18</v>
      </c>
      <c r="L1554" t="str">
        <f>T("9791136946751")</f>
        <v>9791136946751</v>
      </c>
      <c r="M1554" t="str">
        <f t="shared" si="35"/>
        <v/>
      </c>
    </row>
    <row r="1555" spans="1:14" x14ac:dyDescent="0.3">
      <c r="A1555" s="1">
        <v>46078.784062500003</v>
      </c>
      <c r="B1555">
        <v>346154719</v>
      </c>
      <c r="C1555" t="s">
        <v>44</v>
      </c>
      <c r="D1555" t="s">
        <v>15</v>
      </c>
      <c r="E1555" s="2">
        <v>3300</v>
      </c>
      <c r="F1555" s="2">
        <v>3300</v>
      </c>
      <c r="G1555" s="2">
        <v>2310</v>
      </c>
      <c r="I1555" t="s">
        <v>32</v>
      </c>
      <c r="J1555" t="s">
        <v>23</v>
      </c>
      <c r="K1555" t="s">
        <v>18</v>
      </c>
      <c r="L1555" t="str">
        <f>T("9791136927675")</f>
        <v>9791136927675</v>
      </c>
      <c r="M1555" t="str">
        <f t="shared" si="35"/>
        <v/>
      </c>
      <c r="N1555">
        <v>928443</v>
      </c>
    </row>
    <row r="1556" spans="1:14" x14ac:dyDescent="0.3">
      <c r="A1556" s="1">
        <v>46078.784062500003</v>
      </c>
      <c r="B1556">
        <v>346154245</v>
      </c>
      <c r="C1556" t="s">
        <v>45</v>
      </c>
      <c r="D1556" t="s">
        <v>15</v>
      </c>
      <c r="E1556" s="2">
        <v>3300</v>
      </c>
      <c r="F1556" s="2">
        <v>3300</v>
      </c>
      <c r="G1556" s="2">
        <v>2310</v>
      </c>
      <c r="I1556" t="s">
        <v>32</v>
      </c>
      <c r="J1556" t="s">
        <v>23</v>
      </c>
      <c r="K1556" t="s">
        <v>18</v>
      </c>
      <c r="L1556" t="str">
        <f>T("9791136940728")</f>
        <v>9791136940728</v>
      </c>
      <c r="M1556" t="str">
        <f t="shared" si="35"/>
        <v/>
      </c>
      <c r="N1556">
        <v>928441</v>
      </c>
    </row>
    <row r="1557" spans="1:14" x14ac:dyDescent="0.3">
      <c r="A1557" s="1">
        <v>46078.784062500003</v>
      </c>
      <c r="B1557">
        <v>346154276</v>
      </c>
      <c r="C1557" t="s">
        <v>46</v>
      </c>
      <c r="D1557" t="s">
        <v>15</v>
      </c>
      <c r="E1557" s="2">
        <v>3300</v>
      </c>
      <c r="F1557" s="2">
        <v>3300</v>
      </c>
      <c r="G1557" s="2">
        <v>2310</v>
      </c>
      <c r="I1557" t="s">
        <v>32</v>
      </c>
      <c r="J1557" t="s">
        <v>23</v>
      </c>
      <c r="K1557" t="s">
        <v>18</v>
      </c>
      <c r="L1557" t="str">
        <f>T("9791136940704")</f>
        <v>9791136940704</v>
      </c>
      <c r="M1557" t="str">
        <f t="shared" si="35"/>
        <v/>
      </c>
      <c r="N1557">
        <v>928442</v>
      </c>
    </row>
    <row r="1558" spans="1:14" x14ac:dyDescent="0.3">
      <c r="A1558" s="1">
        <v>46078.797777777778</v>
      </c>
      <c r="B1558">
        <v>359779074</v>
      </c>
      <c r="C1558" t="s">
        <v>385</v>
      </c>
      <c r="D1558" t="s">
        <v>89</v>
      </c>
      <c r="E1558" s="2">
        <v>12040</v>
      </c>
      <c r="F1558" s="2">
        <v>12040</v>
      </c>
      <c r="G1558" s="2">
        <v>8428</v>
      </c>
      <c r="I1558" t="s">
        <v>99</v>
      </c>
      <c r="J1558" t="s">
        <v>23</v>
      </c>
      <c r="K1558" t="s">
        <v>18</v>
      </c>
      <c r="L1558" t="str">
        <f>T("9791194664475")</f>
        <v>9791194664475</v>
      </c>
      <c r="M1558" t="str">
        <f t="shared" si="35"/>
        <v/>
      </c>
    </row>
    <row r="1559" spans="1:14" x14ac:dyDescent="0.3">
      <c r="A1559" s="1">
        <v>46078.802662037036</v>
      </c>
      <c r="B1559">
        <v>361759394</v>
      </c>
      <c r="C1559" t="s">
        <v>434</v>
      </c>
      <c r="D1559" t="s">
        <v>15</v>
      </c>
      <c r="E1559" s="2">
        <v>5000</v>
      </c>
      <c r="F1559" s="2">
        <v>5000</v>
      </c>
      <c r="G1559" s="2">
        <v>3500</v>
      </c>
      <c r="I1559" t="s">
        <v>198</v>
      </c>
      <c r="J1559" t="s">
        <v>49</v>
      </c>
      <c r="K1559" t="s">
        <v>18</v>
      </c>
      <c r="L1559" t="str">
        <f>T("9791173783272")</f>
        <v>9791173783272</v>
      </c>
      <c r="M1559" t="str">
        <f t="shared" si="35"/>
        <v/>
      </c>
      <c r="N1559">
        <v>947663</v>
      </c>
    </row>
    <row r="1560" spans="1:14" x14ac:dyDescent="0.3">
      <c r="A1560" s="1">
        <v>46078.838483796295</v>
      </c>
      <c r="B1560">
        <v>366387869</v>
      </c>
      <c r="C1560" t="s">
        <v>31</v>
      </c>
      <c r="D1560" t="s">
        <v>15</v>
      </c>
      <c r="E1560" s="2">
        <v>18300</v>
      </c>
      <c r="F1560" s="2">
        <v>18300</v>
      </c>
      <c r="G1560" s="2">
        <v>12810</v>
      </c>
      <c r="I1560" t="s">
        <v>32</v>
      </c>
      <c r="J1560" t="s">
        <v>23</v>
      </c>
      <c r="K1560" t="s">
        <v>18</v>
      </c>
      <c r="L1560" t="str">
        <f>T("9791173786648")</f>
        <v>9791173786648</v>
      </c>
      <c r="M1560" t="str">
        <f t="shared" si="35"/>
        <v/>
      </c>
    </row>
    <row r="1561" spans="1:14" x14ac:dyDescent="0.3">
      <c r="A1561" s="1">
        <v>46078.845543981479</v>
      </c>
      <c r="B1561">
        <v>346154285</v>
      </c>
      <c r="C1561" t="s">
        <v>191</v>
      </c>
      <c r="D1561" t="s">
        <v>15</v>
      </c>
      <c r="E1561" s="2">
        <v>3300</v>
      </c>
      <c r="F1561" s="2">
        <v>3300</v>
      </c>
      <c r="G1561" s="2">
        <v>2310</v>
      </c>
      <c r="I1561" t="s">
        <v>32</v>
      </c>
      <c r="J1561" t="s">
        <v>23</v>
      </c>
      <c r="K1561" t="s">
        <v>18</v>
      </c>
      <c r="L1561" t="str">
        <f>T("9791136927248")</f>
        <v>9791136927248</v>
      </c>
      <c r="M1561" t="str">
        <f t="shared" si="35"/>
        <v/>
      </c>
      <c r="N1561">
        <v>928445</v>
      </c>
    </row>
    <row r="1562" spans="1:14" x14ac:dyDescent="0.3">
      <c r="A1562" s="1">
        <v>46078.845543981479</v>
      </c>
      <c r="B1562">
        <v>346154638</v>
      </c>
      <c r="C1562" t="s">
        <v>43</v>
      </c>
      <c r="D1562" t="s">
        <v>15</v>
      </c>
      <c r="E1562" s="2">
        <v>3300</v>
      </c>
      <c r="F1562" s="2">
        <v>3300</v>
      </c>
      <c r="G1562" s="2">
        <v>2310</v>
      </c>
      <c r="I1562" t="s">
        <v>32</v>
      </c>
      <c r="J1562" t="s">
        <v>23</v>
      </c>
      <c r="K1562" t="s">
        <v>18</v>
      </c>
      <c r="L1562" t="str">
        <f>T("9791136927255")</f>
        <v>9791136927255</v>
      </c>
      <c r="M1562" t="str">
        <f t="shared" si="35"/>
        <v/>
      </c>
      <c r="N1562">
        <v>928444</v>
      </c>
    </row>
    <row r="1563" spans="1:14" x14ac:dyDescent="0.3">
      <c r="A1563" s="1">
        <v>46078.864201388889</v>
      </c>
      <c r="B1563">
        <v>386937104</v>
      </c>
      <c r="C1563" t="s">
        <v>579</v>
      </c>
      <c r="D1563" t="s">
        <v>89</v>
      </c>
      <c r="E1563" s="2">
        <v>8640</v>
      </c>
      <c r="F1563" s="2">
        <v>8640</v>
      </c>
      <c r="G1563" s="2">
        <v>6048</v>
      </c>
      <c r="I1563" t="s">
        <v>580</v>
      </c>
      <c r="J1563" t="s">
        <v>23</v>
      </c>
      <c r="K1563" t="s">
        <v>18</v>
      </c>
      <c r="L1563" t="str">
        <f>T("9791175309401")</f>
        <v>9791175309401</v>
      </c>
      <c r="M1563" t="str">
        <f t="shared" si="35"/>
        <v/>
      </c>
    </row>
    <row r="1564" spans="1:14" x14ac:dyDescent="0.3">
      <c r="A1564" s="1">
        <v>46078.886666666665</v>
      </c>
      <c r="B1564">
        <v>378219287</v>
      </c>
      <c r="C1564" t="s">
        <v>202</v>
      </c>
      <c r="D1564" t="s">
        <v>89</v>
      </c>
      <c r="E1564" s="2">
        <v>8400</v>
      </c>
      <c r="F1564" s="2">
        <v>8400</v>
      </c>
      <c r="G1564" s="2">
        <v>5880</v>
      </c>
      <c r="I1564" t="s">
        <v>203</v>
      </c>
      <c r="J1564" t="s">
        <v>23</v>
      </c>
      <c r="K1564" t="s">
        <v>18</v>
      </c>
      <c r="L1564" t="str">
        <f>T("9791175302747")</f>
        <v>9791175302747</v>
      </c>
      <c r="M1564" t="str">
        <f t="shared" si="35"/>
        <v/>
      </c>
    </row>
    <row r="1565" spans="1:14" x14ac:dyDescent="0.3">
      <c r="A1565" s="1">
        <v>46078.904374999998</v>
      </c>
      <c r="B1565">
        <v>361759394</v>
      </c>
      <c r="C1565" t="s">
        <v>434</v>
      </c>
      <c r="D1565" t="s">
        <v>15</v>
      </c>
      <c r="E1565" s="2">
        <v>5000</v>
      </c>
      <c r="F1565" s="2">
        <v>5000</v>
      </c>
      <c r="G1565" s="2">
        <v>3500</v>
      </c>
      <c r="I1565" t="s">
        <v>198</v>
      </c>
      <c r="J1565" t="s">
        <v>49</v>
      </c>
      <c r="K1565" t="s">
        <v>18</v>
      </c>
      <c r="L1565" t="str">
        <f>T("9791173783272")</f>
        <v>9791173783272</v>
      </c>
      <c r="M1565" t="str">
        <f t="shared" ref="M1565:M1628" si="36">T("")</f>
        <v/>
      </c>
      <c r="N1565">
        <v>947663</v>
      </c>
    </row>
    <row r="1566" spans="1:14" x14ac:dyDescent="0.3">
      <c r="A1566" s="1">
        <v>46078.930671296293</v>
      </c>
      <c r="B1566">
        <v>379189342</v>
      </c>
      <c r="C1566" t="s">
        <v>123</v>
      </c>
      <c r="D1566" t="s">
        <v>15</v>
      </c>
      <c r="E1566" s="2">
        <v>1000</v>
      </c>
      <c r="F1566" s="2">
        <v>1000</v>
      </c>
      <c r="G1566">
        <v>700</v>
      </c>
      <c r="I1566" t="s">
        <v>124</v>
      </c>
      <c r="J1566" t="s">
        <v>23</v>
      </c>
      <c r="K1566" t="s">
        <v>18</v>
      </c>
      <c r="L1566" t="str">
        <f>T("9791175303560")</f>
        <v>9791175303560</v>
      </c>
      <c r="M1566" t="str">
        <f t="shared" si="36"/>
        <v/>
      </c>
      <c r="N1566">
        <v>956222</v>
      </c>
    </row>
    <row r="1567" spans="1:14" x14ac:dyDescent="0.3">
      <c r="A1567" s="1">
        <v>46078.950300925928</v>
      </c>
      <c r="B1567">
        <v>330053102</v>
      </c>
      <c r="C1567" t="s">
        <v>613</v>
      </c>
      <c r="D1567" t="s">
        <v>15</v>
      </c>
      <c r="E1567" s="2">
        <v>6500</v>
      </c>
      <c r="F1567" s="2">
        <v>6500</v>
      </c>
      <c r="G1567" s="2">
        <v>4550</v>
      </c>
      <c r="I1567" t="s">
        <v>106</v>
      </c>
      <c r="J1567" t="s">
        <v>49</v>
      </c>
      <c r="K1567" t="s">
        <v>18</v>
      </c>
      <c r="L1567" t="str">
        <f>T("9791136945105")</f>
        <v>9791136945105</v>
      </c>
      <c r="M1567" t="str">
        <f t="shared" si="36"/>
        <v/>
      </c>
      <c r="N1567">
        <v>919042</v>
      </c>
    </row>
    <row r="1568" spans="1:14" x14ac:dyDescent="0.3">
      <c r="A1568" s="1">
        <v>46078.950300925928</v>
      </c>
      <c r="B1568">
        <v>330053122</v>
      </c>
      <c r="C1568" t="s">
        <v>614</v>
      </c>
      <c r="D1568" t="s">
        <v>15</v>
      </c>
      <c r="E1568" s="2">
        <v>3000</v>
      </c>
      <c r="F1568" s="2">
        <v>3000</v>
      </c>
      <c r="G1568" s="2">
        <v>2100</v>
      </c>
      <c r="I1568" t="s">
        <v>106</v>
      </c>
      <c r="J1568" t="s">
        <v>49</v>
      </c>
      <c r="K1568" t="s">
        <v>18</v>
      </c>
      <c r="L1568" t="str">
        <f>T("9791136945129")</f>
        <v>9791136945129</v>
      </c>
      <c r="M1568" t="str">
        <f t="shared" si="36"/>
        <v/>
      </c>
      <c r="N1568">
        <v>919041</v>
      </c>
    </row>
    <row r="1569" spans="1:14" x14ac:dyDescent="0.3">
      <c r="A1569" s="1">
        <v>46078.963761574072</v>
      </c>
      <c r="B1569">
        <v>371102770</v>
      </c>
      <c r="C1569" t="s">
        <v>395</v>
      </c>
      <c r="D1569" t="s">
        <v>89</v>
      </c>
      <c r="E1569" s="2">
        <v>6930</v>
      </c>
      <c r="F1569" s="2">
        <v>6930</v>
      </c>
      <c r="G1569" s="2">
        <v>4851</v>
      </c>
      <c r="I1569" t="s">
        <v>234</v>
      </c>
      <c r="J1569" t="s">
        <v>23</v>
      </c>
      <c r="K1569" t="s">
        <v>18</v>
      </c>
      <c r="L1569" t="str">
        <f>T("9791175300569")</f>
        <v>9791175300569</v>
      </c>
      <c r="M1569" t="str">
        <f t="shared" si="36"/>
        <v/>
      </c>
    </row>
    <row r="1570" spans="1:14" x14ac:dyDescent="0.3">
      <c r="A1570" s="1">
        <v>46078.976307870369</v>
      </c>
      <c r="B1570">
        <v>346154638</v>
      </c>
      <c r="C1570" t="s">
        <v>43</v>
      </c>
      <c r="D1570" t="s">
        <v>15</v>
      </c>
      <c r="E1570" s="2">
        <v>3300</v>
      </c>
      <c r="F1570" s="2">
        <v>3300</v>
      </c>
      <c r="G1570" s="2">
        <v>2310</v>
      </c>
      <c r="I1570" t="s">
        <v>32</v>
      </c>
      <c r="J1570" t="s">
        <v>23</v>
      </c>
      <c r="K1570" t="s">
        <v>18</v>
      </c>
      <c r="L1570" t="str">
        <f>T("9791136927255")</f>
        <v>9791136927255</v>
      </c>
      <c r="M1570" t="str">
        <f t="shared" si="36"/>
        <v/>
      </c>
      <c r="N1570">
        <v>928444</v>
      </c>
    </row>
    <row r="1571" spans="1:14" x14ac:dyDescent="0.3">
      <c r="A1571" s="1">
        <v>46078.977233796293</v>
      </c>
      <c r="B1571">
        <v>369053799</v>
      </c>
      <c r="C1571" t="s">
        <v>615</v>
      </c>
      <c r="D1571" t="s">
        <v>15</v>
      </c>
      <c r="E1571">
        <v>0</v>
      </c>
      <c r="F1571">
        <v>0</v>
      </c>
      <c r="G1571">
        <v>0</v>
      </c>
      <c r="I1571" t="s">
        <v>365</v>
      </c>
      <c r="J1571" t="s">
        <v>59</v>
      </c>
      <c r="K1571" t="s">
        <v>18</v>
      </c>
      <c r="L1571" t="str">
        <f>T("9791172926076")</f>
        <v>9791172926076</v>
      </c>
      <c r="M1571" t="str">
        <f t="shared" si="36"/>
        <v/>
      </c>
      <c r="N1571">
        <v>936963</v>
      </c>
    </row>
    <row r="1572" spans="1:14" x14ac:dyDescent="0.3">
      <c r="A1572" s="1">
        <v>46078.98704861111</v>
      </c>
      <c r="B1572">
        <v>365656697</v>
      </c>
      <c r="C1572" t="s">
        <v>239</v>
      </c>
      <c r="D1572" t="s">
        <v>89</v>
      </c>
      <c r="E1572" s="2">
        <v>5760</v>
      </c>
      <c r="F1572" s="2">
        <v>5760</v>
      </c>
      <c r="G1572" s="2">
        <v>4032</v>
      </c>
      <c r="I1572" t="s">
        <v>240</v>
      </c>
      <c r="J1572" t="s">
        <v>49</v>
      </c>
      <c r="K1572" t="s">
        <v>18</v>
      </c>
      <c r="L1572" t="str">
        <f>T("9791173783630")</f>
        <v>9791173783630</v>
      </c>
      <c r="M1572" t="str">
        <f t="shared" si="36"/>
        <v/>
      </c>
    </row>
    <row r="1573" spans="1:14" x14ac:dyDescent="0.3">
      <c r="A1573" s="1">
        <v>46079.979513888888</v>
      </c>
      <c r="B1573">
        <v>359779074</v>
      </c>
      <c r="C1573" t="s">
        <v>385</v>
      </c>
      <c r="D1573" t="s">
        <v>89</v>
      </c>
      <c r="E1573" s="2">
        <v>-12040</v>
      </c>
      <c r="F1573" s="2">
        <v>-12040</v>
      </c>
      <c r="G1573" s="2">
        <v>-8428</v>
      </c>
      <c r="H1573" s="1">
        <v>46078.988113425927</v>
      </c>
      <c r="I1573" t="s">
        <v>99</v>
      </c>
      <c r="J1573" t="s">
        <v>23</v>
      </c>
      <c r="K1573" t="s">
        <v>18</v>
      </c>
      <c r="L1573" t="str">
        <f>T("9791194664475")</f>
        <v>9791194664475</v>
      </c>
      <c r="M1573" t="str">
        <f t="shared" si="36"/>
        <v/>
      </c>
    </row>
    <row r="1574" spans="1:14" x14ac:dyDescent="0.3">
      <c r="A1574" s="1">
        <v>46078.988113425927</v>
      </c>
      <c r="B1574">
        <v>359779074</v>
      </c>
      <c r="C1574" t="s">
        <v>385</v>
      </c>
      <c r="D1574" t="s">
        <v>89</v>
      </c>
      <c r="E1574" s="2">
        <v>12040</v>
      </c>
      <c r="F1574" s="2">
        <v>12040</v>
      </c>
      <c r="G1574" s="2">
        <v>8428</v>
      </c>
      <c r="I1574" t="s">
        <v>99</v>
      </c>
      <c r="J1574" t="s">
        <v>23</v>
      </c>
      <c r="K1574" t="s">
        <v>18</v>
      </c>
      <c r="L1574" t="str">
        <f>T("9791194664475")</f>
        <v>9791194664475</v>
      </c>
      <c r="M1574" t="str">
        <f t="shared" si="36"/>
        <v/>
      </c>
    </row>
    <row r="1575" spans="1:14" x14ac:dyDescent="0.3">
      <c r="A1575" s="1">
        <v>46079.071030092593</v>
      </c>
      <c r="B1575">
        <v>379386288</v>
      </c>
      <c r="C1575" t="s">
        <v>370</v>
      </c>
      <c r="D1575" t="s">
        <v>15</v>
      </c>
      <c r="E1575" s="2">
        <v>14100</v>
      </c>
      <c r="F1575" s="2">
        <v>14100</v>
      </c>
      <c r="G1575" s="2">
        <v>9870</v>
      </c>
      <c r="I1575" t="s">
        <v>102</v>
      </c>
      <c r="J1575" t="s">
        <v>23</v>
      </c>
      <c r="K1575" t="s">
        <v>18</v>
      </c>
      <c r="L1575" t="str">
        <f>T("9791175307438")</f>
        <v>9791175307438</v>
      </c>
      <c r="M1575" t="str">
        <f t="shared" si="36"/>
        <v/>
      </c>
    </row>
    <row r="1576" spans="1:14" x14ac:dyDescent="0.3">
      <c r="A1576" s="1">
        <v>46079.134050925924</v>
      </c>
      <c r="B1576">
        <v>346154719</v>
      </c>
      <c r="C1576" t="s">
        <v>44</v>
      </c>
      <c r="D1576" t="s">
        <v>15</v>
      </c>
      <c r="E1576" s="2">
        <v>3300</v>
      </c>
      <c r="F1576" s="2">
        <v>3300</v>
      </c>
      <c r="G1576" s="2">
        <v>2310</v>
      </c>
      <c r="I1576" t="s">
        <v>32</v>
      </c>
      <c r="J1576" t="s">
        <v>23</v>
      </c>
      <c r="K1576" t="s">
        <v>18</v>
      </c>
      <c r="L1576" t="str">
        <f>T("9791136927675")</f>
        <v>9791136927675</v>
      </c>
      <c r="M1576" t="str">
        <f t="shared" si="36"/>
        <v/>
      </c>
      <c r="N1576">
        <v>928443</v>
      </c>
    </row>
    <row r="1577" spans="1:14" x14ac:dyDescent="0.3">
      <c r="A1577" s="1">
        <v>46079.13721064815</v>
      </c>
      <c r="B1577">
        <v>346154719</v>
      </c>
      <c r="C1577" t="s">
        <v>44</v>
      </c>
      <c r="D1577" t="s">
        <v>15</v>
      </c>
      <c r="E1577" s="2">
        <v>3300</v>
      </c>
      <c r="F1577" s="2">
        <v>3300</v>
      </c>
      <c r="G1577" s="2">
        <v>2310</v>
      </c>
      <c r="I1577" t="s">
        <v>32</v>
      </c>
      <c r="J1577" t="s">
        <v>23</v>
      </c>
      <c r="K1577" t="s">
        <v>18</v>
      </c>
      <c r="L1577" t="str">
        <f>T("9791136927675")</f>
        <v>9791136927675</v>
      </c>
      <c r="M1577" t="str">
        <f t="shared" si="36"/>
        <v/>
      </c>
      <c r="N1577">
        <v>928443</v>
      </c>
    </row>
    <row r="1578" spans="1:14" x14ac:dyDescent="0.3">
      <c r="A1578" s="1">
        <v>46079.301099537035</v>
      </c>
      <c r="B1578">
        <v>266511272</v>
      </c>
      <c r="C1578" t="s">
        <v>429</v>
      </c>
      <c r="D1578" t="s">
        <v>15</v>
      </c>
      <c r="E1578" s="2">
        <v>4700</v>
      </c>
      <c r="F1578" s="2">
        <v>4700</v>
      </c>
      <c r="G1578" s="2">
        <v>3290</v>
      </c>
      <c r="I1578" t="s">
        <v>198</v>
      </c>
      <c r="J1578" t="s">
        <v>49</v>
      </c>
      <c r="K1578" t="s">
        <v>18</v>
      </c>
      <c r="L1578" t="str">
        <f>T("9791136910332")</f>
        <v>9791136910332</v>
      </c>
      <c r="M1578" t="str">
        <f t="shared" si="36"/>
        <v/>
      </c>
      <c r="N1578">
        <v>824997</v>
      </c>
    </row>
    <row r="1579" spans="1:14" x14ac:dyDescent="0.3">
      <c r="A1579" s="1">
        <v>46079.30704861111</v>
      </c>
      <c r="B1579">
        <v>386937104</v>
      </c>
      <c r="C1579" t="s">
        <v>579</v>
      </c>
      <c r="D1579" t="s">
        <v>89</v>
      </c>
      <c r="E1579" s="2">
        <v>8640</v>
      </c>
      <c r="F1579" s="2">
        <v>8640</v>
      </c>
      <c r="G1579" s="2">
        <v>6048</v>
      </c>
      <c r="I1579" t="s">
        <v>580</v>
      </c>
      <c r="J1579" t="s">
        <v>23</v>
      </c>
      <c r="K1579" t="s">
        <v>18</v>
      </c>
      <c r="L1579" t="str">
        <f>T("9791175309401")</f>
        <v>9791175309401</v>
      </c>
      <c r="M1579" t="str">
        <f t="shared" si="36"/>
        <v/>
      </c>
    </row>
    <row r="1580" spans="1:14" x14ac:dyDescent="0.3">
      <c r="A1580" s="1">
        <v>46079.385289351849</v>
      </c>
      <c r="B1580">
        <v>346154276</v>
      </c>
      <c r="C1580" t="s">
        <v>46</v>
      </c>
      <c r="D1580" t="s">
        <v>15</v>
      </c>
      <c r="E1580" s="2">
        <v>3300</v>
      </c>
      <c r="F1580" s="2">
        <v>3300</v>
      </c>
      <c r="G1580" s="2">
        <v>2310</v>
      </c>
      <c r="I1580" t="s">
        <v>32</v>
      </c>
      <c r="J1580" t="s">
        <v>23</v>
      </c>
      <c r="K1580" t="s">
        <v>18</v>
      </c>
      <c r="L1580" t="str">
        <f>T("9791136940704")</f>
        <v>9791136940704</v>
      </c>
      <c r="M1580" t="str">
        <f t="shared" si="36"/>
        <v/>
      </c>
      <c r="N1580">
        <v>928442</v>
      </c>
    </row>
    <row r="1581" spans="1:14" x14ac:dyDescent="0.3">
      <c r="A1581" s="1">
        <v>46079.385289351849</v>
      </c>
      <c r="B1581">
        <v>346154245</v>
      </c>
      <c r="C1581" t="s">
        <v>45</v>
      </c>
      <c r="D1581" t="s">
        <v>15</v>
      </c>
      <c r="E1581" s="2">
        <v>3300</v>
      </c>
      <c r="F1581" s="2">
        <v>3300</v>
      </c>
      <c r="G1581" s="2">
        <v>2310</v>
      </c>
      <c r="I1581" t="s">
        <v>32</v>
      </c>
      <c r="J1581" t="s">
        <v>23</v>
      </c>
      <c r="K1581" t="s">
        <v>18</v>
      </c>
      <c r="L1581" t="str">
        <f>T("9791136940728")</f>
        <v>9791136940728</v>
      </c>
      <c r="M1581" t="str">
        <f t="shared" si="36"/>
        <v/>
      </c>
      <c r="N1581">
        <v>928441</v>
      </c>
    </row>
    <row r="1582" spans="1:14" x14ac:dyDescent="0.3">
      <c r="A1582" s="1">
        <v>46079.385289351849</v>
      </c>
      <c r="B1582">
        <v>366386880</v>
      </c>
      <c r="C1582" t="s">
        <v>190</v>
      </c>
      <c r="D1582" t="s">
        <v>15</v>
      </c>
      <c r="E1582" s="2">
        <v>1800</v>
      </c>
      <c r="F1582" s="2">
        <v>1800</v>
      </c>
      <c r="G1582" s="2">
        <v>1260</v>
      </c>
      <c r="I1582" t="s">
        <v>32</v>
      </c>
      <c r="J1582" t="s">
        <v>23</v>
      </c>
      <c r="K1582" t="s">
        <v>18</v>
      </c>
      <c r="L1582" t="str">
        <f>T("9791173786648")</f>
        <v>9791173786648</v>
      </c>
      <c r="M1582" t="str">
        <f t="shared" si="36"/>
        <v/>
      </c>
      <c r="N1582">
        <v>950837</v>
      </c>
    </row>
    <row r="1583" spans="1:14" x14ac:dyDescent="0.3">
      <c r="A1583" s="1">
        <v>46079.41265046296</v>
      </c>
      <c r="B1583">
        <v>386937104</v>
      </c>
      <c r="C1583" t="s">
        <v>579</v>
      </c>
      <c r="D1583" t="s">
        <v>89</v>
      </c>
      <c r="E1583" s="2">
        <v>8640</v>
      </c>
      <c r="F1583" s="2">
        <v>8640</v>
      </c>
      <c r="G1583" s="2">
        <v>6048</v>
      </c>
      <c r="I1583" t="s">
        <v>580</v>
      </c>
      <c r="J1583" t="s">
        <v>23</v>
      </c>
      <c r="K1583" t="s">
        <v>18</v>
      </c>
      <c r="L1583" t="str">
        <f>T("9791175309401")</f>
        <v>9791175309401</v>
      </c>
      <c r="M1583" t="str">
        <f t="shared" si="36"/>
        <v/>
      </c>
    </row>
    <row r="1584" spans="1:14" x14ac:dyDescent="0.3">
      <c r="A1584" s="1">
        <v>46079.449652777781</v>
      </c>
      <c r="B1584">
        <v>386937104</v>
      </c>
      <c r="C1584" t="s">
        <v>579</v>
      </c>
      <c r="D1584" t="s">
        <v>89</v>
      </c>
      <c r="E1584" s="2">
        <v>8640</v>
      </c>
      <c r="F1584" s="2">
        <v>8640</v>
      </c>
      <c r="G1584" s="2">
        <v>6048</v>
      </c>
      <c r="I1584" t="s">
        <v>580</v>
      </c>
      <c r="J1584" t="s">
        <v>23</v>
      </c>
      <c r="K1584" t="s">
        <v>18</v>
      </c>
      <c r="L1584" t="str">
        <f>T("9791175309401")</f>
        <v>9791175309401</v>
      </c>
      <c r="M1584" t="str">
        <f t="shared" si="36"/>
        <v/>
      </c>
    </row>
    <row r="1585" spans="1:14" x14ac:dyDescent="0.3">
      <c r="A1585" s="1">
        <v>46079.459039351852</v>
      </c>
      <c r="B1585">
        <v>347624994</v>
      </c>
      <c r="C1585" t="s">
        <v>455</v>
      </c>
      <c r="D1585" t="s">
        <v>15</v>
      </c>
      <c r="E1585" s="2">
        <v>3300</v>
      </c>
      <c r="F1585" s="2">
        <v>3300</v>
      </c>
      <c r="G1585" s="2">
        <v>2310</v>
      </c>
      <c r="I1585" t="s">
        <v>406</v>
      </c>
      <c r="J1585" t="s">
        <v>70</v>
      </c>
      <c r="K1585" t="s">
        <v>18</v>
      </c>
      <c r="L1585" t="str">
        <f>T("9791136998255")</f>
        <v>9791136998255</v>
      </c>
      <c r="M1585" t="str">
        <f t="shared" si="36"/>
        <v/>
      </c>
      <c r="N1585">
        <v>928325</v>
      </c>
    </row>
    <row r="1586" spans="1:14" x14ac:dyDescent="0.3">
      <c r="A1586" s="1">
        <v>46079.460706018515</v>
      </c>
      <c r="B1586">
        <v>359779074</v>
      </c>
      <c r="C1586" t="s">
        <v>385</v>
      </c>
      <c r="D1586" t="s">
        <v>89</v>
      </c>
      <c r="E1586" s="2">
        <v>12040</v>
      </c>
      <c r="F1586" s="2">
        <v>12040</v>
      </c>
      <c r="G1586" s="2">
        <v>8428</v>
      </c>
      <c r="I1586" t="s">
        <v>99</v>
      </c>
      <c r="J1586" t="s">
        <v>23</v>
      </c>
      <c r="K1586" t="s">
        <v>18</v>
      </c>
      <c r="L1586" t="str">
        <f>T("9791194664475")</f>
        <v>9791194664475</v>
      </c>
      <c r="M1586" t="str">
        <f t="shared" si="36"/>
        <v/>
      </c>
    </row>
    <row r="1587" spans="1:14" x14ac:dyDescent="0.3">
      <c r="A1587" s="1">
        <v>46079.462708333333</v>
      </c>
      <c r="B1587">
        <v>386937104</v>
      </c>
      <c r="C1587" t="s">
        <v>579</v>
      </c>
      <c r="D1587" t="s">
        <v>15</v>
      </c>
      <c r="E1587" s="2">
        <v>9600</v>
      </c>
      <c r="F1587" s="2">
        <v>8640</v>
      </c>
      <c r="G1587" s="2">
        <v>6048</v>
      </c>
      <c r="I1587" t="s">
        <v>580</v>
      </c>
      <c r="J1587" t="s">
        <v>23</v>
      </c>
      <c r="K1587" t="s">
        <v>18</v>
      </c>
      <c r="L1587" t="str">
        <f>T("9791175309401")</f>
        <v>9791175309401</v>
      </c>
      <c r="M1587" t="str">
        <f t="shared" si="36"/>
        <v/>
      </c>
    </row>
    <row r="1588" spans="1:14" x14ac:dyDescent="0.3">
      <c r="A1588" s="1">
        <v>46079.471087962964</v>
      </c>
      <c r="B1588">
        <v>97180851</v>
      </c>
      <c r="C1588" t="s">
        <v>616</v>
      </c>
      <c r="D1588" t="s">
        <v>15</v>
      </c>
      <c r="E1588">
        <v>0</v>
      </c>
      <c r="F1588">
        <v>0</v>
      </c>
      <c r="G1588">
        <v>0</v>
      </c>
      <c r="I1588" t="s">
        <v>617</v>
      </c>
      <c r="J1588" t="s">
        <v>79</v>
      </c>
      <c r="K1588" t="s">
        <v>18</v>
      </c>
      <c r="L1588" t="str">
        <f t="shared" ref="L1588:L1612" si="37">T("9791133141272")</f>
        <v>9791133141272</v>
      </c>
      <c r="M1588" t="str">
        <f t="shared" si="36"/>
        <v/>
      </c>
      <c r="N1588">
        <v>371792</v>
      </c>
    </row>
    <row r="1589" spans="1:14" x14ac:dyDescent="0.3">
      <c r="A1589" s="1">
        <v>46079.471087962964</v>
      </c>
      <c r="B1589">
        <v>97180852</v>
      </c>
      <c r="C1589" t="s">
        <v>618</v>
      </c>
      <c r="D1589" t="s">
        <v>15</v>
      </c>
      <c r="E1589">
        <v>0</v>
      </c>
      <c r="F1589">
        <v>0</v>
      </c>
      <c r="G1589">
        <v>0</v>
      </c>
      <c r="I1589" t="s">
        <v>617</v>
      </c>
      <c r="J1589" t="s">
        <v>79</v>
      </c>
      <c r="K1589" t="s">
        <v>18</v>
      </c>
      <c r="L1589" t="str">
        <f t="shared" si="37"/>
        <v>9791133141272</v>
      </c>
      <c r="M1589" t="str">
        <f t="shared" si="36"/>
        <v/>
      </c>
      <c r="N1589">
        <v>371792</v>
      </c>
    </row>
    <row r="1590" spans="1:14" x14ac:dyDescent="0.3">
      <c r="A1590" s="1">
        <v>46079.471087962964</v>
      </c>
      <c r="B1590">
        <v>97180853</v>
      </c>
      <c r="C1590" t="s">
        <v>619</v>
      </c>
      <c r="D1590" t="s">
        <v>15</v>
      </c>
      <c r="E1590">
        <v>0</v>
      </c>
      <c r="F1590">
        <v>0</v>
      </c>
      <c r="G1590">
        <v>0</v>
      </c>
      <c r="I1590" t="s">
        <v>617</v>
      </c>
      <c r="J1590" t="s">
        <v>79</v>
      </c>
      <c r="K1590" t="s">
        <v>18</v>
      </c>
      <c r="L1590" t="str">
        <f t="shared" si="37"/>
        <v>9791133141272</v>
      </c>
      <c r="M1590" t="str">
        <f t="shared" si="36"/>
        <v/>
      </c>
      <c r="N1590">
        <v>371792</v>
      </c>
    </row>
    <row r="1591" spans="1:14" x14ac:dyDescent="0.3">
      <c r="A1591" s="1">
        <v>46079.471087962964</v>
      </c>
      <c r="B1591">
        <v>97180854</v>
      </c>
      <c r="C1591" t="s">
        <v>620</v>
      </c>
      <c r="D1591" t="s">
        <v>15</v>
      </c>
      <c r="E1591">
        <v>0</v>
      </c>
      <c r="F1591">
        <v>0</v>
      </c>
      <c r="G1591">
        <v>0</v>
      </c>
      <c r="I1591" t="s">
        <v>617</v>
      </c>
      <c r="J1591" t="s">
        <v>79</v>
      </c>
      <c r="K1591" t="s">
        <v>18</v>
      </c>
      <c r="L1591" t="str">
        <f t="shared" si="37"/>
        <v>9791133141272</v>
      </c>
      <c r="M1591" t="str">
        <f t="shared" si="36"/>
        <v/>
      </c>
      <c r="N1591">
        <v>371792</v>
      </c>
    </row>
    <row r="1592" spans="1:14" x14ac:dyDescent="0.3">
      <c r="A1592" s="1">
        <v>46079.471087962964</v>
      </c>
      <c r="B1592">
        <v>97180855</v>
      </c>
      <c r="C1592" t="s">
        <v>621</v>
      </c>
      <c r="D1592" t="s">
        <v>15</v>
      </c>
      <c r="E1592">
        <v>0</v>
      </c>
      <c r="F1592">
        <v>0</v>
      </c>
      <c r="G1592">
        <v>0</v>
      </c>
      <c r="I1592" t="s">
        <v>617</v>
      </c>
      <c r="J1592" t="s">
        <v>79</v>
      </c>
      <c r="K1592" t="s">
        <v>18</v>
      </c>
      <c r="L1592" t="str">
        <f t="shared" si="37"/>
        <v>9791133141272</v>
      </c>
      <c r="M1592" t="str">
        <f t="shared" si="36"/>
        <v/>
      </c>
      <c r="N1592">
        <v>371792</v>
      </c>
    </row>
    <row r="1593" spans="1:14" x14ac:dyDescent="0.3">
      <c r="A1593" s="1">
        <v>46079.471087962964</v>
      </c>
      <c r="B1593">
        <v>97180856</v>
      </c>
      <c r="C1593" t="s">
        <v>622</v>
      </c>
      <c r="D1593" t="s">
        <v>15</v>
      </c>
      <c r="E1593">
        <v>0</v>
      </c>
      <c r="F1593">
        <v>0</v>
      </c>
      <c r="G1593">
        <v>0</v>
      </c>
      <c r="I1593" t="s">
        <v>617</v>
      </c>
      <c r="J1593" t="s">
        <v>79</v>
      </c>
      <c r="K1593" t="s">
        <v>18</v>
      </c>
      <c r="L1593" t="str">
        <f t="shared" si="37"/>
        <v>9791133141272</v>
      </c>
      <c r="M1593" t="str">
        <f t="shared" si="36"/>
        <v/>
      </c>
      <c r="N1593">
        <v>371792</v>
      </c>
    </row>
    <row r="1594" spans="1:14" x14ac:dyDescent="0.3">
      <c r="A1594" s="1">
        <v>46079.471087962964</v>
      </c>
      <c r="B1594">
        <v>97180857</v>
      </c>
      <c r="C1594" t="s">
        <v>623</v>
      </c>
      <c r="D1594" t="s">
        <v>15</v>
      </c>
      <c r="E1594">
        <v>0</v>
      </c>
      <c r="F1594">
        <v>0</v>
      </c>
      <c r="G1594">
        <v>0</v>
      </c>
      <c r="I1594" t="s">
        <v>617</v>
      </c>
      <c r="J1594" t="s">
        <v>79</v>
      </c>
      <c r="K1594" t="s">
        <v>18</v>
      </c>
      <c r="L1594" t="str">
        <f t="shared" si="37"/>
        <v>9791133141272</v>
      </c>
      <c r="M1594" t="str">
        <f t="shared" si="36"/>
        <v/>
      </c>
      <c r="N1594">
        <v>371792</v>
      </c>
    </row>
    <row r="1595" spans="1:14" x14ac:dyDescent="0.3">
      <c r="A1595" s="1">
        <v>46079.471087962964</v>
      </c>
      <c r="B1595">
        <v>97180858</v>
      </c>
      <c r="C1595" t="s">
        <v>624</v>
      </c>
      <c r="D1595" t="s">
        <v>15</v>
      </c>
      <c r="E1595">
        <v>0</v>
      </c>
      <c r="F1595">
        <v>0</v>
      </c>
      <c r="G1595">
        <v>0</v>
      </c>
      <c r="I1595" t="s">
        <v>617</v>
      </c>
      <c r="J1595" t="s">
        <v>79</v>
      </c>
      <c r="K1595" t="s">
        <v>18</v>
      </c>
      <c r="L1595" t="str">
        <f t="shared" si="37"/>
        <v>9791133141272</v>
      </c>
      <c r="M1595" t="str">
        <f t="shared" si="36"/>
        <v/>
      </c>
      <c r="N1595">
        <v>371792</v>
      </c>
    </row>
    <row r="1596" spans="1:14" x14ac:dyDescent="0.3">
      <c r="A1596" s="1">
        <v>46079.471087962964</v>
      </c>
      <c r="B1596">
        <v>97181849</v>
      </c>
      <c r="C1596" t="s">
        <v>625</v>
      </c>
      <c r="D1596" t="s">
        <v>15</v>
      </c>
      <c r="E1596">
        <v>0</v>
      </c>
      <c r="F1596">
        <v>0</v>
      </c>
      <c r="G1596">
        <v>0</v>
      </c>
      <c r="I1596" t="s">
        <v>617</v>
      </c>
      <c r="J1596" t="s">
        <v>79</v>
      </c>
      <c r="K1596" t="s">
        <v>18</v>
      </c>
      <c r="L1596" t="str">
        <f t="shared" si="37"/>
        <v>9791133141272</v>
      </c>
      <c r="M1596" t="str">
        <f t="shared" si="36"/>
        <v/>
      </c>
      <c r="N1596">
        <v>371792</v>
      </c>
    </row>
    <row r="1597" spans="1:14" x14ac:dyDescent="0.3">
      <c r="A1597" s="1">
        <v>46079.471087962964</v>
      </c>
      <c r="B1597">
        <v>97181850</v>
      </c>
      <c r="C1597" t="s">
        <v>626</v>
      </c>
      <c r="D1597" t="s">
        <v>15</v>
      </c>
      <c r="E1597">
        <v>0</v>
      </c>
      <c r="F1597">
        <v>0</v>
      </c>
      <c r="G1597">
        <v>0</v>
      </c>
      <c r="I1597" t="s">
        <v>617</v>
      </c>
      <c r="J1597" t="s">
        <v>79</v>
      </c>
      <c r="K1597" t="s">
        <v>18</v>
      </c>
      <c r="L1597" t="str">
        <f t="shared" si="37"/>
        <v>9791133141272</v>
      </c>
      <c r="M1597" t="str">
        <f t="shared" si="36"/>
        <v/>
      </c>
      <c r="N1597">
        <v>371792</v>
      </c>
    </row>
    <row r="1598" spans="1:14" x14ac:dyDescent="0.3">
      <c r="A1598" s="1">
        <v>46079.471087962964</v>
      </c>
      <c r="B1598">
        <v>97181851</v>
      </c>
      <c r="C1598" t="s">
        <v>627</v>
      </c>
      <c r="D1598" t="s">
        <v>15</v>
      </c>
      <c r="E1598">
        <v>0</v>
      </c>
      <c r="F1598">
        <v>0</v>
      </c>
      <c r="G1598">
        <v>0</v>
      </c>
      <c r="I1598" t="s">
        <v>617</v>
      </c>
      <c r="J1598" t="s">
        <v>79</v>
      </c>
      <c r="K1598" t="s">
        <v>18</v>
      </c>
      <c r="L1598" t="str">
        <f t="shared" si="37"/>
        <v>9791133141272</v>
      </c>
      <c r="M1598" t="str">
        <f t="shared" si="36"/>
        <v/>
      </c>
      <c r="N1598">
        <v>371792</v>
      </c>
    </row>
    <row r="1599" spans="1:14" x14ac:dyDescent="0.3">
      <c r="A1599" s="1">
        <v>46079.471087962964</v>
      </c>
      <c r="B1599">
        <v>97181852</v>
      </c>
      <c r="C1599" t="s">
        <v>628</v>
      </c>
      <c r="D1599" t="s">
        <v>15</v>
      </c>
      <c r="E1599">
        <v>0</v>
      </c>
      <c r="F1599">
        <v>0</v>
      </c>
      <c r="G1599">
        <v>0</v>
      </c>
      <c r="I1599" t="s">
        <v>617</v>
      </c>
      <c r="J1599" t="s">
        <v>79</v>
      </c>
      <c r="K1599" t="s">
        <v>18</v>
      </c>
      <c r="L1599" t="str">
        <f t="shared" si="37"/>
        <v>9791133141272</v>
      </c>
      <c r="M1599" t="str">
        <f t="shared" si="36"/>
        <v/>
      </c>
      <c r="N1599">
        <v>371792</v>
      </c>
    </row>
    <row r="1600" spans="1:14" x14ac:dyDescent="0.3">
      <c r="A1600" s="1">
        <v>46079.471087962964</v>
      </c>
      <c r="B1600">
        <v>97181853</v>
      </c>
      <c r="C1600" t="s">
        <v>629</v>
      </c>
      <c r="D1600" t="s">
        <v>15</v>
      </c>
      <c r="E1600">
        <v>0</v>
      </c>
      <c r="F1600">
        <v>0</v>
      </c>
      <c r="G1600">
        <v>0</v>
      </c>
      <c r="I1600" t="s">
        <v>617</v>
      </c>
      <c r="J1600" t="s">
        <v>79</v>
      </c>
      <c r="K1600" t="s">
        <v>18</v>
      </c>
      <c r="L1600" t="str">
        <f t="shared" si="37"/>
        <v>9791133141272</v>
      </c>
      <c r="M1600" t="str">
        <f t="shared" si="36"/>
        <v/>
      </c>
      <c r="N1600">
        <v>371792</v>
      </c>
    </row>
    <row r="1601" spans="1:14" x14ac:dyDescent="0.3">
      <c r="A1601" s="1">
        <v>46079.471087962964</v>
      </c>
      <c r="B1601">
        <v>97181854</v>
      </c>
      <c r="C1601" t="s">
        <v>630</v>
      </c>
      <c r="D1601" t="s">
        <v>15</v>
      </c>
      <c r="E1601">
        <v>0</v>
      </c>
      <c r="F1601">
        <v>0</v>
      </c>
      <c r="G1601">
        <v>0</v>
      </c>
      <c r="I1601" t="s">
        <v>617</v>
      </c>
      <c r="J1601" t="s">
        <v>79</v>
      </c>
      <c r="K1601" t="s">
        <v>18</v>
      </c>
      <c r="L1601" t="str">
        <f t="shared" si="37"/>
        <v>9791133141272</v>
      </c>
      <c r="M1601" t="str">
        <f t="shared" si="36"/>
        <v/>
      </c>
      <c r="N1601">
        <v>371792</v>
      </c>
    </row>
    <row r="1602" spans="1:14" x14ac:dyDescent="0.3">
      <c r="A1602" s="1">
        <v>46079.471087962964</v>
      </c>
      <c r="B1602">
        <v>97181855</v>
      </c>
      <c r="C1602" t="s">
        <v>631</v>
      </c>
      <c r="D1602" t="s">
        <v>15</v>
      </c>
      <c r="E1602">
        <v>0</v>
      </c>
      <c r="F1602">
        <v>0</v>
      </c>
      <c r="G1602">
        <v>0</v>
      </c>
      <c r="I1602" t="s">
        <v>617</v>
      </c>
      <c r="J1602" t="s">
        <v>79</v>
      </c>
      <c r="K1602" t="s">
        <v>18</v>
      </c>
      <c r="L1602" t="str">
        <f t="shared" si="37"/>
        <v>9791133141272</v>
      </c>
      <c r="M1602" t="str">
        <f t="shared" si="36"/>
        <v/>
      </c>
      <c r="N1602">
        <v>371792</v>
      </c>
    </row>
    <row r="1603" spans="1:14" x14ac:dyDescent="0.3">
      <c r="A1603" s="1">
        <v>46079.471087962964</v>
      </c>
      <c r="B1603">
        <v>97181856</v>
      </c>
      <c r="C1603" t="s">
        <v>632</v>
      </c>
      <c r="D1603" t="s">
        <v>15</v>
      </c>
      <c r="E1603">
        <v>0</v>
      </c>
      <c r="F1603">
        <v>0</v>
      </c>
      <c r="G1603">
        <v>0</v>
      </c>
      <c r="I1603" t="s">
        <v>617</v>
      </c>
      <c r="J1603" t="s">
        <v>79</v>
      </c>
      <c r="K1603" t="s">
        <v>18</v>
      </c>
      <c r="L1603" t="str">
        <f t="shared" si="37"/>
        <v>9791133141272</v>
      </c>
      <c r="M1603" t="str">
        <f t="shared" si="36"/>
        <v/>
      </c>
      <c r="N1603">
        <v>371792</v>
      </c>
    </row>
    <row r="1604" spans="1:14" x14ac:dyDescent="0.3">
      <c r="A1604" s="1">
        <v>46079.471087962964</v>
      </c>
      <c r="B1604">
        <v>97181858</v>
      </c>
      <c r="C1604" t="s">
        <v>633</v>
      </c>
      <c r="D1604" t="s">
        <v>15</v>
      </c>
      <c r="E1604">
        <v>0</v>
      </c>
      <c r="F1604">
        <v>0</v>
      </c>
      <c r="G1604">
        <v>0</v>
      </c>
      <c r="I1604" t="s">
        <v>617</v>
      </c>
      <c r="J1604" t="s">
        <v>79</v>
      </c>
      <c r="K1604" t="s">
        <v>18</v>
      </c>
      <c r="L1604" t="str">
        <f t="shared" si="37"/>
        <v>9791133141272</v>
      </c>
      <c r="M1604" t="str">
        <f t="shared" si="36"/>
        <v/>
      </c>
      <c r="N1604">
        <v>371792</v>
      </c>
    </row>
    <row r="1605" spans="1:14" x14ac:dyDescent="0.3">
      <c r="A1605" s="1">
        <v>46079.471087962964</v>
      </c>
      <c r="B1605">
        <v>97181859</v>
      </c>
      <c r="C1605" t="s">
        <v>634</v>
      </c>
      <c r="D1605" t="s">
        <v>15</v>
      </c>
      <c r="E1605">
        <v>0</v>
      </c>
      <c r="F1605">
        <v>0</v>
      </c>
      <c r="G1605">
        <v>0</v>
      </c>
      <c r="I1605" t="s">
        <v>617</v>
      </c>
      <c r="J1605" t="s">
        <v>79</v>
      </c>
      <c r="K1605" t="s">
        <v>18</v>
      </c>
      <c r="L1605" t="str">
        <f t="shared" si="37"/>
        <v>9791133141272</v>
      </c>
      <c r="M1605" t="str">
        <f t="shared" si="36"/>
        <v/>
      </c>
      <c r="N1605">
        <v>371792</v>
      </c>
    </row>
    <row r="1606" spans="1:14" x14ac:dyDescent="0.3">
      <c r="A1606" s="1">
        <v>46079.471087962964</v>
      </c>
      <c r="B1606">
        <v>97181860</v>
      </c>
      <c r="C1606" t="s">
        <v>635</v>
      </c>
      <c r="D1606" t="s">
        <v>15</v>
      </c>
      <c r="E1606">
        <v>0</v>
      </c>
      <c r="F1606">
        <v>0</v>
      </c>
      <c r="G1606">
        <v>0</v>
      </c>
      <c r="I1606" t="s">
        <v>617</v>
      </c>
      <c r="J1606" t="s">
        <v>79</v>
      </c>
      <c r="K1606" t="s">
        <v>18</v>
      </c>
      <c r="L1606" t="str">
        <f t="shared" si="37"/>
        <v>9791133141272</v>
      </c>
      <c r="M1606" t="str">
        <f t="shared" si="36"/>
        <v/>
      </c>
      <c r="N1606">
        <v>371792</v>
      </c>
    </row>
    <row r="1607" spans="1:14" x14ac:dyDescent="0.3">
      <c r="A1607" s="1">
        <v>46079.471087962964</v>
      </c>
      <c r="B1607">
        <v>97181861</v>
      </c>
      <c r="C1607" t="s">
        <v>636</v>
      </c>
      <c r="D1607" t="s">
        <v>15</v>
      </c>
      <c r="E1607">
        <v>0</v>
      </c>
      <c r="F1607">
        <v>0</v>
      </c>
      <c r="G1607">
        <v>0</v>
      </c>
      <c r="I1607" t="s">
        <v>617</v>
      </c>
      <c r="J1607" t="s">
        <v>79</v>
      </c>
      <c r="K1607" t="s">
        <v>18</v>
      </c>
      <c r="L1607" t="str">
        <f t="shared" si="37"/>
        <v>9791133141272</v>
      </c>
      <c r="M1607" t="str">
        <f t="shared" si="36"/>
        <v/>
      </c>
      <c r="N1607">
        <v>371792</v>
      </c>
    </row>
    <row r="1608" spans="1:14" x14ac:dyDescent="0.3">
      <c r="A1608" s="1">
        <v>46079.471087962964</v>
      </c>
      <c r="B1608">
        <v>97181862</v>
      </c>
      <c r="C1608" t="s">
        <v>637</v>
      </c>
      <c r="D1608" t="s">
        <v>15</v>
      </c>
      <c r="E1608">
        <v>0</v>
      </c>
      <c r="F1608">
        <v>0</v>
      </c>
      <c r="G1608">
        <v>0</v>
      </c>
      <c r="I1608" t="s">
        <v>617</v>
      </c>
      <c r="J1608" t="s">
        <v>79</v>
      </c>
      <c r="K1608" t="s">
        <v>18</v>
      </c>
      <c r="L1608" t="str">
        <f t="shared" si="37"/>
        <v>9791133141272</v>
      </c>
      <c r="M1608" t="str">
        <f t="shared" si="36"/>
        <v/>
      </c>
      <c r="N1608">
        <v>371792</v>
      </c>
    </row>
    <row r="1609" spans="1:14" x14ac:dyDescent="0.3">
      <c r="A1609" s="1">
        <v>46079.471087962964</v>
      </c>
      <c r="B1609">
        <v>97181863</v>
      </c>
      <c r="C1609" t="s">
        <v>638</v>
      </c>
      <c r="D1609" t="s">
        <v>15</v>
      </c>
      <c r="E1609">
        <v>0</v>
      </c>
      <c r="F1609">
        <v>0</v>
      </c>
      <c r="G1609">
        <v>0</v>
      </c>
      <c r="I1609" t="s">
        <v>617</v>
      </c>
      <c r="J1609" t="s">
        <v>79</v>
      </c>
      <c r="K1609" t="s">
        <v>18</v>
      </c>
      <c r="L1609" t="str">
        <f t="shared" si="37"/>
        <v>9791133141272</v>
      </c>
      <c r="M1609" t="str">
        <f t="shared" si="36"/>
        <v/>
      </c>
      <c r="N1609">
        <v>371792</v>
      </c>
    </row>
    <row r="1610" spans="1:14" x14ac:dyDescent="0.3">
      <c r="A1610" s="1">
        <v>46079.471087962964</v>
      </c>
      <c r="B1610">
        <v>97181864</v>
      </c>
      <c r="C1610" t="s">
        <v>639</v>
      </c>
      <c r="D1610" t="s">
        <v>15</v>
      </c>
      <c r="E1610">
        <v>0</v>
      </c>
      <c r="F1610">
        <v>0</v>
      </c>
      <c r="G1610">
        <v>0</v>
      </c>
      <c r="I1610" t="s">
        <v>617</v>
      </c>
      <c r="J1610" t="s">
        <v>79</v>
      </c>
      <c r="K1610" t="s">
        <v>18</v>
      </c>
      <c r="L1610" t="str">
        <f t="shared" si="37"/>
        <v>9791133141272</v>
      </c>
      <c r="M1610" t="str">
        <f t="shared" si="36"/>
        <v/>
      </c>
      <c r="N1610">
        <v>371792</v>
      </c>
    </row>
    <row r="1611" spans="1:14" x14ac:dyDescent="0.3">
      <c r="A1611" s="1">
        <v>46079.471087962964</v>
      </c>
      <c r="B1611">
        <v>97181865</v>
      </c>
      <c r="C1611" t="s">
        <v>640</v>
      </c>
      <c r="D1611" t="s">
        <v>15</v>
      </c>
      <c r="E1611">
        <v>0</v>
      </c>
      <c r="F1611">
        <v>0</v>
      </c>
      <c r="G1611">
        <v>0</v>
      </c>
      <c r="I1611" t="s">
        <v>617</v>
      </c>
      <c r="J1611" t="s">
        <v>79</v>
      </c>
      <c r="K1611" t="s">
        <v>18</v>
      </c>
      <c r="L1611" t="str">
        <f t="shared" si="37"/>
        <v>9791133141272</v>
      </c>
      <c r="M1611" t="str">
        <f t="shared" si="36"/>
        <v/>
      </c>
      <c r="N1611">
        <v>371792</v>
      </c>
    </row>
    <row r="1612" spans="1:14" x14ac:dyDescent="0.3">
      <c r="A1612" s="1">
        <v>46079.471087962964</v>
      </c>
      <c r="B1612">
        <v>97181866</v>
      </c>
      <c r="C1612" t="s">
        <v>641</v>
      </c>
      <c r="D1612" t="s">
        <v>15</v>
      </c>
      <c r="E1612">
        <v>0</v>
      </c>
      <c r="F1612">
        <v>0</v>
      </c>
      <c r="G1612">
        <v>0</v>
      </c>
      <c r="I1612" t="s">
        <v>617</v>
      </c>
      <c r="J1612" t="s">
        <v>79</v>
      </c>
      <c r="K1612" t="s">
        <v>18</v>
      </c>
      <c r="L1612" t="str">
        <f t="shared" si="37"/>
        <v>9791133141272</v>
      </c>
      <c r="M1612" t="str">
        <f t="shared" si="36"/>
        <v/>
      </c>
      <c r="N1612">
        <v>371792</v>
      </c>
    </row>
    <row r="1613" spans="1:14" x14ac:dyDescent="0.3">
      <c r="A1613" s="1">
        <v>46079.486574074072</v>
      </c>
      <c r="B1613">
        <v>372251180</v>
      </c>
      <c r="C1613" t="s">
        <v>418</v>
      </c>
      <c r="D1613" t="s">
        <v>89</v>
      </c>
      <c r="E1613" s="2">
        <v>6300</v>
      </c>
      <c r="F1613" s="2">
        <v>6300</v>
      </c>
      <c r="G1613" s="2">
        <v>4410</v>
      </c>
      <c r="I1613" t="s">
        <v>135</v>
      </c>
      <c r="J1613" t="s">
        <v>23</v>
      </c>
      <c r="K1613" t="s">
        <v>18</v>
      </c>
      <c r="L1613" t="str">
        <f>T("9791175300422")</f>
        <v>9791175300422</v>
      </c>
      <c r="M1613" t="str">
        <f t="shared" si="36"/>
        <v/>
      </c>
    </row>
    <row r="1614" spans="1:14" x14ac:dyDescent="0.3">
      <c r="A1614" s="1">
        <v>46079.486574074072</v>
      </c>
      <c r="B1614">
        <v>378219287</v>
      </c>
      <c r="C1614" t="s">
        <v>202</v>
      </c>
      <c r="D1614" t="s">
        <v>89</v>
      </c>
      <c r="E1614" s="2">
        <v>8400</v>
      </c>
      <c r="F1614" s="2">
        <v>8400</v>
      </c>
      <c r="G1614" s="2">
        <v>5880</v>
      </c>
      <c r="I1614" t="s">
        <v>203</v>
      </c>
      <c r="J1614" t="s">
        <v>23</v>
      </c>
      <c r="K1614" t="s">
        <v>18</v>
      </c>
      <c r="L1614" t="str">
        <f>T("9791175302747")</f>
        <v>9791175302747</v>
      </c>
      <c r="M1614" t="str">
        <f t="shared" si="36"/>
        <v/>
      </c>
    </row>
    <row r="1615" spans="1:14" x14ac:dyDescent="0.3">
      <c r="A1615" s="1">
        <v>46079.500358796293</v>
      </c>
      <c r="B1615">
        <v>379386288</v>
      </c>
      <c r="C1615" t="s">
        <v>370</v>
      </c>
      <c r="D1615" t="s">
        <v>89</v>
      </c>
      <c r="E1615" s="2">
        <v>11280</v>
      </c>
      <c r="F1615" s="2">
        <v>11280</v>
      </c>
      <c r="G1615" s="2">
        <v>7896</v>
      </c>
      <c r="I1615" t="s">
        <v>102</v>
      </c>
      <c r="J1615" t="s">
        <v>23</v>
      </c>
      <c r="K1615" t="s">
        <v>18</v>
      </c>
      <c r="L1615" t="str">
        <f>T("9791175307438")</f>
        <v>9791175307438</v>
      </c>
      <c r="M1615" t="str">
        <f t="shared" si="36"/>
        <v/>
      </c>
    </row>
    <row r="1616" spans="1:14" x14ac:dyDescent="0.3">
      <c r="A1616" s="1">
        <v>46079.504884259259</v>
      </c>
      <c r="B1616">
        <v>379386288</v>
      </c>
      <c r="C1616" t="s">
        <v>370</v>
      </c>
      <c r="D1616" t="s">
        <v>89</v>
      </c>
      <c r="E1616" s="2">
        <v>11280</v>
      </c>
      <c r="F1616" s="2">
        <v>11280</v>
      </c>
      <c r="G1616" s="2">
        <v>7896</v>
      </c>
      <c r="I1616" t="s">
        <v>102</v>
      </c>
      <c r="J1616" t="s">
        <v>23</v>
      </c>
      <c r="K1616" t="s">
        <v>18</v>
      </c>
      <c r="L1616" t="str">
        <f>T("9791175307438")</f>
        <v>9791175307438</v>
      </c>
      <c r="M1616" t="str">
        <f t="shared" si="36"/>
        <v/>
      </c>
    </row>
    <row r="1617" spans="1:14" x14ac:dyDescent="0.3">
      <c r="A1617" s="1">
        <v>46079.514317129629</v>
      </c>
      <c r="B1617">
        <v>323369903</v>
      </c>
      <c r="C1617" t="s">
        <v>642</v>
      </c>
      <c r="D1617" t="s">
        <v>15</v>
      </c>
      <c r="E1617">
        <v>0</v>
      </c>
      <c r="F1617">
        <v>0</v>
      </c>
      <c r="G1617">
        <v>0</v>
      </c>
      <c r="I1617" t="s">
        <v>643</v>
      </c>
      <c r="J1617" t="s">
        <v>79</v>
      </c>
      <c r="K1617" t="s">
        <v>18</v>
      </c>
      <c r="L1617" t="str">
        <f>T("9791136937179")</f>
        <v>9791136937179</v>
      </c>
      <c r="M1617" t="str">
        <f t="shared" si="36"/>
        <v/>
      </c>
      <c r="N1617">
        <v>917261</v>
      </c>
    </row>
    <row r="1618" spans="1:14" x14ac:dyDescent="0.3">
      <c r="A1618" s="1">
        <v>46079.517245370371</v>
      </c>
      <c r="B1618">
        <v>379386288</v>
      </c>
      <c r="C1618" t="s">
        <v>370</v>
      </c>
      <c r="D1618" t="s">
        <v>89</v>
      </c>
      <c r="E1618" s="2">
        <v>11280</v>
      </c>
      <c r="F1618" s="2">
        <v>11280</v>
      </c>
      <c r="G1618" s="2">
        <v>7896</v>
      </c>
      <c r="I1618" t="s">
        <v>102</v>
      </c>
      <c r="J1618" t="s">
        <v>23</v>
      </c>
      <c r="K1618" t="s">
        <v>18</v>
      </c>
      <c r="L1618" t="str">
        <f>T("9791175307438")</f>
        <v>9791175307438</v>
      </c>
      <c r="M1618" t="str">
        <f t="shared" si="36"/>
        <v/>
      </c>
    </row>
    <row r="1619" spans="1:14" x14ac:dyDescent="0.3">
      <c r="A1619" s="1">
        <v>46079.533958333333</v>
      </c>
      <c r="B1619">
        <v>374949675</v>
      </c>
      <c r="C1619" t="s">
        <v>394</v>
      </c>
      <c r="D1619" t="s">
        <v>89</v>
      </c>
      <c r="E1619" s="2">
        <v>8750</v>
      </c>
      <c r="F1619" s="2">
        <v>8750</v>
      </c>
      <c r="G1619" s="2">
        <v>6125</v>
      </c>
      <c r="I1619" t="s">
        <v>251</v>
      </c>
      <c r="J1619" t="s">
        <v>23</v>
      </c>
      <c r="K1619" t="s">
        <v>18</v>
      </c>
      <c r="L1619" t="str">
        <f>T("9791175307476")</f>
        <v>9791175307476</v>
      </c>
      <c r="M1619" t="str">
        <f t="shared" si="36"/>
        <v/>
      </c>
    </row>
    <row r="1620" spans="1:14" x14ac:dyDescent="0.3">
      <c r="A1620" s="1">
        <v>46079.55232638889</v>
      </c>
      <c r="B1620">
        <v>346154276</v>
      </c>
      <c r="C1620" t="s">
        <v>46</v>
      </c>
      <c r="D1620" t="s">
        <v>15</v>
      </c>
      <c r="E1620" s="2">
        <v>3300</v>
      </c>
      <c r="F1620" s="2">
        <v>3300</v>
      </c>
      <c r="G1620" s="2">
        <v>2310</v>
      </c>
      <c r="I1620" t="s">
        <v>32</v>
      </c>
      <c r="J1620" t="s">
        <v>23</v>
      </c>
      <c r="K1620" t="s">
        <v>18</v>
      </c>
      <c r="L1620" t="str">
        <f>T("9791136940704")</f>
        <v>9791136940704</v>
      </c>
      <c r="M1620" t="str">
        <f t="shared" si="36"/>
        <v/>
      </c>
      <c r="N1620">
        <v>928442</v>
      </c>
    </row>
    <row r="1621" spans="1:14" x14ac:dyDescent="0.3">
      <c r="A1621" s="1">
        <v>46079.553113425929</v>
      </c>
      <c r="B1621">
        <v>379386288</v>
      </c>
      <c r="C1621" t="s">
        <v>370</v>
      </c>
      <c r="D1621" t="s">
        <v>89</v>
      </c>
      <c r="E1621" s="2">
        <v>11280</v>
      </c>
      <c r="F1621" s="2">
        <v>11280</v>
      </c>
      <c r="G1621" s="2">
        <v>7896</v>
      </c>
      <c r="I1621" t="s">
        <v>102</v>
      </c>
      <c r="J1621" t="s">
        <v>23</v>
      </c>
      <c r="K1621" t="s">
        <v>18</v>
      </c>
      <c r="L1621" t="str">
        <f>T("9791175307438")</f>
        <v>9791175307438</v>
      </c>
      <c r="M1621" t="str">
        <f t="shared" si="36"/>
        <v/>
      </c>
    </row>
    <row r="1622" spans="1:14" x14ac:dyDescent="0.3">
      <c r="A1622" s="1">
        <v>46079.557974537034</v>
      </c>
      <c r="B1622">
        <v>365656697</v>
      </c>
      <c r="C1622" t="s">
        <v>239</v>
      </c>
      <c r="D1622" t="s">
        <v>89</v>
      </c>
      <c r="E1622" s="2">
        <v>5760</v>
      </c>
      <c r="F1622" s="2">
        <v>5760</v>
      </c>
      <c r="G1622" s="2">
        <v>4032</v>
      </c>
      <c r="I1622" t="s">
        <v>240</v>
      </c>
      <c r="J1622" t="s">
        <v>49</v>
      </c>
      <c r="K1622" t="s">
        <v>18</v>
      </c>
      <c r="L1622" t="str">
        <f>T("9791173783630")</f>
        <v>9791173783630</v>
      </c>
      <c r="M1622" t="str">
        <f t="shared" si="36"/>
        <v/>
      </c>
    </row>
    <row r="1623" spans="1:14" x14ac:dyDescent="0.3">
      <c r="A1623" s="1">
        <v>46079.567430555559</v>
      </c>
      <c r="B1623">
        <v>346154719</v>
      </c>
      <c r="C1623" t="s">
        <v>44</v>
      </c>
      <c r="D1623" t="s">
        <v>15</v>
      </c>
      <c r="E1623" s="2">
        <v>3300</v>
      </c>
      <c r="F1623" s="2">
        <v>3300</v>
      </c>
      <c r="G1623" s="2">
        <v>2310</v>
      </c>
      <c r="I1623" t="s">
        <v>32</v>
      </c>
      <c r="J1623" t="s">
        <v>23</v>
      </c>
      <c r="K1623" t="s">
        <v>18</v>
      </c>
      <c r="L1623" t="str">
        <f>T("9791136927675")</f>
        <v>9791136927675</v>
      </c>
      <c r="M1623" t="str">
        <f t="shared" si="36"/>
        <v/>
      </c>
      <c r="N1623">
        <v>928443</v>
      </c>
    </row>
    <row r="1624" spans="1:14" x14ac:dyDescent="0.3">
      <c r="A1624" s="1">
        <v>46079.569641203707</v>
      </c>
      <c r="B1624">
        <v>379386288</v>
      </c>
      <c r="C1624" t="s">
        <v>370</v>
      </c>
      <c r="D1624" t="s">
        <v>89</v>
      </c>
      <c r="E1624" s="2">
        <v>11280</v>
      </c>
      <c r="F1624" s="2">
        <v>11280</v>
      </c>
      <c r="G1624" s="2">
        <v>7896</v>
      </c>
      <c r="I1624" t="s">
        <v>102</v>
      </c>
      <c r="J1624" t="s">
        <v>23</v>
      </c>
      <c r="K1624" t="s">
        <v>18</v>
      </c>
      <c r="L1624" t="str">
        <f>T("9791175307438")</f>
        <v>9791175307438</v>
      </c>
      <c r="M1624" t="str">
        <f t="shared" si="36"/>
        <v/>
      </c>
    </row>
    <row r="1625" spans="1:14" x14ac:dyDescent="0.3">
      <c r="A1625" s="1">
        <v>46079.580347222225</v>
      </c>
      <c r="B1625">
        <v>366386880</v>
      </c>
      <c r="C1625" t="s">
        <v>190</v>
      </c>
      <c r="D1625" t="s">
        <v>15</v>
      </c>
      <c r="E1625" s="2">
        <v>1800</v>
      </c>
      <c r="F1625" s="2">
        <v>1800</v>
      </c>
      <c r="G1625" s="2">
        <v>1260</v>
      </c>
      <c r="I1625" t="s">
        <v>32</v>
      </c>
      <c r="J1625" t="s">
        <v>23</v>
      </c>
      <c r="K1625" t="s">
        <v>18</v>
      </c>
      <c r="L1625" t="str">
        <f>T("9791173786648")</f>
        <v>9791173786648</v>
      </c>
      <c r="M1625" t="str">
        <f t="shared" si="36"/>
        <v/>
      </c>
      <c r="N1625">
        <v>950837</v>
      </c>
    </row>
    <row r="1626" spans="1:14" x14ac:dyDescent="0.3">
      <c r="A1626" s="1">
        <v>46079.607511574075</v>
      </c>
      <c r="B1626">
        <v>379386288</v>
      </c>
      <c r="C1626" t="s">
        <v>370</v>
      </c>
      <c r="D1626" t="s">
        <v>89</v>
      </c>
      <c r="E1626" s="2">
        <v>11280</v>
      </c>
      <c r="F1626" s="2">
        <v>11280</v>
      </c>
      <c r="G1626" s="2">
        <v>7896</v>
      </c>
      <c r="I1626" t="s">
        <v>102</v>
      </c>
      <c r="J1626" t="s">
        <v>23</v>
      </c>
      <c r="K1626" t="s">
        <v>18</v>
      </c>
      <c r="L1626" t="str">
        <f>T("9791175307438")</f>
        <v>9791175307438</v>
      </c>
      <c r="M1626" t="str">
        <f t="shared" si="36"/>
        <v/>
      </c>
    </row>
    <row r="1627" spans="1:14" x14ac:dyDescent="0.3">
      <c r="A1627" s="1">
        <v>46079.64943287037</v>
      </c>
      <c r="B1627">
        <v>386937104</v>
      </c>
      <c r="C1627" t="s">
        <v>579</v>
      </c>
      <c r="D1627" t="s">
        <v>89</v>
      </c>
      <c r="E1627" s="2">
        <v>8640</v>
      </c>
      <c r="F1627" s="2">
        <v>8640</v>
      </c>
      <c r="G1627" s="2">
        <v>6048</v>
      </c>
      <c r="I1627" t="s">
        <v>580</v>
      </c>
      <c r="J1627" t="s">
        <v>23</v>
      </c>
      <c r="K1627" t="s">
        <v>18</v>
      </c>
      <c r="L1627" t="str">
        <f>T("9791175309401")</f>
        <v>9791175309401</v>
      </c>
      <c r="M1627" t="str">
        <f t="shared" si="36"/>
        <v/>
      </c>
    </row>
    <row r="1628" spans="1:14" x14ac:dyDescent="0.3">
      <c r="A1628" s="1">
        <v>46079.652870370373</v>
      </c>
      <c r="B1628">
        <v>260033503</v>
      </c>
      <c r="C1628" t="s">
        <v>644</v>
      </c>
      <c r="D1628" t="s">
        <v>15</v>
      </c>
      <c r="E1628" s="2">
        <v>7200</v>
      </c>
      <c r="F1628" s="2">
        <v>7200</v>
      </c>
      <c r="G1628" s="2">
        <v>5040</v>
      </c>
      <c r="I1628" t="s">
        <v>493</v>
      </c>
      <c r="J1628" t="s">
        <v>20</v>
      </c>
      <c r="K1628" t="s">
        <v>18</v>
      </c>
      <c r="L1628" t="str">
        <f>T("9791136911353")</f>
        <v>9791136911353</v>
      </c>
      <c r="M1628" t="str">
        <f t="shared" si="36"/>
        <v/>
      </c>
    </row>
    <row r="1629" spans="1:14" x14ac:dyDescent="0.3">
      <c r="A1629" s="1">
        <v>46079.731539351851</v>
      </c>
      <c r="B1629">
        <v>385347662</v>
      </c>
      <c r="C1629" t="s">
        <v>103</v>
      </c>
      <c r="D1629" t="s">
        <v>15</v>
      </c>
      <c r="E1629" s="2">
        <v>3200</v>
      </c>
      <c r="F1629" s="2">
        <v>2880</v>
      </c>
      <c r="G1629" s="2">
        <v>2016</v>
      </c>
      <c r="I1629" t="s">
        <v>90</v>
      </c>
      <c r="J1629" t="s">
        <v>23</v>
      </c>
      <c r="K1629" t="s">
        <v>18</v>
      </c>
      <c r="L1629" t="str">
        <f>T("9791175308343")</f>
        <v>9791175308343</v>
      </c>
      <c r="M1629" t="str">
        <f t="shared" ref="M1629:M1692" si="38">T("")</f>
        <v/>
      </c>
      <c r="N1629">
        <v>957885</v>
      </c>
    </row>
    <row r="1630" spans="1:14" x14ac:dyDescent="0.3">
      <c r="A1630" s="1">
        <v>46079.731782407405</v>
      </c>
      <c r="B1630">
        <v>385347662</v>
      </c>
      <c r="C1630" t="s">
        <v>103</v>
      </c>
      <c r="D1630" t="s">
        <v>15</v>
      </c>
      <c r="E1630" s="2">
        <v>-3200</v>
      </c>
      <c r="F1630" s="2">
        <v>-2880</v>
      </c>
      <c r="G1630" s="2">
        <v>-2016</v>
      </c>
      <c r="H1630" s="1">
        <v>46079.731539351851</v>
      </c>
      <c r="I1630" t="s">
        <v>90</v>
      </c>
      <c r="J1630" t="s">
        <v>23</v>
      </c>
      <c r="K1630" t="s">
        <v>18</v>
      </c>
      <c r="L1630" t="str">
        <f>T("9791175308343")</f>
        <v>9791175308343</v>
      </c>
      <c r="M1630" t="str">
        <f t="shared" si="38"/>
        <v/>
      </c>
      <c r="N1630">
        <v>957885</v>
      </c>
    </row>
    <row r="1631" spans="1:14" x14ac:dyDescent="0.3">
      <c r="A1631" s="1">
        <v>46079.731782407405</v>
      </c>
      <c r="B1631">
        <v>385347796</v>
      </c>
      <c r="C1631" t="s">
        <v>107</v>
      </c>
      <c r="D1631" t="s">
        <v>15</v>
      </c>
      <c r="E1631" s="2">
        <v>-3200</v>
      </c>
      <c r="F1631" s="2">
        <v>-2880</v>
      </c>
      <c r="G1631" s="2">
        <v>-2016</v>
      </c>
      <c r="H1631" s="1">
        <v>46079.731539351851</v>
      </c>
      <c r="I1631" t="s">
        <v>90</v>
      </c>
      <c r="J1631" t="s">
        <v>23</v>
      </c>
      <c r="K1631" t="s">
        <v>18</v>
      </c>
      <c r="L1631" t="str">
        <f>T("9791175308312")</f>
        <v>9791175308312</v>
      </c>
      <c r="M1631" t="str">
        <f t="shared" si="38"/>
        <v/>
      </c>
      <c r="N1631">
        <v>957884</v>
      </c>
    </row>
    <row r="1632" spans="1:14" x14ac:dyDescent="0.3">
      <c r="A1632" s="1">
        <v>46079.731539351851</v>
      </c>
      <c r="B1632">
        <v>385347796</v>
      </c>
      <c r="C1632" t="s">
        <v>107</v>
      </c>
      <c r="D1632" t="s">
        <v>15</v>
      </c>
      <c r="E1632" s="2">
        <v>3200</v>
      </c>
      <c r="F1632" s="2">
        <v>2880</v>
      </c>
      <c r="G1632" s="2">
        <v>2016</v>
      </c>
      <c r="I1632" t="s">
        <v>90</v>
      </c>
      <c r="J1632" t="s">
        <v>23</v>
      </c>
      <c r="K1632" t="s">
        <v>18</v>
      </c>
      <c r="L1632" t="str">
        <f>T("9791175308312")</f>
        <v>9791175308312</v>
      </c>
      <c r="M1632" t="str">
        <f t="shared" si="38"/>
        <v/>
      </c>
      <c r="N1632">
        <v>957884</v>
      </c>
    </row>
    <row r="1633" spans="1:14" x14ac:dyDescent="0.3">
      <c r="A1633" s="1">
        <v>46079.73709490741</v>
      </c>
      <c r="B1633">
        <v>359779074</v>
      </c>
      <c r="C1633" t="s">
        <v>385</v>
      </c>
      <c r="D1633" t="s">
        <v>89</v>
      </c>
      <c r="E1633" s="2">
        <v>12040</v>
      </c>
      <c r="F1633" s="2">
        <v>12040</v>
      </c>
      <c r="G1633" s="2">
        <v>8428</v>
      </c>
      <c r="I1633" t="s">
        <v>99</v>
      </c>
      <c r="J1633" t="s">
        <v>23</v>
      </c>
      <c r="K1633" t="s">
        <v>18</v>
      </c>
      <c r="L1633" t="str">
        <f>T("9791194664475")</f>
        <v>9791194664475</v>
      </c>
      <c r="M1633" t="str">
        <f t="shared" si="38"/>
        <v/>
      </c>
    </row>
    <row r="1634" spans="1:14" x14ac:dyDescent="0.3">
      <c r="A1634" s="1">
        <v>46079.7575462963</v>
      </c>
      <c r="B1634">
        <v>365656697</v>
      </c>
      <c r="C1634" t="s">
        <v>239</v>
      </c>
      <c r="D1634" t="s">
        <v>89</v>
      </c>
      <c r="E1634" s="2">
        <v>5760</v>
      </c>
      <c r="F1634" s="2">
        <v>5760</v>
      </c>
      <c r="G1634" s="2">
        <v>4032</v>
      </c>
      <c r="I1634" t="s">
        <v>240</v>
      </c>
      <c r="J1634" t="s">
        <v>49</v>
      </c>
      <c r="K1634" t="s">
        <v>18</v>
      </c>
      <c r="L1634" t="str">
        <f>T("9791173783630")</f>
        <v>9791173783630</v>
      </c>
      <c r="M1634" t="str">
        <f t="shared" si="38"/>
        <v/>
      </c>
    </row>
    <row r="1635" spans="1:14" x14ac:dyDescent="0.3">
      <c r="A1635" s="1">
        <v>46079.797592592593</v>
      </c>
      <c r="B1635">
        <v>316293083</v>
      </c>
      <c r="C1635" t="s">
        <v>465</v>
      </c>
      <c r="D1635" t="s">
        <v>89</v>
      </c>
      <c r="E1635" s="2">
        <v>8190</v>
      </c>
      <c r="F1635" s="2">
        <v>8190</v>
      </c>
      <c r="G1635" s="2">
        <v>5733</v>
      </c>
      <c r="I1635" t="s">
        <v>124</v>
      </c>
      <c r="J1635" t="s">
        <v>23</v>
      </c>
      <c r="K1635" t="s">
        <v>18</v>
      </c>
      <c r="L1635" t="str">
        <f>T("9791136936097")</f>
        <v>9791136936097</v>
      </c>
      <c r="M1635" t="str">
        <f t="shared" si="38"/>
        <v/>
      </c>
    </row>
    <row r="1636" spans="1:14" x14ac:dyDescent="0.3">
      <c r="A1636" s="1">
        <v>46079.802581018521</v>
      </c>
      <c r="B1636">
        <v>385348414</v>
      </c>
      <c r="C1636" t="s">
        <v>114</v>
      </c>
      <c r="D1636" t="s">
        <v>15</v>
      </c>
      <c r="E1636" s="2">
        <v>13000</v>
      </c>
      <c r="F1636" s="2">
        <v>11700</v>
      </c>
      <c r="G1636" s="2">
        <v>8190</v>
      </c>
      <c r="I1636" t="s">
        <v>87</v>
      </c>
      <c r="J1636" t="s">
        <v>23</v>
      </c>
      <c r="K1636" t="s">
        <v>18</v>
      </c>
      <c r="L1636" t="str">
        <f>T("9791175308503")</f>
        <v>9791175308503</v>
      </c>
      <c r="M1636" t="str">
        <f t="shared" si="38"/>
        <v/>
      </c>
    </row>
    <row r="1637" spans="1:14" x14ac:dyDescent="0.3">
      <c r="A1637" s="1">
        <v>46079.805520833332</v>
      </c>
      <c r="B1637">
        <v>386937104</v>
      </c>
      <c r="C1637" t="s">
        <v>579</v>
      </c>
      <c r="D1637" t="s">
        <v>89</v>
      </c>
      <c r="E1637" s="2">
        <v>8640</v>
      </c>
      <c r="F1637" s="2">
        <v>8640</v>
      </c>
      <c r="G1637" s="2">
        <v>6048</v>
      </c>
      <c r="I1637" t="s">
        <v>580</v>
      </c>
      <c r="J1637" t="s">
        <v>23</v>
      </c>
      <c r="K1637" t="s">
        <v>18</v>
      </c>
      <c r="L1637" t="str">
        <f>T("9791175309401")</f>
        <v>9791175309401</v>
      </c>
      <c r="M1637" t="str">
        <f t="shared" si="38"/>
        <v/>
      </c>
    </row>
    <row r="1638" spans="1:14" x14ac:dyDescent="0.3">
      <c r="A1638" s="1">
        <v>46079.821793981479</v>
      </c>
      <c r="B1638">
        <v>347624911</v>
      </c>
      <c r="C1638" t="s">
        <v>476</v>
      </c>
      <c r="D1638" t="s">
        <v>15</v>
      </c>
      <c r="E1638" s="2">
        <v>3300</v>
      </c>
      <c r="F1638" s="2">
        <v>3300</v>
      </c>
      <c r="G1638" s="2">
        <v>2310</v>
      </c>
      <c r="I1638" t="s">
        <v>406</v>
      </c>
      <c r="J1638" t="s">
        <v>70</v>
      </c>
      <c r="K1638" t="s">
        <v>18</v>
      </c>
      <c r="L1638" t="str">
        <f>T("9791136998323")</f>
        <v>9791136998323</v>
      </c>
      <c r="M1638" t="str">
        <f t="shared" si="38"/>
        <v/>
      </c>
      <c r="N1638">
        <v>928324</v>
      </c>
    </row>
    <row r="1639" spans="1:14" x14ac:dyDescent="0.3">
      <c r="A1639" s="1">
        <v>46079.821793981479</v>
      </c>
      <c r="B1639">
        <v>349363182</v>
      </c>
      <c r="C1639" t="s">
        <v>645</v>
      </c>
      <c r="D1639" t="s">
        <v>15</v>
      </c>
      <c r="E1639" s="2">
        <v>2000</v>
      </c>
      <c r="F1639" s="2">
        <v>2000</v>
      </c>
      <c r="G1639" s="2">
        <v>1400</v>
      </c>
      <c r="I1639" t="s">
        <v>406</v>
      </c>
      <c r="J1639" t="s">
        <v>70</v>
      </c>
      <c r="K1639" t="s">
        <v>18</v>
      </c>
      <c r="L1639" t="str">
        <f>T("9791172920791")</f>
        <v>9791172920791</v>
      </c>
      <c r="M1639" t="str">
        <f t="shared" si="38"/>
        <v/>
      </c>
      <c r="N1639">
        <v>929094</v>
      </c>
    </row>
    <row r="1640" spans="1:14" x14ac:dyDescent="0.3">
      <c r="A1640" s="1">
        <v>46079.823958333334</v>
      </c>
      <c r="B1640">
        <v>365656697</v>
      </c>
      <c r="C1640" t="s">
        <v>239</v>
      </c>
      <c r="D1640" t="s">
        <v>89</v>
      </c>
      <c r="E1640" s="2">
        <v>5760</v>
      </c>
      <c r="F1640" s="2">
        <v>5760</v>
      </c>
      <c r="G1640" s="2">
        <v>4032</v>
      </c>
      <c r="I1640" t="s">
        <v>240</v>
      </c>
      <c r="J1640" t="s">
        <v>49</v>
      </c>
      <c r="K1640" t="s">
        <v>18</v>
      </c>
      <c r="L1640" t="str">
        <f>T("9791173783630")</f>
        <v>9791173783630</v>
      </c>
      <c r="M1640" t="str">
        <f t="shared" si="38"/>
        <v/>
      </c>
    </row>
    <row r="1641" spans="1:14" x14ac:dyDescent="0.3">
      <c r="A1641" s="1">
        <v>46079.837858796294</v>
      </c>
      <c r="B1641">
        <v>371102770</v>
      </c>
      <c r="C1641" t="s">
        <v>395</v>
      </c>
      <c r="D1641" t="s">
        <v>89</v>
      </c>
      <c r="E1641" s="2">
        <v>6930</v>
      </c>
      <c r="F1641" s="2">
        <v>6930</v>
      </c>
      <c r="G1641" s="2">
        <v>4851</v>
      </c>
      <c r="I1641" t="s">
        <v>234</v>
      </c>
      <c r="J1641" t="s">
        <v>23</v>
      </c>
      <c r="K1641" t="s">
        <v>18</v>
      </c>
      <c r="L1641" t="str">
        <f>T("9791175300569")</f>
        <v>9791175300569</v>
      </c>
      <c r="M1641" t="str">
        <f t="shared" si="38"/>
        <v/>
      </c>
    </row>
    <row r="1642" spans="1:14" x14ac:dyDescent="0.3">
      <c r="A1642" s="1">
        <v>46079.846562500003</v>
      </c>
      <c r="B1642">
        <v>323369904</v>
      </c>
      <c r="C1642" t="s">
        <v>646</v>
      </c>
      <c r="D1642" t="s">
        <v>15</v>
      </c>
      <c r="E1642" s="2">
        <v>3200</v>
      </c>
      <c r="F1642" s="2">
        <v>3200</v>
      </c>
      <c r="G1642" s="2">
        <v>2240</v>
      </c>
      <c r="I1642" t="s">
        <v>643</v>
      </c>
      <c r="J1642" t="s">
        <v>79</v>
      </c>
      <c r="K1642" t="s">
        <v>18</v>
      </c>
      <c r="L1642" t="str">
        <f>T("9791136937384")</f>
        <v>9791136937384</v>
      </c>
      <c r="M1642" t="str">
        <f t="shared" si="38"/>
        <v/>
      </c>
      <c r="N1642">
        <v>917261</v>
      </c>
    </row>
    <row r="1643" spans="1:14" x14ac:dyDescent="0.3">
      <c r="A1643" s="1">
        <v>46079.846562500003</v>
      </c>
      <c r="B1643">
        <v>323369907</v>
      </c>
      <c r="C1643" t="s">
        <v>647</v>
      </c>
      <c r="D1643" t="s">
        <v>15</v>
      </c>
      <c r="E1643" s="2">
        <v>3200</v>
      </c>
      <c r="F1643" s="2">
        <v>3200</v>
      </c>
      <c r="G1643" s="2">
        <v>2240</v>
      </c>
      <c r="I1643" t="s">
        <v>643</v>
      </c>
      <c r="J1643" t="s">
        <v>79</v>
      </c>
      <c r="K1643" t="s">
        <v>18</v>
      </c>
      <c r="L1643" t="str">
        <f>T("9791136937377")</f>
        <v>9791136937377</v>
      </c>
      <c r="M1643" t="str">
        <f t="shared" si="38"/>
        <v/>
      </c>
      <c r="N1643">
        <v>917261</v>
      </c>
    </row>
    <row r="1644" spans="1:14" x14ac:dyDescent="0.3">
      <c r="A1644" s="1">
        <v>46079.846562500003</v>
      </c>
      <c r="B1644">
        <v>323369911</v>
      </c>
      <c r="C1644" t="s">
        <v>648</v>
      </c>
      <c r="D1644" t="s">
        <v>15</v>
      </c>
      <c r="E1644" s="2">
        <v>3200</v>
      </c>
      <c r="F1644" s="2">
        <v>3200</v>
      </c>
      <c r="G1644" s="2">
        <v>2240</v>
      </c>
      <c r="I1644" t="s">
        <v>643</v>
      </c>
      <c r="J1644" t="s">
        <v>79</v>
      </c>
      <c r="K1644" t="s">
        <v>18</v>
      </c>
      <c r="L1644" t="str">
        <f>T("9791136937438")</f>
        <v>9791136937438</v>
      </c>
      <c r="M1644" t="str">
        <f t="shared" si="38"/>
        <v/>
      </c>
      <c r="N1644">
        <v>917261</v>
      </c>
    </row>
    <row r="1645" spans="1:14" x14ac:dyDescent="0.3">
      <c r="A1645" s="1">
        <v>46079.846562500003</v>
      </c>
      <c r="B1645">
        <v>323369912</v>
      </c>
      <c r="C1645" t="s">
        <v>649</v>
      </c>
      <c r="D1645" t="s">
        <v>15</v>
      </c>
      <c r="E1645" s="2">
        <v>3200</v>
      </c>
      <c r="F1645" s="2">
        <v>3200</v>
      </c>
      <c r="G1645" s="2">
        <v>2240</v>
      </c>
      <c r="I1645" t="s">
        <v>643</v>
      </c>
      <c r="J1645" t="s">
        <v>79</v>
      </c>
      <c r="K1645" t="s">
        <v>18</v>
      </c>
      <c r="L1645" t="str">
        <f>T("9791136937407")</f>
        <v>9791136937407</v>
      </c>
      <c r="M1645" t="str">
        <f t="shared" si="38"/>
        <v/>
      </c>
      <c r="N1645">
        <v>917261</v>
      </c>
    </row>
    <row r="1646" spans="1:14" x14ac:dyDescent="0.3">
      <c r="A1646" s="1">
        <v>46079.846562500003</v>
      </c>
      <c r="B1646">
        <v>323369913</v>
      </c>
      <c r="C1646" t="s">
        <v>650</v>
      </c>
      <c r="D1646" t="s">
        <v>15</v>
      </c>
      <c r="E1646" s="2">
        <v>3200</v>
      </c>
      <c r="F1646" s="2">
        <v>3200</v>
      </c>
      <c r="G1646" s="2">
        <v>2240</v>
      </c>
      <c r="I1646" t="s">
        <v>643</v>
      </c>
      <c r="J1646" t="s">
        <v>79</v>
      </c>
      <c r="K1646" t="s">
        <v>18</v>
      </c>
      <c r="L1646" t="str">
        <f>T("9791136937391")</f>
        <v>9791136937391</v>
      </c>
      <c r="M1646" t="str">
        <f t="shared" si="38"/>
        <v/>
      </c>
      <c r="N1646">
        <v>917261</v>
      </c>
    </row>
    <row r="1647" spans="1:14" x14ac:dyDescent="0.3">
      <c r="A1647" s="1">
        <v>46079.846562500003</v>
      </c>
      <c r="B1647">
        <v>323369914</v>
      </c>
      <c r="C1647" t="s">
        <v>651</v>
      </c>
      <c r="D1647" t="s">
        <v>15</v>
      </c>
      <c r="E1647" s="2">
        <v>3200</v>
      </c>
      <c r="F1647" s="2">
        <v>3200</v>
      </c>
      <c r="G1647" s="2">
        <v>2240</v>
      </c>
      <c r="I1647" t="s">
        <v>643</v>
      </c>
      <c r="J1647" t="s">
        <v>79</v>
      </c>
      <c r="K1647" t="s">
        <v>18</v>
      </c>
      <c r="L1647" t="str">
        <f>T("9791136937421")</f>
        <v>9791136937421</v>
      </c>
      <c r="M1647" t="str">
        <f t="shared" si="38"/>
        <v/>
      </c>
      <c r="N1647">
        <v>917261</v>
      </c>
    </row>
    <row r="1648" spans="1:14" x14ac:dyDescent="0.3">
      <c r="A1648" s="1">
        <v>46079.846562500003</v>
      </c>
      <c r="B1648">
        <v>323369918</v>
      </c>
      <c r="C1648" t="s">
        <v>652</v>
      </c>
      <c r="D1648" t="s">
        <v>15</v>
      </c>
      <c r="E1648" s="2">
        <v>3200</v>
      </c>
      <c r="F1648" s="2">
        <v>3200</v>
      </c>
      <c r="G1648" s="2">
        <v>2240</v>
      </c>
      <c r="I1648" t="s">
        <v>643</v>
      </c>
      <c r="J1648" t="s">
        <v>79</v>
      </c>
      <c r="K1648" t="s">
        <v>18</v>
      </c>
      <c r="L1648" t="str">
        <f>T("9791136937322")</f>
        <v>9791136937322</v>
      </c>
      <c r="M1648" t="str">
        <f t="shared" si="38"/>
        <v/>
      </c>
      <c r="N1648">
        <v>917261</v>
      </c>
    </row>
    <row r="1649" spans="1:14" x14ac:dyDescent="0.3">
      <c r="A1649" s="1">
        <v>46079.846562500003</v>
      </c>
      <c r="B1649">
        <v>323369920</v>
      </c>
      <c r="C1649" t="s">
        <v>653</v>
      </c>
      <c r="D1649" t="s">
        <v>15</v>
      </c>
      <c r="E1649" s="2">
        <v>3200</v>
      </c>
      <c r="F1649" s="2">
        <v>3200</v>
      </c>
      <c r="G1649" s="2">
        <v>2240</v>
      </c>
      <c r="I1649" t="s">
        <v>643</v>
      </c>
      <c r="J1649" t="s">
        <v>79</v>
      </c>
      <c r="K1649" t="s">
        <v>18</v>
      </c>
      <c r="L1649" t="str">
        <f>T("9791136937445")</f>
        <v>9791136937445</v>
      </c>
      <c r="M1649" t="str">
        <f t="shared" si="38"/>
        <v/>
      </c>
      <c r="N1649">
        <v>917261</v>
      </c>
    </row>
    <row r="1650" spans="1:14" x14ac:dyDescent="0.3">
      <c r="A1650" s="1">
        <v>46079.846562500003</v>
      </c>
      <c r="B1650">
        <v>323369921</v>
      </c>
      <c r="C1650" t="s">
        <v>654</v>
      </c>
      <c r="D1650" t="s">
        <v>15</v>
      </c>
      <c r="E1650" s="2">
        <v>3200</v>
      </c>
      <c r="F1650" s="2">
        <v>3200</v>
      </c>
      <c r="G1650" s="2">
        <v>2240</v>
      </c>
      <c r="I1650" t="s">
        <v>643</v>
      </c>
      <c r="J1650" t="s">
        <v>79</v>
      </c>
      <c r="K1650" t="s">
        <v>18</v>
      </c>
      <c r="L1650" t="str">
        <f>T("9791136937292")</f>
        <v>9791136937292</v>
      </c>
      <c r="M1650" t="str">
        <f t="shared" si="38"/>
        <v/>
      </c>
      <c r="N1650">
        <v>917261</v>
      </c>
    </row>
    <row r="1651" spans="1:14" x14ac:dyDescent="0.3">
      <c r="A1651" s="1">
        <v>46079.846562500003</v>
      </c>
      <c r="B1651">
        <v>323369922</v>
      </c>
      <c r="C1651" t="s">
        <v>655</v>
      </c>
      <c r="D1651" t="s">
        <v>15</v>
      </c>
      <c r="E1651" s="2">
        <v>3200</v>
      </c>
      <c r="F1651" s="2">
        <v>3200</v>
      </c>
      <c r="G1651" s="2">
        <v>2240</v>
      </c>
      <c r="I1651" t="s">
        <v>643</v>
      </c>
      <c r="J1651" t="s">
        <v>79</v>
      </c>
      <c r="K1651" t="s">
        <v>18</v>
      </c>
      <c r="L1651" t="str">
        <f>T("9791136937315")</f>
        <v>9791136937315</v>
      </c>
      <c r="M1651" t="str">
        <f t="shared" si="38"/>
        <v/>
      </c>
      <c r="N1651">
        <v>917261</v>
      </c>
    </row>
    <row r="1652" spans="1:14" x14ac:dyDescent="0.3">
      <c r="A1652" s="1">
        <v>46079.846562500003</v>
      </c>
      <c r="B1652">
        <v>323369923</v>
      </c>
      <c r="C1652" t="s">
        <v>656</v>
      </c>
      <c r="D1652" t="s">
        <v>15</v>
      </c>
      <c r="E1652" s="2">
        <v>3200</v>
      </c>
      <c r="F1652" s="2">
        <v>3200</v>
      </c>
      <c r="G1652" s="2">
        <v>2240</v>
      </c>
      <c r="I1652" t="s">
        <v>643</v>
      </c>
      <c r="J1652" t="s">
        <v>79</v>
      </c>
      <c r="K1652" t="s">
        <v>18</v>
      </c>
      <c r="L1652" t="str">
        <f>T("9791136937414")</f>
        <v>9791136937414</v>
      </c>
      <c r="M1652" t="str">
        <f t="shared" si="38"/>
        <v/>
      </c>
      <c r="N1652">
        <v>917261</v>
      </c>
    </row>
    <row r="1653" spans="1:14" x14ac:dyDescent="0.3">
      <c r="A1653" s="1">
        <v>46079.846562500003</v>
      </c>
      <c r="B1653">
        <v>323369924</v>
      </c>
      <c r="C1653" t="s">
        <v>657</v>
      </c>
      <c r="D1653" t="s">
        <v>15</v>
      </c>
      <c r="E1653" s="2">
        <v>3200</v>
      </c>
      <c r="F1653" s="2">
        <v>3200</v>
      </c>
      <c r="G1653" s="2">
        <v>2240</v>
      </c>
      <c r="I1653" t="s">
        <v>643</v>
      </c>
      <c r="J1653" t="s">
        <v>79</v>
      </c>
      <c r="K1653" t="s">
        <v>18</v>
      </c>
      <c r="L1653" t="str">
        <f>T("9791136937346")</f>
        <v>9791136937346</v>
      </c>
      <c r="M1653" t="str">
        <f t="shared" si="38"/>
        <v/>
      </c>
      <c r="N1653">
        <v>917261</v>
      </c>
    </row>
    <row r="1654" spans="1:14" x14ac:dyDescent="0.3">
      <c r="A1654" s="1">
        <v>46079.846562500003</v>
      </c>
      <c r="B1654">
        <v>323369925</v>
      </c>
      <c r="C1654" t="s">
        <v>658</v>
      </c>
      <c r="D1654" t="s">
        <v>15</v>
      </c>
      <c r="E1654" s="2">
        <v>3200</v>
      </c>
      <c r="F1654" s="2">
        <v>3200</v>
      </c>
      <c r="G1654" s="2">
        <v>2240</v>
      </c>
      <c r="I1654" t="s">
        <v>643</v>
      </c>
      <c r="J1654" t="s">
        <v>79</v>
      </c>
      <c r="K1654" t="s">
        <v>18</v>
      </c>
      <c r="L1654" t="str">
        <f>T("9791136937339")</f>
        <v>9791136937339</v>
      </c>
      <c r="M1654" t="str">
        <f t="shared" si="38"/>
        <v/>
      </c>
      <c r="N1654">
        <v>917261</v>
      </c>
    </row>
    <row r="1655" spans="1:14" x14ac:dyDescent="0.3">
      <c r="A1655" s="1">
        <v>46079.846562500003</v>
      </c>
      <c r="B1655">
        <v>323369926</v>
      </c>
      <c r="C1655" t="s">
        <v>659</v>
      </c>
      <c r="D1655" t="s">
        <v>15</v>
      </c>
      <c r="E1655" s="2">
        <v>3200</v>
      </c>
      <c r="F1655" s="2">
        <v>3200</v>
      </c>
      <c r="G1655" s="2">
        <v>2240</v>
      </c>
      <c r="I1655" t="s">
        <v>643</v>
      </c>
      <c r="J1655" t="s">
        <v>79</v>
      </c>
      <c r="K1655" t="s">
        <v>18</v>
      </c>
      <c r="L1655" t="str">
        <f>T("9791136937308")</f>
        <v>9791136937308</v>
      </c>
      <c r="M1655" t="str">
        <f t="shared" si="38"/>
        <v/>
      </c>
      <c r="N1655">
        <v>917261</v>
      </c>
    </row>
    <row r="1656" spans="1:14" x14ac:dyDescent="0.3">
      <c r="A1656" s="1">
        <v>46079.846562500003</v>
      </c>
      <c r="B1656">
        <v>323369931</v>
      </c>
      <c r="C1656" t="s">
        <v>660</v>
      </c>
      <c r="D1656" t="s">
        <v>15</v>
      </c>
      <c r="E1656" s="2">
        <v>3200</v>
      </c>
      <c r="F1656" s="2">
        <v>3200</v>
      </c>
      <c r="G1656" s="2">
        <v>2240</v>
      </c>
      <c r="I1656" t="s">
        <v>643</v>
      </c>
      <c r="J1656" t="s">
        <v>79</v>
      </c>
      <c r="K1656" t="s">
        <v>18</v>
      </c>
      <c r="L1656" t="str">
        <f>T("9791136937353")</f>
        <v>9791136937353</v>
      </c>
      <c r="M1656" t="str">
        <f t="shared" si="38"/>
        <v/>
      </c>
      <c r="N1656">
        <v>917261</v>
      </c>
    </row>
    <row r="1657" spans="1:14" x14ac:dyDescent="0.3">
      <c r="A1657" s="1">
        <v>46079.864525462966</v>
      </c>
      <c r="B1657">
        <v>346154245</v>
      </c>
      <c r="C1657" t="s">
        <v>45</v>
      </c>
      <c r="D1657" t="s">
        <v>15</v>
      </c>
      <c r="E1657" s="2">
        <v>3300</v>
      </c>
      <c r="F1657" s="2">
        <v>3300</v>
      </c>
      <c r="G1657" s="2">
        <v>2310</v>
      </c>
      <c r="I1657" t="s">
        <v>32</v>
      </c>
      <c r="J1657" t="s">
        <v>23</v>
      </c>
      <c r="K1657" t="s">
        <v>18</v>
      </c>
      <c r="L1657" t="str">
        <f>T("9791136940728")</f>
        <v>9791136940728</v>
      </c>
      <c r="M1657" t="str">
        <f t="shared" si="38"/>
        <v/>
      </c>
      <c r="N1657">
        <v>928441</v>
      </c>
    </row>
    <row r="1658" spans="1:14" x14ac:dyDescent="0.3">
      <c r="A1658" s="1">
        <v>46079.87300925926</v>
      </c>
      <c r="B1658">
        <v>379386288</v>
      </c>
      <c r="C1658" t="s">
        <v>370</v>
      </c>
      <c r="D1658" t="s">
        <v>89</v>
      </c>
      <c r="E1658" s="2">
        <v>11280</v>
      </c>
      <c r="F1658" s="2">
        <v>11280</v>
      </c>
      <c r="G1658" s="2">
        <v>7896</v>
      </c>
      <c r="I1658" t="s">
        <v>102</v>
      </c>
      <c r="J1658" t="s">
        <v>23</v>
      </c>
      <c r="K1658" t="s">
        <v>18</v>
      </c>
      <c r="L1658" t="str">
        <f>T("9791175307438")</f>
        <v>9791175307438</v>
      </c>
      <c r="M1658" t="str">
        <f t="shared" si="38"/>
        <v/>
      </c>
    </row>
    <row r="1659" spans="1:14" x14ac:dyDescent="0.3">
      <c r="A1659" s="1">
        <v>46079.884317129632</v>
      </c>
      <c r="B1659">
        <v>379386288</v>
      </c>
      <c r="C1659" t="s">
        <v>370</v>
      </c>
      <c r="D1659" t="s">
        <v>89</v>
      </c>
      <c r="E1659" s="2">
        <v>11280</v>
      </c>
      <c r="F1659" s="2">
        <v>11280</v>
      </c>
      <c r="G1659" s="2">
        <v>7896</v>
      </c>
      <c r="I1659" t="s">
        <v>102</v>
      </c>
      <c r="J1659" t="s">
        <v>23</v>
      </c>
      <c r="K1659" t="s">
        <v>18</v>
      </c>
      <c r="L1659" t="str">
        <f>T("9791175307438")</f>
        <v>9791175307438</v>
      </c>
      <c r="M1659" t="str">
        <f t="shared" si="38"/>
        <v/>
      </c>
    </row>
    <row r="1660" spans="1:14" x14ac:dyDescent="0.3">
      <c r="A1660" s="1">
        <v>46079.893946759257</v>
      </c>
      <c r="B1660">
        <v>371102770</v>
      </c>
      <c r="C1660" t="s">
        <v>395</v>
      </c>
      <c r="D1660" t="s">
        <v>89</v>
      </c>
      <c r="E1660" s="2">
        <v>6930</v>
      </c>
      <c r="F1660" s="2">
        <v>6930</v>
      </c>
      <c r="G1660" s="2">
        <v>4851</v>
      </c>
      <c r="I1660" t="s">
        <v>234</v>
      </c>
      <c r="J1660" t="s">
        <v>23</v>
      </c>
      <c r="K1660" t="s">
        <v>18</v>
      </c>
      <c r="L1660" t="str">
        <f>T("9791175300569")</f>
        <v>9791175300569</v>
      </c>
      <c r="M1660" t="str">
        <f t="shared" si="38"/>
        <v/>
      </c>
    </row>
    <row r="1661" spans="1:14" x14ac:dyDescent="0.3">
      <c r="A1661" s="1">
        <v>46079.896793981483</v>
      </c>
      <c r="B1661">
        <v>379386288</v>
      </c>
      <c r="C1661" t="s">
        <v>370</v>
      </c>
      <c r="D1661" t="s">
        <v>89</v>
      </c>
      <c r="E1661" s="2">
        <v>11280</v>
      </c>
      <c r="F1661" s="2">
        <v>11280</v>
      </c>
      <c r="G1661" s="2">
        <v>7896</v>
      </c>
      <c r="I1661" t="s">
        <v>102</v>
      </c>
      <c r="J1661" t="s">
        <v>23</v>
      </c>
      <c r="K1661" t="s">
        <v>18</v>
      </c>
      <c r="L1661" t="str">
        <f>T("9791175307438")</f>
        <v>9791175307438</v>
      </c>
      <c r="M1661" t="str">
        <f t="shared" si="38"/>
        <v/>
      </c>
    </row>
    <row r="1662" spans="1:14" x14ac:dyDescent="0.3">
      <c r="A1662" s="1">
        <v>46079.92119212963</v>
      </c>
      <c r="B1662">
        <v>359779074</v>
      </c>
      <c r="C1662" t="s">
        <v>385</v>
      </c>
      <c r="D1662" t="s">
        <v>89</v>
      </c>
      <c r="E1662" s="2">
        <v>-12040</v>
      </c>
      <c r="F1662" s="2">
        <v>-12040</v>
      </c>
      <c r="G1662" s="2">
        <v>-8428</v>
      </c>
      <c r="H1662" s="1">
        <v>46079.919374999998</v>
      </c>
      <c r="I1662" t="s">
        <v>99</v>
      </c>
      <c r="J1662" t="s">
        <v>23</v>
      </c>
      <c r="K1662" t="s">
        <v>18</v>
      </c>
      <c r="L1662" t="str">
        <f>T("9791194664475")</f>
        <v>9791194664475</v>
      </c>
      <c r="M1662" t="str">
        <f t="shared" si="38"/>
        <v/>
      </c>
    </row>
    <row r="1663" spans="1:14" x14ac:dyDescent="0.3">
      <c r="A1663" s="1">
        <v>46079.919374999998</v>
      </c>
      <c r="B1663">
        <v>359779074</v>
      </c>
      <c r="C1663" t="s">
        <v>385</v>
      </c>
      <c r="D1663" t="s">
        <v>89</v>
      </c>
      <c r="E1663" s="2">
        <v>12040</v>
      </c>
      <c r="F1663" s="2">
        <v>12040</v>
      </c>
      <c r="G1663" s="2">
        <v>8428</v>
      </c>
      <c r="I1663" t="s">
        <v>99</v>
      </c>
      <c r="J1663" t="s">
        <v>23</v>
      </c>
      <c r="K1663" t="s">
        <v>18</v>
      </c>
      <c r="L1663" t="str">
        <f>T("9791194664475")</f>
        <v>9791194664475</v>
      </c>
      <c r="M1663" t="str">
        <f t="shared" si="38"/>
        <v/>
      </c>
    </row>
    <row r="1664" spans="1:14" x14ac:dyDescent="0.3">
      <c r="A1664" s="1">
        <v>46079.923090277778</v>
      </c>
      <c r="B1664">
        <v>359779074</v>
      </c>
      <c r="C1664" t="s">
        <v>385</v>
      </c>
      <c r="D1664" t="s">
        <v>89</v>
      </c>
      <c r="E1664" s="2">
        <v>12040</v>
      </c>
      <c r="F1664" s="2">
        <v>12040</v>
      </c>
      <c r="G1664" s="2">
        <v>8428</v>
      </c>
      <c r="I1664" t="s">
        <v>99</v>
      </c>
      <c r="J1664" t="s">
        <v>23</v>
      </c>
      <c r="K1664" t="s">
        <v>18</v>
      </c>
      <c r="L1664" t="str">
        <f>T("9791194664475")</f>
        <v>9791194664475</v>
      </c>
      <c r="M1664" t="str">
        <f t="shared" si="38"/>
        <v/>
      </c>
    </row>
    <row r="1665" spans="1:14" x14ac:dyDescent="0.3">
      <c r="A1665" s="1">
        <v>46079.939652777779</v>
      </c>
      <c r="B1665">
        <v>359779074</v>
      </c>
      <c r="C1665" t="s">
        <v>385</v>
      </c>
      <c r="D1665" t="s">
        <v>89</v>
      </c>
      <c r="E1665" s="2">
        <v>12040</v>
      </c>
      <c r="F1665" s="2">
        <v>12040</v>
      </c>
      <c r="G1665" s="2">
        <v>8428</v>
      </c>
      <c r="I1665" t="s">
        <v>99</v>
      </c>
      <c r="J1665" t="s">
        <v>23</v>
      </c>
      <c r="K1665" t="s">
        <v>18</v>
      </c>
      <c r="L1665" t="str">
        <f>T("9791194664475")</f>
        <v>9791194664475</v>
      </c>
      <c r="M1665" t="str">
        <f t="shared" si="38"/>
        <v/>
      </c>
    </row>
    <row r="1666" spans="1:14" x14ac:dyDescent="0.3">
      <c r="A1666" s="1">
        <v>46079.939652777779</v>
      </c>
      <c r="B1666">
        <v>381924691</v>
      </c>
      <c r="C1666" t="s">
        <v>302</v>
      </c>
      <c r="D1666" t="s">
        <v>89</v>
      </c>
      <c r="E1666" s="2">
        <v>8160</v>
      </c>
      <c r="F1666" s="2">
        <v>8160</v>
      </c>
      <c r="G1666" s="2">
        <v>5712</v>
      </c>
      <c r="I1666" t="s">
        <v>189</v>
      </c>
      <c r="J1666" t="s">
        <v>70</v>
      </c>
      <c r="K1666" t="s">
        <v>18</v>
      </c>
      <c r="L1666" t="str">
        <f>T("9791175307605")</f>
        <v>9791175307605</v>
      </c>
      <c r="M1666" t="str">
        <f t="shared" si="38"/>
        <v/>
      </c>
    </row>
    <row r="1667" spans="1:14" x14ac:dyDescent="0.3">
      <c r="A1667" s="1">
        <v>46079.942662037036</v>
      </c>
      <c r="B1667">
        <v>279704184</v>
      </c>
      <c r="C1667" t="s">
        <v>661</v>
      </c>
      <c r="D1667" t="s">
        <v>15</v>
      </c>
      <c r="E1667" s="2">
        <v>3400</v>
      </c>
      <c r="F1667" s="2">
        <v>3400</v>
      </c>
      <c r="G1667" s="2">
        <v>2380</v>
      </c>
      <c r="I1667" t="s">
        <v>662</v>
      </c>
      <c r="J1667" t="s">
        <v>49</v>
      </c>
      <c r="K1667" t="s">
        <v>18</v>
      </c>
      <c r="L1667" t="str">
        <f>T("9791136917348")</f>
        <v>9791136917348</v>
      </c>
      <c r="M1667" t="str">
        <f t="shared" si="38"/>
        <v/>
      </c>
      <c r="N1667">
        <v>856317</v>
      </c>
    </row>
    <row r="1668" spans="1:14" x14ac:dyDescent="0.3">
      <c r="A1668" s="1">
        <v>46079.94798611111</v>
      </c>
      <c r="B1668">
        <v>293957194</v>
      </c>
      <c r="C1668" t="s">
        <v>663</v>
      </c>
      <c r="D1668" t="s">
        <v>15</v>
      </c>
      <c r="E1668" s="2">
        <v>3000</v>
      </c>
      <c r="F1668" s="2">
        <v>3000</v>
      </c>
      <c r="G1668" s="2">
        <v>2100</v>
      </c>
      <c r="I1668" t="s">
        <v>664</v>
      </c>
      <c r="J1668" t="s">
        <v>70</v>
      </c>
      <c r="K1668" t="s">
        <v>18</v>
      </c>
      <c r="L1668" t="str">
        <f>T("9791136923370")</f>
        <v>9791136923370</v>
      </c>
      <c r="M1668" t="str">
        <f t="shared" si="38"/>
        <v/>
      </c>
      <c r="N1668">
        <v>880562</v>
      </c>
    </row>
    <row r="1669" spans="1:14" x14ac:dyDescent="0.3">
      <c r="A1669" s="1">
        <v>46079.948680555557</v>
      </c>
      <c r="B1669">
        <v>335163682</v>
      </c>
      <c r="C1669" t="s">
        <v>303</v>
      </c>
      <c r="D1669" t="s">
        <v>15</v>
      </c>
      <c r="E1669" s="2">
        <v>3000</v>
      </c>
      <c r="F1669" s="2">
        <v>3000</v>
      </c>
      <c r="G1669" s="2">
        <v>2100</v>
      </c>
      <c r="I1669" t="s">
        <v>153</v>
      </c>
      <c r="J1669" t="s">
        <v>23</v>
      </c>
      <c r="K1669" t="s">
        <v>18</v>
      </c>
      <c r="L1669" t="str">
        <f>T("9791136955203")</f>
        <v>9791136955203</v>
      </c>
      <c r="M1669" t="str">
        <f t="shared" si="38"/>
        <v/>
      </c>
      <c r="N1669">
        <v>920746</v>
      </c>
    </row>
    <row r="1670" spans="1:14" x14ac:dyDescent="0.3">
      <c r="A1670" s="1">
        <v>46079.949421296296</v>
      </c>
      <c r="B1670">
        <v>359779074</v>
      </c>
      <c r="C1670" t="s">
        <v>385</v>
      </c>
      <c r="D1670" t="s">
        <v>89</v>
      </c>
      <c r="E1670" s="2">
        <v>12040</v>
      </c>
      <c r="F1670" s="2">
        <v>12040</v>
      </c>
      <c r="G1670" s="2">
        <v>8428</v>
      </c>
      <c r="I1670" t="s">
        <v>99</v>
      </c>
      <c r="J1670" t="s">
        <v>23</v>
      </c>
      <c r="K1670" t="s">
        <v>18</v>
      </c>
      <c r="L1670" t="str">
        <f>T("9791194664475")</f>
        <v>9791194664475</v>
      </c>
      <c r="M1670" t="str">
        <f t="shared" si="38"/>
        <v/>
      </c>
    </row>
    <row r="1671" spans="1:14" x14ac:dyDescent="0.3">
      <c r="A1671" s="1">
        <v>46079.954259259262</v>
      </c>
      <c r="B1671">
        <v>359779074</v>
      </c>
      <c r="C1671" t="s">
        <v>385</v>
      </c>
      <c r="D1671" t="s">
        <v>89</v>
      </c>
      <c r="E1671" s="2">
        <v>12040</v>
      </c>
      <c r="F1671" s="2">
        <v>12040</v>
      </c>
      <c r="G1671" s="2">
        <v>8428</v>
      </c>
      <c r="I1671" t="s">
        <v>99</v>
      </c>
      <c r="J1671" t="s">
        <v>23</v>
      </c>
      <c r="K1671" t="s">
        <v>18</v>
      </c>
      <c r="L1671" t="str">
        <f>T("9791194664475")</f>
        <v>9791194664475</v>
      </c>
      <c r="M1671" t="str">
        <f t="shared" si="38"/>
        <v/>
      </c>
    </row>
    <row r="1672" spans="1:14" x14ac:dyDescent="0.3">
      <c r="A1672" s="1">
        <v>46079.962743055556</v>
      </c>
      <c r="B1672">
        <v>266511269</v>
      </c>
      <c r="C1672" t="s">
        <v>457</v>
      </c>
      <c r="D1672" t="s">
        <v>15</v>
      </c>
      <c r="E1672" s="2">
        <v>4700</v>
      </c>
      <c r="F1672" s="2">
        <v>4700</v>
      </c>
      <c r="G1672" s="2">
        <v>3290</v>
      </c>
      <c r="I1672" t="s">
        <v>198</v>
      </c>
      <c r="J1672" t="s">
        <v>49</v>
      </c>
      <c r="K1672" t="s">
        <v>18</v>
      </c>
      <c r="L1672" t="str">
        <f>T("9791136910349")</f>
        <v>9791136910349</v>
      </c>
      <c r="M1672" t="str">
        <f t="shared" si="38"/>
        <v/>
      </c>
      <c r="N1672">
        <v>824996</v>
      </c>
    </row>
    <row r="1673" spans="1:14" x14ac:dyDescent="0.3">
      <c r="A1673" s="1">
        <v>46079.978750000002</v>
      </c>
      <c r="B1673">
        <v>295836377</v>
      </c>
      <c r="C1673" t="s">
        <v>665</v>
      </c>
      <c r="D1673" t="s">
        <v>15</v>
      </c>
      <c r="E1673" s="2">
        <v>3200</v>
      </c>
      <c r="F1673" s="2">
        <v>3200</v>
      </c>
      <c r="G1673" s="2">
        <v>2240</v>
      </c>
      <c r="I1673" t="s">
        <v>574</v>
      </c>
      <c r="J1673" t="s">
        <v>59</v>
      </c>
      <c r="K1673" t="s">
        <v>18</v>
      </c>
      <c r="L1673" t="str">
        <f>T("9791136923875")</f>
        <v>9791136923875</v>
      </c>
      <c r="M1673" t="str">
        <f t="shared" si="38"/>
        <v/>
      </c>
      <c r="N1673">
        <v>880528</v>
      </c>
    </row>
    <row r="1674" spans="1:14" x14ac:dyDescent="0.3">
      <c r="A1674" s="1">
        <v>46079.978750000002</v>
      </c>
      <c r="B1674">
        <v>295836379</v>
      </c>
      <c r="C1674" t="s">
        <v>666</v>
      </c>
      <c r="D1674" t="s">
        <v>15</v>
      </c>
      <c r="E1674" s="2">
        <v>3200</v>
      </c>
      <c r="F1674" s="2">
        <v>3200</v>
      </c>
      <c r="G1674" s="2">
        <v>2240</v>
      </c>
      <c r="I1674" t="s">
        <v>574</v>
      </c>
      <c r="J1674" t="s">
        <v>59</v>
      </c>
      <c r="K1674" t="s">
        <v>18</v>
      </c>
      <c r="L1674" t="str">
        <f>T("9791136923929")</f>
        <v>9791136923929</v>
      </c>
      <c r="M1674" t="str">
        <f t="shared" si="38"/>
        <v/>
      </c>
      <c r="N1674">
        <v>880523</v>
      </c>
    </row>
    <row r="1675" spans="1:14" x14ac:dyDescent="0.3">
      <c r="A1675" s="1">
        <v>46079.978750000002</v>
      </c>
      <c r="B1675">
        <v>295836381</v>
      </c>
      <c r="C1675" t="s">
        <v>667</v>
      </c>
      <c r="D1675" t="s">
        <v>15</v>
      </c>
      <c r="E1675" s="2">
        <v>3200</v>
      </c>
      <c r="F1675" s="2">
        <v>3200</v>
      </c>
      <c r="G1675" s="2">
        <v>2240</v>
      </c>
      <c r="I1675" t="s">
        <v>574</v>
      </c>
      <c r="J1675" t="s">
        <v>59</v>
      </c>
      <c r="K1675" t="s">
        <v>18</v>
      </c>
      <c r="L1675" t="str">
        <f>T("9791136923974")</f>
        <v>9791136923974</v>
      </c>
      <c r="M1675" t="str">
        <f t="shared" si="38"/>
        <v/>
      </c>
      <c r="N1675">
        <v>880518</v>
      </c>
    </row>
    <row r="1676" spans="1:14" x14ac:dyDescent="0.3">
      <c r="A1676" s="1">
        <v>46079.978750000002</v>
      </c>
      <c r="B1676">
        <v>295836242</v>
      </c>
      <c r="C1676" t="s">
        <v>668</v>
      </c>
      <c r="D1676" t="s">
        <v>15</v>
      </c>
      <c r="E1676" s="2">
        <v>3200</v>
      </c>
      <c r="F1676" s="2">
        <v>3200</v>
      </c>
      <c r="G1676" s="2">
        <v>2240</v>
      </c>
      <c r="I1676" t="s">
        <v>574</v>
      </c>
      <c r="J1676" t="s">
        <v>59</v>
      </c>
      <c r="K1676" t="s">
        <v>18</v>
      </c>
      <c r="L1676" t="str">
        <f>T("9791136923868")</f>
        <v>9791136923868</v>
      </c>
      <c r="M1676" t="str">
        <f t="shared" si="38"/>
        <v/>
      </c>
      <c r="N1676">
        <v>880529</v>
      </c>
    </row>
    <row r="1677" spans="1:14" x14ac:dyDescent="0.3">
      <c r="A1677" s="1">
        <v>46079.978750000002</v>
      </c>
      <c r="B1677">
        <v>295836244</v>
      </c>
      <c r="C1677" t="s">
        <v>669</v>
      </c>
      <c r="D1677" t="s">
        <v>15</v>
      </c>
      <c r="E1677" s="2">
        <v>3200</v>
      </c>
      <c r="F1677" s="2">
        <v>3200</v>
      </c>
      <c r="G1677" s="2">
        <v>2240</v>
      </c>
      <c r="I1677" t="s">
        <v>574</v>
      </c>
      <c r="J1677" t="s">
        <v>59</v>
      </c>
      <c r="K1677" t="s">
        <v>18</v>
      </c>
      <c r="L1677" t="str">
        <f>T("9791136923899")</f>
        <v>9791136923899</v>
      </c>
      <c r="M1677" t="str">
        <f t="shared" si="38"/>
        <v/>
      </c>
      <c r="N1677">
        <v>880526</v>
      </c>
    </row>
    <row r="1678" spans="1:14" x14ac:dyDescent="0.3">
      <c r="A1678" s="1">
        <v>46079.978750000002</v>
      </c>
      <c r="B1678">
        <v>295836246</v>
      </c>
      <c r="C1678" t="s">
        <v>670</v>
      </c>
      <c r="D1678" t="s">
        <v>15</v>
      </c>
      <c r="E1678" s="2">
        <v>3200</v>
      </c>
      <c r="F1678" s="2">
        <v>3200</v>
      </c>
      <c r="G1678" s="2">
        <v>2240</v>
      </c>
      <c r="I1678" t="s">
        <v>574</v>
      </c>
      <c r="J1678" t="s">
        <v>59</v>
      </c>
      <c r="K1678" t="s">
        <v>18</v>
      </c>
      <c r="L1678" t="str">
        <f>T("9791136923943")</f>
        <v>9791136923943</v>
      </c>
      <c r="M1678" t="str">
        <f t="shared" si="38"/>
        <v/>
      </c>
      <c r="N1678">
        <v>880521</v>
      </c>
    </row>
    <row r="1679" spans="1:14" x14ac:dyDescent="0.3">
      <c r="A1679" s="1">
        <v>46079.978750000002</v>
      </c>
      <c r="B1679">
        <v>295836247</v>
      </c>
      <c r="C1679" t="s">
        <v>671</v>
      </c>
      <c r="D1679" t="s">
        <v>15</v>
      </c>
      <c r="E1679" s="2">
        <v>3200</v>
      </c>
      <c r="F1679" s="2">
        <v>3200</v>
      </c>
      <c r="G1679" s="2">
        <v>2240</v>
      </c>
      <c r="I1679" t="s">
        <v>574</v>
      </c>
      <c r="J1679" t="s">
        <v>59</v>
      </c>
      <c r="K1679" t="s">
        <v>18</v>
      </c>
      <c r="L1679" t="str">
        <f>T("9791136923912")</f>
        <v>9791136923912</v>
      </c>
      <c r="M1679" t="str">
        <f t="shared" si="38"/>
        <v/>
      </c>
      <c r="N1679">
        <v>880524</v>
      </c>
    </row>
    <row r="1680" spans="1:14" x14ac:dyDescent="0.3">
      <c r="A1680" s="1">
        <v>46079.978750000002</v>
      </c>
      <c r="B1680">
        <v>295836249</v>
      </c>
      <c r="C1680" t="s">
        <v>672</v>
      </c>
      <c r="D1680" t="s">
        <v>15</v>
      </c>
      <c r="E1680" s="2">
        <v>3200</v>
      </c>
      <c r="F1680" s="2">
        <v>3200</v>
      </c>
      <c r="G1680" s="2">
        <v>2240</v>
      </c>
      <c r="I1680" t="s">
        <v>574</v>
      </c>
      <c r="J1680" t="s">
        <v>59</v>
      </c>
      <c r="K1680" t="s">
        <v>18</v>
      </c>
      <c r="L1680" t="str">
        <f>T("9791136923998")</f>
        <v>9791136923998</v>
      </c>
      <c r="M1680" t="str">
        <f t="shared" si="38"/>
        <v/>
      </c>
      <c r="N1680">
        <v>880516</v>
      </c>
    </row>
    <row r="1681" spans="1:14" x14ac:dyDescent="0.3">
      <c r="A1681" s="1">
        <v>46079.978750000002</v>
      </c>
      <c r="B1681">
        <v>295836250</v>
      </c>
      <c r="C1681" t="s">
        <v>673</v>
      </c>
      <c r="D1681" t="s">
        <v>15</v>
      </c>
      <c r="E1681" s="2">
        <v>3200</v>
      </c>
      <c r="F1681" s="2">
        <v>3200</v>
      </c>
      <c r="G1681" s="2">
        <v>2240</v>
      </c>
      <c r="I1681" t="s">
        <v>574</v>
      </c>
      <c r="J1681" t="s">
        <v>59</v>
      </c>
      <c r="K1681" t="s">
        <v>18</v>
      </c>
      <c r="L1681" t="str">
        <f>T("9791136923967")</f>
        <v>9791136923967</v>
      </c>
      <c r="M1681" t="str">
        <f t="shared" si="38"/>
        <v/>
      </c>
      <c r="N1681">
        <v>880519</v>
      </c>
    </row>
    <row r="1682" spans="1:14" x14ac:dyDescent="0.3">
      <c r="A1682" s="1">
        <v>46079.978750000002</v>
      </c>
      <c r="B1682">
        <v>295836501</v>
      </c>
      <c r="C1682" t="s">
        <v>674</v>
      </c>
      <c r="D1682" t="s">
        <v>15</v>
      </c>
      <c r="E1682" s="2">
        <v>3200</v>
      </c>
      <c r="F1682" s="2">
        <v>3200</v>
      </c>
      <c r="G1682" s="2">
        <v>2240</v>
      </c>
      <c r="I1682" t="s">
        <v>574</v>
      </c>
      <c r="J1682" t="s">
        <v>59</v>
      </c>
      <c r="K1682" t="s">
        <v>18</v>
      </c>
      <c r="L1682" t="str">
        <f>T("9791136923981")</f>
        <v>9791136923981</v>
      </c>
      <c r="M1682" t="str">
        <f t="shared" si="38"/>
        <v/>
      </c>
      <c r="N1682">
        <v>880517</v>
      </c>
    </row>
    <row r="1683" spans="1:14" x14ac:dyDescent="0.3">
      <c r="A1683" s="1">
        <v>46079.978750000002</v>
      </c>
      <c r="B1683">
        <v>295836499</v>
      </c>
      <c r="C1683" t="s">
        <v>675</v>
      </c>
      <c r="D1683" t="s">
        <v>15</v>
      </c>
      <c r="E1683" s="2">
        <v>3200</v>
      </c>
      <c r="F1683" s="2">
        <v>3200</v>
      </c>
      <c r="G1683" s="2">
        <v>2240</v>
      </c>
      <c r="I1683" t="s">
        <v>574</v>
      </c>
      <c r="J1683" t="s">
        <v>59</v>
      </c>
      <c r="K1683" t="s">
        <v>18</v>
      </c>
      <c r="L1683" t="str">
        <f>T("9791136923936")</f>
        <v>9791136923936</v>
      </c>
      <c r="M1683" t="str">
        <f t="shared" si="38"/>
        <v/>
      </c>
      <c r="N1683">
        <v>880522</v>
      </c>
    </row>
    <row r="1684" spans="1:14" x14ac:dyDescent="0.3">
      <c r="A1684" s="1">
        <v>46079.978750000002</v>
      </c>
      <c r="B1684">
        <v>295836426</v>
      </c>
      <c r="C1684" t="s">
        <v>676</v>
      </c>
      <c r="D1684" t="s">
        <v>15</v>
      </c>
      <c r="E1684" s="2">
        <v>3200</v>
      </c>
      <c r="F1684" s="2">
        <v>3200</v>
      </c>
      <c r="G1684" s="2">
        <v>2240</v>
      </c>
      <c r="I1684" t="s">
        <v>574</v>
      </c>
      <c r="J1684" t="s">
        <v>59</v>
      </c>
      <c r="K1684" t="s">
        <v>18</v>
      </c>
      <c r="L1684" t="str">
        <f>T("9791136923851")</f>
        <v>9791136923851</v>
      </c>
      <c r="M1684" t="str">
        <f t="shared" si="38"/>
        <v/>
      </c>
      <c r="N1684">
        <v>880530</v>
      </c>
    </row>
    <row r="1685" spans="1:14" x14ac:dyDescent="0.3">
      <c r="A1685" s="1">
        <v>46079.978750000002</v>
      </c>
      <c r="B1685">
        <v>295836430</v>
      </c>
      <c r="C1685" t="s">
        <v>677</v>
      </c>
      <c r="D1685" t="s">
        <v>15</v>
      </c>
      <c r="E1685" s="2">
        <v>3200</v>
      </c>
      <c r="F1685" s="2">
        <v>3200</v>
      </c>
      <c r="G1685" s="2">
        <v>2240</v>
      </c>
      <c r="I1685" t="s">
        <v>574</v>
      </c>
      <c r="J1685" t="s">
        <v>59</v>
      </c>
      <c r="K1685" t="s">
        <v>18</v>
      </c>
      <c r="L1685" t="str">
        <f>T("9791136923905")</f>
        <v>9791136923905</v>
      </c>
      <c r="M1685" t="str">
        <f t="shared" si="38"/>
        <v/>
      </c>
      <c r="N1685">
        <v>880525</v>
      </c>
    </row>
    <row r="1686" spans="1:14" x14ac:dyDescent="0.3">
      <c r="A1686" s="1">
        <v>46079.978750000002</v>
      </c>
      <c r="B1686">
        <v>295836433</v>
      </c>
      <c r="C1686" t="s">
        <v>678</v>
      </c>
      <c r="D1686" t="s">
        <v>15</v>
      </c>
      <c r="E1686" s="2">
        <v>3200</v>
      </c>
      <c r="F1686" s="2">
        <v>3200</v>
      </c>
      <c r="G1686" s="2">
        <v>2240</v>
      </c>
      <c r="I1686" t="s">
        <v>574</v>
      </c>
      <c r="J1686" t="s">
        <v>59</v>
      </c>
      <c r="K1686" t="s">
        <v>18</v>
      </c>
      <c r="L1686" t="str">
        <f>T("9791136923950")</f>
        <v>9791136923950</v>
      </c>
      <c r="M1686" t="str">
        <f t="shared" si="38"/>
        <v/>
      </c>
      <c r="N1686">
        <v>880520</v>
      </c>
    </row>
    <row r="1687" spans="1:14" x14ac:dyDescent="0.3">
      <c r="A1687" s="1">
        <v>46079.978750000002</v>
      </c>
      <c r="B1687">
        <v>295836435</v>
      </c>
      <c r="C1687" t="s">
        <v>679</v>
      </c>
      <c r="D1687" t="s">
        <v>15</v>
      </c>
      <c r="E1687" s="2">
        <v>3200</v>
      </c>
      <c r="F1687" s="2">
        <v>3200</v>
      </c>
      <c r="G1687" s="2">
        <v>2240</v>
      </c>
      <c r="I1687" t="s">
        <v>574</v>
      </c>
      <c r="J1687" t="s">
        <v>59</v>
      </c>
      <c r="K1687" t="s">
        <v>18</v>
      </c>
      <c r="L1687" t="str">
        <f>T("9791136924001")</f>
        <v>9791136924001</v>
      </c>
      <c r="M1687" t="str">
        <f t="shared" si="38"/>
        <v/>
      </c>
      <c r="N1687">
        <v>880515</v>
      </c>
    </row>
    <row r="1688" spans="1:14" x14ac:dyDescent="0.3">
      <c r="A1688" s="1">
        <v>46079.978750000002</v>
      </c>
      <c r="B1688">
        <v>295836497</v>
      </c>
      <c r="C1688" t="s">
        <v>680</v>
      </c>
      <c r="D1688" t="s">
        <v>15</v>
      </c>
      <c r="E1688" s="2">
        <v>3200</v>
      </c>
      <c r="F1688" s="2">
        <v>3200</v>
      </c>
      <c r="G1688" s="2">
        <v>2240</v>
      </c>
      <c r="I1688" t="s">
        <v>574</v>
      </c>
      <c r="J1688" t="s">
        <v>59</v>
      </c>
      <c r="K1688" t="s">
        <v>18</v>
      </c>
      <c r="L1688" t="str">
        <f>T("9791136923882")</f>
        <v>9791136923882</v>
      </c>
      <c r="M1688" t="str">
        <f t="shared" si="38"/>
        <v/>
      </c>
      <c r="N1688">
        <v>880527</v>
      </c>
    </row>
    <row r="1689" spans="1:14" x14ac:dyDescent="0.3">
      <c r="A1689" s="1">
        <v>46079.981712962966</v>
      </c>
      <c r="B1689">
        <v>379386288</v>
      </c>
      <c r="C1689" t="s">
        <v>370</v>
      </c>
      <c r="D1689" t="s">
        <v>89</v>
      </c>
      <c r="E1689" s="2">
        <v>11280</v>
      </c>
      <c r="F1689" s="2">
        <v>11280</v>
      </c>
      <c r="G1689" s="2">
        <v>7896</v>
      </c>
      <c r="I1689" t="s">
        <v>102</v>
      </c>
      <c r="J1689" t="s">
        <v>23</v>
      </c>
      <c r="K1689" t="s">
        <v>18</v>
      </c>
      <c r="L1689" t="str">
        <f>T("9791175307438")</f>
        <v>9791175307438</v>
      </c>
      <c r="M1689" t="str">
        <f t="shared" si="38"/>
        <v/>
      </c>
    </row>
    <row r="1690" spans="1:14" x14ac:dyDescent="0.3">
      <c r="A1690" s="1">
        <v>46079.983888888892</v>
      </c>
      <c r="B1690">
        <v>277935153</v>
      </c>
      <c r="C1690" t="s">
        <v>475</v>
      </c>
      <c r="D1690" t="s">
        <v>15</v>
      </c>
      <c r="E1690" s="2">
        <v>4100</v>
      </c>
      <c r="F1690" s="2">
        <v>4100</v>
      </c>
      <c r="G1690" s="2">
        <v>2870</v>
      </c>
      <c r="I1690" t="s">
        <v>198</v>
      </c>
      <c r="J1690" t="s">
        <v>49</v>
      </c>
      <c r="K1690" t="s">
        <v>18</v>
      </c>
      <c r="L1690" t="str">
        <f>T("9791136917867")</f>
        <v>9791136917867</v>
      </c>
      <c r="M1690" t="str">
        <f t="shared" si="38"/>
        <v/>
      </c>
      <c r="N1690">
        <v>856974</v>
      </c>
    </row>
    <row r="1691" spans="1:14" x14ac:dyDescent="0.3">
      <c r="A1691" s="1">
        <v>46079.996516203704</v>
      </c>
      <c r="B1691">
        <v>379386288</v>
      </c>
      <c r="C1691" t="s">
        <v>370</v>
      </c>
      <c r="D1691" t="s">
        <v>89</v>
      </c>
      <c r="E1691" s="2">
        <v>-11280</v>
      </c>
      <c r="F1691" s="2">
        <v>-11280</v>
      </c>
      <c r="G1691" s="2">
        <v>-7896</v>
      </c>
      <c r="H1691" s="1">
        <v>46079.989745370367</v>
      </c>
      <c r="I1691" t="s">
        <v>102</v>
      </c>
      <c r="J1691" t="s">
        <v>23</v>
      </c>
      <c r="K1691" t="s">
        <v>18</v>
      </c>
      <c r="L1691" t="str">
        <f>T("9791175307438")</f>
        <v>9791175307438</v>
      </c>
      <c r="M1691" t="str">
        <f t="shared" si="38"/>
        <v/>
      </c>
    </row>
    <row r="1692" spans="1:14" x14ac:dyDescent="0.3">
      <c r="A1692" s="1">
        <v>46079.989745370367</v>
      </c>
      <c r="B1692">
        <v>379386288</v>
      </c>
      <c r="C1692" t="s">
        <v>370</v>
      </c>
      <c r="D1692" t="s">
        <v>89</v>
      </c>
      <c r="E1692" s="2">
        <v>11280</v>
      </c>
      <c r="F1692" s="2">
        <v>11280</v>
      </c>
      <c r="G1692" s="2">
        <v>7896</v>
      </c>
      <c r="I1692" t="s">
        <v>102</v>
      </c>
      <c r="J1692" t="s">
        <v>23</v>
      </c>
      <c r="K1692" t="s">
        <v>18</v>
      </c>
      <c r="L1692" t="str">
        <f>T("9791175307438")</f>
        <v>9791175307438</v>
      </c>
      <c r="M1692" t="str">
        <f t="shared" si="38"/>
        <v/>
      </c>
    </row>
    <row r="1693" spans="1:14" x14ac:dyDescent="0.3">
      <c r="A1693" s="1">
        <v>46079.992951388886</v>
      </c>
      <c r="B1693">
        <v>366170260</v>
      </c>
      <c r="C1693" t="s">
        <v>201</v>
      </c>
      <c r="D1693" t="s">
        <v>89</v>
      </c>
      <c r="E1693" s="2">
        <v>9240</v>
      </c>
      <c r="F1693" s="2">
        <v>9240</v>
      </c>
      <c r="G1693" s="2">
        <v>6468</v>
      </c>
      <c r="I1693" t="s">
        <v>34</v>
      </c>
      <c r="J1693" t="s">
        <v>23</v>
      </c>
      <c r="K1693" t="s">
        <v>18</v>
      </c>
      <c r="L1693" t="str">
        <f>T("9791173784552")</f>
        <v>9791173784552</v>
      </c>
      <c r="M1693" t="str">
        <f t="shared" ref="M1693:M1756" si="39">T("")</f>
        <v/>
      </c>
    </row>
    <row r="1694" spans="1:14" x14ac:dyDescent="0.3">
      <c r="A1694" s="1">
        <v>46079.998564814814</v>
      </c>
      <c r="B1694">
        <v>379386288</v>
      </c>
      <c r="C1694" t="s">
        <v>370</v>
      </c>
      <c r="D1694" t="s">
        <v>89</v>
      </c>
      <c r="E1694" s="2">
        <v>11280</v>
      </c>
      <c r="F1694" s="2">
        <v>11280</v>
      </c>
      <c r="G1694" s="2">
        <v>7896</v>
      </c>
      <c r="I1694" t="s">
        <v>102</v>
      </c>
      <c r="J1694" t="s">
        <v>23</v>
      </c>
      <c r="K1694" t="s">
        <v>18</v>
      </c>
      <c r="L1694" t="str">
        <f>T("9791175307438")</f>
        <v>9791175307438</v>
      </c>
      <c r="M1694" t="str">
        <f t="shared" si="39"/>
        <v/>
      </c>
    </row>
    <row r="1695" spans="1:14" x14ac:dyDescent="0.3">
      <c r="A1695" s="1">
        <v>46080.003888888888</v>
      </c>
      <c r="B1695">
        <v>365656697</v>
      </c>
      <c r="C1695" t="s">
        <v>239</v>
      </c>
      <c r="D1695" t="s">
        <v>89</v>
      </c>
      <c r="E1695" s="2">
        <v>7200</v>
      </c>
      <c r="F1695" s="2">
        <v>7200</v>
      </c>
      <c r="G1695" s="2">
        <v>5040</v>
      </c>
      <c r="I1695" t="s">
        <v>240</v>
      </c>
      <c r="J1695" t="s">
        <v>49</v>
      </c>
      <c r="K1695" t="s">
        <v>18</v>
      </c>
      <c r="L1695" t="str">
        <f>T("9791173783630")</f>
        <v>9791173783630</v>
      </c>
      <c r="M1695" t="str">
        <f t="shared" si="39"/>
        <v/>
      </c>
    </row>
    <row r="1696" spans="1:14" x14ac:dyDescent="0.3">
      <c r="A1696" s="1">
        <v>46080.035763888889</v>
      </c>
      <c r="B1696">
        <v>298426982</v>
      </c>
      <c r="C1696" t="s">
        <v>363</v>
      </c>
      <c r="D1696" t="s">
        <v>15</v>
      </c>
      <c r="E1696" s="2">
        <v>13500</v>
      </c>
      <c r="F1696" s="2">
        <v>13500</v>
      </c>
      <c r="G1696" s="2">
        <v>9450</v>
      </c>
      <c r="I1696" t="s">
        <v>116</v>
      </c>
      <c r="J1696" t="s">
        <v>73</v>
      </c>
      <c r="K1696" t="s">
        <v>18</v>
      </c>
      <c r="L1696" t="str">
        <f>T("9791136919588")</f>
        <v>9791136919588</v>
      </c>
      <c r="M1696" t="str">
        <f t="shared" si="39"/>
        <v/>
      </c>
    </row>
    <row r="1697" spans="1:14" x14ac:dyDescent="0.3">
      <c r="A1697" s="1">
        <v>46080.131585648145</v>
      </c>
      <c r="B1697">
        <v>366169503</v>
      </c>
      <c r="C1697" t="s">
        <v>681</v>
      </c>
      <c r="D1697" t="s">
        <v>15</v>
      </c>
      <c r="E1697" s="2">
        <v>3300</v>
      </c>
      <c r="F1697" s="2">
        <v>3300</v>
      </c>
      <c r="G1697" s="2">
        <v>2310</v>
      </c>
      <c r="I1697" t="s">
        <v>34</v>
      </c>
      <c r="J1697" t="s">
        <v>23</v>
      </c>
      <c r="K1697" t="s">
        <v>18</v>
      </c>
      <c r="L1697" t="str">
        <f>T("9791173784613")</f>
        <v>9791173784613</v>
      </c>
      <c r="M1697" t="str">
        <f t="shared" si="39"/>
        <v/>
      </c>
      <c r="N1697">
        <v>948982</v>
      </c>
    </row>
    <row r="1698" spans="1:14" x14ac:dyDescent="0.3">
      <c r="A1698" s="1">
        <v>46080.204918981479</v>
      </c>
      <c r="B1698">
        <v>366169569</v>
      </c>
      <c r="C1698" t="s">
        <v>33</v>
      </c>
      <c r="D1698" t="s">
        <v>15</v>
      </c>
      <c r="E1698" s="2">
        <v>3300</v>
      </c>
      <c r="F1698" s="2">
        <v>3300</v>
      </c>
      <c r="G1698" s="2">
        <v>2310</v>
      </c>
      <c r="I1698" t="s">
        <v>34</v>
      </c>
      <c r="J1698" t="s">
        <v>23</v>
      </c>
      <c r="K1698" t="s">
        <v>18</v>
      </c>
      <c r="L1698" t="str">
        <f>T("9791173784644")</f>
        <v>9791173784644</v>
      </c>
      <c r="M1698" t="str">
        <f t="shared" si="39"/>
        <v/>
      </c>
      <c r="N1698">
        <v>948979</v>
      </c>
    </row>
    <row r="1699" spans="1:14" x14ac:dyDescent="0.3">
      <c r="A1699" s="1">
        <v>46080.38685185185</v>
      </c>
      <c r="B1699">
        <v>266511270</v>
      </c>
      <c r="C1699" t="s">
        <v>428</v>
      </c>
      <c r="D1699" t="s">
        <v>15</v>
      </c>
      <c r="E1699" s="2">
        <v>4700</v>
      </c>
      <c r="F1699" s="2">
        <v>4700</v>
      </c>
      <c r="G1699" s="2">
        <v>3290</v>
      </c>
      <c r="I1699" t="s">
        <v>198</v>
      </c>
      <c r="J1699" t="s">
        <v>49</v>
      </c>
      <c r="K1699" t="s">
        <v>18</v>
      </c>
      <c r="L1699" t="str">
        <f>T("9791136910318")</f>
        <v>9791136910318</v>
      </c>
      <c r="M1699" t="str">
        <f t="shared" si="39"/>
        <v/>
      </c>
      <c r="N1699">
        <v>824999</v>
      </c>
    </row>
    <row r="1700" spans="1:14" x14ac:dyDescent="0.3">
      <c r="A1700" s="1">
        <v>46080.417141203703</v>
      </c>
      <c r="B1700">
        <v>386937104</v>
      </c>
      <c r="C1700" t="s">
        <v>579</v>
      </c>
      <c r="D1700" t="s">
        <v>89</v>
      </c>
      <c r="E1700" s="2">
        <v>8640</v>
      </c>
      <c r="F1700" s="2">
        <v>8640</v>
      </c>
      <c r="G1700" s="2">
        <v>6048</v>
      </c>
      <c r="I1700" t="s">
        <v>580</v>
      </c>
      <c r="J1700" t="s">
        <v>23</v>
      </c>
      <c r="K1700" t="s">
        <v>18</v>
      </c>
      <c r="L1700" t="str">
        <f>T("9791175309401")</f>
        <v>9791175309401</v>
      </c>
      <c r="M1700" t="str">
        <f t="shared" si="39"/>
        <v/>
      </c>
    </row>
    <row r="1701" spans="1:14" x14ac:dyDescent="0.3">
      <c r="A1701" s="1">
        <v>46080.441076388888</v>
      </c>
      <c r="B1701">
        <v>386937104</v>
      </c>
      <c r="C1701" t="s">
        <v>579</v>
      </c>
      <c r="D1701" t="s">
        <v>89</v>
      </c>
      <c r="E1701" s="2">
        <v>8640</v>
      </c>
      <c r="F1701" s="2">
        <v>8640</v>
      </c>
      <c r="G1701" s="2">
        <v>6048</v>
      </c>
      <c r="I1701" t="s">
        <v>580</v>
      </c>
      <c r="J1701" t="s">
        <v>23</v>
      </c>
      <c r="K1701" t="s">
        <v>18</v>
      </c>
      <c r="L1701" t="str">
        <f>T("9791175309401")</f>
        <v>9791175309401</v>
      </c>
      <c r="M1701" t="str">
        <f t="shared" si="39"/>
        <v/>
      </c>
    </row>
    <row r="1702" spans="1:14" x14ac:dyDescent="0.3">
      <c r="A1702" s="1">
        <v>46080.451516203706</v>
      </c>
      <c r="B1702">
        <v>342333155</v>
      </c>
      <c r="C1702" t="s">
        <v>182</v>
      </c>
      <c r="D1702" t="s">
        <v>15</v>
      </c>
      <c r="E1702" s="2">
        <v>1500</v>
      </c>
      <c r="F1702" s="2">
        <v>1500</v>
      </c>
      <c r="G1702" s="2">
        <v>1050</v>
      </c>
      <c r="I1702" t="s">
        <v>102</v>
      </c>
      <c r="J1702" t="s">
        <v>23</v>
      </c>
      <c r="K1702" t="s">
        <v>18</v>
      </c>
      <c r="L1702" t="str">
        <f>T("9791136979773")</f>
        <v>9791136979773</v>
      </c>
      <c r="M1702" t="str">
        <f t="shared" si="39"/>
        <v/>
      </c>
      <c r="N1702">
        <v>926741</v>
      </c>
    </row>
    <row r="1703" spans="1:14" x14ac:dyDescent="0.3">
      <c r="A1703" s="1">
        <v>46080.459965277776</v>
      </c>
      <c r="B1703">
        <v>385347662</v>
      </c>
      <c r="C1703" t="s">
        <v>103</v>
      </c>
      <c r="D1703" t="s">
        <v>15</v>
      </c>
      <c r="E1703" s="2">
        <v>3200</v>
      </c>
      <c r="F1703" s="2">
        <v>2880</v>
      </c>
      <c r="G1703" s="2">
        <v>2016</v>
      </c>
      <c r="I1703" t="s">
        <v>90</v>
      </c>
      <c r="J1703" t="s">
        <v>23</v>
      </c>
      <c r="K1703" t="s">
        <v>18</v>
      </c>
      <c r="L1703" t="str">
        <f>T("9791175308343")</f>
        <v>9791175308343</v>
      </c>
      <c r="M1703" t="str">
        <f t="shared" si="39"/>
        <v/>
      </c>
      <c r="N1703">
        <v>957885</v>
      </c>
    </row>
    <row r="1704" spans="1:14" x14ac:dyDescent="0.3">
      <c r="A1704" s="1">
        <v>46080.506458333337</v>
      </c>
      <c r="B1704">
        <v>277935100</v>
      </c>
      <c r="C1704" t="s">
        <v>459</v>
      </c>
      <c r="D1704" t="s">
        <v>15</v>
      </c>
      <c r="E1704" s="2">
        <v>4100</v>
      </c>
      <c r="F1704" s="2">
        <v>4100</v>
      </c>
      <c r="G1704" s="2">
        <v>2870</v>
      </c>
      <c r="I1704" t="s">
        <v>198</v>
      </c>
      <c r="J1704" t="s">
        <v>49</v>
      </c>
      <c r="K1704" t="s">
        <v>18</v>
      </c>
      <c r="L1704" t="str">
        <f>T("9791136917850")</f>
        <v>9791136917850</v>
      </c>
      <c r="M1704" t="str">
        <f t="shared" si="39"/>
        <v/>
      </c>
      <c r="N1704">
        <v>856975</v>
      </c>
    </row>
    <row r="1705" spans="1:14" x14ac:dyDescent="0.3">
      <c r="A1705" s="1">
        <v>46080.516192129631</v>
      </c>
      <c r="B1705">
        <v>347725028</v>
      </c>
      <c r="C1705" t="s">
        <v>682</v>
      </c>
      <c r="D1705" t="s">
        <v>15</v>
      </c>
      <c r="E1705" s="2">
        <v>2000</v>
      </c>
      <c r="F1705" s="2">
        <v>2000</v>
      </c>
      <c r="G1705" s="2">
        <v>1400</v>
      </c>
      <c r="I1705" t="s">
        <v>381</v>
      </c>
      <c r="J1705" t="s">
        <v>70</v>
      </c>
      <c r="K1705" t="s">
        <v>18</v>
      </c>
      <c r="L1705" t="str">
        <f>T("9791136945259")</f>
        <v>9791136945259</v>
      </c>
      <c r="M1705" t="str">
        <f t="shared" si="39"/>
        <v/>
      </c>
      <c r="N1705">
        <v>928672</v>
      </c>
    </row>
    <row r="1706" spans="1:14" x14ac:dyDescent="0.3">
      <c r="A1706" s="1">
        <v>46080.523113425923</v>
      </c>
      <c r="B1706">
        <v>347725028</v>
      </c>
      <c r="C1706" t="s">
        <v>682</v>
      </c>
      <c r="D1706" t="s">
        <v>15</v>
      </c>
      <c r="E1706" s="2">
        <v>-2000</v>
      </c>
      <c r="F1706" s="2">
        <v>-2000</v>
      </c>
      <c r="G1706" s="2">
        <v>-1400</v>
      </c>
      <c r="H1706" s="1">
        <v>46080.516192129631</v>
      </c>
      <c r="I1706" t="s">
        <v>381</v>
      </c>
      <c r="J1706" t="s">
        <v>70</v>
      </c>
      <c r="K1706" t="s">
        <v>18</v>
      </c>
      <c r="L1706" t="str">
        <f>T("9791136945259")</f>
        <v>9791136945259</v>
      </c>
      <c r="M1706" t="str">
        <f t="shared" si="39"/>
        <v/>
      </c>
      <c r="N1706">
        <v>928672</v>
      </c>
    </row>
    <row r="1707" spans="1:14" x14ac:dyDescent="0.3">
      <c r="A1707" s="1">
        <v>46080.543310185189</v>
      </c>
      <c r="B1707">
        <v>381539780</v>
      </c>
      <c r="C1707" t="s">
        <v>683</v>
      </c>
      <c r="D1707" t="s">
        <v>15</v>
      </c>
      <c r="E1707" s="2">
        <v>3200</v>
      </c>
      <c r="F1707" s="2">
        <v>3200</v>
      </c>
      <c r="G1707" s="2">
        <v>2240</v>
      </c>
      <c r="I1707" t="s">
        <v>193</v>
      </c>
      <c r="J1707" t="s">
        <v>59</v>
      </c>
      <c r="K1707" t="s">
        <v>18</v>
      </c>
      <c r="L1707" t="str">
        <f>T("9791172921835")</f>
        <v>9791172921835</v>
      </c>
      <c r="M1707" t="str">
        <f t="shared" si="39"/>
        <v/>
      </c>
      <c r="N1707">
        <v>929934</v>
      </c>
    </row>
    <row r="1708" spans="1:14" x14ac:dyDescent="0.3">
      <c r="A1708" s="1">
        <v>46080.543310185189</v>
      </c>
      <c r="B1708">
        <v>381539788</v>
      </c>
      <c r="C1708" t="s">
        <v>684</v>
      </c>
      <c r="D1708" t="s">
        <v>15</v>
      </c>
      <c r="E1708" s="2">
        <v>3200</v>
      </c>
      <c r="F1708" s="2">
        <v>3200</v>
      </c>
      <c r="G1708" s="2">
        <v>2240</v>
      </c>
      <c r="I1708" t="s">
        <v>193</v>
      </c>
      <c r="J1708" t="s">
        <v>59</v>
      </c>
      <c r="K1708" t="s">
        <v>18</v>
      </c>
      <c r="L1708" t="str">
        <f>T("9791172921842")</f>
        <v>9791172921842</v>
      </c>
      <c r="M1708" t="str">
        <f t="shared" si="39"/>
        <v/>
      </c>
      <c r="N1708">
        <v>929933</v>
      </c>
    </row>
    <row r="1709" spans="1:14" x14ac:dyDescent="0.3">
      <c r="A1709" s="1">
        <v>46080.629537037035</v>
      </c>
      <c r="B1709">
        <v>366170260</v>
      </c>
      <c r="C1709" t="s">
        <v>201</v>
      </c>
      <c r="D1709" t="s">
        <v>15</v>
      </c>
      <c r="E1709" s="2">
        <v>13200</v>
      </c>
      <c r="F1709" s="2">
        <v>13200</v>
      </c>
      <c r="G1709" s="2">
        <v>9240</v>
      </c>
      <c r="I1709" t="s">
        <v>34</v>
      </c>
      <c r="J1709" t="s">
        <v>23</v>
      </c>
      <c r="K1709" t="s">
        <v>18</v>
      </c>
      <c r="L1709" t="str">
        <f>T("9791173784552")</f>
        <v>9791173784552</v>
      </c>
      <c r="M1709" t="str">
        <f t="shared" si="39"/>
        <v/>
      </c>
    </row>
    <row r="1710" spans="1:14" x14ac:dyDescent="0.3">
      <c r="A1710" s="1">
        <v>46080.661435185182</v>
      </c>
      <c r="B1710">
        <v>386937104</v>
      </c>
      <c r="C1710" t="s">
        <v>579</v>
      </c>
      <c r="D1710" t="s">
        <v>89</v>
      </c>
      <c r="E1710" s="2">
        <v>8640</v>
      </c>
      <c r="F1710" s="2">
        <v>8640</v>
      </c>
      <c r="G1710" s="2">
        <v>6048</v>
      </c>
      <c r="I1710" t="s">
        <v>580</v>
      </c>
      <c r="J1710" t="s">
        <v>23</v>
      </c>
      <c r="K1710" t="s">
        <v>18</v>
      </c>
      <c r="L1710" t="str">
        <f>T("9791175309401")</f>
        <v>9791175309401</v>
      </c>
      <c r="M1710" t="str">
        <f t="shared" si="39"/>
        <v/>
      </c>
    </row>
    <row r="1711" spans="1:14" x14ac:dyDescent="0.3">
      <c r="A1711" s="1">
        <v>46080.754421296297</v>
      </c>
      <c r="B1711">
        <v>351567388</v>
      </c>
      <c r="C1711" t="s">
        <v>685</v>
      </c>
      <c r="D1711" t="s">
        <v>15</v>
      </c>
      <c r="E1711" s="2">
        <v>9600</v>
      </c>
      <c r="F1711" s="2">
        <v>9600</v>
      </c>
      <c r="G1711" s="2">
        <v>6720</v>
      </c>
      <c r="I1711" t="s">
        <v>686</v>
      </c>
      <c r="J1711" t="s">
        <v>20</v>
      </c>
      <c r="K1711" t="s">
        <v>18</v>
      </c>
      <c r="L1711" t="str">
        <f>T("9791136995018")</f>
        <v>9791136995018</v>
      </c>
      <c r="M1711" t="str">
        <f t="shared" si="39"/>
        <v/>
      </c>
    </row>
    <row r="1712" spans="1:14" x14ac:dyDescent="0.3">
      <c r="A1712" s="1">
        <v>46080.774351851855</v>
      </c>
      <c r="B1712">
        <v>277935222</v>
      </c>
      <c r="C1712" t="s">
        <v>511</v>
      </c>
      <c r="D1712" t="s">
        <v>15</v>
      </c>
      <c r="E1712" s="2">
        <v>4100</v>
      </c>
      <c r="F1712" s="2">
        <v>4100</v>
      </c>
      <c r="G1712" s="2">
        <v>2870</v>
      </c>
      <c r="I1712" t="s">
        <v>198</v>
      </c>
      <c r="J1712" t="s">
        <v>49</v>
      </c>
      <c r="K1712" t="s">
        <v>18</v>
      </c>
      <c r="L1712" t="str">
        <f>T("9791136917874")</f>
        <v>9791136917874</v>
      </c>
      <c r="M1712" t="str">
        <f t="shared" si="39"/>
        <v/>
      </c>
      <c r="N1712">
        <v>856973</v>
      </c>
    </row>
    <row r="1713" spans="1:14" x14ac:dyDescent="0.3">
      <c r="A1713" s="1">
        <v>46080.818182870367</v>
      </c>
      <c r="B1713">
        <v>365656697</v>
      </c>
      <c r="C1713" t="s">
        <v>239</v>
      </c>
      <c r="D1713" t="s">
        <v>15</v>
      </c>
      <c r="E1713" s="2">
        <v>7200</v>
      </c>
      <c r="F1713" s="2">
        <v>7200</v>
      </c>
      <c r="G1713" s="2">
        <v>5040</v>
      </c>
      <c r="I1713" t="s">
        <v>240</v>
      </c>
      <c r="J1713" t="s">
        <v>49</v>
      </c>
      <c r="K1713" t="s">
        <v>18</v>
      </c>
      <c r="L1713" t="str">
        <f>T("9791173783630")</f>
        <v>9791173783630</v>
      </c>
      <c r="M1713" t="str">
        <f t="shared" si="39"/>
        <v/>
      </c>
    </row>
    <row r="1714" spans="1:14" x14ac:dyDescent="0.3">
      <c r="A1714" s="1">
        <v>46080.864594907405</v>
      </c>
      <c r="B1714">
        <v>386937104</v>
      </c>
      <c r="C1714" t="s">
        <v>579</v>
      </c>
      <c r="D1714" t="s">
        <v>89</v>
      </c>
      <c r="E1714" s="2">
        <v>8640</v>
      </c>
      <c r="F1714" s="2">
        <v>8640</v>
      </c>
      <c r="G1714" s="2">
        <v>6048</v>
      </c>
      <c r="I1714" t="s">
        <v>580</v>
      </c>
      <c r="J1714" t="s">
        <v>23</v>
      </c>
      <c r="K1714" t="s">
        <v>18</v>
      </c>
      <c r="L1714" t="str">
        <f>T("9791175309401")</f>
        <v>9791175309401</v>
      </c>
      <c r="M1714" t="str">
        <f t="shared" si="39"/>
        <v/>
      </c>
    </row>
    <row r="1715" spans="1:14" x14ac:dyDescent="0.3">
      <c r="A1715" s="1">
        <v>46080.883321759262</v>
      </c>
      <c r="B1715">
        <v>323369903</v>
      </c>
      <c r="C1715" t="s">
        <v>642</v>
      </c>
      <c r="D1715" t="s">
        <v>15</v>
      </c>
      <c r="E1715">
        <v>0</v>
      </c>
      <c r="F1715">
        <v>0</v>
      </c>
      <c r="G1715">
        <v>0</v>
      </c>
      <c r="I1715" t="s">
        <v>643</v>
      </c>
      <c r="J1715" t="s">
        <v>79</v>
      </c>
      <c r="K1715" t="s">
        <v>18</v>
      </c>
      <c r="L1715" t="str">
        <f>T("9791136937179")</f>
        <v>9791136937179</v>
      </c>
      <c r="M1715" t="str">
        <f t="shared" si="39"/>
        <v/>
      </c>
      <c r="N1715">
        <v>917261</v>
      </c>
    </row>
    <row r="1716" spans="1:14" x14ac:dyDescent="0.3">
      <c r="A1716" s="1">
        <v>46080.883321759262</v>
      </c>
      <c r="B1716">
        <v>329693248</v>
      </c>
      <c r="C1716" t="s">
        <v>687</v>
      </c>
      <c r="D1716" t="s">
        <v>15</v>
      </c>
      <c r="E1716">
        <v>0</v>
      </c>
      <c r="F1716">
        <v>0</v>
      </c>
      <c r="G1716">
        <v>0</v>
      </c>
      <c r="I1716" t="s">
        <v>593</v>
      </c>
      <c r="J1716" t="s">
        <v>79</v>
      </c>
      <c r="K1716" t="s">
        <v>18</v>
      </c>
      <c r="L1716" t="str">
        <f>T("9791136930910")</f>
        <v>9791136930910</v>
      </c>
      <c r="M1716" t="str">
        <f t="shared" si="39"/>
        <v/>
      </c>
      <c r="N1716">
        <v>894618</v>
      </c>
    </row>
    <row r="1717" spans="1:14" x14ac:dyDescent="0.3">
      <c r="A1717" s="1">
        <v>46080.900868055556</v>
      </c>
      <c r="B1717">
        <v>295836255</v>
      </c>
      <c r="C1717" t="s">
        <v>688</v>
      </c>
      <c r="D1717" t="s">
        <v>15</v>
      </c>
      <c r="E1717" s="2">
        <v>3200</v>
      </c>
      <c r="F1717" s="2">
        <v>3200</v>
      </c>
      <c r="G1717" s="2">
        <v>2240</v>
      </c>
      <c r="I1717" t="s">
        <v>574</v>
      </c>
      <c r="J1717" t="s">
        <v>59</v>
      </c>
      <c r="K1717" t="s">
        <v>18</v>
      </c>
      <c r="L1717" t="str">
        <f>T("9791136924018")</f>
        <v>9791136924018</v>
      </c>
      <c r="M1717" t="str">
        <f t="shared" si="39"/>
        <v/>
      </c>
      <c r="N1717">
        <v>880514</v>
      </c>
    </row>
    <row r="1718" spans="1:14" x14ac:dyDescent="0.3">
      <c r="A1718" s="1">
        <v>46080.900868055556</v>
      </c>
      <c r="B1718">
        <v>295836382</v>
      </c>
      <c r="C1718" t="s">
        <v>689</v>
      </c>
      <c r="D1718" t="s">
        <v>15</v>
      </c>
      <c r="E1718" s="2">
        <v>3200</v>
      </c>
      <c r="F1718" s="2">
        <v>3200</v>
      </c>
      <c r="G1718" s="2">
        <v>2240</v>
      </c>
      <c r="I1718" t="s">
        <v>574</v>
      </c>
      <c r="J1718" t="s">
        <v>59</v>
      </c>
      <c r="K1718" t="s">
        <v>18</v>
      </c>
      <c r="L1718" t="str">
        <f>T("9791136924025")</f>
        <v>9791136924025</v>
      </c>
      <c r="M1718" t="str">
        <f t="shared" si="39"/>
        <v/>
      </c>
      <c r="N1718">
        <v>880513</v>
      </c>
    </row>
    <row r="1719" spans="1:14" x14ac:dyDescent="0.3">
      <c r="A1719" s="1">
        <v>46080.916284722225</v>
      </c>
      <c r="B1719">
        <v>277935153</v>
      </c>
      <c r="C1719" t="s">
        <v>475</v>
      </c>
      <c r="D1719" t="s">
        <v>15</v>
      </c>
      <c r="E1719" s="2">
        <v>4100</v>
      </c>
      <c r="F1719" s="2">
        <v>4100</v>
      </c>
      <c r="G1719" s="2">
        <v>2870</v>
      </c>
      <c r="I1719" t="s">
        <v>198</v>
      </c>
      <c r="J1719" t="s">
        <v>49</v>
      </c>
      <c r="K1719" t="s">
        <v>18</v>
      </c>
      <c r="L1719" t="str">
        <f>T("9791136917867")</f>
        <v>9791136917867</v>
      </c>
      <c r="M1719" t="str">
        <f t="shared" si="39"/>
        <v/>
      </c>
      <c r="N1719">
        <v>856974</v>
      </c>
    </row>
    <row r="1720" spans="1:14" x14ac:dyDescent="0.3">
      <c r="A1720" s="1">
        <v>46080.921956018516</v>
      </c>
      <c r="B1720">
        <v>371101310</v>
      </c>
      <c r="C1720" t="s">
        <v>233</v>
      </c>
      <c r="D1720" t="s">
        <v>15</v>
      </c>
      <c r="E1720" s="2">
        <v>3300</v>
      </c>
      <c r="F1720" s="2">
        <v>3300</v>
      </c>
      <c r="G1720" s="2">
        <v>2310</v>
      </c>
      <c r="I1720" t="s">
        <v>234</v>
      </c>
      <c r="J1720" t="s">
        <v>23</v>
      </c>
      <c r="K1720" t="s">
        <v>18</v>
      </c>
      <c r="L1720" t="str">
        <f>T("9791175300514")</f>
        <v>9791175300514</v>
      </c>
      <c r="M1720" t="str">
        <f t="shared" si="39"/>
        <v/>
      </c>
      <c r="N1720">
        <v>952373</v>
      </c>
    </row>
    <row r="1721" spans="1:14" x14ac:dyDescent="0.3">
      <c r="A1721" s="1">
        <v>46080.965185185189</v>
      </c>
      <c r="B1721">
        <v>346154245</v>
      </c>
      <c r="C1721" t="s">
        <v>45</v>
      </c>
      <c r="D1721" t="s">
        <v>15</v>
      </c>
      <c r="E1721" s="2">
        <v>3300</v>
      </c>
      <c r="F1721" s="2">
        <v>3300</v>
      </c>
      <c r="G1721" s="2">
        <v>2310</v>
      </c>
      <c r="I1721" t="s">
        <v>32</v>
      </c>
      <c r="J1721" t="s">
        <v>23</v>
      </c>
      <c r="K1721" t="s">
        <v>18</v>
      </c>
      <c r="L1721" t="str">
        <f>T("9791136940728")</f>
        <v>9791136940728</v>
      </c>
      <c r="M1721" t="str">
        <f t="shared" si="39"/>
        <v/>
      </c>
      <c r="N1721">
        <v>928441</v>
      </c>
    </row>
    <row r="1722" spans="1:14" x14ac:dyDescent="0.3">
      <c r="A1722" s="1">
        <v>46080.981874999998</v>
      </c>
      <c r="B1722">
        <v>348546568</v>
      </c>
      <c r="C1722" t="s">
        <v>121</v>
      </c>
      <c r="D1722" t="s">
        <v>15</v>
      </c>
      <c r="E1722">
        <v>0</v>
      </c>
      <c r="F1722">
        <v>0</v>
      </c>
      <c r="G1722">
        <v>0</v>
      </c>
      <c r="I1722" t="s">
        <v>122</v>
      </c>
      <c r="J1722" t="s">
        <v>59</v>
      </c>
      <c r="K1722" t="s">
        <v>18</v>
      </c>
      <c r="L1722" t="str">
        <f>T("9791133196678")</f>
        <v>9791133196678</v>
      </c>
      <c r="M1722" t="str">
        <f t="shared" si="39"/>
        <v/>
      </c>
      <c r="N1722">
        <v>773178</v>
      </c>
    </row>
    <row r="1723" spans="1:14" x14ac:dyDescent="0.3">
      <c r="A1723" s="1">
        <v>46080.981874999998</v>
      </c>
      <c r="B1723">
        <v>361616785</v>
      </c>
      <c r="C1723" t="s">
        <v>588</v>
      </c>
      <c r="D1723" t="s">
        <v>15</v>
      </c>
      <c r="E1723">
        <v>0</v>
      </c>
      <c r="F1723">
        <v>0</v>
      </c>
      <c r="G1723">
        <v>0</v>
      </c>
      <c r="I1723" t="s">
        <v>589</v>
      </c>
      <c r="J1723" t="s">
        <v>59</v>
      </c>
      <c r="K1723" t="s">
        <v>18</v>
      </c>
      <c r="L1723" t="str">
        <f>T("9791172921262")</f>
        <v>9791172921262</v>
      </c>
      <c r="M1723" t="str">
        <f t="shared" si="39"/>
        <v/>
      </c>
      <c r="N1723">
        <v>929895</v>
      </c>
    </row>
    <row r="1724" spans="1:14" x14ac:dyDescent="0.3">
      <c r="A1724" s="1">
        <v>46080.981874999998</v>
      </c>
      <c r="B1724">
        <v>268443462</v>
      </c>
      <c r="C1724" t="s">
        <v>131</v>
      </c>
      <c r="D1724" t="s">
        <v>15</v>
      </c>
      <c r="E1724">
        <v>0</v>
      </c>
      <c r="F1724">
        <v>0</v>
      </c>
      <c r="G1724">
        <v>0</v>
      </c>
      <c r="I1724" t="s">
        <v>132</v>
      </c>
      <c r="J1724" t="s">
        <v>59</v>
      </c>
      <c r="K1724" t="s">
        <v>18</v>
      </c>
      <c r="L1724" t="str">
        <f>T("9791136906571")</f>
        <v>9791136906571</v>
      </c>
      <c r="M1724" t="str">
        <f t="shared" si="39"/>
        <v/>
      </c>
      <c r="N1724">
        <v>805959</v>
      </c>
    </row>
    <row r="1725" spans="1:14" x14ac:dyDescent="0.3">
      <c r="A1725" s="1">
        <v>46080.981874999998</v>
      </c>
      <c r="B1725">
        <v>311320990</v>
      </c>
      <c r="C1725" t="s">
        <v>129</v>
      </c>
      <c r="D1725" t="s">
        <v>15</v>
      </c>
      <c r="E1725">
        <v>0</v>
      </c>
      <c r="F1725">
        <v>0</v>
      </c>
      <c r="G1725">
        <v>0</v>
      </c>
      <c r="I1725" t="s">
        <v>130</v>
      </c>
      <c r="J1725" t="s">
        <v>59</v>
      </c>
      <c r="K1725" t="s">
        <v>18</v>
      </c>
      <c r="L1725" t="str">
        <f>T("9791136927880")</f>
        <v>9791136927880</v>
      </c>
      <c r="M1725" t="str">
        <f t="shared" si="39"/>
        <v/>
      </c>
      <c r="N1725">
        <v>889268</v>
      </c>
    </row>
    <row r="1726" spans="1:14" x14ac:dyDescent="0.3">
      <c r="A1726" s="1">
        <v>46080.981874999998</v>
      </c>
      <c r="B1726">
        <v>385347620</v>
      </c>
      <c r="C1726" t="s">
        <v>84</v>
      </c>
      <c r="D1726" t="s">
        <v>15</v>
      </c>
      <c r="E1726">
        <v>0</v>
      </c>
      <c r="F1726">
        <v>0</v>
      </c>
      <c r="G1726">
        <v>0</v>
      </c>
      <c r="I1726" t="s">
        <v>85</v>
      </c>
      <c r="J1726" t="s">
        <v>59</v>
      </c>
      <c r="K1726" t="s">
        <v>18</v>
      </c>
      <c r="L1726" t="str">
        <f>T("9791136943897")</f>
        <v>9791136943897</v>
      </c>
      <c r="M1726" t="str">
        <f t="shared" si="39"/>
        <v/>
      </c>
      <c r="N1726">
        <v>917706</v>
      </c>
    </row>
    <row r="1727" spans="1:14" x14ac:dyDescent="0.3">
      <c r="A1727" s="1">
        <v>46080.99150462963</v>
      </c>
      <c r="B1727">
        <v>369307272</v>
      </c>
      <c r="C1727" t="s">
        <v>690</v>
      </c>
      <c r="D1727" t="s">
        <v>15</v>
      </c>
      <c r="E1727" s="2">
        <v>15100</v>
      </c>
      <c r="F1727" s="2">
        <v>15100</v>
      </c>
      <c r="G1727" s="2">
        <v>10570</v>
      </c>
      <c r="I1727" t="s">
        <v>36</v>
      </c>
      <c r="J1727" t="s">
        <v>37</v>
      </c>
      <c r="K1727" t="s">
        <v>18</v>
      </c>
      <c r="L1727" t="str">
        <f>T("9791173786563")</f>
        <v>9791173786563</v>
      </c>
      <c r="M1727" t="str">
        <f t="shared" si="39"/>
        <v/>
      </c>
    </row>
    <row r="1728" spans="1:14" x14ac:dyDescent="0.3">
      <c r="A1728" s="1">
        <v>46081.006458333337</v>
      </c>
      <c r="B1728">
        <v>363790091</v>
      </c>
      <c r="C1728" t="s">
        <v>691</v>
      </c>
      <c r="D1728" t="s">
        <v>15</v>
      </c>
      <c r="E1728" s="2">
        <v>1200</v>
      </c>
      <c r="F1728" s="2">
        <v>1200</v>
      </c>
      <c r="G1728">
        <v>840</v>
      </c>
      <c r="I1728" t="s">
        <v>344</v>
      </c>
      <c r="J1728" t="s">
        <v>23</v>
      </c>
      <c r="K1728" t="s">
        <v>18</v>
      </c>
      <c r="L1728" t="str">
        <f>T("9791173783623")</f>
        <v>9791173783623</v>
      </c>
      <c r="M1728" t="str">
        <f t="shared" si="39"/>
        <v/>
      </c>
      <c r="N1728">
        <v>948814</v>
      </c>
    </row>
    <row r="1729" spans="1:14" x14ac:dyDescent="0.3">
      <c r="A1729" s="1">
        <v>46081.057175925926</v>
      </c>
      <c r="B1729">
        <v>338609849</v>
      </c>
      <c r="C1729" t="s">
        <v>42</v>
      </c>
      <c r="D1729" t="s">
        <v>15</v>
      </c>
      <c r="E1729" s="2">
        <v>2000</v>
      </c>
      <c r="F1729" s="2">
        <v>2000</v>
      </c>
      <c r="G1729" s="2">
        <v>1400</v>
      </c>
      <c r="I1729" t="s">
        <v>36</v>
      </c>
      <c r="J1729" t="s">
        <v>37</v>
      </c>
      <c r="K1729" t="s">
        <v>18</v>
      </c>
      <c r="L1729" t="str">
        <f>T("9791136958143")</f>
        <v>9791136958143</v>
      </c>
      <c r="M1729" t="str">
        <f t="shared" si="39"/>
        <v/>
      </c>
      <c r="N1729">
        <v>921601</v>
      </c>
    </row>
    <row r="1730" spans="1:14" x14ac:dyDescent="0.3">
      <c r="A1730" s="1">
        <v>46081.057384259257</v>
      </c>
      <c r="B1730">
        <v>385347662</v>
      </c>
      <c r="C1730" t="s">
        <v>103</v>
      </c>
      <c r="D1730" t="s">
        <v>15</v>
      </c>
      <c r="E1730" s="2">
        <v>3200</v>
      </c>
      <c r="F1730" s="2">
        <v>2880</v>
      </c>
      <c r="G1730" s="2">
        <v>2016</v>
      </c>
      <c r="I1730" t="s">
        <v>90</v>
      </c>
      <c r="J1730" t="s">
        <v>23</v>
      </c>
      <c r="K1730" t="s">
        <v>18</v>
      </c>
      <c r="L1730" t="str">
        <f>T("9791175308343")</f>
        <v>9791175308343</v>
      </c>
      <c r="M1730" t="str">
        <f t="shared" si="39"/>
        <v/>
      </c>
      <c r="N1730">
        <v>957885</v>
      </c>
    </row>
    <row r="1731" spans="1:14" x14ac:dyDescent="0.3">
      <c r="A1731" s="1">
        <v>46081.057384259257</v>
      </c>
      <c r="B1731">
        <v>385347796</v>
      </c>
      <c r="C1731" t="s">
        <v>107</v>
      </c>
      <c r="D1731" t="s">
        <v>15</v>
      </c>
      <c r="E1731" s="2">
        <v>3200</v>
      </c>
      <c r="F1731" s="2">
        <v>2880</v>
      </c>
      <c r="G1731" s="2">
        <v>2016</v>
      </c>
      <c r="I1731" t="s">
        <v>90</v>
      </c>
      <c r="J1731" t="s">
        <v>23</v>
      </c>
      <c r="K1731" t="s">
        <v>18</v>
      </c>
      <c r="L1731" t="str">
        <f>T("9791175308312")</f>
        <v>9791175308312</v>
      </c>
      <c r="M1731" t="str">
        <f t="shared" si="39"/>
        <v/>
      </c>
      <c r="N1731">
        <v>957884</v>
      </c>
    </row>
    <row r="1732" spans="1:14" x14ac:dyDescent="0.3">
      <c r="A1732" s="1">
        <v>46081.135891203703</v>
      </c>
      <c r="B1732">
        <v>384177441</v>
      </c>
      <c r="C1732" t="s">
        <v>21</v>
      </c>
      <c r="D1732" t="s">
        <v>15</v>
      </c>
      <c r="E1732" s="2">
        <v>3500</v>
      </c>
      <c r="F1732" s="2">
        <v>3500</v>
      </c>
      <c r="G1732" s="2">
        <v>2450</v>
      </c>
      <c r="I1732" t="s">
        <v>22</v>
      </c>
      <c r="J1732" t="s">
        <v>23</v>
      </c>
      <c r="K1732" t="s">
        <v>18</v>
      </c>
      <c r="L1732" t="str">
        <f>T("9791175309821")</f>
        <v>9791175309821</v>
      </c>
      <c r="M1732" t="str">
        <f t="shared" si="39"/>
        <v/>
      </c>
      <c r="N1732">
        <v>958592</v>
      </c>
    </row>
    <row r="1733" spans="1:14" x14ac:dyDescent="0.3">
      <c r="A1733" s="1">
        <v>46081.278078703705</v>
      </c>
      <c r="B1733">
        <v>361759394</v>
      </c>
      <c r="C1733" t="s">
        <v>434</v>
      </c>
      <c r="D1733" t="s">
        <v>15</v>
      </c>
      <c r="E1733" s="2">
        <v>5000</v>
      </c>
      <c r="F1733" s="2">
        <v>5000</v>
      </c>
      <c r="G1733" s="2">
        <v>3500</v>
      </c>
      <c r="I1733" t="s">
        <v>198</v>
      </c>
      <c r="J1733" t="s">
        <v>49</v>
      </c>
      <c r="K1733" t="s">
        <v>18</v>
      </c>
      <c r="L1733" t="str">
        <f>T("9791173783272")</f>
        <v>9791173783272</v>
      </c>
      <c r="M1733" t="str">
        <f t="shared" si="39"/>
        <v/>
      </c>
      <c r="N1733">
        <v>947663</v>
      </c>
    </row>
    <row r="1734" spans="1:14" x14ac:dyDescent="0.3">
      <c r="A1734" s="1">
        <v>46081.448263888888</v>
      </c>
      <c r="B1734">
        <v>369905645</v>
      </c>
      <c r="C1734" t="s">
        <v>692</v>
      </c>
      <c r="D1734" t="s">
        <v>15</v>
      </c>
      <c r="E1734" s="2">
        <v>3200</v>
      </c>
      <c r="F1734" s="2">
        <v>3200</v>
      </c>
      <c r="G1734" s="2">
        <v>2240</v>
      </c>
      <c r="I1734" t="s">
        <v>547</v>
      </c>
      <c r="J1734" t="s">
        <v>23</v>
      </c>
      <c r="K1734" t="s">
        <v>18</v>
      </c>
      <c r="L1734" t="str">
        <f>T("9791173787768")</f>
        <v>9791173787768</v>
      </c>
      <c r="M1734" t="str">
        <f t="shared" si="39"/>
        <v/>
      </c>
      <c r="N1734">
        <v>951128</v>
      </c>
    </row>
    <row r="1735" spans="1:14" x14ac:dyDescent="0.3">
      <c r="A1735" s="1">
        <v>46081.448263888888</v>
      </c>
      <c r="B1735">
        <v>369906609</v>
      </c>
      <c r="C1735" t="s">
        <v>693</v>
      </c>
      <c r="D1735" t="s">
        <v>15</v>
      </c>
      <c r="E1735" s="2">
        <v>3200</v>
      </c>
      <c r="F1735" s="2">
        <v>3200</v>
      </c>
      <c r="G1735" s="2">
        <v>2240</v>
      </c>
      <c r="I1735" t="s">
        <v>547</v>
      </c>
      <c r="J1735" t="s">
        <v>23</v>
      </c>
      <c r="K1735" t="s">
        <v>18</v>
      </c>
      <c r="L1735" t="str">
        <f>T("9791173787775")</f>
        <v>9791173787775</v>
      </c>
      <c r="M1735" t="str">
        <f t="shared" si="39"/>
        <v/>
      </c>
      <c r="N1735">
        <v>951127</v>
      </c>
    </row>
    <row r="1736" spans="1:14" x14ac:dyDescent="0.3">
      <c r="A1736" s="1">
        <v>46081.497442129628</v>
      </c>
      <c r="B1736">
        <v>379385369</v>
      </c>
      <c r="C1736" t="s">
        <v>101</v>
      </c>
      <c r="D1736" t="s">
        <v>15</v>
      </c>
      <c r="E1736" s="2">
        <v>1500</v>
      </c>
      <c r="F1736" s="2">
        <v>1500</v>
      </c>
      <c r="G1736" s="2">
        <v>1050</v>
      </c>
      <c r="I1736" t="s">
        <v>102</v>
      </c>
      <c r="J1736" t="s">
        <v>23</v>
      </c>
      <c r="K1736" t="s">
        <v>18</v>
      </c>
      <c r="L1736" t="str">
        <f>T("9791175307254")</f>
        <v>9791175307254</v>
      </c>
      <c r="M1736" t="str">
        <f t="shared" si="39"/>
        <v/>
      </c>
      <c r="N1736">
        <v>957333</v>
      </c>
    </row>
    <row r="1737" spans="1:14" x14ac:dyDescent="0.3">
      <c r="A1737" s="1">
        <v>46081.503865740742</v>
      </c>
      <c r="B1737">
        <v>385347796</v>
      </c>
      <c r="C1737" t="s">
        <v>107</v>
      </c>
      <c r="D1737" t="s">
        <v>15</v>
      </c>
      <c r="E1737" s="2">
        <v>3200</v>
      </c>
      <c r="F1737" s="2">
        <v>2880</v>
      </c>
      <c r="G1737" s="2">
        <v>2016</v>
      </c>
      <c r="I1737" t="s">
        <v>90</v>
      </c>
      <c r="J1737" t="s">
        <v>23</v>
      </c>
      <c r="K1737" t="s">
        <v>18</v>
      </c>
      <c r="L1737" t="str">
        <f>T("9791175308312")</f>
        <v>9791175308312</v>
      </c>
      <c r="M1737" t="str">
        <f t="shared" si="39"/>
        <v/>
      </c>
      <c r="N1737">
        <v>957884</v>
      </c>
    </row>
    <row r="1738" spans="1:14" x14ac:dyDescent="0.3">
      <c r="A1738" s="1">
        <v>46081.513414351852</v>
      </c>
      <c r="B1738">
        <v>379385369</v>
      </c>
      <c r="C1738" t="s">
        <v>101</v>
      </c>
      <c r="D1738" t="s">
        <v>15</v>
      </c>
      <c r="E1738" s="2">
        <v>1500</v>
      </c>
      <c r="F1738" s="2">
        <v>1500</v>
      </c>
      <c r="G1738" s="2">
        <v>1050</v>
      </c>
      <c r="I1738" t="s">
        <v>102</v>
      </c>
      <c r="J1738" t="s">
        <v>23</v>
      </c>
      <c r="K1738" t="s">
        <v>18</v>
      </c>
      <c r="L1738" t="str">
        <f>T("9791175307254")</f>
        <v>9791175307254</v>
      </c>
      <c r="M1738" t="str">
        <f t="shared" si="39"/>
        <v/>
      </c>
      <c r="N1738">
        <v>957333</v>
      </c>
    </row>
    <row r="1739" spans="1:14" x14ac:dyDescent="0.3">
      <c r="A1739" s="1">
        <v>46081.581805555557</v>
      </c>
      <c r="B1739">
        <v>284521853</v>
      </c>
      <c r="C1739" t="s">
        <v>694</v>
      </c>
      <c r="D1739" t="s">
        <v>15</v>
      </c>
      <c r="E1739" s="2">
        <v>2200</v>
      </c>
      <c r="F1739" s="2">
        <v>2200</v>
      </c>
      <c r="G1739" s="2">
        <v>1540</v>
      </c>
      <c r="I1739" t="s">
        <v>468</v>
      </c>
      <c r="J1739" t="s">
        <v>73</v>
      </c>
      <c r="K1739" t="s">
        <v>18</v>
      </c>
      <c r="L1739" t="str">
        <f>T("9791136920225")</f>
        <v>9791136920225</v>
      </c>
      <c r="M1739" t="str">
        <f t="shared" si="39"/>
        <v/>
      </c>
      <c r="N1739">
        <v>871312</v>
      </c>
    </row>
    <row r="1740" spans="1:14" x14ac:dyDescent="0.3">
      <c r="A1740" s="1">
        <v>46081.61005787037</v>
      </c>
      <c r="B1740">
        <v>376322071</v>
      </c>
      <c r="C1740" t="s">
        <v>695</v>
      </c>
      <c r="D1740" t="s">
        <v>15</v>
      </c>
      <c r="E1740" s="2">
        <v>3200</v>
      </c>
      <c r="F1740" s="2">
        <v>3200</v>
      </c>
      <c r="G1740" s="2">
        <v>2240</v>
      </c>
      <c r="I1740" t="s">
        <v>409</v>
      </c>
      <c r="J1740" t="s">
        <v>23</v>
      </c>
      <c r="K1740" t="s">
        <v>18</v>
      </c>
      <c r="L1740" t="str">
        <f>T("9791175302945")</f>
        <v>9791175302945</v>
      </c>
      <c r="M1740" t="str">
        <f t="shared" si="39"/>
        <v/>
      </c>
      <c r="N1740">
        <v>954924</v>
      </c>
    </row>
    <row r="1741" spans="1:14" x14ac:dyDescent="0.3">
      <c r="A1741" s="1">
        <v>46081.660254629627</v>
      </c>
      <c r="B1741">
        <v>386937104</v>
      </c>
      <c r="C1741" t="s">
        <v>579</v>
      </c>
      <c r="D1741" t="s">
        <v>89</v>
      </c>
      <c r="E1741" s="2">
        <v>8640</v>
      </c>
      <c r="F1741" s="2">
        <v>8640</v>
      </c>
      <c r="G1741" s="2">
        <v>6048</v>
      </c>
      <c r="I1741" t="s">
        <v>580</v>
      </c>
      <c r="J1741" t="s">
        <v>23</v>
      </c>
      <c r="K1741" t="s">
        <v>18</v>
      </c>
      <c r="L1741" t="str">
        <f>T("9791175309401")</f>
        <v>9791175309401</v>
      </c>
      <c r="M1741" t="str">
        <f t="shared" si="39"/>
        <v/>
      </c>
    </row>
    <row r="1742" spans="1:14" x14ac:dyDescent="0.3">
      <c r="A1742" s="1">
        <v>46081.714016203703</v>
      </c>
      <c r="B1742">
        <v>385636024</v>
      </c>
      <c r="C1742" t="s">
        <v>379</v>
      </c>
      <c r="D1742" t="s">
        <v>15</v>
      </c>
      <c r="E1742" s="2">
        <v>3500</v>
      </c>
      <c r="F1742" s="2">
        <v>3150</v>
      </c>
      <c r="G1742" s="2">
        <v>2205</v>
      </c>
      <c r="I1742" t="s">
        <v>246</v>
      </c>
      <c r="J1742" t="s">
        <v>23</v>
      </c>
      <c r="K1742" t="s">
        <v>18</v>
      </c>
      <c r="L1742" t="str">
        <f>T("9791175309548")</f>
        <v>9791175309548</v>
      </c>
      <c r="M1742" t="str">
        <f t="shared" si="39"/>
        <v/>
      </c>
      <c r="N1742">
        <v>958040</v>
      </c>
    </row>
    <row r="1743" spans="1:14" x14ac:dyDescent="0.3">
      <c r="A1743" s="1">
        <v>46081.714016203703</v>
      </c>
      <c r="B1743">
        <v>385636113</v>
      </c>
      <c r="C1743" t="s">
        <v>378</v>
      </c>
      <c r="D1743" t="s">
        <v>15</v>
      </c>
      <c r="E1743" s="2">
        <v>3500</v>
      </c>
      <c r="F1743" s="2">
        <v>3150</v>
      </c>
      <c r="G1743" s="2">
        <v>2205</v>
      </c>
      <c r="I1743" t="s">
        <v>246</v>
      </c>
      <c r="J1743" t="s">
        <v>23</v>
      </c>
      <c r="K1743" t="s">
        <v>18</v>
      </c>
      <c r="L1743" t="str">
        <f>T("9791175309531")</f>
        <v>9791175309531</v>
      </c>
      <c r="M1743" t="str">
        <f t="shared" si="39"/>
        <v/>
      </c>
      <c r="N1743">
        <v>958041</v>
      </c>
    </row>
    <row r="1744" spans="1:14" x14ac:dyDescent="0.3">
      <c r="A1744" s="1">
        <v>46081.763877314814</v>
      </c>
      <c r="B1744">
        <v>385348415</v>
      </c>
      <c r="C1744" t="s">
        <v>88</v>
      </c>
      <c r="D1744" t="s">
        <v>15</v>
      </c>
      <c r="E1744" s="2">
        <v>9600</v>
      </c>
      <c r="F1744" s="2">
        <v>8640</v>
      </c>
      <c r="G1744" s="2">
        <v>6048</v>
      </c>
      <c r="I1744" t="s">
        <v>90</v>
      </c>
      <c r="J1744" t="s">
        <v>23</v>
      </c>
      <c r="K1744" t="s">
        <v>18</v>
      </c>
      <c r="L1744" t="str">
        <f>T("9791175308350")</f>
        <v>9791175308350</v>
      </c>
      <c r="M1744" t="str">
        <f t="shared" si="39"/>
        <v/>
      </c>
    </row>
    <row r="1745" spans="1:14" x14ac:dyDescent="0.3">
      <c r="A1745" s="1">
        <v>46081.770497685182</v>
      </c>
      <c r="B1745">
        <v>385636113</v>
      </c>
      <c r="C1745" t="s">
        <v>378</v>
      </c>
      <c r="D1745" t="s">
        <v>15</v>
      </c>
      <c r="E1745" s="2">
        <v>3500</v>
      </c>
      <c r="F1745" s="2">
        <v>3150</v>
      </c>
      <c r="G1745" s="2">
        <v>2205</v>
      </c>
      <c r="I1745" t="s">
        <v>246</v>
      </c>
      <c r="J1745" t="s">
        <v>23</v>
      </c>
      <c r="K1745" t="s">
        <v>18</v>
      </c>
      <c r="L1745" t="str">
        <f>T("9791175309531")</f>
        <v>9791175309531</v>
      </c>
      <c r="M1745" t="str">
        <f t="shared" si="39"/>
        <v/>
      </c>
      <c r="N1745">
        <v>958041</v>
      </c>
    </row>
    <row r="1746" spans="1:14" x14ac:dyDescent="0.3">
      <c r="A1746" s="1">
        <v>46081.777002314811</v>
      </c>
      <c r="B1746">
        <v>385636113</v>
      </c>
      <c r="C1746" t="s">
        <v>378</v>
      </c>
      <c r="D1746" t="s">
        <v>15</v>
      </c>
      <c r="E1746" s="2">
        <v>3500</v>
      </c>
      <c r="F1746" s="2">
        <v>3150</v>
      </c>
      <c r="G1746" s="2">
        <v>2205</v>
      </c>
      <c r="I1746" t="s">
        <v>246</v>
      </c>
      <c r="J1746" t="s">
        <v>23</v>
      </c>
      <c r="K1746" t="s">
        <v>18</v>
      </c>
      <c r="L1746" t="str">
        <f>T("9791175309531")</f>
        <v>9791175309531</v>
      </c>
      <c r="M1746" t="str">
        <f t="shared" si="39"/>
        <v/>
      </c>
      <c r="N1746">
        <v>958041</v>
      </c>
    </row>
    <row r="1747" spans="1:14" x14ac:dyDescent="0.3">
      <c r="A1747" s="1">
        <v>46081.795937499999</v>
      </c>
      <c r="B1747">
        <v>329693230</v>
      </c>
      <c r="C1747" t="s">
        <v>696</v>
      </c>
      <c r="D1747" t="s">
        <v>15</v>
      </c>
      <c r="E1747" s="2">
        <v>3200</v>
      </c>
      <c r="F1747" s="2">
        <v>3200</v>
      </c>
      <c r="G1747" s="2">
        <v>2240</v>
      </c>
      <c r="I1747" t="s">
        <v>77</v>
      </c>
      <c r="J1747" t="s">
        <v>79</v>
      </c>
      <c r="K1747" t="s">
        <v>18</v>
      </c>
      <c r="L1747" t="str">
        <f>T("9791136930323")</f>
        <v>9791136930323</v>
      </c>
      <c r="M1747" t="str">
        <f t="shared" si="39"/>
        <v/>
      </c>
      <c r="N1747">
        <v>894656</v>
      </c>
    </row>
    <row r="1748" spans="1:14" x14ac:dyDescent="0.3">
      <c r="A1748" s="1">
        <v>46081.848055555558</v>
      </c>
      <c r="B1748">
        <v>379385369</v>
      </c>
      <c r="C1748" t="s">
        <v>101</v>
      </c>
      <c r="D1748" t="s">
        <v>15</v>
      </c>
      <c r="E1748" s="2">
        <v>1500</v>
      </c>
      <c r="F1748" s="2">
        <v>1500</v>
      </c>
      <c r="G1748" s="2">
        <v>1050</v>
      </c>
      <c r="I1748" t="s">
        <v>102</v>
      </c>
      <c r="J1748" t="s">
        <v>23</v>
      </c>
      <c r="K1748" t="s">
        <v>18</v>
      </c>
      <c r="L1748" t="str">
        <f>T("9791175307254")</f>
        <v>9791175307254</v>
      </c>
      <c r="M1748" t="str">
        <f t="shared" si="39"/>
        <v/>
      </c>
      <c r="N1748">
        <v>957333</v>
      </c>
    </row>
    <row r="1749" spans="1:14" x14ac:dyDescent="0.3">
      <c r="A1749" s="1">
        <v>46081.854189814818</v>
      </c>
      <c r="B1749">
        <v>361616765</v>
      </c>
      <c r="C1749" t="s">
        <v>697</v>
      </c>
      <c r="D1749" t="s">
        <v>15</v>
      </c>
      <c r="E1749" s="2">
        <v>3600</v>
      </c>
      <c r="F1749" s="2">
        <v>3600</v>
      </c>
      <c r="G1749" s="2">
        <v>2520</v>
      </c>
      <c r="I1749" t="s">
        <v>698</v>
      </c>
      <c r="J1749" t="s">
        <v>49</v>
      </c>
      <c r="K1749" t="s">
        <v>18</v>
      </c>
      <c r="L1749" t="str">
        <f>T("9791172926939")</f>
        <v>9791172926939</v>
      </c>
      <c r="M1749" t="str">
        <f t="shared" si="39"/>
        <v/>
      </c>
      <c r="N1749">
        <v>938654</v>
      </c>
    </row>
    <row r="1750" spans="1:14" x14ac:dyDescent="0.3">
      <c r="A1750" s="1">
        <v>46081.860011574077</v>
      </c>
      <c r="B1750">
        <v>365656697</v>
      </c>
      <c r="C1750" t="s">
        <v>239</v>
      </c>
      <c r="D1750" t="s">
        <v>15</v>
      </c>
      <c r="E1750" s="2">
        <v>7200</v>
      </c>
      <c r="F1750" s="2">
        <v>7200</v>
      </c>
      <c r="G1750" s="2">
        <v>5040</v>
      </c>
      <c r="I1750" t="s">
        <v>240</v>
      </c>
      <c r="J1750" t="s">
        <v>49</v>
      </c>
      <c r="K1750" t="s">
        <v>18</v>
      </c>
      <c r="L1750" t="str">
        <f>T("9791173783630")</f>
        <v>9791173783630</v>
      </c>
      <c r="M1750" t="str">
        <f t="shared" si="39"/>
        <v/>
      </c>
    </row>
    <row r="1751" spans="1:14" x14ac:dyDescent="0.3">
      <c r="A1751" s="1">
        <v>46081.86959490741</v>
      </c>
      <c r="B1751">
        <v>348546568</v>
      </c>
      <c r="C1751" t="s">
        <v>121</v>
      </c>
      <c r="D1751" t="s">
        <v>15</v>
      </c>
      <c r="E1751">
        <v>0</v>
      </c>
      <c r="F1751">
        <v>0</v>
      </c>
      <c r="G1751">
        <v>0</v>
      </c>
      <c r="I1751" t="s">
        <v>122</v>
      </c>
      <c r="J1751" t="s">
        <v>59</v>
      </c>
      <c r="K1751" t="s">
        <v>18</v>
      </c>
      <c r="L1751" t="str">
        <f>T("9791133196678")</f>
        <v>9791133196678</v>
      </c>
      <c r="M1751" t="str">
        <f t="shared" si="39"/>
        <v/>
      </c>
      <c r="N1751">
        <v>773178</v>
      </c>
    </row>
    <row r="1752" spans="1:14" x14ac:dyDescent="0.3">
      <c r="A1752" s="1">
        <v>46081.86959490741</v>
      </c>
      <c r="B1752">
        <v>268443462</v>
      </c>
      <c r="C1752" t="s">
        <v>131</v>
      </c>
      <c r="D1752" t="s">
        <v>15</v>
      </c>
      <c r="E1752">
        <v>0</v>
      </c>
      <c r="F1752">
        <v>0</v>
      </c>
      <c r="G1752">
        <v>0</v>
      </c>
      <c r="I1752" t="s">
        <v>132</v>
      </c>
      <c r="J1752" t="s">
        <v>59</v>
      </c>
      <c r="K1752" t="s">
        <v>18</v>
      </c>
      <c r="L1752" t="str">
        <f>T("9791136906571")</f>
        <v>9791136906571</v>
      </c>
      <c r="M1752" t="str">
        <f t="shared" si="39"/>
        <v/>
      </c>
      <c r="N1752">
        <v>805959</v>
      </c>
    </row>
    <row r="1753" spans="1:14" x14ac:dyDescent="0.3">
      <c r="A1753" s="1">
        <v>46081.86959490741</v>
      </c>
      <c r="B1753">
        <v>385347620</v>
      </c>
      <c r="C1753" t="s">
        <v>84</v>
      </c>
      <c r="D1753" t="s">
        <v>15</v>
      </c>
      <c r="E1753">
        <v>0</v>
      </c>
      <c r="F1753">
        <v>0</v>
      </c>
      <c r="G1753">
        <v>0</v>
      </c>
      <c r="I1753" t="s">
        <v>85</v>
      </c>
      <c r="J1753" t="s">
        <v>59</v>
      </c>
      <c r="K1753" t="s">
        <v>18</v>
      </c>
      <c r="L1753" t="str">
        <f>T("9791136943897")</f>
        <v>9791136943897</v>
      </c>
      <c r="M1753" t="str">
        <f t="shared" si="39"/>
        <v/>
      </c>
      <c r="N1753">
        <v>917706</v>
      </c>
    </row>
    <row r="1754" spans="1:14" x14ac:dyDescent="0.3">
      <c r="A1754" s="1">
        <v>46081.903587962966</v>
      </c>
      <c r="B1754">
        <v>379386288</v>
      </c>
      <c r="C1754" t="s">
        <v>370</v>
      </c>
      <c r="D1754" t="s">
        <v>15</v>
      </c>
      <c r="E1754" s="2">
        <v>14100</v>
      </c>
      <c r="F1754" s="2">
        <v>14100</v>
      </c>
      <c r="G1754" s="2">
        <v>9870</v>
      </c>
      <c r="I1754" t="s">
        <v>102</v>
      </c>
      <c r="J1754" t="s">
        <v>23</v>
      </c>
      <c r="K1754" t="s">
        <v>18</v>
      </c>
      <c r="L1754" t="str">
        <f>T("9791175307438")</f>
        <v>9791175307438</v>
      </c>
      <c r="M1754" t="str">
        <f t="shared" si="39"/>
        <v/>
      </c>
    </row>
    <row r="1755" spans="1:14" x14ac:dyDescent="0.3">
      <c r="A1755" s="1">
        <v>46081.911620370367</v>
      </c>
      <c r="B1755">
        <v>342333105</v>
      </c>
      <c r="C1755" t="s">
        <v>181</v>
      </c>
      <c r="D1755" t="s">
        <v>15</v>
      </c>
      <c r="E1755" s="2">
        <v>1500</v>
      </c>
      <c r="F1755" s="2">
        <v>1500</v>
      </c>
      <c r="G1755" s="2">
        <v>1050</v>
      </c>
      <c r="I1755" t="s">
        <v>102</v>
      </c>
      <c r="J1755" t="s">
        <v>23</v>
      </c>
      <c r="K1755" t="s">
        <v>18</v>
      </c>
      <c r="L1755" t="str">
        <f>T("9791136979780")</f>
        <v>9791136979780</v>
      </c>
      <c r="M1755" t="str">
        <f t="shared" si="39"/>
        <v/>
      </c>
      <c r="N1755">
        <v>926740</v>
      </c>
    </row>
    <row r="1756" spans="1:14" x14ac:dyDescent="0.3">
      <c r="A1756" s="1">
        <v>46081.911620370367</v>
      </c>
      <c r="B1756">
        <v>379385369</v>
      </c>
      <c r="C1756" t="s">
        <v>101</v>
      </c>
      <c r="D1756" t="s">
        <v>15</v>
      </c>
      <c r="E1756" s="2">
        <v>1500</v>
      </c>
      <c r="F1756" s="2">
        <v>1500</v>
      </c>
      <c r="G1756" s="2">
        <v>1050</v>
      </c>
      <c r="I1756" t="s">
        <v>102</v>
      </c>
      <c r="J1756" t="s">
        <v>23</v>
      </c>
      <c r="K1756" t="s">
        <v>18</v>
      </c>
      <c r="L1756" t="str">
        <f>T("9791175307254")</f>
        <v>9791175307254</v>
      </c>
      <c r="M1756" t="str">
        <f t="shared" si="39"/>
        <v/>
      </c>
      <c r="N1756">
        <v>957333</v>
      </c>
    </row>
    <row r="1757" spans="1:14" x14ac:dyDescent="0.3">
      <c r="A1757" s="1">
        <v>46081.932025462964</v>
      </c>
      <c r="B1757">
        <v>339671999</v>
      </c>
      <c r="C1757" t="s">
        <v>699</v>
      </c>
      <c r="D1757" t="s">
        <v>15</v>
      </c>
      <c r="E1757" s="2">
        <v>9000</v>
      </c>
      <c r="F1757" s="2">
        <v>9000</v>
      </c>
      <c r="G1757" s="2">
        <v>6300</v>
      </c>
      <c r="I1757" t="s">
        <v>344</v>
      </c>
      <c r="J1757" t="s">
        <v>23</v>
      </c>
      <c r="K1757" t="s">
        <v>18</v>
      </c>
      <c r="L1757" t="str">
        <f>T("9791136935953")</f>
        <v>9791136935953</v>
      </c>
      <c r="M1757" t="str">
        <f t="shared" ref="M1757:M1772" si="40">T("")</f>
        <v/>
      </c>
    </row>
    <row r="1758" spans="1:14" x14ac:dyDescent="0.3">
      <c r="A1758" s="1">
        <v>46081.932025462964</v>
      </c>
      <c r="B1758">
        <v>385831063</v>
      </c>
      <c r="C1758" t="s">
        <v>343</v>
      </c>
      <c r="D1758" t="s">
        <v>15</v>
      </c>
      <c r="E1758" s="2">
        <v>12000</v>
      </c>
      <c r="F1758" s="2">
        <v>10800</v>
      </c>
      <c r="G1758" s="2">
        <v>7560</v>
      </c>
      <c r="I1758" t="s">
        <v>344</v>
      </c>
      <c r="J1758" t="s">
        <v>23</v>
      </c>
      <c r="K1758" t="s">
        <v>18</v>
      </c>
      <c r="L1758" t="str">
        <f>T("9791175309456")</f>
        <v>9791175309456</v>
      </c>
      <c r="M1758" t="str">
        <f t="shared" si="40"/>
        <v/>
      </c>
    </row>
    <row r="1759" spans="1:14" x14ac:dyDescent="0.3">
      <c r="A1759" s="1">
        <v>46081.941111111111</v>
      </c>
      <c r="B1759">
        <v>386937104</v>
      </c>
      <c r="C1759" t="s">
        <v>579</v>
      </c>
      <c r="D1759" t="s">
        <v>89</v>
      </c>
      <c r="E1759" s="2">
        <v>8640</v>
      </c>
      <c r="F1759" s="2">
        <v>8640</v>
      </c>
      <c r="G1759" s="2">
        <v>6048</v>
      </c>
      <c r="I1759" t="s">
        <v>580</v>
      </c>
      <c r="J1759" t="s">
        <v>23</v>
      </c>
      <c r="K1759" t="s">
        <v>18</v>
      </c>
      <c r="L1759" t="str">
        <f>T("9791175309401")</f>
        <v>9791175309401</v>
      </c>
      <c r="M1759" t="str">
        <f t="shared" si="40"/>
        <v/>
      </c>
    </row>
    <row r="1760" spans="1:14" x14ac:dyDescent="0.3">
      <c r="A1760" s="1">
        <v>46081.942673611113</v>
      </c>
      <c r="B1760">
        <v>379385369</v>
      </c>
      <c r="C1760" t="s">
        <v>101</v>
      </c>
      <c r="D1760" t="s">
        <v>15</v>
      </c>
      <c r="E1760" s="2">
        <v>1500</v>
      </c>
      <c r="F1760" s="2">
        <v>1500</v>
      </c>
      <c r="G1760" s="2">
        <v>1050</v>
      </c>
      <c r="I1760" t="s">
        <v>102</v>
      </c>
      <c r="J1760" t="s">
        <v>23</v>
      </c>
      <c r="K1760" t="s">
        <v>18</v>
      </c>
      <c r="L1760" t="str">
        <f>T("9791175307254")</f>
        <v>9791175307254</v>
      </c>
      <c r="M1760" t="str">
        <f t="shared" si="40"/>
        <v/>
      </c>
      <c r="N1760">
        <v>957333</v>
      </c>
    </row>
    <row r="1761" spans="1:14" x14ac:dyDescent="0.3">
      <c r="A1761" s="1">
        <v>46081.948067129626</v>
      </c>
      <c r="B1761">
        <v>346154638</v>
      </c>
      <c r="C1761" t="s">
        <v>43</v>
      </c>
      <c r="D1761" t="s">
        <v>15</v>
      </c>
      <c r="E1761" s="2">
        <v>3300</v>
      </c>
      <c r="F1761" s="2">
        <v>3300</v>
      </c>
      <c r="G1761" s="2">
        <v>2310</v>
      </c>
      <c r="I1761" t="s">
        <v>32</v>
      </c>
      <c r="J1761" t="s">
        <v>23</v>
      </c>
      <c r="K1761" t="s">
        <v>18</v>
      </c>
      <c r="L1761" t="str">
        <f>T("9791136927255")</f>
        <v>9791136927255</v>
      </c>
      <c r="M1761" t="str">
        <f t="shared" si="40"/>
        <v/>
      </c>
      <c r="N1761">
        <v>928444</v>
      </c>
    </row>
    <row r="1762" spans="1:14" x14ac:dyDescent="0.3">
      <c r="A1762" s="1">
        <v>46081.951793981483</v>
      </c>
      <c r="B1762">
        <v>386937104</v>
      </c>
      <c r="C1762" t="s">
        <v>579</v>
      </c>
      <c r="D1762" t="s">
        <v>89</v>
      </c>
      <c r="E1762" s="2">
        <v>8640</v>
      </c>
      <c r="F1762" s="2">
        <v>8640</v>
      </c>
      <c r="G1762" s="2">
        <v>6048</v>
      </c>
      <c r="I1762" t="s">
        <v>580</v>
      </c>
      <c r="J1762" t="s">
        <v>23</v>
      </c>
      <c r="K1762" t="s">
        <v>18</v>
      </c>
      <c r="L1762" t="str">
        <f>T("9791175309401")</f>
        <v>9791175309401</v>
      </c>
      <c r="M1762" t="str">
        <f t="shared" si="40"/>
        <v/>
      </c>
    </row>
    <row r="1763" spans="1:14" x14ac:dyDescent="0.3">
      <c r="A1763" s="1">
        <v>46081.956261574072</v>
      </c>
      <c r="B1763">
        <v>361759256</v>
      </c>
      <c r="C1763" t="s">
        <v>700</v>
      </c>
      <c r="D1763" t="s">
        <v>15</v>
      </c>
      <c r="E1763" s="2">
        <v>3200</v>
      </c>
      <c r="F1763" s="2">
        <v>3200</v>
      </c>
      <c r="G1763" s="2">
        <v>2240</v>
      </c>
      <c r="I1763" t="s">
        <v>54</v>
      </c>
      <c r="J1763" t="s">
        <v>52</v>
      </c>
      <c r="K1763" t="s">
        <v>18</v>
      </c>
      <c r="L1763" t="str">
        <f>T("9791173781933")</f>
        <v>9791173781933</v>
      </c>
      <c r="M1763" t="str">
        <f t="shared" si="40"/>
        <v/>
      </c>
      <c r="N1763">
        <v>947000</v>
      </c>
    </row>
    <row r="1764" spans="1:14" x14ac:dyDescent="0.3">
      <c r="A1764" s="1">
        <v>46081.956261574072</v>
      </c>
      <c r="B1764">
        <v>361759320</v>
      </c>
      <c r="C1764" t="s">
        <v>701</v>
      </c>
      <c r="D1764" t="s">
        <v>15</v>
      </c>
      <c r="E1764" s="2">
        <v>3200</v>
      </c>
      <c r="F1764" s="2">
        <v>3200</v>
      </c>
      <c r="G1764" s="2">
        <v>2240</v>
      </c>
      <c r="I1764" t="s">
        <v>54</v>
      </c>
      <c r="J1764" t="s">
        <v>52</v>
      </c>
      <c r="K1764" t="s">
        <v>18</v>
      </c>
      <c r="L1764" t="str">
        <f>T("9791173781926")</f>
        <v>9791173781926</v>
      </c>
      <c r="M1764" t="str">
        <f t="shared" si="40"/>
        <v/>
      </c>
      <c r="N1764">
        <v>947000</v>
      </c>
    </row>
    <row r="1765" spans="1:14" x14ac:dyDescent="0.3">
      <c r="A1765" s="1">
        <v>46081.959629629629</v>
      </c>
      <c r="B1765">
        <v>385636071</v>
      </c>
      <c r="C1765" t="s">
        <v>289</v>
      </c>
      <c r="D1765" t="s">
        <v>15</v>
      </c>
      <c r="E1765" s="2">
        <v>3500</v>
      </c>
      <c r="F1765" s="2">
        <v>3150</v>
      </c>
      <c r="G1765" s="2">
        <v>2205</v>
      </c>
      <c r="I1765" t="s">
        <v>246</v>
      </c>
      <c r="J1765" t="s">
        <v>23</v>
      </c>
      <c r="K1765" t="s">
        <v>18</v>
      </c>
      <c r="L1765" t="str">
        <f>T("9791175309524")</f>
        <v>9791175309524</v>
      </c>
      <c r="M1765" t="str">
        <f t="shared" si="40"/>
        <v/>
      </c>
      <c r="N1765">
        <v>958042</v>
      </c>
    </row>
    <row r="1766" spans="1:14" x14ac:dyDescent="0.3">
      <c r="A1766" s="1">
        <v>46081.963796296295</v>
      </c>
      <c r="B1766">
        <v>330053122</v>
      </c>
      <c r="C1766" t="s">
        <v>614</v>
      </c>
      <c r="D1766" t="s">
        <v>15</v>
      </c>
      <c r="E1766" s="2">
        <v>3000</v>
      </c>
      <c r="F1766" s="2">
        <v>3000</v>
      </c>
      <c r="G1766" s="2">
        <v>2100</v>
      </c>
      <c r="I1766" t="s">
        <v>106</v>
      </c>
      <c r="J1766" t="s">
        <v>49</v>
      </c>
      <c r="K1766" t="s">
        <v>18</v>
      </c>
      <c r="L1766" t="str">
        <f>T("9791136945129")</f>
        <v>9791136945129</v>
      </c>
      <c r="M1766" t="str">
        <f t="shared" si="40"/>
        <v/>
      </c>
      <c r="N1766">
        <v>919041</v>
      </c>
    </row>
    <row r="1767" spans="1:14" x14ac:dyDescent="0.3">
      <c r="A1767" s="1">
        <v>46081.984016203707</v>
      </c>
      <c r="B1767">
        <v>385347659</v>
      </c>
      <c r="C1767" t="s">
        <v>86</v>
      </c>
      <c r="D1767" t="s">
        <v>15</v>
      </c>
      <c r="E1767" s="2">
        <v>1000</v>
      </c>
      <c r="F1767">
        <v>900</v>
      </c>
      <c r="G1767">
        <v>630</v>
      </c>
      <c r="I1767" t="s">
        <v>87</v>
      </c>
      <c r="J1767" t="s">
        <v>23</v>
      </c>
      <c r="K1767" t="s">
        <v>18</v>
      </c>
      <c r="L1767" t="str">
        <f>T("9791175308510")</f>
        <v>9791175308510</v>
      </c>
      <c r="M1767" t="str">
        <f t="shared" si="40"/>
        <v/>
      </c>
      <c r="N1767">
        <v>957881</v>
      </c>
    </row>
    <row r="1768" spans="1:14" x14ac:dyDescent="0.3">
      <c r="A1768" s="1">
        <v>46081.984166666669</v>
      </c>
      <c r="B1768">
        <v>385347659</v>
      </c>
      <c r="C1768" t="s">
        <v>86</v>
      </c>
      <c r="D1768" t="s">
        <v>15</v>
      </c>
      <c r="E1768" s="2">
        <v>-1000</v>
      </c>
      <c r="F1768">
        <v>-900</v>
      </c>
      <c r="G1768">
        <v>-630</v>
      </c>
      <c r="H1768" s="1">
        <v>46081.984016203707</v>
      </c>
      <c r="I1768" t="s">
        <v>87</v>
      </c>
      <c r="J1768" t="s">
        <v>23</v>
      </c>
      <c r="K1768" t="s">
        <v>18</v>
      </c>
      <c r="L1768" t="str">
        <f>T("9791175308510")</f>
        <v>9791175308510</v>
      </c>
      <c r="M1768" t="str">
        <f t="shared" si="40"/>
        <v/>
      </c>
      <c r="N1768">
        <v>957881</v>
      </c>
    </row>
    <row r="1769" spans="1:14" x14ac:dyDescent="0.3">
      <c r="A1769" s="1">
        <v>46081.984606481485</v>
      </c>
      <c r="B1769">
        <v>385347659</v>
      </c>
      <c r="C1769" t="s">
        <v>86</v>
      </c>
      <c r="D1769" t="s">
        <v>15</v>
      </c>
      <c r="E1769" s="2">
        <v>1000</v>
      </c>
      <c r="F1769">
        <v>900</v>
      </c>
      <c r="G1769">
        <v>630</v>
      </c>
      <c r="I1769" t="s">
        <v>87</v>
      </c>
      <c r="J1769" t="s">
        <v>23</v>
      </c>
      <c r="K1769" t="s">
        <v>18</v>
      </c>
      <c r="L1769" t="str">
        <f>T("9791175308510")</f>
        <v>9791175308510</v>
      </c>
      <c r="M1769" t="str">
        <f t="shared" si="40"/>
        <v/>
      </c>
      <c r="N1769">
        <v>957881</v>
      </c>
    </row>
    <row r="1770" spans="1:14" x14ac:dyDescent="0.3">
      <c r="A1770" s="1">
        <v>46081.986770833333</v>
      </c>
      <c r="B1770">
        <v>381539758</v>
      </c>
      <c r="C1770" t="s">
        <v>487</v>
      </c>
      <c r="D1770" t="s">
        <v>15</v>
      </c>
      <c r="E1770" s="2">
        <v>3200</v>
      </c>
      <c r="F1770" s="2">
        <v>3200</v>
      </c>
      <c r="G1770" s="2">
        <v>2240</v>
      </c>
      <c r="I1770" t="s">
        <v>193</v>
      </c>
      <c r="J1770" t="s">
        <v>59</v>
      </c>
      <c r="K1770" t="s">
        <v>18</v>
      </c>
      <c r="L1770" t="str">
        <f>T("9791172921781")</f>
        <v>9791172921781</v>
      </c>
      <c r="M1770" t="str">
        <f t="shared" si="40"/>
        <v/>
      </c>
      <c r="N1770">
        <v>929939</v>
      </c>
    </row>
    <row r="1771" spans="1:14" x14ac:dyDescent="0.3">
      <c r="A1771" s="1">
        <v>46081.986770833333</v>
      </c>
      <c r="B1771">
        <v>381539779</v>
      </c>
      <c r="C1771" t="s">
        <v>523</v>
      </c>
      <c r="D1771" t="s">
        <v>15</v>
      </c>
      <c r="E1771" s="2">
        <v>3200</v>
      </c>
      <c r="F1771" s="2">
        <v>3200</v>
      </c>
      <c r="G1771" s="2">
        <v>2240</v>
      </c>
      <c r="I1771" t="s">
        <v>193</v>
      </c>
      <c r="J1771" t="s">
        <v>59</v>
      </c>
      <c r="K1771" t="s">
        <v>18</v>
      </c>
      <c r="L1771" t="str">
        <f>T("9791172921798")</f>
        <v>9791172921798</v>
      </c>
      <c r="M1771" t="str">
        <f t="shared" si="40"/>
        <v/>
      </c>
      <c r="N1771">
        <v>929938</v>
      </c>
    </row>
    <row r="1772" spans="1:14" x14ac:dyDescent="0.3">
      <c r="A1772" s="1">
        <v>46081.987557870372</v>
      </c>
      <c r="B1772">
        <v>386937104</v>
      </c>
      <c r="C1772" t="s">
        <v>579</v>
      </c>
      <c r="D1772" t="s">
        <v>89</v>
      </c>
      <c r="E1772" s="2">
        <v>8640</v>
      </c>
      <c r="F1772" s="2">
        <v>8640</v>
      </c>
      <c r="G1772" s="2">
        <v>6048</v>
      </c>
      <c r="I1772" t="s">
        <v>580</v>
      </c>
      <c r="J1772" t="s">
        <v>23</v>
      </c>
      <c r="K1772" t="s">
        <v>18</v>
      </c>
      <c r="L1772" t="str">
        <f>T("9791175309401")</f>
        <v>9791175309401</v>
      </c>
      <c r="M1772" t="str">
        <f t="shared" si="40"/>
        <v/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sales_18156_202602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임 재경(KSTD)</cp:lastModifiedBy>
  <dcterms:created xsi:type="dcterms:W3CDTF">2026-03-02T23:57:46Z</dcterms:created>
  <dcterms:modified xsi:type="dcterms:W3CDTF">2026-03-02T23:58:04Z</dcterms:modified>
</cp:coreProperties>
</file>