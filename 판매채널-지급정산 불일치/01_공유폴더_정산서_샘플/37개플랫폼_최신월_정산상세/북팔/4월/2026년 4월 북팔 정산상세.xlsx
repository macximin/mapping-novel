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y.choi\Desktop\정산\(플랫폼) CP\28. 키다리스튜디오_kidaristudio\2026\"/>
    </mc:Choice>
  </mc:AlternateContent>
  <xr:revisionPtr revIDLastSave="0" documentId="13_ncr:1_{19FE0E9B-E866-4799-BC6F-403C03E9D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마켓" sheetId="1" r:id="rId1"/>
    <sheet name="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8" i="1" s="1"/>
  <c r="B12" i="1"/>
  <c r="B13" i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11" i="1"/>
  <c r="C7" i="1"/>
  <c r="C6" i="1"/>
  <c r="C5" i="1"/>
</calcChain>
</file>

<file path=xl/sharedStrings.xml><?xml version="1.0" encoding="utf-8"?>
<sst xmlns="http://schemas.openxmlformats.org/spreadsheetml/2006/main" count="170" uniqueCount="87">
  <si>
    <t>직접연재</t>
  </si>
  <si>
    <t>판매기간</t>
  </si>
  <si>
    <t>총 판매수 (건)</t>
  </si>
  <si>
    <t>순번</t>
  </si>
  <si>
    <t>필명</t>
  </si>
  <si>
    <t>아이디</t>
  </si>
  <si>
    <t>작품명</t>
  </si>
  <si>
    <t>판매수</t>
  </si>
  <si>
    <t>수익금</t>
  </si>
  <si>
    <t>[2019년 3월 정산내역서-톡소다]안녕하세요, 북팔입니다.
안녕하세요, 북팔 입니다. 
톡소다 3월에 발생한 수익에 대한 전자계산서 요청드립니다.
플랫폼  수익            4,149,320원 
----------------------------------------
합계                       4,149,320원
&lt;작품별 수익 상세내역 유첨&gt;
계산서 발행 날짜는 2019-03-31,
2019-04-10까지 bookpaltax@bookp.al 앞으로 부탁드리며
입금은 2019-4-30에 진행하도록 하겠습니다.
정산 관련하여 문의사항은 bookpaltax@bookp.al로 문의주시기 바랍니다.
 감사합니다.</t>
  </si>
  <si>
    <t>총 수익금 (원)</t>
    <phoneticPr fontId="3" type="noConversion"/>
  </si>
  <si>
    <t>kidaristudio</t>
  </si>
  <si>
    <t>나리타</t>
  </si>
  <si>
    <t>신부 수업을 1년 동안 받았습니다</t>
  </si>
  <si>
    <t>매출</t>
  </si>
  <si>
    <t>배분율</t>
  </si>
  <si>
    <t>비고</t>
  </si>
  <si>
    <t>웹소설</t>
  </si>
  <si>
    <t>야한 규칙으로 다 따먹음</t>
  </si>
  <si>
    <t>파워레인젖</t>
  </si>
  <si>
    <t>코네꼬</t>
  </si>
  <si>
    <t>오메가 사냥</t>
  </si>
  <si>
    <t>SEOBANG</t>
  </si>
  <si>
    <t>In The Private Room(인 더 프라이빗 룸)</t>
  </si>
  <si>
    <t>소조금</t>
  </si>
  <si>
    <t>악작</t>
  </si>
  <si>
    <t>루하랑</t>
  </si>
  <si>
    <t>엑시덴탈 베이비(Accidental baby)</t>
  </si>
  <si>
    <t>꾸밍크</t>
  </si>
  <si>
    <t>달콤한 최면</t>
  </si>
  <si>
    <t>daldare</t>
  </si>
  <si>
    <t>부자(父子)의 난</t>
  </si>
  <si>
    <t>조금은 야한 우리 회사</t>
  </si>
  <si>
    <t>아르곤18</t>
  </si>
  <si>
    <t>사소한 꽃잎</t>
  </si>
  <si>
    <t>아노르이실</t>
  </si>
  <si>
    <t>마법 형님</t>
  </si>
  <si>
    <t>어린 오메가</t>
  </si>
  <si>
    <t>백휴</t>
  </si>
  <si>
    <t>생일 축하해요, 형</t>
  </si>
  <si>
    <t>TR</t>
  </si>
  <si>
    <t>고요(꽃잎이 톡톡)</t>
  </si>
  <si>
    <t>서방님을 놓아드리겠습니다</t>
  </si>
  <si>
    <t>강영주</t>
  </si>
  <si>
    <t>엉큼한 맞선</t>
  </si>
  <si>
    <t>눈매</t>
  </si>
  <si>
    <t>파공검제</t>
  </si>
  <si>
    <t>체리갱</t>
  </si>
  <si>
    <t>아는 남자</t>
  </si>
  <si>
    <t>호애</t>
  </si>
  <si>
    <t>발칙한 우정</t>
  </si>
  <si>
    <t>웹중</t>
  </si>
  <si>
    <t>내 몸속에 던전이 있다</t>
  </si>
  <si>
    <t>낙울</t>
  </si>
  <si>
    <t>후배 위하지 않는 선배</t>
  </si>
  <si>
    <t>김뉴희</t>
  </si>
  <si>
    <t>월광연가</t>
  </si>
  <si>
    <t>두나래</t>
  </si>
  <si>
    <t>공작 형제의 오메가</t>
  </si>
  <si>
    <t>쓰리 나이츠, 실제로 합니다</t>
  </si>
  <si>
    <t>뻔뻔데기</t>
  </si>
  <si>
    <t>망나니 대공, 노예에게 길들여지는 중입니다</t>
  </si>
  <si>
    <t>야옹도사</t>
  </si>
  <si>
    <t>남편을 버리는 완벽한 방법</t>
  </si>
  <si>
    <t>박초대</t>
  </si>
  <si>
    <t>난교 어드벤처, XX니아</t>
  </si>
  <si>
    <t>달뜬 저잣거리</t>
  </si>
  <si>
    <t>조선밀담집_애로뎐(愛路뎐)</t>
  </si>
  <si>
    <t>송캐</t>
  </si>
  <si>
    <t>취향 저격</t>
  </si>
  <si>
    <t>쎄차쿠나야</t>
  </si>
  <si>
    <t>미아 발견 시 의외로 하면 안 되는 행동</t>
  </si>
  <si>
    <t>야한 회사에서 대박남</t>
  </si>
  <si>
    <t>묘월아</t>
  </si>
  <si>
    <t>인간 사육</t>
  </si>
  <si>
    <t>심옥화</t>
  </si>
  <si>
    <t>현대 사회의 XX에 대하여</t>
  </si>
  <si>
    <t>청해수</t>
  </si>
  <si>
    <t>대천사님, 악마가 어떻게 임신을 해요!</t>
  </si>
  <si>
    <t>류다</t>
  </si>
  <si>
    <t>E급 탱커의 비상</t>
  </si>
  <si>
    <t>오늘 밤은 꽃이랑 주무셔요</t>
  </si>
  <si>
    <t>공작부인의 음탕한 초대</t>
  </si>
  <si>
    <t>네르시온</t>
  </si>
  <si>
    <t>시한부 후궁도 살고 싶습니다</t>
  </si>
  <si>
    <t>흐느끼는 춘야(春夜)</t>
  </si>
  <si>
    <t>Plaything ~ 어느 대공 각하의 장난감 ~ (플레이싱)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</si>
</sst>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m&quot;월 정산내역서&quot;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D1D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center"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1" xfId="1">
      <alignment horizontal="center" vertical="center"/>
    </xf>
    <xf numFmtId="9" fontId="1" fillId="2" borderId="1" xfId="1" applyNumberForma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/>
    </xf>
    <xf numFmtId="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/>
    </xf>
    <xf numFmtId="177" fontId="2" fillId="0" borderId="0" xfId="0" applyNumberFormat="1" applyFont="1" applyAlignment="1">
      <alignment horizontal="left" vertical="center"/>
    </xf>
    <xf numFmtId="0" fontId="1" fillId="2" borderId="1" xfId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tabletitle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4"/>
  <sheetViews>
    <sheetView showGridLines="0" tabSelected="1" workbookViewId="0">
      <pane ySplit="9" topLeftCell="A31" activePane="bottomLeft" state="frozen"/>
      <selection pane="bottomLeft"/>
    </sheetView>
  </sheetViews>
  <sheetFormatPr defaultColWidth="9" defaultRowHeight="16.5" x14ac:dyDescent="0.3"/>
  <cols>
    <col min="1" max="1" width="9" style="6"/>
    <col min="2" max="2" width="13.5" style="6" customWidth="1"/>
    <col min="3" max="3" width="23" style="6" customWidth="1"/>
    <col min="4" max="4" width="15" style="6" customWidth="1"/>
    <col min="5" max="5" width="45.375" style="6" customWidth="1"/>
    <col min="6" max="7" width="12" style="7" customWidth="1"/>
    <col min="8" max="8" width="7.375" style="8" bestFit="1" customWidth="1"/>
    <col min="9" max="9" width="15" style="7" customWidth="1"/>
    <col min="10" max="10" width="15" style="6" customWidth="1"/>
    <col min="11" max="16384" width="9" style="6"/>
  </cols>
  <sheetData>
    <row r="2" spans="2:10" ht="26.25" x14ac:dyDescent="0.3">
      <c r="B2" s="12">
        <v>46113</v>
      </c>
      <c r="C2" s="12"/>
    </row>
    <row r="4" spans="2:10" x14ac:dyDescent="0.3">
      <c r="B4" s="13" t="s">
        <v>0</v>
      </c>
      <c r="C4" s="14"/>
    </row>
    <row r="5" spans="2:10" x14ac:dyDescent="0.3">
      <c r="B5" s="2" t="s">
        <v>1</v>
      </c>
      <c r="C5" s="11" t="str">
        <f>TEXT(B2,"YYYY-MM-DD ~ ")&amp;TEXT(EOMONTH(B2,0),"YYY-MM-DD")</f>
        <v>2026-04-01 ~ 2026-04-30</v>
      </c>
    </row>
    <row r="6" spans="2:10" x14ac:dyDescent="0.3">
      <c r="B6" s="2" t="s">
        <v>2</v>
      </c>
      <c r="C6" s="5">
        <f>SUM(F9:F809)</f>
        <v>2656</v>
      </c>
    </row>
    <row r="7" spans="2:10" x14ac:dyDescent="0.3">
      <c r="B7" s="2" t="s">
        <v>10</v>
      </c>
      <c r="C7" s="5">
        <f>SUM(I9:I809)</f>
        <v>185920</v>
      </c>
    </row>
    <row r="9" spans="2:10" x14ac:dyDescent="0.3"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14</v>
      </c>
      <c r="H9" s="3" t="s">
        <v>15</v>
      </c>
      <c r="I9" s="2" t="s">
        <v>8</v>
      </c>
      <c r="J9" s="2" t="s">
        <v>16</v>
      </c>
    </row>
    <row r="10" spans="2:10" x14ac:dyDescent="0.3">
      <c r="B10" s="4">
        <v>1</v>
      </c>
      <c r="C10" s="4" t="s">
        <v>19</v>
      </c>
      <c r="D10" s="4" t="s">
        <v>11</v>
      </c>
      <c r="E10" s="4" t="s">
        <v>32</v>
      </c>
      <c r="F10" s="5">
        <v>43</v>
      </c>
      <c r="G10" s="5">
        <v>4300</v>
      </c>
      <c r="H10" s="9">
        <v>0.7</v>
      </c>
      <c r="I10" s="10">
        <v>3010</v>
      </c>
      <c r="J10" s="4" t="s">
        <v>17</v>
      </c>
    </row>
    <row r="11" spans="2:10" x14ac:dyDescent="0.3">
      <c r="B11" s="4">
        <f>B10+1</f>
        <v>2</v>
      </c>
      <c r="C11" s="4" t="s">
        <v>45</v>
      </c>
      <c r="D11" s="4" t="s">
        <v>11</v>
      </c>
      <c r="E11" s="4" t="s">
        <v>46</v>
      </c>
      <c r="F11" s="10">
        <v>1000</v>
      </c>
      <c r="G11" s="10">
        <v>100000</v>
      </c>
      <c r="H11" s="9">
        <v>0.7</v>
      </c>
      <c r="I11" s="10">
        <v>70000</v>
      </c>
      <c r="J11" s="4" t="s">
        <v>17</v>
      </c>
    </row>
    <row r="12" spans="2:10" x14ac:dyDescent="0.3">
      <c r="B12" s="4">
        <f t="shared" ref="B12:B48" si="0">B11+1</f>
        <v>3</v>
      </c>
      <c r="C12" s="4" t="s">
        <v>35</v>
      </c>
      <c r="D12" s="4" t="s">
        <v>11</v>
      </c>
      <c r="E12" s="4" t="s">
        <v>36</v>
      </c>
      <c r="F12" s="10">
        <v>11</v>
      </c>
      <c r="G12" s="10">
        <v>1100</v>
      </c>
      <c r="H12" s="9">
        <v>0.7</v>
      </c>
      <c r="I12" s="10">
        <v>770</v>
      </c>
      <c r="J12" s="4" t="s">
        <v>17</v>
      </c>
    </row>
    <row r="13" spans="2:10" x14ac:dyDescent="0.3">
      <c r="B13" s="4">
        <f t="shared" si="0"/>
        <v>4</v>
      </c>
      <c r="C13" s="4" t="s">
        <v>33</v>
      </c>
      <c r="D13" s="4" t="s">
        <v>11</v>
      </c>
      <c r="E13" s="4" t="s">
        <v>34</v>
      </c>
      <c r="F13" s="10">
        <v>56</v>
      </c>
      <c r="G13" s="10">
        <v>5600</v>
      </c>
      <c r="H13" s="9">
        <v>0.7</v>
      </c>
      <c r="I13" s="10">
        <v>3920</v>
      </c>
      <c r="J13" s="4" t="s">
        <v>17</v>
      </c>
    </row>
    <row r="14" spans="2:10" x14ac:dyDescent="0.3">
      <c r="B14" s="4">
        <f t="shared" si="0"/>
        <v>5</v>
      </c>
      <c r="C14" s="4" t="s">
        <v>24</v>
      </c>
      <c r="D14" s="4" t="s">
        <v>11</v>
      </c>
      <c r="E14" s="4" t="s">
        <v>25</v>
      </c>
      <c r="F14" s="10">
        <v>97</v>
      </c>
      <c r="G14" s="10">
        <v>9700</v>
      </c>
      <c r="H14" s="9">
        <v>0.7</v>
      </c>
      <c r="I14" s="10">
        <v>6790</v>
      </c>
      <c r="J14" s="4" t="s">
        <v>17</v>
      </c>
    </row>
    <row r="15" spans="2:10" x14ac:dyDescent="0.3">
      <c r="B15" s="4">
        <f t="shared" si="0"/>
        <v>6</v>
      </c>
      <c r="C15" s="4" t="s">
        <v>47</v>
      </c>
      <c r="D15" s="4" t="s">
        <v>11</v>
      </c>
      <c r="E15" s="4" t="s">
        <v>48</v>
      </c>
      <c r="F15" s="10">
        <v>2</v>
      </c>
      <c r="G15" s="10">
        <v>200</v>
      </c>
      <c r="H15" s="9">
        <v>0.7</v>
      </c>
      <c r="I15" s="10">
        <v>140</v>
      </c>
      <c r="J15" s="4" t="s">
        <v>17</v>
      </c>
    </row>
    <row r="16" spans="2:10" x14ac:dyDescent="0.3">
      <c r="B16" s="4">
        <f t="shared" si="0"/>
        <v>7</v>
      </c>
      <c r="C16" s="4" t="s">
        <v>49</v>
      </c>
      <c r="D16" s="4" t="s">
        <v>11</v>
      </c>
      <c r="E16" s="4" t="s">
        <v>50</v>
      </c>
      <c r="F16" s="10">
        <v>1</v>
      </c>
      <c r="G16" s="10">
        <v>100</v>
      </c>
      <c r="H16" s="9">
        <v>0.7</v>
      </c>
      <c r="I16" s="10">
        <v>70</v>
      </c>
      <c r="J16" s="4" t="s">
        <v>17</v>
      </c>
    </row>
    <row r="17" spans="2:10" x14ac:dyDescent="0.3">
      <c r="B17" s="4">
        <f t="shared" si="0"/>
        <v>8</v>
      </c>
      <c r="C17" s="4" t="s">
        <v>51</v>
      </c>
      <c r="D17" s="4" t="s">
        <v>11</v>
      </c>
      <c r="E17" s="4" t="s">
        <v>52</v>
      </c>
      <c r="F17" s="10">
        <v>119</v>
      </c>
      <c r="G17" s="10">
        <v>11900</v>
      </c>
      <c r="H17" s="9">
        <v>0.7</v>
      </c>
      <c r="I17" s="10">
        <v>8330</v>
      </c>
      <c r="J17" s="4" t="s">
        <v>17</v>
      </c>
    </row>
    <row r="18" spans="2:10" x14ac:dyDescent="0.3">
      <c r="B18" s="4">
        <f t="shared" si="0"/>
        <v>9</v>
      </c>
      <c r="C18" s="4" t="s">
        <v>53</v>
      </c>
      <c r="D18" s="4" t="s">
        <v>11</v>
      </c>
      <c r="E18" s="4" t="s">
        <v>54</v>
      </c>
      <c r="F18" s="10">
        <v>100</v>
      </c>
      <c r="G18" s="10">
        <v>10000</v>
      </c>
      <c r="H18" s="9">
        <v>0.7</v>
      </c>
      <c r="I18" s="10">
        <v>7000</v>
      </c>
      <c r="J18" s="4" t="s">
        <v>17</v>
      </c>
    </row>
    <row r="19" spans="2:10" x14ac:dyDescent="0.3">
      <c r="B19" s="4">
        <f t="shared" si="0"/>
        <v>10</v>
      </c>
      <c r="C19" s="4" t="s">
        <v>55</v>
      </c>
      <c r="D19" s="4" t="s">
        <v>11</v>
      </c>
      <c r="E19" s="4" t="s">
        <v>56</v>
      </c>
      <c r="F19" s="10">
        <v>2</v>
      </c>
      <c r="G19" s="10">
        <v>200</v>
      </c>
      <c r="H19" s="9">
        <v>0.7</v>
      </c>
      <c r="I19" s="10">
        <v>140</v>
      </c>
      <c r="J19" s="4" t="s">
        <v>17</v>
      </c>
    </row>
    <row r="20" spans="2:10" x14ac:dyDescent="0.3">
      <c r="B20" s="4">
        <f t="shared" si="0"/>
        <v>11</v>
      </c>
      <c r="C20" s="4" t="s">
        <v>57</v>
      </c>
      <c r="D20" s="4" t="s">
        <v>11</v>
      </c>
      <c r="E20" s="4" t="s">
        <v>58</v>
      </c>
      <c r="F20" s="10">
        <v>6</v>
      </c>
      <c r="G20" s="10">
        <v>600</v>
      </c>
      <c r="H20" s="9">
        <v>0.7</v>
      </c>
      <c r="I20" s="10">
        <v>420</v>
      </c>
      <c r="J20" s="4" t="s">
        <v>17</v>
      </c>
    </row>
    <row r="21" spans="2:10" x14ac:dyDescent="0.3">
      <c r="B21" s="4">
        <f t="shared" si="0"/>
        <v>12</v>
      </c>
      <c r="C21" s="4" t="s">
        <v>57</v>
      </c>
      <c r="D21" s="4" t="s">
        <v>11</v>
      </c>
      <c r="E21" s="4" t="s">
        <v>59</v>
      </c>
      <c r="F21" s="10">
        <v>7</v>
      </c>
      <c r="G21" s="10">
        <v>700</v>
      </c>
      <c r="H21" s="9">
        <v>0.7</v>
      </c>
      <c r="I21" s="10">
        <v>490</v>
      </c>
      <c r="J21" s="4" t="s">
        <v>17</v>
      </c>
    </row>
    <row r="22" spans="2:10" x14ac:dyDescent="0.3">
      <c r="B22" s="4">
        <f t="shared" si="0"/>
        <v>13</v>
      </c>
      <c r="C22" s="4" t="s">
        <v>38</v>
      </c>
      <c r="D22" s="4" t="s">
        <v>11</v>
      </c>
      <c r="E22" s="4" t="s">
        <v>39</v>
      </c>
      <c r="F22" s="10">
        <v>6</v>
      </c>
      <c r="G22" s="10">
        <v>600</v>
      </c>
      <c r="H22" s="9">
        <v>0.7</v>
      </c>
      <c r="I22" s="10">
        <v>420</v>
      </c>
      <c r="J22" s="4" t="s">
        <v>17</v>
      </c>
    </row>
    <row r="23" spans="2:10" x14ac:dyDescent="0.3">
      <c r="B23" s="4">
        <f t="shared" si="0"/>
        <v>14</v>
      </c>
      <c r="C23" s="4" t="s">
        <v>12</v>
      </c>
      <c r="D23" s="4" t="s">
        <v>11</v>
      </c>
      <c r="E23" s="4" t="s">
        <v>13</v>
      </c>
      <c r="F23" s="10">
        <v>6</v>
      </c>
      <c r="G23" s="10">
        <v>600</v>
      </c>
      <c r="H23" s="9">
        <v>0.7</v>
      </c>
      <c r="I23" s="10">
        <v>420</v>
      </c>
      <c r="J23" s="4" t="s">
        <v>17</v>
      </c>
    </row>
    <row r="24" spans="2:10" x14ac:dyDescent="0.3">
      <c r="B24" s="4">
        <f t="shared" si="0"/>
        <v>15</v>
      </c>
      <c r="C24" s="4" t="s">
        <v>60</v>
      </c>
      <c r="D24" s="4" t="s">
        <v>11</v>
      </c>
      <c r="E24" s="4" t="s">
        <v>61</v>
      </c>
      <c r="F24" s="10">
        <v>13</v>
      </c>
      <c r="G24" s="10">
        <v>1300</v>
      </c>
      <c r="H24" s="9">
        <v>0.7</v>
      </c>
      <c r="I24" s="10">
        <v>910</v>
      </c>
      <c r="J24" s="4" t="s">
        <v>17</v>
      </c>
    </row>
    <row r="25" spans="2:10" x14ac:dyDescent="0.3">
      <c r="B25" s="4">
        <f t="shared" si="0"/>
        <v>16</v>
      </c>
      <c r="C25" s="4" t="s">
        <v>62</v>
      </c>
      <c r="D25" s="4" t="s">
        <v>11</v>
      </c>
      <c r="E25" s="4" t="s">
        <v>63</v>
      </c>
      <c r="F25" s="10">
        <v>102</v>
      </c>
      <c r="G25" s="10">
        <v>10200</v>
      </c>
      <c r="H25" s="9">
        <v>0.7</v>
      </c>
      <c r="I25" s="10">
        <v>7140</v>
      </c>
      <c r="J25" s="4" t="s">
        <v>17</v>
      </c>
    </row>
    <row r="26" spans="2:10" x14ac:dyDescent="0.3">
      <c r="B26" s="4">
        <f t="shared" si="0"/>
        <v>17</v>
      </c>
      <c r="C26" s="4" t="s">
        <v>28</v>
      </c>
      <c r="D26" s="4" t="s">
        <v>11</v>
      </c>
      <c r="E26" s="4" t="s">
        <v>29</v>
      </c>
      <c r="F26" s="10">
        <v>28</v>
      </c>
      <c r="G26" s="10">
        <v>2800</v>
      </c>
      <c r="H26" s="9">
        <v>0.7</v>
      </c>
      <c r="I26" s="10">
        <v>1960</v>
      </c>
      <c r="J26" s="4" t="s">
        <v>17</v>
      </c>
    </row>
    <row r="27" spans="2:10" x14ac:dyDescent="0.3">
      <c r="B27" s="4">
        <f t="shared" si="0"/>
        <v>18</v>
      </c>
      <c r="C27" s="4" t="s">
        <v>30</v>
      </c>
      <c r="D27" s="4" t="s">
        <v>11</v>
      </c>
      <c r="E27" s="4" t="s">
        <v>37</v>
      </c>
      <c r="F27" s="10">
        <v>380</v>
      </c>
      <c r="G27" s="10">
        <v>38000</v>
      </c>
      <c r="H27" s="9">
        <v>0.7</v>
      </c>
      <c r="I27" s="10">
        <v>26600</v>
      </c>
      <c r="J27" s="4" t="s">
        <v>17</v>
      </c>
    </row>
    <row r="28" spans="2:10" x14ac:dyDescent="0.3">
      <c r="B28" s="4">
        <f t="shared" si="0"/>
        <v>19</v>
      </c>
      <c r="C28" s="4" t="s">
        <v>64</v>
      </c>
      <c r="D28" s="4" t="s">
        <v>11</v>
      </c>
      <c r="E28" s="4" t="s">
        <v>65</v>
      </c>
      <c r="F28" s="10">
        <v>51</v>
      </c>
      <c r="G28" s="10">
        <v>5100</v>
      </c>
      <c r="H28" s="9">
        <v>0.7</v>
      </c>
      <c r="I28" s="10">
        <v>3570</v>
      </c>
      <c r="J28" s="4" t="s">
        <v>17</v>
      </c>
    </row>
    <row r="29" spans="2:10" x14ac:dyDescent="0.3">
      <c r="B29" s="4">
        <f t="shared" si="0"/>
        <v>20</v>
      </c>
      <c r="C29" s="4" t="s">
        <v>66</v>
      </c>
      <c r="D29" s="4" t="s">
        <v>11</v>
      </c>
      <c r="E29" s="4" t="s">
        <v>67</v>
      </c>
      <c r="F29" s="10">
        <v>3</v>
      </c>
      <c r="G29" s="10">
        <v>300</v>
      </c>
      <c r="H29" s="9">
        <v>0.7</v>
      </c>
      <c r="I29" s="10">
        <v>210</v>
      </c>
      <c r="J29" s="4" t="s">
        <v>17</v>
      </c>
    </row>
    <row r="30" spans="2:10" x14ac:dyDescent="0.3">
      <c r="B30" s="4">
        <f t="shared" si="0"/>
        <v>21</v>
      </c>
      <c r="C30" s="4" t="s">
        <v>68</v>
      </c>
      <c r="D30" s="4" t="s">
        <v>11</v>
      </c>
      <c r="E30" s="4" t="s">
        <v>69</v>
      </c>
      <c r="F30" s="10">
        <v>19</v>
      </c>
      <c r="G30" s="10">
        <v>1900</v>
      </c>
      <c r="H30" s="9">
        <v>0.7</v>
      </c>
      <c r="I30" s="10">
        <v>1330</v>
      </c>
      <c r="J30" s="4" t="s">
        <v>17</v>
      </c>
    </row>
    <row r="31" spans="2:10" x14ac:dyDescent="0.3">
      <c r="B31" s="4">
        <f t="shared" si="0"/>
        <v>22</v>
      </c>
      <c r="C31" s="4" t="s">
        <v>22</v>
      </c>
      <c r="D31" s="4" t="s">
        <v>11</v>
      </c>
      <c r="E31" s="4" t="s">
        <v>23</v>
      </c>
      <c r="F31" s="10">
        <v>10</v>
      </c>
      <c r="G31" s="10">
        <v>1000</v>
      </c>
      <c r="H31" s="9">
        <v>0.7</v>
      </c>
      <c r="I31" s="10">
        <v>700</v>
      </c>
      <c r="J31" s="4" t="s">
        <v>17</v>
      </c>
    </row>
    <row r="32" spans="2:10" x14ac:dyDescent="0.3">
      <c r="B32" s="4">
        <f t="shared" si="0"/>
        <v>23</v>
      </c>
      <c r="C32" s="4" t="s">
        <v>43</v>
      </c>
      <c r="D32" s="4" t="s">
        <v>11</v>
      </c>
      <c r="E32" s="4" t="s">
        <v>44</v>
      </c>
      <c r="F32" s="10">
        <v>14</v>
      </c>
      <c r="G32" s="10">
        <v>1400</v>
      </c>
      <c r="H32" s="9">
        <v>0.7</v>
      </c>
      <c r="I32" s="10">
        <v>980</v>
      </c>
      <c r="J32" s="4" t="s">
        <v>17</v>
      </c>
    </row>
    <row r="33" spans="2:10" x14ac:dyDescent="0.3">
      <c r="B33" s="4">
        <f t="shared" si="0"/>
        <v>24</v>
      </c>
      <c r="C33" s="4" t="s">
        <v>70</v>
      </c>
      <c r="D33" s="4" t="s">
        <v>11</v>
      </c>
      <c r="E33" s="4" t="s">
        <v>71</v>
      </c>
      <c r="F33" s="10">
        <v>3</v>
      </c>
      <c r="G33" s="10">
        <v>300</v>
      </c>
      <c r="H33" s="9">
        <v>0.7</v>
      </c>
      <c r="I33" s="10">
        <v>210</v>
      </c>
      <c r="J33" s="4" t="s">
        <v>17</v>
      </c>
    </row>
    <row r="34" spans="2:10" x14ac:dyDescent="0.3">
      <c r="B34" s="4">
        <f t="shared" si="0"/>
        <v>25</v>
      </c>
      <c r="C34" s="4" t="s">
        <v>19</v>
      </c>
      <c r="D34" s="4" t="s">
        <v>11</v>
      </c>
      <c r="E34" s="4" t="s">
        <v>72</v>
      </c>
      <c r="F34" s="10">
        <v>1</v>
      </c>
      <c r="G34" s="10">
        <v>100</v>
      </c>
      <c r="H34" s="9">
        <v>0.7</v>
      </c>
      <c r="I34" s="10">
        <v>70</v>
      </c>
      <c r="J34" s="4" t="s">
        <v>17</v>
      </c>
    </row>
    <row r="35" spans="2:10" x14ac:dyDescent="0.3">
      <c r="B35" s="4">
        <f t="shared" si="0"/>
        <v>26</v>
      </c>
      <c r="C35" s="4" t="s">
        <v>73</v>
      </c>
      <c r="D35" s="4" t="s">
        <v>11</v>
      </c>
      <c r="E35" s="4" t="s">
        <v>74</v>
      </c>
      <c r="F35" s="10">
        <v>1</v>
      </c>
      <c r="G35" s="10">
        <v>100</v>
      </c>
      <c r="H35" s="9">
        <v>0.7</v>
      </c>
      <c r="I35" s="10">
        <v>70</v>
      </c>
      <c r="J35" s="4" t="s">
        <v>17</v>
      </c>
    </row>
    <row r="36" spans="2:10" x14ac:dyDescent="0.3">
      <c r="B36" s="4">
        <f t="shared" si="0"/>
        <v>27</v>
      </c>
      <c r="C36" s="4" t="s">
        <v>75</v>
      </c>
      <c r="D36" s="4" t="s">
        <v>11</v>
      </c>
      <c r="E36" s="4" t="s">
        <v>76</v>
      </c>
      <c r="F36" s="10">
        <v>64</v>
      </c>
      <c r="G36" s="10">
        <v>6400</v>
      </c>
      <c r="H36" s="9">
        <v>0.7</v>
      </c>
      <c r="I36" s="10">
        <v>4480</v>
      </c>
      <c r="J36" s="4" t="s">
        <v>17</v>
      </c>
    </row>
    <row r="37" spans="2:10" x14ac:dyDescent="0.3">
      <c r="B37" s="4">
        <f t="shared" si="0"/>
        <v>28</v>
      </c>
      <c r="C37" s="4" t="s">
        <v>77</v>
      </c>
      <c r="D37" s="4" t="s">
        <v>11</v>
      </c>
      <c r="E37" s="4" t="s">
        <v>78</v>
      </c>
      <c r="F37" s="10">
        <v>3</v>
      </c>
      <c r="G37" s="10">
        <v>300</v>
      </c>
      <c r="H37" s="9">
        <v>0.7</v>
      </c>
      <c r="I37" s="10">
        <v>210</v>
      </c>
      <c r="J37" s="4" t="s">
        <v>17</v>
      </c>
    </row>
    <row r="38" spans="2:10" x14ac:dyDescent="0.3">
      <c r="B38" s="4">
        <f t="shared" si="0"/>
        <v>29</v>
      </c>
      <c r="C38" s="4" t="s">
        <v>26</v>
      </c>
      <c r="D38" s="4" t="s">
        <v>11</v>
      </c>
      <c r="E38" s="4" t="s">
        <v>27</v>
      </c>
      <c r="F38" s="10">
        <v>1</v>
      </c>
      <c r="G38" s="10">
        <v>100</v>
      </c>
      <c r="H38" s="9">
        <v>0.7</v>
      </c>
      <c r="I38" s="10">
        <v>70</v>
      </c>
      <c r="J38" s="4" t="s">
        <v>17</v>
      </c>
    </row>
    <row r="39" spans="2:10" x14ac:dyDescent="0.3">
      <c r="B39" s="4">
        <f t="shared" si="0"/>
        <v>30</v>
      </c>
      <c r="C39" s="4" t="s">
        <v>20</v>
      </c>
      <c r="D39" s="4" t="s">
        <v>11</v>
      </c>
      <c r="E39" s="4" t="s">
        <v>21</v>
      </c>
      <c r="F39" s="10">
        <v>100</v>
      </c>
      <c r="G39" s="10">
        <v>10000</v>
      </c>
      <c r="H39" s="9">
        <v>0.7</v>
      </c>
      <c r="I39" s="10">
        <v>7000</v>
      </c>
      <c r="J39" s="4" t="s">
        <v>17</v>
      </c>
    </row>
    <row r="40" spans="2:10" x14ac:dyDescent="0.3">
      <c r="B40" s="4">
        <f t="shared" si="0"/>
        <v>31</v>
      </c>
      <c r="C40" s="4" t="s">
        <v>30</v>
      </c>
      <c r="D40" s="4" t="s">
        <v>11</v>
      </c>
      <c r="E40" s="4" t="s">
        <v>31</v>
      </c>
      <c r="F40" s="10">
        <v>3</v>
      </c>
      <c r="G40" s="10">
        <v>300</v>
      </c>
      <c r="H40" s="9">
        <v>0.7</v>
      </c>
      <c r="I40" s="10">
        <v>210</v>
      </c>
      <c r="J40" s="4" t="s">
        <v>17</v>
      </c>
    </row>
    <row r="41" spans="2:10" x14ac:dyDescent="0.3">
      <c r="B41" s="4">
        <f t="shared" si="0"/>
        <v>32</v>
      </c>
      <c r="C41" s="4" t="s">
        <v>79</v>
      </c>
      <c r="D41" s="4" t="s">
        <v>11</v>
      </c>
      <c r="E41" s="4" t="s">
        <v>80</v>
      </c>
      <c r="F41" s="10">
        <v>61</v>
      </c>
      <c r="G41" s="10">
        <v>6100</v>
      </c>
      <c r="H41" s="9">
        <v>0.7</v>
      </c>
      <c r="I41" s="10">
        <v>4270</v>
      </c>
      <c r="J41" s="4" t="s">
        <v>17</v>
      </c>
    </row>
    <row r="42" spans="2:10" x14ac:dyDescent="0.3">
      <c r="B42" s="4">
        <f t="shared" si="0"/>
        <v>33</v>
      </c>
      <c r="C42" s="4" t="s">
        <v>41</v>
      </c>
      <c r="D42" s="4" t="s">
        <v>11</v>
      </c>
      <c r="E42" s="4" t="s">
        <v>81</v>
      </c>
      <c r="F42" s="10">
        <v>249</v>
      </c>
      <c r="G42" s="10">
        <v>24900</v>
      </c>
      <c r="H42" s="9">
        <v>0.7</v>
      </c>
      <c r="I42" s="10">
        <v>17430</v>
      </c>
      <c r="J42" s="4" t="s">
        <v>17</v>
      </c>
    </row>
    <row r="43" spans="2:10" x14ac:dyDescent="0.3">
      <c r="B43" s="4">
        <f t="shared" si="0"/>
        <v>34</v>
      </c>
      <c r="C43" s="4" t="s">
        <v>41</v>
      </c>
      <c r="D43" s="4" t="s">
        <v>11</v>
      </c>
      <c r="E43" s="4" t="s">
        <v>82</v>
      </c>
      <c r="F43" s="10">
        <v>6</v>
      </c>
      <c r="G43" s="10">
        <v>600</v>
      </c>
      <c r="H43" s="9">
        <v>0.7</v>
      </c>
      <c r="I43" s="10">
        <v>420</v>
      </c>
      <c r="J43" s="4" t="s">
        <v>17</v>
      </c>
    </row>
    <row r="44" spans="2:10" x14ac:dyDescent="0.3">
      <c r="B44" s="4">
        <f t="shared" si="0"/>
        <v>35</v>
      </c>
      <c r="C44" s="4" t="s">
        <v>19</v>
      </c>
      <c r="D44" s="4" t="s">
        <v>11</v>
      </c>
      <c r="E44" s="4" t="s">
        <v>18</v>
      </c>
      <c r="F44" s="10">
        <v>1</v>
      </c>
      <c r="G44" s="10">
        <v>100</v>
      </c>
      <c r="H44" s="9">
        <v>0.7</v>
      </c>
      <c r="I44" s="10">
        <v>70</v>
      </c>
      <c r="J44" s="4" t="s">
        <v>17</v>
      </c>
    </row>
    <row r="45" spans="2:10" x14ac:dyDescent="0.3">
      <c r="B45" s="4">
        <f t="shared" si="0"/>
        <v>36</v>
      </c>
      <c r="C45" s="4" t="s">
        <v>83</v>
      </c>
      <c r="D45" s="4" t="s">
        <v>11</v>
      </c>
      <c r="E45" s="4" t="s">
        <v>84</v>
      </c>
      <c r="F45" s="10">
        <v>68</v>
      </c>
      <c r="G45" s="10">
        <v>6800</v>
      </c>
      <c r="H45" s="9">
        <v>0.7</v>
      </c>
      <c r="I45" s="10">
        <v>4760</v>
      </c>
      <c r="J45" s="4" t="s">
        <v>17</v>
      </c>
    </row>
    <row r="46" spans="2:10" x14ac:dyDescent="0.3">
      <c r="B46" s="4">
        <f t="shared" si="0"/>
        <v>37</v>
      </c>
      <c r="C46" s="4" t="s">
        <v>41</v>
      </c>
      <c r="D46" s="4" t="s">
        <v>11</v>
      </c>
      <c r="E46" s="4" t="s">
        <v>85</v>
      </c>
      <c r="F46" s="10">
        <v>4</v>
      </c>
      <c r="G46" s="10">
        <v>400</v>
      </c>
      <c r="H46" s="9">
        <v>0.7</v>
      </c>
      <c r="I46" s="10">
        <v>280</v>
      </c>
      <c r="J46" s="4" t="s">
        <v>17</v>
      </c>
    </row>
    <row r="47" spans="2:10" x14ac:dyDescent="0.3">
      <c r="B47" s="4">
        <f t="shared" si="0"/>
        <v>38</v>
      </c>
      <c r="C47" s="4" t="s">
        <v>40</v>
      </c>
      <c r="D47" s="4" t="s">
        <v>11</v>
      </c>
      <c r="E47" s="4" t="s">
        <v>86</v>
      </c>
      <c r="F47" s="10">
        <v>1</v>
      </c>
      <c r="G47" s="10">
        <v>100</v>
      </c>
      <c r="H47" s="9">
        <v>0.7</v>
      </c>
      <c r="I47" s="10">
        <v>70</v>
      </c>
      <c r="J47" s="4" t="s">
        <v>17</v>
      </c>
    </row>
    <row r="48" spans="2:10" x14ac:dyDescent="0.3">
      <c r="B48" s="4">
        <f t="shared" si="0"/>
        <v>39</v>
      </c>
      <c r="C48" s="4" t="s">
        <v>41</v>
      </c>
      <c r="D48" s="4" t="s">
        <v>11</v>
      </c>
      <c r="E48" s="4" t="s">
        <v>42</v>
      </c>
      <c r="F48" s="10">
        <v>14</v>
      </c>
      <c r="G48" s="10">
        <v>1400</v>
      </c>
      <c r="H48" s="9">
        <v>0.7</v>
      </c>
      <c r="I48" s="10">
        <v>980</v>
      </c>
      <c r="J48" s="4" t="s">
        <v>17</v>
      </c>
    </row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  <row r="58" s="6" customFormat="1" x14ac:dyDescent="0.3"/>
    <row r="59" s="6" customFormat="1" x14ac:dyDescent="0.3"/>
    <row r="60" s="6" customFormat="1" x14ac:dyDescent="0.3"/>
    <row r="61" s="6" customFormat="1" x14ac:dyDescent="0.3"/>
    <row r="62" s="6" customFormat="1" x14ac:dyDescent="0.3"/>
    <row r="63" s="6" customFormat="1" x14ac:dyDescent="0.3"/>
    <row r="64" s="6" customFormat="1" x14ac:dyDescent="0.3"/>
    <row r="65" s="6" customFormat="1" x14ac:dyDescent="0.3"/>
    <row r="66" s="6" customFormat="1" x14ac:dyDescent="0.3"/>
    <row r="67" s="6" customFormat="1" x14ac:dyDescent="0.3"/>
    <row r="68" s="6" customFormat="1" x14ac:dyDescent="0.3"/>
    <row r="69" s="6" customFormat="1" x14ac:dyDescent="0.3"/>
    <row r="70" s="6" customFormat="1" x14ac:dyDescent="0.3"/>
    <row r="71" s="6" customFormat="1" x14ac:dyDescent="0.3"/>
    <row r="72" s="6" customFormat="1" x14ac:dyDescent="0.3"/>
    <row r="73" s="6" customFormat="1" x14ac:dyDescent="0.3"/>
    <row r="74" s="6" customFormat="1" x14ac:dyDescent="0.3"/>
    <row r="75" s="6" customFormat="1" x14ac:dyDescent="0.3"/>
    <row r="76" s="6" customFormat="1" x14ac:dyDescent="0.3"/>
    <row r="77" s="6" customFormat="1" x14ac:dyDescent="0.3"/>
    <row r="78" s="6" customFormat="1" x14ac:dyDescent="0.3"/>
    <row r="79" s="6" customFormat="1" x14ac:dyDescent="0.3"/>
    <row r="80" s="6" customFormat="1" x14ac:dyDescent="0.3"/>
    <row r="81" s="6" customFormat="1" x14ac:dyDescent="0.3"/>
    <row r="82" s="6" customFormat="1" x14ac:dyDescent="0.3"/>
    <row r="83" s="6" customFormat="1" x14ac:dyDescent="0.3"/>
    <row r="84" s="6" customFormat="1" x14ac:dyDescent="0.3"/>
    <row r="85" s="6" customFormat="1" x14ac:dyDescent="0.3"/>
    <row r="86" s="6" customFormat="1" x14ac:dyDescent="0.3"/>
    <row r="87" s="6" customFormat="1" x14ac:dyDescent="0.3"/>
    <row r="88" s="6" customFormat="1" x14ac:dyDescent="0.3"/>
    <row r="89" s="6" customFormat="1" x14ac:dyDescent="0.3"/>
    <row r="90" s="6" customFormat="1" x14ac:dyDescent="0.3"/>
    <row r="91" s="6" customFormat="1" x14ac:dyDescent="0.3"/>
    <row r="92" s="6" customFormat="1" x14ac:dyDescent="0.3"/>
    <row r="93" s="6" customFormat="1" x14ac:dyDescent="0.3"/>
    <row r="94" s="6" customFormat="1" x14ac:dyDescent="0.3"/>
    <row r="95" s="6" customFormat="1" x14ac:dyDescent="0.3"/>
    <row r="96" s="6" customFormat="1" x14ac:dyDescent="0.3"/>
    <row r="97" s="6" customFormat="1" x14ac:dyDescent="0.3"/>
    <row r="98" s="6" customFormat="1" x14ac:dyDescent="0.3"/>
    <row r="99" s="6" customFormat="1" x14ac:dyDescent="0.3"/>
    <row r="100" s="6" customFormat="1" x14ac:dyDescent="0.3"/>
    <row r="101" s="6" customFormat="1" x14ac:dyDescent="0.3"/>
    <row r="102" s="6" customFormat="1" x14ac:dyDescent="0.3"/>
    <row r="103" s="6" customFormat="1" x14ac:dyDescent="0.3"/>
    <row r="104" s="6" customFormat="1" x14ac:dyDescent="0.3"/>
  </sheetData>
  <mergeCells count="2">
    <mergeCell ref="B2:C2"/>
    <mergeCell ref="B4:C4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cols>
    <col min="1" max="1" width="70" customWidth="1"/>
  </cols>
  <sheetData>
    <row r="1" spans="1:1" ht="247.5" x14ac:dyDescent="0.3">
      <c r="A1" s="1" t="s">
        <v>9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5e3e4ab-3384-4d75-ab93-03b3f3a565d5}" enabled="1" method="Privileged" siteId="{54799001-66e8-4988-92b2-406b1037d6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마켓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은영(경영관리팀)</cp:lastModifiedBy>
  <dcterms:created xsi:type="dcterms:W3CDTF">2019-04-01T11:26:31Z</dcterms:created>
  <dcterms:modified xsi:type="dcterms:W3CDTF">2026-05-05T01:27:13Z</dcterms:modified>
</cp:coreProperties>
</file>